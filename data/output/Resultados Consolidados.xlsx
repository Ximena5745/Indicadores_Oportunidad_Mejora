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output/"/>
    </mc:Choice>
  </mc:AlternateContent>
  <xr:revisionPtr revIDLastSave="20" documentId="11_9A0191EE11244531D7AB341BF9BF479ACDC0A544" xr6:coauthVersionLast="47" xr6:coauthVersionMax="47" xr10:uidLastSave="{6B821F75-ABB5-48B8-9A12-626F0E631E57}"/>
  <bookViews>
    <workbookView xWindow="-108" yWindow="-108" windowWidth="23256" windowHeight="12456" tabRatio="692" firstSheet="1" activeTab="1" xr2:uid="{00000000-000D-0000-FFFF-FFFF00000000}"/>
  </bookViews>
  <sheets>
    <sheet name="Hoja4" sheetId="1" state="hidden" r:id="rId1"/>
    <sheet name="Consolidado Historico" sheetId="2" r:id="rId2"/>
    <sheet name="Consolidado Semestral" sheetId="3" r:id="rId3"/>
    <sheet name="Consolidado Cierres" sheetId="4" r:id="rId4"/>
    <sheet name="Config_Indicadores" sheetId="9" r:id="rId5"/>
  </sheets>
  <definedNames>
    <definedName name="_xlnm._FilterDatabase" localSheetId="4" hidden="1">Config_Indicadores!$A$1:$G$299</definedName>
    <definedName name="_xlnm._FilterDatabase" localSheetId="3" hidden="1">'Consolidado Cierres'!$A$1:$S$1731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9" i="9" l="1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A43" i="1"/>
  <c r="A42" i="1"/>
  <c r="A40" i="1" s="1"/>
  <c r="A23" i="1"/>
  <c r="B23" i="1" s="1"/>
  <c r="A21" i="1"/>
  <c r="E13" i="1"/>
</calcChain>
</file>

<file path=xl/sharedStrings.xml><?xml version="1.0" encoding="utf-8"?>
<sst xmlns="http://schemas.openxmlformats.org/spreadsheetml/2006/main" count="76567" uniqueCount="7732">
  <si>
    <t xml:space="preserve">Escala ID </t>
  </si>
  <si>
    <t>Trimestre</t>
  </si>
  <si>
    <t>Semestre</t>
  </si>
  <si>
    <t>% Cumplimiento</t>
  </si>
  <si>
    <t>&lt;60%</t>
  </si>
  <si>
    <t>Valor</t>
  </si>
  <si>
    <t>Cumplimiento</t>
  </si>
  <si>
    <t>Id</t>
  </si>
  <si>
    <t>Indicador</t>
  </si>
  <si>
    <t>Proceso</t>
  </si>
  <si>
    <t>Periodicidad</t>
  </si>
  <si>
    <t>Sentido</t>
  </si>
  <si>
    <t>Fecha</t>
  </si>
  <si>
    <t>Meta</t>
  </si>
  <si>
    <t>Ejecución</t>
  </si>
  <si>
    <t>Cumplimiento Real</t>
  </si>
  <si>
    <t>Meta s</t>
  </si>
  <si>
    <t>Ejecución s</t>
  </si>
  <si>
    <t>Año</t>
  </si>
  <si>
    <t>Mes</t>
  </si>
  <si>
    <t>Decimales_Meta</t>
  </si>
  <si>
    <t>Decimales_Ejecucion</t>
  </si>
  <si>
    <t>PDI</t>
  </si>
  <si>
    <t>linea</t>
  </si>
  <si>
    <t>LLAVE</t>
  </si>
  <si>
    <t>dd</t>
  </si>
  <si>
    <t>1</t>
  </si>
  <si>
    <t>Innovación curricular - Fase I</t>
  </si>
  <si>
    <t>Gestión, Evaluación e Innovación Curricular</t>
  </si>
  <si>
    <t>Mensual</t>
  </si>
  <si>
    <t>Positivo</t>
  </si>
  <si>
    <t>%</t>
  </si>
  <si>
    <t>Enero</t>
  </si>
  <si>
    <t>2023-1</t>
  </si>
  <si>
    <t>Calidad</t>
  </si>
  <si>
    <t>1-2023-01-31</t>
  </si>
  <si>
    <t>Febrero</t>
  </si>
  <si>
    <t>1-2023-02-28</t>
  </si>
  <si>
    <t>Marzo</t>
  </si>
  <si>
    <t>1-2023-03-31</t>
  </si>
  <si>
    <t>Abril</t>
  </si>
  <si>
    <t>1-2023-04-30</t>
  </si>
  <si>
    <t>Mayo</t>
  </si>
  <si>
    <t>1-2023-05-31</t>
  </si>
  <si>
    <t>Junio</t>
  </si>
  <si>
    <t>1-2023-06-30</t>
  </si>
  <si>
    <t>Julio</t>
  </si>
  <si>
    <t>2023-2</t>
  </si>
  <si>
    <t>1-2023-07-31</t>
  </si>
  <si>
    <t>Agosto</t>
  </si>
  <si>
    <t>1-2023-08-31</t>
  </si>
  <si>
    <t>Septiembre</t>
  </si>
  <si>
    <t>1-2023-09-30</t>
  </si>
  <si>
    <t>Octubre</t>
  </si>
  <si>
    <t>1-2023-10-31</t>
  </si>
  <si>
    <t>Noviembre</t>
  </si>
  <si>
    <t>1-2023-11-30</t>
  </si>
  <si>
    <t>Diciembre</t>
  </si>
  <si>
    <t>1-2023-12-31</t>
  </si>
  <si>
    <t>10</t>
  </si>
  <si>
    <t>Acreditación Institucional Sede Bogotá - Fase II - Condiciones iniciales % Avance</t>
  </si>
  <si>
    <t>Creación, modificación y cierre de programas académicos</t>
  </si>
  <si>
    <t>10-2023-04-30</t>
  </si>
  <si>
    <t>10-2023-05-31</t>
  </si>
  <si>
    <t>10-2023-06-30</t>
  </si>
  <si>
    <t>10-2023-07-31</t>
  </si>
  <si>
    <t>10-2023-08-31</t>
  </si>
  <si>
    <t>10-2023-09-30</t>
  </si>
  <si>
    <t>10-2023-10-31</t>
  </si>
  <si>
    <t>10-2023-11-30</t>
  </si>
  <si>
    <t>10-2023-12-31</t>
  </si>
  <si>
    <t>2024-1</t>
  </si>
  <si>
    <t>10-2024-01-31</t>
  </si>
  <si>
    <t>10-2024-02-29</t>
  </si>
  <si>
    <t>10-2024-03-31</t>
  </si>
  <si>
    <t>10-2024-04-30</t>
  </si>
  <si>
    <t>10-2024-05-31</t>
  </si>
  <si>
    <t>10-2024-06-30</t>
  </si>
  <si>
    <t>2024-2</t>
  </si>
  <si>
    <t>10-2024-07-31</t>
  </si>
  <si>
    <t>10-2024-08-31</t>
  </si>
  <si>
    <t>10-2024-09-30</t>
  </si>
  <si>
    <t>10-2024-10-31</t>
  </si>
  <si>
    <t>10-2024-11-30</t>
  </si>
  <si>
    <t>10-2024-12-31</t>
  </si>
  <si>
    <t>10.1</t>
  </si>
  <si>
    <t>Acreditación Institucional Sede Bogotá - Fase I</t>
  </si>
  <si>
    <t>Autoevaluación de programas académicos</t>
  </si>
  <si>
    <t>2022-1</t>
  </si>
  <si>
    <t>10.1-2022-06-30</t>
  </si>
  <si>
    <t>2022-2</t>
  </si>
  <si>
    <t>10.1-2022-12-31</t>
  </si>
  <si>
    <t>10.1-2023-01-30</t>
  </si>
  <si>
    <t>10.1-2023-02-28</t>
  </si>
  <si>
    <t>10.1-2023-03-31</t>
  </si>
  <si>
    <t>100</t>
  </si>
  <si>
    <t>Cumplimiento de requisitos legales SST</t>
  </si>
  <si>
    <t>GESTIÓN DE SEGURIDAD Y SALUD EN EL TRABAJO</t>
  </si>
  <si>
    <t>Anual</t>
  </si>
  <si>
    <t>Trasformación_Organizacional</t>
  </si>
  <si>
    <t>100-2023-12-31</t>
  </si>
  <si>
    <t>100-2024-12-31</t>
  </si>
  <si>
    <t>100.0%</t>
  </si>
  <si>
    <t>2025-2</t>
  </si>
  <si>
    <t>Transformación_Organizacional</t>
  </si>
  <si>
    <t>100-2025-12-31</t>
  </si>
  <si>
    <t>104</t>
  </si>
  <si>
    <t>Tasa de accidentalidad</t>
  </si>
  <si>
    <t>Negativo</t>
  </si>
  <si>
    <t>DEC</t>
  </si>
  <si>
    <t>104-2023-12-31</t>
  </si>
  <si>
    <t>104-2024-12-31</t>
  </si>
  <si>
    <t>0.21</t>
  </si>
  <si>
    <t>2.14%</t>
  </si>
  <si>
    <t>0.21%</t>
  </si>
  <si>
    <t>104-2025-12-31</t>
  </si>
  <si>
    <t>106</t>
  </si>
  <si>
    <t>Mortalidad de los accidentes laborales</t>
  </si>
  <si>
    <t>ENT</t>
  </si>
  <si>
    <t>106-2023-12-31</t>
  </si>
  <si>
    <t>106-2024-12-31</t>
  </si>
  <si>
    <t>0</t>
  </si>
  <si>
    <t>0.0%</t>
  </si>
  <si>
    <t>106-2025-12-31</t>
  </si>
  <si>
    <t>108</t>
  </si>
  <si>
    <t>Nivel de Satisfacción Servicios Prestados</t>
  </si>
  <si>
    <t>DIRECCIONAMIENTO ESTRATÉGICO</t>
  </si>
  <si>
    <t>108-2024-12-31</t>
  </si>
  <si>
    <t>108.1</t>
  </si>
  <si>
    <t>Planeación Estratégica</t>
  </si>
  <si>
    <t>Experiencia</t>
  </si>
  <si>
    <t>108.1-2022-12-31</t>
  </si>
  <si>
    <t>108.1-2023-10-31</t>
  </si>
  <si>
    <t>Centro de Medios Audiovisuales</t>
  </si>
  <si>
    <t>108.10-2023-10-31</t>
  </si>
  <si>
    <t>108.1-2023-12-31</t>
  </si>
  <si>
    <t>108.10-2023-12-31</t>
  </si>
  <si>
    <t>108.11</t>
  </si>
  <si>
    <t>Desempeño Institucional</t>
  </si>
  <si>
    <t>108.11-2023-10-31</t>
  </si>
  <si>
    <t>108.11-2023-12-31</t>
  </si>
  <si>
    <t>108.12</t>
  </si>
  <si>
    <t>Prácticas Empresariales</t>
  </si>
  <si>
    <t>108.12-2023-10-31</t>
  </si>
  <si>
    <t>108.12-2023-12-31</t>
  </si>
  <si>
    <t>108.13</t>
  </si>
  <si>
    <t>Formación para la investigación, creación e innovación</t>
  </si>
  <si>
    <t>108.13-2023-10-31</t>
  </si>
  <si>
    <t>108.13-2023-12-31</t>
  </si>
  <si>
    <t>108.14</t>
  </si>
  <si>
    <t>Registro y Control</t>
  </si>
  <si>
    <t>108.14-2023-10-31</t>
  </si>
  <si>
    <t>108.14-2023-12-31</t>
  </si>
  <si>
    <t>108.15</t>
  </si>
  <si>
    <t>Datos y Analítica</t>
  </si>
  <si>
    <t>108.15-2023-10-31</t>
  </si>
  <si>
    <t>108.15-2023-12-31</t>
  </si>
  <si>
    <t>108.2</t>
  </si>
  <si>
    <t>Gestión Seguridad y Salud en el Trabajo</t>
  </si>
  <si>
    <t>108.2-2023-12-31</t>
  </si>
  <si>
    <t>108.3</t>
  </si>
  <si>
    <t>Servicio de Salud</t>
  </si>
  <si>
    <t>108.3-2023-10-31</t>
  </si>
  <si>
    <t>108.3-2023-12-31</t>
  </si>
  <si>
    <t>108.4</t>
  </si>
  <si>
    <t>Comunicaciones Internas</t>
  </si>
  <si>
    <t>108.4-2023-10-31</t>
  </si>
  <si>
    <t>108.4-2023-12-31</t>
  </si>
  <si>
    <t>108.5</t>
  </si>
  <si>
    <t>Administración de Servicios Generales</t>
  </si>
  <si>
    <t>108.5-2022-12-31</t>
  </si>
  <si>
    <t>108.5-2023-10-31</t>
  </si>
  <si>
    <t>108.5-2023-12-31</t>
  </si>
  <si>
    <t>108.6</t>
  </si>
  <si>
    <t>Contabilidad</t>
  </si>
  <si>
    <t>108.6-2023-10-31</t>
  </si>
  <si>
    <t>108.6-2023-12-31</t>
  </si>
  <si>
    <t>108.7</t>
  </si>
  <si>
    <t>Tesorería</t>
  </si>
  <si>
    <t>108.7-2023-10-31</t>
  </si>
  <si>
    <t>108.7-2023-12-31</t>
  </si>
  <si>
    <t>108.8</t>
  </si>
  <si>
    <t>Gestión Normativa y Jurídica</t>
  </si>
  <si>
    <t>108.8-2023-10-31</t>
  </si>
  <si>
    <t>GESTIÓN JURÍDICA Y NORMATIVA</t>
  </si>
  <si>
    <t>108.8-2023-12-31</t>
  </si>
  <si>
    <t>108.9</t>
  </si>
  <si>
    <t>Gestión de Proyectos</t>
  </si>
  <si>
    <t>108.9-2023-10-31</t>
  </si>
  <si>
    <t>108.9-2023-12-31</t>
  </si>
  <si>
    <t>109</t>
  </si>
  <si>
    <t>109-2024-12-31</t>
  </si>
  <si>
    <t>94</t>
  </si>
  <si>
    <t>80.0%</t>
  </si>
  <si>
    <t>94.0%</t>
  </si>
  <si>
    <t>109-2025-10-31</t>
  </si>
  <si>
    <t>11</t>
  </si>
  <si>
    <t>Creación del Instituto de Educación para el trabajo y el desarrollo humano - Fase I - Aprobaciones legales</t>
  </si>
  <si>
    <t>Educación_para_toda_la_vida</t>
  </si>
  <si>
    <t>11-2023-05-31</t>
  </si>
  <si>
    <t>11-2023-06-30</t>
  </si>
  <si>
    <t>11-2023-07-31</t>
  </si>
  <si>
    <t>11-2023-08-31</t>
  </si>
  <si>
    <t>11-2023-09-30</t>
  </si>
  <si>
    <t>11-2023-10-31</t>
  </si>
  <si>
    <t>11-2023-11-30</t>
  </si>
  <si>
    <t>11-2023-12-31</t>
  </si>
  <si>
    <t>11-2024-01-31</t>
  </si>
  <si>
    <t>11-2024-02-29</t>
  </si>
  <si>
    <t>11-2024-03-31</t>
  </si>
  <si>
    <t>11-2024-04-30</t>
  </si>
  <si>
    <t>11-2024-05-31</t>
  </si>
  <si>
    <t>11-2024-06-30</t>
  </si>
  <si>
    <t>11-2024-07-31</t>
  </si>
  <si>
    <t>11-2024-08-31</t>
  </si>
  <si>
    <t>No Aplica</t>
  </si>
  <si>
    <t>11-2024-09-30</t>
  </si>
  <si>
    <t>11-2024-10-31</t>
  </si>
  <si>
    <t>11-2024-11-30</t>
  </si>
  <si>
    <t>11-2024-12-31</t>
  </si>
  <si>
    <t>11.1</t>
  </si>
  <si>
    <t xml:space="preserve"> Número de programas registrados en la SED</t>
  </si>
  <si>
    <t>Semestral</t>
  </si>
  <si>
    <t>11.1-2024-06-30</t>
  </si>
  <si>
    <t>110</t>
  </si>
  <si>
    <t>Planeación Financiera</t>
  </si>
  <si>
    <t>110-2022-10-31</t>
  </si>
  <si>
    <t>110-2023-10-31</t>
  </si>
  <si>
    <t>110-2023-12-31</t>
  </si>
  <si>
    <t>GESTIÓN FINANCIERA</t>
  </si>
  <si>
    <t>110-2024-12-31</t>
  </si>
  <si>
    <t>111</t>
  </si>
  <si>
    <t>GESTIÓN DE ABASTECIMIENTO</t>
  </si>
  <si>
    <t>Trimestral</t>
  </si>
  <si>
    <t>111-2023-03-31</t>
  </si>
  <si>
    <t>111-2023-06-30</t>
  </si>
  <si>
    <t>111-2023-09-30</t>
  </si>
  <si>
    <t>111-2023-12-31</t>
  </si>
  <si>
    <t>111-2024-03-31</t>
  </si>
  <si>
    <t>111-2024-06-30</t>
  </si>
  <si>
    <t>111-2024-09-30</t>
  </si>
  <si>
    <t>111-2024-12-31</t>
  </si>
  <si>
    <t>92.7</t>
  </si>
  <si>
    <t>92.7%</t>
  </si>
  <si>
    <t>2025-1</t>
  </si>
  <si>
    <t>111-2025-03-31</t>
  </si>
  <si>
    <t>111-2025-06-30</t>
  </si>
  <si>
    <t>96.6</t>
  </si>
  <si>
    <t>96.6%</t>
  </si>
  <si>
    <t>111-2025-12-31</t>
  </si>
  <si>
    <t>112</t>
  </si>
  <si>
    <t>Gestión Infraestructura Física</t>
  </si>
  <si>
    <t>112-2022-10-31</t>
  </si>
  <si>
    <t>112-2023-10-31</t>
  </si>
  <si>
    <t>112-2024-10-31</t>
  </si>
  <si>
    <t>90</t>
  </si>
  <si>
    <t>90.0%</t>
  </si>
  <si>
    <t>112-2025-10-31</t>
  </si>
  <si>
    <t>113</t>
  </si>
  <si>
    <t>Gestión y Desarrollo del Talento Humano</t>
  </si>
  <si>
    <t>113-2022-10-31</t>
  </si>
  <si>
    <t>113-2023-10-31</t>
  </si>
  <si>
    <t>GESTIÓN Y DESARROLLO DEL TALENTO HUMANO</t>
  </si>
  <si>
    <t>113-2024-10-31</t>
  </si>
  <si>
    <t>113-2025-10-31</t>
  </si>
  <si>
    <t>114</t>
  </si>
  <si>
    <t>Gestión de la tecnología e innovación digital</t>
  </si>
  <si>
    <t>114-2022-10-31</t>
  </si>
  <si>
    <t>114-2023-10-31</t>
  </si>
  <si>
    <t>114-2024-10-31</t>
  </si>
  <si>
    <t>GESTIÓN DE LA TECNOLOGÍA E INNOVACIÓN DIGITAL</t>
  </si>
  <si>
    <t>74</t>
  </si>
  <si>
    <t>74.0%</t>
  </si>
  <si>
    <t>114-2025-10-31</t>
  </si>
  <si>
    <t>115</t>
  </si>
  <si>
    <t>Gestión de seguridad y salud en el trabajo</t>
  </si>
  <si>
    <t>115-2023-10-31</t>
  </si>
  <si>
    <t>115-2023-12-31</t>
  </si>
  <si>
    <t>115-2024-12-31</t>
  </si>
  <si>
    <t>89</t>
  </si>
  <si>
    <t>89.0%</t>
  </si>
  <si>
    <t>115-2025-10-31</t>
  </si>
  <si>
    <t>116</t>
  </si>
  <si>
    <t>AUDITORÍA INTERNA</t>
  </si>
  <si>
    <t>Bimestral</t>
  </si>
  <si>
    <t>116-2023-02-28</t>
  </si>
  <si>
    <t>116-2023-04-30</t>
  </si>
  <si>
    <t>116-2023-06-30</t>
  </si>
  <si>
    <t>116-2023-08-31</t>
  </si>
  <si>
    <t>116-2023-10-31</t>
  </si>
  <si>
    <t>116-2023-12-31</t>
  </si>
  <si>
    <t>116-2024-02-29</t>
  </si>
  <si>
    <t>116-2024-04-30</t>
  </si>
  <si>
    <t>116-2024-06-30</t>
  </si>
  <si>
    <t>116-2024-08-31</t>
  </si>
  <si>
    <t>116-2024-10-31</t>
  </si>
  <si>
    <t>116-2024-12-31</t>
  </si>
  <si>
    <t>116-2025-12-31</t>
  </si>
  <si>
    <t>117</t>
  </si>
  <si>
    <t>GESTIÓN AMBIENTAL</t>
  </si>
  <si>
    <t>117-2022-10-31</t>
  </si>
  <si>
    <t>117-2023-10-31</t>
  </si>
  <si>
    <t>117-2024-10-31</t>
  </si>
  <si>
    <t>117-2025-10-31</t>
  </si>
  <si>
    <t>118</t>
  </si>
  <si>
    <t>Gestión de Calidad</t>
  </si>
  <si>
    <t>118-2022-10-31</t>
  </si>
  <si>
    <t>118-2023-12-31</t>
  </si>
  <si>
    <t>Nivel de Satisfacción del sistema de gestión de calidad</t>
  </si>
  <si>
    <t>Gestión de calidad</t>
  </si>
  <si>
    <t>118-2024-12-31</t>
  </si>
  <si>
    <t>98</t>
  </si>
  <si>
    <t>98.0%</t>
  </si>
  <si>
    <t>118-2025-10-31</t>
  </si>
  <si>
    <t>12</t>
  </si>
  <si>
    <t>Creación del colegio de educación media virtual - Fase I de aprobaciones y tramites</t>
  </si>
  <si>
    <t>12-2023-08-31</t>
  </si>
  <si>
    <t>12-2023-09-30</t>
  </si>
  <si>
    <t>12-2023-10-31</t>
  </si>
  <si>
    <t>12-2023-11-30</t>
  </si>
  <si>
    <t>12-2023-12-31</t>
  </si>
  <si>
    <t>12-2024-01-31</t>
  </si>
  <si>
    <t>12-2024-02-29</t>
  </si>
  <si>
    <t>12-2024-03-31</t>
  </si>
  <si>
    <t>12-2024-04-30</t>
  </si>
  <si>
    <t>12-2024-05-31</t>
  </si>
  <si>
    <t>12-2024-06-30</t>
  </si>
  <si>
    <t>12-2024-07-31</t>
  </si>
  <si>
    <t>12-2024-08-31</t>
  </si>
  <si>
    <t>12-2024-09-30</t>
  </si>
  <si>
    <t>12-2024-10-31</t>
  </si>
  <si>
    <t>12-2024-11-30</t>
  </si>
  <si>
    <t>12-2024-12-31</t>
  </si>
  <si>
    <t>121</t>
  </si>
  <si>
    <t>Ejecución presupuestal de la nómina acumulada</t>
  </si>
  <si>
    <t>$</t>
  </si>
  <si>
    <t>Sostenibilidad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</si>
  <si>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</si>
  <si>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</si>
  <si>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</si>
  <si>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</si>
  <si>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</si>
  <si>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</si>
  <si>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</si>
  <si>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</si>
  <si>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</si>
  <si>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</si>
  <si>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</si>
  <si>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121-2022-12-31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</si>
  <si>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</si>
  <si>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</si>
  <si>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</si>
  <si>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</si>
  <si>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</si>
  <si>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</si>
  <si>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</si>
  <si>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</si>
  <si>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</si>
  <si>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</si>
  <si>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</si>
  <si>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121-2023-12-31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</si>
  <si>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</si>
  <si>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</si>
  <si>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</si>
  <si>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</si>
  <si>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</si>
  <si>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</si>
  <si>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</si>
  <si>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</si>
  <si>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</si>
  <si>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</si>
  <si>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</si>
  <si>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121-2024-12-31</t>
  </si>
  <si>
    <t>99.18</t>
  </si>
  <si>
    <t>102.0%</t>
  </si>
  <si>
    <t>99.18%</t>
  </si>
  <si>
    <t>121-2025-01-31</t>
  </si>
  <si>
    <t>107.66</t>
  </si>
  <si>
    <t>107.66%</t>
  </si>
  <si>
    <t>121-2025-02-28</t>
  </si>
  <si>
    <t>106.77</t>
  </si>
  <si>
    <t>106.77%</t>
  </si>
  <si>
    <t>121-2025-03-31</t>
  </si>
  <si>
    <t>106.0%</t>
  </si>
  <si>
    <t>121-2025-04-30</t>
  </si>
  <si>
    <t>114.9</t>
  </si>
  <si>
    <t>114.9%</t>
  </si>
  <si>
    <t>121-2025-05-31</t>
  </si>
  <si>
    <t>110.06</t>
  </si>
  <si>
    <t>110.06%</t>
  </si>
  <si>
    <t>121-2025-06-30</t>
  </si>
  <si>
    <t>112.24</t>
  </si>
  <si>
    <t>112.24%</t>
  </si>
  <si>
    <t>121-2025-07-31</t>
  </si>
  <si>
    <t>100.68</t>
  </si>
  <si>
    <t>100.68%</t>
  </si>
  <si>
    <t>121-2025-08-31</t>
  </si>
  <si>
    <t>107.27</t>
  </si>
  <si>
    <t>107.27%</t>
  </si>
  <si>
    <t>121-2025-10-31</t>
  </si>
  <si>
    <t>106.53</t>
  </si>
  <si>
    <t>106.53%</t>
  </si>
  <si>
    <t>121-2025-11-30</t>
  </si>
  <si>
    <t>104.92</t>
  </si>
  <si>
    <t>104.92%</t>
  </si>
  <si>
    <t>121-2025-12-31</t>
  </si>
  <si>
    <t>98.65</t>
  </si>
  <si>
    <t>98.65%</t>
  </si>
  <si>
    <t>2026-1</t>
  </si>
  <si>
    <t>121-2026-01-31</t>
  </si>
  <si>
    <t>122</t>
  </si>
  <si>
    <t>Eficacia en la solicitud documental- por periodo</t>
  </si>
  <si>
    <t>122-2023-02-28</t>
  </si>
  <si>
    <t>122-2023-04-30</t>
  </si>
  <si>
    <t>122-2023-06-30</t>
  </si>
  <si>
    <t>122-2023-08-31</t>
  </si>
  <si>
    <t>122-2023-10-31</t>
  </si>
  <si>
    <t>122-2023-12-31</t>
  </si>
  <si>
    <t>122-2024-02-29</t>
  </si>
  <si>
    <t>122-2024-04-30</t>
  </si>
  <si>
    <t>122-2024-06-30</t>
  </si>
  <si>
    <t>122-2024-08-31</t>
  </si>
  <si>
    <t>122-2024-10-31</t>
  </si>
  <si>
    <t>122-2024-12-31</t>
  </si>
  <si>
    <t>N/A</t>
  </si>
  <si>
    <t>122-2025-01-31</t>
  </si>
  <si>
    <t>122-2025-02-28</t>
  </si>
  <si>
    <t>122-2025-03-31</t>
  </si>
  <si>
    <t>122-2025-04-30</t>
  </si>
  <si>
    <t>122-2025-05-31</t>
  </si>
  <si>
    <t>43.48</t>
  </si>
  <si>
    <t>43.48%</t>
  </si>
  <si>
    <t>122-2025-06-30</t>
  </si>
  <si>
    <t>78.26</t>
  </si>
  <si>
    <t>78.26%</t>
  </si>
  <si>
    <t>122-2025-07-31</t>
  </si>
  <si>
    <t>57.89</t>
  </si>
  <si>
    <t>57.89%</t>
  </si>
  <si>
    <t>122-2025-08-31</t>
  </si>
  <si>
    <t>88.89</t>
  </si>
  <si>
    <t>88.89%</t>
  </si>
  <si>
    <t>122-2025-10-31</t>
  </si>
  <si>
    <t>122-2025-11-30</t>
  </si>
  <si>
    <t>122-2025-12-31</t>
  </si>
  <si>
    <t>122-2026-01-31</t>
  </si>
  <si>
    <t>124</t>
  </si>
  <si>
    <t>Indice de Frecuencia de accidentalidad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</si>
  <si>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</si>
  <si>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</si>
  <si>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</si>
  <si>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</si>
  <si>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</si>
  <si>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</si>
  <si>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</si>
  <si>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</si>
  <si>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</si>
  <si>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</si>
  <si>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</si>
  <si>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124-2022-12-31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</si>
  <si>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</si>
  <si>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</si>
  <si>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</si>
  <si>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</si>
  <si>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</si>
  <si>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</si>
  <si>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</si>
  <si>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</si>
  <si>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</si>
  <si>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</si>
  <si>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</si>
  <si>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124-2023-12-31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</si>
  <si>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</si>
  <si>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</si>
  <si>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</si>
  <si>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</si>
  <si>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</si>
  <si>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</si>
  <si>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</si>
  <si>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</si>
  <si>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</si>
  <si>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</si>
  <si>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</si>
  <si>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124-2024-12-31</t>
  </si>
  <si>
    <t>0.09115770282588878</t>
  </si>
  <si>
    <t>0.2%</t>
  </si>
  <si>
    <t>0.09%</t>
  </si>
  <si>
    <t>124-2025-01-31</t>
  </si>
  <si>
    <t>124-2025-02-28</t>
  </si>
  <si>
    <t>0.06</t>
  </si>
  <si>
    <t>0.06%</t>
  </si>
  <si>
    <t>124-2025-03-31</t>
  </si>
  <si>
    <t>124-2025-04-30</t>
  </si>
  <si>
    <t>124-2025-05-31</t>
  </si>
  <si>
    <t>124-2025-06-30</t>
  </si>
  <si>
    <t>0.08</t>
  </si>
  <si>
    <t>0.08%</t>
  </si>
  <si>
    <t>124-2025-07-31</t>
  </si>
  <si>
    <t>124-2025-08-31</t>
  </si>
  <si>
    <t>124-2025-10-31</t>
  </si>
  <si>
    <t>124-2025-11-30</t>
  </si>
  <si>
    <t>124-2025-12-31</t>
  </si>
  <si>
    <t>1.6%</t>
  </si>
  <si>
    <t>124-2026-01-31</t>
  </si>
  <si>
    <t>125</t>
  </si>
  <si>
    <t>Indice de severidad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</si>
  <si>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</si>
  <si>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</si>
  <si>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</si>
  <si>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</si>
  <si>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</si>
  <si>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</si>
  <si>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</si>
  <si>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</si>
  <si>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</si>
  <si>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</si>
  <si>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</si>
  <si>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125-2022-12-31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</si>
  <si>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</si>
  <si>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</si>
  <si>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</si>
  <si>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</si>
  <si>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</si>
  <si>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</si>
  <si>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</si>
  <si>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</si>
  <si>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</si>
  <si>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</si>
  <si>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</si>
  <si>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125-2023-12-31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</si>
  <si>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</si>
  <si>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</si>
  <si>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</si>
  <si>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</si>
  <si>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</si>
  <si>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</si>
  <si>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</si>
  <si>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</si>
  <si>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</si>
  <si>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</si>
  <si>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</si>
  <si>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125-2024-12-31</t>
  </si>
  <si>
    <t>0.2734731084776664</t>
  </si>
  <si>
    <t>1.9%</t>
  </si>
  <si>
    <t>0.27%</t>
  </si>
  <si>
    <t>125-2025-01-31</t>
  </si>
  <si>
    <t>125-2025-02-28</t>
  </si>
  <si>
    <t>0.45</t>
  </si>
  <si>
    <t>0.45%</t>
  </si>
  <si>
    <t>125-2025-03-31</t>
  </si>
  <si>
    <t>125-2025-04-30</t>
  </si>
  <si>
    <t>0.24</t>
  </si>
  <si>
    <t>0.24%</t>
  </si>
  <si>
    <t>125-2025-05-31</t>
  </si>
  <si>
    <t>125-2025-06-30</t>
  </si>
  <si>
    <t>0.25</t>
  </si>
  <si>
    <t>0.25%</t>
  </si>
  <si>
    <t>125-2025-07-31</t>
  </si>
  <si>
    <t>125-2025-08-31</t>
  </si>
  <si>
    <t>125-2025-10-31</t>
  </si>
  <si>
    <t>125-2025-11-30</t>
  </si>
  <si>
    <t>125-2025-12-31</t>
  </si>
  <si>
    <t>4.7%</t>
  </si>
  <si>
    <t>125-2026-01-31</t>
  </si>
  <si>
    <t>126</t>
  </si>
  <si>
    <t>Indice de Prevalencia EL Enfermedad laboral</t>
  </si>
  <si>
    <t>126-2022-12-31</t>
  </si>
  <si>
    <t>126-2023-12-31</t>
  </si>
  <si>
    <t>126-2024-12-31</t>
  </si>
  <si>
    <t>0.16</t>
  </si>
  <si>
    <t>2.0%</t>
  </si>
  <si>
    <t>0.16%</t>
  </si>
  <si>
    <t>126-2025-12-31</t>
  </si>
  <si>
    <t>127</t>
  </si>
  <si>
    <t>Indice de Incidencia EL Enfermedad laboral</t>
  </si>
  <si>
    <t>127-2022-12-31</t>
  </si>
  <si>
    <t>127-2023-12-31</t>
  </si>
  <si>
    <t>127-2024-12-31</t>
  </si>
  <si>
    <t>127-2025-12-31</t>
  </si>
  <si>
    <t>128</t>
  </si>
  <si>
    <t>Ausentísmo por causa médica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</si>
  <si>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</si>
  <si>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</si>
  <si>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</si>
  <si>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</si>
  <si>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</si>
  <si>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</si>
  <si>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</si>
  <si>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</si>
  <si>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</si>
  <si>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</si>
  <si>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</si>
  <si>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128-2022-12-31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</si>
  <si>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</si>
  <si>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</si>
  <si>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</si>
  <si>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</si>
  <si>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</si>
  <si>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</si>
  <si>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</si>
  <si>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</si>
  <si>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</si>
  <si>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</si>
  <si>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</si>
  <si>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128-2023-12-31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</si>
  <si>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</si>
  <si>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</si>
  <si>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</si>
  <si>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</si>
  <si>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</si>
  <si>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</si>
  <si>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</si>
  <si>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</si>
  <si>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</si>
  <si>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</si>
  <si>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</si>
  <si>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128-2024-12-31</t>
  </si>
  <si>
    <t>0.86</t>
  </si>
  <si>
    <t>1.0%</t>
  </si>
  <si>
    <t>0.86%</t>
  </si>
  <si>
    <t>128-2025-01-31</t>
  </si>
  <si>
    <t>0.99</t>
  </si>
  <si>
    <t>0.99%</t>
  </si>
  <si>
    <t>128-2025-02-28</t>
  </si>
  <si>
    <t>0.96</t>
  </si>
  <si>
    <t>0.96%</t>
  </si>
  <si>
    <t>128-2025-03-31</t>
  </si>
  <si>
    <t>0.94</t>
  </si>
  <si>
    <t>0.94%</t>
  </si>
  <si>
    <t>128-2025-04-30</t>
  </si>
  <si>
    <t>0.88</t>
  </si>
  <si>
    <t>0.88%</t>
  </si>
  <si>
    <t>128-2025-05-31</t>
  </si>
  <si>
    <t>0.97</t>
  </si>
  <si>
    <t>0.97%</t>
  </si>
  <si>
    <t>128-2025-06-30</t>
  </si>
  <si>
    <t>0.98</t>
  </si>
  <si>
    <t>0.98%</t>
  </si>
  <si>
    <t>128-2025-07-31</t>
  </si>
  <si>
    <t>128-2025-08-31</t>
  </si>
  <si>
    <t>0.69</t>
  </si>
  <si>
    <t>0.69%</t>
  </si>
  <si>
    <t>128-2025-10-31</t>
  </si>
  <si>
    <t>0.95</t>
  </si>
  <si>
    <t>0.95%</t>
  </si>
  <si>
    <t>128-2025-11-30</t>
  </si>
  <si>
    <t>128-2025-12-31</t>
  </si>
  <si>
    <t>128-2026-01-31</t>
  </si>
  <si>
    <t>13</t>
  </si>
  <si>
    <t>Diseño del Modelo de Experiencia Institucional - Fase 2</t>
  </si>
  <si>
    <t>Experiencia institucional</t>
  </si>
  <si>
    <t>13-2023-06-30</t>
  </si>
  <si>
    <t>13-2023-07-31</t>
  </si>
  <si>
    <t>13-2023-08-31</t>
  </si>
  <si>
    <t>13-2023-09-30</t>
  </si>
  <si>
    <t>13-2023-10-31</t>
  </si>
  <si>
    <t>13-2023-11-30</t>
  </si>
  <si>
    <t>13-2023-12-31</t>
  </si>
  <si>
    <t>13-2024-01-31</t>
  </si>
  <si>
    <t>13.1</t>
  </si>
  <si>
    <t>Diseño del Modelo de Experiencia Institucional - Fase 1</t>
  </si>
  <si>
    <t>13.1-2022-12-31</t>
  </si>
  <si>
    <t>13.1-2023-06-30</t>
  </si>
  <si>
    <t>133</t>
  </si>
  <si>
    <t>VISIBILIDAD NACIONAL E INTERNACIONAL</t>
  </si>
  <si>
    <t>133-2022-10-31</t>
  </si>
  <si>
    <t>133-2023-12-31</t>
  </si>
  <si>
    <t>133-2024-12-31</t>
  </si>
  <si>
    <t>96</t>
  </si>
  <si>
    <t>96.0%</t>
  </si>
  <si>
    <t>133-2025-10-31</t>
  </si>
  <si>
    <t>136</t>
  </si>
  <si>
    <t>Ejecución de actividades culturales</t>
  </si>
  <si>
    <t>Biblioteca Institucional</t>
  </si>
  <si>
    <t>136-2023-06-30</t>
  </si>
  <si>
    <t>136-2023-12-31</t>
  </si>
  <si>
    <t>136-2024-06-30</t>
  </si>
  <si>
    <t>137</t>
  </si>
  <si>
    <t>Ejecución de Talleres de formación</t>
  </si>
  <si>
    <t>137-2023-03-31</t>
  </si>
  <si>
    <t>137-2023-06-30</t>
  </si>
  <si>
    <t>137-2023-09-30</t>
  </si>
  <si>
    <t>137-2023-12-31</t>
  </si>
  <si>
    <t>137-2024-06-30</t>
  </si>
  <si>
    <t>139</t>
  </si>
  <si>
    <t>Ejecución presupuestal del gasto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</si>
  <si>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</si>
  <si>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</si>
  <si>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</si>
  <si>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</si>
  <si>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</si>
  <si>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</si>
  <si>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</si>
  <si>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</si>
  <si>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</si>
  <si>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</si>
  <si>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</si>
  <si>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139-2023-12-31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</si>
  <si>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</si>
  <si>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</si>
  <si>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</si>
  <si>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</si>
  <si>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</si>
  <si>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</si>
  <si>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139-2024-07-31</t>
  </si>
  <si>
    <t>139-2024-08-31</t>
  </si>
  <si>
    <t>139-2024-09-30</t>
  </si>
  <si>
    <t>139-2024-10-31</t>
  </si>
  <si>
    <t>139-2024-11-30</t>
  </si>
  <si>
    <t>139-2024-12-31</t>
  </si>
  <si>
    <t>139-2025-01-31</t>
  </si>
  <si>
    <t>139-2025-02-28</t>
  </si>
  <si>
    <t>139-2025-03-31</t>
  </si>
  <si>
    <t>139-2025-04-30</t>
  </si>
  <si>
    <t>139-2025-05-31</t>
  </si>
  <si>
    <t>139-2025-06-30</t>
  </si>
  <si>
    <t>14</t>
  </si>
  <si>
    <t>Total Población</t>
  </si>
  <si>
    <t>Servicio</t>
  </si>
  <si>
    <t>Expansión</t>
  </si>
  <si>
    <t>14-2022-06-30</t>
  </si>
  <si>
    <t>14-2022-12-31</t>
  </si>
  <si>
    <t>14-2023-06-30</t>
  </si>
  <si>
    <t>14-2023-12-31</t>
  </si>
  <si>
    <t>14-2024-06-30</t>
  </si>
  <si>
    <t>14-2024-12-31</t>
  </si>
  <si>
    <t>14.1</t>
  </si>
  <si>
    <t>Estudiantes Presencial</t>
  </si>
  <si>
    <t>14.1-2022-06-30</t>
  </si>
  <si>
    <t>14.1-2022-12-31</t>
  </si>
  <si>
    <t>14.1-2023-06-30</t>
  </si>
  <si>
    <t>Permanencia</t>
  </si>
  <si>
    <t>14.1-2023-12-31</t>
  </si>
  <si>
    <t>14.1-2024-06-30</t>
  </si>
  <si>
    <t>14.1-2024-12-31</t>
  </si>
  <si>
    <t>14.2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</si>
  <si>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</si>
  <si>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</si>
  <si>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</si>
  <si>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</si>
  <si>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</si>
  <si>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</si>
  <si>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14.2-2024-12-31</t>
  </si>
  <si>
    <t>14.3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</si>
  <si>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</si>
  <si>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</si>
  <si>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</si>
  <si>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</si>
  <si>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</si>
  <si>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</si>
  <si>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14.3-2024-12-31</t>
  </si>
  <si>
    <t>14.4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</si>
  <si>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</si>
  <si>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</si>
  <si>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</si>
  <si>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</si>
  <si>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</si>
  <si>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</si>
  <si>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14.4-2024-12-31</t>
  </si>
  <si>
    <t>143</t>
  </si>
  <si>
    <t>Proyectos de investigación e innovación</t>
  </si>
  <si>
    <t>Investigación, desarrollo tecnológico, innovación y creación</t>
  </si>
  <si>
    <t>Metrica</t>
  </si>
  <si>
    <t>143-2023-06-30</t>
  </si>
  <si>
    <t>143-2023-12-31</t>
  </si>
  <si>
    <t>143-2024-06-30</t>
  </si>
  <si>
    <t>143-2024-12-31</t>
  </si>
  <si>
    <t>Proyectos de investigación e innovación- Metrica</t>
  </si>
  <si>
    <t>159</t>
  </si>
  <si>
    <t>159.0%</t>
  </si>
  <si>
    <t>143-2025-06-30</t>
  </si>
  <si>
    <t>191</t>
  </si>
  <si>
    <t>191.0%</t>
  </si>
  <si>
    <t>143-2025-12-31</t>
  </si>
  <si>
    <t>144</t>
  </si>
  <si>
    <t>Productos de investigación</t>
  </si>
  <si>
    <t>144-2023-12-31</t>
  </si>
  <si>
    <t>144-2024-12-31</t>
  </si>
  <si>
    <t>1.95</t>
  </si>
  <si>
    <t>4.0%</t>
  </si>
  <si>
    <t>1.95%</t>
  </si>
  <si>
    <t>144-2025-12-31</t>
  </si>
  <si>
    <t>145</t>
  </si>
  <si>
    <t>Semilleros de Investigación, Innovación y Creación</t>
  </si>
  <si>
    <t>145-2023-06-30</t>
  </si>
  <si>
    <t>145-2023-12-31</t>
  </si>
  <si>
    <t>145-2024-06-30</t>
  </si>
  <si>
    <t>145-2024-12-31</t>
  </si>
  <si>
    <t>1.74</t>
  </si>
  <si>
    <t>1.74%</t>
  </si>
  <si>
    <t>145-2025-06-30</t>
  </si>
  <si>
    <t>1.62</t>
  </si>
  <si>
    <t>1.62%</t>
  </si>
  <si>
    <t>145-2025-12-31</t>
  </si>
  <si>
    <t>146</t>
  </si>
  <si>
    <t>Docentes vinculados a investigación</t>
  </si>
  <si>
    <t>146-2023-06-30</t>
  </si>
  <si>
    <t>146-2023-12-31</t>
  </si>
  <si>
    <t>146-2024-06-30</t>
  </si>
  <si>
    <t>146-2024-12-31</t>
  </si>
  <si>
    <t>107</t>
  </si>
  <si>
    <t>107.0%</t>
  </si>
  <si>
    <t>146-2025-06-30</t>
  </si>
  <si>
    <t>133.0%</t>
  </si>
  <si>
    <t>146-2025-12-31</t>
  </si>
  <si>
    <t>147</t>
  </si>
  <si>
    <t>Grupos de investigación categorizados</t>
  </si>
  <si>
    <t>147-2023-12-31</t>
  </si>
  <si>
    <t>147-2024-12-31</t>
  </si>
  <si>
    <t>16</t>
  </si>
  <si>
    <t>16.0%</t>
  </si>
  <si>
    <t>147-2025-12-31</t>
  </si>
  <si>
    <t>148</t>
  </si>
  <si>
    <t>% Estudiantes vinculados a investigación</t>
  </si>
  <si>
    <t>148-2022-12-31</t>
  </si>
  <si>
    <t>148-2023-06-30</t>
  </si>
  <si>
    <t>148-2023-12-31</t>
  </si>
  <si>
    <t>148-2024-06-30</t>
  </si>
  <si>
    <t>Estudiantes vinculados a investigación</t>
  </si>
  <si>
    <t>148-2024-12-31</t>
  </si>
  <si>
    <t>4.08</t>
  </si>
  <si>
    <t>4.08%</t>
  </si>
  <si>
    <t>148-2025-06-30</t>
  </si>
  <si>
    <t>6.78</t>
  </si>
  <si>
    <t>5.0%</t>
  </si>
  <si>
    <t>6.78%</t>
  </si>
  <si>
    <t>148-2025-12-31</t>
  </si>
  <si>
    <t>150</t>
  </si>
  <si>
    <t>Investigación, desarrollo tecnológico e innovación</t>
  </si>
  <si>
    <t>150-2022-10-31</t>
  </si>
  <si>
    <t>INVESTIGACIÓN, INNOVACIÓN Y CREACIÓN</t>
  </si>
  <si>
    <t>150-2023-10-31</t>
  </si>
  <si>
    <t>150-2023-12-31</t>
  </si>
  <si>
    <t>150-2024-12-31</t>
  </si>
  <si>
    <t>151</t>
  </si>
  <si>
    <t>151-2023-10-31</t>
  </si>
  <si>
    <t>151-2023-12-31</t>
  </si>
  <si>
    <t>151-2024-12-31</t>
  </si>
  <si>
    <t>95</t>
  </si>
  <si>
    <t>95.0%</t>
  </si>
  <si>
    <t>151-2025-10-31</t>
  </si>
  <si>
    <t>157</t>
  </si>
  <si>
    <t>Indexación de bases de datos o SIRES</t>
  </si>
  <si>
    <t>Editorial y Publicaciones</t>
  </si>
  <si>
    <t>157-2023-06-30</t>
  </si>
  <si>
    <t>157-2023-12-31</t>
  </si>
  <si>
    <t>157-2024-12-31</t>
  </si>
  <si>
    <t>159-2023-06-30</t>
  </si>
  <si>
    <t>159-2023-12-31</t>
  </si>
  <si>
    <t>159-2024-06-30</t>
  </si>
  <si>
    <t>159-2024-12-31</t>
  </si>
  <si>
    <t>159-2025-06-30</t>
  </si>
  <si>
    <t>159-2025-12-31</t>
  </si>
  <si>
    <t>167</t>
  </si>
  <si>
    <t>Satisfacción actividades plan de bienestar</t>
  </si>
  <si>
    <t>167-2023-06-30</t>
  </si>
  <si>
    <t>167-2023-12-31</t>
  </si>
  <si>
    <t>167-2024-06-30</t>
  </si>
  <si>
    <t>167-2024-12-31</t>
  </si>
  <si>
    <t>93.63</t>
  </si>
  <si>
    <t>93.63%</t>
  </si>
  <si>
    <t>167-2025-06-30</t>
  </si>
  <si>
    <t>167-2025-12-31</t>
  </si>
  <si>
    <t>171</t>
  </si>
  <si>
    <t>ANS documentos operativos</t>
  </si>
  <si>
    <t>171-2023-02-28</t>
  </si>
  <si>
    <t>171-2023-04-30</t>
  </si>
  <si>
    <t>171-2023-06-30</t>
  </si>
  <si>
    <t>172</t>
  </si>
  <si>
    <t>Cumplimiento plan operativo del SGC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</si>
  <si>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</si>
  <si>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</si>
  <si>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</si>
  <si>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</si>
  <si>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</si>
  <si>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</si>
  <si>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172-2022-12-31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</si>
  <si>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</si>
  <si>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</si>
  <si>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</si>
  <si>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</si>
  <si>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</si>
  <si>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</si>
  <si>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</si>
  <si>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</si>
  <si>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</si>
  <si>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172-2023-12-31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</si>
  <si>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</si>
  <si>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</si>
  <si>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</si>
  <si>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</si>
  <si>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</si>
  <si>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</si>
  <si>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</si>
  <si>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</si>
  <si>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</si>
  <si>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</si>
  <si>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</si>
  <si>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172-2024-12-31</t>
  </si>
  <si>
    <t>80</t>
  </si>
  <si>
    <t>172-2025-01-31</t>
  </si>
  <si>
    <t>172-2025-02-28</t>
  </si>
  <si>
    <t>83.33</t>
  </si>
  <si>
    <t>83.33%</t>
  </si>
  <si>
    <t>172-2025-03-31</t>
  </si>
  <si>
    <t>172-2025-04-30</t>
  </si>
  <si>
    <t>95.65</t>
  </si>
  <si>
    <t>95.65%</t>
  </si>
  <si>
    <t>172-2025-05-31</t>
  </si>
  <si>
    <t>81.82</t>
  </si>
  <si>
    <t>81.82%</t>
  </si>
  <si>
    <t>172-2025-06-30</t>
  </si>
  <si>
    <t>91.43</t>
  </si>
  <si>
    <t>91.43%</t>
  </si>
  <si>
    <t>172-2025-07-31</t>
  </si>
  <si>
    <t>86.36</t>
  </si>
  <si>
    <t>86.36%</t>
  </si>
  <si>
    <t>172-2025-08-31</t>
  </si>
  <si>
    <t>172-2025-09-30</t>
  </si>
  <si>
    <t>98.21</t>
  </si>
  <si>
    <t>98.21%</t>
  </si>
  <si>
    <t>172-2025-10-31</t>
  </si>
  <si>
    <t>96.77</t>
  </si>
  <si>
    <t>96.77%</t>
  </si>
  <si>
    <t>172-2025-11-30</t>
  </si>
  <si>
    <t>98.44</t>
  </si>
  <si>
    <t>98.44%</t>
  </si>
  <si>
    <t>172-2025-12-31</t>
  </si>
  <si>
    <t>172-2026-01-31</t>
  </si>
  <si>
    <t>174</t>
  </si>
  <si>
    <t>Cumplimiento Plan de Formación SGC</t>
  </si>
  <si>
    <t>174-2023-06-30</t>
  </si>
  <si>
    <t>174-2023-12-31</t>
  </si>
  <si>
    <t>174-2024-06-30</t>
  </si>
  <si>
    <t>174-2024-12-31</t>
  </si>
  <si>
    <t>176</t>
  </si>
  <si>
    <t>Cumplimiento Planes de Mejora</t>
  </si>
  <si>
    <t>176-2023-01-31</t>
  </si>
  <si>
    <t>176-2023-02-28</t>
  </si>
  <si>
    <t>176-2023-03-31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</si>
  <si>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</si>
  <si>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</si>
  <si>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</si>
  <si>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</si>
  <si>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</si>
  <si>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</si>
  <si>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</si>
  <si>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</si>
  <si>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176-2023-12-31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</si>
  <si>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</si>
  <si>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</si>
  <si>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</si>
  <si>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</si>
  <si>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</si>
  <si>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</si>
  <si>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</si>
  <si>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</si>
  <si>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</si>
  <si>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</si>
  <si>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176-2024-10-31</t>
  </si>
  <si>
    <t>176-2024-11-30</t>
  </si>
  <si>
    <t>176-2024-12-31</t>
  </si>
  <si>
    <t>193</t>
  </si>
  <si>
    <t>Mejorar flujo de atención en todos los niveles de servicio al estudiante (ANS)</t>
  </si>
  <si>
    <t>193-2022-06-30</t>
  </si>
  <si>
    <t>193-2022-12-31</t>
  </si>
  <si>
    <t>193-2023-06-30</t>
  </si>
  <si>
    <t>193-2023-12-31</t>
  </si>
  <si>
    <t>193-2024-06-30</t>
  </si>
  <si>
    <t>193-2024-12-31</t>
  </si>
  <si>
    <t>Porcentaje de Cumplimiento del Acuerdo de Nivel de Servicio (ANS)</t>
  </si>
  <si>
    <t>96.21</t>
  </si>
  <si>
    <t>93.0%</t>
  </si>
  <si>
    <t>96.21%</t>
  </si>
  <si>
    <t>193-2025-06-30</t>
  </si>
  <si>
    <t>193-2025-12-31</t>
  </si>
  <si>
    <t>194</t>
  </si>
  <si>
    <t>Índice de satisfacción del estudiante (SSI)</t>
  </si>
  <si>
    <t>194-2022-06-30</t>
  </si>
  <si>
    <t>194-2022-12-31</t>
  </si>
  <si>
    <t>194-2023-06-30</t>
  </si>
  <si>
    <t>194-2023-12-31</t>
  </si>
  <si>
    <t>194-2024-06-30</t>
  </si>
  <si>
    <t>194-2024-12-31</t>
  </si>
  <si>
    <t>194-2025-06-30</t>
  </si>
  <si>
    <t>195</t>
  </si>
  <si>
    <t>NPS- Net Promotor Score</t>
  </si>
  <si>
    <t>195-2022-06-30</t>
  </si>
  <si>
    <t>195-2022-12-31</t>
  </si>
  <si>
    <t>195-2023-06-30</t>
  </si>
  <si>
    <t>195-2023-12-31</t>
  </si>
  <si>
    <t>195-2025-06-30</t>
  </si>
  <si>
    <t>196</t>
  </si>
  <si>
    <t>(% de solicitudes procesos Pareto)</t>
  </si>
  <si>
    <t>196-2023-06-30</t>
  </si>
  <si>
    <t>196-2023-12-31</t>
  </si>
  <si>
    <t>197</t>
  </si>
  <si>
    <t>Cumplimiento cronograma Mantenimiento de Equipos</t>
  </si>
  <si>
    <t>197-2023-03-31</t>
  </si>
  <si>
    <t>197-2023-06-30</t>
  </si>
  <si>
    <t>197-2023-09-30</t>
  </si>
  <si>
    <t>197-2023-12-31</t>
  </si>
  <si>
    <t>197-2024-03-31</t>
  </si>
  <si>
    <t>197-2024-06-30</t>
  </si>
  <si>
    <t>197-2024-09-30</t>
  </si>
  <si>
    <t>197-2024-12-31</t>
  </si>
  <si>
    <t>97.0%</t>
  </si>
  <si>
    <t>197-2025-03-31</t>
  </si>
  <si>
    <t>96.43</t>
  </si>
  <si>
    <t>96.43%</t>
  </si>
  <si>
    <t>197-2025-06-30</t>
  </si>
  <si>
    <t>197-2025-12-31</t>
  </si>
  <si>
    <t>199</t>
  </si>
  <si>
    <t>Nivel de cumplimiento de eficacia las capacitaciones</t>
  </si>
  <si>
    <t>199-2023-06-30</t>
  </si>
  <si>
    <t>199-2023-12-31</t>
  </si>
  <si>
    <t>199-2024-06-30</t>
  </si>
  <si>
    <t>199-2024-12-31</t>
  </si>
  <si>
    <t>92.1</t>
  </si>
  <si>
    <t>92.1%</t>
  </si>
  <si>
    <t>199-2025-06-30</t>
  </si>
  <si>
    <t>92.89</t>
  </si>
  <si>
    <t>92.89%</t>
  </si>
  <si>
    <t>199-2025-12-31</t>
  </si>
  <si>
    <t>2</t>
  </si>
  <si>
    <t>Plan Talento</t>
  </si>
  <si>
    <t>2-2022-06-30</t>
  </si>
  <si>
    <t>2-2022-12-31</t>
  </si>
  <si>
    <t>2-2023-01-31</t>
  </si>
  <si>
    <t>2-2023-02-28</t>
  </si>
  <si>
    <t>2-2023-03-31</t>
  </si>
  <si>
    <t>2-2023-04-30</t>
  </si>
  <si>
    <t>2-2023-05-31</t>
  </si>
  <si>
    <t>2-2023-06-30</t>
  </si>
  <si>
    <t>2-2023-07-31</t>
  </si>
  <si>
    <t>2-2023-08-31</t>
  </si>
  <si>
    <t>2-2023-09-30</t>
  </si>
  <si>
    <t>2-2023-10-31</t>
  </si>
  <si>
    <t>2-2023-11-30</t>
  </si>
  <si>
    <t>2-2023-12-31</t>
  </si>
  <si>
    <t>200</t>
  </si>
  <si>
    <t>Nivel de efectividad de las capacitaciones</t>
  </si>
  <si>
    <t>Linea Base</t>
  </si>
  <si>
    <t>200-2023-12-31</t>
  </si>
  <si>
    <t>200-2024-12-31</t>
  </si>
  <si>
    <t>90.85</t>
  </si>
  <si>
    <t>87.0%</t>
  </si>
  <si>
    <t>90.85%</t>
  </si>
  <si>
    <t>200-2025-12-31</t>
  </si>
  <si>
    <t>202</t>
  </si>
  <si>
    <t>Great Place to Work</t>
  </si>
  <si>
    <t>202-2023-12-31</t>
  </si>
  <si>
    <t>202-2024-12-31</t>
  </si>
  <si>
    <t>81</t>
  </si>
  <si>
    <t>68.7%</t>
  </si>
  <si>
    <t>81.0%</t>
  </si>
  <si>
    <t>202-2025-12-31</t>
  </si>
  <si>
    <t>203</t>
  </si>
  <si>
    <t>Cumplimiento de Ingresos</t>
  </si>
  <si>
    <t>203-2022-06-30</t>
  </si>
  <si>
    <t>203-2022-12-31</t>
  </si>
  <si>
    <t>203-2023-06-30</t>
  </si>
  <si>
    <t>203-2023-12-31</t>
  </si>
  <si>
    <t>203-2024-06-30</t>
  </si>
  <si>
    <t>203-2024-12-31</t>
  </si>
  <si>
    <t>111.77</t>
  </si>
  <si>
    <t>111.77%</t>
  </si>
  <si>
    <t>203-2025-06-30</t>
  </si>
  <si>
    <t>111.33</t>
  </si>
  <si>
    <t>111.33%</t>
  </si>
  <si>
    <t>203-2025-12-31</t>
  </si>
  <si>
    <t>204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</si>
  <si>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</si>
  <si>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</si>
  <si>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</si>
  <si>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</si>
  <si>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</si>
  <si>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</si>
  <si>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</si>
  <si>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86.89</t>
  </si>
  <si>
    <t>86.89%</t>
  </si>
  <si>
    <t>204-2025-06-30</t>
  </si>
  <si>
    <t>152.24</t>
  </si>
  <si>
    <t>152.24%</t>
  </si>
  <si>
    <t>204-2025-12-31</t>
  </si>
  <si>
    <t>205</t>
  </si>
  <si>
    <t>Utilidad Neta</t>
  </si>
  <si>
    <t>205-2022-12-31</t>
  </si>
  <si>
    <t>205-2023-06-30</t>
  </si>
  <si>
    <t>205-2023-12-31</t>
  </si>
  <si>
    <t>205-2024-06-30</t>
  </si>
  <si>
    <t>205-2024-12-31</t>
  </si>
  <si>
    <t>186.31</t>
  </si>
  <si>
    <t>186.31%</t>
  </si>
  <si>
    <t>205-2025-06-30</t>
  </si>
  <si>
    <t>123.05</t>
  </si>
  <si>
    <t>123.05%</t>
  </si>
  <si>
    <t>205-2025-12-31</t>
  </si>
  <si>
    <t>206</t>
  </si>
  <si>
    <t>Inversión en CAPEX de la utilidad anterior</t>
  </si>
  <si>
    <t>206-2023-06-30</t>
  </si>
  <si>
    <t>206-2023-12-31</t>
  </si>
  <si>
    <t>206-2024-12-31</t>
  </si>
  <si>
    <t>2.14</t>
  </si>
  <si>
    <t>206-2025-12-31</t>
  </si>
  <si>
    <t>207</t>
  </si>
  <si>
    <t>Nivel de Cumplimiento Opex</t>
  </si>
  <si>
    <t>207-2023-06-30</t>
  </si>
  <si>
    <t>207-2023-12-31</t>
  </si>
  <si>
    <t>207-2024-06-30</t>
  </si>
  <si>
    <t>207-2024-12-31</t>
  </si>
  <si>
    <t>110.9</t>
  </si>
  <si>
    <t>110.9%</t>
  </si>
  <si>
    <t>207-2025-06-30</t>
  </si>
  <si>
    <t>110.62</t>
  </si>
  <si>
    <t>110.62%</t>
  </si>
  <si>
    <t>207-2025-12-31</t>
  </si>
  <si>
    <t>208</t>
  </si>
  <si>
    <t>Consumo de Agua m3 Mensual</t>
  </si>
  <si>
    <t>m3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</si>
  <si>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</si>
  <si>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</si>
  <si>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</si>
  <si>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</si>
  <si>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</si>
  <si>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</si>
  <si>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</si>
  <si>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</si>
  <si>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</si>
  <si>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</si>
  <si>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</si>
  <si>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208-2023-12-31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</si>
  <si>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</si>
  <si>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</si>
  <si>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</si>
  <si>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</si>
  <si>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</si>
  <si>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</si>
  <si>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</si>
  <si>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</si>
  <si>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</si>
  <si>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</si>
  <si>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</si>
  <si>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208-2024-12-31</t>
  </si>
  <si>
    <t>800</t>
  </si>
  <si>
    <t>800.0%</t>
  </si>
  <si>
    <t>208-2025-01-31</t>
  </si>
  <si>
    <t>1123</t>
  </si>
  <si>
    <t>1123.0%</t>
  </si>
  <si>
    <t>208-2025-02-28</t>
  </si>
  <si>
    <t>1309.5</t>
  </si>
  <si>
    <t>1309.5%</t>
  </si>
  <si>
    <t>208-2025-03-31</t>
  </si>
  <si>
    <t>1271</t>
  </si>
  <si>
    <t>1271.0%</t>
  </si>
  <si>
    <t>208-2025-04-30</t>
  </si>
  <si>
    <t>1440.5</t>
  </si>
  <si>
    <t>1440.5%</t>
  </si>
  <si>
    <t>208-2025-05-31</t>
  </si>
  <si>
    <t>1408.5</t>
  </si>
  <si>
    <t>1408.5%</t>
  </si>
  <si>
    <t>208-2025-06-30</t>
  </si>
  <si>
    <t>1043.5</t>
  </si>
  <si>
    <t>1043.5%</t>
  </si>
  <si>
    <t>208-2025-07-31</t>
  </si>
  <si>
    <t>1261</t>
  </si>
  <si>
    <t>1261.0%</t>
  </si>
  <si>
    <t>208-2025-08-31</t>
  </si>
  <si>
    <t>1260.5</t>
  </si>
  <si>
    <t>1260.5%</t>
  </si>
  <si>
    <t>208-2025-10-31</t>
  </si>
  <si>
    <t>1126</t>
  </si>
  <si>
    <t>1126.0%</t>
  </si>
  <si>
    <t>208-2025-11-30</t>
  </si>
  <si>
    <t>1059</t>
  </si>
  <si>
    <t>1059.0%</t>
  </si>
  <si>
    <t>208-2025-12-31</t>
  </si>
  <si>
    <t>208-2026-01-31</t>
  </si>
  <si>
    <t>210</t>
  </si>
  <si>
    <t>Aporte de los Procesos a los Objetivos de Desarrollo Sostenible</t>
  </si>
  <si>
    <t>210-2023-12-31</t>
  </si>
  <si>
    <t>213</t>
  </si>
  <si>
    <t>Cumplimiento del Plan Anual del Sistema de Gestión Ambiental</t>
  </si>
  <si>
    <t>213-2023-03-31</t>
  </si>
  <si>
    <t>213-2023-06-30</t>
  </si>
  <si>
    <t>213-2023-09-30</t>
  </si>
  <si>
    <t>213-2023-12-31</t>
  </si>
  <si>
    <t>213-2024-03-31</t>
  </si>
  <si>
    <t>213-2024-06-30</t>
  </si>
  <si>
    <t>213-2024-09-30</t>
  </si>
  <si>
    <t>213-2024-12-31</t>
  </si>
  <si>
    <t>213-2025-03-31</t>
  </si>
  <si>
    <t>94.63</t>
  </si>
  <si>
    <t>94.63%</t>
  </si>
  <si>
    <t>213-2025-06-30</t>
  </si>
  <si>
    <t>213-2025-12-31</t>
  </si>
  <si>
    <t>214</t>
  </si>
  <si>
    <t>Generación de Residuos Sólidos Mensual</t>
  </si>
  <si>
    <t>Kg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</si>
  <si>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</si>
  <si>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</si>
  <si>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</si>
  <si>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</si>
  <si>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</si>
  <si>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</si>
  <si>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</si>
  <si>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</si>
  <si>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</si>
  <si>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</si>
  <si>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</si>
  <si>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214-2023-12-31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</si>
  <si>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</si>
  <si>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</si>
  <si>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</si>
  <si>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</si>
  <si>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</si>
  <si>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</si>
  <si>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</si>
  <si>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</si>
  <si>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</si>
  <si>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</si>
  <si>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</si>
  <si>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214-2024-12-31</t>
  </si>
  <si>
    <t>2028.5</t>
  </si>
  <si>
    <t>7500.0%</t>
  </si>
  <si>
    <t>2028.5%</t>
  </si>
  <si>
    <t>214-2025-01-31</t>
  </si>
  <si>
    <t>5016.83</t>
  </si>
  <si>
    <t>5016.83%</t>
  </si>
  <si>
    <t>214-2025-02-28</t>
  </si>
  <si>
    <t>6477.26</t>
  </si>
  <si>
    <t>6477.26%</t>
  </si>
  <si>
    <t>214-2025-03-31</t>
  </si>
  <si>
    <t>5312.68</t>
  </si>
  <si>
    <t>5312.68%</t>
  </si>
  <si>
    <t>214-2025-04-30</t>
  </si>
  <si>
    <t>5498.47</t>
  </si>
  <si>
    <t>5498.47%</t>
  </si>
  <si>
    <t>214-2025-05-31</t>
  </si>
  <si>
    <t>2630.16</t>
  </si>
  <si>
    <t>2630.16%</t>
  </si>
  <si>
    <t>214-2025-06-30</t>
  </si>
  <si>
    <t>2457.38</t>
  </si>
  <si>
    <t>2457.38%</t>
  </si>
  <si>
    <t>214-2025-07-31</t>
  </si>
  <si>
    <t>5122.88</t>
  </si>
  <si>
    <t>5122.88%</t>
  </si>
  <si>
    <t>214-2025-08-31</t>
  </si>
  <si>
    <t>4008.57</t>
  </si>
  <si>
    <t>4008.57%</t>
  </si>
  <si>
    <t>214-2025-10-31</t>
  </si>
  <si>
    <t>5233.95</t>
  </si>
  <si>
    <t>5233.95%</t>
  </si>
  <si>
    <t>214-2025-11-30</t>
  </si>
  <si>
    <t>2169.54</t>
  </si>
  <si>
    <t>2169.54%</t>
  </si>
  <si>
    <t>214-2025-12-31</t>
  </si>
  <si>
    <t>214-2026-01-31</t>
  </si>
  <si>
    <t>215</t>
  </si>
  <si>
    <t>Disminución de la Generación de Residuos per Cápita</t>
  </si>
  <si>
    <t>215-2023-06-30</t>
  </si>
  <si>
    <t>215-2023-12-31</t>
  </si>
  <si>
    <t>215-2024-06-30</t>
  </si>
  <si>
    <t>215-2024-12-31</t>
  </si>
  <si>
    <t>-114.55</t>
  </si>
  <si>
    <t>-114.55%</t>
  </si>
  <si>
    <t>215-2025-06-30</t>
  </si>
  <si>
    <t>216</t>
  </si>
  <si>
    <t>Disposición Ambientalmente Adecuada de Residuos Peligrosos</t>
  </si>
  <si>
    <t>216-2023-12-31</t>
  </si>
  <si>
    <t>216-2024-12-31</t>
  </si>
  <si>
    <t>216-2025-12-31</t>
  </si>
  <si>
    <t>217</t>
  </si>
  <si>
    <t>Aprovechamiento de Residuos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</si>
  <si>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</si>
  <si>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</si>
  <si>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</si>
  <si>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</si>
  <si>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</si>
  <si>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</si>
  <si>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</si>
  <si>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</si>
  <si>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</si>
  <si>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</si>
  <si>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</si>
  <si>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217-2023-12-31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</si>
  <si>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</si>
  <si>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</si>
  <si>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</si>
  <si>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</si>
  <si>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</si>
  <si>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</si>
  <si>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</si>
  <si>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</si>
  <si>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</si>
  <si>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</si>
  <si>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</si>
  <si>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217-2024-12-31</t>
  </si>
  <si>
    <t>40.22</t>
  </si>
  <si>
    <t>20.0%</t>
  </si>
  <si>
    <t>40.22%</t>
  </si>
  <si>
    <t>217-2025-01-31</t>
  </si>
  <si>
    <t>27.43</t>
  </si>
  <si>
    <t>27.43%</t>
  </si>
  <si>
    <t>217-2025-02-28</t>
  </si>
  <si>
    <t>20.21</t>
  </si>
  <si>
    <t>20.21%</t>
  </si>
  <si>
    <t>217-2025-03-31</t>
  </si>
  <si>
    <t>27.83</t>
  </si>
  <si>
    <t>27.83%</t>
  </si>
  <si>
    <t>217-2025-04-30</t>
  </si>
  <si>
    <t>24.71</t>
  </si>
  <si>
    <t>24.71%</t>
  </si>
  <si>
    <t>217-2025-05-31</t>
  </si>
  <si>
    <t>26.13</t>
  </si>
  <si>
    <t>26.13%</t>
  </si>
  <si>
    <t>217-2025-06-30</t>
  </si>
  <si>
    <t>25.86</t>
  </si>
  <si>
    <t>25.86%</t>
  </si>
  <si>
    <t>217-2025-07-31</t>
  </si>
  <si>
    <t>14.6</t>
  </si>
  <si>
    <t>14.6%</t>
  </si>
  <si>
    <t>217-2025-08-31</t>
  </si>
  <si>
    <t>23.32</t>
  </si>
  <si>
    <t>23.32%</t>
  </si>
  <si>
    <t>217-2025-10-31</t>
  </si>
  <si>
    <t>217-2025-11-30</t>
  </si>
  <si>
    <t>217-2025-12-31</t>
  </si>
  <si>
    <t>218</t>
  </si>
  <si>
    <t>Consumo de Energía Eléctrica kWh Mensual</t>
  </si>
  <si>
    <t>kWh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</si>
  <si>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</si>
  <si>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</si>
  <si>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</si>
  <si>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</si>
  <si>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</si>
  <si>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</si>
  <si>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</si>
  <si>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</si>
  <si>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</si>
  <si>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</si>
  <si>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</si>
  <si>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218-2023-12-31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</si>
  <si>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</si>
  <si>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</si>
  <si>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</si>
  <si>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</si>
  <si>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</si>
  <si>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</si>
  <si>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</si>
  <si>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</si>
  <si>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</si>
  <si>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</si>
  <si>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</si>
  <si>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218-2024-12-31</t>
  </si>
  <si>
    <t>113367.97</t>
  </si>
  <si>
    <t>172000.0%</t>
  </si>
  <si>
    <t>113367.97%</t>
  </si>
  <si>
    <t>218-2025-01-31</t>
  </si>
  <si>
    <t>134763.39</t>
  </si>
  <si>
    <t>134763.39%</t>
  </si>
  <si>
    <t>218-2025-02-28</t>
  </si>
  <si>
    <t>156103.54</t>
  </si>
  <si>
    <t>156103.54%</t>
  </si>
  <si>
    <t>218-2025-03-31</t>
  </si>
  <si>
    <t>139469.85</t>
  </si>
  <si>
    <t>139469.85%</t>
  </si>
  <si>
    <t>218-2025-04-30</t>
  </si>
  <si>
    <t>146327.63</t>
  </si>
  <si>
    <t>146327.63%</t>
  </si>
  <si>
    <t>218-2025-05-31</t>
  </si>
  <si>
    <t>130528.88</t>
  </si>
  <si>
    <t>130528.88%</t>
  </si>
  <si>
    <t>218-2025-06-30</t>
  </si>
  <si>
    <t>126471.65</t>
  </si>
  <si>
    <t>126471.65%</t>
  </si>
  <si>
    <t>218-2025-07-31</t>
  </si>
  <si>
    <t>142618.62</t>
  </si>
  <si>
    <t>142618.62%</t>
  </si>
  <si>
    <t>218-2025-08-31</t>
  </si>
  <si>
    <t>150485.75</t>
  </si>
  <si>
    <t>150485.75%</t>
  </si>
  <si>
    <t>218-2025-10-31</t>
  </si>
  <si>
    <t>143419.75</t>
  </si>
  <si>
    <t>143419.75%</t>
  </si>
  <si>
    <t>218-2025-11-30</t>
  </si>
  <si>
    <t>123820.04</t>
  </si>
  <si>
    <t>123820.04%</t>
  </si>
  <si>
    <t>218-2025-12-31</t>
  </si>
  <si>
    <t>218-2026-01-31</t>
  </si>
  <si>
    <t>219</t>
  </si>
  <si>
    <t>Disminución del Consumo de Energía Eléctrica per Cápita</t>
  </si>
  <si>
    <t>219-2023-06-30</t>
  </si>
  <si>
    <t>219-2023-12-31</t>
  </si>
  <si>
    <t>219-2024-06-30</t>
  </si>
  <si>
    <t>219-2024-12-31</t>
  </si>
  <si>
    <t>18.43</t>
  </si>
  <si>
    <t>18.43%</t>
  </si>
  <si>
    <t>219-2025-06-30</t>
  </si>
  <si>
    <t>-18.28</t>
  </si>
  <si>
    <t>-18.28%</t>
  </si>
  <si>
    <t>219-2025-12-31</t>
  </si>
  <si>
    <t>220</t>
  </si>
  <si>
    <t>Disminución del Consumo de Agua per Cápita</t>
  </si>
  <si>
    <t>220-2023-06-30</t>
  </si>
  <si>
    <t>220-2023-12-31</t>
  </si>
  <si>
    <t>220-2024-06-30</t>
  </si>
  <si>
    <t>220-2024-12-31</t>
  </si>
  <si>
    <t>33.98</t>
  </si>
  <si>
    <t>33.98%</t>
  </si>
  <si>
    <t>220-2025-06-30</t>
  </si>
  <si>
    <t>-10.18</t>
  </si>
  <si>
    <t>-10.18%</t>
  </si>
  <si>
    <t>220-2025-12-31</t>
  </si>
  <si>
    <t>221</t>
  </si>
  <si>
    <t>Riesgo de la Calidad del Agua Potable</t>
  </si>
  <si>
    <t>221-2023-12-31</t>
  </si>
  <si>
    <t>221-2024-12-31</t>
  </si>
  <si>
    <t>221-2025-12-31</t>
  </si>
  <si>
    <t>222</t>
  </si>
  <si>
    <t>Calidad de las Aguas Residuales Domesticas</t>
  </si>
  <si>
    <t>222-2022-12-31</t>
  </si>
  <si>
    <t>222-2023-12-31</t>
  </si>
  <si>
    <t>222-2024-12-31</t>
  </si>
  <si>
    <t>222-2025-12-31</t>
  </si>
  <si>
    <t>223</t>
  </si>
  <si>
    <t>Registro de Publicidad Exterior Visual</t>
  </si>
  <si>
    <t>223-2023-12-31</t>
  </si>
  <si>
    <t>223-2024-12-31</t>
  </si>
  <si>
    <t>224</t>
  </si>
  <si>
    <t>Cumplimiento Nivel de Emisión de Ruido</t>
  </si>
  <si>
    <t>224-2022-12-31</t>
  </si>
  <si>
    <t>224-2023-12-31</t>
  </si>
  <si>
    <t>224-2024-12-31</t>
  </si>
  <si>
    <t>225</t>
  </si>
  <si>
    <t>Acciones para el Cuidado y Mantenimiento de las Especies de Flora y el Suelo de las Áreas Naturales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</si>
  <si>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</si>
  <si>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</si>
  <si>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</si>
  <si>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</si>
  <si>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</si>
  <si>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</si>
  <si>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</si>
  <si>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</si>
  <si>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</si>
  <si>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</si>
  <si>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</si>
  <si>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225-2023-12-31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</si>
  <si>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</si>
  <si>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</si>
  <si>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</si>
  <si>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</si>
  <si>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</si>
  <si>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</si>
  <si>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</si>
  <si>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</si>
  <si>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</si>
  <si>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</si>
  <si>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</si>
  <si>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225-2024-12-31</t>
  </si>
  <si>
    <t>22</t>
  </si>
  <si>
    <t>22.0%</t>
  </si>
  <si>
    <t>225-2025-01-31</t>
  </si>
  <si>
    <t>20</t>
  </si>
  <si>
    <t>225-2025-02-28</t>
  </si>
  <si>
    <t>21</t>
  </si>
  <si>
    <t>21.0%</t>
  </si>
  <si>
    <t>225-2025-03-31</t>
  </si>
  <si>
    <t>26</t>
  </si>
  <si>
    <t>26.0%</t>
  </si>
  <si>
    <t>225-2025-04-30</t>
  </si>
  <si>
    <t>28</t>
  </si>
  <si>
    <t>28.0%</t>
  </si>
  <si>
    <t>225-2025-05-31</t>
  </si>
  <si>
    <t>225-2025-06-30</t>
  </si>
  <si>
    <t>18</t>
  </si>
  <si>
    <t>18.0%</t>
  </si>
  <si>
    <t>225-2025-07-31</t>
  </si>
  <si>
    <t>17</t>
  </si>
  <si>
    <t>17.0%</t>
  </si>
  <si>
    <t>225-2025-08-31</t>
  </si>
  <si>
    <t>225-2025-11-30</t>
  </si>
  <si>
    <t>225-2025-12-31</t>
  </si>
  <si>
    <t>225-2026-01-31</t>
  </si>
  <si>
    <t>226</t>
  </si>
  <si>
    <t>Generación de Gases de Efecto Invernadero</t>
  </si>
  <si>
    <t>226-2022-12-31</t>
  </si>
  <si>
    <t>226-2023-12-31</t>
  </si>
  <si>
    <t>226-2024-12-31</t>
  </si>
  <si>
    <t>226-2025-12-31</t>
  </si>
  <si>
    <t>227</t>
  </si>
  <si>
    <t>Generación de  Gases de Efecto Invernadero per Cápita</t>
  </si>
  <si>
    <t>227-2022-12-31</t>
  </si>
  <si>
    <t>227-2023-12-31</t>
  </si>
  <si>
    <t>227-2024-12-31</t>
  </si>
  <si>
    <t>Generación de Gases de Efecto Invernadero per Cápita</t>
  </si>
  <si>
    <t>0.3%</t>
  </si>
  <si>
    <t>227-2025-12-31</t>
  </si>
  <si>
    <t>228</t>
  </si>
  <si>
    <t>Compensación de Gases de Efecto Invernadero</t>
  </si>
  <si>
    <t>tCO2e</t>
  </si>
  <si>
    <t>228-2022-12-31</t>
  </si>
  <si>
    <t>228-2023-12-31</t>
  </si>
  <si>
    <t>228-2024-12-31</t>
  </si>
  <si>
    <t>230</t>
  </si>
  <si>
    <t>Ejecución de Eventos de Formación en Materia Ambiental</t>
  </si>
  <si>
    <t>230-2023-06-30</t>
  </si>
  <si>
    <t>230-2023-12-31</t>
  </si>
  <si>
    <t>230-2024-06-30</t>
  </si>
  <si>
    <t>230-2024-12-31</t>
  </si>
  <si>
    <t>230-2025-06-30</t>
  </si>
  <si>
    <t>231</t>
  </si>
  <si>
    <t>Asistencia Eventos de Formación en Materia Ambiental</t>
  </si>
  <si>
    <t>231-2023-06-30</t>
  </si>
  <si>
    <t>231-2023-12-31</t>
  </si>
  <si>
    <t>231-2024-06-30</t>
  </si>
  <si>
    <t>231-2024-12-31</t>
  </si>
  <si>
    <t>35.0%</t>
  </si>
  <si>
    <t>231-2025-06-30</t>
  </si>
  <si>
    <t>232</t>
  </si>
  <si>
    <t>Ejecución de las Comunicaciones en Materia Ambiental</t>
  </si>
  <si>
    <t>232-2023-06-30</t>
  </si>
  <si>
    <t>232-2023-12-31</t>
  </si>
  <si>
    <t>232-2024-06-30</t>
  </si>
  <si>
    <t>232-2024-12-31</t>
  </si>
  <si>
    <t>84.62</t>
  </si>
  <si>
    <t>84.62%</t>
  </si>
  <si>
    <t>232-2025-06-30</t>
  </si>
  <si>
    <t>233</t>
  </si>
  <si>
    <t>Impacto de las Comunicaciones Correo Electrónico</t>
  </si>
  <si>
    <t>233-2023-03-31</t>
  </si>
  <si>
    <t>233-2023-06-30</t>
  </si>
  <si>
    <t>233-2023-09-30</t>
  </si>
  <si>
    <t>233-2023-12-31</t>
  </si>
  <si>
    <t>233-2024-03-31</t>
  </si>
  <si>
    <t>233-2024-06-30</t>
  </si>
  <si>
    <t>233-2024-09-30</t>
  </si>
  <si>
    <t>233-2024-12-31</t>
  </si>
  <si>
    <t>32.86</t>
  </si>
  <si>
    <t>32.86%</t>
  </si>
  <si>
    <t>233-2025-03-31</t>
  </si>
  <si>
    <t>11.77</t>
  </si>
  <si>
    <t>11.77%</t>
  </si>
  <si>
    <t>233-2025-06-30</t>
  </si>
  <si>
    <t>234</t>
  </si>
  <si>
    <t>Impacto de las Comunicaciones en Materia Ambiental a Través de Redes Sociales - Instagram</t>
  </si>
  <si>
    <t>234-2023-03-31</t>
  </si>
  <si>
    <t>234-2023-06-30</t>
  </si>
  <si>
    <t>234-2023-09-30</t>
  </si>
  <si>
    <t>234-2023-12-31</t>
  </si>
  <si>
    <t>234-2024-03-31</t>
  </si>
  <si>
    <t>234-2024-06-30</t>
  </si>
  <si>
    <t>234-2024-09-30</t>
  </si>
  <si>
    <t>234-2024-12-31</t>
  </si>
  <si>
    <t>7112</t>
  </si>
  <si>
    <t>4000.0%</t>
  </si>
  <si>
    <t>7112.0%</t>
  </si>
  <si>
    <t>234-2025-03-31</t>
  </si>
  <si>
    <t>14042.5</t>
  </si>
  <si>
    <t>14042.5%</t>
  </si>
  <si>
    <t>234-2025-06-30</t>
  </si>
  <si>
    <t>235</t>
  </si>
  <si>
    <t>Cumplimiento de Requisitos Legales Ambientales Aplicables</t>
  </si>
  <si>
    <t>235-2023-12-31</t>
  </si>
  <si>
    <t>235-2024-12-31</t>
  </si>
  <si>
    <t>236</t>
  </si>
  <si>
    <t>Actos Administrativos o Decisiones Judiciales Ambientales</t>
  </si>
  <si>
    <t>236-2023-12-31</t>
  </si>
  <si>
    <t>236-2024-12-31</t>
  </si>
  <si>
    <t>238</t>
  </si>
  <si>
    <t>Cumplimiento de la Protección del Medio Ambiente</t>
  </si>
  <si>
    <t>238-2023-03-31</t>
  </si>
  <si>
    <t>238-2023-06-30</t>
  </si>
  <si>
    <t>238-2023-09-30</t>
  </si>
  <si>
    <t>238-2023-12-31</t>
  </si>
  <si>
    <t>Sin Reporte</t>
  </si>
  <si>
    <t>238-2024-03-31</t>
  </si>
  <si>
    <t>238-2024-06-30</t>
  </si>
  <si>
    <t>238-2024-09-30</t>
  </si>
  <si>
    <t>238-2024-12-31</t>
  </si>
  <si>
    <t>95.12</t>
  </si>
  <si>
    <t>95.12%</t>
  </si>
  <si>
    <t>238-2025-03-31</t>
  </si>
  <si>
    <t>90.48</t>
  </si>
  <si>
    <t>90.48%</t>
  </si>
  <si>
    <t>238-2025-06-30</t>
  </si>
  <si>
    <t>239</t>
  </si>
  <si>
    <t>Portafolio de Proyectos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</si>
  <si>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</si>
  <si>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</si>
  <si>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</si>
  <si>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</si>
  <si>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</si>
  <si>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</si>
  <si>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</si>
  <si>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</si>
  <si>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</si>
  <si>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</si>
  <si>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</si>
  <si>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239-2023-12-31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</si>
  <si>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</si>
  <si>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</si>
  <si>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</si>
  <si>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</si>
  <si>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</si>
  <si>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</si>
  <si>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</si>
  <si>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</si>
  <si>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</si>
  <si>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</si>
  <si>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</si>
  <si>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239-2024-12-31</t>
  </si>
  <si>
    <t>Portafolio de Proyectos - Metrica</t>
  </si>
  <si>
    <t>33</t>
  </si>
  <si>
    <t>33.0%</t>
  </si>
  <si>
    <t>239-2025-01-31</t>
  </si>
  <si>
    <t>239-2025-02-28</t>
  </si>
  <si>
    <t>42</t>
  </si>
  <si>
    <t>42.0%</t>
  </si>
  <si>
    <t>239-2025-03-31</t>
  </si>
  <si>
    <t>40</t>
  </si>
  <si>
    <t>40.0%</t>
  </si>
  <si>
    <t>239-2025-04-30</t>
  </si>
  <si>
    <t>239-2025-05-31</t>
  </si>
  <si>
    <t>41</t>
  </si>
  <si>
    <t>41.0%</t>
  </si>
  <si>
    <t>239-2025-06-30</t>
  </si>
  <si>
    <t>239-2025-07-31</t>
  </si>
  <si>
    <t>239-2025-08-31</t>
  </si>
  <si>
    <t>43</t>
  </si>
  <si>
    <t>43.0%</t>
  </si>
  <si>
    <t>239-2025-10-31</t>
  </si>
  <si>
    <t>240</t>
  </si>
  <si>
    <t>Cumplimiento de Gestión De Proyectos Cerrados</t>
  </si>
  <si>
    <t>240-2023-03-31</t>
  </si>
  <si>
    <t>240-2023-06-30</t>
  </si>
  <si>
    <t>240-2023-09-30</t>
  </si>
  <si>
    <t>240-2023-12-31</t>
  </si>
  <si>
    <t>240-2024-03-31</t>
  </si>
  <si>
    <t>240-2024-06-30</t>
  </si>
  <si>
    <t>240-2024-09-30</t>
  </si>
  <si>
    <t>240-2024-12-31</t>
  </si>
  <si>
    <t>240-2025-03-31</t>
  </si>
  <si>
    <t>240-2025-06-30</t>
  </si>
  <si>
    <t>241</t>
  </si>
  <si>
    <t>Cumplimiento de gestión de proyectos fase inicio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</si>
  <si>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</si>
  <si>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</si>
  <si>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</si>
  <si>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</si>
  <si>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</si>
  <si>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</si>
  <si>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</si>
  <si>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</si>
  <si>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</si>
  <si>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</si>
  <si>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</si>
  <si>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241-2023-12-31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</si>
  <si>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</si>
  <si>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</si>
  <si>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</si>
  <si>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</si>
  <si>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</si>
  <si>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</si>
  <si>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</si>
  <si>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</si>
  <si>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</si>
  <si>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</si>
  <si>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</si>
  <si>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241-2024-12-31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</si>
  <si>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</si>
  <si>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</si>
  <si>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</si>
  <si>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</si>
  <si>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</si>
  <si>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</si>
  <si>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</si>
  <si>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</si>
  <si>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242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</si>
  <si>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</si>
  <si>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</si>
  <si>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</si>
  <si>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</si>
  <si>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</si>
  <si>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</si>
  <si>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</si>
  <si>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</si>
  <si>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</si>
  <si>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</si>
  <si>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</si>
  <si>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</si>
  <si>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242-2023-12-31</t>
  </si>
  <si>
    <t>243</t>
  </si>
  <si>
    <t>Cumplimiento de gestión de proyectos control de cambios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</si>
  <si>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</si>
  <si>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</si>
  <si>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</si>
  <si>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</si>
  <si>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</si>
  <si>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</si>
  <si>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</si>
  <si>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</si>
  <si>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</si>
  <si>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</si>
  <si>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</si>
  <si>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243-2023-12-31</t>
  </si>
  <si>
    <t>243-2024-06-30</t>
  </si>
  <si>
    <t>244</t>
  </si>
  <si>
    <t>GreenMetric - Nacional</t>
  </si>
  <si>
    <t>244-2023-12-31</t>
  </si>
  <si>
    <t>244-2024-12-31</t>
  </si>
  <si>
    <t>245</t>
  </si>
  <si>
    <t>Permanencia Intersemestral</t>
  </si>
  <si>
    <t>245-2022-06-30</t>
  </si>
  <si>
    <t>245-2022-12-31</t>
  </si>
  <si>
    <t>245-2023-06-30</t>
  </si>
  <si>
    <t>245-2023-12-31</t>
  </si>
  <si>
    <t>245-2024-06-30</t>
  </si>
  <si>
    <t>245-2024-12-31</t>
  </si>
  <si>
    <t>Tasa de Permanencia Intersemestral</t>
  </si>
  <si>
    <t>100.93</t>
  </si>
  <si>
    <t>100.93%</t>
  </si>
  <si>
    <t>245-2025-06-30</t>
  </si>
  <si>
    <t>100.12</t>
  </si>
  <si>
    <t>100.12%</t>
  </si>
  <si>
    <t>245-2025-12-31</t>
  </si>
  <si>
    <t>246</t>
  </si>
  <si>
    <t>Satisfacción del proceso de grados</t>
  </si>
  <si>
    <t>246-2023-12-31</t>
  </si>
  <si>
    <t>Satisfacción del proceso de grados presencial</t>
  </si>
  <si>
    <t>246-2024-06-30</t>
  </si>
  <si>
    <t>246-2024-12-31</t>
  </si>
  <si>
    <t>90.1</t>
  </si>
  <si>
    <t>90.1%</t>
  </si>
  <si>
    <t>246-2025-06-30</t>
  </si>
  <si>
    <t>246-2025-12-31</t>
  </si>
  <si>
    <t>247</t>
  </si>
  <si>
    <t>Solicitud de certificados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</si>
  <si>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</si>
  <si>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</si>
  <si>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</si>
  <si>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</si>
  <si>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</si>
  <si>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</si>
  <si>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</si>
  <si>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</si>
  <si>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</si>
  <si>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</si>
  <si>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</si>
  <si>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247-2023-12-31</t>
  </si>
  <si>
    <t>248</t>
  </si>
  <si>
    <t>Programas con reforzamiento curricular</t>
  </si>
  <si>
    <t>248-2023-06-30</t>
  </si>
  <si>
    <t>248-2023-12-31</t>
  </si>
  <si>
    <t>249</t>
  </si>
  <si>
    <t>Programas con matriz de resultado de aprendizaje</t>
  </si>
  <si>
    <t>249-2023-06-30</t>
  </si>
  <si>
    <t>249-2023-12-31</t>
  </si>
  <si>
    <t>251</t>
  </si>
  <si>
    <t>Subprocesos Con CMI Estructurado</t>
  </si>
  <si>
    <t>251-2023-06-30</t>
  </si>
  <si>
    <t>251-2023-09-30</t>
  </si>
  <si>
    <t>251-2023-12-31</t>
  </si>
  <si>
    <t>251-2024-06-30</t>
  </si>
  <si>
    <t>251-2024-09-30</t>
  </si>
  <si>
    <t>251-2024-12-31</t>
  </si>
  <si>
    <t>Subprocesos Con indicadores definidos</t>
  </si>
  <si>
    <t>251-2025-03-31</t>
  </si>
  <si>
    <t>82.35</t>
  </si>
  <si>
    <t>82.35%</t>
  </si>
  <si>
    <t>251-2025-06-30</t>
  </si>
  <si>
    <t>251-2025-12-31</t>
  </si>
  <si>
    <t>252</t>
  </si>
  <si>
    <t>Permanencia intersemestral ingresantes</t>
  </si>
  <si>
    <t>252-2023-06-30</t>
  </si>
  <si>
    <t>252-2023-12-31</t>
  </si>
  <si>
    <t>252-2024-06-30</t>
  </si>
  <si>
    <t>252-2024-12-31</t>
  </si>
  <si>
    <t>Tasa de Permanencia Intersemestral de Estudiantes Ingresantes</t>
  </si>
  <si>
    <t>99.58</t>
  </si>
  <si>
    <t>99.58%</t>
  </si>
  <si>
    <t>252-2025-06-30</t>
  </si>
  <si>
    <t>99.87</t>
  </si>
  <si>
    <t>99.87%</t>
  </si>
  <si>
    <t>252-2025-12-31</t>
  </si>
  <si>
    <t>253</t>
  </si>
  <si>
    <t>Oportunidad en la entrega de informes de auditoria</t>
  </si>
  <si>
    <t>253-2023-02-28</t>
  </si>
  <si>
    <t>253-2023-04-30</t>
  </si>
  <si>
    <t>253-2023-06-30</t>
  </si>
  <si>
    <t>253-2023-08-31</t>
  </si>
  <si>
    <t>253-2023-10-31</t>
  </si>
  <si>
    <t>253-2023-12-31</t>
  </si>
  <si>
    <t>254</t>
  </si>
  <si>
    <t>Áreas con reportes de plan de retos</t>
  </si>
  <si>
    <t>Trianual</t>
  </si>
  <si>
    <t>254-2023-06-30</t>
  </si>
  <si>
    <t>254-2023-09-30</t>
  </si>
  <si>
    <t>254-2023-12-31</t>
  </si>
  <si>
    <t>254-2024-03-31</t>
  </si>
  <si>
    <t>254-2024-06-30</t>
  </si>
  <si>
    <t>254-2024-09-30</t>
  </si>
  <si>
    <t>254-2024-12-31</t>
  </si>
  <si>
    <t>254-2025-03-31</t>
  </si>
  <si>
    <t>254-2025-06-30</t>
  </si>
  <si>
    <t>255</t>
  </si>
  <si>
    <t>Informe anual de variación de índice H</t>
  </si>
  <si>
    <t>255-2023-12-31</t>
  </si>
  <si>
    <t>255-2024-12-31</t>
  </si>
  <si>
    <t>Informe anual de índice H</t>
  </si>
  <si>
    <t>255-2025-12-31</t>
  </si>
  <si>
    <t>256</t>
  </si>
  <si>
    <t>Publicaciones editadas por la editorial</t>
  </si>
  <si>
    <t>256-2023-06-30</t>
  </si>
  <si>
    <t>256-2023-12-31</t>
  </si>
  <si>
    <t>256-2024-06-30</t>
  </si>
  <si>
    <t>256-2024-12-31</t>
  </si>
  <si>
    <t>256-2025-06-30</t>
  </si>
  <si>
    <t>257</t>
  </si>
  <si>
    <t>N de publicaciones aprobadas en convocatorias</t>
  </si>
  <si>
    <t>257-2023-06-30</t>
  </si>
  <si>
    <t>257-2023-12-31</t>
  </si>
  <si>
    <t>259</t>
  </si>
  <si>
    <t>Subprocesos con indicadores reportados oportunamente</t>
  </si>
  <si>
    <t>259-2023-06-30</t>
  </si>
  <si>
    <t>259-2023-09-30</t>
  </si>
  <si>
    <t>259-2023-12-31</t>
  </si>
  <si>
    <t>259-2024-03-31</t>
  </si>
  <si>
    <t>259-2024-06-30</t>
  </si>
  <si>
    <t>259-2024-09-30</t>
  </si>
  <si>
    <t>259-2024-12-31</t>
  </si>
  <si>
    <t>260</t>
  </si>
  <si>
    <t>CES- Costumer Effort Score del proceso de Rematrícula</t>
  </si>
  <si>
    <t>Rematrícula</t>
  </si>
  <si>
    <t>260-2023-06-30</t>
  </si>
  <si>
    <t>260-2023-12-31</t>
  </si>
  <si>
    <t>260-2024-06-30</t>
  </si>
  <si>
    <t>260-2024-12-31</t>
  </si>
  <si>
    <t>1.9</t>
  </si>
  <si>
    <t>2.2%</t>
  </si>
  <si>
    <t>260-2025-06-30</t>
  </si>
  <si>
    <t>2.1%</t>
  </si>
  <si>
    <t>260-2025-12-31</t>
  </si>
  <si>
    <t>261</t>
  </si>
  <si>
    <t>CES- Costumer Effort Score del proceso de Saber Pro</t>
  </si>
  <si>
    <t>261-2023-06-30</t>
  </si>
  <si>
    <t>261-2023-12-31</t>
  </si>
  <si>
    <t>261-2024-06-30</t>
  </si>
  <si>
    <t>261-2024-12-31</t>
  </si>
  <si>
    <t>2.3</t>
  </si>
  <si>
    <t>3.0%</t>
  </si>
  <si>
    <t>2.3%</t>
  </si>
  <si>
    <t>261-2025-06-30</t>
  </si>
  <si>
    <t>2.1</t>
  </si>
  <si>
    <t>261-2025-12-31</t>
  </si>
  <si>
    <t>262</t>
  </si>
  <si>
    <t>Evitar erogación de dinero por multas asociadas en contra del POLI por los procesos en curso</t>
  </si>
  <si>
    <t>262-2023-06-30</t>
  </si>
  <si>
    <t>262-2023-12-31</t>
  </si>
  <si>
    <t>Reducción de número de sentencias condenatorias en contra del Poli</t>
  </si>
  <si>
    <t>262-2024-06-30</t>
  </si>
  <si>
    <t>262-2024-12-31</t>
  </si>
  <si>
    <t>10.0%</t>
  </si>
  <si>
    <t>262-2025-06-30</t>
  </si>
  <si>
    <t>262-2025-12-31</t>
  </si>
  <si>
    <t>263</t>
  </si>
  <si>
    <t>Oportunidad de respuesta de PQRS</t>
  </si>
  <si>
    <t>263-2023-03-31</t>
  </si>
  <si>
    <t>263-2023-06-30</t>
  </si>
  <si>
    <t>263-2023-09-30</t>
  </si>
  <si>
    <t>263-2023-12-31</t>
  </si>
  <si>
    <t>263-2024-03-31</t>
  </si>
  <si>
    <t>263-2024-06-30</t>
  </si>
  <si>
    <t>263-2024-09-30</t>
  </si>
  <si>
    <t>263-2024-12-31</t>
  </si>
  <si>
    <t>263-2025-03-31</t>
  </si>
  <si>
    <t>263-2025-06-30</t>
  </si>
  <si>
    <t>263-2025-12-31</t>
  </si>
  <si>
    <t>264</t>
  </si>
  <si>
    <t>Emisión De Conceptos Jurídicos (Educación)</t>
  </si>
  <si>
    <t>264-2023-06-30</t>
  </si>
  <si>
    <t>264-2023-12-31</t>
  </si>
  <si>
    <t>Eficiencia Emisión De Conceptos Jurídicos (Educación)</t>
  </si>
  <si>
    <t>264-2024-06-30</t>
  </si>
  <si>
    <t>264-2024-12-31</t>
  </si>
  <si>
    <t>265</t>
  </si>
  <si>
    <t>Emisión De Conceptos Jurídicos (Jurídicos)</t>
  </si>
  <si>
    <t>265-2023-06-30</t>
  </si>
  <si>
    <t>265-2023-12-31</t>
  </si>
  <si>
    <t>Eficiencia Emisión De Conceptos Jurídicos (Jurídicos)</t>
  </si>
  <si>
    <t>265-2024-06-30</t>
  </si>
  <si>
    <t>265-2024-12-31</t>
  </si>
  <si>
    <t>265-2025-03-31</t>
  </si>
  <si>
    <t>265-2025-06-30</t>
  </si>
  <si>
    <t>266</t>
  </si>
  <si>
    <t>Oportunidad en la elaboración de contratos</t>
  </si>
  <si>
    <t>266-2023-06-30</t>
  </si>
  <si>
    <t>266-2023-12-31</t>
  </si>
  <si>
    <t>266-2024-06-30</t>
  </si>
  <si>
    <t>266-2024-12-31</t>
  </si>
  <si>
    <t>266-2025-03-31</t>
  </si>
  <si>
    <t>53.15</t>
  </si>
  <si>
    <t>53.15%</t>
  </si>
  <si>
    <t>266-2025-06-30</t>
  </si>
  <si>
    <t>267</t>
  </si>
  <si>
    <t>Satisfacción procesos de Homologaciones</t>
  </si>
  <si>
    <t>267-2023-12-31</t>
  </si>
  <si>
    <t>268</t>
  </si>
  <si>
    <t>Cantidad de usuarios</t>
  </si>
  <si>
    <t>268-2023-06-30</t>
  </si>
  <si>
    <t>268-2023-12-31</t>
  </si>
  <si>
    <t>268-2024-06-30</t>
  </si>
  <si>
    <t>268-2024-12-31</t>
  </si>
  <si>
    <t>Cantidad de usuarios - (Metrica)</t>
  </si>
  <si>
    <t>765</t>
  </si>
  <si>
    <t>765.0%</t>
  </si>
  <si>
    <t>268-2025-06-30</t>
  </si>
  <si>
    <t>877</t>
  </si>
  <si>
    <t>877.0%</t>
  </si>
  <si>
    <t>268-2025-12-31</t>
  </si>
  <si>
    <t>269</t>
  </si>
  <si>
    <t>N de personas promedio por evento</t>
  </si>
  <si>
    <t>269-2023-06-30</t>
  </si>
  <si>
    <t>269-2023-12-31</t>
  </si>
  <si>
    <t>269-2024-06-30</t>
  </si>
  <si>
    <t>269-2024-12-31</t>
  </si>
  <si>
    <t>N de personas promedio por evento - (Metrica)</t>
  </si>
  <si>
    <t>1.83</t>
  </si>
  <si>
    <t>1.83%</t>
  </si>
  <si>
    <t>269-2025-06-30</t>
  </si>
  <si>
    <t>1.65</t>
  </si>
  <si>
    <t>1.65%</t>
  </si>
  <si>
    <t>269-2025-12-31</t>
  </si>
  <si>
    <t>270</t>
  </si>
  <si>
    <t>N de horas promedio por evento</t>
  </si>
  <si>
    <t>270-2023-06-30</t>
  </si>
  <si>
    <t>270-2023-12-31</t>
  </si>
  <si>
    <t>270-2024-06-30</t>
  </si>
  <si>
    <t>270-2024-12-31</t>
  </si>
  <si>
    <t>N de horas promedio por evento - (Metrica)</t>
  </si>
  <si>
    <t>4.17</t>
  </si>
  <si>
    <t>4.17%</t>
  </si>
  <si>
    <t>270-2025-06-30</t>
  </si>
  <si>
    <t>4.3</t>
  </si>
  <si>
    <t>4.3%</t>
  </si>
  <si>
    <t>270-2025-12-31</t>
  </si>
  <si>
    <t>271</t>
  </si>
  <si>
    <t>N de horas por solicitud</t>
  </si>
  <si>
    <t>271-2023-06-30</t>
  </si>
  <si>
    <t>271-2023-12-31</t>
  </si>
  <si>
    <t>271-2024-06-30</t>
  </si>
  <si>
    <t>271-2024-12-31</t>
  </si>
  <si>
    <t>N de horas por solicitud - (Metrica)</t>
  </si>
  <si>
    <t>23.85</t>
  </si>
  <si>
    <t>23.85%</t>
  </si>
  <si>
    <t>271-2025-06-30</t>
  </si>
  <si>
    <t>19.93</t>
  </si>
  <si>
    <t>19.93%</t>
  </si>
  <si>
    <t>271-2025-12-31</t>
  </si>
  <si>
    <t>272</t>
  </si>
  <si>
    <t>Proporción de accidentes de trabajo mortales</t>
  </si>
  <si>
    <t>272-2023-12-31</t>
  </si>
  <si>
    <t>272-2024-12-31</t>
  </si>
  <si>
    <t>272-2025-12-31</t>
  </si>
  <si>
    <t>273</t>
  </si>
  <si>
    <t>Número de programas con condiciones iniciales elaboradas y analizadas institucionalmente</t>
  </si>
  <si>
    <t>273-2023-06-30</t>
  </si>
  <si>
    <t>273-2023-12-31</t>
  </si>
  <si>
    <t>273-2024-06-30</t>
  </si>
  <si>
    <t>273-2024-12-31</t>
  </si>
  <si>
    <t>150.0%</t>
  </si>
  <si>
    <t>273-2025-06-30</t>
  </si>
  <si>
    <t>273-2025-12-31</t>
  </si>
  <si>
    <t>274</t>
  </si>
  <si>
    <t>Cumplimiento total estudiantes antiguos</t>
  </si>
  <si>
    <t>274-2022-06-30</t>
  </si>
  <si>
    <t>274-2022-12-31</t>
  </si>
  <si>
    <t>274-2023-06-30</t>
  </si>
  <si>
    <t>274-2023-12-31</t>
  </si>
  <si>
    <t>274-2024-06-30</t>
  </si>
  <si>
    <t>274-2024-12-31</t>
  </si>
  <si>
    <t>105.8</t>
  </si>
  <si>
    <t>105.8%</t>
  </si>
  <si>
    <t>274-2025-06-30</t>
  </si>
  <si>
    <t>102.03</t>
  </si>
  <si>
    <t>102.03%</t>
  </si>
  <si>
    <t>274-2025-12-31</t>
  </si>
  <si>
    <t>275</t>
  </si>
  <si>
    <t>Satisfacción Institucional por grupo de interes</t>
  </si>
  <si>
    <t>EXPERIENCIA INSTITUCIONAL</t>
  </si>
  <si>
    <t>275-2024-06-30</t>
  </si>
  <si>
    <t>275-2024-12-31</t>
  </si>
  <si>
    <t>275-2025-06-30</t>
  </si>
  <si>
    <t>91.67</t>
  </si>
  <si>
    <t>91.67%</t>
  </si>
  <si>
    <t>275-2025-12-31</t>
  </si>
  <si>
    <t>276</t>
  </si>
  <si>
    <t>Relación Estudiante-Docente Tiempo completo</t>
  </si>
  <si>
    <t>Gestión Docente</t>
  </si>
  <si>
    <t>276-2022-06-30</t>
  </si>
  <si>
    <t>276-2022-12-31</t>
  </si>
  <si>
    <t>276-2023-06-30</t>
  </si>
  <si>
    <t>276-2023-12-31</t>
  </si>
  <si>
    <t>276-2024-06-30</t>
  </si>
  <si>
    <t>276-2024-12-31</t>
  </si>
  <si>
    <t>84.18</t>
  </si>
  <si>
    <t>84.18%</t>
  </si>
  <si>
    <t>276-2025-06-30</t>
  </si>
  <si>
    <t>82.81</t>
  </si>
  <si>
    <t>82.81%</t>
  </si>
  <si>
    <t>276-2025-12-31</t>
  </si>
  <si>
    <t>277</t>
  </si>
  <si>
    <t>Relación estudiante docente Tiempo Completo Equivalente</t>
  </si>
  <si>
    <t>277-2023-06-30</t>
  </si>
  <si>
    <t>277-2023-12-31</t>
  </si>
  <si>
    <t>277-2024-06-30</t>
  </si>
  <si>
    <t>277-2024-12-31</t>
  </si>
  <si>
    <t>Relación estudiante docente TCE (Tiempo Completo Equivalente)</t>
  </si>
  <si>
    <t>69.39</t>
  </si>
  <si>
    <t>71.0%</t>
  </si>
  <si>
    <t>69.39%</t>
  </si>
  <si>
    <t>277-2025-06-30</t>
  </si>
  <si>
    <t>68.4</t>
  </si>
  <si>
    <t>68.4%</t>
  </si>
  <si>
    <t>277-2025-12-31</t>
  </si>
  <si>
    <t>278</t>
  </si>
  <si>
    <t>Docentes contratados</t>
  </si>
  <si>
    <t>278-2023-06-30</t>
  </si>
  <si>
    <t>278-2023-12-31</t>
  </si>
  <si>
    <t>278-2024-06-30</t>
  </si>
  <si>
    <t>278-2024-12-31</t>
  </si>
  <si>
    <t>Docentes contratados - Metrica</t>
  </si>
  <si>
    <t>1099</t>
  </si>
  <si>
    <t>1099.0%</t>
  </si>
  <si>
    <t>278-2025-06-30</t>
  </si>
  <si>
    <t>1071</t>
  </si>
  <si>
    <t>1071.0%</t>
  </si>
  <si>
    <t>278-2025-12-31</t>
  </si>
  <si>
    <t>279</t>
  </si>
  <si>
    <t>Docentes tiempo completo</t>
  </si>
  <si>
    <t>279-2023-06-30</t>
  </si>
  <si>
    <t>279-2023-12-31</t>
  </si>
  <si>
    <t>280</t>
  </si>
  <si>
    <t>Docentes medio tiempo</t>
  </si>
  <si>
    <t>280-2023-06-30</t>
  </si>
  <si>
    <t>280-2023-12-31</t>
  </si>
  <si>
    <t>281</t>
  </si>
  <si>
    <t>Docentes cátedra</t>
  </si>
  <si>
    <t>281-2023-06-30</t>
  </si>
  <si>
    <t>281-2023-12-31</t>
  </si>
  <si>
    <t>282</t>
  </si>
  <si>
    <t>Docentes evaluados</t>
  </si>
  <si>
    <t>282-2023-06-30</t>
  </si>
  <si>
    <t>282-2023-12-31</t>
  </si>
  <si>
    <t>282-2024-06-30</t>
  </si>
  <si>
    <t>282-2024-12-31</t>
  </si>
  <si>
    <t>97.41</t>
  </si>
  <si>
    <t>97.41%</t>
  </si>
  <si>
    <t>282-2025-06-30</t>
  </si>
  <si>
    <t>97.56</t>
  </si>
  <si>
    <t>97.56%</t>
  </si>
  <si>
    <t>282-2025-12-31</t>
  </si>
  <si>
    <t>283</t>
  </si>
  <si>
    <t>Resultado evaluación docente</t>
  </si>
  <si>
    <t>283-2023-06-30</t>
  </si>
  <si>
    <t>283-2023-12-31</t>
  </si>
  <si>
    <t>283-2024-06-30</t>
  </si>
  <si>
    <t>283-2024-12-31</t>
  </si>
  <si>
    <t>4.66</t>
  </si>
  <si>
    <t>4.6%</t>
  </si>
  <si>
    <t>4.66%</t>
  </si>
  <si>
    <t>283-2025-06-30</t>
  </si>
  <si>
    <t>4.67</t>
  </si>
  <si>
    <t>4.67%</t>
  </si>
  <si>
    <t>283-2025-12-31</t>
  </si>
  <si>
    <t>284</t>
  </si>
  <si>
    <t>Número Horas semanales docentes</t>
  </si>
  <si>
    <t>284-2023-06-30</t>
  </si>
  <si>
    <t>284-2023-12-31</t>
  </si>
  <si>
    <t>285</t>
  </si>
  <si>
    <t>Docentes con plan de trabajo asignado</t>
  </si>
  <si>
    <t>285-2023-06-30</t>
  </si>
  <si>
    <t>285-2023-12-31</t>
  </si>
  <si>
    <t>285-2024-06-30</t>
  </si>
  <si>
    <t>285-2024-12-31</t>
  </si>
  <si>
    <t>285-2025-06-30</t>
  </si>
  <si>
    <t>285-2025-12-31</t>
  </si>
  <si>
    <t>286</t>
  </si>
  <si>
    <t>Total docentes por nivel de estudios</t>
  </si>
  <si>
    <t>286-2023-06-30</t>
  </si>
  <si>
    <t>286-2023-12-31</t>
  </si>
  <si>
    <t>286-2024-06-30</t>
  </si>
  <si>
    <t>286-2024-12-31</t>
  </si>
  <si>
    <t>Total docentes por nivel de estudios - Metrica</t>
  </si>
  <si>
    <t>286-2025-06-30</t>
  </si>
  <si>
    <t>286-2025-12-31</t>
  </si>
  <si>
    <t>288</t>
  </si>
  <si>
    <t>Número docentes escalafonados presentados en convocatoria</t>
  </si>
  <si>
    <t>288-2023-06-30</t>
  </si>
  <si>
    <t>288-2023-12-31</t>
  </si>
  <si>
    <t>288-2024-06-30</t>
  </si>
  <si>
    <t>288-2024-12-31</t>
  </si>
  <si>
    <t>288-2025-06-30</t>
  </si>
  <si>
    <t>289</t>
  </si>
  <si>
    <t>Cumplimiento plan de comunicaciones SGC</t>
  </si>
  <si>
    <t>289-2023-03-31</t>
  </si>
  <si>
    <t>289-2023-06-30</t>
  </si>
  <si>
    <t>289-2023-09-30</t>
  </si>
  <si>
    <t>289-2023-12-31</t>
  </si>
  <si>
    <t>289-2024-03-31</t>
  </si>
  <si>
    <t>289-2024-06-30</t>
  </si>
  <si>
    <t>289-2024-09-30</t>
  </si>
  <si>
    <t>289-2024-12-31</t>
  </si>
  <si>
    <t>290</t>
  </si>
  <si>
    <t>Cierre eficaz de las oportunidades de mejora</t>
  </si>
  <si>
    <t>Planificación POLISIGS</t>
  </si>
  <si>
    <t>290-2023-06-30</t>
  </si>
  <si>
    <t>290-2023-08-30</t>
  </si>
  <si>
    <t>290-2023-10-31</t>
  </si>
  <si>
    <t>290-2023-12-31</t>
  </si>
  <si>
    <t>290-2024-02-29</t>
  </si>
  <si>
    <t>290-2024-04-30</t>
  </si>
  <si>
    <t>290-2024-06-30</t>
  </si>
  <si>
    <t>290-2024-08-31</t>
  </si>
  <si>
    <t>290-2024-10-31</t>
  </si>
  <si>
    <t>290-2024-12-31</t>
  </si>
  <si>
    <t>290-2025-02-28</t>
  </si>
  <si>
    <t>290-2025-04-30</t>
  </si>
  <si>
    <t>290-2025-06-30</t>
  </si>
  <si>
    <t>290-2025-08-31</t>
  </si>
  <si>
    <t>290-2025-10-31</t>
  </si>
  <si>
    <t>290-2025-12-31</t>
  </si>
  <si>
    <t>291</t>
  </si>
  <si>
    <t>Cumplimiento del cronograma de actividades deportivas</t>
  </si>
  <si>
    <t>Cultura y Deporte</t>
  </si>
  <si>
    <t>291-2023-06-30</t>
  </si>
  <si>
    <t>291-2023-12-31</t>
  </si>
  <si>
    <t>291-2024-06-30</t>
  </si>
  <si>
    <t>291-2024-12-31</t>
  </si>
  <si>
    <t>292</t>
  </si>
  <si>
    <t>Participación en Actividades deportivas</t>
  </si>
  <si>
    <t>292-2023-06-30</t>
  </si>
  <si>
    <t>292-2023-12-31</t>
  </si>
  <si>
    <t>292-2024-06-30</t>
  </si>
  <si>
    <t>292-2024-12-31</t>
  </si>
  <si>
    <t>9.79</t>
  </si>
  <si>
    <t>8.0%</t>
  </si>
  <si>
    <t>9.79%</t>
  </si>
  <si>
    <t>292-2025-06-30</t>
  </si>
  <si>
    <t>11.21</t>
  </si>
  <si>
    <t>11.21%</t>
  </si>
  <si>
    <t>292-2025-12-31</t>
  </si>
  <si>
    <t>293</t>
  </si>
  <si>
    <t>Cumplimiento del cronograma de actividades culturales</t>
  </si>
  <si>
    <t>293-2023-06-30</t>
  </si>
  <si>
    <t>293-2023-12-31</t>
  </si>
  <si>
    <t>293-2024-06-30</t>
  </si>
  <si>
    <t>293-2024-12-31</t>
  </si>
  <si>
    <t>294</t>
  </si>
  <si>
    <t>Participación en actividades culturales presenciales</t>
  </si>
  <si>
    <t>294-2023-06-30</t>
  </si>
  <si>
    <t>294-2023-12-31</t>
  </si>
  <si>
    <t>294-2024-06-30</t>
  </si>
  <si>
    <t>Participación en actividades culturales</t>
  </si>
  <si>
    <t>294-2024-12-31</t>
  </si>
  <si>
    <t>-9.19</t>
  </si>
  <si>
    <t>-9.19%</t>
  </si>
  <si>
    <t>294-2025-06-30</t>
  </si>
  <si>
    <t>54.02</t>
  </si>
  <si>
    <t>54.02%</t>
  </si>
  <si>
    <t>294-2025-12-31</t>
  </si>
  <si>
    <t>295</t>
  </si>
  <si>
    <t>Cumplimiento Del Cierre De Oportunidades De Mejora De Auditoria</t>
  </si>
  <si>
    <t>295-2023-06-30</t>
  </si>
  <si>
    <t>295-2023-12-31</t>
  </si>
  <si>
    <t>295-2024-06-30</t>
  </si>
  <si>
    <t>296</t>
  </si>
  <si>
    <t>Gestión de riesgos por subprocesos</t>
  </si>
  <si>
    <t>GESTIÓN DE RIESGOS</t>
  </si>
  <si>
    <t>296-2023-08-31</t>
  </si>
  <si>
    <t>296-2023-10-31</t>
  </si>
  <si>
    <t>296-2023-12-31</t>
  </si>
  <si>
    <t>297</t>
  </si>
  <si>
    <t>N de riesgos operacionales intervenidos</t>
  </si>
  <si>
    <t>297-2023-08-31</t>
  </si>
  <si>
    <t>297-2023-10-31</t>
  </si>
  <si>
    <t>297-2023-12-31</t>
  </si>
  <si>
    <t>298</t>
  </si>
  <si>
    <t>N de riesgos materializados</t>
  </si>
  <si>
    <t>298-2023-06-30</t>
  </si>
  <si>
    <t>298-2023-12-31</t>
  </si>
  <si>
    <t>3</t>
  </si>
  <si>
    <t>Nuevo POLISIGS</t>
  </si>
  <si>
    <t>3-2023-01-31</t>
  </si>
  <si>
    <t>3-2023-02-28</t>
  </si>
  <si>
    <t>3-2023-03-31</t>
  </si>
  <si>
    <t>3-2023-04-30</t>
  </si>
  <si>
    <t>3-2023-05-31</t>
  </si>
  <si>
    <t>3-2023-06-30</t>
  </si>
  <si>
    <t>3-2023-07-31</t>
  </si>
  <si>
    <t>3-2023-08-31</t>
  </si>
  <si>
    <t>3-2023-09-30</t>
  </si>
  <si>
    <t>3-2023-10-31</t>
  </si>
  <si>
    <t>3-2023-11-30</t>
  </si>
  <si>
    <t>3-2023-12-31</t>
  </si>
  <si>
    <t>3-2024-01-31</t>
  </si>
  <si>
    <t>3-2024-02-29</t>
  </si>
  <si>
    <t>300</t>
  </si>
  <si>
    <t>Cumplimiento de Inspecciones de control</t>
  </si>
  <si>
    <t>300-2023-03-31</t>
  </si>
  <si>
    <t>300-2023-06-30</t>
  </si>
  <si>
    <t>300-2023-09-30</t>
  </si>
  <si>
    <t>300-2023-12-31</t>
  </si>
  <si>
    <t>300-2024-03-31</t>
  </si>
  <si>
    <t>300-2024-06-30</t>
  </si>
  <si>
    <t>300-2024-09-30</t>
  </si>
  <si>
    <t>300-2024-12-31</t>
  </si>
  <si>
    <t>300-2025-03-31</t>
  </si>
  <si>
    <t>300-2025-06-30</t>
  </si>
  <si>
    <t>300-2025-12-31</t>
  </si>
  <si>
    <t>301</t>
  </si>
  <si>
    <t>Cumplimiento plan de trabajo</t>
  </si>
  <si>
    <t>301-2023-03-31</t>
  </si>
  <si>
    <t>301-2023-06-30</t>
  </si>
  <si>
    <t>301-2023-09-30</t>
  </si>
  <si>
    <t>301-2023-12-31</t>
  </si>
  <si>
    <t>301-2024-03-31</t>
  </si>
  <si>
    <t>301-2024-06-30</t>
  </si>
  <si>
    <t>301-2024-09-30</t>
  </si>
  <si>
    <t>301-2024-12-31</t>
  </si>
  <si>
    <t>301-2025-03-31</t>
  </si>
  <si>
    <t>301-2025-06-30</t>
  </si>
  <si>
    <t>301-2025-12-31</t>
  </si>
  <si>
    <t>302</t>
  </si>
  <si>
    <t>N de solicitudes radicadas</t>
  </si>
  <si>
    <t>302-2023-06-30</t>
  </si>
  <si>
    <t>302-2023-12-31</t>
  </si>
  <si>
    <t>302-2024-06-30</t>
  </si>
  <si>
    <t>302-2024-12-31</t>
  </si>
  <si>
    <t>N de solicitudes radicadas - (Metrica)</t>
  </si>
  <si>
    <t>21712</t>
  </si>
  <si>
    <t>21712.0%</t>
  </si>
  <si>
    <t>302-2025-06-30</t>
  </si>
  <si>
    <t>31371</t>
  </si>
  <si>
    <t>31371.0%</t>
  </si>
  <si>
    <t>302-2025-12-31</t>
  </si>
  <si>
    <t>303</t>
  </si>
  <si>
    <t>Cumplimiento del cronograma de actividades de salud</t>
  </si>
  <si>
    <t>303-2023-06-30</t>
  </si>
  <si>
    <t>303-2023-12-31</t>
  </si>
  <si>
    <t>303-2024-06-30</t>
  </si>
  <si>
    <t>303-2024-12-31</t>
  </si>
  <si>
    <t>90.32</t>
  </si>
  <si>
    <t>90.32%</t>
  </si>
  <si>
    <t>303-2025-06-30</t>
  </si>
  <si>
    <t>303-2025-12-31</t>
  </si>
  <si>
    <t>304</t>
  </si>
  <si>
    <t>Impacto de Campañas de promoción y prevención</t>
  </si>
  <si>
    <t>304-2023-06-30</t>
  </si>
  <si>
    <t>304-2023-12-31</t>
  </si>
  <si>
    <t>304-2024-06-30</t>
  </si>
  <si>
    <t>304-2024-12-31</t>
  </si>
  <si>
    <t>98.47</t>
  </si>
  <si>
    <t>98.47%</t>
  </si>
  <si>
    <t>304-2025-06-30</t>
  </si>
  <si>
    <t>116.09</t>
  </si>
  <si>
    <t>116.09%</t>
  </si>
  <si>
    <t>304-2025-12-31</t>
  </si>
  <si>
    <t>305</t>
  </si>
  <si>
    <t>Cumplimiento del plan anual de mantenimiento de equipos médicos</t>
  </si>
  <si>
    <t>305-2023-12-31</t>
  </si>
  <si>
    <t>305-2024-12-31</t>
  </si>
  <si>
    <t>306</t>
  </si>
  <si>
    <t>Seguimiento KPI Plan de Desarrollo Institucional</t>
  </si>
  <si>
    <t>306-2023-06-30</t>
  </si>
  <si>
    <t>306-2023-09-30</t>
  </si>
  <si>
    <t>306-2023-12-31</t>
  </si>
  <si>
    <t>306-2024-03-31</t>
  </si>
  <si>
    <t>306-2024-06-30</t>
  </si>
  <si>
    <t>306-2024-09-30</t>
  </si>
  <si>
    <t>306-2024-12-31</t>
  </si>
  <si>
    <t>306-2025-03-31</t>
  </si>
  <si>
    <t>108.67</t>
  </si>
  <si>
    <t>108.67%</t>
  </si>
  <si>
    <t>306-2025-06-30</t>
  </si>
  <si>
    <t>306-2025-12-31</t>
  </si>
  <si>
    <t>307</t>
  </si>
  <si>
    <t>Organización de escenarios de visibilidad nacional e internacional</t>
  </si>
  <si>
    <t>307-2023-06-30</t>
  </si>
  <si>
    <t>307-2023-12-31</t>
  </si>
  <si>
    <t>307-2024-06-30</t>
  </si>
  <si>
    <t>307-2024-12-31</t>
  </si>
  <si>
    <t>308</t>
  </si>
  <si>
    <t>Movilidad Física Entrantes Profesores</t>
  </si>
  <si>
    <t>308-2023-06-30</t>
  </si>
  <si>
    <t>308-2023-12-31</t>
  </si>
  <si>
    <t>308-2024-06-30</t>
  </si>
  <si>
    <t>308-2024-12-31</t>
  </si>
  <si>
    <t>309</t>
  </si>
  <si>
    <t>Movilidad Física Profesores Salientes</t>
  </si>
  <si>
    <t>309-2023-06-30</t>
  </si>
  <si>
    <t>309-2023-12-31</t>
  </si>
  <si>
    <t>309-2024-06-30</t>
  </si>
  <si>
    <t>Movilidad Física Salientes Profesores</t>
  </si>
  <si>
    <t>309-2024-12-31</t>
  </si>
  <si>
    <t>310</t>
  </si>
  <si>
    <t>Movilidad Física Entrante Estudiantes</t>
  </si>
  <si>
    <t>310-2023-06-30</t>
  </si>
  <si>
    <t>310-2023-12-31</t>
  </si>
  <si>
    <t>310-2024-06-30</t>
  </si>
  <si>
    <t>310-2024-12-31</t>
  </si>
  <si>
    <t>311</t>
  </si>
  <si>
    <t>Movilidad Física Saliente Estudiantes</t>
  </si>
  <si>
    <t>311-2023-06-30</t>
  </si>
  <si>
    <t>311-2023-12-31</t>
  </si>
  <si>
    <t>311-2024-06-30</t>
  </si>
  <si>
    <t>311-2024-12-31</t>
  </si>
  <si>
    <t>312</t>
  </si>
  <si>
    <t>Clases espejo</t>
  </si>
  <si>
    <t>312-2023-06-30</t>
  </si>
  <si>
    <t>312-2023-12-31</t>
  </si>
  <si>
    <t>312-2024-06-30</t>
  </si>
  <si>
    <t>312-2024-12-31</t>
  </si>
  <si>
    <t>313</t>
  </si>
  <si>
    <t>Seminarios y cursos internacionales virtuales impartidos y certificados por entidades externas</t>
  </si>
  <si>
    <t>313-2023-06-30</t>
  </si>
  <si>
    <t>313-2023-12-31</t>
  </si>
  <si>
    <t>313-2024-06-30</t>
  </si>
  <si>
    <t>313-2024-12-31</t>
  </si>
  <si>
    <t>314</t>
  </si>
  <si>
    <t>N de asignaturas COIL - (Collaborative Online International Learning)</t>
  </si>
  <si>
    <t>314-2023-06-30</t>
  </si>
  <si>
    <t>314-2023-12-31</t>
  </si>
  <si>
    <t>314-2024-06-30</t>
  </si>
  <si>
    <t>314-2024-12-31</t>
  </si>
  <si>
    <t>315</t>
  </si>
  <si>
    <t>Convenios con doble titulación</t>
  </si>
  <si>
    <t>315-2023-06-30</t>
  </si>
  <si>
    <t>315-2023-12-31</t>
  </si>
  <si>
    <t>Num de programas con convenios de doble titulación</t>
  </si>
  <si>
    <t>315-2024-06-30</t>
  </si>
  <si>
    <t>315-2024-12-31</t>
  </si>
  <si>
    <t>316</t>
  </si>
  <si>
    <t>Asignaturas con sesiones en segundo idioma</t>
  </si>
  <si>
    <t>316-2023-06-30</t>
  </si>
  <si>
    <t>316-2023-12-31</t>
  </si>
  <si>
    <t>316-2024-06-30</t>
  </si>
  <si>
    <t>317</t>
  </si>
  <si>
    <t>Plan De Internacionalización A 7 Años</t>
  </si>
  <si>
    <t>317-2023-12-31</t>
  </si>
  <si>
    <t>317-2024-12-31</t>
  </si>
  <si>
    <t>318</t>
  </si>
  <si>
    <t>Convenios, alianzas activas con actividades desde 2018</t>
  </si>
  <si>
    <t>318-2023-06-30</t>
  </si>
  <si>
    <t>318-2023-12-31</t>
  </si>
  <si>
    <t>Convenios, alianzas activas con actividades en los últimos 5 años</t>
  </si>
  <si>
    <t>318-2024-12-31</t>
  </si>
  <si>
    <t>86.16</t>
  </si>
  <si>
    <t>85.0%</t>
  </si>
  <si>
    <t>86.16%</t>
  </si>
  <si>
    <t>318-2025-12-31</t>
  </si>
  <si>
    <t>319</t>
  </si>
  <si>
    <t>Nivel de cumplimiento de la gestión de internacionalización descrito en el plan de trabajo de la ORNI</t>
  </si>
  <si>
    <t>319-2023-06-30</t>
  </si>
  <si>
    <t>319-2023-12-31</t>
  </si>
  <si>
    <t>319-2024-06-30</t>
  </si>
  <si>
    <t>319-2024-12-31</t>
  </si>
  <si>
    <t>320</t>
  </si>
  <si>
    <t>Participación docentes eventos académicos internacionales virtuales</t>
  </si>
  <si>
    <t>320-2023-06-30</t>
  </si>
  <si>
    <t>320-2023-12-31</t>
  </si>
  <si>
    <t>Participación docentes Poli en eventos académicos internacionales virtuales</t>
  </si>
  <si>
    <t>320-2024-06-30</t>
  </si>
  <si>
    <t>320-2024-12-31</t>
  </si>
  <si>
    <t>321</t>
  </si>
  <si>
    <t>Participación estudiantes eventos académicos internacionales virtuales</t>
  </si>
  <si>
    <t>321-2023-06-30</t>
  </si>
  <si>
    <t>321-2023-12-31</t>
  </si>
  <si>
    <t>Participación estudiantes Poli en eventos académicos internacionales virtuales</t>
  </si>
  <si>
    <t>321-2024-06-30</t>
  </si>
  <si>
    <t>321-2024-12-31</t>
  </si>
  <si>
    <t>323</t>
  </si>
  <si>
    <t>Número de renovaciones de registro calificado</t>
  </si>
  <si>
    <t>323-2022-12-31</t>
  </si>
  <si>
    <t>323-2023-06-30</t>
  </si>
  <si>
    <t>323-2023-12-31</t>
  </si>
  <si>
    <t>323-2024-06-30</t>
  </si>
  <si>
    <t>323-2024-12-31</t>
  </si>
  <si>
    <t>323-2025-06-30</t>
  </si>
  <si>
    <t>323-2025-12-31</t>
  </si>
  <si>
    <t>324</t>
  </si>
  <si>
    <t>Número de programas nuevos radicados en el Ministerio de Educación</t>
  </si>
  <si>
    <t>324-2023-06-30</t>
  </si>
  <si>
    <t>324-2023-12-31</t>
  </si>
  <si>
    <t>324-2024-06-30</t>
  </si>
  <si>
    <t>324-2024-12-31</t>
  </si>
  <si>
    <t>324-2025-06-30</t>
  </si>
  <si>
    <t>200.0%</t>
  </si>
  <si>
    <t>324-2025-12-31</t>
  </si>
  <si>
    <t>325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</si>
  <si>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</si>
  <si>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</si>
  <si>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</si>
  <si>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</si>
  <si>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</si>
  <si>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</si>
  <si>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</si>
  <si>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Número de programas nuevos con registro calificado aprobado - Metrica</t>
  </si>
  <si>
    <t>325-2025-06-30</t>
  </si>
  <si>
    <t>325-2025-12-31</t>
  </si>
  <si>
    <t>325.1</t>
  </si>
  <si>
    <t>Lanzamiento de nuevos programas presencial</t>
  </si>
  <si>
    <t>325.1-2022-12-31</t>
  </si>
  <si>
    <t>325.1-2023-12-31</t>
  </si>
  <si>
    <t>325.1-2024-12-30</t>
  </si>
  <si>
    <t>325.2</t>
  </si>
  <si>
    <t>Lanzamiento de nuevos programas virtual</t>
  </si>
  <si>
    <t>325.2-2022-12-31</t>
  </si>
  <si>
    <t>325.2-2023-12-31</t>
  </si>
  <si>
    <t>325.2-2024-12-31</t>
  </si>
  <si>
    <t>326</t>
  </si>
  <si>
    <t>Número de informes de autoevaluación con fines de acreditación en alta calidad radicados</t>
  </si>
  <si>
    <t>326-2023-12-31</t>
  </si>
  <si>
    <t>326-2024-12-31</t>
  </si>
  <si>
    <t>Número de informes de autoevaluación con fines de acreditación en alta calidad radicados- Metrica</t>
  </si>
  <si>
    <t>326-2025-12-31</t>
  </si>
  <si>
    <t>327</t>
  </si>
  <si>
    <t>Número de programas con obtención de acreditación por primera vez</t>
  </si>
  <si>
    <t>327-2022-12-31</t>
  </si>
  <si>
    <t>327-2023-06-30</t>
  </si>
  <si>
    <t>327-2023-12-31</t>
  </si>
  <si>
    <t>327-2024-06-30</t>
  </si>
  <si>
    <t>327-2024-12-31</t>
  </si>
  <si>
    <t>Número de programas con obtención de acreditación por primera vez- Metrica</t>
  </si>
  <si>
    <t>327-2025-06-30</t>
  </si>
  <si>
    <t>327-2025-12-31</t>
  </si>
  <si>
    <t>328</t>
  </si>
  <si>
    <t>Nivel de encuestas obtenidas en el encuentro institucional de graduados</t>
  </si>
  <si>
    <t>Gestión de Graduados</t>
  </si>
  <si>
    <t>328-2023-12-31</t>
  </si>
  <si>
    <t>328-2024-12-31</t>
  </si>
  <si>
    <t>329</t>
  </si>
  <si>
    <t>Participación en actividades diseñadas para graduados</t>
  </si>
  <si>
    <t>329-2023-12-31</t>
  </si>
  <si>
    <t>329-2024-12-31</t>
  </si>
  <si>
    <t>331</t>
  </si>
  <si>
    <t>Nivel de empleabilidad del graduado</t>
  </si>
  <si>
    <t>331-2023-12-31</t>
  </si>
  <si>
    <t>331-2024-12-31</t>
  </si>
  <si>
    <t>332</t>
  </si>
  <si>
    <t>Índice de rotación</t>
  </si>
  <si>
    <t>332-2022-06-30</t>
  </si>
  <si>
    <t>332-2022-12-31</t>
  </si>
  <si>
    <t>332-2023-06-30</t>
  </si>
  <si>
    <t>332-2023-12-31</t>
  </si>
  <si>
    <t>332-2024-06-30</t>
  </si>
  <si>
    <t>332-2024-12-31</t>
  </si>
  <si>
    <t>0.85</t>
  </si>
  <si>
    <t>1.18%</t>
  </si>
  <si>
    <t>0.85%</t>
  </si>
  <si>
    <t>332-2025-06-30</t>
  </si>
  <si>
    <t>0.93</t>
  </si>
  <si>
    <t>0.93%</t>
  </si>
  <si>
    <t>332-2025-12-31</t>
  </si>
  <si>
    <t>334</t>
  </si>
  <si>
    <t>Resultado de la evaluación 360 (evaluación por competencias)</t>
  </si>
  <si>
    <t>334-2022-12-31</t>
  </si>
  <si>
    <t>334-2023-12-31</t>
  </si>
  <si>
    <t>334-2024-12-31</t>
  </si>
  <si>
    <t>334-2025-12-31</t>
  </si>
  <si>
    <t>335</t>
  </si>
  <si>
    <t>Cumplimiento de diagnóstico necesidades de capacitación por área</t>
  </si>
  <si>
    <t>335-2023-12-31</t>
  </si>
  <si>
    <t>335-2024-12-31</t>
  </si>
  <si>
    <t>336</t>
  </si>
  <si>
    <t>Materiales bibliográficos en formato físico con estado de perdida</t>
  </si>
  <si>
    <t>336-2023-12-31</t>
  </si>
  <si>
    <t>336-2024-12-31</t>
  </si>
  <si>
    <t>0.36</t>
  </si>
  <si>
    <t>0.36%</t>
  </si>
  <si>
    <t>336-2025-12-31</t>
  </si>
  <si>
    <t>337</t>
  </si>
  <si>
    <t>Número de programas con renovación de acreditación en alta calidad</t>
  </si>
  <si>
    <t>337-2023-06-30</t>
  </si>
  <si>
    <t>337-2023-12-31</t>
  </si>
  <si>
    <t>337-2024-06-30</t>
  </si>
  <si>
    <t>337-2024-12-31</t>
  </si>
  <si>
    <t>Número de programas con renovación de acreditación en alta calidad - Metrica</t>
  </si>
  <si>
    <t>337-2025-06-30</t>
  </si>
  <si>
    <t>337-2025-12-31</t>
  </si>
  <si>
    <t>338</t>
  </si>
  <si>
    <t>Número de programas con condiciones iniciales aprobadas (indicador externo)</t>
  </si>
  <si>
    <t>338-2023-06-30</t>
  </si>
  <si>
    <t>338-2023-12-31</t>
  </si>
  <si>
    <t>Número de programas con condiciones iniciales aprobadas</t>
  </si>
  <si>
    <t>338-2024-06-30</t>
  </si>
  <si>
    <t>338-2024-12-31</t>
  </si>
  <si>
    <t>Número de programas con condiciones iniciales aprobadas (indicador externo)- Metrica</t>
  </si>
  <si>
    <t>338-2025-06-30</t>
  </si>
  <si>
    <t>338-2025-12-31</t>
  </si>
  <si>
    <t>339</t>
  </si>
  <si>
    <t>Programas acreditables acreditados Sede Bogotá</t>
  </si>
  <si>
    <t>Autoevaluación institucional</t>
  </si>
  <si>
    <t>339-2023-12-31</t>
  </si>
  <si>
    <t>339-2024-12-31</t>
  </si>
  <si>
    <t>35.29</t>
  </si>
  <si>
    <t>30.0%</t>
  </si>
  <si>
    <t>35.29%</t>
  </si>
  <si>
    <t>339-2025-12-31</t>
  </si>
  <si>
    <t>340</t>
  </si>
  <si>
    <t>Cumplimiento cronograma revisiones locativas</t>
  </si>
  <si>
    <t>340-2023-03-31</t>
  </si>
  <si>
    <t>340-2023-06-30</t>
  </si>
  <si>
    <t>340-2023-09-30</t>
  </si>
  <si>
    <t>340-2023-12-31</t>
  </si>
  <si>
    <t>340-2024-03-31</t>
  </si>
  <si>
    <t>340-2024-06-30</t>
  </si>
  <si>
    <t>340-2024-09-30</t>
  </si>
  <si>
    <t>340-2024-12-31</t>
  </si>
  <si>
    <t>340-2025-03-31</t>
  </si>
  <si>
    <t>340-2025-06-30</t>
  </si>
  <si>
    <t>341</t>
  </si>
  <si>
    <t>Monto total de ahorro en gestión de abastecimiento</t>
  </si>
  <si>
    <t>341-2023-06-30</t>
  </si>
  <si>
    <t>341-2023-12-31</t>
  </si>
  <si>
    <t>Reducción de costos en gestión de abastecimiento</t>
  </si>
  <si>
    <t>341-2024-06-30</t>
  </si>
  <si>
    <t>341-2024-12-31</t>
  </si>
  <si>
    <t>Eficiencia en la reducción de costos en la gestión del abastecimiento</t>
  </si>
  <si>
    <t>102.25</t>
  </si>
  <si>
    <t>102.25%</t>
  </si>
  <si>
    <t>341-2025-06-30</t>
  </si>
  <si>
    <t>102.65</t>
  </si>
  <si>
    <t>102.65%</t>
  </si>
  <si>
    <t>341-2025-12-31</t>
  </si>
  <si>
    <t>344</t>
  </si>
  <si>
    <t>Cumplimiento del plan de Inducción institucional</t>
  </si>
  <si>
    <t>344-2023-06-30</t>
  </si>
  <si>
    <t>344-2023-12-31</t>
  </si>
  <si>
    <t>344-2024-06-30</t>
  </si>
  <si>
    <t>344-2024-12-31</t>
  </si>
  <si>
    <t>99.43</t>
  </si>
  <si>
    <t>99.43%</t>
  </si>
  <si>
    <t>344-2025-06-30</t>
  </si>
  <si>
    <t>344-2025-12-31</t>
  </si>
  <si>
    <t>345</t>
  </si>
  <si>
    <t>% de profesores impactados plan de desarrollo docente</t>
  </si>
  <si>
    <t>345-2023-12-31</t>
  </si>
  <si>
    <t>346</t>
  </si>
  <si>
    <t>% de profesores impactados en actividades de Bienestar</t>
  </si>
  <si>
    <t>346-2023-12-31</t>
  </si>
  <si>
    <t>346-2024-12-31</t>
  </si>
  <si>
    <t>97.28</t>
  </si>
  <si>
    <t>97.28%</t>
  </si>
  <si>
    <t>346-2025-12-31</t>
  </si>
  <si>
    <t>347</t>
  </si>
  <si>
    <t>Legalizaciones y anticipos</t>
  </si>
  <si>
    <t>347-2023-03-31</t>
  </si>
  <si>
    <t>347-2023-06-30</t>
  </si>
  <si>
    <t>347-2023-09-30</t>
  </si>
  <si>
    <t>347-2023-12-31</t>
  </si>
  <si>
    <t>347-2024-03-31</t>
  </si>
  <si>
    <t>347-2024-06-30</t>
  </si>
  <si>
    <t>347-2024-09-30</t>
  </si>
  <si>
    <t>347-2024-12-31</t>
  </si>
  <si>
    <t>347-2025-03-31</t>
  </si>
  <si>
    <t>347-2025-06-30</t>
  </si>
  <si>
    <t>347-2025-12-31</t>
  </si>
  <si>
    <t>348</t>
  </si>
  <si>
    <t>Cuentas por pagar</t>
  </si>
  <si>
    <t>348-2023-03-31</t>
  </si>
  <si>
    <t>348-2023-06-30</t>
  </si>
  <si>
    <t>348-2023-09-30</t>
  </si>
  <si>
    <t>348-2023-12-31</t>
  </si>
  <si>
    <t>348-2024-03-31</t>
  </si>
  <si>
    <t>348-2024-06-30</t>
  </si>
  <si>
    <t>348-2024-09-30</t>
  </si>
  <si>
    <t>348-2024-12-31</t>
  </si>
  <si>
    <t>99.0%</t>
  </si>
  <si>
    <t>348-2025-03-31</t>
  </si>
  <si>
    <t>348-2025-06-30</t>
  </si>
  <si>
    <t>348-2025-12-31</t>
  </si>
  <si>
    <t>349</t>
  </si>
  <si>
    <t>Número de redes de investigación</t>
  </si>
  <si>
    <t>349-2023-12-31</t>
  </si>
  <si>
    <t>350</t>
  </si>
  <si>
    <t>Centros de investigación, ciencia y de apoyo a CTI en consolidación</t>
  </si>
  <si>
    <t>350-2023-12-31</t>
  </si>
  <si>
    <t>351</t>
  </si>
  <si>
    <t>Partidas conciliatorias de bancos</t>
  </si>
  <si>
    <t>351-2023-03-31</t>
  </si>
  <si>
    <t>351-2023-06-30</t>
  </si>
  <si>
    <t>351-2023-09-30</t>
  </si>
  <si>
    <t>351-2023-12-31</t>
  </si>
  <si>
    <t>351-2024-03-31</t>
  </si>
  <si>
    <t>351-2024-06-30</t>
  </si>
  <si>
    <t>351-2024-09-30</t>
  </si>
  <si>
    <t>351-2024-12-31</t>
  </si>
  <si>
    <t>0.47</t>
  </si>
  <si>
    <t>0.47%</t>
  </si>
  <si>
    <t>351-2025-03-31</t>
  </si>
  <si>
    <t>0.65</t>
  </si>
  <si>
    <t>0.65%</t>
  </si>
  <si>
    <t>351-2025-06-30</t>
  </si>
  <si>
    <t>352</t>
  </si>
  <si>
    <t>Nivel de facturas generadas con error</t>
  </si>
  <si>
    <t>352-2023-03-31</t>
  </si>
  <si>
    <t>352-2023-06-30</t>
  </si>
  <si>
    <t>352-2023-09-30</t>
  </si>
  <si>
    <t>352-2023-12-31</t>
  </si>
  <si>
    <t>352-2024-03-31</t>
  </si>
  <si>
    <t>352-2024-06-30</t>
  </si>
  <si>
    <t>352-2024-09-30</t>
  </si>
  <si>
    <t>352-2024-12-31</t>
  </si>
  <si>
    <t>352-2025-03-31</t>
  </si>
  <si>
    <t>0.01</t>
  </si>
  <si>
    <t>0.01%</t>
  </si>
  <si>
    <t>352-2025-06-30</t>
  </si>
  <si>
    <t>353</t>
  </si>
  <si>
    <t>Cobertura de tableros BI en procesos</t>
  </si>
  <si>
    <t>DATOS Y ANALÍTICA</t>
  </si>
  <si>
    <t>353-2023-06-30</t>
  </si>
  <si>
    <t>353-2023-12-31</t>
  </si>
  <si>
    <t>354</t>
  </si>
  <si>
    <t>Plan de formación en analitica</t>
  </si>
  <si>
    <t>354-2023-06-30</t>
  </si>
  <si>
    <t>354-2023-12-31</t>
  </si>
  <si>
    <t>355</t>
  </si>
  <si>
    <t>Indice de liquidez</t>
  </si>
  <si>
    <t>355-2023-12-31</t>
  </si>
  <si>
    <t>355-2024-12-31</t>
  </si>
  <si>
    <t>1.56</t>
  </si>
  <si>
    <t>1.56%</t>
  </si>
  <si>
    <t>355-2025-12-31</t>
  </si>
  <si>
    <t>356</t>
  </si>
  <si>
    <t>Indice de Endeudamiento</t>
  </si>
  <si>
    <t>356-2023-06-30</t>
  </si>
  <si>
    <t>356-2023-12-31</t>
  </si>
  <si>
    <t>356-2024-06-30</t>
  </si>
  <si>
    <t>356-2024-12-31</t>
  </si>
  <si>
    <t>49.14</t>
  </si>
  <si>
    <t>60.0%</t>
  </si>
  <si>
    <t>49.14%</t>
  </si>
  <si>
    <t>356-2025-06-30</t>
  </si>
  <si>
    <t>64.77</t>
  </si>
  <si>
    <t>64.77%</t>
  </si>
  <si>
    <t>356-2025-12-31</t>
  </si>
  <si>
    <t>357</t>
  </si>
  <si>
    <t>Cartera</t>
  </si>
  <si>
    <t>357-2023-06-30</t>
  </si>
  <si>
    <t>357-2023-12-31</t>
  </si>
  <si>
    <t>357-2024-06-30</t>
  </si>
  <si>
    <t>357-2024-12-31</t>
  </si>
  <si>
    <t>Cartera - Metrica</t>
  </si>
  <si>
    <t>357-2025-06-30</t>
  </si>
  <si>
    <t>358</t>
  </si>
  <si>
    <t>Acompañamiento a estudiantes en practicas</t>
  </si>
  <si>
    <t>Prácticas</t>
  </si>
  <si>
    <t>358-2023-06-30</t>
  </si>
  <si>
    <t>358-2023-12-31</t>
  </si>
  <si>
    <t>358-2024-06-30</t>
  </si>
  <si>
    <t>358-2024-12-31</t>
  </si>
  <si>
    <t>Nivel de acompañamiento a estudiantes en práctica</t>
  </si>
  <si>
    <t>358-2025-06-30</t>
  </si>
  <si>
    <t>358-2025-12-31</t>
  </si>
  <si>
    <t>359</t>
  </si>
  <si>
    <t>Satisfacción Institucional</t>
  </si>
  <si>
    <t>359-2024-12-31</t>
  </si>
  <si>
    <t>Satisfacción Institucional CSAT</t>
  </si>
  <si>
    <t>359-2025-06-30</t>
  </si>
  <si>
    <t>89.9</t>
  </si>
  <si>
    <t>89.9%</t>
  </si>
  <si>
    <t>359-2025-12-31</t>
  </si>
  <si>
    <t>360</t>
  </si>
  <si>
    <t>Cumplimiento de cronogramas</t>
  </si>
  <si>
    <t>360-2023-06-30</t>
  </si>
  <si>
    <t>360-2023-12-31</t>
  </si>
  <si>
    <t>361</t>
  </si>
  <si>
    <t>% Inclusión</t>
  </si>
  <si>
    <t>Gestión de la Responsabilidad Social</t>
  </si>
  <si>
    <t>361-2023-12-31</t>
  </si>
  <si>
    <t>Inclusión</t>
  </si>
  <si>
    <t>361-2024-12-31</t>
  </si>
  <si>
    <t>Índice de Inclusión</t>
  </si>
  <si>
    <t>4.78</t>
  </si>
  <si>
    <t>4.78%</t>
  </si>
  <si>
    <t>361-2025-12-31</t>
  </si>
  <si>
    <t>362</t>
  </si>
  <si>
    <t>Aseguramiento de matricula académica presencial</t>
  </si>
  <si>
    <t>Operaciones Académicas</t>
  </si>
  <si>
    <t>362-2023-12-31</t>
  </si>
  <si>
    <t>362-2024-06-30</t>
  </si>
  <si>
    <t>362-2024-12-31</t>
  </si>
  <si>
    <t>99.63</t>
  </si>
  <si>
    <t>99.63%</t>
  </si>
  <si>
    <t>362-2025-06-30</t>
  </si>
  <si>
    <t>99.7</t>
  </si>
  <si>
    <t>99.7%</t>
  </si>
  <si>
    <t>362-2025-12-31</t>
  </si>
  <si>
    <t>363</t>
  </si>
  <si>
    <t>Seguimiento a la parametrización de aulas master y secciones de asignaturas</t>
  </si>
  <si>
    <t>363-2023-12-31</t>
  </si>
  <si>
    <t>363-2024-06-30</t>
  </si>
  <si>
    <t>363-2024-12-31</t>
  </si>
  <si>
    <t>363-2025-06-30</t>
  </si>
  <si>
    <t>363-2025-12-31</t>
  </si>
  <si>
    <t>364</t>
  </si>
  <si>
    <t>Impacto de actividades de Responsabilidad y proyección</t>
  </si>
  <si>
    <t>364-2023-06-30</t>
  </si>
  <si>
    <t>364-2023-12-31</t>
  </si>
  <si>
    <t>364-2024-06-30</t>
  </si>
  <si>
    <t>364-2024-12-31</t>
  </si>
  <si>
    <t>93.89</t>
  </si>
  <si>
    <t>93.89%</t>
  </si>
  <si>
    <t>364-2025-06-30</t>
  </si>
  <si>
    <t>78.11</t>
  </si>
  <si>
    <t>78.11%</t>
  </si>
  <si>
    <t>364-2025-12-31</t>
  </si>
  <si>
    <t>365</t>
  </si>
  <si>
    <t>Seguimiento de asignación docente a NRC Pregrado-Posgrado Presencial</t>
  </si>
  <si>
    <t>365-2023-12-31</t>
  </si>
  <si>
    <t>366</t>
  </si>
  <si>
    <t>Normalización de cobros pecuniarios</t>
  </si>
  <si>
    <t>366-2023-12-31</t>
  </si>
  <si>
    <t>366-2024-12-31</t>
  </si>
  <si>
    <t>366-2025-12-31</t>
  </si>
  <si>
    <t>367</t>
  </si>
  <si>
    <t>Estudiantes con Becas</t>
  </si>
  <si>
    <t>367-2022-12-31</t>
  </si>
  <si>
    <t>% Estudiantes con Becas</t>
  </si>
  <si>
    <t>367-2023-12-31</t>
  </si>
  <si>
    <t>367-2024-12-31</t>
  </si>
  <si>
    <t>3.82</t>
  </si>
  <si>
    <t>3.82%</t>
  </si>
  <si>
    <t>367-2025-12-31</t>
  </si>
  <si>
    <t>368</t>
  </si>
  <si>
    <t>Satisfacción de los estudiantes de Educación para toda la vida</t>
  </si>
  <si>
    <t>Operación de Educación no Formal</t>
  </si>
  <si>
    <t>368-2023-09-30</t>
  </si>
  <si>
    <t>368-2023-12-31</t>
  </si>
  <si>
    <t>368-2024-03-31</t>
  </si>
  <si>
    <t>368-2024-06-30</t>
  </si>
  <si>
    <t>368-2024-09-30</t>
  </si>
  <si>
    <t>368-2024-12-31</t>
  </si>
  <si>
    <t>368-2025-03-31</t>
  </si>
  <si>
    <t>368-2025-06-30</t>
  </si>
  <si>
    <t>368-2025-12-31</t>
  </si>
  <si>
    <t>369</t>
  </si>
  <si>
    <t>Participación de POLI- voluntariados (Estudiantes- Colaboradores)</t>
  </si>
  <si>
    <t>369-2023-06-30</t>
  </si>
  <si>
    <t>369-2023-12-31</t>
  </si>
  <si>
    <t>369-2024-06-30</t>
  </si>
  <si>
    <t>369-2024-12-31</t>
  </si>
  <si>
    <t>369-2025-06-30</t>
  </si>
  <si>
    <t>108.26</t>
  </si>
  <si>
    <t>108.26%</t>
  </si>
  <si>
    <t>369-2025-12-31</t>
  </si>
  <si>
    <t>370</t>
  </si>
  <si>
    <t>Oportunidades de mejora - Huella Verde</t>
  </si>
  <si>
    <t>370-2023-06-30</t>
  </si>
  <si>
    <t>370-2023-12-31</t>
  </si>
  <si>
    <t>371</t>
  </si>
  <si>
    <t>Recaudación de fondos</t>
  </si>
  <si>
    <t>371-2023-06-30</t>
  </si>
  <si>
    <t>371-2023-12-31</t>
  </si>
  <si>
    <t>371-2024-06-30</t>
  </si>
  <si>
    <t>371-2024-12-31</t>
  </si>
  <si>
    <t>73.69</t>
  </si>
  <si>
    <t>73.69%</t>
  </si>
  <si>
    <t>371-2025-06-30</t>
  </si>
  <si>
    <t>83.42</t>
  </si>
  <si>
    <t>83.42%</t>
  </si>
  <si>
    <t>371-2025-12-31</t>
  </si>
  <si>
    <t>372</t>
  </si>
  <si>
    <t>Satisfacción de los clientes corporativos Educación para toda la vida</t>
  </si>
  <si>
    <t>372-2023-09-30</t>
  </si>
  <si>
    <t>372-2023-12-31</t>
  </si>
  <si>
    <t>372-2024-03-31</t>
  </si>
  <si>
    <t>372-2024-06-30</t>
  </si>
  <si>
    <t>372-2024-09-30</t>
  </si>
  <si>
    <t>372-2024-12-31</t>
  </si>
  <si>
    <t>372-2025-03-31</t>
  </si>
  <si>
    <t>372-2025-06-30</t>
  </si>
  <si>
    <t>97</t>
  </si>
  <si>
    <t>372-2025-12-31</t>
  </si>
  <si>
    <t>373</t>
  </si>
  <si>
    <t>Cumplimiento de planes anuales por líneas</t>
  </si>
  <si>
    <t>373-2023-06-30</t>
  </si>
  <si>
    <t>373-2023-09-30</t>
  </si>
  <si>
    <t>373-2023-12-31</t>
  </si>
  <si>
    <t>373-2024-03-31</t>
  </si>
  <si>
    <t>373-2024-06-30</t>
  </si>
  <si>
    <t>373-2024-09-30</t>
  </si>
  <si>
    <t>373-2024-12-31</t>
  </si>
  <si>
    <t>107.46</t>
  </si>
  <si>
    <t>107.46%</t>
  </si>
  <si>
    <t>373-2025-03-31</t>
  </si>
  <si>
    <t>101.75</t>
  </si>
  <si>
    <t>101.75%</t>
  </si>
  <si>
    <t>373-2025-06-30</t>
  </si>
  <si>
    <t>373-2025-12-31</t>
  </si>
  <si>
    <t>374</t>
  </si>
  <si>
    <t>Disponibilidad de máster modalidad virtual</t>
  </si>
  <si>
    <t>374-2023-12-31</t>
  </si>
  <si>
    <t>375</t>
  </si>
  <si>
    <t>Disponibilidad de catálogo de asignaturas pregrado y posgrado presencial</t>
  </si>
  <si>
    <t>375-2023-12-31</t>
  </si>
  <si>
    <t>375-2024-06-30</t>
  </si>
  <si>
    <t>375-2024-12-31</t>
  </si>
  <si>
    <t>375-2025-06-30</t>
  </si>
  <si>
    <t>375-2025-12-31</t>
  </si>
  <si>
    <t>376</t>
  </si>
  <si>
    <t>Cumplimiento EBIDTA</t>
  </si>
  <si>
    <t>376-2022-06-30</t>
  </si>
  <si>
    <t>376-2022-12-30</t>
  </si>
  <si>
    <t>376-2023-06-30</t>
  </si>
  <si>
    <t>376-2023-12-31</t>
  </si>
  <si>
    <t>376-2024-06-30</t>
  </si>
  <si>
    <t>Cumplimiento EBITDA</t>
  </si>
  <si>
    <t>376-2024-12-31</t>
  </si>
  <si>
    <t>117.87</t>
  </si>
  <si>
    <t>117.87%</t>
  </si>
  <si>
    <t>376-2025-06-30</t>
  </si>
  <si>
    <t>117.51</t>
  </si>
  <si>
    <t>117.51%</t>
  </si>
  <si>
    <t>376-2025-12-31</t>
  </si>
  <si>
    <t>377</t>
  </si>
  <si>
    <t>CAPEX</t>
  </si>
  <si>
    <t>377-2023-06-30</t>
  </si>
  <si>
    <t>377-2023-12-31</t>
  </si>
  <si>
    <t>377-2024-06-30</t>
  </si>
  <si>
    <t>377-2024-12-31</t>
  </si>
  <si>
    <t>107.11</t>
  </si>
  <si>
    <t>107.11%</t>
  </si>
  <si>
    <t>377-2025-12-31</t>
  </si>
  <si>
    <t>378</t>
  </si>
  <si>
    <t>Proyectos tecnológicos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</si>
  <si>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</si>
  <si>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</si>
  <si>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</si>
  <si>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</si>
  <si>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</si>
  <si>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</si>
  <si>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</si>
  <si>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</si>
  <si>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</si>
  <si>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</si>
  <si>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</si>
  <si>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378-2023-12-31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</si>
  <si>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</si>
  <si>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</si>
  <si>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</si>
  <si>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</si>
  <si>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</si>
  <si>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</si>
  <si>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</si>
  <si>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</si>
  <si>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</si>
  <si>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</si>
  <si>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</si>
  <si>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378-2024-12-31</t>
  </si>
  <si>
    <t>379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</si>
  <si>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</si>
  <si>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</si>
  <si>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</si>
  <si>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</si>
  <si>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</si>
  <si>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</si>
  <si>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</si>
  <si>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</si>
  <si>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104.11</t>
  </si>
  <si>
    <t>104.11%</t>
  </si>
  <si>
    <t>379-2025-06-30</t>
  </si>
  <si>
    <t>102.41</t>
  </si>
  <si>
    <t>102.41%</t>
  </si>
  <si>
    <t>379-2025-12-31</t>
  </si>
  <si>
    <t>380</t>
  </si>
  <si>
    <t>Ingresos de matriculas de estudiantes nuevos</t>
  </si>
  <si>
    <t>380-2023-06-30</t>
  </si>
  <si>
    <t>380-2023-12-31</t>
  </si>
  <si>
    <t>380-2024-06-30</t>
  </si>
  <si>
    <t>380-2024-12-31</t>
  </si>
  <si>
    <t>381</t>
  </si>
  <si>
    <t>Cumplimiento de matrículas pregrado presencial nuevos</t>
  </si>
  <si>
    <t>381-2022-06-30</t>
  </si>
  <si>
    <t>381-2022-12-31</t>
  </si>
  <si>
    <t>381-2023-06-30</t>
  </si>
  <si>
    <t>381-2023-12-31</t>
  </si>
  <si>
    <t>381-2024-06-30</t>
  </si>
  <si>
    <t>381-2024-12-31</t>
  </si>
  <si>
    <t>98.22</t>
  </si>
  <si>
    <t>98.22%</t>
  </si>
  <si>
    <t>381-2025-06-30</t>
  </si>
  <si>
    <t>113.66</t>
  </si>
  <si>
    <t>113.66%</t>
  </si>
  <si>
    <t>381-2025-12-31</t>
  </si>
  <si>
    <t>382</t>
  </si>
  <si>
    <t>Cumplimiento de matrículas pregrado virtual nuevos</t>
  </si>
  <si>
    <t>382-2022-06-30</t>
  </si>
  <si>
    <t>382-2022-12-31</t>
  </si>
  <si>
    <t>382-2023-06-30</t>
  </si>
  <si>
    <t>382-2023-12-31</t>
  </si>
  <si>
    <t>382-2024-06-30</t>
  </si>
  <si>
    <t>382-2024-12-31</t>
  </si>
  <si>
    <t>99.85</t>
  </si>
  <si>
    <t>99.85%</t>
  </si>
  <si>
    <t>382-2025-06-30</t>
  </si>
  <si>
    <t>97.21</t>
  </si>
  <si>
    <t>97.21%</t>
  </si>
  <si>
    <t>382-2025-12-31</t>
  </si>
  <si>
    <t>383</t>
  </si>
  <si>
    <t>Cumplimiento de matrículas posgrado virtual nuevos</t>
  </si>
  <si>
    <t>383-2022-06-30</t>
  </si>
  <si>
    <t>383-2022-12-31</t>
  </si>
  <si>
    <t>383-2023-06-30</t>
  </si>
  <si>
    <t>383-2023-12-31</t>
  </si>
  <si>
    <t>383-2024-06-30</t>
  </si>
  <si>
    <t>383-2024-12-31</t>
  </si>
  <si>
    <t>136.96</t>
  </si>
  <si>
    <t>136.96%</t>
  </si>
  <si>
    <t>383-2025-06-30</t>
  </si>
  <si>
    <t>127.87</t>
  </si>
  <si>
    <t>127.87%</t>
  </si>
  <si>
    <t>383-2025-12-31</t>
  </si>
  <si>
    <t>384</t>
  </si>
  <si>
    <t>Cumplimiento de matrículas posgrado presencial nuevos</t>
  </si>
  <si>
    <t>384-2022-06-30</t>
  </si>
  <si>
    <t>384-2022-12-31</t>
  </si>
  <si>
    <t>384-2023-06-30</t>
  </si>
  <si>
    <t>384-2023-12-31</t>
  </si>
  <si>
    <t>384-2024-06-30</t>
  </si>
  <si>
    <t>384-2024-12-31</t>
  </si>
  <si>
    <t>103.23</t>
  </si>
  <si>
    <t>103.23%</t>
  </si>
  <si>
    <t>384-2025-06-30</t>
  </si>
  <si>
    <t>384-2025-12-31</t>
  </si>
  <si>
    <t>385</t>
  </si>
  <si>
    <t>Ingresos totales de educación para la vida</t>
  </si>
  <si>
    <t>Mercadeo y venta de educación para la vida</t>
  </si>
  <si>
    <t>385-2022-06-30</t>
  </si>
  <si>
    <t>385-2022-12-31</t>
  </si>
  <si>
    <t>385-2023-06-30</t>
  </si>
  <si>
    <t>385-2023-12-31</t>
  </si>
  <si>
    <t>385-2024-06-30</t>
  </si>
  <si>
    <t>385-2024-12-31</t>
  </si>
  <si>
    <t>118.92</t>
  </si>
  <si>
    <t>118.92%</t>
  </si>
  <si>
    <t>385-2025-06-30</t>
  </si>
  <si>
    <t>108.89</t>
  </si>
  <si>
    <t>108.89%</t>
  </si>
  <si>
    <t>385-2025-12-31</t>
  </si>
  <si>
    <t>386</t>
  </si>
  <si>
    <t>Cumplimiento Meta comercial Educación para toda la vida por linea</t>
  </si>
  <si>
    <t>386-2023-12-31</t>
  </si>
  <si>
    <t>386-2024-06-30</t>
  </si>
  <si>
    <t>386-2024-12-31</t>
  </si>
  <si>
    <t>386-2025-06-30</t>
  </si>
  <si>
    <t>106.54</t>
  </si>
  <si>
    <t>106.54%</t>
  </si>
  <si>
    <t>386-2025-12-31</t>
  </si>
  <si>
    <t>386.1</t>
  </si>
  <si>
    <t>B2B</t>
  </si>
  <si>
    <t>386.1-2023-12-31</t>
  </si>
  <si>
    <t>386.1-2024-06-30</t>
  </si>
  <si>
    <t>386.1-2024-12-31</t>
  </si>
  <si>
    <t>386.1-2025-06-30</t>
  </si>
  <si>
    <t>386.2</t>
  </si>
  <si>
    <t>B2G</t>
  </si>
  <si>
    <t>386.2-2023-12-31</t>
  </si>
  <si>
    <t>386.2-2024-06-30</t>
  </si>
  <si>
    <t>386.2-2024-12-31</t>
  </si>
  <si>
    <t>386.2-2025-06-30</t>
  </si>
  <si>
    <t>386.3</t>
  </si>
  <si>
    <t>Otros ingresos (Cursos -Opciones de grado)</t>
  </si>
  <si>
    <t>386.3-2023-12-31</t>
  </si>
  <si>
    <t>386.3-2024-06-30</t>
  </si>
  <si>
    <t>386.3-2024-12-31</t>
  </si>
  <si>
    <t>386.3-2025-06-30</t>
  </si>
  <si>
    <t>387</t>
  </si>
  <si>
    <t>Programas con reforzamiento curricular por escuela</t>
  </si>
  <si>
    <t>387-2023-06-30</t>
  </si>
  <si>
    <t>387-2023-12-31</t>
  </si>
  <si>
    <t>388</t>
  </si>
  <si>
    <t>Programas con matriz de resultados de aprendizaje por escuela</t>
  </si>
  <si>
    <t>388-2023-06-30</t>
  </si>
  <si>
    <t>388-2023-12-31</t>
  </si>
  <si>
    <t>389</t>
  </si>
  <si>
    <t>Permanencia por escuela</t>
  </si>
  <si>
    <t>389-2023-06-30</t>
  </si>
  <si>
    <t>389-2023-12-31</t>
  </si>
  <si>
    <t>389-2024-06-30</t>
  </si>
  <si>
    <t>389-2024-12-31</t>
  </si>
  <si>
    <t>Gestión de Unidades Académicas</t>
  </si>
  <si>
    <t>389-2025-06-30</t>
  </si>
  <si>
    <t>390</t>
  </si>
  <si>
    <t>Cumplimiento Plan Anual por escuela</t>
  </si>
  <si>
    <t>390-2023-06-30</t>
  </si>
  <si>
    <t>390-2023-09-30</t>
  </si>
  <si>
    <t>390-2023-12-31</t>
  </si>
  <si>
    <t>390-2024-03-31</t>
  </si>
  <si>
    <t>390-2024-06-30</t>
  </si>
  <si>
    <t>390-2024-09-30</t>
  </si>
  <si>
    <t>390-2024-12-31</t>
  </si>
  <si>
    <t>140.57</t>
  </si>
  <si>
    <t>140.57%</t>
  </si>
  <si>
    <t>390-2025-03-31</t>
  </si>
  <si>
    <t>103.55</t>
  </si>
  <si>
    <t>103.55%</t>
  </si>
  <si>
    <t>390-2025-06-30</t>
  </si>
  <si>
    <t>390-2025-12-31</t>
  </si>
  <si>
    <t>390.1</t>
  </si>
  <si>
    <t>Plan anual Escuela De Ciencias Basicas</t>
  </si>
  <si>
    <t>Gestión de unidades académicas</t>
  </si>
  <si>
    <t>390.1-2023-06-30</t>
  </si>
  <si>
    <t>Plan anual Escuela De Derecho Y Gobierno</t>
  </si>
  <si>
    <t>390.10-2023-06-30</t>
  </si>
  <si>
    <t>390.1-2023-12-31</t>
  </si>
  <si>
    <t>390.10-2023-12-31</t>
  </si>
  <si>
    <t>390.1-2024-06-30</t>
  </si>
  <si>
    <t>390.10-2024-06-30</t>
  </si>
  <si>
    <t>390.11</t>
  </si>
  <si>
    <t>Plan anual Escuela De Marketing Y Branding</t>
  </si>
  <si>
    <t>390.11-2023-06-30</t>
  </si>
  <si>
    <t>390.11-2023-12-31</t>
  </si>
  <si>
    <t>390.11-2024-06-30</t>
  </si>
  <si>
    <t>390.12</t>
  </si>
  <si>
    <t>Plan anual Escuela De Psic, Talento Hum Y Soc</t>
  </si>
  <si>
    <t>390.12-2023-06-30</t>
  </si>
  <si>
    <t>390.12-2023-12-31</t>
  </si>
  <si>
    <t>390.12-2024-06-30</t>
  </si>
  <si>
    <t>390.2</t>
  </si>
  <si>
    <t>Plan anual Escuela De  Diseño</t>
  </si>
  <si>
    <t>390.2-2023-06-30</t>
  </si>
  <si>
    <t>390.2-2023-12-31</t>
  </si>
  <si>
    <t>390.2-2024-06-30</t>
  </si>
  <si>
    <t>390.3</t>
  </si>
  <si>
    <t>Plan anual Escuela De Optimización, Infra Y Auto</t>
  </si>
  <si>
    <t>390.3-2023-06-30</t>
  </si>
  <si>
    <t>390.3-2023-12-31</t>
  </si>
  <si>
    <t>390.3-2024-06-30</t>
  </si>
  <si>
    <t>390.4</t>
  </si>
  <si>
    <t>Plan anual Escuela TIC</t>
  </si>
  <si>
    <t>390.4-2023-06-30</t>
  </si>
  <si>
    <t>390.4-2023-12-31</t>
  </si>
  <si>
    <t>390.4-2024-06-30</t>
  </si>
  <si>
    <t>390.5</t>
  </si>
  <si>
    <t>Plan anual Escuela De Administración y competitividad</t>
  </si>
  <si>
    <t>390.5-2023-06-30</t>
  </si>
  <si>
    <t>390.5-2023-12-31</t>
  </si>
  <si>
    <t>390.5-2024-06-30</t>
  </si>
  <si>
    <t>390.6</t>
  </si>
  <si>
    <t>Plan anual Escuela De Contabilidad Internacional</t>
  </si>
  <si>
    <t>390.6-2023-06-30</t>
  </si>
  <si>
    <t>390.6-2023-12-31</t>
  </si>
  <si>
    <t>390.6-2024-06-30</t>
  </si>
  <si>
    <t>390.7</t>
  </si>
  <si>
    <t>Plan anual Escuela De Negocios Y Desarrollo Internacional</t>
  </si>
  <si>
    <t>390.7-2023-06-30</t>
  </si>
  <si>
    <t>390.7-2023-12-31</t>
  </si>
  <si>
    <t>390.7-2024-06-30</t>
  </si>
  <si>
    <t>390.8</t>
  </si>
  <si>
    <t>Plan anual Escuela De Comunicaciones, Artes Visuales Y Digitales</t>
  </si>
  <si>
    <t>390.8-2023-06-30</t>
  </si>
  <si>
    <t>390.8-2023-12-31</t>
  </si>
  <si>
    <t>390.8-2024-06-30</t>
  </si>
  <si>
    <t>390.9</t>
  </si>
  <si>
    <t>Plan anual Escuela De Educación E Innovación</t>
  </si>
  <si>
    <t>390.9-2023-06-30</t>
  </si>
  <si>
    <t>390.9-2023-12-31</t>
  </si>
  <si>
    <t>390.9-2024-06-30</t>
  </si>
  <si>
    <t>391</t>
  </si>
  <si>
    <t>Satisfacción del cliente con campañas integradas de marketing</t>
  </si>
  <si>
    <t>Gestión de campañas integradas de marketing</t>
  </si>
  <si>
    <t>391-2023-06-30</t>
  </si>
  <si>
    <t>391-2023-12-31</t>
  </si>
  <si>
    <t>391-2024-06-30</t>
  </si>
  <si>
    <t>391-2024-12-31</t>
  </si>
  <si>
    <t>392</t>
  </si>
  <si>
    <t>Ahorro institucional con base en la monetización de los servicios</t>
  </si>
  <si>
    <t>392-2023-06-30</t>
  </si>
  <si>
    <t>392-2023-12-31</t>
  </si>
  <si>
    <t>392-2024-06-30</t>
  </si>
  <si>
    <t>392-2024-12-31</t>
  </si>
  <si>
    <t>100.8</t>
  </si>
  <si>
    <t>100.8%</t>
  </si>
  <si>
    <t>392-2025-12-31</t>
  </si>
  <si>
    <t>393</t>
  </si>
  <si>
    <t>Disminución de los tiempos empleados en el desarrollo de las solicitudes</t>
  </si>
  <si>
    <t>393-2023-12-31</t>
  </si>
  <si>
    <t>393-2024-12-31</t>
  </si>
  <si>
    <t>12.0%</t>
  </si>
  <si>
    <t>393-2025-12-31</t>
  </si>
  <si>
    <t>394</t>
  </si>
  <si>
    <t>Publicaciones en medios de comunicación Tier 1 y Tier 2</t>
  </si>
  <si>
    <t>Comunicaciones Externas</t>
  </si>
  <si>
    <t>394-2023-06-30</t>
  </si>
  <si>
    <t>394-2023-12-31</t>
  </si>
  <si>
    <t>394-2024-06-30</t>
  </si>
  <si>
    <t>394-2024-12-31</t>
  </si>
  <si>
    <t>227.5</t>
  </si>
  <si>
    <t>227.5%</t>
  </si>
  <si>
    <t>394-2025-03-31</t>
  </si>
  <si>
    <t>96.86</t>
  </si>
  <si>
    <t>96.86%</t>
  </si>
  <si>
    <t>394-2025-06-30</t>
  </si>
  <si>
    <t>137.5</t>
  </si>
  <si>
    <t>137.5%</t>
  </si>
  <si>
    <t>394-2025-12-31</t>
  </si>
  <si>
    <t>395</t>
  </si>
  <si>
    <t>Publicaciones en medios de comunicación Tier 1 y Tier 2 de la región Antioquia</t>
  </si>
  <si>
    <t>395-2023-06-30</t>
  </si>
  <si>
    <t>395-2023-12-31</t>
  </si>
  <si>
    <t>Publicaciones en medios de comunicación de la región Antioquia</t>
  </si>
  <si>
    <t>395-2024-06-30</t>
  </si>
  <si>
    <t>395-2024-12-31</t>
  </si>
  <si>
    <t>291.43</t>
  </si>
  <si>
    <t>291.43%</t>
  </si>
  <si>
    <t>395-2025-03-31</t>
  </si>
  <si>
    <t>161.82</t>
  </si>
  <si>
    <t>161.82%</t>
  </si>
  <si>
    <t>395-2025-06-30</t>
  </si>
  <si>
    <t>177.14</t>
  </si>
  <si>
    <t>177.14%</t>
  </si>
  <si>
    <t>395-2025-12-31</t>
  </si>
  <si>
    <t>396</t>
  </si>
  <si>
    <t>Publicaciones en el Campus Virtual</t>
  </si>
  <si>
    <t>396-2023-12-31</t>
  </si>
  <si>
    <t>Diseño de Contenido Virtual</t>
  </si>
  <si>
    <t>396-2024-06-30</t>
  </si>
  <si>
    <t>397</t>
  </si>
  <si>
    <t>Gestión de casos del Estudio de Emisión</t>
  </si>
  <si>
    <t>397-2023-06-30</t>
  </si>
  <si>
    <t>397-2023-12-31</t>
  </si>
  <si>
    <t>397-2024-06-30</t>
  </si>
  <si>
    <t>397-2024-12-31</t>
  </si>
  <si>
    <t>Gestión de casos del Estudio de Grabación Virtual</t>
  </si>
  <si>
    <t>95.26</t>
  </si>
  <si>
    <t>95.26%</t>
  </si>
  <si>
    <t>397-2025-06-30</t>
  </si>
  <si>
    <t>96.14</t>
  </si>
  <si>
    <t>96.14%</t>
  </si>
  <si>
    <t>397-2025-12-31</t>
  </si>
  <si>
    <t>398</t>
  </si>
  <si>
    <t>Participación en actividades de desarrollo de Cultura y Formación Emprendedora</t>
  </si>
  <si>
    <t>Emprendimiento</t>
  </si>
  <si>
    <t>398-2023-06-30</t>
  </si>
  <si>
    <t>398-2023-12-31</t>
  </si>
  <si>
    <t>398-2024-06-30</t>
  </si>
  <si>
    <t>398-2024-12-31</t>
  </si>
  <si>
    <t>159.5</t>
  </si>
  <si>
    <t>159.5%</t>
  </si>
  <si>
    <t>398-2025-06-30</t>
  </si>
  <si>
    <t>168.71</t>
  </si>
  <si>
    <t>168.71%</t>
  </si>
  <si>
    <t>398-2025-12-31</t>
  </si>
  <si>
    <t>399</t>
  </si>
  <si>
    <t>Acompañamiento a emprendedores en creación de empresas</t>
  </si>
  <si>
    <t>399-2023-06-30</t>
  </si>
  <si>
    <t>399-2023-12-31</t>
  </si>
  <si>
    <t>Sesiones de Acompañamiento a emprendedores en creación de empresas</t>
  </si>
  <si>
    <t>399-2024-06-30</t>
  </si>
  <si>
    <t>399-2024-12-31</t>
  </si>
  <si>
    <t>102.93</t>
  </si>
  <si>
    <t>102.93%</t>
  </si>
  <si>
    <t>399-2025-06-30</t>
  </si>
  <si>
    <t>106.13</t>
  </si>
  <si>
    <t>106.13%</t>
  </si>
  <si>
    <t>399-2025-12-31</t>
  </si>
  <si>
    <t>4</t>
  </si>
  <si>
    <t>Certificación SGA sede los Colores</t>
  </si>
  <si>
    <t>4-2022-12-31</t>
  </si>
  <si>
    <t>Gestión ambiental</t>
  </si>
  <si>
    <t>4-2023-01-31</t>
  </si>
  <si>
    <t>4-2023-02-28</t>
  </si>
  <si>
    <t>4-2023-03-31</t>
  </si>
  <si>
    <t>4-2023-04-30</t>
  </si>
  <si>
    <t>4-2023-05-31</t>
  </si>
  <si>
    <t>4-2023-06-30</t>
  </si>
  <si>
    <t>4-2023-07-31</t>
  </si>
  <si>
    <t>4-2023-08-31</t>
  </si>
  <si>
    <t>4-2023-09-30</t>
  </si>
  <si>
    <t>4-2023-10-31</t>
  </si>
  <si>
    <t>4-2023-11-30</t>
  </si>
  <si>
    <t>4-2023-12-31</t>
  </si>
  <si>
    <t>400</t>
  </si>
  <si>
    <t>Puesta en marcha de proyectos de emprendimiento</t>
  </si>
  <si>
    <t>400-2023-06-30</t>
  </si>
  <si>
    <t>400-2023-12-31</t>
  </si>
  <si>
    <t>400-2024-06-30</t>
  </si>
  <si>
    <t>400-2024-12-31</t>
  </si>
  <si>
    <t>123</t>
  </si>
  <si>
    <t>123.0%</t>
  </si>
  <si>
    <t>400-2025-06-30</t>
  </si>
  <si>
    <t>127.14</t>
  </si>
  <si>
    <t>127.14%</t>
  </si>
  <si>
    <t>400-2025-12-31</t>
  </si>
  <si>
    <t>401</t>
  </si>
  <si>
    <t>Producción de nuevos MI-Books</t>
  </si>
  <si>
    <t>LEI</t>
  </si>
  <si>
    <t>401-2023-06-30</t>
  </si>
  <si>
    <t>401-2023-12-31</t>
  </si>
  <si>
    <t>401-2024-06-30</t>
  </si>
  <si>
    <t>401-2024-12-31</t>
  </si>
  <si>
    <t>401-2025-06-30</t>
  </si>
  <si>
    <t>401-2025-12-31</t>
  </si>
  <si>
    <t>402</t>
  </si>
  <si>
    <t>Informe anual de consulta de MI-Books</t>
  </si>
  <si>
    <t>402-2023-12-31</t>
  </si>
  <si>
    <t>402-2024-12-31</t>
  </si>
  <si>
    <t>22.73</t>
  </si>
  <si>
    <t>22.73%</t>
  </si>
  <si>
    <t>402-2025-12-31</t>
  </si>
  <si>
    <t>403</t>
  </si>
  <si>
    <t>Número de estudiantes que ha realizado la simulación</t>
  </si>
  <si>
    <t>403-2023-06-30</t>
  </si>
  <si>
    <t>403-2023-12-31</t>
  </si>
  <si>
    <t>403-2024-06-30</t>
  </si>
  <si>
    <t>403-2024-12-31</t>
  </si>
  <si>
    <t>Número de estudiantes que ha realizado la simulación (Metrica)</t>
  </si>
  <si>
    <t>14410</t>
  </si>
  <si>
    <t>14410.0%</t>
  </si>
  <si>
    <t>403-2025-06-30</t>
  </si>
  <si>
    <t>12510</t>
  </si>
  <si>
    <t>12510.0%</t>
  </si>
  <si>
    <t>403-2025-12-31</t>
  </si>
  <si>
    <t>404</t>
  </si>
  <si>
    <t>Casos presentados y solucionados</t>
  </si>
  <si>
    <t>404-2023-06-30</t>
  </si>
  <si>
    <t>404-2023-12-31</t>
  </si>
  <si>
    <t>404-2024-06-30</t>
  </si>
  <si>
    <t>404-2024-12-31</t>
  </si>
  <si>
    <t>405</t>
  </si>
  <si>
    <t>Avance de reingenieria y arquitectura de software LEI</t>
  </si>
  <si>
    <t>405-2023-06-30</t>
  </si>
  <si>
    <t>405-2023-12-31</t>
  </si>
  <si>
    <t>Proyecto de reingenieria y arquitectura de software LEI</t>
  </si>
  <si>
    <t>405-2024-06-30</t>
  </si>
  <si>
    <t>405-2024-12-31</t>
  </si>
  <si>
    <t>406</t>
  </si>
  <si>
    <t>Programas con condiciones iniciales aprobadas por facultad</t>
  </si>
  <si>
    <t>406-2023-12-31</t>
  </si>
  <si>
    <t>406-2024-06-30</t>
  </si>
  <si>
    <t>406-2024-12-31</t>
  </si>
  <si>
    <t>407</t>
  </si>
  <si>
    <t>Programas 1ra fase de condiciones iniciales radicadas por facultad</t>
  </si>
  <si>
    <t>407-2023-12-31</t>
  </si>
  <si>
    <t>407-2024-06-30</t>
  </si>
  <si>
    <t>407-2024-12-31</t>
  </si>
  <si>
    <t>408</t>
  </si>
  <si>
    <t>Programas nuevos radicados por facultad</t>
  </si>
  <si>
    <t>408-2023-12-31</t>
  </si>
  <si>
    <t>408-2024-06-30</t>
  </si>
  <si>
    <t>408-2024-12-31</t>
  </si>
  <si>
    <t>408-2025-06-30</t>
  </si>
  <si>
    <t>408-2025-12-31</t>
  </si>
  <si>
    <t>409</t>
  </si>
  <si>
    <t>Oportunidad en tiempo de envios</t>
  </si>
  <si>
    <t>409-2023-09-30</t>
  </si>
  <si>
    <t>409-2023-12-31</t>
  </si>
  <si>
    <t>409-2024-03-31</t>
  </si>
  <si>
    <t>409-2024-06-30</t>
  </si>
  <si>
    <t>409-2024-09-30</t>
  </si>
  <si>
    <t>409-2024-12-31</t>
  </si>
  <si>
    <t>409-2025-03-31</t>
  </si>
  <si>
    <t>409-2025-06-30</t>
  </si>
  <si>
    <t>410</t>
  </si>
  <si>
    <t>Solicitudes de gestión documental</t>
  </si>
  <si>
    <t>410-2023-09-30</t>
  </si>
  <si>
    <t>410-2023-12-31</t>
  </si>
  <si>
    <t>411</t>
  </si>
  <si>
    <t>Cumplimiento Planes De Relacionamiento</t>
  </si>
  <si>
    <t>411-2023-06-30</t>
  </si>
  <si>
    <t>411-2023-12-31</t>
  </si>
  <si>
    <t>412</t>
  </si>
  <si>
    <t>Participaciones en 2 eventos externos de impacto</t>
  </si>
  <si>
    <t>412-2023-12-31</t>
  </si>
  <si>
    <t>Participación en eventos externos de impacto</t>
  </si>
  <si>
    <t>412-2024-12-31</t>
  </si>
  <si>
    <t>413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</si>
  <si>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</si>
  <si>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</si>
  <si>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</si>
  <si>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</si>
  <si>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</si>
  <si>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414</t>
  </si>
  <si>
    <t>Cumplimiento Plan Anual Rectoría</t>
  </si>
  <si>
    <t>414-2023-06-30</t>
  </si>
  <si>
    <t>414-2023-09-30</t>
  </si>
  <si>
    <t>414-2023-12-31</t>
  </si>
  <si>
    <t>414-2024-03-31</t>
  </si>
  <si>
    <t>414-2024-06-30</t>
  </si>
  <si>
    <t>414-2024-09-30</t>
  </si>
  <si>
    <t>414-2024-12-31</t>
  </si>
  <si>
    <t>110.79</t>
  </si>
  <si>
    <t>110.79%</t>
  </si>
  <si>
    <t>414-2025-03-31</t>
  </si>
  <si>
    <t>108.55</t>
  </si>
  <si>
    <t>108.55%</t>
  </si>
  <si>
    <t>414-2025-06-30</t>
  </si>
  <si>
    <t>414-2025-12-31</t>
  </si>
  <si>
    <t>414.1</t>
  </si>
  <si>
    <t>Plan anual Vicerrectoría de crecimiento</t>
  </si>
  <si>
    <t>414.1-2023-06-30</t>
  </si>
  <si>
    <t>414.1-2023-12-31</t>
  </si>
  <si>
    <t>414.1-2024-06-30</t>
  </si>
  <si>
    <t>414.2</t>
  </si>
  <si>
    <t>Plan anual Vicerrectoría del estudiante</t>
  </si>
  <si>
    <t>414.2-2023-06-30</t>
  </si>
  <si>
    <t>414.2-2023-12-31</t>
  </si>
  <si>
    <t>414.2-2024-06-30</t>
  </si>
  <si>
    <t>414.3</t>
  </si>
  <si>
    <t>Plan anual Vicerrectoría financiera</t>
  </si>
  <si>
    <t>414.3-2023-06-30</t>
  </si>
  <si>
    <t>414.3-2023-12-31</t>
  </si>
  <si>
    <t>414.3-2024-06-30</t>
  </si>
  <si>
    <t>414.4</t>
  </si>
  <si>
    <t>Plan anual Vicerrectoría academica</t>
  </si>
  <si>
    <t>414.4-2023-06-30</t>
  </si>
  <si>
    <t>414.4-2023-12-31</t>
  </si>
  <si>
    <t>414.4-2024-06-30</t>
  </si>
  <si>
    <t>414.5</t>
  </si>
  <si>
    <t>Plan anual Gerencia de estrategia</t>
  </si>
  <si>
    <t>414.5-2023-06-30</t>
  </si>
  <si>
    <t>414.5-2023-12-31</t>
  </si>
  <si>
    <t>414.5-2024-06-30</t>
  </si>
  <si>
    <t>414.6</t>
  </si>
  <si>
    <t>Plan anual Gerencia de talento humano y desarrollo</t>
  </si>
  <si>
    <t>414.6-2023-06-30</t>
  </si>
  <si>
    <t>414.6-2023-12-31</t>
  </si>
  <si>
    <t>414.6-2024-06-30</t>
  </si>
  <si>
    <t>414.7</t>
  </si>
  <si>
    <t>Plan anual Gerencia de Medellín</t>
  </si>
  <si>
    <t>Sede Medellín</t>
  </si>
  <si>
    <t>414.7-2023-06-30</t>
  </si>
  <si>
    <t>414.7-2023-12-31</t>
  </si>
  <si>
    <t>414.7-2024-06-30</t>
  </si>
  <si>
    <t>414.8</t>
  </si>
  <si>
    <t>Plan anual Secretaría General</t>
  </si>
  <si>
    <t>414.8-2023-06-30</t>
  </si>
  <si>
    <t>414.8-2023-12-31</t>
  </si>
  <si>
    <t>414.8-2024-06-30</t>
  </si>
  <si>
    <t>414.9</t>
  </si>
  <si>
    <t>Plan anual Gerencia de educación Virtual</t>
  </si>
  <si>
    <t>414.9-2024-06-30</t>
  </si>
  <si>
    <t>415</t>
  </si>
  <si>
    <t>Cumplimiento Plan Anual Vicerrectoría del estudiante</t>
  </si>
  <si>
    <t>415-2023-06-30</t>
  </si>
  <si>
    <t>415-2023-09-30</t>
  </si>
  <si>
    <t>415-2023-12-31</t>
  </si>
  <si>
    <t>415-2024-03-31</t>
  </si>
  <si>
    <t>415-2024-06-30</t>
  </si>
  <si>
    <t>415-2024-09-30</t>
  </si>
  <si>
    <t>415-2024-12-31</t>
  </si>
  <si>
    <t>104.76</t>
  </si>
  <si>
    <t>104.76%</t>
  </si>
  <si>
    <t>415-2025-03-31</t>
  </si>
  <si>
    <t>96.44</t>
  </si>
  <si>
    <t>96.44%</t>
  </si>
  <si>
    <t>415-2025-06-30</t>
  </si>
  <si>
    <t>415-2025-12-31</t>
  </si>
  <si>
    <t>415.1</t>
  </si>
  <si>
    <t>Plan anual Gerencia de operaciones</t>
  </si>
  <si>
    <t>415.1-2023-06-30</t>
  </si>
  <si>
    <t>Plan anual Gerencia de tecnologÍa e innovación digital</t>
  </si>
  <si>
    <t>415.10-2023-06-30</t>
  </si>
  <si>
    <t>415.1-2023-12-31</t>
  </si>
  <si>
    <t>415.10-2023-12-31</t>
  </si>
  <si>
    <t>415.1-2024-06-30</t>
  </si>
  <si>
    <t>415.10-2024-06-30</t>
  </si>
  <si>
    <t>415.11</t>
  </si>
  <si>
    <t>Plan anual Director de operaciones integrales</t>
  </si>
  <si>
    <t>415.11-2024-06-30</t>
  </si>
  <si>
    <t>415.12</t>
  </si>
  <si>
    <t>Plan anual Director de permanencia</t>
  </si>
  <si>
    <t>415.12-2024-06-30</t>
  </si>
  <si>
    <t>415.13</t>
  </si>
  <si>
    <t>Plan anual Director de servicio</t>
  </si>
  <si>
    <t>415.13-2024-06-30</t>
  </si>
  <si>
    <t>415.14</t>
  </si>
  <si>
    <t>Plan anual Director de operaciones IT</t>
  </si>
  <si>
    <t>415.14-2024-06-30</t>
  </si>
  <si>
    <t>415.2</t>
  </si>
  <si>
    <t>Plan anual Gerencia de servicio y permanencia</t>
  </si>
  <si>
    <t>415.2-2023-06-30</t>
  </si>
  <si>
    <t>415.2-2023-12-31</t>
  </si>
  <si>
    <t>415.2-2024-06-30</t>
  </si>
  <si>
    <t>415.3</t>
  </si>
  <si>
    <t>Plan anual BI y analitica</t>
  </si>
  <si>
    <t>415.3-2023-06-30</t>
  </si>
  <si>
    <t>415.3-2023-12-31</t>
  </si>
  <si>
    <t>415.3-2024-06-30</t>
  </si>
  <si>
    <t>415.4</t>
  </si>
  <si>
    <t>Plan anual Facultad registro y control</t>
  </si>
  <si>
    <t>415.4-2023-06-30</t>
  </si>
  <si>
    <t>415.4-2023-12-31</t>
  </si>
  <si>
    <t>415.4-2024-06-30</t>
  </si>
  <si>
    <t>415.5</t>
  </si>
  <si>
    <t>Plan anual Dirección de experiencia e inclusión</t>
  </si>
  <si>
    <t>415.5-2023-06-30</t>
  </si>
  <si>
    <t>415.5-2023-12-31</t>
  </si>
  <si>
    <t>415.5-2024-06-30</t>
  </si>
  <si>
    <t>415.6</t>
  </si>
  <si>
    <t>Plan anual Direccion bienestar universitario y huella grancolombiana</t>
  </si>
  <si>
    <t>415.6-2023-06-30</t>
  </si>
  <si>
    <t>415.6-2023-12-31</t>
  </si>
  <si>
    <t>415.6-2024-06-30</t>
  </si>
  <si>
    <t>415.7</t>
  </si>
  <si>
    <t>Plan anual Director de gobierno digital</t>
  </si>
  <si>
    <t>415.7-2024-06-30</t>
  </si>
  <si>
    <t>415.8</t>
  </si>
  <si>
    <t>Plan anual Gerente de innovación y producto</t>
  </si>
  <si>
    <t>415.8-2024-06-30</t>
  </si>
  <si>
    <t>415.9</t>
  </si>
  <si>
    <t>Plan anual Dirección de desarrollo e innovación</t>
  </si>
  <si>
    <t>415.9-2024-06-30</t>
  </si>
  <si>
    <t>416</t>
  </si>
  <si>
    <t>Cumplimiento Plan Anual Vicerrectoría de crecimiento</t>
  </si>
  <si>
    <t>416-2023-06-30</t>
  </si>
  <si>
    <t>416-2023-09-30</t>
  </si>
  <si>
    <t>416-2023-12-31</t>
  </si>
  <si>
    <t>416-2024-03-31</t>
  </si>
  <si>
    <t>416-2024-06-30</t>
  </si>
  <si>
    <t>416-2024-09-30</t>
  </si>
  <si>
    <t>416-2024-12-31</t>
  </si>
  <si>
    <t>170.92</t>
  </si>
  <si>
    <t>170.92%</t>
  </si>
  <si>
    <t>416-2025-03-31</t>
  </si>
  <si>
    <t>109.24</t>
  </si>
  <si>
    <t>109.24%</t>
  </si>
  <si>
    <t>416-2025-06-30</t>
  </si>
  <si>
    <t>416-2025-12-31</t>
  </si>
  <si>
    <t>416.1</t>
  </si>
  <si>
    <t>Plan anual Gerencia de matriculas</t>
  </si>
  <si>
    <t>416.1-2023-06-30</t>
  </si>
  <si>
    <t>416.1-2023-12-31</t>
  </si>
  <si>
    <t>416.1-2024-06-30</t>
  </si>
  <si>
    <t>416.2</t>
  </si>
  <si>
    <t>Plan anual Gerencia de mercadeo</t>
  </si>
  <si>
    <t>Mercadeo de programas académicos</t>
  </si>
  <si>
    <t>416.2-2023-06-30</t>
  </si>
  <si>
    <t>416.2-2023-12-31</t>
  </si>
  <si>
    <t>416.2-2024-06-30</t>
  </si>
  <si>
    <t>416.3</t>
  </si>
  <si>
    <t>Plan anual Gerencia de servicios corporativos</t>
  </si>
  <si>
    <t>416.3-2024-06-30</t>
  </si>
  <si>
    <t>416.4</t>
  </si>
  <si>
    <t>Plan anual Director B2B y B2C</t>
  </si>
  <si>
    <t>416.4-2024-06-30</t>
  </si>
  <si>
    <t>416.5</t>
  </si>
  <si>
    <t>Plan anual Director de producto</t>
  </si>
  <si>
    <t>416.5-2024-06-30</t>
  </si>
  <si>
    <t>416.6</t>
  </si>
  <si>
    <t>Plan anual Director de estrategia de marca</t>
  </si>
  <si>
    <t>416.6-2024-06-30</t>
  </si>
  <si>
    <t>416.7</t>
  </si>
  <si>
    <t>Plan anual COORDINACIÓN COMERCIAL B2G</t>
  </si>
  <si>
    <t>416.7-2023-06-30</t>
  </si>
  <si>
    <t>416.7-2023-12-31</t>
  </si>
  <si>
    <t>416.8</t>
  </si>
  <si>
    <t>Plan anual JEFE DE SERVICIO</t>
  </si>
  <si>
    <t>416.8-2023-06-30</t>
  </si>
  <si>
    <t>416.8-2023-12-31</t>
  </si>
  <si>
    <t>417</t>
  </si>
  <si>
    <t>Cumplimiento Plan Anual Vicerrectoría Financiera</t>
  </si>
  <si>
    <t>417-2023-06-30</t>
  </si>
  <si>
    <t>417-2023-09-30</t>
  </si>
  <si>
    <t>417-2023-12-31</t>
  </si>
  <si>
    <t>417-2024-03-31</t>
  </si>
  <si>
    <t>417-2024-06-30</t>
  </si>
  <si>
    <t>417-2024-09-30</t>
  </si>
  <si>
    <t>417-2024-12-31</t>
  </si>
  <si>
    <t>93.68</t>
  </si>
  <si>
    <t>93.68%</t>
  </si>
  <si>
    <t>417-2025-03-31</t>
  </si>
  <si>
    <t>101.28</t>
  </si>
  <si>
    <t>101.28%</t>
  </si>
  <si>
    <t>417-2025-06-30</t>
  </si>
  <si>
    <t>417-2025-12-31</t>
  </si>
  <si>
    <t>417.1</t>
  </si>
  <si>
    <t>Plan anual Dirección de contabilidad</t>
  </si>
  <si>
    <t>417.1-2023-06-30</t>
  </si>
  <si>
    <t>417.1-2023-12-31</t>
  </si>
  <si>
    <t>417.1-2024-06-30</t>
  </si>
  <si>
    <t>417.2</t>
  </si>
  <si>
    <t>Plan anual Dirección de infraestructura</t>
  </si>
  <si>
    <t>417.2-2023-06-30</t>
  </si>
  <si>
    <t>417.2-2023-12-31</t>
  </si>
  <si>
    <t>417.2-2024-06-30</t>
  </si>
  <si>
    <t>417.3</t>
  </si>
  <si>
    <t>Plan anual Dirección planeación financiera y tesorería</t>
  </si>
  <si>
    <t>417.3-2023-06-30</t>
  </si>
  <si>
    <t>417.3-2023-12-31</t>
  </si>
  <si>
    <t>417.3-2024-06-30</t>
  </si>
  <si>
    <t>417.4</t>
  </si>
  <si>
    <t>Plan anual Dirección de servicios administrativos</t>
  </si>
  <si>
    <t>417.4-2023-06-30</t>
  </si>
  <si>
    <t>417.4-2023-12-31</t>
  </si>
  <si>
    <t>417.4-2024-06-30</t>
  </si>
  <si>
    <t>417.5</t>
  </si>
  <si>
    <t>Plan anual Dirección de compras y abastecimiento</t>
  </si>
  <si>
    <t>417.5-2023-06-30</t>
  </si>
  <si>
    <t>417.5-2023-12-31</t>
  </si>
  <si>
    <t>417.5-2024-06-30</t>
  </si>
  <si>
    <t>417.6</t>
  </si>
  <si>
    <t>Plan anual Dirección de relacionamiento de CSU</t>
  </si>
  <si>
    <t>417.6-2023-06-30</t>
  </si>
  <si>
    <t>417.6-2023-12-31</t>
  </si>
  <si>
    <t>417.6-2024-06-30</t>
  </si>
  <si>
    <t>418</t>
  </si>
  <si>
    <t>Cumplimiento Plan Anual Vicerrectoría Académica</t>
  </si>
  <si>
    <t>418-2023-06-30</t>
  </si>
  <si>
    <t>418-2023-09-30</t>
  </si>
  <si>
    <t>418-2023-12-31</t>
  </si>
  <si>
    <t>418-2024-03-31</t>
  </si>
  <si>
    <t>418-2024-06-30</t>
  </si>
  <si>
    <t>418-2024-09-30</t>
  </si>
  <si>
    <t>418-2024-12-31</t>
  </si>
  <si>
    <t>246.7</t>
  </si>
  <si>
    <t>246.7%</t>
  </si>
  <si>
    <t>418-2025-03-31</t>
  </si>
  <si>
    <t>105.83</t>
  </si>
  <si>
    <t>105.83%</t>
  </si>
  <si>
    <t>418-2025-06-30</t>
  </si>
  <si>
    <t>418-2025-12-31</t>
  </si>
  <si>
    <t>418.1</t>
  </si>
  <si>
    <t>Plan anual Dirección aseguramiento de la calidad</t>
  </si>
  <si>
    <t>418.1-2023-06-30</t>
  </si>
  <si>
    <t>418.1-2023-12-31</t>
  </si>
  <si>
    <t>418.1-2024-06-30</t>
  </si>
  <si>
    <t>418.2</t>
  </si>
  <si>
    <t>Plan anual Dirección investigación innovación y creación</t>
  </si>
  <si>
    <t>418.2-2023-06-30</t>
  </si>
  <si>
    <t>418.2-2023-12-31</t>
  </si>
  <si>
    <t>418.2-2024-06-30</t>
  </si>
  <si>
    <t>418.3</t>
  </si>
  <si>
    <t>Plan anual Dirección relaciones nacionales e internacionales</t>
  </si>
  <si>
    <t>418.3-2023-06-30</t>
  </si>
  <si>
    <t>418.3-2023-12-31</t>
  </si>
  <si>
    <t>418.3-2024-06-30</t>
  </si>
  <si>
    <t>418.4</t>
  </si>
  <si>
    <t>Plan anual Secretaria academica y de extensión</t>
  </si>
  <si>
    <t>418.4-2023-06-30</t>
  </si>
  <si>
    <t>418.4-2023-12-31</t>
  </si>
  <si>
    <t>418.4-2024-06-30</t>
  </si>
  <si>
    <t>418.5</t>
  </si>
  <si>
    <t>Plan anual Dirección  de docencia</t>
  </si>
  <si>
    <t>418.5-2023-06-30</t>
  </si>
  <si>
    <t>418.5-2023-12-31</t>
  </si>
  <si>
    <t>418.5-2024-06-30</t>
  </si>
  <si>
    <t>418.6</t>
  </si>
  <si>
    <t>Plan anual Dirección de currículo presencial y virtual</t>
  </si>
  <si>
    <t>418.6-2023-06-30</t>
  </si>
  <si>
    <t>418.6-2023-12-31</t>
  </si>
  <si>
    <t>418.6-2024-06-30</t>
  </si>
  <si>
    <t>418.7</t>
  </si>
  <si>
    <t>Plan anual Facultad ingeniería diseño e innovación</t>
  </si>
  <si>
    <t>418.7-2023-06-30</t>
  </si>
  <si>
    <t>418.7-2023-12-31</t>
  </si>
  <si>
    <t>418.7-2024-06-30</t>
  </si>
  <si>
    <t>418.8</t>
  </si>
  <si>
    <t>Plan anual Facultad negocios gestión y sostenibilidad</t>
  </si>
  <si>
    <t>418.8-2023-06-30</t>
  </si>
  <si>
    <t>418.8-2023-12-31</t>
  </si>
  <si>
    <t>418.8-2024-06-30</t>
  </si>
  <si>
    <t>418.9</t>
  </si>
  <si>
    <t>Plan anual Facultad sociedad cultura y creatividad</t>
  </si>
  <si>
    <t>418.9-2023-06-30</t>
  </si>
  <si>
    <t>418.9-2023-12-31</t>
  </si>
  <si>
    <t>418.9-2024-06-30</t>
  </si>
  <si>
    <t>419</t>
  </si>
  <si>
    <t>Cumplimiento Plan Anual Áreas sede Medellín</t>
  </si>
  <si>
    <t>419-2023-06-30</t>
  </si>
  <si>
    <t>419-2023-09-30</t>
  </si>
  <si>
    <t>419-2023-12-31</t>
  </si>
  <si>
    <t>420</t>
  </si>
  <si>
    <t>Cumplimiento Plan Anual Gerencia de estrategia</t>
  </si>
  <si>
    <t>420-2023-06-30</t>
  </si>
  <si>
    <t>420-2023-09-30</t>
  </si>
  <si>
    <t>420-2023-12-31</t>
  </si>
  <si>
    <t>420-2024-03-31</t>
  </si>
  <si>
    <t>420-2024-06-30</t>
  </si>
  <si>
    <t>420-2024-09-30</t>
  </si>
  <si>
    <t>420-2024-12-31</t>
  </si>
  <si>
    <t>122.2</t>
  </si>
  <si>
    <t>122.2%</t>
  </si>
  <si>
    <t>420-2025-03-31</t>
  </si>
  <si>
    <t>108.52</t>
  </si>
  <si>
    <t>108.52%</t>
  </si>
  <si>
    <t>420-2025-06-30</t>
  </si>
  <si>
    <t>420-2025-12-31</t>
  </si>
  <si>
    <t>420.1</t>
  </si>
  <si>
    <t>Plan anual SGC</t>
  </si>
  <si>
    <t>420.1-2023-06-30</t>
  </si>
  <si>
    <t>420.1-2023-12-31</t>
  </si>
  <si>
    <t>420.1-2024-06-30</t>
  </si>
  <si>
    <t>420.2</t>
  </si>
  <si>
    <t>Plan anual SGA</t>
  </si>
  <si>
    <t>420.2-2023-06-30</t>
  </si>
  <si>
    <t>420.2-2023-12-31</t>
  </si>
  <si>
    <t>420.2-2024-06-30</t>
  </si>
  <si>
    <t>420.3</t>
  </si>
  <si>
    <t>Plan anual Riesgos</t>
  </si>
  <si>
    <t>420.3-2023-06-30</t>
  </si>
  <si>
    <t>420.3-2023-12-31</t>
  </si>
  <si>
    <t>420.3-2024-06-30</t>
  </si>
  <si>
    <t>420.4</t>
  </si>
  <si>
    <t>Plan anual Auditoría</t>
  </si>
  <si>
    <t>420.4-2023-06-30</t>
  </si>
  <si>
    <t>420.4-2023-12-31</t>
  </si>
  <si>
    <t>420.4-2024-06-30</t>
  </si>
  <si>
    <t>420.5</t>
  </si>
  <si>
    <t>Plan anual Direccionamiento estratégico</t>
  </si>
  <si>
    <t>420.5-2023-06-30</t>
  </si>
  <si>
    <t>420.5-2023-12-31</t>
  </si>
  <si>
    <t>420.5-2024-06-30</t>
  </si>
  <si>
    <t>420.6</t>
  </si>
  <si>
    <t>Plan anual Estudios Internos</t>
  </si>
  <si>
    <t>Estudios Internos</t>
  </si>
  <si>
    <t>420.6-2024-06-30</t>
  </si>
  <si>
    <t>421</t>
  </si>
  <si>
    <t>Total Leads por canales de captación</t>
  </si>
  <si>
    <t>421-2023-06-30</t>
  </si>
  <si>
    <t>421-2023-12-31</t>
  </si>
  <si>
    <t>421-2024-06-30</t>
  </si>
  <si>
    <t>421-2024-12-31</t>
  </si>
  <si>
    <t>422</t>
  </si>
  <si>
    <t>Total conversión</t>
  </si>
  <si>
    <t>422-2023-06-30</t>
  </si>
  <si>
    <t>422-2023-12-31</t>
  </si>
  <si>
    <t>422-2024-06-30</t>
  </si>
  <si>
    <t>422-2024-12-31</t>
  </si>
  <si>
    <t>8.2</t>
  </si>
  <si>
    <t>7.83%</t>
  </si>
  <si>
    <t>8.2%</t>
  </si>
  <si>
    <t>422-2025-06-30</t>
  </si>
  <si>
    <t>7.87</t>
  </si>
  <si>
    <t>7.68%</t>
  </si>
  <si>
    <t>7.87%</t>
  </si>
  <si>
    <t>422-2025-12-31</t>
  </si>
  <si>
    <t>423</t>
  </si>
  <si>
    <t>Brand equity</t>
  </si>
  <si>
    <t>423-2022-12-31</t>
  </si>
  <si>
    <t>423-2023-12-31</t>
  </si>
  <si>
    <t>423-2024-12-31</t>
  </si>
  <si>
    <t>15.1</t>
  </si>
  <si>
    <t>12.3%</t>
  </si>
  <si>
    <t>15.1%</t>
  </si>
  <si>
    <t>423-2025-12-31</t>
  </si>
  <si>
    <t>424</t>
  </si>
  <si>
    <t>Conocimiento espontaneo</t>
  </si>
  <si>
    <t>424-2022-12-31</t>
  </si>
  <si>
    <t>424-2023-12-31</t>
  </si>
  <si>
    <t>424-2024-12-31</t>
  </si>
  <si>
    <t>Conocimiento espontáneo</t>
  </si>
  <si>
    <t>9.0%</t>
  </si>
  <si>
    <t>11.0%</t>
  </si>
  <si>
    <t>424-2025-12-31</t>
  </si>
  <si>
    <t>425</t>
  </si>
  <si>
    <t>Cumplimiento Leads Educación para la vida</t>
  </si>
  <si>
    <t>425-2023-12-31</t>
  </si>
  <si>
    <t>425-2024-06-30</t>
  </si>
  <si>
    <t>425-2024-12-31</t>
  </si>
  <si>
    <t>426</t>
  </si>
  <si>
    <t>Cumplimiento en la respuesta a solicitudes de comunicaciones internas</t>
  </si>
  <si>
    <t>426-2023-06-30</t>
  </si>
  <si>
    <t>426-2023-12-31</t>
  </si>
  <si>
    <t>426-2024-06-30</t>
  </si>
  <si>
    <t>426-2024-12-31</t>
  </si>
  <si>
    <t>427</t>
  </si>
  <si>
    <t>Consumo de Agua per Cápita Semestral</t>
  </si>
  <si>
    <t>427-2023-06-30</t>
  </si>
  <si>
    <t>427-2023-12-31</t>
  </si>
  <si>
    <t>427-2024-06-30</t>
  </si>
  <si>
    <t>427-2024-12-31</t>
  </si>
  <si>
    <t>0.14</t>
  </si>
  <si>
    <t>0.14%</t>
  </si>
  <si>
    <t>427-2025-06-30</t>
  </si>
  <si>
    <t>0.15</t>
  </si>
  <si>
    <t>0.15%</t>
  </si>
  <si>
    <t>427-2025-12-31</t>
  </si>
  <si>
    <t>428</t>
  </si>
  <si>
    <t>Consumo de Energía Eléctrica per Cápita Semestral</t>
  </si>
  <si>
    <t>428-2023-06-30</t>
  </si>
  <si>
    <t>428-2023-12-31</t>
  </si>
  <si>
    <t>428-2024-06-30</t>
  </si>
  <si>
    <t>428-2024-12-31</t>
  </si>
  <si>
    <t>15.12</t>
  </si>
  <si>
    <t>15.12%</t>
  </si>
  <si>
    <t>428-2025-06-30</t>
  </si>
  <si>
    <t>17.88</t>
  </si>
  <si>
    <t>17.88%</t>
  </si>
  <si>
    <t>428-2025-12-31</t>
  </si>
  <si>
    <t>429</t>
  </si>
  <si>
    <t>Generación de Residuos Sólidos per Cápita Semestral</t>
  </si>
  <si>
    <t>429-2023-06-30</t>
  </si>
  <si>
    <t>429-2023-12-31</t>
  </si>
  <si>
    <t>429-2024-06-30</t>
  </si>
  <si>
    <t>429-2024-12-31</t>
  </si>
  <si>
    <t>0.59</t>
  </si>
  <si>
    <t>0.76%</t>
  </si>
  <si>
    <t>0.59%</t>
  </si>
  <si>
    <t>429-2025-06-30</t>
  </si>
  <si>
    <t>429-2025-12-31</t>
  </si>
  <si>
    <t>430</t>
  </si>
  <si>
    <t>Cumplimiento ingresos por matriculas</t>
  </si>
  <si>
    <t>430-2023-06-30</t>
  </si>
  <si>
    <t>430-2023-12-31</t>
  </si>
  <si>
    <t>430-2024-06-30</t>
  </si>
  <si>
    <t>430-2024-12-31</t>
  </si>
  <si>
    <t>430-2025-06-30</t>
  </si>
  <si>
    <t>111.76</t>
  </si>
  <si>
    <t>111.76%</t>
  </si>
  <si>
    <t>430-2025-12-31</t>
  </si>
  <si>
    <t>431</t>
  </si>
  <si>
    <t>Gestión de casos de salud que impactan a los colaboradores</t>
  </si>
  <si>
    <t>431-2023-09-30</t>
  </si>
  <si>
    <t>431-2023-12-31</t>
  </si>
  <si>
    <t>431-2024-03-31</t>
  </si>
  <si>
    <t>431-2024-06-30</t>
  </si>
  <si>
    <t>431-2024-09-30</t>
  </si>
  <si>
    <t>431-2024-12-31</t>
  </si>
  <si>
    <t>431-2025-03-31</t>
  </si>
  <si>
    <t>431-2025-06-30</t>
  </si>
  <si>
    <t>431-2025-12-31</t>
  </si>
  <si>
    <t>432</t>
  </si>
  <si>
    <t>Intervención a la gestión del riesgo de los colaboradores</t>
  </si>
  <si>
    <t>432-2023-09-30</t>
  </si>
  <si>
    <t>432-2023-12-31</t>
  </si>
  <si>
    <t>432-2024-03-31</t>
  </si>
  <si>
    <t>432-2024-06-30</t>
  </si>
  <si>
    <t>432-2024-09-30</t>
  </si>
  <si>
    <t>432-2024-12-31</t>
  </si>
  <si>
    <t>432-2025-03-31</t>
  </si>
  <si>
    <t>432-2025-06-30</t>
  </si>
  <si>
    <t>432-2025-12-31</t>
  </si>
  <si>
    <t>433</t>
  </si>
  <si>
    <t>Generación de Residuos Peligrosos per Cápita Semestral</t>
  </si>
  <si>
    <t>433-2023-06-30</t>
  </si>
  <si>
    <t>433-2023-12-31</t>
  </si>
  <si>
    <t>433-2024-06-30</t>
  </si>
  <si>
    <t>433-2024-12-31</t>
  </si>
  <si>
    <t>0.02</t>
  </si>
  <si>
    <t>0.05%</t>
  </si>
  <si>
    <t>0.02%</t>
  </si>
  <si>
    <t>433-2025-06-30</t>
  </si>
  <si>
    <t>0.17</t>
  </si>
  <si>
    <t>0.17%</t>
  </si>
  <si>
    <t>433-2025-12-31</t>
  </si>
  <si>
    <t>434</t>
  </si>
  <si>
    <t>Generación de Residuos Peligrosos Mensual</t>
  </si>
  <si>
    <t>434-2023-09-30</t>
  </si>
  <si>
    <t>434-2023-10-31</t>
  </si>
  <si>
    <t>434-2023-11-30</t>
  </si>
  <si>
    <t>434-2023-12-31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</si>
  <si>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</si>
  <si>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</si>
  <si>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</si>
  <si>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</si>
  <si>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</si>
  <si>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</si>
  <si>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</si>
  <si>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</si>
  <si>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</si>
  <si>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</si>
  <si>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</si>
  <si>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434-2024-12-31</t>
  </si>
  <si>
    <t>2072.47</t>
  </si>
  <si>
    <t>2072.47%</t>
  </si>
  <si>
    <t>434-2025-01-31</t>
  </si>
  <si>
    <t>71.68</t>
  </si>
  <si>
    <t>71.68%</t>
  </si>
  <si>
    <t>434-2025-02-28</t>
  </si>
  <si>
    <t>53.29</t>
  </si>
  <si>
    <t>53.29%</t>
  </si>
  <si>
    <t>434-2025-03-31</t>
  </si>
  <si>
    <t>126.74</t>
  </si>
  <si>
    <t>126.74%</t>
  </si>
  <si>
    <t>434-2025-04-30</t>
  </si>
  <si>
    <t>12.6</t>
  </si>
  <si>
    <t>12.6%</t>
  </si>
  <si>
    <t>434-2025-05-31</t>
  </si>
  <si>
    <t>130.58</t>
  </si>
  <si>
    <t>130.58%</t>
  </si>
  <si>
    <t>434-2025-06-30</t>
  </si>
  <si>
    <t>312.11</t>
  </si>
  <si>
    <t>312.11%</t>
  </si>
  <si>
    <t>434-2025-07-31</t>
  </si>
  <si>
    <t>84.75</t>
  </si>
  <si>
    <t>84.75%</t>
  </si>
  <si>
    <t>434-2025-08-31</t>
  </si>
  <si>
    <t>4524.46</t>
  </si>
  <si>
    <t>4524.46%</t>
  </si>
  <si>
    <t>434-2025-10-31</t>
  </si>
  <si>
    <t>285.15</t>
  </si>
  <si>
    <t>285.15%</t>
  </si>
  <si>
    <t>434-2025-11-30</t>
  </si>
  <si>
    <t>434-2025-12-31</t>
  </si>
  <si>
    <t>435</t>
  </si>
  <si>
    <t>Disminución de la Generación de Residuos Peligrosos per Cápita</t>
  </si>
  <si>
    <t>435-2024-06-30</t>
  </si>
  <si>
    <t>435-2024-12-31</t>
  </si>
  <si>
    <t>96.09</t>
  </si>
  <si>
    <t>96.09%</t>
  </si>
  <si>
    <t>435-2025-06-30</t>
  </si>
  <si>
    <t>-732.08</t>
  </si>
  <si>
    <t>-732.08%</t>
  </si>
  <si>
    <t>435-2025-12-31</t>
  </si>
  <si>
    <t>436</t>
  </si>
  <si>
    <t>Días</t>
  </si>
  <si>
    <t>436-2023-07-31</t>
  </si>
  <si>
    <t>436-2023-08-31</t>
  </si>
  <si>
    <t>436-2023-09-30</t>
  </si>
  <si>
    <t>436-2023-10-31</t>
  </si>
  <si>
    <t>436-2023-11-30</t>
  </si>
  <si>
    <t>436-2023-12-31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</si>
  <si>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</si>
  <si>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</si>
  <si>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</si>
  <si>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</si>
  <si>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</si>
  <si>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</si>
  <si>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</si>
  <si>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</si>
  <si>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</si>
  <si>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</si>
  <si>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</si>
  <si>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436-2024-12-31</t>
  </si>
  <si>
    <t>9.2</t>
  </si>
  <si>
    <t>14.0%</t>
  </si>
  <si>
    <t>9.2%</t>
  </si>
  <si>
    <t>436-2025-01-31</t>
  </si>
  <si>
    <t>3.34</t>
  </si>
  <si>
    <t>3.34%</t>
  </si>
  <si>
    <t>436-2025-02-28</t>
  </si>
  <si>
    <t>10.6</t>
  </si>
  <si>
    <t>10.6%</t>
  </si>
  <si>
    <t>436-2025-03-31</t>
  </si>
  <si>
    <t>6.4</t>
  </si>
  <si>
    <t>6.4%</t>
  </si>
  <si>
    <t>436-2025-04-30</t>
  </si>
  <si>
    <t>10.17</t>
  </si>
  <si>
    <t>10.17%</t>
  </si>
  <si>
    <t>436-2025-05-31</t>
  </si>
  <si>
    <t>11.93</t>
  </si>
  <si>
    <t>11.93%</t>
  </si>
  <si>
    <t>436-2025-06-30</t>
  </si>
  <si>
    <t>13.41</t>
  </si>
  <si>
    <t>13.41%</t>
  </si>
  <si>
    <t>436-2025-07-31</t>
  </si>
  <si>
    <t>14.17</t>
  </si>
  <si>
    <t>14.17%</t>
  </si>
  <si>
    <t>436-2025-08-31</t>
  </si>
  <si>
    <t>15.49</t>
  </si>
  <si>
    <t>15.49%</t>
  </si>
  <si>
    <t>436-2025-10-31</t>
  </si>
  <si>
    <t>8.12</t>
  </si>
  <si>
    <t>8.12%</t>
  </si>
  <si>
    <t>436-2025-11-30</t>
  </si>
  <si>
    <t>436-2025-12-31</t>
  </si>
  <si>
    <t>436-2026-01-31</t>
  </si>
  <si>
    <t>437</t>
  </si>
  <si>
    <t>437-2023-10-31</t>
  </si>
  <si>
    <t>Nivel de Satisfacción Servicios Prestados - Riesgos</t>
  </si>
  <si>
    <t>437-2023-12-31</t>
  </si>
  <si>
    <t>437-2024-12-31</t>
  </si>
  <si>
    <t>99</t>
  </si>
  <si>
    <t>437-2025-12-31</t>
  </si>
  <si>
    <t>438</t>
  </si>
  <si>
    <t>Seguimiento de asignación docente a NRC Pregrado-Posgrado Virtual</t>
  </si>
  <si>
    <t>438-2023-12-31</t>
  </si>
  <si>
    <t>439</t>
  </si>
  <si>
    <t>Disponibilidad de catálogo de asignaturas pregrado y posgrado virtual</t>
  </si>
  <si>
    <t>439-2023-12-31</t>
  </si>
  <si>
    <t>439-2024-06-30</t>
  </si>
  <si>
    <t>439-2024-12-31</t>
  </si>
  <si>
    <t>439-2025-06-30</t>
  </si>
  <si>
    <t>439-2025-12-31</t>
  </si>
  <si>
    <t>440</t>
  </si>
  <si>
    <t>Aseguramiento de matricula académica virtual</t>
  </si>
  <si>
    <t>440-2023-12-31</t>
  </si>
  <si>
    <t>440-2024-06-30</t>
  </si>
  <si>
    <t>440-2024-12-31</t>
  </si>
  <si>
    <t>99.77</t>
  </si>
  <si>
    <t>99.77%</t>
  </si>
  <si>
    <t>440-2025-06-30</t>
  </si>
  <si>
    <t>99.74</t>
  </si>
  <si>
    <t>99.74%</t>
  </si>
  <si>
    <t>440-2025-12-31</t>
  </si>
  <si>
    <t>441</t>
  </si>
  <si>
    <t>Cumplimiento a cronograma de proyectos 2024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</si>
  <si>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</si>
  <si>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</si>
  <si>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</si>
  <si>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</si>
  <si>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</si>
  <si>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</si>
  <si>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</si>
  <si>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</si>
  <si>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</si>
  <si>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</si>
  <si>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</si>
  <si>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441-2024-12-31</t>
  </si>
  <si>
    <t>442</t>
  </si>
  <si>
    <t>Participación de docentes invitados en eventos académicos virtuales en Poli</t>
  </si>
  <si>
    <t>442-2024-06-30</t>
  </si>
  <si>
    <t>442-2024-12-31</t>
  </si>
  <si>
    <t>443</t>
  </si>
  <si>
    <t>Participación de estudiantes invitados en eventos académicos virtuales en Poli</t>
  </si>
  <si>
    <t>443-2024-06-30</t>
  </si>
  <si>
    <t>443-2024-12-31</t>
  </si>
  <si>
    <t>444</t>
  </si>
  <si>
    <t>CES Proceso de grados</t>
  </si>
  <si>
    <t>444-2024-12-31</t>
  </si>
  <si>
    <t>1.6</t>
  </si>
  <si>
    <t>444-2025-06-30</t>
  </si>
  <si>
    <t>1.7</t>
  </si>
  <si>
    <t>1.7%</t>
  </si>
  <si>
    <t>444-2025-12-31</t>
  </si>
  <si>
    <t>445</t>
  </si>
  <si>
    <t>Satisfacción del proceso de grados virtual</t>
  </si>
  <si>
    <t>445-2024-06-30</t>
  </si>
  <si>
    <t>445-2024-12-31</t>
  </si>
  <si>
    <t>75.7</t>
  </si>
  <si>
    <t>70.0%</t>
  </si>
  <si>
    <t>75.7%</t>
  </si>
  <si>
    <t>445-2025-06-30</t>
  </si>
  <si>
    <t>85.3</t>
  </si>
  <si>
    <t>85.3%</t>
  </si>
  <si>
    <t>445-2025-12-31</t>
  </si>
  <si>
    <t>447</t>
  </si>
  <si>
    <t>447-2024-06-30</t>
  </si>
  <si>
    <t>447-2024-12-31</t>
  </si>
  <si>
    <t>16.54</t>
  </si>
  <si>
    <t>15.0%</t>
  </si>
  <si>
    <t>16.54%</t>
  </si>
  <si>
    <t>447-2025-06-30</t>
  </si>
  <si>
    <t>15.01</t>
  </si>
  <si>
    <t>15.01%</t>
  </si>
  <si>
    <t>447-2025-12-31</t>
  </si>
  <si>
    <t>448</t>
  </si>
  <si>
    <t>Participación en actividades de formación</t>
  </si>
  <si>
    <t>448-2024-06-30</t>
  </si>
  <si>
    <t>448-2024-12-31</t>
  </si>
  <si>
    <t>39.62</t>
  </si>
  <si>
    <t>39.62%</t>
  </si>
  <si>
    <t>448-2025-06-30</t>
  </si>
  <si>
    <t>59.36</t>
  </si>
  <si>
    <t>59.36%</t>
  </si>
  <si>
    <t>448-2025-12-31</t>
  </si>
  <si>
    <t>449</t>
  </si>
  <si>
    <t>Cumplimiento en la supervisión y monitoreo a los planes de tratamiento de los riesgos institucionales en nivel alto y extremo</t>
  </si>
  <si>
    <t>449-2024-03-31</t>
  </si>
  <si>
    <t>Cumplimiento de planes de monitoreo en la gestión del riesgo</t>
  </si>
  <si>
    <t>449-2024-06-30</t>
  </si>
  <si>
    <t>449-2024-09-30</t>
  </si>
  <si>
    <t>449-2024-12-31</t>
  </si>
  <si>
    <t>450</t>
  </si>
  <si>
    <t>Riesgos Materializados</t>
  </si>
  <si>
    <t>450-2024-06-30</t>
  </si>
  <si>
    <t>451</t>
  </si>
  <si>
    <t>% Participación de publicaciones positiva</t>
  </si>
  <si>
    <t>451-2024-06-30</t>
  </si>
  <si>
    <t>451-2024-12-31</t>
  </si>
  <si>
    <t>% de publicaciones con sentimiento positivo</t>
  </si>
  <si>
    <t>119.5</t>
  </si>
  <si>
    <t>119.5%</t>
  </si>
  <si>
    <t>451-2025-06-30</t>
  </si>
  <si>
    <t>130.8</t>
  </si>
  <si>
    <t>130.8%</t>
  </si>
  <si>
    <t>451-2025-12-31</t>
  </si>
  <si>
    <t>452</t>
  </si>
  <si>
    <t>Seguimiento a eventos internos y externos institucionales</t>
  </si>
  <si>
    <t>452-2024-06-30</t>
  </si>
  <si>
    <t>452-2024-12-31</t>
  </si>
  <si>
    <t>452-2025-06-30</t>
  </si>
  <si>
    <t>452-2025-12-31</t>
  </si>
  <si>
    <t>453</t>
  </si>
  <si>
    <t>Número de cursos diseñados</t>
  </si>
  <si>
    <t>453-2024-03-31</t>
  </si>
  <si>
    <t>453-2024-06-30</t>
  </si>
  <si>
    <t>453-2024-09-30</t>
  </si>
  <si>
    <t>453-2024-12-31</t>
  </si>
  <si>
    <t>48</t>
  </si>
  <si>
    <t>48.0%</t>
  </si>
  <si>
    <t>453-2025-03-31</t>
  </si>
  <si>
    <t>453-2025-06-30</t>
  </si>
  <si>
    <t>453-2025-12-31</t>
  </si>
  <si>
    <t>454</t>
  </si>
  <si>
    <t>Satisfacción de la calidad del contenido</t>
  </si>
  <si>
    <t>454-2024-03-31</t>
  </si>
  <si>
    <t>454-2024-06-30</t>
  </si>
  <si>
    <t>454-2024-09-30</t>
  </si>
  <si>
    <t>454-2024-12-31</t>
  </si>
  <si>
    <t>455</t>
  </si>
  <si>
    <t>ANS Diseño de contenidos virtuales</t>
  </si>
  <si>
    <t>455-2024-09-30</t>
  </si>
  <si>
    <t>455-2024-12-31</t>
  </si>
  <si>
    <t>455-2025-03-31</t>
  </si>
  <si>
    <t>455-2025-06-30</t>
  </si>
  <si>
    <t>455-2025-12-31</t>
  </si>
  <si>
    <t>456</t>
  </si>
  <si>
    <t>Impacto de campañas de Mailing</t>
  </si>
  <si>
    <t>456-2024-06-30</t>
  </si>
  <si>
    <t>456-2024-12-31</t>
  </si>
  <si>
    <t>106.25</t>
  </si>
  <si>
    <t>106.25%</t>
  </si>
  <si>
    <t>456-2025-03-31</t>
  </si>
  <si>
    <t>104.12</t>
  </si>
  <si>
    <t>104.12%</t>
  </si>
  <si>
    <t>456-2025-06-30</t>
  </si>
  <si>
    <t>456-2025-12-31</t>
  </si>
  <si>
    <t>457</t>
  </si>
  <si>
    <t>Apertura de enlaces en mensajes de texto</t>
  </si>
  <si>
    <t>457-2024-06-30</t>
  </si>
  <si>
    <t>457-2024-12-31</t>
  </si>
  <si>
    <t>457-2025-03-31</t>
  </si>
  <si>
    <t>457-2025-06-30</t>
  </si>
  <si>
    <t>457-2025-12-31</t>
  </si>
  <si>
    <t>458</t>
  </si>
  <si>
    <t>Número de visitas a Pagina Web</t>
  </si>
  <si>
    <t>458-2024-06-30</t>
  </si>
  <si>
    <t>459</t>
  </si>
  <si>
    <t>Número de publicaciones e historias</t>
  </si>
  <si>
    <t>459-2024-03-31</t>
  </si>
  <si>
    <t>459-2024-06-30</t>
  </si>
  <si>
    <t>459-2024-09-30</t>
  </si>
  <si>
    <t>459-2024-12-31</t>
  </si>
  <si>
    <t>460</t>
  </si>
  <si>
    <t>% de profesores (Contrato Indefinido- Fijo) impactados plan de desarrollo docente</t>
  </si>
  <si>
    <t>460-2024-12-31</t>
  </si>
  <si>
    <t>460-2025-12-31</t>
  </si>
  <si>
    <t>462</t>
  </si>
  <si>
    <t>Nivel Esfuerzo Editorial</t>
  </si>
  <si>
    <t>462-2024-06-30</t>
  </si>
  <si>
    <t>462-2024-12-31</t>
  </si>
  <si>
    <t>463</t>
  </si>
  <si>
    <t>Cumplimiento de las acciones del Plan de mejoramiento GPW</t>
  </si>
  <si>
    <t>463-2024-06-30</t>
  </si>
  <si>
    <t>463-2024-12-31</t>
  </si>
  <si>
    <t>465</t>
  </si>
  <si>
    <t>% de depuración histórico  SNIES</t>
  </si>
  <si>
    <t>465-2024-06-30</t>
  </si>
  <si>
    <t>465-2024-12-31</t>
  </si>
  <si>
    <t>466</t>
  </si>
  <si>
    <t>NPS Estudiantes</t>
  </si>
  <si>
    <t>466-2024-06-30</t>
  </si>
  <si>
    <t>466-2024-12-31</t>
  </si>
  <si>
    <t>466-2025-06-30</t>
  </si>
  <si>
    <t>106.55</t>
  </si>
  <si>
    <t>106.55%</t>
  </si>
  <si>
    <t>466-2025-12-31</t>
  </si>
  <si>
    <t>467</t>
  </si>
  <si>
    <t>NPS Graduados</t>
  </si>
  <si>
    <t>467-2024-06-30</t>
  </si>
  <si>
    <t>467-2024-12-31</t>
  </si>
  <si>
    <t>118.0%</t>
  </si>
  <si>
    <t>467-2025-06-30</t>
  </si>
  <si>
    <t>99.5</t>
  </si>
  <si>
    <t>99.5%</t>
  </si>
  <si>
    <t>467-2025-12-31</t>
  </si>
  <si>
    <t>468</t>
  </si>
  <si>
    <t>CES General</t>
  </si>
  <si>
    <t>468-2024-06-30</t>
  </si>
  <si>
    <t>468-2024-12-31</t>
  </si>
  <si>
    <t>2.4</t>
  </si>
  <si>
    <t>2.5%</t>
  </si>
  <si>
    <t>2.4%</t>
  </si>
  <si>
    <t>468-2025-06-30</t>
  </si>
  <si>
    <t>468-2025-12-31</t>
  </si>
  <si>
    <t>469</t>
  </si>
  <si>
    <t>Plan anual FNGS-CONTABILID INTERN-CONTADURIA</t>
  </si>
  <si>
    <t>469.0-2023-06-30</t>
  </si>
  <si>
    <t>469.0-2023-12-31</t>
  </si>
  <si>
    <t>469-2024-03-31</t>
  </si>
  <si>
    <t>469-2024-06-30</t>
  </si>
  <si>
    <t>469-2024-09-30</t>
  </si>
  <si>
    <t>469-2024-12-31</t>
  </si>
  <si>
    <t>118.03</t>
  </si>
  <si>
    <t>118.03%</t>
  </si>
  <si>
    <t>469-2025-03-31</t>
  </si>
  <si>
    <t>103.52</t>
  </si>
  <si>
    <t>103.52%</t>
  </si>
  <si>
    <t>469-2025-06-30</t>
  </si>
  <si>
    <t>469-2025-12-31</t>
  </si>
  <si>
    <t>469.1</t>
  </si>
  <si>
    <t>Plan anual DIRECCIÓN DE MATRÍCULAS</t>
  </si>
  <si>
    <t>469.1-2023-06-30</t>
  </si>
  <si>
    <t>469.1-2023-12-31</t>
  </si>
  <si>
    <t>469.1-2024-06-30</t>
  </si>
  <si>
    <t>Plan anual FSCC - MARKETING MED</t>
  </si>
  <si>
    <t>469.10-2024-06-30</t>
  </si>
  <si>
    <t>469.2</t>
  </si>
  <si>
    <t>Plan anual FSCC- DERECHO Y GOBIERNO-DERECHO</t>
  </si>
  <si>
    <t>469.2-2023-06-30</t>
  </si>
  <si>
    <t>469.2-2023-12-31</t>
  </si>
  <si>
    <t>469.2-2024-06-30</t>
  </si>
  <si>
    <t>469.3</t>
  </si>
  <si>
    <t>Plan anual FIDI-DISEÑO-DISEÑO GRAFICO</t>
  </si>
  <si>
    <t>469.3-2023-06-30</t>
  </si>
  <si>
    <t>469.3-2023-12-31</t>
  </si>
  <si>
    <t>469.3-2024-06-30</t>
  </si>
  <si>
    <t>469.4</t>
  </si>
  <si>
    <t>Plan anual FIDI-TIC -INGENIERIA DE SISTEMAS</t>
  </si>
  <si>
    <t>469.4-2023-06-30</t>
  </si>
  <si>
    <t>469.4-2023-12-31</t>
  </si>
  <si>
    <t>469.4-2024-06-30</t>
  </si>
  <si>
    <t>469.5</t>
  </si>
  <si>
    <t>Plan anual FIDI-OPINA-INGENIERIA INDUSTRIAL</t>
  </si>
  <si>
    <t>469.5-2023-06-30</t>
  </si>
  <si>
    <t>469.5-2023-12-31</t>
  </si>
  <si>
    <t>469.5-2024-06-30</t>
  </si>
  <si>
    <t>469.6</t>
  </si>
  <si>
    <t>Plan anual FNGS-NEG Y DLLO INTER-NEGOCIOS INTERNACIONALES</t>
  </si>
  <si>
    <t>469.6-2023-06-30</t>
  </si>
  <si>
    <t>469.6-2023-12-31</t>
  </si>
  <si>
    <t>469.6-2024-06-30</t>
  </si>
  <si>
    <t>469.7</t>
  </si>
  <si>
    <t>Plan anual FSCC- EST.PSIC,TH Y SOC- PSICOLOGIA</t>
  </si>
  <si>
    <t>469.7-2023-06-30</t>
  </si>
  <si>
    <t>469.7-2023-12-31</t>
  </si>
  <si>
    <t>469.7-2024-06-30</t>
  </si>
  <si>
    <t>469.8</t>
  </si>
  <si>
    <t>Plan anual FIDI-CIENCIAS BÁSICAS MED</t>
  </si>
  <si>
    <t>469.8-2024-06-30</t>
  </si>
  <si>
    <t>469.9</t>
  </si>
  <si>
    <t>Plan anual ADMON DE EMPRESAS</t>
  </si>
  <si>
    <t>469.9-2023-06-30</t>
  </si>
  <si>
    <t>469.9-2023-12-31</t>
  </si>
  <si>
    <t>469.9-2024-06-30</t>
  </si>
  <si>
    <t>470</t>
  </si>
  <si>
    <t>Cumplimiento plan anual Secretaria académica y de extensión</t>
  </si>
  <si>
    <t>470-2024-03-31</t>
  </si>
  <si>
    <t>470-2024-06-30</t>
  </si>
  <si>
    <t>470-2024-09-30</t>
  </si>
  <si>
    <t>470-2024-12-31</t>
  </si>
  <si>
    <t>352.81</t>
  </si>
  <si>
    <t>352.81%</t>
  </si>
  <si>
    <t>470-2025-03-31</t>
  </si>
  <si>
    <t>148.38</t>
  </si>
  <si>
    <t>148.38%</t>
  </si>
  <si>
    <t>470-2025-06-30</t>
  </si>
  <si>
    <t>470-2025-12-31</t>
  </si>
  <si>
    <t>470.1</t>
  </si>
  <si>
    <t>Plan anual Dirección Sistema nacional de bibliotecas</t>
  </si>
  <si>
    <t>470.1-2024-06-30</t>
  </si>
  <si>
    <t>470.2</t>
  </si>
  <si>
    <t>Plan anual Dirección Editorial</t>
  </si>
  <si>
    <t>470.2-2024-06-30</t>
  </si>
  <si>
    <t>470.3</t>
  </si>
  <si>
    <t>Plan anual Dirección Centro de medios audiovisuales</t>
  </si>
  <si>
    <t>470.3-2024-06-30</t>
  </si>
  <si>
    <t>470.4</t>
  </si>
  <si>
    <t>Plan anual Dirección Agencia Trompo</t>
  </si>
  <si>
    <t>470.4-2024-06-30</t>
  </si>
  <si>
    <t>470.5</t>
  </si>
  <si>
    <t>Plan anual Dirección de Graduados y proyección empresarial</t>
  </si>
  <si>
    <t>470.5-2024-06-30</t>
  </si>
  <si>
    <t>471</t>
  </si>
  <si>
    <t>Cumplimiento plan anual Gerencia de Talento Humano</t>
  </si>
  <si>
    <t>471-2024-03-31</t>
  </si>
  <si>
    <t>471-2024-06-30</t>
  </si>
  <si>
    <t>471-2024-09-30</t>
  </si>
  <si>
    <t>471-2024-12-31</t>
  </si>
  <si>
    <t>103.51</t>
  </si>
  <si>
    <t>103.51%</t>
  </si>
  <si>
    <t>471-2025-03-31</t>
  </si>
  <si>
    <t>94.02</t>
  </si>
  <si>
    <t>94.02%</t>
  </si>
  <si>
    <t>471-2025-06-30</t>
  </si>
  <si>
    <t>471-2025-12-31</t>
  </si>
  <si>
    <t>472</t>
  </si>
  <si>
    <t>Cobertura de Recolección de Variables ADA (Arquitectura de datos para la analitica)</t>
  </si>
  <si>
    <t>472-2024-06-30</t>
  </si>
  <si>
    <t>472-2024-12-31</t>
  </si>
  <si>
    <t>473</t>
  </si>
  <si>
    <t>Programas con alineación curricular</t>
  </si>
  <si>
    <t>473-2024-06-30</t>
  </si>
  <si>
    <t>Programas con planes de estudios definidos</t>
  </si>
  <si>
    <t>473-2024-12-31</t>
  </si>
  <si>
    <t>473-2025-06-30</t>
  </si>
  <si>
    <t>473-2025-12-31</t>
  </si>
  <si>
    <t>474</t>
  </si>
  <si>
    <t>Programas con alineación curricular por escuela</t>
  </si>
  <si>
    <t>474-2024-06-30</t>
  </si>
  <si>
    <t>Programas con planes de estudios definidos por escuela (Nuevos Programas)</t>
  </si>
  <si>
    <t>474-2024-12-31</t>
  </si>
  <si>
    <t>474-2025-06-30</t>
  </si>
  <si>
    <t>475</t>
  </si>
  <si>
    <t>Número de renovaciones de registro calificado radicadas al MEN</t>
  </si>
  <si>
    <t>475-2024-06-30</t>
  </si>
  <si>
    <t>475-2024-12-31</t>
  </si>
  <si>
    <t>475-2025-06-30</t>
  </si>
  <si>
    <t>475-2025-12-31</t>
  </si>
  <si>
    <t>476</t>
  </si>
  <si>
    <t>Programas con resultados de aprendizaje definidos</t>
  </si>
  <si>
    <t>476-2024-06-30</t>
  </si>
  <si>
    <t>476-2024-12-31</t>
  </si>
  <si>
    <t>476-2025-06-30</t>
  </si>
  <si>
    <t>476-2025-12-31</t>
  </si>
  <si>
    <t>477</t>
  </si>
  <si>
    <t>Programas con planes de estudios definidos por escuela (Programas Renovación, modificación y acreditación)</t>
  </si>
  <si>
    <t>477-2024-06-30</t>
  </si>
  <si>
    <t>477-2024-12-31</t>
  </si>
  <si>
    <t>478</t>
  </si>
  <si>
    <t>Programas con planes de estudios definidos por escuela (Mantenimiento de programas)</t>
  </si>
  <si>
    <t>478-2024-06-30</t>
  </si>
  <si>
    <t>478-2024-12-31</t>
  </si>
  <si>
    <t>478-2025-06-30</t>
  </si>
  <si>
    <t>479</t>
  </si>
  <si>
    <t>Programas con resultados de aprendizaje definidos por escuela (Nuevos Programas)</t>
  </si>
  <si>
    <t>479-2024-06-30</t>
  </si>
  <si>
    <t>479-2024-12-31</t>
  </si>
  <si>
    <t>479-2025-06-30</t>
  </si>
  <si>
    <t>480</t>
  </si>
  <si>
    <t>Programas con resultados de aprendizaje definidos por escuela (Programas Renovación, modificación y acreditación)</t>
  </si>
  <si>
    <t>480-2024-06-30</t>
  </si>
  <si>
    <t>480-2024-12-31</t>
  </si>
  <si>
    <t>480-2025-06-30</t>
  </si>
  <si>
    <t>481</t>
  </si>
  <si>
    <t>Solicitudes de documentación completadas</t>
  </si>
  <si>
    <t>481-2024-06-30</t>
  </si>
  <si>
    <t>481-2024-12-31</t>
  </si>
  <si>
    <t>481-2025-06-30</t>
  </si>
  <si>
    <t>481-2025-12-31</t>
  </si>
  <si>
    <t>483</t>
  </si>
  <si>
    <t>Tasa de incremento en la resolución de solicitudes de la vicerrectoría de crecimiento</t>
  </si>
  <si>
    <t>483-2024-12-31</t>
  </si>
  <si>
    <t>484</t>
  </si>
  <si>
    <t>Cumplimiento del Programa de la Cultura del Autocuidado</t>
  </si>
  <si>
    <t>484-2024-06-30</t>
  </si>
  <si>
    <t>484-2024-09-30</t>
  </si>
  <si>
    <t>484-2024-12-31</t>
  </si>
  <si>
    <t>484-2025-03-31</t>
  </si>
  <si>
    <t>484-2025-06-30</t>
  </si>
  <si>
    <t>484-2025-12-31</t>
  </si>
  <si>
    <t>485</t>
  </si>
  <si>
    <t>Oportunidad en el cierre de acciones</t>
  </si>
  <si>
    <t>485-2024-09-30</t>
  </si>
  <si>
    <t>485-2024-10-31</t>
  </si>
  <si>
    <t>485-2024-11-30</t>
  </si>
  <si>
    <t>485-2024-12-31</t>
  </si>
  <si>
    <t>485-2025-01-31</t>
  </si>
  <si>
    <t>50</t>
  </si>
  <si>
    <t>50.0%</t>
  </si>
  <si>
    <t>485-2025-02-28</t>
  </si>
  <si>
    <t>485-2025-03-31</t>
  </si>
  <si>
    <t>485-2025-04-30</t>
  </si>
  <si>
    <t>485-2025-05-31</t>
  </si>
  <si>
    <t>66.67</t>
  </si>
  <si>
    <t>66.67%</t>
  </si>
  <si>
    <t>485-2025-06-30</t>
  </si>
  <si>
    <t>485-2025-07-31</t>
  </si>
  <si>
    <t>485-2025-08-31</t>
  </si>
  <si>
    <t>485-2025-10-31</t>
  </si>
  <si>
    <t>85.71</t>
  </si>
  <si>
    <t>85.71%</t>
  </si>
  <si>
    <t>485-2025-11-30</t>
  </si>
  <si>
    <t>485-2025-12-31</t>
  </si>
  <si>
    <t>486</t>
  </si>
  <si>
    <t>Número de visitas a la página web</t>
  </si>
  <si>
    <t>486-2024-06-30</t>
  </si>
  <si>
    <t>486-2024-12-31</t>
  </si>
  <si>
    <t>2890610</t>
  </si>
  <si>
    <t>2890610.0%</t>
  </si>
  <si>
    <t>486-2025-06-30</t>
  </si>
  <si>
    <t>487</t>
  </si>
  <si>
    <t>Impactados Talleres de formación</t>
  </si>
  <si>
    <t>487-2024-12-31</t>
  </si>
  <si>
    <t>Número Impactados Talleres de formación</t>
  </si>
  <si>
    <t>58.86</t>
  </si>
  <si>
    <t>58.86%</t>
  </si>
  <si>
    <t>487-2025-12-31</t>
  </si>
  <si>
    <t>488</t>
  </si>
  <si>
    <t>Oportunidad en el cierre de actividades de los planes de mejora</t>
  </si>
  <si>
    <t>488-2024-10-31</t>
  </si>
  <si>
    <t>488-2024-11-30</t>
  </si>
  <si>
    <t>488-2024-12-31</t>
  </si>
  <si>
    <t>78.04878048780488</t>
  </si>
  <si>
    <t>78.05%</t>
  </si>
  <si>
    <t>488-2025-01-31</t>
  </si>
  <si>
    <t>77.20588235294117</t>
  </si>
  <si>
    <t>77.21%</t>
  </si>
  <si>
    <t>488-2025-02-28</t>
  </si>
  <si>
    <t>488-2025-03-31</t>
  </si>
  <si>
    <t>64.91</t>
  </si>
  <si>
    <t>64.91%</t>
  </si>
  <si>
    <t>488-2025-04-30</t>
  </si>
  <si>
    <t>67.86</t>
  </si>
  <si>
    <t>67.86%</t>
  </si>
  <si>
    <t>488-2025-05-31</t>
  </si>
  <si>
    <t>72.41</t>
  </si>
  <si>
    <t>72.41%</t>
  </si>
  <si>
    <t>488-2025-06-30</t>
  </si>
  <si>
    <t>83.54</t>
  </si>
  <si>
    <t>83.54%</t>
  </si>
  <si>
    <t>488-2025-07-31</t>
  </si>
  <si>
    <t>81.01</t>
  </si>
  <si>
    <t>81.01%</t>
  </si>
  <si>
    <t>488-2025-08-31</t>
  </si>
  <si>
    <t>85.59</t>
  </si>
  <si>
    <t>85.59%</t>
  </si>
  <si>
    <t>488-2025-10-31</t>
  </si>
  <si>
    <t>75</t>
  </si>
  <si>
    <t>75.0%</t>
  </si>
  <si>
    <t>488-2025-11-30</t>
  </si>
  <si>
    <t>76.74</t>
  </si>
  <si>
    <t>76.74%</t>
  </si>
  <si>
    <t>488-2025-12-31</t>
  </si>
  <si>
    <t>72.16</t>
  </si>
  <si>
    <t>72.16%</t>
  </si>
  <si>
    <t>488-2026-01-31</t>
  </si>
  <si>
    <t>489</t>
  </si>
  <si>
    <t>Cumplimiento en la evaluación de las oportunidades de mejora (OM)</t>
  </si>
  <si>
    <t>489-2024-10-31</t>
  </si>
  <si>
    <t>489-2024-11-30</t>
  </si>
  <si>
    <t>489-2024-12-31</t>
  </si>
  <si>
    <t>490</t>
  </si>
  <si>
    <t>Nivel de Satisfacción Servicios Prestados - Planeación Estratégica</t>
  </si>
  <si>
    <t>490-2024-12-31</t>
  </si>
  <si>
    <t>490-2025-12-31</t>
  </si>
  <si>
    <t>491</t>
  </si>
  <si>
    <t>Nivel de Satisfacción Servicios Prestados - Gestión de proyectos</t>
  </si>
  <si>
    <t>491-2024-12-31</t>
  </si>
  <si>
    <t>491-2025-12-31</t>
  </si>
  <si>
    <t>492</t>
  </si>
  <si>
    <t>Nivel de Satisfacción Servicios Prestados - Desempeño Institucional</t>
  </si>
  <si>
    <t>492-2024-12-31</t>
  </si>
  <si>
    <t>492-2025-12-31</t>
  </si>
  <si>
    <t>493</t>
  </si>
  <si>
    <t>Nivel de Satisfacción Servicios Prestados - Gestión Jurídica Y Normativa</t>
  </si>
  <si>
    <t>493-2024-12-31</t>
  </si>
  <si>
    <t>77</t>
  </si>
  <si>
    <t>77.0%</t>
  </si>
  <si>
    <t>493-2025-12-31</t>
  </si>
  <si>
    <t>494</t>
  </si>
  <si>
    <t>Nivel de Satisfacción Servicios Prestados - Administración De Servicios Generales</t>
  </si>
  <si>
    <t>494-2024-12-31</t>
  </si>
  <si>
    <t>93</t>
  </si>
  <si>
    <t>494-2025-12-31</t>
  </si>
  <si>
    <t>495</t>
  </si>
  <si>
    <t>Nivel de Satisfacción Servicios Prestados - Contabilidad</t>
  </si>
  <si>
    <t>495-2024-12-31</t>
  </si>
  <si>
    <t>63</t>
  </si>
  <si>
    <t>63.0%</t>
  </si>
  <si>
    <t>495-2025-12-31</t>
  </si>
  <si>
    <t>496</t>
  </si>
  <si>
    <t>Nivel de Satisfacción Servicios Prestados - Planeación Financiera</t>
  </si>
  <si>
    <t>496-2024-12-31</t>
  </si>
  <si>
    <t>496-2025-12-31</t>
  </si>
  <si>
    <t>497</t>
  </si>
  <si>
    <t>Nivel de Satisfacción Servicios Prestados - Tesorería</t>
  </si>
  <si>
    <t>497-2024-12-31</t>
  </si>
  <si>
    <t>498</t>
  </si>
  <si>
    <t>Nivel de Satisfacción Servicios Prestados - Centro de Medios Audiovisuales</t>
  </si>
  <si>
    <t>498-2024-12-31</t>
  </si>
  <si>
    <t>498-2025-12-31</t>
  </si>
  <si>
    <t>499</t>
  </si>
  <si>
    <t>Nivel de Satisfacción Servicios Prestados - Datos y analítica</t>
  </si>
  <si>
    <t>499-2024-12-31</t>
  </si>
  <si>
    <t>5</t>
  </si>
  <si>
    <t>Equidad de Genero</t>
  </si>
  <si>
    <t>5-2023-01-31</t>
  </si>
  <si>
    <t>5-2023-02-28</t>
  </si>
  <si>
    <t>5-2023-03-31</t>
  </si>
  <si>
    <t>5-2023-04-30</t>
  </si>
  <si>
    <t>5-2023-05-31</t>
  </si>
  <si>
    <t>5-2023-06-30</t>
  </si>
  <si>
    <t>5-2023-07-31</t>
  </si>
  <si>
    <t>5-2023-08-31</t>
  </si>
  <si>
    <t>5-2023-09-30</t>
  </si>
  <si>
    <t>5-2023-10-31</t>
  </si>
  <si>
    <t>5-2023-11-30</t>
  </si>
  <si>
    <t>5-2023-12-31</t>
  </si>
  <si>
    <t>5-2024-01-31</t>
  </si>
  <si>
    <t>5-2024-02-29</t>
  </si>
  <si>
    <t>5-2024-03-31</t>
  </si>
  <si>
    <t>5-2024-04-30</t>
  </si>
  <si>
    <t>5-2024-05-31</t>
  </si>
  <si>
    <t>5-2024-06-30</t>
  </si>
  <si>
    <t>5-2024-07-31</t>
  </si>
  <si>
    <t>5-2024-08-31</t>
  </si>
  <si>
    <t>5-2024-09-30</t>
  </si>
  <si>
    <t>5-2024-10-31</t>
  </si>
  <si>
    <t>5-2024-11-30</t>
  </si>
  <si>
    <t>5-2024-12-31</t>
  </si>
  <si>
    <t>500</t>
  </si>
  <si>
    <t>Nivel de Satisfacción Servicios Prestados -Servicio de Salud</t>
  </si>
  <si>
    <t>500-2024-12-31</t>
  </si>
  <si>
    <t>500-2025-12-31</t>
  </si>
  <si>
    <t>501</t>
  </si>
  <si>
    <t>Nivel de Satisfacción Servicios Prestados -Gestión, evaluación e innovación curricular</t>
  </si>
  <si>
    <t>501-2024-12-31</t>
  </si>
  <si>
    <t>501-2025-12-31</t>
  </si>
  <si>
    <t>502</t>
  </si>
  <si>
    <t>Nivel de Satisfacción Servicios Prestados -Formación para la investigación, creación e innovación</t>
  </si>
  <si>
    <t>502-2024-12-31</t>
  </si>
  <si>
    <t>502-2025-12-31</t>
  </si>
  <si>
    <t>503</t>
  </si>
  <si>
    <t>Nivel de Satisfacción Servicios Prestados -Gestión de Unidades Académicas</t>
  </si>
  <si>
    <t>503-2024-12-31</t>
  </si>
  <si>
    <t>503-2025-12-31</t>
  </si>
  <si>
    <t>504</t>
  </si>
  <si>
    <t>Nivel de Satisfacción Servicios Prestados - LEI</t>
  </si>
  <si>
    <t>504-2024-12-31</t>
  </si>
  <si>
    <t>88</t>
  </si>
  <si>
    <t>88.0%</t>
  </si>
  <si>
    <t>504-2025-12-31</t>
  </si>
  <si>
    <t>505</t>
  </si>
  <si>
    <t>Nivel de Satisfacción Servicios Prestados - Mercadeo de programas académicos</t>
  </si>
  <si>
    <t>505-2024-12-31</t>
  </si>
  <si>
    <t>86</t>
  </si>
  <si>
    <t>86.0%</t>
  </si>
  <si>
    <t>505-2025-12-31</t>
  </si>
  <si>
    <t>506</t>
  </si>
  <si>
    <t>Nivel de Satisfacción Servicios Prestados - Prácticas</t>
  </si>
  <si>
    <t>506-2024-12-31</t>
  </si>
  <si>
    <t>506-2025-06-30</t>
  </si>
  <si>
    <t>92.5</t>
  </si>
  <si>
    <t>92.5%</t>
  </si>
  <si>
    <t>506-2025-12-31</t>
  </si>
  <si>
    <t>507</t>
  </si>
  <si>
    <t>Nivel de Satisfacción Servicios Prestados -Cultura y Deporte</t>
  </si>
  <si>
    <t>507-2024-12-31</t>
  </si>
  <si>
    <t>98.75</t>
  </si>
  <si>
    <t>98.75%</t>
  </si>
  <si>
    <t>507-2025-06-30</t>
  </si>
  <si>
    <t>507-2025-12-31</t>
  </si>
  <si>
    <t>508</t>
  </si>
  <si>
    <t>Nivel de Satisfacción Servicios Prestados - Diseño y contenido virtual</t>
  </si>
  <si>
    <t>508-2024-12-31</t>
  </si>
  <si>
    <t>508-2025-12-31</t>
  </si>
  <si>
    <t>509</t>
  </si>
  <si>
    <t>Cumplimiento a cronograma de proyectos 2025</t>
  </si>
  <si>
    <t>99.45</t>
  </si>
  <si>
    <t>99.45%</t>
  </si>
  <si>
    <t>509-2025-01-31</t>
  </si>
  <si>
    <t>509-2025-02-28</t>
  </si>
  <si>
    <t>509-2025-03-31</t>
  </si>
  <si>
    <t>509-2025-04-30</t>
  </si>
  <si>
    <t>509-2025-05-31</t>
  </si>
  <si>
    <t>100.59</t>
  </si>
  <si>
    <t>100.59%</t>
  </si>
  <si>
    <t>509-2025-06-30</t>
  </si>
  <si>
    <t>96.04</t>
  </si>
  <si>
    <t>96.04%</t>
  </si>
  <si>
    <t>509-2025-07-31</t>
  </si>
  <si>
    <t>91.52</t>
  </si>
  <si>
    <t>91.52%</t>
  </si>
  <si>
    <t>509-2025-08-31</t>
  </si>
  <si>
    <t>510</t>
  </si>
  <si>
    <t>Frecuencia de incidentes de riesgos</t>
  </si>
  <si>
    <t>510-2025-03-31</t>
  </si>
  <si>
    <t>510-2025-06-30</t>
  </si>
  <si>
    <t>510-2025-12-31</t>
  </si>
  <si>
    <t>511</t>
  </si>
  <si>
    <t>Eficacia de controles</t>
  </si>
  <si>
    <t>511-2025-03-31</t>
  </si>
  <si>
    <t>511-2025-06-30</t>
  </si>
  <si>
    <t>84.76</t>
  </si>
  <si>
    <t>84.76%</t>
  </si>
  <si>
    <t>511-2025-12-31</t>
  </si>
  <si>
    <t>513</t>
  </si>
  <si>
    <t>Nivel de cumplimiento del plan de seguimiento a controles</t>
  </si>
  <si>
    <t>513-2025-03-31</t>
  </si>
  <si>
    <t>513-2025-06-30</t>
  </si>
  <si>
    <t>514</t>
  </si>
  <si>
    <t>Respuesta ante nuevas necesidades de control</t>
  </si>
  <si>
    <t>91.82</t>
  </si>
  <si>
    <t>91.82%</t>
  </si>
  <si>
    <t>514-2025-06-30</t>
  </si>
  <si>
    <t>45.96</t>
  </si>
  <si>
    <t>45.96%</t>
  </si>
  <si>
    <t>514-2025-12-31</t>
  </si>
  <si>
    <t>515</t>
  </si>
  <si>
    <t>Porcentaje de procesos de control implementados</t>
  </si>
  <si>
    <t>515-2025-12-31</t>
  </si>
  <si>
    <t>516</t>
  </si>
  <si>
    <t>Porcentaje de colaboradores formados en ciberseguridad</t>
  </si>
  <si>
    <t>315.79</t>
  </si>
  <si>
    <t>315.79%</t>
  </si>
  <si>
    <t>516-2025-12-31</t>
  </si>
  <si>
    <t>518</t>
  </si>
  <si>
    <t>Cumplimiento programa de auditoría</t>
  </si>
  <si>
    <t>518-2023-04-30</t>
  </si>
  <si>
    <t>518-2023-06-30</t>
  </si>
  <si>
    <t>518-2023-08-31</t>
  </si>
  <si>
    <t>518-2023-10-31</t>
  </si>
  <si>
    <t>518-2023-12-31</t>
  </si>
  <si>
    <t>518-2024-02-29</t>
  </si>
  <si>
    <t>518-2024-04-30</t>
  </si>
  <si>
    <t>518-2024-06-30</t>
  </si>
  <si>
    <t>518-2024-08-31</t>
  </si>
  <si>
    <t>518-2024-10-31</t>
  </si>
  <si>
    <t>518-2024-12-31</t>
  </si>
  <si>
    <t>83.333333333333</t>
  </si>
  <si>
    <t>518-2025-03-31</t>
  </si>
  <si>
    <t>87.5</t>
  </si>
  <si>
    <t>87.5%</t>
  </si>
  <si>
    <t>518-2025-06-30</t>
  </si>
  <si>
    <t>518-2025-12-31</t>
  </si>
  <si>
    <t>519</t>
  </si>
  <si>
    <t>% de publicaciones con sentimiento neutro o negativo</t>
  </si>
  <si>
    <t>431.45</t>
  </si>
  <si>
    <t>431.45%</t>
  </si>
  <si>
    <t>519-2025-06-30</t>
  </si>
  <si>
    <t>131.13</t>
  </si>
  <si>
    <t>131.13%</t>
  </si>
  <si>
    <t>519-2025-12-31</t>
  </si>
  <si>
    <t>522</t>
  </si>
  <si>
    <t>Asignaturas o modulos con mecanismos de evaluación implementados</t>
  </si>
  <si>
    <t>522-2025-12-31</t>
  </si>
  <si>
    <t>523</t>
  </si>
  <si>
    <t>125.74</t>
  </si>
  <si>
    <t>125.74%</t>
  </si>
  <si>
    <t>523-2025-06-30</t>
  </si>
  <si>
    <t>95.82</t>
  </si>
  <si>
    <t>95.82%</t>
  </si>
  <si>
    <t>523-2025-12-31</t>
  </si>
  <si>
    <t>524</t>
  </si>
  <si>
    <t>99.38</t>
  </si>
  <si>
    <t>99.38%</t>
  </si>
  <si>
    <t>524-2025-06-30</t>
  </si>
  <si>
    <t>106.07</t>
  </si>
  <si>
    <t>143.41%</t>
  </si>
  <si>
    <t>106.07%</t>
  </si>
  <si>
    <t>524-2025-12-31</t>
  </si>
  <si>
    <t>526</t>
  </si>
  <si>
    <t>Cumplimiento Politica Polisigs</t>
  </si>
  <si>
    <t>526-2025-06-30</t>
  </si>
  <si>
    <t>528</t>
  </si>
  <si>
    <t>Participación de la comunidad en la Rendición de Cuentas</t>
  </si>
  <si>
    <t>173.92055267703</t>
  </si>
  <si>
    <t>173.92%</t>
  </si>
  <si>
    <t>528-2025-06-30</t>
  </si>
  <si>
    <t>528-2025-12-31</t>
  </si>
  <si>
    <t>529</t>
  </si>
  <si>
    <t>Oportunidad en la solución de solicitudes de infraestructura</t>
  </si>
  <si>
    <t>529-2025-02-28</t>
  </si>
  <si>
    <t>529-2025-03-31</t>
  </si>
  <si>
    <t>529-2025-04-30</t>
  </si>
  <si>
    <t>529-2025-06-30</t>
  </si>
  <si>
    <t>532</t>
  </si>
  <si>
    <t>Actividades de Cooperación en Internacionalización</t>
  </si>
  <si>
    <t>133.15</t>
  </si>
  <si>
    <t>133.15%</t>
  </si>
  <si>
    <t>532-2025-06-30</t>
  </si>
  <si>
    <t>134.78</t>
  </si>
  <si>
    <t>134.78%</t>
  </si>
  <si>
    <t>532-2025-12-31</t>
  </si>
  <si>
    <t>533</t>
  </si>
  <si>
    <t>Participación de estudiantes externos invitados a actividades de cooperación nacional e internacional</t>
  </si>
  <si>
    <t>124.89</t>
  </si>
  <si>
    <t>124.89%</t>
  </si>
  <si>
    <t>533-2025-06-30</t>
  </si>
  <si>
    <t>177.95</t>
  </si>
  <si>
    <t>177.95%</t>
  </si>
  <si>
    <t>533-2025-12-31</t>
  </si>
  <si>
    <t>534</t>
  </si>
  <si>
    <t>Participación de estudiantes POLI en actividades de cooperación nacional e internacional</t>
  </si>
  <si>
    <t>134.09</t>
  </si>
  <si>
    <t>134.09%</t>
  </si>
  <si>
    <t>534-2025-06-30</t>
  </si>
  <si>
    <t>134.53</t>
  </si>
  <si>
    <t>134.53%</t>
  </si>
  <si>
    <t>534-2025-12-31</t>
  </si>
  <si>
    <t>535</t>
  </si>
  <si>
    <t>Participación de profesores externos invitados a actividades de cooperación nacional e internacional</t>
  </si>
  <si>
    <t>132.67</t>
  </si>
  <si>
    <t>132.67%</t>
  </si>
  <si>
    <t>535-2025-06-30</t>
  </si>
  <si>
    <t>209.63</t>
  </si>
  <si>
    <t>209.63%</t>
  </si>
  <si>
    <t>535-2025-12-31</t>
  </si>
  <si>
    <t>536</t>
  </si>
  <si>
    <t>Participación de profesores POLI en actividades de cooperación nacional e internacional</t>
  </si>
  <si>
    <t>109.33</t>
  </si>
  <si>
    <t>109.33%</t>
  </si>
  <si>
    <t>536-2025-06-30</t>
  </si>
  <si>
    <t>260.75</t>
  </si>
  <si>
    <t>260.75%</t>
  </si>
  <si>
    <t>536-2025-12-31</t>
  </si>
  <si>
    <t>537</t>
  </si>
  <si>
    <t>FCR- Resolución en primer contacto</t>
  </si>
  <si>
    <t>58.9</t>
  </si>
  <si>
    <t>58.9%</t>
  </si>
  <si>
    <t>537-2025-06-30</t>
  </si>
  <si>
    <t>64.3</t>
  </si>
  <si>
    <t>64.3%</t>
  </si>
  <si>
    <t>537-2025-12-31</t>
  </si>
  <si>
    <t>538</t>
  </si>
  <si>
    <t>Cumplimiento de sesiones de socialización de planeación académica</t>
  </si>
  <si>
    <t>538-2025-12-31</t>
  </si>
  <si>
    <t>539</t>
  </si>
  <si>
    <t>CES emisión de certificados</t>
  </si>
  <si>
    <t>2.5</t>
  </si>
  <si>
    <t>539-2025-12-31</t>
  </si>
  <si>
    <t>540</t>
  </si>
  <si>
    <t>Nivel de Calidad de los Datos Cargados al SNIES</t>
  </si>
  <si>
    <t>97.33</t>
  </si>
  <si>
    <t>97.33%</t>
  </si>
  <si>
    <t>540-2025-06-30</t>
  </si>
  <si>
    <t>97.9</t>
  </si>
  <si>
    <t>97.9%</t>
  </si>
  <si>
    <t>540-2025-12-31</t>
  </si>
  <si>
    <t>541</t>
  </si>
  <si>
    <t>Participación de graduados en actividades de empleabilidad y relacionamiento</t>
  </si>
  <si>
    <t>6.99</t>
  </si>
  <si>
    <t>6.99%</t>
  </si>
  <si>
    <t>541-2025-12-31</t>
  </si>
  <si>
    <t>542</t>
  </si>
  <si>
    <t>Tasa de cotización del graduado - Metrica</t>
  </si>
  <si>
    <t>81.24</t>
  </si>
  <si>
    <t>81.24%</t>
  </si>
  <si>
    <t>542-2025-12-31</t>
  </si>
  <si>
    <t>543</t>
  </si>
  <si>
    <t>Tasa de interacción por usuario</t>
  </si>
  <si>
    <t>7.29</t>
  </si>
  <si>
    <t>7.29%</t>
  </si>
  <si>
    <t>543-2025-06-30</t>
  </si>
  <si>
    <t>544</t>
  </si>
  <si>
    <t>Producción de ambientes inmersivos LEI</t>
  </si>
  <si>
    <t>250</t>
  </si>
  <si>
    <t>250.0%</t>
  </si>
  <si>
    <t>544-2025-06-30</t>
  </si>
  <si>
    <t>162.5</t>
  </si>
  <si>
    <t>162.5%</t>
  </si>
  <si>
    <t>544-2025-12-31</t>
  </si>
  <si>
    <t>546</t>
  </si>
  <si>
    <t>Tasa de participación de graduados en instrumentos de seguimiento (M0, M1, M5)</t>
  </si>
  <si>
    <t>37.79</t>
  </si>
  <si>
    <t>37.79%</t>
  </si>
  <si>
    <t>546-2025-12-31</t>
  </si>
  <si>
    <t>547</t>
  </si>
  <si>
    <t>Nivel de satisfacción del graduado con la institución</t>
  </si>
  <si>
    <t>92</t>
  </si>
  <si>
    <t>92.0%</t>
  </si>
  <si>
    <t>547-2025-12-31</t>
  </si>
  <si>
    <t>550</t>
  </si>
  <si>
    <t>Nivel de satisfacción con las actividades de formación</t>
  </si>
  <si>
    <t>550-2025-06-30</t>
  </si>
  <si>
    <t>95.5</t>
  </si>
  <si>
    <t>95.5%</t>
  </si>
  <si>
    <t>550-2025-12-31</t>
  </si>
  <si>
    <t>551</t>
  </si>
  <si>
    <t>Evaluación del desempeño de los mentores</t>
  </si>
  <si>
    <t>551-2025-06-30</t>
  </si>
  <si>
    <t>551-2025-12-31</t>
  </si>
  <si>
    <t>552</t>
  </si>
  <si>
    <t>Nivel de Satisfacción Servicios Prestados -Gestión de la Responsabilidad Social</t>
  </si>
  <si>
    <t>552-2025-06-30</t>
  </si>
  <si>
    <t>553</t>
  </si>
  <si>
    <t>Nivel de Satisfacción Servicios Prestados -Inscripción, admisión y matrícula de estudiantes nuevos</t>
  </si>
  <si>
    <t>83</t>
  </si>
  <si>
    <t>83.0%</t>
  </si>
  <si>
    <t>553-2025-12-31</t>
  </si>
  <si>
    <t>554</t>
  </si>
  <si>
    <t>Nivel de Satisfacción Servicios Prestados -Permanencia</t>
  </si>
  <si>
    <t>554-2025-12-31</t>
  </si>
  <si>
    <t>556</t>
  </si>
  <si>
    <t>Cumplimiento Plan de formación Institucional</t>
  </si>
  <si>
    <t>113.75</t>
  </si>
  <si>
    <t>113.75%</t>
  </si>
  <si>
    <t>556-2025-12-31</t>
  </si>
  <si>
    <t>6</t>
  </si>
  <si>
    <t>Portal Universitario</t>
  </si>
  <si>
    <t>6-2023-04-30</t>
  </si>
  <si>
    <t>6-2023-05-31</t>
  </si>
  <si>
    <t>6-2023-06-30</t>
  </si>
  <si>
    <t>6-2023-07-31</t>
  </si>
  <si>
    <t>6-2023-08-31</t>
  </si>
  <si>
    <t>6-2023-09-30</t>
  </si>
  <si>
    <t>6-2023-10-31</t>
  </si>
  <si>
    <t>6-2023-11-30</t>
  </si>
  <si>
    <t>6-2023-12-31</t>
  </si>
  <si>
    <t>6-2024-01-31</t>
  </si>
  <si>
    <t>6-2024-02-29</t>
  </si>
  <si>
    <t>6-2024-03-31</t>
  </si>
  <si>
    <t>6-2024-04-30</t>
  </si>
  <si>
    <t>6-2024-05-31</t>
  </si>
  <si>
    <t>6-2024-06-30</t>
  </si>
  <si>
    <t>6-2024-07-31</t>
  </si>
  <si>
    <t>68</t>
  </si>
  <si>
    <t>Evaluación de desempeño a proveedores críticos</t>
  </si>
  <si>
    <t>68-2023-06-30</t>
  </si>
  <si>
    <t>68-2023-12-31</t>
  </si>
  <si>
    <t>68-2024-06-30</t>
  </si>
  <si>
    <t>68-2024-12-31</t>
  </si>
  <si>
    <t>68-2025-06-30</t>
  </si>
  <si>
    <t>69</t>
  </si>
  <si>
    <t>Oportunidad de Respuesta Solicitudes de Compra No Licitadas</t>
  </si>
  <si>
    <t>69-2023-03-31</t>
  </si>
  <si>
    <t>69-2023-06-30</t>
  </si>
  <si>
    <t>69-2023-09-30</t>
  </si>
  <si>
    <t>69-2023-12-31</t>
  </si>
  <si>
    <t>69-2024-03-31</t>
  </si>
  <si>
    <t>69-2024-06-30</t>
  </si>
  <si>
    <t>69-2024-09-30</t>
  </si>
  <si>
    <t>69-2024-12-31</t>
  </si>
  <si>
    <t>90.75</t>
  </si>
  <si>
    <t>90.75%</t>
  </si>
  <si>
    <t>69-2025-03-31</t>
  </si>
  <si>
    <t>90.78</t>
  </si>
  <si>
    <t>90.78%</t>
  </si>
  <si>
    <t>69-2025-06-30</t>
  </si>
  <si>
    <t>69-2025-12-31</t>
  </si>
  <si>
    <t>7</t>
  </si>
  <si>
    <t>Data Lake Institucional</t>
  </si>
  <si>
    <t>7-2023-04-30</t>
  </si>
  <si>
    <t>7-2023-05-31</t>
  </si>
  <si>
    <t>7-2023-06-30</t>
  </si>
  <si>
    <t>7-2023-07-31</t>
  </si>
  <si>
    <t>7-2023-08-31</t>
  </si>
  <si>
    <t>7-2023-09-30</t>
  </si>
  <si>
    <t>7-2023-10-31</t>
  </si>
  <si>
    <t>7-2023-11-30</t>
  </si>
  <si>
    <t>7-2023-12-31</t>
  </si>
  <si>
    <t>7-2024-01-31</t>
  </si>
  <si>
    <t>7-2024-02-29</t>
  </si>
  <si>
    <t>7-2024-03-31</t>
  </si>
  <si>
    <t>7-2024-04-30</t>
  </si>
  <si>
    <t>7-2024-05-31</t>
  </si>
  <si>
    <t>7-2024-06-30</t>
  </si>
  <si>
    <t>7-2024-07-31</t>
  </si>
  <si>
    <t>7-2024-08-31</t>
  </si>
  <si>
    <t>7-2024-09-30</t>
  </si>
  <si>
    <t>7-2024-10-31</t>
  </si>
  <si>
    <t>7-2024-11-30</t>
  </si>
  <si>
    <t>7-2024-12-31</t>
  </si>
  <si>
    <t>73</t>
  </si>
  <si>
    <t>Tiempo respuesta selección y contratación de colaboradores de planta</t>
  </si>
  <si>
    <t>73-2023-06-30</t>
  </si>
  <si>
    <t>73-2023-12-31</t>
  </si>
  <si>
    <t>73-2024-06-30</t>
  </si>
  <si>
    <t>73-2024-12-31</t>
  </si>
  <si>
    <t>19</t>
  </si>
  <si>
    <t>19.0%</t>
  </si>
  <si>
    <t>73-2025-06-30</t>
  </si>
  <si>
    <t>73-2025-12-31</t>
  </si>
  <si>
    <t>Efectividad en las contrataciones</t>
  </si>
  <si>
    <t>74-2023-06-30</t>
  </si>
  <si>
    <t>74-2023-12-31</t>
  </si>
  <si>
    <t>74-2024-06-30</t>
  </si>
  <si>
    <t>74-2024-12-31</t>
  </si>
  <si>
    <t>91.49</t>
  </si>
  <si>
    <t>91.49%</t>
  </si>
  <si>
    <t>74-2025-06-30</t>
  </si>
  <si>
    <t>74-2025-12-31</t>
  </si>
  <si>
    <t>Disponibilidad de servicios tecnológicos</t>
  </si>
  <si>
    <t>77-2022-01-31</t>
  </si>
  <si>
    <t>77-2022-02-28</t>
  </si>
  <si>
    <t>77-2022-03-31</t>
  </si>
  <si>
    <t>77-2022-04-30</t>
  </si>
  <si>
    <t>77-2022-05-31</t>
  </si>
  <si>
    <t>77-2022-06-30</t>
  </si>
  <si>
    <t>77-2022-07-31</t>
  </si>
  <si>
    <t>77-2022-08-31</t>
  </si>
  <si>
    <t>77-2022-09-30</t>
  </si>
  <si>
    <t>77-2022-10-31</t>
  </si>
  <si>
    <t>77-2022-11-30</t>
  </si>
  <si>
    <t>77-2022-12-31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</si>
  <si>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</si>
  <si>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</si>
  <si>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</si>
  <si>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</si>
  <si>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</si>
  <si>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</si>
  <si>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</si>
  <si>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</si>
  <si>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</si>
  <si>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</si>
  <si>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</si>
  <si>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77-2023-12-31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</si>
  <si>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</si>
  <si>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</si>
  <si>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</si>
  <si>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</si>
  <si>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</si>
  <si>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</si>
  <si>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</si>
  <si>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</si>
  <si>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</si>
  <si>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</si>
  <si>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</si>
  <si>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77-2024-12-31</t>
  </si>
  <si>
    <t>77-2025-01-31</t>
  </si>
  <si>
    <t>77-2025-02-28</t>
  </si>
  <si>
    <t>77-2025-03-31</t>
  </si>
  <si>
    <t>87.7</t>
  </si>
  <si>
    <t>87.7%</t>
  </si>
  <si>
    <t>77-2025-04-30</t>
  </si>
  <si>
    <t>77-2025-05-31</t>
  </si>
  <si>
    <t>96.2</t>
  </si>
  <si>
    <t>96.2%</t>
  </si>
  <si>
    <t>77-2025-06-30</t>
  </si>
  <si>
    <t>98.7</t>
  </si>
  <si>
    <t>98.7%</t>
  </si>
  <si>
    <t>77-2025-07-31</t>
  </si>
  <si>
    <t>97.1</t>
  </si>
  <si>
    <t>97.1%</t>
  </si>
  <si>
    <t>77-2025-08-31</t>
  </si>
  <si>
    <t>97.7</t>
  </si>
  <si>
    <t>97.7%</t>
  </si>
  <si>
    <t>77-2025-10-31</t>
  </si>
  <si>
    <t>93.4</t>
  </si>
  <si>
    <t>93.4%</t>
  </si>
  <si>
    <t>77-2025-11-30</t>
  </si>
  <si>
    <t>95.4</t>
  </si>
  <si>
    <t>95.4%</t>
  </si>
  <si>
    <t>77-2025-12-31</t>
  </si>
  <si>
    <t>94.9</t>
  </si>
  <si>
    <t>94.9%</t>
  </si>
  <si>
    <t>77-2026-01-31</t>
  </si>
  <si>
    <t>78</t>
  </si>
  <si>
    <t>78-2023-04-30</t>
  </si>
  <si>
    <t>78-2023-06-30</t>
  </si>
  <si>
    <t>78-2023-08-31</t>
  </si>
  <si>
    <t>78-2023-10-31</t>
  </si>
  <si>
    <t>78-2023-12-31</t>
  </si>
  <si>
    <t>78-2024-02-29</t>
  </si>
  <si>
    <t>78-2024-04-30</t>
  </si>
  <si>
    <t>78-2024-06-30</t>
  </si>
  <si>
    <t>78-2024-08-31</t>
  </si>
  <si>
    <t>78-2024-10-31</t>
  </si>
  <si>
    <t>78-2024-12-31</t>
  </si>
  <si>
    <t>79</t>
  </si>
  <si>
    <t>Cierre Eficaz De Oportunidades De Mejora De Auditoria Interna</t>
  </si>
  <si>
    <t>79-2023-02-28</t>
  </si>
  <si>
    <t>79-2023-04-30</t>
  </si>
  <si>
    <t>79-2023-06-30</t>
  </si>
  <si>
    <t>79-2023-08-31</t>
  </si>
  <si>
    <t>79-2023-10-31</t>
  </si>
  <si>
    <t>79-2023-12-31</t>
  </si>
  <si>
    <t>8</t>
  </si>
  <si>
    <t>Catalogo de recursos virtuales</t>
  </si>
  <si>
    <t>8-2023-01-31</t>
  </si>
  <si>
    <t>8-2023-02-28</t>
  </si>
  <si>
    <t>8-2023-03-31</t>
  </si>
  <si>
    <t>8-2023-04-30</t>
  </si>
  <si>
    <t>8-2023-05-31</t>
  </si>
  <si>
    <t>8-2023-06-30</t>
  </si>
  <si>
    <t>8-2023-07-31</t>
  </si>
  <si>
    <t>8-2023-08-31</t>
  </si>
  <si>
    <t>8-2023-09-30</t>
  </si>
  <si>
    <t>8-2023-10-31</t>
  </si>
  <si>
    <t>8-2023-11-30</t>
  </si>
  <si>
    <t>8-2023-12-31</t>
  </si>
  <si>
    <t>84</t>
  </si>
  <si>
    <t>Funcionamiento del COPASST</t>
  </si>
  <si>
    <t>84-2023-12-31</t>
  </si>
  <si>
    <t>84-2024-12-31</t>
  </si>
  <si>
    <t>84-2025-12-31</t>
  </si>
  <si>
    <t>85</t>
  </si>
  <si>
    <t>Plan de Emergencias</t>
  </si>
  <si>
    <t>85-2023-12-31</t>
  </si>
  <si>
    <t>85-2024-12-31</t>
  </si>
  <si>
    <t>85-2025-12-31</t>
  </si>
  <si>
    <t>Reporte e investigación</t>
  </si>
  <si>
    <t>86-2023-06-30</t>
  </si>
  <si>
    <t>86-2023-12-31</t>
  </si>
  <si>
    <t>86-2024-06-30</t>
  </si>
  <si>
    <t>86-2024-12-31</t>
  </si>
  <si>
    <t>86-2025-06-30</t>
  </si>
  <si>
    <t>86-2025-12-31</t>
  </si>
  <si>
    <t>87</t>
  </si>
  <si>
    <t>Autoevaluación</t>
  </si>
  <si>
    <t>87-2023-12-31</t>
  </si>
  <si>
    <t>87-2024-12-31</t>
  </si>
  <si>
    <t>87-2025-12-31</t>
  </si>
  <si>
    <t>Ejecución del plan de trabajo</t>
  </si>
  <si>
    <t>88-2023-12-31</t>
  </si>
  <si>
    <t>88-2024-12-31</t>
  </si>
  <si>
    <t>88-2025-12-31</t>
  </si>
  <si>
    <t>Ejecución plan de capacitación</t>
  </si>
  <si>
    <t>89-2023-12-31</t>
  </si>
  <si>
    <t>89-2024-12-31</t>
  </si>
  <si>
    <t>89-2025-12-31</t>
  </si>
  <si>
    <t>9</t>
  </si>
  <si>
    <t>Ecosistema Banner</t>
  </si>
  <si>
    <t>9-2023-04-30</t>
  </si>
  <si>
    <t>9-2023-05-31</t>
  </si>
  <si>
    <t>9-2023-06-30</t>
  </si>
  <si>
    <t>9-2023-07-31</t>
  </si>
  <si>
    <t>9-2023-08-31</t>
  </si>
  <si>
    <t>9-2023-09-30</t>
  </si>
  <si>
    <t>9-2023-10-31</t>
  </si>
  <si>
    <t>9-2023-11-30</t>
  </si>
  <si>
    <t>9-2023-12-31</t>
  </si>
  <si>
    <t>9-2024-01-31</t>
  </si>
  <si>
    <t>9-2024-02-29</t>
  </si>
  <si>
    <t>9-2024-03-31</t>
  </si>
  <si>
    <t>9-2024-04-30</t>
  </si>
  <si>
    <t>9-2024-05-31</t>
  </si>
  <si>
    <t>9-2024-06-30</t>
  </si>
  <si>
    <t>Ejecución de Simulacros</t>
  </si>
  <si>
    <t>90-2023-12-31</t>
  </si>
  <si>
    <t>90-2024-12-31</t>
  </si>
  <si>
    <t>90-2025-12-31</t>
  </si>
  <si>
    <t>900</t>
  </si>
  <si>
    <t>Experiencia Institucional - Fase 3- Hub de experiencia</t>
  </si>
  <si>
    <t>900-2024-01-31</t>
  </si>
  <si>
    <t>900-2024-02-29</t>
  </si>
  <si>
    <t>900-2024-03-31</t>
  </si>
  <si>
    <t>900-2024-04-30</t>
  </si>
  <si>
    <t>900-2024-05-31</t>
  </si>
  <si>
    <t>900-2024-06-30</t>
  </si>
  <si>
    <t>900-2024-07-31</t>
  </si>
  <si>
    <t>900-2024-08-31</t>
  </si>
  <si>
    <t>900-2024-09-30</t>
  </si>
  <si>
    <t>900-2024-10-31</t>
  </si>
  <si>
    <t>900-2024-11-30</t>
  </si>
  <si>
    <t>900-2024-12-31</t>
  </si>
  <si>
    <t>901</t>
  </si>
  <si>
    <t>Centro de Idiomas Fase I</t>
  </si>
  <si>
    <t>901-2024-01-31</t>
  </si>
  <si>
    <t>901-2024-02-29</t>
  </si>
  <si>
    <t>901-2024-03-31</t>
  </si>
  <si>
    <t>901-2024-04-30</t>
  </si>
  <si>
    <t>901-2024-05-31</t>
  </si>
  <si>
    <t>901-2024-06-30</t>
  </si>
  <si>
    <t>901-2024-07-31</t>
  </si>
  <si>
    <t>901-2024-08-31</t>
  </si>
  <si>
    <t>901-2024-09-30</t>
  </si>
  <si>
    <t>901-2024-10-31</t>
  </si>
  <si>
    <t>901-2024-11-30</t>
  </si>
  <si>
    <t>901-2024-12-31</t>
  </si>
  <si>
    <t>902</t>
  </si>
  <si>
    <t>CREA Centro de Recursos y Experiencias para el aprendizaje - Fase de Adecuación</t>
  </si>
  <si>
    <t>902-2024-01-31</t>
  </si>
  <si>
    <t>902-2024-02-29</t>
  </si>
  <si>
    <t>902-2024-03-31</t>
  </si>
  <si>
    <t>902-2024-04-30</t>
  </si>
  <si>
    <t>902-2024-05-31</t>
  </si>
  <si>
    <t>902-2024-06-30</t>
  </si>
  <si>
    <t>902-2024-07-31</t>
  </si>
  <si>
    <t>902-2024-08-31</t>
  </si>
  <si>
    <t>902-2024-09-30</t>
  </si>
  <si>
    <t>902-2024-10-31</t>
  </si>
  <si>
    <t>902-2024-11-30</t>
  </si>
  <si>
    <t>902-2024-12-31</t>
  </si>
  <si>
    <t>903</t>
  </si>
  <si>
    <t>Actualización sistema de transporte rotativo</t>
  </si>
  <si>
    <t>903-2024-01-31</t>
  </si>
  <si>
    <t>903-2024-02-29</t>
  </si>
  <si>
    <t>903-2024-03-31</t>
  </si>
  <si>
    <t>903-2024-04-30</t>
  </si>
  <si>
    <t>903-2024-05-31</t>
  </si>
  <si>
    <t>903-2024-06-30</t>
  </si>
  <si>
    <t>903-2024-07-31</t>
  </si>
  <si>
    <t>903-2024-08-31</t>
  </si>
  <si>
    <t>903-2024-09-30</t>
  </si>
  <si>
    <t>903-2024-10-31</t>
  </si>
  <si>
    <t>903-2024-11-30</t>
  </si>
  <si>
    <t>903-2024-12-31</t>
  </si>
  <si>
    <t>904</t>
  </si>
  <si>
    <t>Ecosistema E3</t>
  </si>
  <si>
    <t>904-2024-01-31</t>
  </si>
  <si>
    <t>904-2024-02-29</t>
  </si>
  <si>
    <t>904-2024-03-31</t>
  </si>
  <si>
    <t>904-2024-04-30</t>
  </si>
  <si>
    <t>904-2024-05-31</t>
  </si>
  <si>
    <t>904-2024-06-30</t>
  </si>
  <si>
    <t>904-2024-07-31</t>
  </si>
  <si>
    <t>904-2024-08-31</t>
  </si>
  <si>
    <t>904-2024-09-30</t>
  </si>
  <si>
    <t>904-2024-10-31</t>
  </si>
  <si>
    <t>904-2024-11-30</t>
  </si>
  <si>
    <t>904-2024-12-31</t>
  </si>
  <si>
    <t>905</t>
  </si>
  <si>
    <t>Habilidades Poderosas</t>
  </si>
  <si>
    <t>905-2024-01-31</t>
  </si>
  <si>
    <t>905-2024-02-29</t>
  </si>
  <si>
    <t>905-2024-03-31</t>
  </si>
  <si>
    <t>905-2024-04-30</t>
  </si>
  <si>
    <t>905-2024-05-31</t>
  </si>
  <si>
    <t>905-2024-06-30</t>
  </si>
  <si>
    <t>905-2024-07-31</t>
  </si>
  <si>
    <t>905-2024-08-31</t>
  </si>
  <si>
    <t>905-2024-09-30</t>
  </si>
  <si>
    <t>905-2024-10-31</t>
  </si>
  <si>
    <t>905-2024-11-30</t>
  </si>
  <si>
    <t>905-2024-12-31</t>
  </si>
  <si>
    <t>906</t>
  </si>
  <si>
    <t>Ser PRO</t>
  </si>
  <si>
    <t>906-2024-01-31</t>
  </si>
  <si>
    <t>906-2024-02-29</t>
  </si>
  <si>
    <t>906-2024-03-31</t>
  </si>
  <si>
    <t>906-2024-04-30</t>
  </si>
  <si>
    <t>906-2024-05-31</t>
  </si>
  <si>
    <t>906-2024-06-30</t>
  </si>
  <si>
    <t>906-2024-07-31</t>
  </si>
  <si>
    <t>906-2024-08-31</t>
  </si>
  <si>
    <t>906-2024-09-30</t>
  </si>
  <si>
    <t>906-2024-10-31</t>
  </si>
  <si>
    <t>906-2024-11-30</t>
  </si>
  <si>
    <t>906-2024-12-31</t>
  </si>
  <si>
    <t>907</t>
  </si>
  <si>
    <t>Cultura de una buena docencia</t>
  </si>
  <si>
    <t>907-2024-04-30</t>
  </si>
  <si>
    <t>907-2024-05-31</t>
  </si>
  <si>
    <t>907-2024-06-30</t>
  </si>
  <si>
    <t>907-2024-08-31</t>
  </si>
  <si>
    <t>907-2024-09-30</t>
  </si>
  <si>
    <t>907-2024-10-31</t>
  </si>
  <si>
    <t>907-2024-11-30</t>
  </si>
  <si>
    <t>907-2024-12-31</t>
  </si>
  <si>
    <t>908</t>
  </si>
  <si>
    <t>Proyecto Silver</t>
  </si>
  <si>
    <t>908-2024-06-30</t>
  </si>
  <si>
    <t>908-2024-07-31</t>
  </si>
  <si>
    <t>908-2024-08-31</t>
  </si>
  <si>
    <t>908-2024-09-30</t>
  </si>
  <si>
    <t>908-2024-10-31</t>
  </si>
  <si>
    <t>908-2024-11-30</t>
  </si>
  <si>
    <t>908-2024-12-31</t>
  </si>
  <si>
    <t>91</t>
  </si>
  <si>
    <t>Participación en capacitaciones SST</t>
  </si>
  <si>
    <t>91-2023-12-31</t>
  </si>
  <si>
    <t>91-2024-12-31</t>
  </si>
  <si>
    <t>91-2025-12-31</t>
  </si>
  <si>
    <t>Evaluación condiciones de salud (examen médico)</t>
  </si>
  <si>
    <t>92-2023-12-31</t>
  </si>
  <si>
    <t>92-2024-12-31</t>
  </si>
  <si>
    <t>92-2025-12-31</t>
  </si>
  <si>
    <t>Cobertura Elementos de Protección Personal</t>
  </si>
  <si>
    <t>94-2023-12-31</t>
  </si>
  <si>
    <t>94-2024-12-31</t>
  </si>
  <si>
    <t>94-2025-12-31</t>
  </si>
  <si>
    <t>Inspecciones de seguridad</t>
  </si>
  <si>
    <t>95-2023-06-30</t>
  </si>
  <si>
    <t>95-2023-12-31</t>
  </si>
  <si>
    <t>95-2024-06-30</t>
  </si>
  <si>
    <t>95-2024-12-31</t>
  </si>
  <si>
    <t>95-2025-06-30</t>
  </si>
  <si>
    <t>95-2025-12-31</t>
  </si>
  <si>
    <t>Productos de investigación, innovación y creación</t>
  </si>
  <si>
    <t>96-2022-12-31</t>
  </si>
  <si>
    <t>96-2023-06-30</t>
  </si>
  <si>
    <t>96-2023-12-31</t>
  </si>
  <si>
    <t>96-2024-06-30</t>
  </si>
  <si>
    <t>96-2024-12-31</t>
  </si>
  <si>
    <t>96-2025-06-30</t>
  </si>
  <si>
    <t>97-2022-06-30</t>
  </si>
  <si>
    <t>97-2022-12-31</t>
  </si>
  <si>
    <t>97-2023-06-30</t>
  </si>
  <si>
    <t>97-2023-12-31</t>
  </si>
  <si>
    <t>97-2024-06-30</t>
  </si>
  <si>
    <t>97-2024-12-31</t>
  </si>
  <si>
    <t>98-2022-06-30</t>
  </si>
  <si>
    <t>98-2022-12-31</t>
  </si>
  <si>
    <t>98-2023-06-30</t>
  </si>
  <si>
    <t>98-2023-12-31</t>
  </si>
  <si>
    <t>98-2024-06-30</t>
  </si>
  <si>
    <t>98-2024-12-31</t>
  </si>
  <si>
    <t>Med 1</t>
  </si>
  <si>
    <t>Total Estudiantes  Sede Medellín</t>
  </si>
  <si>
    <t>Med 1-2023-06-30</t>
  </si>
  <si>
    <t>Med 1-2023-12-31</t>
  </si>
  <si>
    <t>Med 1-2024-06-30</t>
  </si>
  <si>
    <t>Med 1-2025-06-30</t>
  </si>
  <si>
    <t>Med 1.1</t>
  </si>
  <si>
    <t>Estudiante nuevos presencial pregrado</t>
  </si>
  <si>
    <t>Med 1.1-2023-06-30</t>
  </si>
  <si>
    <t>Med 1.1-2023-12-31</t>
  </si>
  <si>
    <t>Med 1.1-2024-06-30</t>
  </si>
  <si>
    <t>Med 1.2</t>
  </si>
  <si>
    <t>Estudiante nuevos presencial posgrado</t>
  </si>
  <si>
    <t>Med 1.2-2023-06-30</t>
  </si>
  <si>
    <t>Med 1.2-2023-12-31</t>
  </si>
  <si>
    <t>Med 1.2-2024-06-30</t>
  </si>
  <si>
    <t>Med 1.3</t>
  </si>
  <si>
    <t xml:space="preserve">Total estudiantes nuevos presencial Medellin </t>
  </si>
  <si>
    <t>Med 1.3-2023-06-30</t>
  </si>
  <si>
    <t>Med 1.3-2023-12-31</t>
  </si>
  <si>
    <t>Med 1.3-2024-06-30</t>
  </si>
  <si>
    <t>Med 1.3-2025-06-30</t>
  </si>
  <si>
    <t>Med 1.4</t>
  </si>
  <si>
    <t xml:space="preserve">Estudiantes antiguos presencial Medellin </t>
  </si>
  <si>
    <t>Med 1.4-2023-06-30</t>
  </si>
  <si>
    <t>Med 1.4-2023-12-31</t>
  </si>
  <si>
    <t>Med 1.4-2024-06-30</t>
  </si>
  <si>
    <t xml:space="preserve">Matriculas antiguos presencial Medellin </t>
  </si>
  <si>
    <t>Med 1.4-2025-06-30</t>
  </si>
  <si>
    <t>Med 10</t>
  </si>
  <si>
    <t>Total ingresos sede</t>
  </si>
  <si>
    <t>Med 10-2023-06-30</t>
  </si>
  <si>
    <t>Med 10-2023-12-31</t>
  </si>
  <si>
    <t>Med 10-2024-06-30</t>
  </si>
  <si>
    <t>Med 10-2025-06-30</t>
  </si>
  <si>
    <t>Med 11</t>
  </si>
  <si>
    <t>EBITDA sede</t>
  </si>
  <si>
    <t>Med 11-2023-06-30</t>
  </si>
  <si>
    <t>Med 11-2023-12-31</t>
  </si>
  <si>
    <t>Med 11-2024-06-30</t>
  </si>
  <si>
    <t>Med 11-2025-06-30</t>
  </si>
  <si>
    <t>Med 12</t>
  </si>
  <si>
    <t xml:space="preserve">Ejecución Presupuestal </t>
  </si>
  <si>
    <t>Med 12-2023-06-30</t>
  </si>
  <si>
    <t>Med 14</t>
  </si>
  <si>
    <t>Cumplimiento proyecto Certificación SGA - medellín</t>
  </si>
  <si>
    <t>Med 14-2023-06-30</t>
  </si>
  <si>
    <t>Med 14-2023-12-31</t>
  </si>
  <si>
    <t>Med 15</t>
  </si>
  <si>
    <t>Cumplimiento del Plan Anual</t>
  </si>
  <si>
    <t>Med 15-2023-06-30</t>
  </si>
  <si>
    <t>Med 15-2023-12-31</t>
  </si>
  <si>
    <t>Med 15-2024-06-30</t>
  </si>
  <si>
    <t>Med 15-2025-06-30</t>
  </si>
  <si>
    <t>Med 16</t>
  </si>
  <si>
    <t>Convenios con impacto en ingresos adicionales</t>
  </si>
  <si>
    <t>Med 16-2023-06-30</t>
  </si>
  <si>
    <t>Med 16-2023-12-31</t>
  </si>
  <si>
    <t>Med 17</t>
  </si>
  <si>
    <t>Medición Clima organizacional Sede - Great Place to work</t>
  </si>
  <si>
    <t>Med 17-2023-06-30</t>
  </si>
  <si>
    <t>Med 17-2023-12-31</t>
  </si>
  <si>
    <t>Med 2</t>
  </si>
  <si>
    <t xml:space="preserve">Total Estudiantes Pregrado nuevos y antiguos Medellín </t>
  </si>
  <si>
    <t>Med 2-2023-06-30</t>
  </si>
  <si>
    <t>Med 2-2023-12-31</t>
  </si>
  <si>
    <t>Med 2.1</t>
  </si>
  <si>
    <t xml:space="preserve">Estudiantes virtuales pregrado nuevos </t>
  </si>
  <si>
    <t>Med 2.1-2023-06-30</t>
  </si>
  <si>
    <t>Med 2.1-2023-12-31</t>
  </si>
  <si>
    <t>Med 2.2</t>
  </si>
  <si>
    <t>Estudiantes virtuales pregrado antiguos - Medellín</t>
  </si>
  <si>
    <t>Med 2.2-2023-06-30</t>
  </si>
  <si>
    <t>Med 2.2-2023-12-31</t>
  </si>
  <si>
    <t>Med 3</t>
  </si>
  <si>
    <t>Estudiantes Postgrado antiguos</t>
  </si>
  <si>
    <t>Med 3-2023-06-30</t>
  </si>
  <si>
    <t>Med 3-2023-12-31</t>
  </si>
  <si>
    <t>Med 4</t>
  </si>
  <si>
    <t>Total estudiantes Postgrado antiguos y nuevos Medellin</t>
  </si>
  <si>
    <t>Med 4-2023-06-30</t>
  </si>
  <si>
    <t>Med 4-2023-12-31</t>
  </si>
  <si>
    <t>Med 4.1</t>
  </si>
  <si>
    <t xml:space="preserve">Estudiantes virtuales posgrado nuevos </t>
  </si>
  <si>
    <t>Med 4.1-2023-06-30</t>
  </si>
  <si>
    <t>Med 4.1-2023-12-31</t>
  </si>
  <si>
    <t>Med 4.2</t>
  </si>
  <si>
    <t>Estudiantes virtuales posgrado antiguos - Medellín</t>
  </si>
  <si>
    <t>Med 4.2-2023-06-30</t>
  </si>
  <si>
    <t>Med 4.2-2023-12-31</t>
  </si>
  <si>
    <t>Med 5</t>
  </si>
  <si>
    <t>Total Estudiantes virtuales antiguos-Antioquia</t>
  </si>
  <si>
    <t>Med 5-2023-06-30</t>
  </si>
  <si>
    <t>Med 5-2023-12-31</t>
  </si>
  <si>
    <t>Med 6</t>
  </si>
  <si>
    <t>Ingresos Educación para la vida</t>
  </si>
  <si>
    <t>Med 6-2023-06-30</t>
  </si>
  <si>
    <t>Med 6-2023-12-31</t>
  </si>
  <si>
    <t>Med 6-2024-06-30</t>
  </si>
  <si>
    <t>Med 7</t>
  </si>
  <si>
    <t>Satisfacción NPS</t>
  </si>
  <si>
    <t>Med 7-2023-06-30</t>
  </si>
  <si>
    <t>Med 7-2023-12-31</t>
  </si>
  <si>
    <t>Med 7-2024-06-30</t>
  </si>
  <si>
    <t>Med 8</t>
  </si>
  <si>
    <t xml:space="preserve">Tasa de permanencia </t>
  </si>
  <si>
    <t>Med 8-2023-06-30</t>
  </si>
  <si>
    <t>Med 8-2023-12-31</t>
  </si>
  <si>
    <t>Med 8-2024-06-30</t>
  </si>
  <si>
    <t>Med 9</t>
  </si>
  <si>
    <t xml:space="preserve">Satisfacción SSI </t>
  </si>
  <si>
    <t>Med 9-2023-06-30</t>
  </si>
  <si>
    <t>Med 9-2023-12-31</t>
  </si>
  <si>
    <t>Med 9-2024-06-30</t>
  </si>
  <si>
    <t>Periodo</t>
  </si>
  <si>
    <t>14-2025-06-30</t>
  </si>
  <si>
    <t>14-2025-12-31</t>
  </si>
  <si>
    <t>15-2023-06-30</t>
  </si>
  <si>
    <t>15-2023-12-31</t>
  </si>
  <si>
    <t>16-2023-06-30</t>
  </si>
  <si>
    <t>16-2023-12-31</t>
  </si>
  <si>
    <t>17-2023-06-30</t>
  </si>
  <si>
    <t>17-2023-12-31</t>
  </si>
  <si>
    <t>18-2023-06-30</t>
  </si>
  <si>
    <t>18-2023-12-31</t>
  </si>
  <si>
    <t>19-2023-06-30</t>
  </si>
  <si>
    <t>19-2023-12-31</t>
  </si>
  <si>
    <t>20-2023-06-30</t>
  </si>
  <si>
    <t>20-2023-12-31</t>
  </si>
  <si>
    <t>21-2023-06-30</t>
  </si>
  <si>
    <t>21-2023-12-31</t>
  </si>
  <si>
    <t>22-2023-06-30</t>
  </si>
  <si>
    <t>22-2023-12-31</t>
  </si>
  <si>
    <t>23-2023-06-30</t>
  </si>
  <si>
    <t>23-2023-12-31</t>
  </si>
  <si>
    <t>24-2023-06-30</t>
  </si>
  <si>
    <t>24-2023-12-31</t>
  </si>
  <si>
    <t>25-2023-06-30</t>
  </si>
  <si>
    <t>25-2023-12-31</t>
  </si>
  <si>
    <t>26-2023-06-30</t>
  </si>
  <si>
    <t>26-2023-12-31</t>
  </si>
  <si>
    <t>27-2023-06-30</t>
  </si>
  <si>
    <t>27-2023-12-31</t>
  </si>
  <si>
    <t>28-2023-06-30</t>
  </si>
  <si>
    <t>28-2023-12-31</t>
  </si>
  <si>
    <t>29-2023-06-30</t>
  </si>
  <si>
    <t>29-2023-12-31</t>
  </si>
  <si>
    <t>30-2023-06-30</t>
  </si>
  <si>
    <t>30-2023-12-31</t>
  </si>
  <si>
    <t>31-2023-06-30</t>
  </si>
  <si>
    <t>31-2023-12-31</t>
  </si>
  <si>
    <t>32-2023-06-30</t>
  </si>
  <si>
    <t>32-2023-12-31</t>
  </si>
  <si>
    <t>33-2023-06-30</t>
  </si>
  <si>
    <t>33-2023-12-31</t>
  </si>
  <si>
    <t>34-2023-06-30</t>
  </si>
  <si>
    <t>34-2023-12-31</t>
  </si>
  <si>
    <t>Operaciones Académica pregrado y posgrado presencial.</t>
  </si>
  <si>
    <t>35-2023-06-30</t>
  </si>
  <si>
    <t>35-2023-12-31</t>
  </si>
  <si>
    <t>36-2023-06-30</t>
  </si>
  <si>
    <t>36-2023-12-31</t>
  </si>
  <si>
    <t>37-2023-06-30</t>
  </si>
  <si>
    <t>37-2023-12-31</t>
  </si>
  <si>
    <t>38-2023-06-30</t>
  </si>
  <si>
    <t>38-2023-12-31</t>
  </si>
  <si>
    <t>39-2023-06-30</t>
  </si>
  <si>
    <t>39-2023-12-31</t>
  </si>
  <si>
    <t>Plan anual Transformación de experiencia</t>
  </si>
  <si>
    <t>40-2023-06-30</t>
  </si>
  <si>
    <t>40-2023-12-31</t>
  </si>
  <si>
    <t>41-2023-06-30</t>
  </si>
  <si>
    <t>41-2023-12-31</t>
  </si>
  <si>
    <t>42-2023-06-30</t>
  </si>
  <si>
    <t>42-2023-12-31</t>
  </si>
  <si>
    <t>43-2023-06-30</t>
  </si>
  <si>
    <t>43-2023-12-31</t>
  </si>
  <si>
    <t>44-2023-06-30</t>
  </si>
  <si>
    <t>44-2023-12-31</t>
  </si>
  <si>
    <t>45-2023-06-30</t>
  </si>
  <si>
    <t>45-2023-12-31</t>
  </si>
  <si>
    <t>46-2023-06-30</t>
  </si>
  <si>
    <t>46-2023-12-31</t>
  </si>
  <si>
    <t>47-2023-06-30</t>
  </si>
  <si>
    <t>47-2023-12-31</t>
  </si>
  <si>
    <t>Plan anual Jefatura administrativa</t>
  </si>
  <si>
    <t>48-2023-06-30</t>
  </si>
  <si>
    <t>48-2023-12-31</t>
  </si>
  <si>
    <t>Plan anual Jefatura de compras</t>
  </si>
  <si>
    <t>49-2023-06-30</t>
  </si>
  <si>
    <t>49-2023-12-31</t>
  </si>
  <si>
    <t>50-2023-06-30</t>
  </si>
  <si>
    <t>50-2023-12-31</t>
  </si>
  <si>
    <t>51-2023-06-30</t>
  </si>
  <si>
    <t>51-2023-12-31</t>
  </si>
  <si>
    <t>52-2023-06-30</t>
  </si>
  <si>
    <t>52-2023-12-31</t>
  </si>
  <si>
    <t>53-2023-06-30</t>
  </si>
  <si>
    <t>53-2023-12-31</t>
  </si>
  <si>
    <t>54-2023-06-30</t>
  </si>
  <si>
    <t>54-2023-12-31</t>
  </si>
  <si>
    <t>55-2023-06-30</t>
  </si>
  <si>
    <t>55-2023-12-31</t>
  </si>
  <si>
    <t>56-2023-06-30</t>
  </si>
  <si>
    <t>56-2023-12-31</t>
  </si>
  <si>
    <t>57-2023-06-30</t>
  </si>
  <si>
    <t>57-2023-12-31</t>
  </si>
  <si>
    <t>58-2023-06-30</t>
  </si>
  <si>
    <t>58-2023-12-31</t>
  </si>
  <si>
    <t>Plan anual FNGS-ADMON Y COMP- ADM DE EMPRESAS</t>
  </si>
  <si>
    <t>59-2023-06-30</t>
  </si>
  <si>
    <t>59-2023-12-31</t>
  </si>
  <si>
    <t>60-2023-06-30</t>
  </si>
  <si>
    <t>60-2023-12-31</t>
  </si>
  <si>
    <t>61-2023-06-30</t>
  </si>
  <si>
    <t>61-2023-12-31</t>
  </si>
  <si>
    <t>Plan anual FIDI-DISEÑO - DISEÑO GRAFICO</t>
  </si>
  <si>
    <t>62-2023-06-30</t>
  </si>
  <si>
    <t>62-2023-12-31</t>
  </si>
  <si>
    <t>63-2023-06-30</t>
  </si>
  <si>
    <t>63-2023-12-31</t>
  </si>
  <si>
    <t>64-2023-06-30</t>
  </si>
  <si>
    <t>64-2023-12-31</t>
  </si>
  <si>
    <t>65-2023-06-30</t>
  </si>
  <si>
    <t>65-2023-12-31</t>
  </si>
  <si>
    <t>66-2023-06-30</t>
  </si>
  <si>
    <t>66-2023-12-31</t>
  </si>
  <si>
    <t>67-2023-06-30</t>
  </si>
  <si>
    <t>67-2023-12-31</t>
  </si>
  <si>
    <t>70-2023-06-30</t>
  </si>
  <si>
    <t>70-2023-12-31</t>
  </si>
  <si>
    <t>71-2023-06-30</t>
  </si>
  <si>
    <t>71-2023-12-31</t>
  </si>
  <si>
    <t>72-2023-06-30</t>
  </si>
  <si>
    <t>72-2023-12-31</t>
  </si>
  <si>
    <t>75-2023-06-30</t>
  </si>
  <si>
    <t>75-2023-12-31</t>
  </si>
  <si>
    <t>76-2023-06-30</t>
  </si>
  <si>
    <t>76-2023-12-31</t>
  </si>
  <si>
    <t>80-2023-06-30</t>
  </si>
  <si>
    <t>80-2023-12-31</t>
  </si>
  <si>
    <t>Plan anual Planeación estrategica</t>
  </si>
  <si>
    <t>81-2023-06-30</t>
  </si>
  <si>
    <t>81-2023-12-31</t>
  </si>
  <si>
    <t>97-2025-06-30</t>
  </si>
  <si>
    <t>97-2025-12-31</t>
  </si>
  <si>
    <t>98-2025-06-30</t>
  </si>
  <si>
    <t>98-2025-12-31</t>
  </si>
  <si>
    <t>108-2023-12-31</t>
  </si>
  <si>
    <t>COMUNICACIÓN Y POSICIONAMIENTO ESTRATÉGICO</t>
  </si>
  <si>
    <t>109-2023-12-31</t>
  </si>
  <si>
    <t>194-2025-12-31</t>
  </si>
  <si>
    <t>205-2022-12-30</t>
  </si>
  <si>
    <t>275-2023-12-31</t>
  </si>
  <si>
    <t>Porcentaje Iniciativas aprobadas</t>
  </si>
  <si>
    <t>359-2023-12-31</t>
  </si>
  <si>
    <t>Operaciones Académica pregrado y posgrado virtual</t>
  </si>
  <si>
    <t>363-2023-06-30</t>
  </si>
  <si>
    <t>373-2023-03-31</t>
  </si>
  <si>
    <t>386-2023-06-30</t>
  </si>
  <si>
    <t>390-2023-03-31</t>
  </si>
  <si>
    <t>396-2023-06-30</t>
  </si>
  <si>
    <t>396-2024-12-31</t>
  </si>
  <si>
    <t>396-2025-06-30</t>
  </si>
  <si>
    <t>409-2023-06-30</t>
  </si>
  <si>
    <t>414-2023-03-31</t>
  </si>
  <si>
    <t>415-2023-03-31</t>
  </si>
  <si>
    <t>416-2023-03-31</t>
  </si>
  <si>
    <t>417-2023-03-31</t>
  </si>
  <si>
    <t>418-2023-03-31</t>
  </si>
  <si>
    <t>419-2023-03-31</t>
  </si>
  <si>
    <t>420-2023-03-31</t>
  </si>
  <si>
    <t>Generación de Residuos Peligroso Mensual</t>
  </si>
  <si>
    <t>435-2023-06-30</t>
  </si>
  <si>
    <t>435-2023-12-31</t>
  </si>
  <si>
    <t>444-2024-06-30</t>
  </si>
  <si>
    <t>455-2024-06-30</t>
  </si>
  <si>
    <t>466-2022-06-30</t>
  </si>
  <si>
    <t>466-2022-12-31</t>
  </si>
  <si>
    <t>466-2023-06-30</t>
  </si>
  <si>
    <t>466-2023-12-31</t>
  </si>
  <si>
    <t>485-2024-06-30</t>
  </si>
  <si>
    <t>488-2024-06-30</t>
  </si>
  <si>
    <t>489-2024-06-30</t>
  </si>
  <si>
    <t>53.83%</t>
  </si>
  <si>
    <t>49.33%</t>
  </si>
  <si>
    <t>99.83%</t>
  </si>
  <si>
    <t>98.83%</t>
  </si>
  <si>
    <t>23.67%</t>
  </si>
  <si>
    <t>41.17%</t>
  </si>
  <si>
    <t>43.83%</t>
  </si>
  <si>
    <t>53.67%</t>
  </si>
  <si>
    <t>51.33%</t>
  </si>
  <si>
    <t>87.83%</t>
  </si>
  <si>
    <t>86.83%</t>
  </si>
  <si>
    <t>10.1-2022-12-30</t>
  </si>
  <si>
    <t>10.1-2023-06-30</t>
  </si>
  <si>
    <t>1.2%</t>
  </si>
  <si>
    <t>0.11%</t>
  </si>
  <si>
    <t>80.48%</t>
  </si>
  <si>
    <t>88.08%</t>
  </si>
  <si>
    <t>108.10</t>
  </si>
  <si>
    <t>96.69%</t>
  </si>
  <si>
    <t>84.56%</t>
  </si>
  <si>
    <t>76.42%</t>
  </si>
  <si>
    <t>82.9%</t>
  </si>
  <si>
    <t>88.51%</t>
  </si>
  <si>
    <t>94.81%</t>
  </si>
  <si>
    <t>87.39%</t>
  </si>
  <si>
    <t>68.0%</t>
  </si>
  <si>
    <t>90.98%</t>
  </si>
  <si>
    <t>81.99%</t>
  </si>
  <si>
    <t>81.32%</t>
  </si>
  <si>
    <t>77.76%</t>
  </si>
  <si>
    <t>94.96%</t>
  </si>
  <si>
    <t>109-2025-12-31</t>
  </si>
  <si>
    <t>57.0%</t>
  </si>
  <si>
    <t>47.0%</t>
  </si>
  <si>
    <t>79.0%</t>
  </si>
  <si>
    <t>78.67%</t>
  </si>
  <si>
    <t>68.67%</t>
  </si>
  <si>
    <t>63.25%</t>
  </si>
  <si>
    <t>58.25%</t>
  </si>
  <si>
    <t>73.4%</t>
  </si>
  <si>
    <t>110-2022-12-31</t>
  </si>
  <si>
    <t>78.0%</t>
  </si>
  <si>
    <t>88.5%</t>
  </si>
  <si>
    <t>94.5%</t>
  </si>
  <si>
    <t>89.35%</t>
  </si>
  <si>
    <t>96.35%</t>
  </si>
  <si>
    <t>74.17%</t>
  </si>
  <si>
    <t>112-2022-12-31</t>
  </si>
  <si>
    <t>89.6%</t>
  </si>
  <si>
    <t>112-2023-12-31</t>
  </si>
  <si>
    <t>112-2024-12-31</t>
  </si>
  <si>
    <t>112-2025-12-31</t>
  </si>
  <si>
    <t>76.62%</t>
  </si>
  <si>
    <t>113-2022-12-31</t>
  </si>
  <si>
    <t>88.1%</t>
  </si>
  <si>
    <t>113-2023-12-31</t>
  </si>
  <si>
    <t>113-2024-12-31</t>
  </si>
  <si>
    <t>113-2025-12-31</t>
  </si>
  <si>
    <t>79.43%</t>
  </si>
  <si>
    <t>114-2022-12-31</t>
  </si>
  <si>
    <t>86.21%</t>
  </si>
  <si>
    <t>114-2023-12-31</t>
  </si>
  <si>
    <t>114-2024-12-31</t>
  </si>
  <si>
    <t>114-2025-12-31</t>
  </si>
  <si>
    <t>90.79%</t>
  </si>
  <si>
    <t>115-2025-12-31</t>
  </si>
  <si>
    <t>83.5%</t>
  </si>
  <si>
    <t>86.67%</t>
  </si>
  <si>
    <t>86.6%</t>
  </si>
  <si>
    <t>117-2022-12-31</t>
  </si>
  <si>
    <t>90.11%</t>
  </si>
  <si>
    <t>117-2023-12-31</t>
  </si>
  <si>
    <t>117-2024-12-31</t>
  </si>
  <si>
    <t>117-2025-12-31</t>
  </si>
  <si>
    <t>88.12%</t>
  </si>
  <si>
    <t>118-2022-12-31</t>
  </si>
  <si>
    <t>94.14%</t>
  </si>
  <si>
    <t>118-2025-12-31</t>
  </si>
  <si>
    <t>60.4%</t>
  </si>
  <si>
    <t>51.0%</t>
  </si>
  <si>
    <t>66.83%</t>
  </si>
  <si>
    <t>59.33%</t>
  </si>
  <si>
    <t>67.0%</t>
  </si>
  <si>
    <t>54.5%</t>
  </si>
  <si>
    <t>32121729.0%</t>
  </si>
  <si>
    <t>32046746.83%</t>
  </si>
  <si>
    <t>79221267.5%</t>
  </si>
  <si>
    <t>79804777.83%</t>
  </si>
  <si>
    <t>37207984.83%</t>
  </si>
  <si>
    <t>38026915.17%</t>
  </si>
  <si>
    <t>89078870.5%</t>
  </si>
  <si>
    <t>95751389.17%</t>
  </si>
  <si>
    <t>40613985.83%</t>
  </si>
  <si>
    <t>41264900.83%</t>
  </si>
  <si>
    <t>99058217.83%</t>
  </si>
  <si>
    <t>99779138.33%</t>
  </si>
  <si>
    <t>107.43%</t>
  </si>
  <si>
    <t>106.33%</t>
  </si>
  <si>
    <t>121-2026-06-30</t>
  </si>
  <si>
    <t>90.3%</t>
  </si>
  <si>
    <t>96.45%</t>
  </si>
  <si>
    <t>92.19%</t>
  </si>
  <si>
    <t>81.16%</t>
  </si>
  <si>
    <t>83.01%</t>
  </si>
  <si>
    <t>122-2026-06-30</t>
  </si>
  <si>
    <t>0.04%</t>
  </si>
  <si>
    <t>0.03%</t>
  </si>
  <si>
    <t>124-2026-06-30</t>
  </si>
  <si>
    <t>0.33%</t>
  </si>
  <si>
    <t>125-2026-06-30</t>
  </si>
  <si>
    <t>0.12%</t>
  </si>
  <si>
    <t>0.1%</t>
  </si>
  <si>
    <t>0.72%</t>
  </si>
  <si>
    <t>0.75%</t>
  </si>
  <si>
    <t>0.66%</t>
  </si>
  <si>
    <t>0.7%</t>
  </si>
  <si>
    <t>0.91%</t>
  </si>
  <si>
    <t>128-2026-06-30</t>
  </si>
  <si>
    <t>70.33%</t>
  </si>
  <si>
    <t>61.67%</t>
  </si>
  <si>
    <t>13-2024-06-30</t>
  </si>
  <si>
    <t>84.9%</t>
  </si>
  <si>
    <t>133-2022-12-31</t>
  </si>
  <si>
    <t>92.79%</t>
  </si>
  <si>
    <t>91.0%</t>
  </si>
  <si>
    <t>133-2025-12-31</t>
  </si>
  <si>
    <t>105.56%</t>
  </si>
  <si>
    <t>94.44%</t>
  </si>
  <si>
    <t>95.24%</t>
  </si>
  <si>
    <t>106.5%</t>
  </si>
  <si>
    <t>117.5%</t>
  </si>
  <si>
    <t>342.01%</t>
  </si>
  <si>
    <t>222.46%</t>
  </si>
  <si>
    <t>816.56%</t>
  </si>
  <si>
    <t>712.45%</t>
  </si>
  <si>
    <t>372.29%</t>
  </si>
  <si>
    <t>274.41%</t>
  </si>
  <si>
    <t>1340.37%</t>
  </si>
  <si>
    <t>892.36%</t>
  </si>
  <si>
    <t>329.35%</t>
  </si>
  <si>
    <t>241.66%</t>
  </si>
  <si>
    <t>49004.0%</t>
  </si>
  <si>
    <t>51010.0%</t>
  </si>
  <si>
    <t>50430.0%</t>
  </si>
  <si>
    <t>50238.0%</t>
  </si>
  <si>
    <t>52177.0%</t>
  </si>
  <si>
    <t>51473.0%</t>
  </si>
  <si>
    <t>51687.0%</t>
  </si>
  <si>
    <t>51375.0%</t>
  </si>
  <si>
    <t>52403.19%</t>
  </si>
  <si>
    <t>52585.0%</t>
  </si>
  <si>
    <t>51116.33%</t>
  </si>
  <si>
    <t>52005.0%</t>
  </si>
  <si>
    <t>7541.0%</t>
  </si>
  <si>
    <t>7651.0%</t>
  </si>
  <si>
    <t>6730.0%</t>
  </si>
  <si>
    <t>7539.0%</t>
  </si>
  <si>
    <t>7822.0%</t>
  </si>
  <si>
    <t>7912.0%</t>
  </si>
  <si>
    <t>7620.0%</t>
  </si>
  <si>
    <t>8067.0%</t>
  </si>
  <si>
    <t>8168.0%</t>
  </si>
  <si>
    <t>8424.0%</t>
  </si>
  <si>
    <t>8165.0%</t>
  </si>
  <si>
    <t>42889.0%</t>
  </si>
  <si>
    <t>43359.0%</t>
  </si>
  <si>
    <t>42274.0%</t>
  </si>
  <si>
    <t>42699.0%</t>
  </si>
  <si>
    <t>44355.0%</t>
  </si>
  <si>
    <t>43561.0%</t>
  </si>
  <si>
    <t>44067.0%</t>
  </si>
  <si>
    <t>43308.0%</t>
  </si>
  <si>
    <t>44235.0%</t>
  </si>
  <si>
    <t>44161.0%</t>
  </si>
  <si>
    <t>43204.0%</t>
  </si>
  <si>
    <t>43840.0%</t>
  </si>
  <si>
    <t>48022.0%</t>
  </si>
  <si>
    <t>48612.0%</t>
  </si>
  <si>
    <t>46674.0%</t>
  </si>
  <si>
    <t>47628.0%</t>
  </si>
  <si>
    <t>49451.0%</t>
  </si>
  <si>
    <t>48483.0%</t>
  </si>
  <si>
    <t>48891.0%</t>
  </si>
  <si>
    <t>48047.0%</t>
  </si>
  <si>
    <t>49310.0%</t>
  </si>
  <si>
    <t>49100.0%</t>
  </si>
  <si>
    <t>48061.0%</t>
  </si>
  <si>
    <t>48339.0%</t>
  </si>
  <si>
    <t>2408.0%</t>
  </si>
  <si>
    <t>2398.0%</t>
  </si>
  <si>
    <t>2230.0%</t>
  </si>
  <si>
    <t>2610.0%</t>
  </si>
  <si>
    <t>14.4-2022-12-31</t>
  </si>
  <si>
    <t>2726.0%</t>
  </si>
  <si>
    <t>2990.0%</t>
  </si>
  <si>
    <t>2796.0%</t>
  </si>
  <si>
    <t>3328.0%</t>
  </si>
  <si>
    <t>3093.0%</t>
  </si>
  <si>
    <t>3485.0%</t>
  </si>
  <si>
    <t>3055.0%</t>
  </si>
  <si>
    <t>3666.0%</t>
  </si>
  <si>
    <t>146.0%</t>
  </si>
  <si>
    <t>112.0%</t>
  </si>
  <si>
    <t>135.0%</t>
  </si>
  <si>
    <t>4.83%</t>
  </si>
  <si>
    <t>3.07%</t>
  </si>
  <si>
    <t>1.97%</t>
  </si>
  <si>
    <t>1.94%</t>
  </si>
  <si>
    <t>230.0%</t>
  </si>
  <si>
    <t>278.0%</t>
  </si>
  <si>
    <t>342.0%</t>
  </si>
  <si>
    <t>294.0%</t>
  </si>
  <si>
    <t>334.0%</t>
  </si>
  <si>
    <t>343.0%</t>
  </si>
  <si>
    <t>13.0%</t>
  </si>
  <si>
    <t>4.11%</t>
  </si>
  <si>
    <t>5.71%</t>
  </si>
  <si>
    <t>6.3%</t>
  </si>
  <si>
    <t>73.64%</t>
  </si>
  <si>
    <t>150-2022-12-31</t>
  </si>
  <si>
    <t>89.17%</t>
  </si>
  <si>
    <t>151-2025-12-31</t>
  </si>
  <si>
    <t>7.0%</t>
  </si>
  <si>
    <t>125.0%</t>
  </si>
  <si>
    <t>97.8%</t>
  </si>
  <si>
    <t>96.15%</t>
  </si>
  <si>
    <t>96.8%</t>
  </si>
  <si>
    <t>6.21%</t>
  </si>
  <si>
    <t>98.67%</t>
  </si>
  <si>
    <t>93.18%</t>
  </si>
  <si>
    <t>95.74%</t>
  </si>
  <si>
    <t>86.94%</t>
  </si>
  <si>
    <t>94.83%</t>
  </si>
  <si>
    <t>88.28%</t>
  </si>
  <si>
    <t>94.24%</t>
  </si>
  <si>
    <t>172-2026-06-30</t>
  </si>
  <si>
    <t>83.32%</t>
  </si>
  <si>
    <t>80.39%</t>
  </si>
  <si>
    <t>84.27%</t>
  </si>
  <si>
    <t>93.9%</t>
  </si>
  <si>
    <t>76.0%</t>
  </si>
  <si>
    <t>91.8%</t>
  </si>
  <si>
    <t>92.4%</t>
  </si>
  <si>
    <t>91.9%</t>
  </si>
  <si>
    <t>91.3%</t>
  </si>
  <si>
    <t>91.7%</t>
  </si>
  <si>
    <t>93.5%</t>
  </si>
  <si>
    <t>73.0%</t>
  </si>
  <si>
    <t>83.26%</t>
  </si>
  <si>
    <t>83.11%</t>
  </si>
  <si>
    <t>79.18%</t>
  </si>
  <si>
    <t>81.91%</t>
  </si>
  <si>
    <t>25.0%</t>
  </si>
  <si>
    <t>46.11%</t>
  </si>
  <si>
    <t>43.56%</t>
  </si>
  <si>
    <t>59.59%</t>
  </si>
  <si>
    <t>53.34%</t>
  </si>
  <si>
    <t>37.0%</t>
  </si>
  <si>
    <t>34.41%</t>
  </si>
  <si>
    <t>26.62%</t>
  </si>
  <si>
    <t>87.67%</t>
  </si>
  <si>
    <t>92.81%</t>
  </si>
  <si>
    <t>66.0%</t>
  </si>
  <si>
    <t>69.0%</t>
  </si>
  <si>
    <t>88.33%</t>
  </si>
  <si>
    <t>87.17%</t>
  </si>
  <si>
    <t>87.4%</t>
  </si>
  <si>
    <t>64.7%</t>
  </si>
  <si>
    <t>113672.0%</t>
  </si>
  <si>
    <t>119144.0%</t>
  </si>
  <si>
    <t>224440.0%</t>
  </si>
  <si>
    <t>240882.0%</t>
  </si>
  <si>
    <t>123465.7%</t>
  </si>
  <si>
    <t>129185.07%</t>
  </si>
  <si>
    <t>264844.44%</t>
  </si>
  <si>
    <t>273867.05%</t>
  </si>
  <si>
    <t>142872.26%</t>
  </si>
  <si>
    <t>145741.72%</t>
  </si>
  <si>
    <t>289638.45%</t>
  </si>
  <si>
    <t>297867.12%</t>
  </si>
  <si>
    <t>58804.0%</t>
  </si>
  <si>
    <t>37101.0%</t>
  </si>
  <si>
    <t>82987.0%</t>
  </si>
  <si>
    <t>18386.0%</t>
  </si>
  <si>
    <t>204-2022-12-31</t>
  </si>
  <si>
    <t>8772.8%</t>
  </si>
  <si>
    <t>17085.61%</t>
  </si>
  <si>
    <t>86846.61%</t>
  </si>
  <si>
    <t>141016.76%</t>
  </si>
  <si>
    <t>20714.52%</t>
  </si>
  <si>
    <t>27665.04%</t>
  </si>
  <si>
    <t>122440.82%</t>
  </si>
  <si>
    <t>176962.75%</t>
  </si>
  <si>
    <t>2605.0%</t>
  </si>
  <si>
    <t>2622.55%</t>
  </si>
  <si>
    <t>4338.42%</t>
  </si>
  <si>
    <t>2041.79%</t>
  </si>
  <si>
    <t>8708.38%</t>
  </si>
  <si>
    <t>2039.24%</t>
  </si>
  <si>
    <t>4385.72%</t>
  </si>
  <si>
    <t>2783.22%</t>
  </si>
  <si>
    <t>5141.1%</t>
  </si>
  <si>
    <t>1302.48%</t>
  </si>
  <si>
    <t>1606.87%</t>
  </si>
  <si>
    <t>6000.27%</t>
  </si>
  <si>
    <t>1.37%</t>
  </si>
  <si>
    <t>114640.78%</t>
  </si>
  <si>
    <t>116015.13%</t>
  </si>
  <si>
    <t>238770.97%</t>
  </si>
  <si>
    <t>247359.73%</t>
  </si>
  <si>
    <t>128735.3%</t>
  </si>
  <si>
    <t>131039.32%</t>
  </si>
  <si>
    <t>262628.34%</t>
  </si>
  <si>
    <t>268399.2%</t>
  </si>
  <si>
    <t>6559.6%</t>
  </si>
  <si>
    <t>8180.4%</t>
  </si>
  <si>
    <t>10200.0%</t>
  </si>
  <si>
    <t>8442.0%</t>
  </si>
  <si>
    <t>7232.5%</t>
  </si>
  <si>
    <t>6.0%</t>
  </si>
  <si>
    <t>7352.5%</t>
  </si>
  <si>
    <t>5750.0%</t>
  </si>
  <si>
    <t>208-2026-06-30</t>
  </si>
  <si>
    <t>96.66%</t>
  </si>
  <si>
    <t>86.4%</t>
  </si>
  <si>
    <t>56.63%</t>
  </si>
  <si>
    <t>62.96%</t>
  </si>
  <si>
    <t>98.9%</t>
  </si>
  <si>
    <t>97.31%</t>
  </si>
  <si>
    <t>13653.25%</t>
  </si>
  <si>
    <t>31003.05%</t>
  </si>
  <si>
    <t>45000.0%</t>
  </si>
  <si>
    <t>32812.91%</t>
  </si>
  <si>
    <t>27973.79%</t>
  </si>
  <si>
    <t>26963.9%</t>
  </si>
  <si>
    <t>37500.0%</t>
  </si>
  <si>
    <t>18992.32%</t>
  </si>
  <si>
    <t>214-2026-06-30</t>
  </si>
  <si>
    <t>-47.67%</t>
  </si>
  <si>
    <t>-5.12%</t>
  </si>
  <si>
    <t>-45.65%</t>
  </si>
  <si>
    <t>120.0%</t>
  </si>
  <si>
    <t>322.24%</t>
  </si>
  <si>
    <t>130.78%</t>
  </si>
  <si>
    <t>154.91%</t>
  </si>
  <si>
    <t>148.99%</t>
  </si>
  <si>
    <t>166.53%</t>
  </si>
  <si>
    <t>7467.27%</t>
  </si>
  <si>
    <t>1032000.0%</t>
  </si>
  <si>
    <t>809046.41%</t>
  </si>
  <si>
    <t>795652.82%</t>
  </si>
  <si>
    <t>866129.95%</t>
  </si>
  <si>
    <t>847777.94%</t>
  </si>
  <si>
    <t>820561.26%</t>
  </si>
  <si>
    <t>860000.0%</t>
  </si>
  <si>
    <t>686815.81%</t>
  </si>
  <si>
    <t>218-2026-06-30</t>
  </si>
  <si>
    <t>21.15%</t>
  </si>
  <si>
    <t>-5.9%</t>
  </si>
  <si>
    <t>14.84%</t>
  </si>
  <si>
    <t>-12.53%</t>
  </si>
  <si>
    <t>40.43%</t>
  </si>
  <si>
    <t>3.58%</t>
  </si>
  <si>
    <t>13.05%</t>
  </si>
  <si>
    <t>33.33%</t>
  </si>
  <si>
    <t>93.75%</t>
  </si>
  <si>
    <t>68.75%</t>
  </si>
  <si>
    <t>94.12%</t>
  </si>
  <si>
    <t>71.43%</t>
  </si>
  <si>
    <t>36.0%</t>
  </si>
  <si>
    <t>126.0%</t>
  </si>
  <si>
    <t>119.0%</t>
  </si>
  <si>
    <t>31.0%</t>
  </si>
  <si>
    <t>143.0%</t>
  </si>
  <si>
    <t>225-2026-06-30</t>
  </si>
  <si>
    <t>476.49%</t>
  </si>
  <si>
    <t>170.99%</t>
  </si>
  <si>
    <t>235.0%</t>
  </si>
  <si>
    <t>476.48%</t>
  </si>
  <si>
    <t>477.0%</t>
  </si>
  <si>
    <t>622.69%</t>
  </si>
  <si>
    <t>38.24%</t>
  </si>
  <si>
    <t>95.38%</t>
  </si>
  <si>
    <t>104.19%</t>
  </si>
  <si>
    <t>95.45%</t>
  </si>
  <si>
    <t>49.89%</t>
  </si>
  <si>
    <t>31.82%</t>
  </si>
  <si>
    <t>22.31%</t>
  </si>
  <si>
    <t>9203.38%</t>
  </si>
  <si>
    <t>2233.75%</t>
  </si>
  <si>
    <t>4218.0%</t>
  </si>
  <si>
    <t>10577.25%</t>
  </si>
  <si>
    <t>92.01%</t>
  </si>
  <si>
    <t>180.0%</t>
  </si>
  <si>
    <t>187.03%</t>
  </si>
  <si>
    <t>44.44%</t>
  </si>
  <si>
    <t>76.19%</t>
  </si>
  <si>
    <t>164.21%</t>
  </si>
  <si>
    <t>185.6%</t>
  </si>
  <si>
    <t>104.0%</t>
  </si>
  <si>
    <t>153.0%</t>
  </si>
  <si>
    <t>175.0%</t>
  </si>
  <si>
    <t>183.0%</t>
  </si>
  <si>
    <t>198.0%</t>
  </si>
  <si>
    <t>239-2025-12-31</t>
  </si>
  <si>
    <t>95.84%</t>
  </si>
  <si>
    <t>94.19%</t>
  </si>
  <si>
    <t>89.52%</t>
  </si>
  <si>
    <t>88.54%</t>
  </si>
  <si>
    <t>89.34%</t>
  </si>
  <si>
    <t>241-2025-12-31</t>
  </si>
  <si>
    <t>97.68%</t>
  </si>
  <si>
    <t>94.47%</t>
  </si>
  <si>
    <t>1.39%</t>
  </si>
  <si>
    <t>8.53%</t>
  </si>
  <si>
    <t>14.29%</t>
  </si>
  <si>
    <t>85.9%</t>
  </si>
  <si>
    <t>85.12%</t>
  </si>
  <si>
    <t>85.38%</t>
  </si>
  <si>
    <t>85.13%</t>
  </si>
  <si>
    <t>85.19%</t>
  </si>
  <si>
    <t>61.4%</t>
  </si>
  <si>
    <t>67.5%</t>
  </si>
  <si>
    <t>94.4%</t>
  </si>
  <si>
    <t>70.55%</t>
  </si>
  <si>
    <t>69.09%</t>
  </si>
  <si>
    <t>27.0%</t>
  </si>
  <si>
    <t>72.0%</t>
  </si>
  <si>
    <t>93.88%</t>
  </si>
  <si>
    <t>92.45%</t>
  </si>
  <si>
    <t>96.23%</t>
  </si>
  <si>
    <t>67.19%</t>
  </si>
  <si>
    <t>74.74%</t>
  </si>
  <si>
    <t>68.5%</t>
  </si>
  <si>
    <t>71.56%</t>
  </si>
  <si>
    <t>72.9%</t>
  </si>
  <si>
    <t>72.53%</t>
  </si>
  <si>
    <t>6.25%</t>
  </si>
  <si>
    <t>5.1%</t>
  </si>
  <si>
    <t>55.0%</t>
  </si>
  <si>
    <t>-5.0%</t>
  </si>
  <si>
    <t>24.0%</t>
  </si>
  <si>
    <t>60.53%</t>
  </si>
  <si>
    <t>34.69%</t>
  </si>
  <si>
    <t>80.88%</t>
  </si>
  <si>
    <t>2.8%</t>
  </si>
  <si>
    <t>2.9%</t>
  </si>
  <si>
    <t>2.51%</t>
  </si>
  <si>
    <t>1.98%</t>
  </si>
  <si>
    <t>97.13%</t>
  </si>
  <si>
    <t>89.91%</t>
  </si>
  <si>
    <t>97.07%</t>
  </si>
  <si>
    <t>95.02%</t>
  </si>
  <si>
    <t>81.93%</t>
  </si>
  <si>
    <t>680.0%</t>
  </si>
  <si>
    <t>1524.0%</t>
  </si>
  <si>
    <t>760.0%</t>
  </si>
  <si>
    <t>1005.0%</t>
  </si>
  <si>
    <t>0.4%</t>
  </si>
  <si>
    <t>1.28%</t>
  </si>
  <si>
    <t>6.55%</t>
  </si>
  <si>
    <t>3.83%</t>
  </si>
  <si>
    <t>4.88%</t>
  </si>
  <si>
    <t>4.57%</t>
  </si>
  <si>
    <t>63.29%</t>
  </si>
  <si>
    <t>16.17%</t>
  </si>
  <si>
    <t>19.39%</t>
  </si>
  <si>
    <t>39623.0%</t>
  </si>
  <si>
    <t>40000.0%</t>
  </si>
  <si>
    <t>39817.0%</t>
  </si>
  <si>
    <t>40663.0%</t>
  </si>
  <si>
    <t>40047.0%</t>
  </si>
  <si>
    <t>39091.0%</t>
  </si>
  <si>
    <t>42012.0%</t>
  </si>
  <si>
    <t>40771.0%</t>
  </si>
  <si>
    <t>38813.0%</t>
  </si>
  <si>
    <t>39598.0%</t>
  </si>
  <si>
    <t>40441.0%</t>
  </si>
  <si>
    <t>41436.0%</t>
  </si>
  <si>
    <t>89.99%</t>
  </si>
  <si>
    <t>84.5%</t>
  </si>
  <si>
    <t>83.65%</t>
  </si>
  <si>
    <t>82.68%</t>
  </si>
  <si>
    <t>76.48%</t>
  </si>
  <si>
    <t>73.29%</t>
  </si>
  <si>
    <t>71.18%</t>
  </si>
  <si>
    <t>71.24%</t>
  </si>
  <si>
    <t>1015.0%</t>
  </si>
  <si>
    <t>1017.0%</t>
  </si>
  <si>
    <t>1074.0%</t>
  </si>
  <si>
    <t>1013.0%</t>
  </si>
  <si>
    <t>572.0%</t>
  </si>
  <si>
    <t>203.0%</t>
  </si>
  <si>
    <t>186.0%</t>
  </si>
  <si>
    <t>240.0%</t>
  </si>
  <si>
    <t>223.0%</t>
  </si>
  <si>
    <t>96.06%</t>
  </si>
  <si>
    <t>96.56%</t>
  </si>
  <si>
    <t>97.02%</t>
  </si>
  <si>
    <t>96.84%</t>
  </si>
  <si>
    <t>4.5%</t>
  </si>
  <si>
    <t>4.61%</t>
  </si>
  <si>
    <t>4.51%</t>
  </si>
  <si>
    <t>4.64%</t>
  </si>
  <si>
    <t>15047.0%</t>
  </si>
  <si>
    <t>16281.0%</t>
  </si>
  <si>
    <t>173.33%</t>
  </si>
  <si>
    <t>270.0%</t>
  </si>
  <si>
    <t>252.73%</t>
  </si>
  <si>
    <t>291.67%</t>
  </si>
  <si>
    <t>300.0%</t>
  </si>
  <si>
    <t>280.0%</t>
  </si>
  <si>
    <t>188.89%</t>
  </si>
  <si>
    <t>10.99%</t>
  </si>
  <si>
    <t>27.66%</t>
  </si>
  <si>
    <t>23.31%</t>
  </si>
  <si>
    <t>14.26%</t>
  </si>
  <si>
    <t>30.16%</t>
  </si>
  <si>
    <t>41.99%</t>
  </si>
  <si>
    <t>26.28%</t>
  </si>
  <si>
    <t>5.5%</t>
  </si>
  <si>
    <t>52.38%</t>
  </si>
  <si>
    <t>78.79%</t>
  </si>
  <si>
    <t>0.71%</t>
  </si>
  <si>
    <t>38.17%</t>
  </si>
  <si>
    <t>40.67%</t>
  </si>
  <si>
    <t>94.67%</t>
  </si>
  <si>
    <t>92.83%</t>
  </si>
  <si>
    <t>3-2024-06-30</t>
  </si>
  <si>
    <t>16609.0%</t>
  </si>
  <si>
    <t>21237.0%</t>
  </si>
  <si>
    <t>18355.0%</t>
  </si>
  <si>
    <t>75.76%</t>
  </si>
  <si>
    <t>79.55%</t>
  </si>
  <si>
    <t>1863.0%</t>
  </si>
  <si>
    <t>3537.0%</t>
  </si>
  <si>
    <t>3285.0%</t>
  </si>
  <si>
    <t>3400.0%</t>
  </si>
  <si>
    <t>3404.0%</t>
  </si>
  <si>
    <t>2841.0%</t>
  </si>
  <si>
    <t>120.5%</t>
  </si>
  <si>
    <t>103.84%</t>
  </si>
  <si>
    <t>50.23%</t>
  </si>
  <si>
    <t>82.0%</t>
  </si>
  <si>
    <t>413.33%</t>
  </si>
  <si>
    <t>54.0%</t>
  </si>
  <si>
    <t>45.0%</t>
  </si>
  <si>
    <t>216.0%</t>
  </si>
  <si>
    <t>154.67%</t>
  </si>
  <si>
    <t>95.56%</t>
  </si>
  <si>
    <t>79.13%</t>
  </si>
  <si>
    <t>245.0%</t>
  </si>
  <si>
    <t>247.0%</t>
  </si>
  <si>
    <t>117.65%</t>
  </si>
  <si>
    <t>67.76%</t>
  </si>
  <si>
    <t>113.0%</t>
  </si>
  <si>
    <t>108.0%</t>
  </si>
  <si>
    <t>137.0%</t>
  </si>
  <si>
    <t>140.0%</t>
  </si>
  <si>
    <t>145.0%</t>
  </si>
  <si>
    <t>85.98%</t>
  </si>
  <si>
    <t>90.91%</t>
  </si>
  <si>
    <t>90.28%</t>
  </si>
  <si>
    <t>115.0%</t>
  </si>
  <si>
    <t>236.0%</t>
  </si>
  <si>
    <t>231.0%</t>
  </si>
  <si>
    <t>106.52%</t>
  </si>
  <si>
    <t>502.17%</t>
  </si>
  <si>
    <t>325.1-2023-12-30</t>
  </si>
  <si>
    <t>325.1-2024-12-31</t>
  </si>
  <si>
    <t>1035.0%</t>
  </si>
  <si>
    <t>157.0%</t>
  </si>
  <si>
    <t>3000.0%</t>
  </si>
  <si>
    <t>3315.0%</t>
  </si>
  <si>
    <t>106.63%</t>
  </si>
  <si>
    <t>1.8%</t>
  </si>
  <si>
    <t>1.75%</t>
  </si>
  <si>
    <t>1.57%</t>
  </si>
  <si>
    <t>1.3%</t>
  </si>
  <si>
    <t>1.5%</t>
  </si>
  <si>
    <t>1.48%</t>
  </si>
  <si>
    <t>0.82%</t>
  </si>
  <si>
    <t>88.39%</t>
  </si>
  <si>
    <t>88.84%</t>
  </si>
  <si>
    <t>93.85%</t>
  </si>
  <si>
    <t>80.95%</t>
  </si>
  <si>
    <t>0.79%</t>
  </si>
  <si>
    <t>28.57%</t>
  </si>
  <si>
    <t>30.3%</t>
  </si>
  <si>
    <t>600000000.0%</t>
  </si>
  <si>
    <t>743218000.0%</t>
  </si>
  <si>
    <t>900000000.0%</t>
  </si>
  <si>
    <t>1175172000.0%</t>
  </si>
  <si>
    <t>750000000.0%</t>
  </si>
  <si>
    <t>922000000.0%</t>
  </si>
  <si>
    <t>97.74%</t>
  </si>
  <si>
    <t>97.76%</t>
  </si>
  <si>
    <t>97.34%</t>
  </si>
  <si>
    <t>99.19%</t>
  </si>
  <si>
    <t>94.85%</t>
  </si>
  <si>
    <t>88.24%</t>
  </si>
  <si>
    <t>91.88%</t>
  </si>
  <si>
    <t>6.5%</t>
  </si>
  <si>
    <t>99.82%</t>
  </si>
  <si>
    <t>99.93%</t>
  </si>
  <si>
    <t>9.83%</t>
  </si>
  <si>
    <t>6.92%</t>
  </si>
  <si>
    <t>8.77%</t>
  </si>
  <si>
    <t>2.34%</t>
  </si>
  <si>
    <t>0.56%</t>
  </si>
  <si>
    <t>40.38%</t>
  </si>
  <si>
    <t>5.07%</t>
  </si>
  <si>
    <t>31.77%</t>
  </si>
  <si>
    <t>1.69%</t>
  </si>
  <si>
    <t>49.21%</t>
  </si>
  <si>
    <t>61.54%</t>
  </si>
  <si>
    <t>54.08%</t>
  </si>
  <si>
    <t>65.55%</t>
  </si>
  <si>
    <t>3.01%</t>
  </si>
  <si>
    <t>4.45%</t>
  </si>
  <si>
    <t>3.87%</t>
  </si>
  <si>
    <t>0.51%</t>
  </si>
  <si>
    <t>86.98%</t>
  </si>
  <si>
    <t>97.99%</t>
  </si>
  <si>
    <t>4.56%</t>
  </si>
  <si>
    <t>99.16%</t>
  </si>
  <si>
    <t>99.49%</t>
  </si>
  <si>
    <t>30173.0%</t>
  </si>
  <si>
    <t>78450.0%</t>
  </si>
  <si>
    <t>31694.0%</t>
  </si>
  <si>
    <t>35993.0%</t>
  </si>
  <si>
    <t>98.09%</t>
  </si>
  <si>
    <t>5.7%</t>
  </si>
  <si>
    <t>6.7%</t>
  </si>
  <si>
    <t>4.96%</t>
  </si>
  <si>
    <t>61.0%</t>
  </si>
  <si>
    <t>71.3%</t>
  </si>
  <si>
    <t>2750000000.0%</t>
  </si>
  <si>
    <t>4331325417.0%</t>
  </si>
  <si>
    <t>5187526725.0%</t>
  </si>
  <si>
    <t>620023081.0%</t>
  </si>
  <si>
    <t>928306953.0%</t>
  </si>
  <si>
    <t>974321985.07%</t>
  </si>
  <si>
    <t>2045128020.0%</t>
  </si>
  <si>
    <t>91.5%</t>
  </si>
  <si>
    <t>107.17%</t>
  </si>
  <si>
    <t>94.34%</t>
  </si>
  <si>
    <t>97.91%</t>
  </si>
  <si>
    <t>49.8%</t>
  </si>
  <si>
    <t>104.6%</t>
  </si>
  <si>
    <t>10494.0%</t>
  </si>
  <si>
    <t>14221.0%</t>
  </si>
  <si>
    <t>5570.0%</t>
  </si>
  <si>
    <t>9919.0%</t>
  </si>
  <si>
    <t>376-2022-12-31</t>
  </si>
  <si>
    <t>8796.24%</t>
  </si>
  <si>
    <t>13169.94%</t>
  </si>
  <si>
    <t>26073.47%</t>
  </si>
  <si>
    <t>26403.09%</t>
  </si>
  <si>
    <t>14136.96%</t>
  </si>
  <si>
    <t>14702.22%</t>
  </si>
  <si>
    <t>27010.11%</t>
  </si>
  <si>
    <t>29467.92%</t>
  </si>
  <si>
    <t>7200.91%</t>
  </si>
  <si>
    <t>12518.01%</t>
  </si>
  <si>
    <t>7607.14%</t>
  </si>
  <si>
    <t>4468.4%</t>
  </si>
  <si>
    <t>2155.48%</t>
  </si>
  <si>
    <t>125.01%</t>
  </si>
  <si>
    <t>93.83%</t>
  </si>
  <si>
    <t>97.32%</t>
  </si>
  <si>
    <t>32.83%</t>
  </si>
  <si>
    <t>76.67%</t>
  </si>
  <si>
    <t>10808.0%</t>
  </si>
  <si>
    <t>11013.0%</t>
  </si>
  <si>
    <t>9192.0%</t>
  </si>
  <si>
    <t>9678.0%</t>
  </si>
  <si>
    <t>12130.0%</t>
  </si>
  <si>
    <t>12461.0%</t>
  </si>
  <si>
    <t>9876.0%</t>
  </si>
  <si>
    <t>10730.0%</t>
  </si>
  <si>
    <t>13590.0%</t>
  </si>
  <si>
    <t>12987.0%</t>
  </si>
  <si>
    <t>10675.0%</t>
  </si>
  <si>
    <t>10569.0%</t>
  </si>
  <si>
    <t>24659.31%</t>
  </si>
  <si>
    <t>25754.09%</t>
  </si>
  <si>
    <t>24724.8%</t>
  </si>
  <si>
    <t>25340.55%</t>
  </si>
  <si>
    <t>29596.27%</t>
  </si>
  <si>
    <t>28449.63%</t>
  </si>
  <si>
    <t>78.92%</t>
  </si>
  <si>
    <t>1424.0%</t>
  </si>
  <si>
    <t>1366.0%</t>
  </si>
  <si>
    <t>988.0%</t>
  </si>
  <si>
    <t>1086.0%</t>
  </si>
  <si>
    <t>1428.0%</t>
  </si>
  <si>
    <t>1489.0%</t>
  </si>
  <si>
    <t>1168.0%</t>
  </si>
  <si>
    <t>1328.0%</t>
  </si>
  <si>
    <t>1482.0%</t>
  </si>
  <si>
    <t>1560.0%</t>
  </si>
  <si>
    <t>1101.0%</t>
  </si>
  <si>
    <t>982.0%</t>
  </si>
  <si>
    <t>8041.0%</t>
  </si>
  <si>
    <t>8156.0%</t>
  </si>
  <si>
    <t>7245.0%</t>
  </si>
  <si>
    <t>7311.0%</t>
  </si>
  <si>
    <t>9117.0%</t>
  </si>
  <si>
    <t>9231.0%</t>
  </si>
  <si>
    <t>7616.0%</t>
  </si>
  <si>
    <t>7845.0%</t>
  </si>
  <si>
    <t>10220.0%</t>
  </si>
  <si>
    <t>9576.0%</t>
  </si>
  <si>
    <t>8220.0%</t>
  </si>
  <si>
    <t>8066.0%</t>
  </si>
  <si>
    <t>1004.0%</t>
  </si>
  <si>
    <t>1191.0%</t>
  </si>
  <si>
    <t>764.0%</t>
  </si>
  <si>
    <t>993.0%</t>
  </si>
  <si>
    <t>1279.0%</t>
  </si>
  <si>
    <t>1399.0%</t>
  </si>
  <si>
    <t>896.0%</t>
  </si>
  <si>
    <t>1305.0%</t>
  </si>
  <si>
    <t>1525.0%</t>
  </si>
  <si>
    <t>1506.0%</t>
  </si>
  <si>
    <t>1106.0%</t>
  </si>
  <si>
    <t>1317.0%</t>
  </si>
  <si>
    <t>339.0%</t>
  </si>
  <si>
    <t>299.0%</t>
  </si>
  <si>
    <t>195.0%</t>
  </si>
  <si>
    <t>188.0%</t>
  </si>
  <si>
    <t>306.0%</t>
  </si>
  <si>
    <t>332.0%</t>
  </si>
  <si>
    <t>224.0%</t>
  </si>
  <si>
    <t>363.0%</t>
  </si>
  <si>
    <t>361.0%</t>
  </si>
  <si>
    <t>248.0%</t>
  </si>
  <si>
    <t>218.0%</t>
  </si>
  <si>
    <t>4345.6%</t>
  </si>
  <si>
    <t>4697.04%</t>
  </si>
  <si>
    <t>9015.4%</t>
  </si>
  <si>
    <t>10035.31%</t>
  </si>
  <si>
    <t>5315.21%</t>
  </si>
  <si>
    <t>5473.86%</t>
  </si>
  <si>
    <t>14097.72%</t>
  </si>
  <si>
    <t>17697.08%</t>
  </si>
  <si>
    <t>5441.46%</t>
  </si>
  <si>
    <t>6182.86%</t>
  </si>
  <si>
    <t>15507.49%</t>
  </si>
  <si>
    <t>13243.14%</t>
  </si>
  <si>
    <t>8782.51%</t>
  </si>
  <si>
    <t>12139.12%</t>
  </si>
  <si>
    <t>10066.03%</t>
  </si>
  <si>
    <t>7550.53%</t>
  </si>
  <si>
    <t>386.1-2023-06-30</t>
  </si>
  <si>
    <t>1357.78%</t>
  </si>
  <si>
    <t>3779.93%</t>
  </si>
  <si>
    <t>817.71%</t>
  </si>
  <si>
    <t>1076.38%</t>
  </si>
  <si>
    <t>3424.21%</t>
  </si>
  <si>
    <t>4694.21%</t>
  </si>
  <si>
    <t>1392.56%</t>
  </si>
  <si>
    <t>1610.58%</t>
  </si>
  <si>
    <t>386.2-2023-06-30</t>
  </si>
  <si>
    <t>7082.0%</t>
  </si>
  <si>
    <t>9868.42%</t>
  </si>
  <si>
    <t>2674.97%</t>
  </si>
  <si>
    <t>2915.56%</t>
  </si>
  <si>
    <t>7711.13%</t>
  </si>
  <si>
    <t>4170.69%</t>
  </si>
  <si>
    <t>2655.65%</t>
  </si>
  <si>
    <t>3358.91%</t>
  </si>
  <si>
    <t>386.3-2023-06-30</t>
  </si>
  <si>
    <t>5657.94%</t>
  </si>
  <si>
    <t>4048.73%</t>
  </si>
  <si>
    <t>1948.79%</t>
  </si>
  <si>
    <t>2190.93%</t>
  </si>
  <si>
    <t>4372.16%</t>
  </si>
  <si>
    <t>4378.24%</t>
  </si>
  <si>
    <t>2797.66%</t>
  </si>
  <si>
    <t>3821.46%</t>
  </si>
  <si>
    <t>38.0%</t>
  </si>
  <si>
    <t>84.78%</t>
  </si>
  <si>
    <t>85.42%</t>
  </si>
  <si>
    <t>84.43%</t>
  </si>
  <si>
    <t>110.38%</t>
  </si>
  <si>
    <t>97.3%</t>
  </si>
  <si>
    <t>140.07%</t>
  </si>
  <si>
    <t>41.66%</t>
  </si>
  <si>
    <t>122.06%</t>
  </si>
  <si>
    <t>57.28%</t>
  </si>
  <si>
    <t>62.28%</t>
  </si>
  <si>
    <t>45.28%</t>
  </si>
  <si>
    <t>48.47%</t>
  </si>
  <si>
    <t>69.58%</t>
  </si>
  <si>
    <t>73.75%</t>
  </si>
  <si>
    <t>48.5%</t>
  </si>
  <si>
    <t>41.97%</t>
  </si>
  <si>
    <t>72.27%</t>
  </si>
  <si>
    <t>70.21%</t>
  </si>
  <si>
    <t>36.78%</t>
  </si>
  <si>
    <t>44.65%</t>
  </si>
  <si>
    <t>66.32%</t>
  </si>
  <si>
    <t>34.4%</t>
  </si>
  <si>
    <t>35.71%</t>
  </si>
  <si>
    <t>67.81%</t>
  </si>
  <si>
    <t>77.5%</t>
  </si>
  <si>
    <t>44.99%</t>
  </si>
  <si>
    <t>60.75%</t>
  </si>
  <si>
    <t>64.88%</t>
  </si>
  <si>
    <t>78.33%</t>
  </si>
  <si>
    <t>31.84%</t>
  </si>
  <si>
    <t>39.01%</t>
  </si>
  <si>
    <t>51.39%</t>
  </si>
  <si>
    <t>53.93%</t>
  </si>
  <si>
    <t>92.86%</t>
  </si>
  <si>
    <t>65.74%</t>
  </si>
  <si>
    <t>68.33%</t>
  </si>
  <si>
    <t>54.33%</t>
  </si>
  <si>
    <t>50.22%</t>
  </si>
  <si>
    <t>52.92%</t>
  </si>
  <si>
    <t>60.38%</t>
  </si>
  <si>
    <t>73.06%</t>
  </si>
  <si>
    <t>58.85%</t>
  </si>
  <si>
    <t>65.08%</t>
  </si>
  <si>
    <t>69.65%</t>
  </si>
  <si>
    <t>44.13%</t>
  </si>
  <si>
    <t>58.56%</t>
  </si>
  <si>
    <t>61.42%</t>
  </si>
  <si>
    <t>67.67%</t>
  </si>
  <si>
    <t>44.29%</t>
  </si>
  <si>
    <t>310000000.0%</t>
  </si>
  <si>
    <t>341285148.0%</t>
  </si>
  <si>
    <t>420000000.0%</t>
  </si>
  <si>
    <t>1075863089.0%</t>
  </si>
  <si>
    <t>341000000.0%</t>
  </si>
  <si>
    <t>334552287.0%</t>
  </si>
  <si>
    <t>252.39%</t>
  </si>
  <si>
    <t>15.45%</t>
  </si>
  <si>
    <t>482.0%</t>
  </si>
  <si>
    <t>612.0%</t>
  </si>
  <si>
    <t>500.0%</t>
  </si>
  <si>
    <t>593.0%</t>
  </si>
  <si>
    <t>960.0%</t>
  </si>
  <si>
    <t>162.18%</t>
  </si>
  <si>
    <t>134.0%</t>
  </si>
  <si>
    <t>226.62%</t>
  </si>
  <si>
    <t>91.07%</t>
  </si>
  <si>
    <t>92.96%</t>
  </si>
  <si>
    <t>94.88%</t>
  </si>
  <si>
    <t>1000.0%</t>
  </si>
  <si>
    <t>2568.0%</t>
  </si>
  <si>
    <t>2344.0%</t>
  </si>
  <si>
    <t>1250.0%</t>
  </si>
  <si>
    <t>3478.0%</t>
  </si>
  <si>
    <t>2000.0%</t>
  </si>
  <si>
    <t>589.0%</t>
  </si>
  <si>
    <t>745.0%</t>
  </si>
  <si>
    <t>625.0%</t>
  </si>
  <si>
    <t>696.0%</t>
  </si>
  <si>
    <t>39.0%</t>
  </si>
  <si>
    <t>79.5%</t>
  </si>
  <si>
    <t>80.5%</t>
  </si>
  <si>
    <t>97.67%</t>
  </si>
  <si>
    <t>44.0%</t>
  </si>
  <si>
    <t>21000.0%</t>
  </si>
  <si>
    <t>4.76%</t>
  </si>
  <si>
    <t>14370.0%</t>
  </si>
  <si>
    <t>14220.0%</t>
  </si>
  <si>
    <t>14923.0%</t>
  </si>
  <si>
    <t>14495.0%</t>
  </si>
  <si>
    <t>1.31%</t>
  </si>
  <si>
    <t>5.85%</t>
  </si>
  <si>
    <t>6.02%</t>
  </si>
  <si>
    <t>62.0%</t>
  </si>
  <si>
    <t>160.0%</t>
  </si>
  <si>
    <t>203.72%</t>
  </si>
  <si>
    <t>190.0%</t>
  </si>
  <si>
    <t>196.52%</t>
  </si>
  <si>
    <t>193.58%</t>
  </si>
  <si>
    <t>90.31%</t>
  </si>
  <si>
    <t>110.1%</t>
  </si>
  <si>
    <t>94.91%</t>
  </si>
  <si>
    <t>99.68%</t>
  </si>
  <si>
    <t>49.69%</t>
  </si>
  <si>
    <t>109.67%</t>
  </si>
  <si>
    <t>99.75%</t>
  </si>
  <si>
    <t>40.79%</t>
  </si>
  <si>
    <t>42.33%</t>
  </si>
  <si>
    <t>97.4%</t>
  </si>
  <si>
    <t>92.24%</t>
  </si>
  <si>
    <t>52.0%</t>
  </si>
  <si>
    <t>65.0%</t>
  </si>
  <si>
    <t>51.84%</t>
  </si>
  <si>
    <t>48.34%</t>
  </si>
  <si>
    <t>84.0%</t>
  </si>
  <si>
    <t>81.79%</t>
  </si>
  <si>
    <t>65.83%</t>
  </si>
  <si>
    <t>65.63%</t>
  </si>
  <si>
    <t>56.0%</t>
  </si>
  <si>
    <t>94.51%</t>
  </si>
  <si>
    <t>51.58%</t>
  </si>
  <si>
    <t>62.5%</t>
  </si>
  <si>
    <t>86.53%</t>
  </si>
  <si>
    <t>65.95%</t>
  </si>
  <si>
    <t>62.83%</t>
  </si>
  <si>
    <t>94.6%</t>
  </si>
  <si>
    <t>79.25%</t>
  </si>
  <si>
    <t>85.57%</t>
  </si>
  <si>
    <t>52.19%</t>
  </si>
  <si>
    <t>94.04%</t>
  </si>
  <si>
    <t>94.98%</t>
  </si>
  <si>
    <t>86.92%</t>
  </si>
  <si>
    <t>46.23%</t>
  </si>
  <si>
    <t>100.6%</t>
  </si>
  <si>
    <t>60.5%</t>
  </si>
  <si>
    <t>44.5%</t>
  </si>
  <si>
    <t>92.09%</t>
  </si>
  <si>
    <t>78.68%</t>
  </si>
  <si>
    <t>65.67%</t>
  </si>
  <si>
    <t>87.8%</t>
  </si>
  <si>
    <t>27.99%</t>
  </si>
  <si>
    <t>26.66%</t>
  </si>
  <si>
    <t>79.88%</t>
  </si>
  <si>
    <t>68.6%</t>
  </si>
  <si>
    <t>58.0%</t>
  </si>
  <si>
    <t>53.64%</t>
  </si>
  <si>
    <t>36.05%</t>
  </si>
  <si>
    <t>43.92%</t>
  </si>
  <si>
    <t>71.25%</t>
  </si>
  <si>
    <t>52.22%</t>
  </si>
  <si>
    <t>46.98%</t>
  </si>
  <si>
    <t>57.83%</t>
  </si>
  <si>
    <t>64.53%</t>
  </si>
  <si>
    <t>54.67%</t>
  </si>
  <si>
    <t>119.79%</t>
  </si>
  <si>
    <t>49.91%</t>
  </si>
  <si>
    <t>140.08%</t>
  </si>
  <si>
    <t>60.93%</t>
  </si>
  <si>
    <t>61.45%</t>
  </si>
  <si>
    <t>42.89%</t>
  </si>
  <si>
    <t>41.67%</t>
  </si>
  <si>
    <t>42.15%</t>
  </si>
  <si>
    <t>36.28%</t>
  </si>
  <si>
    <t>57.55%</t>
  </si>
  <si>
    <t>99.88%</t>
  </si>
  <si>
    <t>110.67%</t>
  </si>
  <si>
    <t>94.08%</t>
  </si>
  <si>
    <t>50.09%</t>
  </si>
  <si>
    <t>97.48%</t>
  </si>
  <si>
    <t>59.24%</t>
  </si>
  <si>
    <t>58.73%</t>
  </si>
  <si>
    <t>53.0%</t>
  </si>
  <si>
    <t>70.15%</t>
  </si>
  <si>
    <t>83.25%</t>
  </si>
  <si>
    <t>36.98%</t>
  </si>
  <si>
    <t>52.24%</t>
  </si>
  <si>
    <t>49.0%</t>
  </si>
  <si>
    <t>94.17%</t>
  </si>
  <si>
    <t>43.31%</t>
  </si>
  <si>
    <t>64.0%</t>
  </si>
  <si>
    <t>48.75%</t>
  </si>
  <si>
    <t>47.2%</t>
  </si>
  <si>
    <t>49.23%</t>
  </si>
  <si>
    <t>104.36%</t>
  </si>
  <si>
    <t>90.7%</t>
  </si>
  <si>
    <t>103.15%</t>
  </si>
  <si>
    <t>48.6%</t>
  </si>
  <si>
    <t>176.26%</t>
  </si>
  <si>
    <t>46.0%</t>
  </si>
  <si>
    <t>49.54%</t>
  </si>
  <si>
    <t>67.12%</t>
  </si>
  <si>
    <t>86.25%</t>
  </si>
  <si>
    <t>89.58%</t>
  </si>
  <si>
    <t>90.95%</t>
  </si>
  <si>
    <t>99.78%</t>
  </si>
  <si>
    <t>51.88%</t>
  </si>
  <si>
    <t>75.79%</t>
  </si>
  <si>
    <t>65.5%</t>
  </si>
  <si>
    <t>19.57%</t>
  </si>
  <si>
    <t>16.25%</t>
  </si>
  <si>
    <t>64.13%</t>
  </si>
  <si>
    <t>67.98%</t>
  </si>
  <si>
    <t>59.61%</t>
  </si>
  <si>
    <t>65.25%</t>
  </si>
  <si>
    <t>46.42%</t>
  </si>
  <si>
    <t>47.33%</t>
  </si>
  <si>
    <t>108.3%</t>
  </si>
  <si>
    <t>112.97%</t>
  </si>
  <si>
    <t>89.71%</t>
  </si>
  <si>
    <t>51.18%</t>
  </si>
  <si>
    <t>115.36%</t>
  </si>
  <si>
    <t>50.8%</t>
  </si>
  <si>
    <t>47.47%</t>
  </si>
  <si>
    <t>72.38%</t>
  </si>
  <si>
    <t>31.86%</t>
  </si>
  <si>
    <t>23.26%</t>
  </si>
  <si>
    <t>25.92%</t>
  </si>
  <si>
    <t>15.06%</t>
  </si>
  <si>
    <t>17.3%</t>
  </si>
  <si>
    <t>64.03%</t>
  </si>
  <si>
    <t>66.25%</t>
  </si>
  <si>
    <t>47.72%</t>
  </si>
  <si>
    <t>58.34%</t>
  </si>
  <si>
    <t>45.5%</t>
  </si>
  <si>
    <t>39.37%</t>
  </si>
  <si>
    <t>41.15%</t>
  </si>
  <si>
    <t>58.4%</t>
  </si>
  <si>
    <t>53.96%</t>
  </si>
  <si>
    <t>44.68%</t>
  </si>
  <si>
    <t>104072.0%</t>
  </si>
  <si>
    <t>140002.0%</t>
  </si>
  <si>
    <t>97200.0%</t>
  </si>
  <si>
    <t>136199.0%</t>
  </si>
  <si>
    <t>147043.0%</t>
  </si>
  <si>
    <t>177740.0%</t>
  </si>
  <si>
    <t>121.44%</t>
  </si>
  <si>
    <t>11.7%</t>
  </si>
  <si>
    <t>11.97%</t>
  </si>
  <si>
    <t>10.5%</t>
  </si>
  <si>
    <t>11.04%</t>
  </si>
  <si>
    <t>9.25%</t>
  </si>
  <si>
    <t>8.86%</t>
  </si>
  <si>
    <t>8.01%</t>
  </si>
  <si>
    <t>7.95%</t>
  </si>
  <si>
    <t>8.8%</t>
  </si>
  <si>
    <t>7.8%</t>
  </si>
  <si>
    <t>8.4%</t>
  </si>
  <si>
    <t>7.9%</t>
  </si>
  <si>
    <t>8.3%</t>
  </si>
  <si>
    <t>5500.0%</t>
  </si>
  <si>
    <t>5785.0%</t>
  </si>
  <si>
    <t>60.69%</t>
  </si>
  <si>
    <t>164.69%</t>
  </si>
  <si>
    <t>92.31%</t>
  </si>
  <si>
    <t>67.39%</t>
  </si>
  <si>
    <t>86.72%</t>
  </si>
  <si>
    <t>17.59%</t>
  </si>
  <si>
    <t>18.63%</t>
  </si>
  <si>
    <t>16.58%</t>
  </si>
  <si>
    <t>18.53%</t>
  </si>
  <si>
    <t>0.67%</t>
  </si>
  <si>
    <t>101.4%</t>
  </si>
  <si>
    <t>101.88%</t>
  </si>
  <si>
    <t>102.94%</t>
  </si>
  <si>
    <t>0.07%</t>
  </si>
  <si>
    <t>830.5%</t>
  </si>
  <si>
    <t>1200.0%</t>
  </si>
  <si>
    <t>3805.01%</t>
  </si>
  <si>
    <t>5993.08%</t>
  </si>
  <si>
    <t>2467.36%</t>
  </si>
  <si>
    <t>5206.47%</t>
  </si>
  <si>
    <t>-53.34%</t>
  </si>
  <si>
    <t>71.09%</t>
  </si>
  <si>
    <t>66.41%</t>
  </si>
  <si>
    <t>69.4%</t>
  </si>
  <si>
    <t>63.37%</t>
  </si>
  <si>
    <t>51.64%</t>
  </si>
  <si>
    <t>436-2026-06-30</t>
  </si>
  <si>
    <t>96.24%</t>
  </si>
  <si>
    <t>97.75%</t>
  </si>
  <si>
    <t>99.73%</t>
  </si>
  <si>
    <t>99.24%</t>
  </si>
  <si>
    <t>94.06%</t>
  </si>
  <si>
    <t>96.87%</t>
  </si>
  <si>
    <t>114.33%</t>
  </si>
  <si>
    <t>209.0%</t>
  </si>
  <si>
    <t>55.2%</t>
  </si>
  <si>
    <t>86.5%</t>
  </si>
  <si>
    <t>31.04%</t>
  </si>
  <si>
    <t>16.16%</t>
  </si>
  <si>
    <t>18.93%</t>
  </si>
  <si>
    <t>9.32%</t>
  </si>
  <si>
    <t>51.28%</t>
  </si>
  <si>
    <t>34.9%</t>
  </si>
  <si>
    <t>42.7%</t>
  </si>
  <si>
    <t>12.5%</t>
  </si>
  <si>
    <t>43.5%</t>
  </si>
  <si>
    <t>94.69%</t>
  </si>
  <si>
    <t>105.19%</t>
  </si>
  <si>
    <t>141.66%</t>
  </si>
  <si>
    <t>4900000.0%</t>
  </si>
  <si>
    <t>130.43%</t>
  </si>
  <si>
    <t>147.83%</t>
  </si>
  <si>
    <t>91.44%</t>
  </si>
  <si>
    <t>57.86%</t>
  </si>
  <si>
    <t>56.83%</t>
  </si>
  <si>
    <t>59.6%</t>
  </si>
  <si>
    <t>53.8%</t>
  </si>
  <si>
    <t>72.75%</t>
  </si>
  <si>
    <t>73.1%</t>
  </si>
  <si>
    <t>2.85%</t>
  </si>
  <si>
    <t>2.6%</t>
  </si>
  <si>
    <t>469-2023-06-30</t>
  </si>
  <si>
    <t>469-2023-12-31</t>
  </si>
  <si>
    <t>154.7%</t>
  </si>
  <si>
    <t>47.43%</t>
  </si>
  <si>
    <t>110.78%</t>
  </si>
  <si>
    <t>59.0%</t>
  </si>
  <si>
    <t>67.29%</t>
  </si>
  <si>
    <t>39.95%</t>
  </si>
  <si>
    <t>43.61%</t>
  </si>
  <si>
    <t>29.69%</t>
  </si>
  <si>
    <t>40.36%</t>
  </si>
  <si>
    <t>40.85%</t>
  </si>
  <si>
    <t>45.75%</t>
  </si>
  <si>
    <t>57.31%</t>
  </si>
  <si>
    <t>72.5%</t>
  </si>
  <si>
    <t>54.94%</t>
  </si>
  <si>
    <t>50.46%</t>
  </si>
  <si>
    <t>98.4%</t>
  </si>
  <si>
    <t>68.98%</t>
  </si>
  <si>
    <t>98.85%</t>
  </si>
  <si>
    <t>52.43%</t>
  </si>
  <si>
    <t>250.59%</t>
  </si>
  <si>
    <t>56.79%</t>
  </si>
  <si>
    <t>67.84%</t>
  </si>
  <si>
    <t>63.75%</t>
  </si>
  <si>
    <t>71.58%</t>
  </si>
  <si>
    <t>74.19%</t>
  </si>
  <si>
    <t>34.85%</t>
  </si>
  <si>
    <t>107.02%</t>
  </si>
  <si>
    <t>45.53%</t>
  </si>
  <si>
    <t>98.77%</t>
  </si>
  <si>
    <t>82.1%</t>
  </si>
  <si>
    <t>91.65%</t>
  </si>
  <si>
    <t>320.0%</t>
  </si>
  <si>
    <t>366.67%</t>
  </si>
  <si>
    <t>480.0%</t>
  </si>
  <si>
    <t>516.67%</t>
  </si>
  <si>
    <t>400.0%</t>
  </si>
  <si>
    <t>252.38%</t>
  </si>
  <si>
    <t>2700000.0%</t>
  </si>
  <si>
    <t>164.17%</t>
  </si>
  <si>
    <t>255.0%</t>
  </si>
  <si>
    <t>278.89%</t>
  </si>
  <si>
    <t>510.0%</t>
  </si>
  <si>
    <t>360.43%</t>
  </si>
  <si>
    <t>425.0%</t>
  </si>
  <si>
    <t>401.88%</t>
  </si>
  <si>
    <t>488-2026-06-30</t>
  </si>
  <si>
    <t>93.33%</t>
  </si>
  <si>
    <t>50.5%</t>
  </si>
  <si>
    <t>52.33%</t>
  </si>
  <si>
    <t>78.17%</t>
  </si>
  <si>
    <t>100.02%</t>
  </si>
  <si>
    <t>93.78%</t>
  </si>
  <si>
    <t>509-2025-12-31</t>
  </si>
  <si>
    <t>107.41%</t>
  </si>
  <si>
    <t>104.17%</t>
  </si>
  <si>
    <t>11.33%</t>
  </si>
  <si>
    <t>6.67%</t>
  </si>
  <si>
    <t>67.83%</t>
  </si>
  <si>
    <t>65.33%</t>
  </si>
  <si>
    <t>90.17%</t>
  </si>
  <si>
    <t>6-2024-12-31</t>
  </si>
  <si>
    <t>90.47%</t>
  </si>
  <si>
    <t>92.84%</t>
  </si>
  <si>
    <t>91.32%</t>
  </si>
  <si>
    <t>91.09%</t>
  </si>
  <si>
    <t>90.77%</t>
  </si>
  <si>
    <t>85.67%</t>
  </si>
  <si>
    <t>75.5%</t>
  </si>
  <si>
    <t>96.5%</t>
  </si>
  <si>
    <t>87.18%</t>
  </si>
  <si>
    <t>94.64%</t>
  </si>
  <si>
    <t>91.53%</t>
  </si>
  <si>
    <t>98.12%</t>
  </si>
  <si>
    <t>97.58%</t>
  </si>
  <si>
    <t>98.33%</t>
  </si>
  <si>
    <t>96.53%</t>
  </si>
  <si>
    <t>94.65%</t>
  </si>
  <si>
    <t>96.46%</t>
  </si>
  <si>
    <t>77-2026-06-30</t>
  </si>
  <si>
    <t>98.48%</t>
  </si>
  <si>
    <t>42.67%</t>
  </si>
  <si>
    <t>43.33%</t>
  </si>
  <si>
    <t>88.67%</t>
  </si>
  <si>
    <t>32.67%</t>
  </si>
  <si>
    <t>79.83%</t>
  </si>
  <si>
    <t>75.17%</t>
  </si>
  <si>
    <t>99.33%</t>
  </si>
  <si>
    <t>98.17%</t>
  </si>
  <si>
    <t>83.67%</t>
  </si>
  <si>
    <t>78.5%</t>
  </si>
  <si>
    <t>99.17%</t>
  </si>
  <si>
    <t>34.67%</t>
  </si>
  <si>
    <t>32.5%</t>
  </si>
  <si>
    <t>77.2%</t>
  </si>
  <si>
    <t>73.2%</t>
  </si>
  <si>
    <t>51.67%</t>
  </si>
  <si>
    <t>88.83%</t>
  </si>
  <si>
    <t>31.5%</t>
  </si>
  <si>
    <t>32.33%</t>
  </si>
  <si>
    <t>39.17%</t>
  </si>
  <si>
    <t>43.17%</t>
  </si>
  <si>
    <t>85.33%</t>
  </si>
  <si>
    <t>41.33%</t>
  </si>
  <si>
    <t>91.33%</t>
  </si>
  <si>
    <t>29.67%</t>
  </si>
  <si>
    <t>80.2%</t>
  </si>
  <si>
    <t>509.0%</t>
  </si>
  <si>
    <t>566.0%</t>
  </si>
  <si>
    <t>305.0%</t>
  </si>
  <si>
    <t>496.0%</t>
  </si>
  <si>
    <t>336.0%</t>
  </si>
  <si>
    <t>272.0%</t>
  </si>
  <si>
    <t>369.0%</t>
  </si>
  <si>
    <t>103.0%</t>
  </si>
  <si>
    <t>0.5%</t>
  </si>
  <si>
    <t>2558.0%</t>
  </si>
  <si>
    <t>2500.0%</t>
  </si>
  <si>
    <t>5099.0%</t>
  </si>
  <si>
    <t>4977.0%</t>
  </si>
  <si>
    <t>2575.0%</t>
  </si>
  <si>
    <t>2624.0%</t>
  </si>
  <si>
    <t>2677.0%</t>
  </si>
  <si>
    <t>2764.0%</t>
  </si>
  <si>
    <t>542.0%</t>
  </si>
  <si>
    <t>548.0%</t>
  </si>
  <si>
    <t>582.0%</t>
  </si>
  <si>
    <t>562.0%</t>
  </si>
  <si>
    <t>557.0%</t>
  </si>
  <si>
    <t>569.0%</t>
  </si>
  <si>
    <t>1043.0%</t>
  </si>
  <si>
    <t>1020.0%</t>
  </si>
  <si>
    <t>1987.0%</t>
  </si>
  <si>
    <t>1895.0%</t>
  </si>
  <si>
    <t>4056.0%</t>
  </si>
  <si>
    <t>3957.0%</t>
  </si>
  <si>
    <t>1992.78%</t>
  </si>
  <si>
    <t>2062.0%</t>
  </si>
  <si>
    <t>2107.0%</t>
  </si>
  <si>
    <t>2219.0%</t>
  </si>
  <si>
    <t>7464800310.0%</t>
  </si>
  <si>
    <t>6799687380.0%</t>
  </si>
  <si>
    <t>16525.0%</t>
  </si>
  <si>
    <t>17050.0%</t>
  </si>
  <si>
    <t>8924.5%</t>
  </si>
  <si>
    <t>10555.38%</t>
  </si>
  <si>
    <t>107.61%</t>
  </si>
  <si>
    <t>310095319.0%</t>
  </si>
  <si>
    <t>306819161.0%</t>
  </si>
  <si>
    <t>758.0%</t>
  </si>
  <si>
    <t>1028.03%</t>
  </si>
  <si>
    <t>1782.03%</t>
  </si>
  <si>
    <t>143.04%</t>
  </si>
  <si>
    <t>8320861622.0%</t>
  </si>
  <si>
    <t>7224513910.0%</t>
  </si>
  <si>
    <t>66.5%</t>
  </si>
  <si>
    <t>63.1%</t>
  </si>
  <si>
    <t>2527.0%</t>
  </si>
  <si>
    <t>2464.0%</t>
  </si>
  <si>
    <t>5039.0%</t>
  </si>
  <si>
    <t>4921.0%</t>
  </si>
  <si>
    <t>1702.0%</t>
  </si>
  <si>
    <t>1784.0%</t>
  </si>
  <si>
    <t>3052.0%</t>
  </si>
  <si>
    <t>3218.0%</t>
  </si>
  <si>
    <t>4934.0%</t>
  </si>
  <si>
    <t>4702.0%</t>
  </si>
  <si>
    <t>10723.0%</t>
  </si>
  <si>
    <t>10070.0%</t>
  </si>
  <si>
    <t>432.0%</t>
  </si>
  <si>
    <t>292.0%</t>
  </si>
  <si>
    <t>162.0%</t>
  </si>
  <si>
    <t>212.0%</t>
  </si>
  <si>
    <t>129.0%</t>
  </si>
  <si>
    <t>5146.0%</t>
  </si>
  <si>
    <t>4831.0%</t>
  </si>
  <si>
    <t>11155.0%</t>
  </si>
  <si>
    <t>10362.0%</t>
  </si>
  <si>
    <t>1037307448.0%</t>
  </si>
  <si>
    <t>695692471.0%</t>
  </si>
  <si>
    <t>2243.0%</t>
  </si>
  <si>
    <t>2101.0%</t>
  </si>
  <si>
    <t>1151.76%</t>
  </si>
  <si>
    <t>1979.06%</t>
  </si>
  <si>
    <t>36.54%</t>
  </si>
  <si>
    <t>88.8%</t>
  </si>
  <si>
    <t>87.3%</t>
  </si>
  <si>
    <t>Clasificación</t>
  </si>
  <si>
    <t>Llave</t>
  </si>
  <si>
    <t>Decimales</t>
  </si>
  <si>
    <t>DecimalesEje</t>
  </si>
  <si>
    <t>Estratégico</t>
  </si>
  <si>
    <t>Avance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</si>
  <si>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</si>
  <si>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</si>
  <si>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</si>
  <si>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</si>
  <si>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</si>
  <si>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</si>
  <si>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</si>
  <si>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8-2026-01-01</t>
  </si>
  <si>
    <t>Monarca - Ecosistema Banner</t>
  </si>
  <si>
    <t>9-2026-01-01</t>
  </si>
  <si>
    <t>Acreditación Institucional Sede Bogotá - Fase II - Condiciones iniciales</t>
  </si>
  <si>
    <t>10-2026-01-01</t>
  </si>
  <si>
    <t>Creación del Instituto de Educación para el trabajo y el desarrollo humano - Stand By</t>
  </si>
  <si>
    <t>11-2026-01-01</t>
  </si>
  <si>
    <t xml:space="preserve">Creación del colegio de educación media virtual </t>
  </si>
  <si>
    <t>Stand by</t>
  </si>
  <si>
    <t>12-2025-12-31</t>
  </si>
  <si>
    <t>Creación del colegio de educación media virtual  - Stand By</t>
  </si>
  <si>
    <t>12-2026-01-01</t>
  </si>
  <si>
    <t>13-2026-01-01</t>
  </si>
  <si>
    <t>14-2026-01-01</t>
  </si>
  <si>
    <t>15-2025-06-30</t>
  </si>
  <si>
    <t>16-2025-06-30</t>
  </si>
  <si>
    <t>17-2025-06-30</t>
  </si>
  <si>
    <t>18-2025-06-30</t>
  </si>
  <si>
    <t>19-2025-06-30</t>
  </si>
  <si>
    <t>20-2025-06-30</t>
  </si>
  <si>
    <t>21-2025-06-30</t>
  </si>
  <si>
    <t>22-2025-06-30</t>
  </si>
  <si>
    <t>23-2025-06-30</t>
  </si>
  <si>
    <t>24-2025-06-30</t>
  </si>
  <si>
    <t>25-2025-06-30</t>
  </si>
  <si>
    <t>26-2025-06-30</t>
  </si>
  <si>
    <t>27-2025-06-30</t>
  </si>
  <si>
    <t>28-2025-06-30</t>
  </si>
  <si>
    <t>29-2025-06-30</t>
  </si>
  <si>
    <t>30-2025-06-30</t>
  </si>
  <si>
    <t>31-2025-06-30</t>
  </si>
  <si>
    <t>Gestión y desarrollo del talento humano</t>
  </si>
  <si>
    <t>32-2025-06-30</t>
  </si>
  <si>
    <t>33-2025-06-30</t>
  </si>
  <si>
    <t>34-2025-06-30</t>
  </si>
  <si>
    <t>44-2025-06-30</t>
  </si>
  <si>
    <t>45-2025-06-30</t>
  </si>
  <si>
    <t>46-2025-06-30</t>
  </si>
  <si>
    <t>47-2025-06-30</t>
  </si>
  <si>
    <t>48-2025-06-30</t>
  </si>
  <si>
    <t>49-2025-06-30</t>
  </si>
  <si>
    <t>59-2025-06-30</t>
  </si>
  <si>
    <t>60-2025-06-30</t>
  </si>
  <si>
    <t>61-2025-06-30</t>
  </si>
  <si>
    <t>62-2025-06-30</t>
  </si>
  <si>
    <t>63-2025-06-30</t>
  </si>
  <si>
    <t>64-2025-06-30</t>
  </si>
  <si>
    <t>65-2025-06-30</t>
  </si>
  <si>
    <t>66-2025-06-30</t>
  </si>
  <si>
    <t>67-2025-06-30</t>
  </si>
  <si>
    <t>Operativo</t>
  </si>
  <si>
    <t>75-2025-06-30</t>
  </si>
  <si>
    <t>76-2025-06-30</t>
  </si>
  <si>
    <t>77-2026-01-01</t>
  </si>
  <si>
    <t>96-2026-01-01</t>
  </si>
  <si>
    <t>97-2026-01-01</t>
  </si>
  <si>
    <t>98-2026-01-01</t>
  </si>
  <si>
    <t>Nivel de Satisfacción -Comunicaciones internas</t>
  </si>
  <si>
    <t>109-2026-01-01</t>
  </si>
  <si>
    <t>115-2024-10-31</t>
  </si>
  <si>
    <t>148-2026-01-01</t>
  </si>
  <si>
    <t>Porcentaje de cumplimiento del Acuerdo de Nivel de Servicio (ANS)</t>
  </si>
  <si>
    <t>193-2026-01-01</t>
  </si>
  <si>
    <t>194-2026-01-01</t>
  </si>
  <si>
    <t>200-2026-01-01</t>
  </si>
  <si>
    <t>202-2026-01-01</t>
  </si>
  <si>
    <t>203-2026-01-01</t>
  </si>
  <si>
    <t>204-2026-01-01</t>
  </si>
  <si>
    <t>205-2026-01-01</t>
  </si>
  <si>
    <t>Inversión en CAPEX de la utilidad anterior (veces)</t>
  </si>
  <si>
    <t>206-2026-01-01</t>
  </si>
  <si>
    <t>207-2026-01-01</t>
  </si>
  <si>
    <t>208-2022-12-31</t>
  </si>
  <si>
    <t>243-2024-07-30</t>
  </si>
  <si>
    <t>244-2022-12-31</t>
  </si>
  <si>
    <t>244-2025-12-31</t>
  </si>
  <si>
    <t>244-2026-01-01</t>
  </si>
  <si>
    <t>245-2026-01-01</t>
  </si>
  <si>
    <t>248-2026-01-01</t>
  </si>
  <si>
    <t>249-2026-01-01</t>
  </si>
  <si>
    <t>274-2026-01-01</t>
  </si>
  <si>
    <t>276-2026-01-01</t>
  </si>
  <si>
    <t>323-2026-01-01</t>
  </si>
  <si>
    <t>325-2026-01-01</t>
  </si>
  <si>
    <t>331-2025-06-30</t>
  </si>
  <si>
    <t>331-2026-01-01</t>
  </si>
  <si>
    <t>332-2026-01-01</t>
  </si>
  <si>
    <t>334-2026-01-01</t>
  </si>
  <si>
    <t>335-2026-01-01</t>
  </si>
  <si>
    <t>% Programas acreditables acreditados Sede Bogotá</t>
  </si>
  <si>
    <t>339-2022-12-31</t>
  </si>
  <si>
    <t>339-2026-01-01</t>
  </si>
  <si>
    <t>359-2024-06-30</t>
  </si>
  <si>
    <t>361-2026-01-01</t>
  </si>
  <si>
    <t>364-2026-01-01</t>
  </si>
  <si>
    <t>367-2026-01-01</t>
  </si>
  <si>
    <t>369-2026-01-01</t>
  </si>
  <si>
    <t>376-2026-01-01</t>
  </si>
  <si>
    <t>377-2026-01-01</t>
  </si>
  <si>
    <t>379-2026-01-01</t>
  </si>
  <si>
    <t>385-2026-01-01</t>
  </si>
  <si>
    <t>Cumplimiento Plan Anual Gerencia de planeación y gestión</t>
  </si>
  <si>
    <t>423-2026-01-01</t>
  </si>
  <si>
    <t>424-2026-01-01</t>
  </si>
  <si>
    <t>460-2023-12-31</t>
  </si>
  <si>
    <t>460-2026-01-01</t>
  </si>
  <si>
    <t>463-2026-01-01</t>
  </si>
  <si>
    <t>465-2026-01-01</t>
  </si>
  <si>
    <t>466-2026-01-01</t>
  </si>
  <si>
    <t>472-2026-01-01</t>
  </si>
  <si>
    <t>473-2026-01-01</t>
  </si>
  <si>
    <t>476-2023-12-31</t>
  </si>
  <si>
    <t>900-2026-01-01</t>
  </si>
  <si>
    <t>Centro de Idiomas Fase I - Stand By</t>
  </si>
  <si>
    <t>901-2026-01-01</t>
  </si>
  <si>
    <t>902-2026-01-01</t>
  </si>
  <si>
    <t>Migración modelo de transporte rotativo</t>
  </si>
  <si>
    <t>903-2025-12-31</t>
  </si>
  <si>
    <t>903-2026-01-01</t>
  </si>
  <si>
    <t>904-2025-12-31</t>
  </si>
  <si>
    <t>904-2026-01-01</t>
  </si>
  <si>
    <t>905-2026-01-01</t>
  </si>
  <si>
    <t>906-2026-01-01</t>
  </si>
  <si>
    <t>907-2026-01-01</t>
  </si>
  <si>
    <t>908-2026-01-01</t>
  </si>
  <si>
    <t>Acreditación Institucional  Fase III - Etapa de evaluación externa</t>
  </si>
  <si>
    <t>909-2025-12-31</t>
  </si>
  <si>
    <t>909-2026-01-01</t>
  </si>
  <si>
    <t>Fortalecimiento de la investigacion, la innovación y la creación</t>
  </si>
  <si>
    <t>910-2025-12-31</t>
  </si>
  <si>
    <t>910-2026-01-01</t>
  </si>
  <si>
    <t>Fortalecimiento de planta docente</t>
  </si>
  <si>
    <t>911-2025-12-31</t>
  </si>
  <si>
    <t>911-2026-01-01</t>
  </si>
  <si>
    <t>Plataforma de gestión de la información curricular Fase I</t>
  </si>
  <si>
    <t>912-2025-12-31</t>
  </si>
  <si>
    <t>912-2026-01-01</t>
  </si>
  <si>
    <t>Actualización de TRD y creación del Plan de gestión documental</t>
  </si>
  <si>
    <t>913-2025-12-31</t>
  </si>
  <si>
    <t>913-2026-01-01</t>
  </si>
  <si>
    <t>ADN Poli</t>
  </si>
  <si>
    <t>914-2025-12-31</t>
  </si>
  <si>
    <t>914-2026-01-01</t>
  </si>
  <si>
    <t>Gobierno de datos</t>
  </si>
  <si>
    <t>915-2025-12-31</t>
  </si>
  <si>
    <t>915-2026-01-01</t>
  </si>
  <si>
    <t>Herramientas de Gestión para el mejoramiento continuo</t>
  </si>
  <si>
    <t>916-2025-12-31</t>
  </si>
  <si>
    <t>916-2026-01-01</t>
  </si>
  <si>
    <t>Proyectos Ilumno Self Service S&amp;P</t>
  </si>
  <si>
    <t>917-2025-12-31</t>
  </si>
  <si>
    <t>917-2026-01-01</t>
  </si>
  <si>
    <t>Reingenieria de aplicaciones</t>
  </si>
  <si>
    <t>918-2025-12-31</t>
  </si>
  <si>
    <t>Reingenia de aplicaciones</t>
  </si>
  <si>
    <t>918-2026-01-01</t>
  </si>
  <si>
    <t>SOPHIA Sistema de optimización y programación horaria institucional</t>
  </si>
  <si>
    <t>919-2025-12-31</t>
  </si>
  <si>
    <t>919-2026-01-01</t>
  </si>
  <si>
    <t>Hubspot CRM</t>
  </si>
  <si>
    <t>920-2024-12-31</t>
  </si>
  <si>
    <t>920-2026-01-01</t>
  </si>
  <si>
    <t>Prime</t>
  </si>
  <si>
    <t>921-2023-12-31</t>
  </si>
  <si>
    <t>921-2026-01-01</t>
  </si>
  <si>
    <t>Proyecto de permanencia institucional</t>
  </si>
  <si>
    <t>922-2025-12-31</t>
  </si>
  <si>
    <t>922-2026-01-01</t>
  </si>
  <si>
    <t>Centro Gastronómico</t>
  </si>
  <si>
    <t>923-2025-12-31</t>
  </si>
  <si>
    <t>923-2026-01-01</t>
  </si>
  <si>
    <t>Redefinición de Modelo de seguimiento y acompañamiento al Graduado</t>
  </si>
  <si>
    <t>924-2025-12-31</t>
  </si>
  <si>
    <t>Modelo de seguimiento al graduado</t>
  </si>
  <si>
    <t>924-2026-01-01</t>
  </si>
  <si>
    <t>Pricing</t>
  </si>
  <si>
    <t>925-2023-12-31</t>
  </si>
  <si>
    <t>925-2026-01-01</t>
  </si>
  <si>
    <t>Titulación Autogestionada</t>
  </si>
  <si>
    <t>926-2025-12-31</t>
  </si>
  <si>
    <t>2023</t>
  </si>
  <si>
    <t>76.83%</t>
  </si>
  <si>
    <t>74.08%</t>
  </si>
  <si>
    <t>34.78%</t>
  </si>
  <si>
    <t>37.11%</t>
  </si>
  <si>
    <t>2024</t>
  </si>
  <si>
    <t>70.75%</t>
  </si>
  <si>
    <t>69.08%</t>
  </si>
  <si>
    <t>2022</t>
  </si>
  <si>
    <t>59.5%</t>
  </si>
  <si>
    <t>10.1-2023-12-31</t>
  </si>
  <si>
    <t>10.1-2026-01-01</t>
  </si>
  <si>
    <t>2025</t>
  </si>
  <si>
    <t>108.2-2024-12-31</t>
  </si>
  <si>
    <t>73.5%</t>
  </si>
  <si>
    <t>61.75%</t>
  </si>
  <si>
    <t>64.5%</t>
  </si>
  <si>
    <t>11.1-2024-12-31</t>
  </si>
  <si>
    <t>11.1-2026-01-01</t>
  </si>
  <si>
    <t>92.67%</t>
  </si>
  <si>
    <t>85.4%</t>
  </si>
  <si>
    <t>66.9%</t>
  </si>
  <si>
    <t>57.4%</t>
  </si>
  <si>
    <t>55671498.25%</t>
  </si>
  <si>
    <t>55925762.33%</t>
  </si>
  <si>
    <t>63143427.67%</t>
  </si>
  <si>
    <t>66889152.17%</t>
  </si>
  <si>
    <t>69836101.83%</t>
  </si>
  <si>
    <t>70522019.58%</t>
  </si>
  <si>
    <t>106.93%</t>
  </si>
  <si>
    <t>2026</t>
  </si>
  <si>
    <t>2026-2</t>
  </si>
  <si>
    <t>121-2026-12-31</t>
  </si>
  <si>
    <t>94.32%</t>
  </si>
  <si>
    <t>82.31%</t>
  </si>
  <si>
    <t>122-2026-12-31</t>
  </si>
  <si>
    <t>124-2026-12-31</t>
  </si>
  <si>
    <t>0.18%</t>
  </si>
  <si>
    <t>125-2026-12-31</t>
  </si>
  <si>
    <t>0.68%</t>
  </si>
  <si>
    <t>0.92%</t>
  </si>
  <si>
    <t>128-2026-12-31</t>
  </si>
  <si>
    <t>63.43%</t>
  </si>
  <si>
    <t>55.71%</t>
  </si>
  <si>
    <t>13-2024-12-31</t>
  </si>
  <si>
    <t>13.1-2023-12-31</t>
  </si>
  <si>
    <t>13.1-2026-01-01</t>
  </si>
  <si>
    <t>136-2024-12-31</t>
  </si>
  <si>
    <t>111.75%</t>
  </si>
  <si>
    <t>137-2024-12-31</t>
  </si>
  <si>
    <t>579.29%</t>
  </si>
  <si>
    <t>467.45%</t>
  </si>
  <si>
    <t>856.33%</t>
  </si>
  <si>
    <t>583.38%</t>
  </si>
  <si>
    <t>139-2025-12-31</t>
  </si>
  <si>
    <t>49717.0%</t>
  </si>
  <si>
    <t>50624.0%</t>
  </si>
  <si>
    <t>51932.0%</t>
  </si>
  <si>
    <t>51424.0%</t>
  </si>
  <si>
    <t>51759.76%</t>
  </si>
  <si>
    <t>52295.0%</t>
  </si>
  <si>
    <t>7135.5%</t>
  </si>
  <si>
    <t>7595.0%</t>
  </si>
  <si>
    <t>7721.0%</t>
  </si>
  <si>
    <t>7989.5%</t>
  </si>
  <si>
    <t>8040.0%</t>
  </si>
  <si>
    <t>8294.5%</t>
  </si>
  <si>
    <t>14.1-2025-12-31</t>
  </si>
  <si>
    <t>14.1-2026-01-01</t>
  </si>
  <si>
    <t>42581.5%</t>
  </si>
  <si>
    <t>43029.0%</t>
  </si>
  <si>
    <t>44211.0%</t>
  </si>
  <si>
    <t>43434.5%</t>
  </si>
  <si>
    <t>43719.5%</t>
  </si>
  <si>
    <t>44000.5%</t>
  </si>
  <si>
    <t>14.2-2025-12-31</t>
  </si>
  <si>
    <t>14.2-2026-01-01</t>
  </si>
  <si>
    <t>47348.0%</t>
  </si>
  <si>
    <t>48120.0%</t>
  </si>
  <si>
    <t>49171.0%</t>
  </si>
  <si>
    <t>48265.0%</t>
  </si>
  <si>
    <t>48685.5%</t>
  </si>
  <si>
    <t>48719.5%</t>
  </si>
  <si>
    <t>14.3-2025-12-31</t>
  </si>
  <si>
    <t>14.3-2026-01-01</t>
  </si>
  <si>
    <t>2319.0%</t>
  </si>
  <si>
    <t>2504.0%</t>
  </si>
  <si>
    <t>2761.0%</t>
  </si>
  <si>
    <t>3159.0%</t>
  </si>
  <si>
    <t>3074.0%</t>
  </si>
  <si>
    <t>3575.5%</t>
  </si>
  <si>
    <t>14.4-2025-12-31</t>
  </si>
  <si>
    <t>14.4-2026-01-01</t>
  </si>
  <si>
    <t>1.96%</t>
  </si>
  <si>
    <t>1.68%</t>
  </si>
  <si>
    <t>310.0%</t>
  </si>
  <si>
    <t>338.5%</t>
  </si>
  <si>
    <t>3.75%</t>
  </si>
  <si>
    <t>4.91%</t>
  </si>
  <si>
    <t>5.3%</t>
  </si>
  <si>
    <t>5.43%</t>
  </si>
  <si>
    <t>96.4%</t>
  </si>
  <si>
    <t>96.93%</t>
  </si>
  <si>
    <t>82.5%</t>
  </si>
  <si>
    <t>96.83%</t>
  </si>
  <si>
    <t>93.81%</t>
  </si>
  <si>
    <t>171-2023-12-31</t>
  </si>
  <si>
    <t>98.18%</t>
  </si>
  <si>
    <t>94.72%</t>
  </si>
  <si>
    <t>92.2%</t>
  </si>
  <si>
    <t>90.99%</t>
  </si>
  <si>
    <t>172-2026-12-31</t>
  </si>
  <si>
    <t>81.37%</t>
  </si>
  <si>
    <t>87.16%</t>
  </si>
  <si>
    <t>91.6%</t>
  </si>
  <si>
    <t>92.6%</t>
  </si>
  <si>
    <t>95.6%</t>
  </si>
  <si>
    <t>83.19%</t>
  </si>
  <si>
    <t>80.55%</t>
  </si>
  <si>
    <t>44.84%</t>
  </si>
  <si>
    <t>56.47%</t>
  </si>
  <si>
    <t>195-2025-12-31</t>
  </si>
  <si>
    <t>30.52%</t>
  </si>
  <si>
    <t>98.81%</t>
  </si>
  <si>
    <t>49.5%</t>
  </si>
  <si>
    <t>338112.0%</t>
  </si>
  <si>
    <t>360026.0%</t>
  </si>
  <si>
    <t>388310.14%</t>
  </si>
  <si>
    <t>403052.12%</t>
  </si>
  <si>
    <t>432510.71%</t>
  </si>
  <si>
    <t>443608.84%</t>
  </si>
  <si>
    <t>223.1%</t>
  </si>
  <si>
    <t>70895.5%</t>
  </si>
  <si>
    <t>27743.5%</t>
  </si>
  <si>
    <t>47809.7%</t>
  </si>
  <si>
    <t>79051.18%</t>
  </si>
  <si>
    <t>71577.67%</t>
  </si>
  <si>
    <t>102313.89%</t>
  </si>
  <si>
    <t>119.56%</t>
  </si>
  <si>
    <t>2332.17%</t>
  </si>
  <si>
    <t>6523.4%</t>
  </si>
  <si>
    <t>2411.23%</t>
  </si>
  <si>
    <t>4763.41%</t>
  </si>
  <si>
    <t>154.68%</t>
  </si>
  <si>
    <t>3803.57%</t>
  </si>
  <si>
    <t>176705.87%</t>
  </si>
  <si>
    <t>181687.43%</t>
  </si>
  <si>
    <t>195681.82%</t>
  </si>
  <si>
    <t>199719.26%</t>
  </si>
  <si>
    <t>110.76%</t>
  </si>
  <si>
    <t>14740.0%</t>
  </si>
  <si>
    <t>20400.0%</t>
  </si>
  <si>
    <t>15674.5%</t>
  </si>
  <si>
    <t>13102.5%</t>
  </si>
  <si>
    <t>208-2026-12-31</t>
  </si>
  <si>
    <t>93.24%</t>
  </si>
  <si>
    <t>73.31%</t>
  </si>
  <si>
    <t>80.93%</t>
  </si>
  <si>
    <t>44656.3%</t>
  </si>
  <si>
    <t>90000.0%</t>
  </si>
  <si>
    <t>60786.7%</t>
  </si>
  <si>
    <t>82500.0%</t>
  </si>
  <si>
    <t>45956.22%</t>
  </si>
  <si>
    <t>214-2026-12-31</t>
  </si>
  <si>
    <t>-25.38%</t>
  </si>
  <si>
    <t>215-2025-12-31</t>
  </si>
  <si>
    <t>453.02%</t>
  </si>
  <si>
    <t>303.9%</t>
  </si>
  <si>
    <t>220.0%</t>
  </si>
  <si>
    <t>7633.8%</t>
  </si>
  <si>
    <t>2064000.0%</t>
  </si>
  <si>
    <t>1604699.23%</t>
  </si>
  <si>
    <t>1713907.89%</t>
  </si>
  <si>
    <t>1892000.0%</t>
  </si>
  <si>
    <t>1507377.07%</t>
  </si>
  <si>
    <t>218-2026-12-31</t>
  </si>
  <si>
    <t>15.25%</t>
  </si>
  <si>
    <t>2.31%</t>
  </si>
  <si>
    <t>8.32%</t>
  </si>
  <si>
    <t>11.9%</t>
  </si>
  <si>
    <t>246.0%</t>
  </si>
  <si>
    <t>178.0%</t>
  </si>
  <si>
    <t>225-2026-12-31</t>
  </si>
  <si>
    <t>230-2025-12-31</t>
  </si>
  <si>
    <t>231-2025-12-31</t>
  </si>
  <si>
    <t>97.72%</t>
  </si>
  <si>
    <t>232-2025-12-31</t>
  </si>
  <si>
    <t>43.87%</t>
  </si>
  <si>
    <t>233-2025-12-31</t>
  </si>
  <si>
    <t>2895.17%</t>
  </si>
  <si>
    <t>234-2025-12-31</t>
  </si>
  <si>
    <t>360.0%</t>
  </si>
  <si>
    <t>231.47%</t>
  </si>
  <si>
    <t>240.4%</t>
  </si>
  <si>
    <t>238-2025-12-31</t>
  </si>
  <si>
    <t>257.0%</t>
  </si>
  <si>
    <t>358.0%</t>
  </si>
  <si>
    <t>324.0%</t>
  </si>
  <si>
    <t>97.92%</t>
  </si>
  <si>
    <t>240-2025-12-31</t>
  </si>
  <si>
    <t>91.86%</t>
  </si>
  <si>
    <t>88.94%</t>
  </si>
  <si>
    <t>96.08%</t>
  </si>
  <si>
    <t>243-2024-12-31</t>
  </si>
  <si>
    <t>86.45%</t>
  </si>
  <si>
    <t>85.25%</t>
  </si>
  <si>
    <t>85.16%</t>
  </si>
  <si>
    <t>100.53%</t>
  </si>
  <si>
    <t>93.45%</t>
  </si>
  <si>
    <t>91.4%</t>
  </si>
  <si>
    <t>69.82%</t>
  </si>
  <si>
    <t>97.96%</t>
  </si>
  <si>
    <t>94.97%</t>
  </si>
  <si>
    <t>91.17%</t>
  </si>
  <si>
    <t>70.97%</t>
  </si>
  <si>
    <t>70.7%</t>
  </si>
  <si>
    <t>72.05%</t>
  </si>
  <si>
    <t>99.72%</t>
  </si>
  <si>
    <t>5.56%</t>
  </si>
  <si>
    <t>254-2025-12-31</t>
  </si>
  <si>
    <t>23.0%</t>
  </si>
  <si>
    <t>256-2025-12-31</t>
  </si>
  <si>
    <t>19.5%</t>
  </si>
  <si>
    <t>64.64%</t>
  </si>
  <si>
    <t>65.48%</t>
  </si>
  <si>
    <t>2.15%</t>
  </si>
  <si>
    <t>88.56%</t>
  </si>
  <si>
    <t>265-2025-12-31</t>
  </si>
  <si>
    <t>93.49%</t>
  </si>
  <si>
    <t>88.47%</t>
  </si>
  <si>
    <t>266-2025-12-31</t>
  </si>
  <si>
    <t>79440.0%</t>
  </si>
  <si>
    <t>80663.0%</t>
  </si>
  <si>
    <t>82059.0%</t>
  </si>
  <si>
    <t>79862.0%</t>
  </si>
  <si>
    <t>79254.0%</t>
  </si>
  <si>
    <t>81034.0%</t>
  </si>
  <si>
    <t>207.83%</t>
  </si>
  <si>
    <t>85.34%</t>
  </si>
  <si>
    <t>90.84%</t>
  </si>
  <si>
    <t>90.5%</t>
  </si>
  <si>
    <t>87.25%</t>
  </si>
  <si>
    <t>83.17%</t>
  </si>
  <si>
    <t>74.89%</t>
  </si>
  <si>
    <t>71.21%</t>
  </si>
  <si>
    <t>68.9%</t>
  </si>
  <si>
    <t>2032.0%</t>
  </si>
  <si>
    <t>2087.0%</t>
  </si>
  <si>
    <t>2170.0%</t>
  </si>
  <si>
    <t>194.5%</t>
  </si>
  <si>
    <t>231.5%</t>
  </si>
  <si>
    <t>96.31%</t>
  </si>
  <si>
    <t>15664.0%</t>
  </si>
  <si>
    <t>288-2025-12-31</t>
  </si>
  <si>
    <t>86.61%</t>
  </si>
  <si>
    <t>352.73%</t>
  </si>
  <si>
    <t>540.0%</t>
  </si>
  <si>
    <t>591.67%</t>
  </si>
  <si>
    <t>468.89%</t>
  </si>
  <si>
    <t>38.65%</t>
  </si>
  <si>
    <t>37.58%</t>
  </si>
  <si>
    <t>72.15%</t>
  </si>
  <si>
    <t>31.78%</t>
  </si>
  <si>
    <t>44.83%</t>
  </si>
  <si>
    <t>295-2024-12-31</t>
  </si>
  <si>
    <t>66.42%</t>
  </si>
  <si>
    <t>66.75%</t>
  </si>
  <si>
    <t>3-2024-12-31</t>
  </si>
  <si>
    <t>37846.0%</t>
  </si>
  <si>
    <t>53083.0%</t>
  </si>
  <si>
    <t>155.31%</t>
  </si>
  <si>
    <t>195.65%</t>
  </si>
  <si>
    <t>190.32%</t>
  </si>
  <si>
    <t>3411.0%</t>
  </si>
  <si>
    <t>3122.5%</t>
  </si>
  <si>
    <t>107.28%</t>
  </si>
  <si>
    <t>109.39%</t>
  </si>
  <si>
    <t>25.12%</t>
  </si>
  <si>
    <t>53.5%</t>
  </si>
  <si>
    <t>262.66%</t>
  </si>
  <si>
    <t>40.5%</t>
  </si>
  <si>
    <t>32.0%</t>
  </si>
  <si>
    <t>51.5%</t>
  </si>
  <si>
    <t>185.33%</t>
  </si>
  <si>
    <t>87.34%</t>
  </si>
  <si>
    <t>133.5%</t>
  </si>
  <si>
    <t>166.0%</t>
  </si>
  <si>
    <t>92.71%</t>
  </si>
  <si>
    <t>110.5%</t>
  </si>
  <si>
    <t>121.5%</t>
  </si>
  <si>
    <t>131.5%</t>
  </si>
  <si>
    <t>11.5%</t>
  </si>
  <si>
    <t>14.5%</t>
  </si>
  <si>
    <t>142.5%</t>
  </si>
  <si>
    <t>316-2024-12-31</t>
  </si>
  <si>
    <t>88.44%</t>
  </si>
  <si>
    <t>20.5%</t>
  </si>
  <si>
    <t>127.5%</t>
  </si>
  <si>
    <t>233.5%</t>
  </si>
  <si>
    <t>304.35%</t>
  </si>
  <si>
    <t>1.77%</t>
  </si>
  <si>
    <t>1.44%</t>
  </si>
  <si>
    <t>1.15%</t>
  </si>
  <si>
    <t>0.89%</t>
  </si>
  <si>
    <t>340-2025-12-31</t>
  </si>
  <si>
    <t>959195000.0%</t>
  </si>
  <si>
    <t>836000000.0%</t>
  </si>
  <si>
    <t>102.45%</t>
  </si>
  <si>
    <t>98.27%</t>
  </si>
  <si>
    <t>6.75%</t>
  </si>
  <si>
    <t>99.91%</t>
  </si>
  <si>
    <t>99.96%</t>
  </si>
  <si>
    <t>8.37%</t>
  </si>
  <si>
    <t>5.55%</t>
  </si>
  <si>
    <t>351-2025-12-31</t>
  </si>
  <si>
    <t>352-2025-12-31</t>
  </si>
  <si>
    <t>18.42%</t>
  </si>
  <si>
    <t>55.38%</t>
  </si>
  <si>
    <t>59.81%</t>
  </si>
  <si>
    <t>56.95%</t>
  </si>
  <si>
    <t>3.73%</t>
  </si>
  <si>
    <t>2.19%</t>
  </si>
  <si>
    <t>357-2025-12-31</t>
  </si>
  <si>
    <t>89.95%</t>
  </si>
  <si>
    <t>196.0%</t>
  </si>
  <si>
    <t>199.07%</t>
  </si>
  <si>
    <t>199.33%</t>
  </si>
  <si>
    <t>54311.5%</t>
  </si>
  <si>
    <t>15897.0%</t>
  </si>
  <si>
    <t>18045.54%</t>
  </si>
  <si>
    <t>94.25%</t>
  </si>
  <si>
    <t>174.0%</t>
  </si>
  <si>
    <t>132.3%</t>
  </si>
  <si>
    <t>197.15%</t>
  </si>
  <si>
    <t>4759426071.0%</t>
  </si>
  <si>
    <t>797172533.03%</t>
  </si>
  <si>
    <t>1486717486.5%</t>
  </si>
  <si>
    <t>78.56%</t>
  </si>
  <si>
    <t>91.75%</t>
  </si>
  <si>
    <t>98.62%</t>
  </si>
  <si>
    <t>73.86%</t>
  </si>
  <si>
    <t>8032.0%</t>
  </si>
  <si>
    <t>12070.0%</t>
  </si>
  <si>
    <t>17434.86%</t>
  </si>
  <si>
    <t>19786.51%</t>
  </si>
  <si>
    <t>20573.53%</t>
  </si>
  <si>
    <t>22085.07%</t>
  </si>
  <si>
    <t>117.69%</t>
  </si>
  <si>
    <t>9859.46%</t>
  </si>
  <si>
    <t>4607.0%</t>
  </si>
  <si>
    <t>2284.2%</t>
  </si>
  <si>
    <t>1140.24%</t>
  </si>
  <si>
    <t>95.58%</t>
  </si>
  <si>
    <t>84.33%</t>
  </si>
  <si>
    <t>16.42%</t>
  </si>
  <si>
    <t>10000.0%</t>
  </si>
  <si>
    <t>10345.5%</t>
  </si>
  <si>
    <t>11003.0%</t>
  </si>
  <si>
    <t>11595.5%</t>
  </si>
  <si>
    <t>12132.5%</t>
  </si>
  <si>
    <t>11778.0%</t>
  </si>
  <si>
    <t>103.26%</t>
  </si>
  <si>
    <t>24692.06%</t>
  </si>
  <si>
    <t>25547.32%</t>
  </si>
  <si>
    <t>14848.13%</t>
  </si>
  <si>
    <t>14264.28%</t>
  </si>
  <si>
    <t>1206.0%</t>
  </si>
  <si>
    <t>1226.0%</t>
  </si>
  <si>
    <t>1298.0%</t>
  </si>
  <si>
    <t>1291.5%</t>
  </si>
  <si>
    <t>105.94%</t>
  </si>
  <si>
    <t>7643.0%</t>
  </si>
  <si>
    <t>7733.5%</t>
  </si>
  <si>
    <t>8366.5%</t>
  </si>
  <si>
    <t>8538.0%</t>
  </si>
  <si>
    <t>9220.0%</t>
  </si>
  <si>
    <t>8821.0%</t>
  </si>
  <si>
    <t>98.53%</t>
  </si>
  <si>
    <t>884.0%</t>
  </si>
  <si>
    <t>1092.0%</t>
  </si>
  <si>
    <t>1087.5%</t>
  </si>
  <si>
    <t>1352.0%</t>
  </si>
  <si>
    <t>1315.5%</t>
  </si>
  <si>
    <t>1411.5%</t>
  </si>
  <si>
    <t>132.42%</t>
  </si>
  <si>
    <t>267.0%</t>
  </si>
  <si>
    <t>243.5%</t>
  </si>
  <si>
    <t>250.5%</t>
  </si>
  <si>
    <t>305.5%</t>
  </si>
  <si>
    <t>289.5%</t>
  </si>
  <si>
    <t>102.08%</t>
  </si>
  <si>
    <t>6680.5%</t>
  </si>
  <si>
    <t>7366.17%</t>
  </si>
  <si>
    <t>9706.46%</t>
  </si>
  <si>
    <t>11585.47%</t>
  </si>
  <si>
    <t>10474.48%</t>
  </si>
  <si>
    <t>9713.0%</t>
  </si>
  <si>
    <t>113.91%</t>
  </si>
  <si>
    <t>13733.39%</t>
  </si>
  <si>
    <t>225.46%</t>
  </si>
  <si>
    <t>Total Ingresos B2B</t>
  </si>
  <si>
    <t>386.1-2022-12-31</t>
  </si>
  <si>
    <t>2120.96%</t>
  </si>
  <si>
    <t>2885.29%</t>
  </si>
  <si>
    <t>386.1-2025-12-31</t>
  </si>
  <si>
    <t>386.1-2026-01-01</t>
  </si>
  <si>
    <t>Total Ingresos B2G</t>
  </si>
  <si>
    <t>386.2-2022-12-31</t>
  </si>
  <si>
    <t>5193.05%</t>
  </si>
  <si>
    <t>3543.12%</t>
  </si>
  <si>
    <t>386.2-2025-12-31</t>
  </si>
  <si>
    <t>386.2-2026-01-01</t>
  </si>
  <si>
    <t>386.3-2022-12-31</t>
  </si>
  <si>
    <t>3160.47%</t>
  </si>
  <si>
    <t>3284.58%</t>
  </si>
  <si>
    <t>386.3-2025-12-31</t>
  </si>
  <si>
    <t>386.3-2026-01-01</t>
  </si>
  <si>
    <t>46.5%</t>
  </si>
  <si>
    <t>85.1%</t>
  </si>
  <si>
    <t>42.22%</t>
  </si>
  <si>
    <t>389-2025-12-31</t>
  </si>
  <si>
    <t>101.66%</t>
  </si>
  <si>
    <t>90.86%</t>
  </si>
  <si>
    <t>78.64%</t>
  </si>
  <si>
    <t>81.14%</t>
  </si>
  <si>
    <t>390.1-2024-12-31</t>
  </si>
  <si>
    <t>390.10</t>
  </si>
  <si>
    <t>390.10-2024-12-31</t>
  </si>
  <si>
    <t>84.79%</t>
  </si>
  <si>
    <t>390.11-2024-12-31</t>
  </si>
  <si>
    <t>86.13%</t>
  </si>
  <si>
    <t>390.12-2024-12-31</t>
  </si>
  <si>
    <t>83.16%</t>
  </si>
  <si>
    <t>390.2-2024-12-31</t>
  </si>
  <si>
    <t>83.91%</t>
  </si>
  <si>
    <t>390.3-2024-12-31</t>
  </si>
  <si>
    <t>82.44%</t>
  </si>
  <si>
    <t>89.16%</t>
  </si>
  <si>
    <t>390.4-2024-12-31</t>
  </si>
  <si>
    <t>75.69%</t>
  </si>
  <si>
    <t>73.39%</t>
  </si>
  <si>
    <t>390.5-2024-12-31</t>
  </si>
  <si>
    <t>77.16%</t>
  </si>
  <si>
    <t>390.6-2024-12-31</t>
  </si>
  <si>
    <t>80.19%</t>
  </si>
  <si>
    <t>390.7-2024-12-31</t>
  </si>
  <si>
    <t>84.83%</t>
  </si>
  <si>
    <t>84.38%</t>
  </si>
  <si>
    <t>390.8-2024-12-31</t>
  </si>
  <si>
    <t>80.71%</t>
  </si>
  <si>
    <t>83.84%</t>
  </si>
  <si>
    <t>390.9-2024-12-31</t>
  </si>
  <si>
    <t>365000000.0%</t>
  </si>
  <si>
    <t>708574118.5%</t>
  </si>
  <si>
    <t>170500050.0%</t>
  </si>
  <si>
    <t>167276269.69%</t>
  </si>
  <si>
    <t>547.0%</t>
  </si>
  <si>
    <t>776.5%</t>
  </si>
  <si>
    <t>153.95%</t>
  </si>
  <si>
    <t>17.5%</t>
  </si>
  <si>
    <t>116.5%</t>
  </si>
  <si>
    <t>210.13%</t>
  </si>
  <si>
    <t>91.48%</t>
  </si>
  <si>
    <t>95.7%</t>
  </si>
  <si>
    <t>2456.0%</t>
  </si>
  <si>
    <t>2739.0%</t>
  </si>
  <si>
    <t>164.11%</t>
  </si>
  <si>
    <t>667.0%</t>
  </si>
  <si>
    <t>104.53%</t>
  </si>
  <si>
    <t>88.58%</t>
  </si>
  <si>
    <t>88.75%</t>
  </si>
  <si>
    <t>147.0%</t>
  </si>
  <si>
    <t>125.07%</t>
  </si>
  <si>
    <t>8.5%</t>
  </si>
  <si>
    <t>1.66%</t>
  </si>
  <si>
    <t>5.93%</t>
  </si>
  <si>
    <t>37.5%</t>
  </si>
  <si>
    <t>380.0%</t>
  </si>
  <si>
    <t>390.1%</t>
  </si>
  <si>
    <t>409-2025-12-31</t>
  </si>
  <si>
    <t>99.97%</t>
  </si>
  <si>
    <t>74.69%</t>
  </si>
  <si>
    <t>85.5%</t>
  </si>
  <si>
    <t>88.88%</t>
  </si>
  <si>
    <t>414.1-2024-12-31</t>
  </si>
  <si>
    <t>71.2%</t>
  </si>
  <si>
    <t>414.2-2024-12-31</t>
  </si>
  <si>
    <t>414.3-2024-12-31</t>
  </si>
  <si>
    <t>91.38%</t>
  </si>
  <si>
    <t>414.4-2024-12-31</t>
  </si>
  <si>
    <t>70.5%</t>
  </si>
  <si>
    <t>414.5-2024-12-31</t>
  </si>
  <si>
    <t>82.25%</t>
  </si>
  <si>
    <t>414.6-2024-12-31</t>
  </si>
  <si>
    <t>71.27%</t>
  </si>
  <si>
    <t>414.7-2024-12-31</t>
  </si>
  <si>
    <t>80.3%</t>
  </si>
  <si>
    <t>414.8-2024-12-31</t>
  </si>
  <si>
    <t>414.9-2024-12-31</t>
  </si>
  <si>
    <t>66.57%</t>
  </si>
  <si>
    <t>80.25%</t>
  </si>
  <si>
    <t>68.3%</t>
  </si>
  <si>
    <t>415.1-2024-12-31</t>
  </si>
  <si>
    <t>415.1-2025-06-30</t>
  </si>
  <si>
    <t>415.10</t>
  </si>
  <si>
    <t>415.10-2024-12-31</t>
  </si>
  <si>
    <t>415.10-2025-06-30</t>
  </si>
  <si>
    <t>415.11-2024-12-31</t>
  </si>
  <si>
    <t>415.11-2025-06-30</t>
  </si>
  <si>
    <t>415.12-2024-12-31</t>
  </si>
  <si>
    <t>415.12-2025-06-30</t>
  </si>
  <si>
    <t>415.13-2024-12-31</t>
  </si>
  <si>
    <t>415.13-2025-06-30</t>
  </si>
  <si>
    <t>415.14-2024-12-31</t>
  </si>
  <si>
    <t>415.14-2025-06-30</t>
  </si>
  <si>
    <t>415.2-2024-12-31</t>
  </si>
  <si>
    <t>415.2-2025-06-30</t>
  </si>
  <si>
    <t>415.3-2024-12-31</t>
  </si>
  <si>
    <t>415.3-2025-06-30</t>
  </si>
  <si>
    <t>415.4-2024-12-31</t>
  </si>
  <si>
    <t>Plan anual Dirección nacional de registro y control</t>
  </si>
  <si>
    <t>415.4-2025-06-30</t>
  </si>
  <si>
    <t>76.5%</t>
  </si>
  <si>
    <t>415.5-2024-12-31</t>
  </si>
  <si>
    <t>415.5-2025-06-30</t>
  </si>
  <si>
    <t>415.6-2024-12-31</t>
  </si>
  <si>
    <t>415.6-2025-06-30</t>
  </si>
  <si>
    <t>415.7-2024-12-31</t>
  </si>
  <si>
    <t>415.7-2025-06-30</t>
  </si>
  <si>
    <t>415.8-2024-12-31</t>
  </si>
  <si>
    <t>415.9-2024-12-31</t>
  </si>
  <si>
    <t>415.9-2025-06-30</t>
  </si>
  <si>
    <t>93.97%</t>
  </si>
  <si>
    <t>84.85%</t>
  </si>
  <si>
    <t>81.5%</t>
  </si>
  <si>
    <t>416.1-2024-12-31</t>
  </si>
  <si>
    <t>Cumplimiento Plan Anual Gerencia de matricula</t>
  </si>
  <si>
    <t>416.1-2025-06-30</t>
  </si>
  <si>
    <t>416.2-2024-12-31</t>
  </si>
  <si>
    <t>Cumplimiento Plan Anual Gerencia de mercadeo</t>
  </si>
  <si>
    <t>416.2-2025-06-30</t>
  </si>
  <si>
    <t>416.3-2024-12-31</t>
  </si>
  <si>
    <t>Cumplimiento Plan Anual Gerencia de servicios corporativos</t>
  </si>
  <si>
    <t>416.3-2025-06-30</t>
  </si>
  <si>
    <t>416.4-2024-12-31</t>
  </si>
  <si>
    <t>Cumplimiento Plan Anual Director B2B y B2C</t>
  </si>
  <si>
    <t>416.4-2025-06-30</t>
  </si>
  <si>
    <t>416.5-2024-12-31</t>
  </si>
  <si>
    <t>Cumplimiento Plan Anual Dirección de desarrollo de mercados</t>
  </si>
  <si>
    <t>416.5-2025-06-30</t>
  </si>
  <si>
    <t>416.6-2024-12-31</t>
  </si>
  <si>
    <t>Cumplimiento Plan Anual Dirección de marca y desarrollo de canales</t>
  </si>
  <si>
    <t>416.6-2025-06-30</t>
  </si>
  <si>
    <t>77.25%</t>
  </si>
  <si>
    <t>95.44%</t>
  </si>
  <si>
    <t>99.61%</t>
  </si>
  <si>
    <t>77.83%</t>
  </si>
  <si>
    <t>417.1-2024-12-31</t>
  </si>
  <si>
    <t>417.1-2025-06-30</t>
  </si>
  <si>
    <t>69.84%</t>
  </si>
  <si>
    <t>417.2-2024-12-31</t>
  </si>
  <si>
    <t>417.2-2025-06-30</t>
  </si>
  <si>
    <t>83.88%</t>
  </si>
  <si>
    <t>417.3-2024-12-31</t>
  </si>
  <si>
    <t>417.3-2025-06-30</t>
  </si>
  <si>
    <t>71.59%</t>
  </si>
  <si>
    <t>417.4-2024-12-31</t>
  </si>
  <si>
    <t>417.4-2025-06-30</t>
  </si>
  <si>
    <t>417.5-2024-12-31</t>
  </si>
  <si>
    <t>417.5-2025-06-30</t>
  </si>
  <si>
    <t>417.6-2024-12-31</t>
  </si>
  <si>
    <t>417.6-2025-06-30</t>
  </si>
  <si>
    <t>75.87%</t>
  </si>
  <si>
    <t>71.5%</t>
  </si>
  <si>
    <t>418.1-2024-12-31</t>
  </si>
  <si>
    <t>418.1-2025-06-30</t>
  </si>
  <si>
    <t>69.5%</t>
  </si>
  <si>
    <t>53.12%</t>
  </si>
  <si>
    <t>418.2-2024-12-31</t>
  </si>
  <si>
    <t>418.2-2025-06-30</t>
  </si>
  <si>
    <t>76.97%</t>
  </si>
  <si>
    <t>418.3-2024-12-31</t>
  </si>
  <si>
    <t>418.3-2025-06-30</t>
  </si>
  <si>
    <t>418.4-2024-12-31</t>
  </si>
  <si>
    <t>418.4-2025-06-30</t>
  </si>
  <si>
    <t>418.5-2024-12-31</t>
  </si>
  <si>
    <t>418.6-2024-12-31</t>
  </si>
  <si>
    <t>418.6-2025-06-30</t>
  </si>
  <si>
    <t>418.7-2024-12-31</t>
  </si>
  <si>
    <t>418.7-2025-06-30</t>
  </si>
  <si>
    <t>81.87%</t>
  </si>
  <si>
    <t>418.8-2024-12-31</t>
  </si>
  <si>
    <t>418.8-2025-06-30</t>
  </si>
  <si>
    <t>418.9-2024-12-31</t>
  </si>
  <si>
    <t>418.9-2025-06-30</t>
  </si>
  <si>
    <t>96.74%</t>
  </si>
  <si>
    <t>102.52%</t>
  </si>
  <si>
    <t>64.02%</t>
  </si>
  <si>
    <t>75.4%</t>
  </si>
  <si>
    <t>73.73%</t>
  </si>
  <si>
    <t>420.1-2024-12-31</t>
  </si>
  <si>
    <t>420.1-2025-06-30</t>
  </si>
  <si>
    <t>65.93%</t>
  </si>
  <si>
    <t>420.2-2024-12-31</t>
  </si>
  <si>
    <t>420.2-2025-06-30</t>
  </si>
  <si>
    <t>57.53%</t>
  </si>
  <si>
    <t>58.65%</t>
  </si>
  <si>
    <t>420.3-2024-12-31</t>
  </si>
  <si>
    <t>420.3-2025-06-30</t>
  </si>
  <si>
    <t>78.91%</t>
  </si>
  <si>
    <t>420.4-2024-12-31</t>
  </si>
  <si>
    <t>420.4-2025-06-30</t>
  </si>
  <si>
    <t>69.69%</t>
  </si>
  <si>
    <t>70.58%</t>
  </si>
  <si>
    <t>420.5-2024-12-31</t>
  </si>
  <si>
    <t>420.5-2025-06-30</t>
  </si>
  <si>
    <t>420.6-2024-12-31</t>
  </si>
  <si>
    <t>420.6-2025-06-30</t>
  </si>
  <si>
    <t>100636.0%</t>
  </si>
  <si>
    <t>138100.5%</t>
  </si>
  <si>
    <t>73571.5%</t>
  </si>
  <si>
    <t>88930.72%</t>
  </si>
  <si>
    <t>11.1%</t>
  </si>
  <si>
    <t>8.63%</t>
  </si>
  <si>
    <t>7.75%</t>
  </si>
  <si>
    <t>8.04%</t>
  </si>
  <si>
    <t>112.69%</t>
  </si>
  <si>
    <t>89.65%</t>
  </si>
  <si>
    <t>77.06%</t>
  </si>
  <si>
    <t>36.22%</t>
  </si>
  <si>
    <t>35.11%</t>
  </si>
  <si>
    <t>1.52%</t>
  </si>
  <si>
    <t>1.06%</t>
  </si>
  <si>
    <t>1.33%</t>
  </si>
  <si>
    <t>206.0%</t>
  </si>
  <si>
    <t>204.82%</t>
  </si>
  <si>
    <t>222.55%</t>
  </si>
  <si>
    <t>0.19%</t>
  </si>
  <si>
    <t>2400.0%</t>
  </si>
  <si>
    <t>9798.09%</t>
  </si>
  <si>
    <t>2200.0%</t>
  </si>
  <si>
    <t>7673.83%</t>
  </si>
  <si>
    <t>17.75%</t>
  </si>
  <si>
    <t>-635.99%</t>
  </si>
  <si>
    <t>168.0%</t>
  </si>
  <si>
    <t>132.77%</t>
  </si>
  <si>
    <t>154.0%</t>
  </si>
  <si>
    <t>114.6%</t>
  </si>
  <si>
    <t>436-2026-12-31</t>
  </si>
  <si>
    <t>198.97%</t>
  </si>
  <si>
    <t>199.51%</t>
  </si>
  <si>
    <t>95.47%</t>
  </si>
  <si>
    <t>112.5%</t>
  </si>
  <si>
    <t>161.66%</t>
  </si>
  <si>
    <t>70.85%</t>
  </si>
  <si>
    <t>23.6%</t>
  </si>
  <si>
    <t>15.77%</t>
  </si>
  <si>
    <t>14.12%</t>
  </si>
  <si>
    <t>49.49%</t>
  </si>
  <si>
    <t>63.33%</t>
  </si>
  <si>
    <t>78.63%</t>
  </si>
  <si>
    <t>450-2024-12-31</t>
  </si>
  <si>
    <t>38.8%</t>
  </si>
  <si>
    <t>125.15%</t>
  </si>
  <si>
    <t>18.75%</t>
  </si>
  <si>
    <t>49.75%</t>
  </si>
  <si>
    <t>82.67%</t>
  </si>
  <si>
    <t>458-2024-12-31</t>
  </si>
  <si>
    <t>139.13%</t>
  </si>
  <si>
    <t>97.5%</t>
  </si>
  <si>
    <t>57.34%</t>
  </si>
  <si>
    <t>56.7%</t>
  </si>
  <si>
    <t>72.92%</t>
  </si>
  <si>
    <t>108.75%</t>
  </si>
  <si>
    <t>2.73%</t>
  </si>
  <si>
    <t>2.25%</t>
  </si>
  <si>
    <t>101.06%</t>
  </si>
  <si>
    <t>469.0</t>
  </si>
  <si>
    <t>469.1-2024-12-31</t>
  </si>
  <si>
    <t>469.10</t>
  </si>
  <si>
    <t>469.10-2024-12-31</t>
  </si>
  <si>
    <t>469.10-2025-06-30</t>
  </si>
  <si>
    <t>66.66%</t>
  </si>
  <si>
    <t>469.2-2024-12-31</t>
  </si>
  <si>
    <t>469.2-2025-06-30</t>
  </si>
  <si>
    <t>469.3-2024-12-31</t>
  </si>
  <si>
    <t>469.3-2025-06-30</t>
  </si>
  <si>
    <t>469.4-2024-12-31</t>
  </si>
  <si>
    <t>469.4-2025-06-30</t>
  </si>
  <si>
    <t>469.5-2024-12-31</t>
  </si>
  <si>
    <t>469.5-2025-06-30</t>
  </si>
  <si>
    <t>469.6-2024-12-31</t>
  </si>
  <si>
    <t>469.6-2025-06-30</t>
  </si>
  <si>
    <t>469.7-2024-12-31</t>
  </si>
  <si>
    <t>469.7-2025-06-30</t>
  </si>
  <si>
    <t>469.8-2024-12-31</t>
  </si>
  <si>
    <t>469.8-2025-06-30</t>
  </si>
  <si>
    <t>84.2%</t>
  </si>
  <si>
    <t>469.9-2024-12-31</t>
  </si>
  <si>
    <t>469.9-2025-06-30</t>
  </si>
  <si>
    <t>75.64%</t>
  </si>
  <si>
    <t>470.1-2024-12-31</t>
  </si>
  <si>
    <t>470.1-2025-06-30</t>
  </si>
  <si>
    <t>470.2-2024-12-31</t>
  </si>
  <si>
    <t>470.2-2025-06-30</t>
  </si>
  <si>
    <t>470.3-2024-12-31</t>
  </si>
  <si>
    <t>470.3-2025-06-30</t>
  </si>
  <si>
    <t>470.4-2024-12-31</t>
  </si>
  <si>
    <t>470.4-2025-06-30</t>
  </si>
  <si>
    <t>470.5-2024-12-31</t>
  </si>
  <si>
    <t>470.5-2025-06-30</t>
  </si>
  <si>
    <t>76.28%</t>
  </si>
  <si>
    <t>471.1</t>
  </si>
  <si>
    <t>Cumplimiento plan anual Dirección de bienestar y relaciones laborales</t>
  </si>
  <si>
    <t>471.1-2024-12-31</t>
  </si>
  <si>
    <t>471.1-2025-06-30</t>
  </si>
  <si>
    <t>471.2</t>
  </si>
  <si>
    <t>Cumplimiento plan anual Dirección de formacion y desarrollo</t>
  </si>
  <si>
    <t>471.2-2024-12-31</t>
  </si>
  <si>
    <t>471.2-2025-06-30</t>
  </si>
  <si>
    <t>471.3</t>
  </si>
  <si>
    <t>Cumplimiento plan anual Dirección de comunicaciones externas Sed Medellín</t>
  </si>
  <si>
    <t>471.3-2024-12-31</t>
  </si>
  <si>
    <t>471.3-2025-06-30</t>
  </si>
  <si>
    <t>471.4</t>
  </si>
  <si>
    <t>Cumplimiento plan anual Direccción de comunicaciones</t>
  </si>
  <si>
    <t>471.4-2024-12-31</t>
  </si>
  <si>
    <t>471.4-2025-06-30</t>
  </si>
  <si>
    <t>471.5</t>
  </si>
  <si>
    <t>Cumplimiento plan anual Dirección de admón laboral y compensación</t>
  </si>
  <si>
    <t>471.5-2024-12-31</t>
  </si>
  <si>
    <t>471.5-2025-06-30</t>
  </si>
  <si>
    <t>471.6</t>
  </si>
  <si>
    <t>Cumplimiento plan anual Dirección de Gestión de talento</t>
  </si>
  <si>
    <t>471.6-2024-12-31</t>
  </si>
  <si>
    <t>471.6-2025-06-30</t>
  </si>
  <si>
    <t>471.7</t>
  </si>
  <si>
    <t>Cumplimiento plan anual Dirección de relaciones publicas y protocolo</t>
  </si>
  <si>
    <t>471.7-2024-12-31</t>
  </si>
  <si>
    <t>471.7-2025-06-30</t>
  </si>
  <si>
    <t>91.05%</t>
  </si>
  <si>
    <t>16.5%</t>
  </si>
  <si>
    <t>474-2025-12-31</t>
  </si>
  <si>
    <t>478-2025-12-31</t>
  </si>
  <si>
    <t>479-2025-12-31</t>
  </si>
  <si>
    <t>480-2025-12-31</t>
  </si>
  <si>
    <t>880.0%</t>
  </si>
  <si>
    <t>769.05%</t>
  </si>
  <si>
    <t>3800000.0%</t>
  </si>
  <si>
    <t>486-2025-12-31</t>
  </si>
  <si>
    <t>935.0%</t>
  </si>
  <si>
    <t>762.31%</t>
  </si>
  <si>
    <t>488-2026-12-31</t>
  </si>
  <si>
    <t>95.42%</t>
  </si>
  <si>
    <t>98.88%</t>
  </si>
  <si>
    <t>96.9%</t>
  </si>
  <si>
    <t>171.12%</t>
  </si>
  <si>
    <t>513-2025-12-31</t>
  </si>
  <si>
    <t>68.89%</t>
  </si>
  <si>
    <t>104.44%</t>
  </si>
  <si>
    <t>98.5%</t>
  </si>
  <si>
    <t>102.78%</t>
  </si>
  <si>
    <t>281.29%</t>
  </si>
  <si>
    <t>221.56%</t>
  </si>
  <si>
    <t>243.41%</t>
  </si>
  <si>
    <t>205.45%</t>
  </si>
  <si>
    <t>525.2</t>
  </si>
  <si>
    <t xml:space="preserve">Total Ingresos B2G </t>
  </si>
  <si>
    <t>525.2-2025-06-30</t>
  </si>
  <si>
    <t>526-2025-12-31</t>
  </si>
  <si>
    <t>529-2025-12-31</t>
  </si>
  <si>
    <t>267.93%</t>
  </si>
  <si>
    <t>302.84%</t>
  </si>
  <si>
    <t>268.62%</t>
  </si>
  <si>
    <t>342.3%</t>
  </si>
  <si>
    <t>370.08%</t>
  </si>
  <si>
    <t>61.6%</t>
  </si>
  <si>
    <t>97.62%</t>
  </si>
  <si>
    <t>543-2025-12-31</t>
  </si>
  <si>
    <t>206.25%</t>
  </si>
  <si>
    <t>95.25%</t>
  </si>
  <si>
    <t>552-2025-12-31</t>
  </si>
  <si>
    <t>45.78%</t>
  </si>
  <si>
    <t>95.57%</t>
  </si>
  <si>
    <t>91.57%</t>
  </si>
  <si>
    <t>68-2025-12-31</t>
  </si>
  <si>
    <t>91.2%</t>
  </si>
  <si>
    <t>91.02%</t>
  </si>
  <si>
    <t>77.67%</t>
  </si>
  <si>
    <t>68.44%</t>
  </si>
  <si>
    <t>91.25%</t>
  </si>
  <si>
    <t>18.5%</t>
  </si>
  <si>
    <t>97.63%</t>
  </si>
  <si>
    <t>97.43%</t>
  </si>
  <si>
    <t>77-2026-12-31</t>
  </si>
  <si>
    <t>98.86%</t>
  </si>
  <si>
    <t>65.17%</t>
  </si>
  <si>
    <t>64.11%</t>
  </si>
  <si>
    <t>57.44%</t>
  </si>
  <si>
    <t>9-2024-12-31</t>
  </si>
  <si>
    <t>91.83%</t>
  </si>
  <si>
    <t>70.25%</t>
  </si>
  <si>
    <t>71.17%</t>
  </si>
  <si>
    <t>38.75%</t>
  </si>
  <si>
    <t>66.17%</t>
  </si>
  <si>
    <t>71.08%</t>
  </si>
  <si>
    <t>71.67%</t>
  </si>
  <si>
    <t>63.17%</t>
  </si>
  <si>
    <t>54.62%</t>
  </si>
  <si>
    <t>59.88%</t>
  </si>
  <si>
    <t>70.14%</t>
  </si>
  <si>
    <t>68.86%</t>
  </si>
  <si>
    <t>352.5%</t>
  </si>
  <si>
    <t>207.5%</t>
  </si>
  <si>
    <t>96-2025-12-31</t>
  </si>
  <si>
    <t>3828.5%</t>
  </si>
  <si>
    <t>3738.5%</t>
  </si>
  <si>
    <t>Med 1-2024-12-31</t>
  </si>
  <si>
    <t>Med 1-2025-12-31</t>
  </si>
  <si>
    <t>777.5%</t>
  </si>
  <si>
    <t>774.0%</t>
  </si>
  <si>
    <t>Med 1.1-2024-12-31</t>
  </si>
  <si>
    <t>22.5%</t>
  </si>
  <si>
    <t>Med 1.2-2024-12-31</t>
  </si>
  <si>
    <t>794.5%</t>
  </si>
  <si>
    <t>Med 1.3-2024-12-31</t>
  </si>
  <si>
    <t>Med 1.3-2025-12-31</t>
  </si>
  <si>
    <t>3021.5%</t>
  </si>
  <si>
    <t>2926.0%</t>
  </si>
  <si>
    <t>Med 1.4-2024-12-31</t>
  </si>
  <si>
    <t>Med 1.4-2025-12-31</t>
  </si>
  <si>
    <t>3732408417.5%</t>
  </si>
  <si>
    <t>3399852215.0%</t>
  </si>
  <si>
    <t>Med 10-2024-12-31</t>
  </si>
  <si>
    <t>Med 10-2025-12-31</t>
  </si>
  <si>
    <t>155048038.5%</t>
  </si>
  <si>
    <t>153409733.5%</t>
  </si>
  <si>
    <t>Med 11-2024-12-31</t>
  </si>
  <si>
    <t>Med 11-2025-12-31</t>
  </si>
  <si>
    <t>Med 12-2023-12-31</t>
  </si>
  <si>
    <t>Med 15-2024-12-31</t>
  </si>
  <si>
    <t>Med 15-2025-12-31</t>
  </si>
  <si>
    <t>63.05%</t>
  </si>
  <si>
    <t>3783.0%</t>
  </si>
  <si>
    <t>3692.5%</t>
  </si>
  <si>
    <t>2377.0%</t>
  </si>
  <si>
    <t>2501.0%</t>
  </si>
  <si>
    <t>7828.5%</t>
  </si>
  <si>
    <t>7386.0%</t>
  </si>
  <si>
    <t>153.5%</t>
  </si>
  <si>
    <t>1607.0%</t>
  </si>
  <si>
    <t>1718.0%</t>
  </si>
  <si>
    <t>322.0%</t>
  </si>
  <si>
    <t>210.5%</t>
  </si>
  <si>
    <t>8150.5%</t>
  </si>
  <si>
    <t>7596.5%</t>
  </si>
  <si>
    <t>518654845.5%</t>
  </si>
  <si>
    <t>347847286.0%</t>
  </si>
  <si>
    <t>Med 6-2024-12-31</t>
  </si>
  <si>
    <t>44.77%</t>
  </si>
  <si>
    <t>Med 7-2024-12-31</t>
  </si>
  <si>
    <t>89.2%</t>
  </si>
  <si>
    <t>Med 8-2024-12-31</t>
  </si>
  <si>
    <t>Med 9-2024-12-31</t>
  </si>
  <si>
    <t>Prov-1</t>
  </si>
  <si>
    <t xml:space="preserve">Valor académico agregado </t>
  </si>
  <si>
    <t>Prov-1-2026-01-01</t>
  </si>
  <si>
    <t>Prov-10</t>
  </si>
  <si>
    <t>Diseño del Gobierno de IT</t>
  </si>
  <si>
    <t>Prov-10-2024-12-31</t>
  </si>
  <si>
    <t>Prov-11</t>
  </si>
  <si>
    <t>Arquitectura de Microservicios</t>
  </si>
  <si>
    <t>Prov-11-2024-12-31</t>
  </si>
  <si>
    <t>Prov-12</t>
  </si>
  <si>
    <t>Smart Assistant</t>
  </si>
  <si>
    <t>Prov-12-2024-12-31</t>
  </si>
  <si>
    <t>Prov-13</t>
  </si>
  <si>
    <t>Optimización de procesos del ciclo de vida del estudiante</t>
  </si>
  <si>
    <t>Prov-13-2024-12-31</t>
  </si>
  <si>
    <t>Prov-14</t>
  </si>
  <si>
    <t xml:space="preserve">Cumplimiento proyecto creación del centro de excelencia analítica </t>
  </si>
  <si>
    <t>Prov-14-2024-12-31</t>
  </si>
  <si>
    <t>Prov-15</t>
  </si>
  <si>
    <t>Indice de madurez analítica institucional y  por proceso 2</t>
  </si>
  <si>
    <t>Prov-15-2024-12-31</t>
  </si>
  <si>
    <t>Prov-16</t>
  </si>
  <si>
    <t>Desempeño de Modelos (Machine Learning - IA)</t>
  </si>
  <si>
    <t>Prov-16-2024-12-31</t>
  </si>
  <si>
    <t>Prov-2</t>
  </si>
  <si>
    <t>Aporte relativo</t>
  </si>
  <si>
    <t>Prov-2-2026-01-01</t>
  </si>
  <si>
    <t>Prov-3</t>
  </si>
  <si>
    <t>N° Programas con nuevo modelo evaluativo implementado</t>
  </si>
  <si>
    <t>Prov-3-2024-12-31</t>
  </si>
  <si>
    <t>Prov-5</t>
  </si>
  <si>
    <t>Número de cursos  con microcertificación</t>
  </si>
  <si>
    <t>Prov-5-2024-12-31</t>
  </si>
  <si>
    <t>Prov-7</t>
  </si>
  <si>
    <t>Número de estudiantes matriculados  IEDTH</t>
  </si>
  <si>
    <t>Prov-7-2024-12-31</t>
  </si>
  <si>
    <t>Prov-8</t>
  </si>
  <si>
    <t>Índice de Permanencia Docente (NPS)</t>
  </si>
  <si>
    <t>Prov-8-2024-12-31</t>
  </si>
  <si>
    <t>Prov-9</t>
  </si>
  <si>
    <t>Índice de Permanencia Administrativos (NPS)</t>
  </si>
  <si>
    <t>Prov-9-2024-12-31</t>
  </si>
  <si>
    <t>Unidad</t>
  </si>
  <si>
    <t>Tipo_Agregacion</t>
  </si>
  <si>
    <t>Tope</t>
  </si>
  <si>
    <t>AVG</t>
  </si>
  <si>
    <t>LAST</t>
  </si>
  <si>
    <t>Nivel de Satisfacción Servicios Prestados- Investigación, desarrollo tecnológico, innovación y creación</t>
  </si>
  <si>
    <t>SUM</t>
  </si>
  <si>
    <t>527</t>
  </si>
  <si>
    <t>Participación de Grupos de Interés en la construcción del nuevo plan de desarrollo (PDI)</t>
  </si>
  <si>
    <t>530</t>
  </si>
  <si>
    <t>Índice de Cumplimiento del Sprint</t>
  </si>
  <si>
    <t>531</t>
  </si>
  <si>
    <t>Eficiencia de capacidad instalada</t>
  </si>
  <si>
    <t>555</t>
  </si>
  <si>
    <t>Nivel de Satisfacción Servicios Prestados -Mercadeo y venta de educación para la 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</si>
</sst>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$&quot;\ * #,##0.00_-;\-&quot;$&quot;\ * #,##0.00_-;_-&quot;$&quot;\ * &quot;-&quot;??_-;_-@_-"/>
    <numFmt numFmtId="167" formatCode="0.000"/>
    <numFmt numFmtId="172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7">
    <xf numFmtId="0" fontId="0" fillId="0" borderId="0" xfId="0"/>
    <xf numFmtId="4" fontId="0" fillId="0" borderId="0" xfId="0" applyNumberFormat="1"/>
    <xf numFmtId="9" fontId="0" fillId="0" borderId="0" xfId="0" applyNumberFormat="1"/>
    <xf numFmtId="10" fontId="0" fillId="0" borderId="0" xfId="0" applyNumberFormat="1"/>
    <xf numFmtId="167" fontId="0" fillId="0" borderId="0" xfId="0" applyNumberFormat="1"/>
    <xf numFmtId="0" fontId="3" fillId="0" borderId="1" xfId="0" applyFont="1" applyBorder="1" applyAlignment="1">
      <alignment horizontal="center" vertical="top"/>
    </xf>
    <xf numFmtId="172" fontId="0" fillId="0" borderId="0" xfId="0" applyNumberFormat="1"/>
  </cellXfs>
  <cellStyles count="3">
    <cellStyle name="Moneda 2" xfId="1" xr:uid="{00000000-0005-0000-0000-000003000000}"/>
    <cellStyle name="Normal" xfId="0" builtinId="0"/>
    <cellStyle name="Normal 2" xfId="2" xr:uid="{00000000-0005-0000-0000-000005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44"/>
  <sheetViews>
    <sheetView workbookViewId="0">
      <selection activeCell="G1" sqref="G1"/>
    </sheetView>
  </sheetViews>
  <sheetFormatPr baseColWidth="10" defaultRowHeight="14.4" x14ac:dyDescent="0.3"/>
  <sheetData>
    <row r="1" spans="1:9" x14ac:dyDescent="0.3">
      <c r="A1" t="s">
        <v>0</v>
      </c>
      <c r="B1">
        <v>347</v>
      </c>
    </row>
    <row r="2" spans="1:9" x14ac:dyDescent="0.3">
      <c r="A2" t="s">
        <v>1</v>
      </c>
      <c r="B2" t="s">
        <v>2</v>
      </c>
      <c r="D2" s="1" t="s">
        <v>3</v>
      </c>
    </row>
    <row r="3" spans="1:9" x14ac:dyDescent="0.3">
      <c r="A3">
        <v>0</v>
      </c>
      <c r="B3">
        <v>0</v>
      </c>
      <c r="C3">
        <v>0</v>
      </c>
      <c r="D3" s="2">
        <v>1</v>
      </c>
    </row>
    <row r="4" spans="1:9" x14ac:dyDescent="0.3">
      <c r="A4">
        <v>5</v>
      </c>
      <c r="B4">
        <v>10</v>
      </c>
      <c r="C4">
        <v>20</v>
      </c>
      <c r="D4" s="2">
        <v>0.9</v>
      </c>
      <c r="E4">
        <v>12.5</v>
      </c>
      <c r="F4">
        <v>13</v>
      </c>
      <c r="G4" s="3">
        <v>0.875</v>
      </c>
      <c r="H4">
        <v>87</v>
      </c>
      <c r="I4">
        <v>25</v>
      </c>
    </row>
    <row r="5" spans="1:9" x14ac:dyDescent="0.3">
      <c r="A5">
        <v>10</v>
      </c>
      <c r="B5">
        <v>20</v>
      </c>
      <c r="C5">
        <v>40</v>
      </c>
      <c r="D5" s="2">
        <v>0.8</v>
      </c>
      <c r="E5">
        <v>15</v>
      </c>
      <c r="F5" s="2">
        <v>0.85</v>
      </c>
      <c r="H5" s="2">
        <v>0.85</v>
      </c>
      <c r="I5">
        <v>30</v>
      </c>
    </row>
    <row r="6" spans="1:9" x14ac:dyDescent="0.3">
      <c r="A6">
        <v>12</v>
      </c>
      <c r="B6">
        <v>24</v>
      </c>
      <c r="C6">
        <v>48</v>
      </c>
      <c r="D6" s="2">
        <v>0.7</v>
      </c>
    </row>
    <row r="7" spans="1:9" x14ac:dyDescent="0.3">
      <c r="A7">
        <v>15</v>
      </c>
      <c r="B7">
        <v>30</v>
      </c>
      <c r="C7">
        <v>60</v>
      </c>
      <c r="D7" s="2" t="s">
        <v>4</v>
      </c>
    </row>
    <row r="11" spans="1:9" x14ac:dyDescent="0.3">
      <c r="A11" t="s">
        <v>0</v>
      </c>
      <c r="B11">
        <v>351</v>
      </c>
    </row>
    <row r="12" spans="1:9" x14ac:dyDescent="0.3">
      <c r="A12" t="s">
        <v>1</v>
      </c>
      <c r="B12" t="s">
        <v>2</v>
      </c>
      <c r="D12" s="1" t="s">
        <v>3</v>
      </c>
    </row>
    <row r="13" spans="1:9" x14ac:dyDescent="0.3">
      <c r="A13">
        <v>5</v>
      </c>
      <c r="B13">
        <v>0</v>
      </c>
      <c r="C13">
        <v>0</v>
      </c>
      <c r="D13" s="2">
        <v>1</v>
      </c>
      <c r="E13">
        <f>(2.5/2)+10</f>
        <v>11.25</v>
      </c>
    </row>
    <row r="14" spans="1:9" x14ac:dyDescent="0.3">
      <c r="A14">
        <v>10</v>
      </c>
      <c r="B14">
        <v>6</v>
      </c>
      <c r="C14">
        <v>12</v>
      </c>
      <c r="D14" s="2">
        <v>0.9</v>
      </c>
      <c r="E14">
        <v>12.5</v>
      </c>
      <c r="F14" s="2">
        <v>0.85</v>
      </c>
      <c r="G14" s="3"/>
    </row>
    <row r="15" spans="1:9" x14ac:dyDescent="0.3">
      <c r="A15">
        <v>15</v>
      </c>
      <c r="B15">
        <v>10</v>
      </c>
      <c r="D15" s="2">
        <v>0.8</v>
      </c>
      <c r="F15" s="2"/>
      <c r="H15" s="2"/>
    </row>
    <row r="16" spans="1:9" x14ac:dyDescent="0.3">
      <c r="A16">
        <v>20</v>
      </c>
      <c r="B16">
        <v>16</v>
      </c>
      <c r="C16">
        <v>32</v>
      </c>
      <c r="D16" s="2">
        <v>0.7</v>
      </c>
    </row>
    <row r="17" spans="1:4" x14ac:dyDescent="0.3">
      <c r="A17">
        <v>25</v>
      </c>
      <c r="B17">
        <v>30</v>
      </c>
      <c r="C17">
        <v>60</v>
      </c>
      <c r="D17" s="2" t="s">
        <v>4</v>
      </c>
    </row>
    <row r="19" spans="1:4" x14ac:dyDescent="0.3">
      <c r="A19">
        <v>0</v>
      </c>
      <c r="B19" s="2">
        <v>1.05</v>
      </c>
    </row>
    <row r="20" spans="1:4" x14ac:dyDescent="0.3">
      <c r="A20">
        <v>2.5</v>
      </c>
      <c r="B20" s="3">
        <v>1.0249999999999999</v>
      </c>
    </row>
    <row r="21" spans="1:4" x14ac:dyDescent="0.3">
      <c r="A21">
        <f>+A20+1.25</f>
        <v>3.75</v>
      </c>
    </row>
    <row r="23" spans="1:4" x14ac:dyDescent="0.3">
      <c r="A23">
        <f>A14-7.5</f>
        <v>2.5</v>
      </c>
      <c r="B23">
        <f>A13+A23+1.25</f>
        <v>8.75</v>
      </c>
    </row>
    <row r="28" spans="1:4" x14ac:dyDescent="0.3">
      <c r="A28" t="s">
        <v>0</v>
      </c>
      <c r="B28">
        <v>351</v>
      </c>
    </row>
    <row r="29" spans="1:4" x14ac:dyDescent="0.3">
      <c r="A29" t="s">
        <v>1</v>
      </c>
      <c r="B29" s="1" t="s">
        <v>3</v>
      </c>
    </row>
    <row r="30" spans="1:4" x14ac:dyDescent="0.3">
      <c r="A30">
        <v>0</v>
      </c>
      <c r="B30" s="3">
        <v>1.3</v>
      </c>
    </row>
    <row r="31" spans="1:4" x14ac:dyDescent="0.3">
      <c r="A31">
        <v>5</v>
      </c>
      <c r="B31" s="3">
        <v>1</v>
      </c>
    </row>
    <row r="32" spans="1:4" x14ac:dyDescent="0.3">
      <c r="A32">
        <v>10</v>
      </c>
      <c r="B32" s="3">
        <v>0.9</v>
      </c>
    </row>
    <row r="33" spans="1:2" x14ac:dyDescent="0.3">
      <c r="A33">
        <v>15</v>
      </c>
      <c r="B33" s="3">
        <v>0.8</v>
      </c>
    </row>
    <row r="37" spans="1:2" x14ac:dyDescent="0.3">
      <c r="A37" t="s">
        <v>0</v>
      </c>
      <c r="B37">
        <v>352</v>
      </c>
    </row>
    <row r="38" spans="1:2" x14ac:dyDescent="0.3">
      <c r="A38" t="s">
        <v>5</v>
      </c>
      <c r="B38" t="s">
        <v>6</v>
      </c>
    </row>
    <row r="39" spans="1:2" x14ac:dyDescent="0.3">
      <c r="A39">
        <v>0</v>
      </c>
      <c r="B39" s="2">
        <v>1</v>
      </c>
    </row>
    <row r="40" spans="1:2" x14ac:dyDescent="0.3">
      <c r="A40" s="4">
        <f>+A42/2</f>
        <v>4.3749999999999997E-2</v>
      </c>
      <c r="B40" s="2">
        <v>0.97</v>
      </c>
    </row>
    <row r="41" spans="1:2" x14ac:dyDescent="0.3">
      <c r="A41" s="4">
        <v>6.5624999999999989E-2</v>
      </c>
      <c r="B41" s="2">
        <v>0.96</v>
      </c>
    </row>
    <row r="42" spans="1:2" x14ac:dyDescent="0.3">
      <c r="A42" s="4">
        <f>+A43/2</f>
        <v>8.7499999999999994E-2</v>
      </c>
      <c r="B42" s="2">
        <v>0.95</v>
      </c>
    </row>
    <row r="43" spans="1:2" x14ac:dyDescent="0.3">
      <c r="A43" s="4">
        <f>+A44/2</f>
        <v>0.17499999999999999</v>
      </c>
      <c r="B43" s="2">
        <v>0.9</v>
      </c>
    </row>
    <row r="44" spans="1:2" x14ac:dyDescent="0.3">
      <c r="A44" s="4">
        <v>0.35</v>
      </c>
      <c r="B44" s="2">
        <v>0.8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095"/>
  <sheetViews>
    <sheetView tabSelected="1" topLeftCell="A1103" workbookViewId="0">
      <selection activeCell="L1126" sqref="L1126"/>
    </sheetView>
  </sheetViews>
  <sheetFormatPr baseColWidth="10" defaultColWidth="8.88671875" defaultRowHeight="14.4" x14ac:dyDescent="0.3"/>
  <sheetData>
    <row r="1" spans="1:21" x14ac:dyDescent="0.3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6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25</v>
      </c>
    </row>
    <row r="2" spans="1:21" x14ac:dyDescent="0.3">
      <c r="A2" t="s">
        <v>26</v>
      </c>
      <c r="B2" t="s">
        <v>27</v>
      </c>
      <c r="C2" t="s">
        <v>28</v>
      </c>
      <c r="D2" t="s">
        <v>29</v>
      </c>
      <c r="E2" t="s">
        <v>30</v>
      </c>
      <c r="F2" s="6">
        <v>44957</v>
      </c>
      <c r="G2">
        <v>3</v>
      </c>
      <c r="H2">
        <v>4</v>
      </c>
      <c r="I2">
        <v>1.3</v>
      </c>
      <c r="J2">
        <v>1.333333333333333</v>
      </c>
      <c r="K2" t="s">
        <v>31</v>
      </c>
      <c r="L2" t="s">
        <v>31</v>
      </c>
      <c r="M2">
        <v>2023</v>
      </c>
      <c r="N2" t="s">
        <v>32</v>
      </c>
      <c r="O2" t="s">
        <v>33</v>
      </c>
      <c r="P2">
        <v>0</v>
      </c>
      <c r="Q2">
        <v>0</v>
      </c>
      <c r="R2">
        <v>1</v>
      </c>
      <c r="S2" t="s">
        <v>34</v>
      </c>
      <c r="T2" t="s">
        <v>35</v>
      </c>
      <c r="U2">
        <v>1</v>
      </c>
    </row>
    <row r="3" spans="1:21" x14ac:dyDescent="0.3">
      <c r="A3" t="s">
        <v>26</v>
      </c>
      <c r="B3" t="s">
        <v>27</v>
      </c>
      <c r="C3" t="s">
        <v>28</v>
      </c>
      <c r="D3" t="s">
        <v>29</v>
      </c>
      <c r="E3" t="s">
        <v>30</v>
      </c>
      <c r="F3" s="6">
        <v>44985</v>
      </c>
      <c r="G3">
        <v>33</v>
      </c>
      <c r="H3">
        <v>4</v>
      </c>
      <c r="I3">
        <v>0.1212121212121212</v>
      </c>
      <c r="J3">
        <v>0.1212121212121212</v>
      </c>
      <c r="K3" t="s">
        <v>31</v>
      </c>
      <c r="L3" t="s">
        <v>31</v>
      </c>
      <c r="M3">
        <v>2023</v>
      </c>
      <c r="N3" t="s">
        <v>36</v>
      </c>
      <c r="O3" t="s">
        <v>33</v>
      </c>
      <c r="P3">
        <v>0</v>
      </c>
      <c r="Q3">
        <v>0</v>
      </c>
      <c r="R3">
        <v>1</v>
      </c>
      <c r="S3" t="s">
        <v>34</v>
      </c>
      <c r="T3" t="s">
        <v>37</v>
      </c>
      <c r="U3">
        <v>1</v>
      </c>
    </row>
    <row r="4" spans="1:21" x14ac:dyDescent="0.3">
      <c r="A4" t="s">
        <v>26</v>
      </c>
      <c r="B4" t="s">
        <v>27</v>
      </c>
      <c r="C4" t="s">
        <v>28</v>
      </c>
      <c r="D4" t="s">
        <v>29</v>
      </c>
      <c r="E4" t="s">
        <v>30</v>
      </c>
      <c r="F4" s="6">
        <v>45016</v>
      </c>
      <c r="G4">
        <v>33</v>
      </c>
      <c r="H4">
        <v>43</v>
      </c>
      <c r="I4">
        <v>1.3</v>
      </c>
      <c r="J4">
        <v>1.303030303030303</v>
      </c>
      <c r="K4" t="s">
        <v>31</v>
      </c>
      <c r="L4" t="s">
        <v>31</v>
      </c>
      <c r="M4">
        <v>2023</v>
      </c>
      <c r="N4" t="s">
        <v>38</v>
      </c>
      <c r="O4" t="s">
        <v>33</v>
      </c>
      <c r="P4">
        <v>0</v>
      </c>
      <c r="Q4">
        <v>0</v>
      </c>
      <c r="R4">
        <v>1</v>
      </c>
      <c r="S4" t="s">
        <v>34</v>
      </c>
      <c r="T4" t="s">
        <v>39</v>
      </c>
      <c r="U4">
        <v>1</v>
      </c>
    </row>
    <row r="5" spans="1:21" x14ac:dyDescent="0.3">
      <c r="A5" t="s">
        <v>26</v>
      </c>
      <c r="B5" t="s">
        <v>27</v>
      </c>
      <c r="C5" t="s">
        <v>28</v>
      </c>
      <c r="D5" t="s">
        <v>29</v>
      </c>
      <c r="E5" t="s">
        <v>30</v>
      </c>
      <c r="F5" s="6">
        <v>45046</v>
      </c>
      <c r="G5">
        <v>77</v>
      </c>
      <c r="H5">
        <v>60</v>
      </c>
      <c r="I5">
        <v>0.77922077922077926</v>
      </c>
      <c r="J5">
        <v>0.77922077922077926</v>
      </c>
      <c r="K5" t="s">
        <v>31</v>
      </c>
      <c r="L5" t="s">
        <v>31</v>
      </c>
      <c r="M5">
        <v>2023</v>
      </c>
      <c r="N5" t="s">
        <v>40</v>
      </c>
      <c r="O5" t="s">
        <v>33</v>
      </c>
      <c r="P5">
        <v>0</v>
      </c>
      <c r="Q5">
        <v>0</v>
      </c>
      <c r="R5">
        <v>1</v>
      </c>
      <c r="S5" t="s">
        <v>34</v>
      </c>
      <c r="T5" t="s">
        <v>41</v>
      </c>
      <c r="U5">
        <v>1</v>
      </c>
    </row>
    <row r="6" spans="1:21" x14ac:dyDescent="0.3">
      <c r="A6" t="s">
        <v>26</v>
      </c>
      <c r="B6" t="s">
        <v>27</v>
      </c>
      <c r="C6" t="s">
        <v>28</v>
      </c>
      <c r="D6" t="s">
        <v>29</v>
      </c>
      <c r="E6" t="s">
        <v>30</v>
      </c>
      <c r="F6" s="6">
        <v>45077</v>
      </c>
      <c r="G6">
        <v>84</v>
      </c>
      <c r="H6">
        <v>90</v>
      </c>
      <c r="I6">
        <v>1.071428571428571</v>
      </c>
      <c r="J6">
        <v>1.071428571428571</v>
      </c>
      <c r="K6" t="s">
        <v>31</v>
      </c>
      <c r="L6" t="s">
        <v>31</v>
      </c>
      <c r="M6">
        <v>2023</v>
      </c>
      <c r="N6" t="s">
        <v>42</v>
      </c>
      <c r="O6" t="s">
        <v>33</v>
      </c>
      <c r="P6">
        <v>0</v>
      </c>
      <c r="Q6">
        <v>0</v>
      </c>
      <c r="R6">
        <v>1</v>
      </c>
      <c r="S6" t="s">
        <v>34</v>
      </c>
      <c r="T6" t="s">
        <v>43</v>
      </c>
      <c r="U6">
        <v>1</v>
      </c>
    </row>
    <row r="7" spans="1:21" x14ac:dyDescent="0.3">
      <c r="A7" t="s">
        <v>26</v>
      </c>
      <c r="B7" t="s">
        <v>27</v>
      </c>
      <c r="C7" t="s">
        <v>28</v>
      </c>
      <c r="D7" t="s">
        <v>29</v>
      </c>
      <c r="E7" t="s">
        <v>30</v>
      </c>
      <c r="F7" s="6">
        <v>45107</v>
      </c>
      <c r="G7">
        <v>93</v>
      </c>
      <c r="H7">
        <v>95</v>
      </c>
      <c r="I7">
        <v>1.021505376344086</v>
      </c>
      <c r="J7">
        <v>1.021505376344086</v>
      </c>
      <c r="K7" t="s">
        <v>31</v>
      </c>
      <c r="L7" t="s">
        <v>31</v>
      </c>
      <c r="M7">
        <v>2023</v>
      </c>
      <c r="N7" t="s">
        <v>44</v>
      </c>
      <c r="O7" t="s">
        <v>33</v>
      </c>
      <c r="P7">
        <v>0</v>
      </c>
      <c r="Q7">
        <v>0</v>
      </c>
      <c r="R7">
        <v>1</v>
      </c>
      <c r="S7" t="s">
        <v>34</v>
      </c>
      <c r="T7" t="s">
        <v>45</v>
      </c>
      <c r="U7">
        <v>1</v>
      </c>
    </row>
    <row r="8" spans="1:21" x14ac:dyDescent="0.3">
      <c r="A8" t="s">
        <v>26</v>
      </c>
      <c r="B8" t="s">
        <v>27</v>
      </c>
      <c r="C8" t="s">
        <v>28</v>
      </c>
      <c r="D8" t="s">
        <v>29</v>
      </c>
      <c r="E8" t="s">
        <v>30</v>
      </c>
      <c r="F8" s="6">
        <v>45138</v>
      </c>
      <c r="G8">
        <v>99</v>
      </c>
      <c r="H8">
        <v>98</v>
      </c>
      <c r="I8">
        <v>0.98989898989898994</v>
      </c>
      <c r="J8">
        <v>0.98989898989898994</v>
      </c>
      <c r="K8" t="s">
        <v>31</v>
      </c>
      <c r="L8" t="s">
        <v>31</v>
      </c>
      <c r="M8">
        <v>2023</v>
      </c>
      <c r="N8" t="s">
        <v>46</v>
      </c>
      <c r="O8" t="s">
        <v>47</v>
      </c>
      <c r="P8">
        <v>0</v>
      </c>
      <c r="Q8">
        <v>0</v>
      </c>
      <c r="R8">
        <v>1</v>
      </c>
      <c r="S8" t="s">
        <v>34</v>
      </c>
      <c r="T8" t="s">
        <v>48</v>
      </c>
      <c r="U8">
        <v>1</v>
      </c>
    </row>
    <row r="9" spans="1:21" x14ac:dyDescent="0.3">
      <c r="A9" t="s">
        <v>26</v>
      </c>
      <c r="B9" t="s">
        <v>27</v>
      </c>
      <c r="C9" t="s">
        <v>28</v>
      </c>
      <c r="D9" t="s">
        <v>29</v>
      </c>
      <c r="E9" t="s">
        <v>30</v>
      </c>
      <c r="F9" s="6">
        <v>45169</v>
      </c>
      <c r="G9">
        <v>100</v>
      </c>
      <c r="H9">
        <v>99</v>
      </c>
      <c r="I9">
        <v>0.99</v>
      </c>
      <c r="J9">
        <v>0.99</v>
      </c>
      <c r="K9" t="s">
        <v>31</v>
      </c>
      <c r="L9" t="s">
        <v>31</v>
      </c>
      <c r="M9">
        <v>2023</v>
      </c>
      <c r="N9" t="s">
        <v>49</v>
      </c>
      <c r="O9" t="s">
        <v>47</v>
      </c>
      <c r="P9">
        <v>0</v>
      </c>
      <c r="Q9">
        <v>0</v>
      </c>
      <c r="R9">
        <v>1</v>
      </c>
      <c r="S9" t="s">
        <v>34</v>
      </c>
      <c r="T9" t="s">
        <v>50</v>
      </c>
      <c r="U9">
        <v>1</v>
      </c>
    </row>
    <row r="10" spans="1:21" x14ac:dyDescent="0.3">
      <c r="A10" t="s">
        <v>26</v>
      </c>
      <c r="B10" t="s">
        <v>27</v>
      </c>
      <c r="C10" t="s">
        <v>28</v>
      </c>
      <c r="D10" t="s">
        <v>29</v>
      </c>
      <c r="E10" t="s">
        <v>30</v>
      </c>
      <c r="F10" s="6">
        <v>45199</v>
      </c>
      <c r="G10">
        <v>100</v>
      </c>
      <c r="H10">
        <v>99</v>
      </c>
      <c r="I10">
        <v>0.99</v>
      </c>
      <c r="J10">
        <v>0.99</v>
      </c>
      <c r="K10" t="s">
        <v>31</v>
      </c>
      <c r="L10" t="s">
        <v>31</v>
      </c>
      <c r="M10">
        <v>2023</v>
      </c>
      <c r="N10" t="s">
        <v>51</v>
      </c>
      <c r="O10" t="s">
        <v>47</v>
      </c>
      <c r="P10">
        <v>0</v>
      </c>
      <c r="Q10">
        <v>0</v>
      </c>
      <c r="R10">
        <v>1</v>
      </c>
      <c r="S10" t="s">
        <v>34</v>
      </c>
      <c r="T10" t="s">
        <v>52</v>
      </c>
      <c r="U10">
        <v>1</v>
      </c>
    </row>
    <row r="11" spans="1:21" x14ac:dyDescent="0.3">
      <c r="A11" t="s">
        <v>26</v>
      </c>
      <c r="B11" t="s">
        <v>27</v>
      </c>
      <c r="C11" t="s">
        <v>28</v>
      </c>
      <c r="D11" t="s">
        <v>29</v>
      </c>
      <c r="E11" t="s">
        <v>30</v>
      </c>
      <c r="F11" s="6">
        <v>45230</v>
      </c>
      <c r="G11">
        <v>100</v>
      </c>
      <c r="H11">
        <v>98</v>
      </c>
      <c r="I11">
        <v>0.98</v>
      </c>
      <c r="J11">
        <v>0.98</v>
      </c>
      <c r="K11" t="s">
        <v>31</v>
      </c>
      <c r="L11" t="s">
        <v>31</v>
      </c>
      <c r="M11">
        <v>2023</v>
      </c>
      <c r="N11" t="s">
        <v>53</v>
      </c>
      <c r="O11" t="s">
        <v>47</v>
      </c>
      <c r="P11">
        <v>0</v>
      </c>
      <c r="Q11">
        <v>0</v>
      </c>
      <c r="R11">
        <v>1</v>
      </c>
      <c r="S11" t="s">
        <v>34</v>
      </c>
      <c r="T11" t="s">
        <v>54</v>
      </c>
      <c r="U11">
        <v>1</v>
      </c>
    </row>
    <row r="12" spans="1:21" x14ac:dyDescent="0.3">
      <c r="A12" t="s">
        <v>26</v>
      </c>
      <c r="B12" t="s">
        <v>27</v>
      </c>
      <c r="C12" t="s">
        <v>28</v>
      </c>
      <c r="D12" t="s">
        <v>29</v>
      </c>
      <c r="E12" t="s">
        <v>30</v>
      </c>
      <c r="F12" s="6">
        <v>45260</v>
      </c>
      <c r="G12">
        <v>100</v>
      </c>
      <c r="H12">
        <v>99</v>
      </c>
      <c r="I12">
        <v>0.99</v>
      </c>
      <c r="J12">
        <v>0.99</v>
      </c>
      <c r="K12" t="s">
        <v>31</v>
      </c>
      <c r="L12" t="s">
        <v>31</v>
      </c>
      <c r="M12">
        <v>2023</v>
      </c>
      <c r="N12" t="s">
        <v>55</v>
      </c>
      <c r="O12" t="s">
        <v>47</v>
      </c>
      <c r="P12">
        <v>0</v>
      </c>
      <c r="Q12">
        <v>0</v>
      </c>
      <c r="R12">
        <v>1</v>
      </c>
      <c r="S12" t="s">
        <v>34</v>
      </c>
      <c r="T12" t="s">
        <v>56</v>
      </c>
      <c r="U12">
        <v>1</v>
      </c>
    </row>
    <row r="13" spans="1:21" x14ac:dyDescent="0.3">
      <c r="A13" t="s">
        <v>26</v>
      </c>
      <c r="B13" t="s">
        <v>27</v>
      </c>
      <c r="C13" t="s">
        <v>28</v>
      </c>
      <c r="D13" t="s">
        <v>29</v>
      </c>
      <c r="E13" t="s">
        <v>30</v>
      </c>
      <c r="F13" s="6">
        <v>45291</v>
      </c>
      <c r="G13">
        <v>100</v>
      </c>
      <c r="H13">
        <v>100</v>
      </c>
      <c r="I13">
        <v>1</v>
      </c>
      <c r="J13">
        <v>1</v>
      </c>
      <c r="K13" t="s">
        <v>31</v>
      </c>
      <c r="L13" t="s">
        <v>31</v>
      </c>
      <c r="M13">
        <v>2023</v>
      </c>
      <c r="N13" t="s">
        <v>57</v>
      </c>
      <c r="O13" t="s">
        <v>47</v>
      </c>
      <c r="P13">
        <v>0</v>
      </c>
      <c r="Q13">
        <v>0</v>
      </c>
      <c r="R13">
        <v>1</v>
      </c>
      <c r="S13" t="s">
        <v>34</v>
      </c>
      <c r="T13" t="s">
        <v>58</v>
      </c>
      <c r="U13">
        <v>1</v>
      </c>
    </row>
    <row r="14" spans="1:21" x14ac:dyDescent="0.3">
      <c r="A14" t="s">
        <v>59</v>
      </c>
      <c r="B14" t="s">
        <v>60</v>
      </c>
      <c r="C14" t="s">
        <v>61</v>
      </c>
      <c r="D14" t="s">
        <v>29</v>
      </c>
      <c r="E14" t="s">
        <v>30</v>
      </c>
      <c r="F14" s="6">
        <v>45046</v>
      </c>
      <c r="G14">
        <v>12</v>
      </c>
      <c r="H14">
        <v>12</v>
      </c>
      <c r="I14">
        <v>1</v>
      </c>
      <c r="J14">
        <v>1</v>
      </c>
      <c r="K14" t="s">
        <v>31</v>
      </c>
      <c r="L14" t="s">
        <v>31</v>
      </c>
      <c r="M14">
        <v>2023</v>
      </c>
      <c r="N14" t="s">
        <v>40</v>
      </c>
      <c r="O14" t="s">
        <v>33</v>
      </c>
      <c r="P14">
        <v>0</v>
      </c>
      <c r="Q14">
        <v>0</v>
      </c>
      <c r="R14">
        <v>1</v>
      </c>
      <c r="S14" t="s">
        <v>34</v>
      </c>
      <c r="T14" t="s">
        <v>62</v>
      </c>
      <c r="U14">
        <v>1</v>
      </c>
    </row>
    <row r="15" spans="1:21" x14ac:dyDescent="0.3">
      <c r="A15" t="s">
        <v>59</v>
      </c>
      <c r="B15" t="s">
        <v>60</v>
      </c>
      <c r="C15" t="s">
        <v>61</v>
      </c>
      <c r="D15" t="s">
        <v>29</v>
      </c>
      <c r="E15" t="s">
        <v>30</v>
      </c>
      <c r="F15" s="6">
        <v>45077</v>
      </c>
      <c r="G15">
        <v>22</v>
      </c>
      <c r="H15">
        <v>24</v>
      </c>
      <c r="I15">
        <v>1.0909090909090911</v>
      </c>
      <c r="J15">
        <v>1.0909090909090911</v>
      </c>
      <c r="K15" t="s">
        <v>31</v>
      </c>
      <c r="L15" t="s">
        <v>31</v>
      </c>
      <c r="M15">
        <v>2023</v>
      </c>
      <c r="N15" t="s">
        <v>42</v>
      </c>
      <c r="O15" t="s">
        <v>33</v>
      </c>
      <c r="P15">
        <v>0</v>
      </c>
      <c r="Q15">
        <v>0</v>
      </c>
      <c r="R15">
        <v>1</v>
      </c>
      <c r="S15" t="s">
        <v>34</v>
      </c>
      <c r="T15" t="s">
        <v>63</v>
      </c>
      <c r="U15">
        <v>1</v>
      </c>
    </row>
    <row r="16" spans="1:21" x14ac:dyDescent="0.3">
      <c r="A16" t="s">
        <v>59</v>
      </c>
      <c r="B16" t="s">
        <v>60</v>
      </c>
      <c r="C16" t="s">
        <v>61</v>
      </c>
      <c r="D16" t="s">
        <v>29</v>
      </c>
      <c r="E16" t="s">
        <v>30</v>
      </c>
      <c r="F16" s="6">
        <v>45107</v>
      </c>
      <c r="G16">
        <v>32</v>
      </c>
      <c r="H16">
        <v>35</v>
      </c>
      <c r="I16">
        <v>1.09375</v>
      </c>
      <c r="J16">
        <v>1.09375</v>
      </c>
      <c r="K16" t="s">
        <v>31</v>
      </c>
      <c r="L16" t="s">
        <v>31</v>
      </c>
      <c r="M16">
        <v>2023</v>
      </c>
      <c r="N16" t="s">
        <v>44</v>
      </c>
      <c r="O16" t="s">
        <v>33</v>
      </c>
      <c r="P16">
        <v>0</v>
      </c>
      <c r="Q16">
        <v>0</v>
      </c>
      <c r="R16">
        <v>1</v>
      </c>
      <c r="S16" t="s">
        <v>34</v>
      </c>
      <c r="T16" t="s">
        <v>64</v>
      </c>
      <c r="U16">
        <v>1</v>
      </c>
    </row>
    <row r="17" spans="1:21" x14ac:dyDescent="0.3">
      <c r="A17" t="s">
        <v>59</v>
      </c>
      <c r="B17" t="s">
        <v>60</v>
      </c>
      <c r="C17" t="s">
        <v>61</v>
      </c>
      <c r="D17" t="s">
        <v>29</v>
      </c>
      <c r="E17" t="s">
        <v>30</v>
      </c>
      <c r="F17" s="6">
        <v>45138</v>
      </c>
      <c r="G17">
        <v>35</v>
      </c>
      <c r="H17">
        <v>40</v>
      </c>
      <c r="I17">
        <v>1.142857142857143</v>
      </c>
      <c r="J17">
        <v>1.142857142857143</v>
      </c>
      <c r="K17" t="s">
        <v>31</v>
      </c>
      <c r="L17" t="s">
        <v>31</v>
      </c>
      <c r="M17">
        <v>2023</v>
      </c>
      <c r="N17" t="s">
        <v>46</v>
      </c>
      <c r="O17" t="s">
        <v>47</v>
      </c>
      <c r="P17">
        <v>0</v>
      </c>
      <c r="Q17">
        <v>0</v>
      </c>
      <c r="R17">
        <v>1</v>
      </c>
      <c r="S17" t="s">
        <v>34</v>
      </c>
      <c r="T17" t="s">
        <v>65</v>
      </c>
      <c r="U17">
        <v>1</v>
      </c>
    </row>
    <row r="18" spans="1:21" x14ac:dyDescent="0.3">
      <c r="A18" t="s">
        <v>59</v>
      </c>
      <c r="B18" t="s">
        <v>60</v>
      </c>
      <c r="C18" t="s">
        <v>61</v>
      </c>
      <c r="D18" t="s">
        <v>29</v>
      </c>
      <c r="E18" t="s">
        <v>30</v>
      </c>
      <c r="F18" s="6">
        <v>45169</v>
      </c>
      <c r="G18">
        <v>36</v>
      </c>
      <c r="H18">
        <v>46</v>
      </c>
      <c r="I18">
        <v>1.2777777777777779</v>
      </c>
      <c r="J18">
        <v>1.2777777777777779</v>
      </c>
      <c r="K18" t="s">
        <v>31</v>
      </c>
      <c r="L18" t="s">
        <v>31</v>
      </c>
      <c r="M18">
        <v>2023</v>
      </c>
      <c r="N18" t="s">
        <v>49</v>
      </c>
      <c r="O18" t="s">
        <v>47</v>
      </c>
      <c r="P18">
        <v>0</v>
      </c>
      <c r="Q18">
        <v>0</v>
      </c>
      <c r="R18">
        <v>1</v>
      </c>
      <c r="S18" t="s">
        <v>34</v>
      </c>
      <c r="T18" t="s">
        <v>66</v>
      </c>
      <c r="U18">
        <v>1</v>
      </c>
    </row>
    <row r="19" spans="1:21" x14ac:dyDescent="0.3">
      <c r="A19" t="s">
        <v>59</v>
      </c>
      <c r="B19" t="s">
        <v>60</v>
      </c>
      <c r="C19" t="s">
        <v>61</v>
      </c>
      <c r="D19" t="s">
        <v>29</v>
      </c>
      <c r="E19" t="s">
        <v>30</v>
      </c>
      <c r="F19" s="6">
        <v>45199</v>
      </c>
      <c r="G19">
        <v>39</v>
      </c>
      <c r="H19">
        <v>39</v>
      </c>
      <c r="I19">
        <v>1</v>
      </c>
      <c r="J19">
        <v>1</v>
      </c>
      <c r="K19" t="s">
        <v>31</v>
      </c>
      <c r="L19" t="s">
        <v>31</v>
      </c>
      <c r="M19">
        <v>2023</v>
      </c>
      <c r="N19" t="s">
        <v>51</v>
      </c>
      <c r="O19" t="s">
        <v>47</v>
      </c>
      <c r="P19">
        <v>0</v>
      </c>
      <c r="Q19">
        <v>0</v>
      </c>
      <c r="R19">
        <v>1</v>
      </c>
      <c r="S19" t="s">
        <v>34</v>
      </c>
      <c r="T19" t="s">
        <v>67</v>
      </c>
      <c r="U19">
        <v>1</v>
      </c>
    </row>
    <row r="20" spans="1:21" x14ac:dyDescent="0.3">
      <c r="A20" t="s">
        <v>59</v>
      </c>
      <c r="B20" t="s">
        <v>60</v>
      </c>
      <c r="C20" t="s">
        <v>61</v>
      </c>
      <c r="D20" t="s">
        <v>29</v>
      </c>
      <c r="E20" t="s">
        <v>30</v>
      </c>
      <c r="F20" s="6">
        <v>45230</v>
      </c>
      <c r="G20">
        <v>43</v>
      </c>
      <c r="H20">
        <v>44</v>
      </c>
      <c r="I20">
        <v>1.023255813953488</v>
      </c>
      <c r="J20">
        <v>1.023255813953488</v>
      </c>
      <c r="K20" t="s">
        <v>31</v>
      </c>
      <c r="L20" t="s">
        <v>31</v>
      </c>
      <c r="M20">
        <v>2023</v>
      </c>
      <c r="N20" t="s">
        <v>53</v>
      </c>
      <c r="O20" t="s">
        <v>47</v>
      </c>
      <c r="P20">
        <v>0</v>
      </c>
      <c r="Q20">
        <v>0</v>
      </c>
      <c r="R20">
        <v>1</v>
      </c>
      <c r="S20" t="s">
        <v>34</v>
      </c>
      <c r="T20" t="s">
        <v>68</v>
      </c>
      <c r="U20">
        <v>1</v>
      </c>
    </row>
    <row r="21" spans="1:21" x14ac:dyDescent="0.3">
      <c r="A21" t="s">
        <v>59</v>
      </c>
      <c r="B21" t="s">
        <v>60</v>
      </c>
      <c r="C21" t="s">
        <v>61</v>
      </c>
      <c r="D21" t="s">
        <v>29</v>
      </c>
      <c r="E21" t="s">
        <v>30</v>
      </c>
      <c r="F21" s="6">
        <v>45260</v>
      </c>
      <c r="G21">
        <v>47</v>
      </c>
      <c r="H21">
        <v>47</v>
      </c>
      <c r="I21">
        <v>1</v>
      </c>
      <c r="J21">
        <v>1</v>
      </c>
      <c r="K21" t="s">
        <v>31</v>
      </c>
      <c r="L21" t="s">
        <v>31</v>
      </c>
      <c r="M21">
        <v>2023</v>
      </c>
      <c r="N21" t="s">
        <v>55</v>
      </c>
      <c r="O21" t="s">
        <v>47</v>
      </c>
      <c r="P21">
        <v>0</v>
      </c>
      <c r="Q21">
        <v>0</v>
      </c>
      <c r="R21">
        <v>1</v>
      </c>
      <c r="S21" t="s">
        <v>34</v>
      </c>
      <c r="T21" t="s">
        <v>69</v>
      </c>
      <c r="U21">
        <v>1</v>
      </c>
    </row>
    <row r="22" spans="1:21" x14ac:dyDescent="0.3">
      <c r="A22" t="s">
        <v>59</v>
      </c>
      <c r="B22" t="s">
        <v>60</v>
      </c>
      <c r="C22" t="s">
        <v>61</v>
      </c>
      <c r="D22" t="s">
        <v>29</v>
      </c>
      <c r="E22" t="s">
        <v>30</v>
      </c>
      <c r="F22" s="6">
        <v>45291</v>
      </c>
      <c r="G22">
        <v>47</v>
      </c>
      <c r="H22">
        <v>47</v>
      </c>
      <c r="I22">
        <v>1</v>
      </c>
      <c r="J22">
        <v>1</v>
      </c>
      <c r="K22" t="s">
        <v>31</v>
      </c>
      <c r="L22" t="s">
        <v>31</v>
      </c>
      <c r="M22">
        <v>2023</v>
      </c>
      <c r="N22" t="s">
        <v>57</v>
      </c>
      <c r="O22" t="s">
        <v>47</v>
      </c>
      <c r="P22">
        <v>0</v>
      </c>
      <c r="Q22">
        <v>0</v>
      </c>
      <c r="R22">
        <v>1</v>
      </c>
      <c r="S22" t="s">
        <v>34</v>
      </c>
      <c r="T22" t="s">
        <v>70</v>
      </c>
      <c r="U22">
        <v>1</v>
      </c>
    </row>
    <row r="23" spans="1:21" x14ac:dyDescent="0.3">
      <c r="A23" t="s">
        <v>59</v>
      </c>
      <c r="B23" t="s">
        <v>60</v>
      </c>
      <c r="C23" t="s">
        <v>61</v>
      </c>
      <c r="D23" t="s">
        <v>29</v>
      </c>
      <c r="E23" t="s">
        <v>30</v>
      </c>
      <c r="F23" s="6">
        <v>45322</v>
      </c>
      <c r="G23">
        <v>38</v>
      </c>
      <c r="H23">
        <v>34</v>
      </c>
      <c r="I23">
        <v>0.89473684210526316</v>
      </c>
      <c r="J23">
        <v>0.89473684210526316</v>
      </c>
      <c r="K23" t="s">
        <v>31</v>
      </c>
      <c r="L23" t="s">
        <v>31</v>
      </c>
      <c r="M23">
        <v>2024</v>
      </c>
      <c r="N23" t="s">
        <v>32</v>
      </c>
      <c r="O23" t="s">
        <v>71</v>
      </c>
      <c r="P23">
        <v>0</v>
      </c>
      <c r="Q23">
        <v>0</v>
      </c>
      <c r="R23">
        <v>1</v>
      </c>
      <c r="S23" t="s">
        <v>34</v>
      </c>
      <c r="T23" t="s">
        <v>72</v>
      </c>
      <c r="U23">
        <v>1</v>
      </c>
    </row>
    <row r="24" spans="1:21" x14ac:dyDescent="0.3">
      <c r="A24" t="s">
        <v>59</v>
      </c>
      <c r="B24" t="s">
        <v>60</v>
      </c>
      <c r="C24" t="s">
        <v>61</v>
      </c>
      <c r="D24" t="s">
        <v>29</v>
      </c>
      <c r="E24" t="s">
        <v>30</v>
      </c>
      <c r="F24" s="6">
        <v>45351</v>
      </c>
      <c r="G24">
        <v>37</v>
      </c>
      <c r="H24">
        <v>34</v>
      </c>
      <c r="I24">
        <v>0.91891891891891897</v>
      </c>
      <c r="J24">
        <v>0.91891891891891897</v>
      </c>
      <c r="K24" t="s">
        <v>31</v>
      </c>
      <c r="L24" t="s">
        <v>31</v>
      </c>
      <c r="M24">
        <v>2024</v>
      </c>
      <c r="N24" t="s">
        <v>36</v>
      </c>
      <c r="O24" t="s">
        <v>71</v>
      </c>
      <c r="P24">
        <v>0</v>
      </c>
      <c r="Q24">
        <v>0</v>
      </c>
      <c r="R24">
        <v>1</v>
      </c>
      <c r="S24" t="s">
        <v>34</v>
      </c>
      <c r="T24" t="s">
        <v>73</v>
      </c>
      <c r="U24">
        <v>1</v>
      </c>
    </row>
    <row r="25" spans="1:21" x14ac:dyDescent="0.3">
      <c r="A25" t="s">
        <v>59</v>
      </c>
      <c r="B25" t="s">
        <v>60</v>
      </c>
      <c r="C25" t="s">
        <v>61</v>
      </c>
      <c r="D25" t="s">
        <v>29</v>
      </c>
      <c r="E25" t="s">
        <v>30</v>
      </c>
      <c r="F25" s="6">
        <v>45382</v>
      </c>
      <c r="G25">
        <v>52</v>
      </c>
      <c r="H25">
        <v>48</v>
      </c>
      <c r="I25">
        <v>0.92307692307692313</v>
      </c>
      <c r="J25">
        <v>0.92307692307692313</v>
      </c>
      <c r="K25" t="s">
        <v>31</v>
      </c>
      <c r="L25" t="s">
        <v>31</v>
      </c>
      <c r="M25">
        <v>2024</v>
      </c>
      <c r="N25" t="s">
        <v>38</v>
      </c>
      <c r="O25" t="s">
        <v>71</v>
      </c>
      <c r="P25">
        <v>0</v>
      </c>
      <c r="Q25">
        <v>0</v>
      </c>
      <c r="R25">
        <v>1</v>
      </c>
      <c r="S25" t="s">
        <v>34</v>
      </c>
      <c r="T25" t="s">
        <v>74</v>
      </c>
      <c r="U25">
        <v>1</v>
      </c>
    </row>
    <row r="26" spans="1:21" x14ac:dyDescent="0.3">
      <c r="A26" t="s">
        <v>59</v>
      </c>
      <c r="B26" t="s">
        <v>60</v>
      </c>
      <c r="C26" t="s">
        <v>61</v>
      </c>
      <c r="D26" t="s">
        <v>29</v>
      </c>
      <c r="E26" t="s">
        <v>30</v>
      </c>
      <c r="F26" s="6">
        <v>45412</v>
      </c>
      <c r="G26">
        <v>61</v>
      </c>
      <c r="H26">
        <v>59</v>
      </c>
      <c r="I26">
        <v>0.96721311475409832</v>
      </c>
      <c r="J26">
        <v>0.96721311475409832</v>
      </c>
      <c r="K26" t="s">
        <v>31</v>
      </c>
      <c r="L26" t="s">
        <v>31</v>
      </c>
      <c r="M26">
        <v>2024</v>
      </c>
      <c r="N26" t="s">
        <v>40</v>
      </c>
      <c r="O26" t="s">
        <v>71</v>
      </c>
      <c r="P26">
        <v>0</v>
      </c>
      <c r="Q26">
        <v>0</v>
      </c>
      <c r="R26">
        <v>1</v>
      </c>
      <c r="S26" t="s">
        <v>34</v>
      </c>
      <c r="T26" t="s">
        <v>75</v>
      </c>
      <c r="U26">
        <v>1</v>
      </c>
    </row>
    <row r="27" spans="1:21" x14ac:dyDescent="0.3">
      <c r="A27" t="s">
        <v>59</v>
      </c>
      <c r="B27" t="s">
        <v>60</v>
      </c>
      <c r="C27" t="s">
        <v>61</v>
      </c>
      <c r="D27" t="s">
        <v>29</v>
      </c>
      <c r="E27" t="s">
        <v>30</v>
      </c>
      <c r="F27" s="6">
        <v>45443</v>
      </c>
      <c r="G27">
        <v>65</v>
      </c>
      <c r="H27">
        <v>64</v>
      </c>
      <c r="I27">
        <v>0.98461538461538467</v>
      </c>
      <c r="J27">
        <v>0.98461538461538467</v>
      </c>
      <c r="K27" t="s">
        <v>31</v>
      </c>
      <c r="L27" t="s">
        <v>31</v>
      </c>
      <c r="M27">
        <v>2024</v>
      </c>
      <c r="N27" t="s">
        <v>42</v>
      </c>
      <c r="O27" t="s">
        <v>71</v>
      </c>
      <c r="P27">
        <v>0</v>
      </c>
      <c r="Q27">
        <v>0</v>
      </c>
      <c r="R27">
        <v>1</v>
      </c>
      <c r="S27" t="s">
        <v>34</v>
      </c>
      <c r="T27" t="s">
        <v>76</v>
      </c>
      <c r="U27">
        <v>1</v>
      </c>
    </row>
    <row r="28" spans="1:21" x14ac:dyDescent="0.3">
      <c r="A28" t="s">
        <v>59</v>
      </c>
      <c r="B28" t="s">
        <v>60</v>
      </c>
      <c r="C28" t="s">
        <v>61</v>
      </c>
      <c r="D28" t="s">
        <v>29</v>
      </c>
      <c r="E28" t="s">
        <v>30</v>
      </c>
      <c r="F28" s="6">
        <v>45473</v>
      </c>
      <c r="G28">
        <v>69</v>
      </c>
      <c r="H28">
        <v>69</v>
      </c>
      <c r="I28">
        <v>1</v>
      </c>
      <c r="J28">
        <v>1</v>
      </c>
      <c r="K28" t="s">
        <v>31</v>
      </c>
      <c r="L28" t="s">
        <v>31</v>
      </c>
      <c r="M28">
        <v>2024</v>
      </c>
      <c r="N28" t="s">
        <v>44</v>
      </c>
      <c r="O28" t="s">
        <v>71</v>
      </c>
      <c r="P28">
        <v>0</v>
      </c>
      <c r="Q28">
        <v>0</v>
      </c>
      <c r="R28">
        <v>1</v>
      </c>
      <c r="S28" t="s">
        <v>34</v>
      </c>
      <c r="T28" t="s">
        <v>77</v>
      </c>
      <c r="U28">
        <v>1</v>
      </c>
    </row>
    <row r="29" spans="1:21" x14ac:dyDescent="0.3">
      <c r="A29" t="s">
        <v>59</v>
      </c>
      <c r="B29" t="s">
        <v>60</v>
      </c>
      <c r="C29" t="s">
        <v>61</v>
      </c>
      <c r="D29" t="s">
        <v>29</v>
      </c>
      <c r="E29" t="s">
        <v>30</v>
      </c>
      <c r="F29" s="6">
        <v>45504</v>
      </c>
      <c r="G29">
        <v>74</v>
      </c>
      <c r="H29">
        <v>69</v>
      </c>
      <c r="I29">
        <v>0.93243243243243246</v>
      </c>
      <c r="J29">
        <v>0.93243243243243246</v>
      </c>
      <c r="K29" t="s">
        <v>31</v>
      </c>
      <c r="L29" t="s">
        <v>31</v>
      </c>
      <c r="M29">
        <v>2024</v>
      </c>
      <c r="N29" t="s">
        <v>46</v>
      </c>
      <c r="O29" t="s">
        <v>78</v>
      </c>
      <c r="P29">
        <v>0</v>
      </c>
      <c r="Q29">
        <v>0</v>
      </c>
      <c r="R29">
        <v>1</v>
      </c>
      <c r="S29" t="s">
        <v>34</v>
      </c>
      <c r="T29" t="s">
        <v>79</v>
      </c>
      <c r="U29">
        <v>1</v>
      </c>
    </row>
    <row r="30" spans="1:21" x14ac:dyDescent="0.3">
      <c r="A30" t="s">
        <v>59</v>
      </c>
      <c r="B30" t="s">
        <v>60</v>
      </c>
      <c r="C30" t="s">
        <v>61</v>
      </c>
      <c r="D30" t="s">
        <v>29</v>
      </c>
      <c r="E30" t="s">
        <v>30</v>
      </c>
      <c r="F30" s="6">
        <v>45535</v>
      </c>
      <c r="G30">
        <v>78</v>
      </c>
      <c r="H30">
        <v>77</v>
      </c>
      <c r="I30">
        <v>0.98717948717948723</v>
      </c>
      <c r="J30">
        <v>0.98717948717948723</v>
      </c>
      <c r="K30" t="s">
        <v>31</v>
      </c>
      <c r="L30" t="s">
        <v>31</v>
      </c>
      <c r="M30">
        <v>2024</v>
      </c>
      <c r="N30" t="s">
        <v>49</v>
      </c>
      <c r="O30" t="s">
        <v>78</v>
      </c>
      <c r="P30">
        <v>0</v>
      </c>
      <c r="Q30">
        <v>0</v>
      </c>
      <c r="R30">
        <v>1</v>
      </c>
      <c r="S30" t="s">
        <v>34</v>
      </c>
      <c r="T30" t="s">
        <v>80</v>
      </c>
      <c r="U30">
        <v>1</v>
      </c>
    </row>
    <row r="31" spans="1:21" x14ac:dyDescent="0.3">
      <c r="A31" t="s">
        <v>59</v>
      </c>
      <c r="B31" t="s">
        <v>60</v>
      </c>
      <c r="C31" t="s">
        <v>61</v>
      </c>
      <c r="D31" t="s">
        <v>29</v>
      </c>
      <c r="E31" t="s">
        <v>30</v>
      </c>
      <c r="F31" s="6">
        <v>45565</v>
      </c>
      <c r="G31">
        <v>83</v>
      </c>
      <c r="H31">
        <v>83</v>
      </c>
      <c r="I31">
        <v>1</v>
      </c>
      <c r="J31">
        <v>1</v>
      </c>
      <c r="K31" t="s">
        <v>31</v>
      </c>
      <c r="L31" t="s">
        <v>31</v>
      </c>
      <c r="M31">
        <v>2024</v>
      </c>
      <c r="N31" t="s">
        <v>51</v>
      </c>
      <c r="O31" t="s">
        <v>78</v>
      </c>
      <c r="P31">
        <v>0</v>
      </c>
      <c r="Q31">
        <v>0</v>
      </c>
      <c r="R31">
        <v>1</v>
      </c>
      <c r="S31" t="s">
        <v>34</v>
      </c>
      <c r="T31" t="s">
        <v>81</v>
      </c>
      <c r="U31">
        <v>1</v>
      </c>
    </row>
    <row r="32" spans="1:21" x14ac:dyDescent="0.3">
      <c r="A32" t="s">
        <v>59</v>
      </c>
      <c r="B32" t="s">
        <v>60</v>
      </c>
      <c r="C32" t="s">
        <v>61</v>
      </c>
      <c r="D32" t="s">
        <v>29</v>
      </c>
      <c r="E32" t="s">
        <v>30</v>
      </c>
      <c r="F32" s="6">
        <v>45596</v>
      </c>
      <c r="G32">
        <v>92</v>
      </c>
      <c r="H32">
        <v>92</v>
      </c>
      <c r="I32">
        <v>1</v>
      </c>
      <c r="J32">
        <v>1</v>
      </c>
      <c r="K32" t="s">
        <v>31</v>
      </c>
      <c r="L32" t="s">
        <v>31</v>
      </c>
      <c r="M32">
        <v>2024</v>
      </c>
      <c r="N32" t="s">
        <v>53</v>
      </c>
      <c r="O32" t="s">
        <v>78</v>
      </c>
      <c r="P32">
        <v>0</v>
      </c>
      <c r="Q32">
        <v>0</v>
      </c>
      <c r="R32">
        <v>1</v>
      </c>
      <c r="S32" t="s">
        <v>34</v>
      </c>
      <c r="T32" t="s">
        <v>82</v>
      </c>
      <c r="U32">
        <v>1</v>
      </c>
    </row>
    <row r="33" spans="1:21" x14ac:dyDescent="0.3">
      <c r="A33" t="s">
        <v>59</v>
      </c>
      <c r="B33" t="s">
        <v>60</v>
      </c>
      <c r="C33" t="s">
        <v>61</v>
      </c>
      <c r="D33" t="s">
        <v>29</v>
      </c>
      <c r="E33" t="s">
        <v>30</v>
      </c>
      <c r="F33" s="6">
        <v>45626</v>
      </c>
      <c r="G33">
        <v>100</v>
      </c>
      <c r="H33">
        <v>100</v>
      </c>
      <c r="I33">
        <v>1</v>
      </c>
      <c r="J33">
        <v>1</v>
      </c>
      <c r="K33" t="s">
        <v>31</v>
      </c>
      <c r="L33" t="s">
        <v>31</v>
      </c>
      <c r="M33">
        <v>2024</v>
      </c>
      <c r="N33" t="s">
        <v>55</v>
      </c>
      <c r="O33" t="s">
        <v>78</v>
      </c>
      <c r="P33">
        <v>0</v>
      </c>
      <c r="Q33">
        <v>0</v>
      </c>
      <c r="R33">
        <v>1</v>
      </c>
      <c r="S33" t="s">
        <v>34</v>
      </c>
      <c r="T33" t="s">
        <v>83</v>
      </c>
      <c r="U33">
        <v>1</v>
      </c>
    </row>
    <row r="34" spans="1:21" x14ac:dyDescent="0.3">
      <c r="A34" t="s">
        <v>59</v>
      </c>
      <c r="B34" t="s">
        <v>60</v>
      </c>
      <c r="C34" t="s">
        <v>61</v>
      </c>
      <c r="D34" t="s">
        <v>29</v>
      </c>
      <c r="E34" t="s">
        <v>30</v>
      </c>
      <c r="F34" s="6">
        <v>45657</v>
      </c>
      <c r="G34">
        <v>100</v>
      </c>
      <c r="H34">
        <v>100</v>
      </c>
      <c r="I34">
        <v>1</v>
      </c>
      <c r="J34">
        <v>1</v>
      </c>
      <c r="K34" t="s">
        <v>31</v>
      </c>
      <c r="L34" t="s">
        <v>31</v>
      </c>
      <c r="M34">
        <v>2024</v>
      </c>
      <c r="N34" t="s">
        <v>57</v>
      </c>
      <c r="O34" t="s">
        <v>78</v>
      </c>
      <c r="P34">
        <v>0</v>
      </c>
      <c r="Q34">
        <v>0</v>
      </c>
      <c r="R34">
        <v>1</v>
      </c>
      <c r="S34" t="s">
        <v>34</v>
      </c>
      <c r="T34" t="s">
        <v>84</v>
      </c>
      <c r="U34">
        <v>1</v>
      </c>
    </row>
    <row r="35" spans="1:21" x14ac:dyDescent="0.3">
      <c r="A35" t="s">
        <v>85</v>
      </c>
      <c r="B35" t="s">
        <v>86</v>
      </c>
      <c r="C35" t="s">
        <v>87</v>
      </c>
      <c r="D35" t="s">
        <v>29</v>
      </c>
      <c r="E35" t="s">
        <v>30</v>
      </c>
      <c r="F35" s="6">
        <v>44742</v>
      </c>
      <c r="G35">
        <v>50</v>
      </c>
      <c r="H35">
        <v>30</v>
      </c>
      <c r="I35">
        <v>0.6</v>
      </c>
      <c r="J35">
        <v>0.6</v>
      </c>
      <c r="K35" t="s">
        <v>31</v>
      </c>
      <c r="L35" t="s">
        <v>31</v>
      </c>
      <c r="M35">
        <v>2022</v>
      </c>
      <c r="N35" t="s">
        <v>44</v>
      </c>
      <c r="O35" t="s">
        <v>88</v>
      </c>
      <c r="P35">
        <v>0</v>
      </c>
      <c r="Q35">
        <v>0</v>
      </c>
      <c r="R35">
        <v>1</v>
      </c>
      <c r="S35" t="s">
        <v>34</v>
      </c>
      <c r="T35" t="s">
        <v>89</v>
      </c>
      <c r="U35">
        <v>1</v>
      </c>
    </row>
    <row r="36" spans="1:21" x14ac:dyDescent="0.3">
      <c r="A36" t="s">
        <v>85</v>
      </c>
      <c r="B36" t="s">
        <v>86</v>
      </c>
      <c r="C36" t="s">
        <v>87</v>
      </c>
      <c r="D36" t="s">
        <v>29</v>
      </c>
      <c r="E36" t="s">
        <v>30</v>
      </c>
      <c r="F36" s="6">
        <v>44926</v>
      </c>
      <c r="G36">
        <v>87</v>
      </c>
      <c r="H36">
        <v>89</v>
      </c>
      <c r="I36">
        <v>1.022988505747126</v>
      </c>
      <c r="J36">
        <v>1.022988505747126</v>
      </c>
      <c r="K36" t="s">
        <v>31</v>
      </c>
      <c r="L36" t="s">
        <v>31</v>
      </c>
      <c r="M36">
        <v>2022</v>
      </c>
      <c r="N36" t="s">
        <v>57</v>
      </c>
      <c r="O36" t="s">
        <v>90</v>
      </c>
      <c r="P36">
        <v>0</v>
      </c>
      <c r="Q36">
        <v>0</v>
      </c>
      <c r="R36">
        <v>1</v>
      </c>
      <c r="S36" t="s">
        <v>34</v>
      </c>
      <c r="T36" t="s">
        <v>91</v>
      </c>
      <c r="U36">
        <v>1</v>
      </c>
    </row>
    <row r="37" spans="1:21" x14ac:dyDescent="0.3">
      <c r="A37" t="s">
        <v>85</v>
      </c>
      <c r="B37" t="s">
        <v>86</v>
      </c>
      <c r="C37" t="s">
        <v>87</v>
      </c>
      <c r="D37" t="s">
        <v>29</v>
      </c>
      <c r="E37" t="s">
        <v>30</v>
      </c>
      <c r="F37" s="6">
        <v>44956</v>
      </c>
      <c r="G37">
        <v>97</v>
      </c>
      <c r="H37">
        <v>97</v>
      </c>
      <c r="I37">
        <v>1</v>
      </c>
      <c r="J37">
        <v>1</v>
      </c>
      <c r="K37" t="s">
        <v>31</v>
      </c>
      <c r="L37" t="s">
        <v>31</v>
      </c>
      <c r="M37">
        <v>2023</v>
      </c>
      <c r="N37" t="s">
        <v>32</v>
      </c>
      <c r="O37" t="s">
        <v>33</v>
      </c>
      <c r="P37">
        <v>0</v>
      </c>
      <c r="Q37">
        <v>0</v>
      </c>
      <c r="R37">
        <v>1</v>
      </c>
      <c r="S37" t="s">
        <v>34</v>
      </c>
      <c r="T37" t="s">
        <v>92</v>
      </c>
      <c r="U37">
        <v>1</v>
      </c>
    </row>
    <row r="38" spans="1:21" x14ac:dyDescent="0.3">
      <c r="A38" t="s">
        <v>85</v>
      </c>
      <c r="B38" t="s">
        <v>86</v>
      </c>
      <c r="C38" t="s">
        <v>87</v>
      </c>
      <c r="D38" t="s">
        <v>29</v>
      </c>
      <c r="E38" t="s">
        <v>30</v>
      </c>
      <c r="F38" s="6">
        <v>44985</v>
      </c>
      <c r="G38">
        <v>97</v>
      </c>
      <c r="H38">
        <v>97</v>
      </c>
      <c r="I38">
        <v>1</v>
      </c>
      <c r="J38">
        <v>1</v>
      </c>
      <c r="K38" t="s">
        <v>31</v>
      </c>
      <c r="L38" t="s">
        <v>31</v>
      </c>
      <c r="M38">
        <v>2023</v>
      </c>
      <c r="N38" t="s">
        <v>36</v>
      </c>
      <c r="O38" t="s">
        <v>33</v>
      </c>
      <c r="P38">
        <v>0</v>
      </c>
      <c r="Q38">
        <v>0</v>
      </c>
      <c r="R38">
        <v>1</v>
      </c>
      <c r="S38" t="s">
        <v>34</v>
      </c>
      <c r="T38" t="s">
        <v>93</v>
      </c>
      <c r="U38">
        <v>1</v>
      </c>
    </row>
    <row r="39" spans="1:21" x14ac:dyDescent="0.3">
      <c r="A39" t="s">
        <v>85</v>
      </c>
      <c r="B39" t="s">
        <v>86</v>
      </c>
      <c r="C39" t="s">
        <v>87</v>
      </c>
      <c r="D39" t="s">
        <v>29</v>
      </c>
      <c r="E39" t="s">
        <v>30</v>
      </c>
      <c r="F39" s="6">
        <v>45016</v>
      </c>
      <c r="G39">
        <v>100</v>
      </c>
      <c r="H39">
        <v>100</v>
      </c>
      <c r="I39">
        <v>1</v>
      </c>
      <c r="J39">
        <v>1</v>
      </c>
      <c r="K39" t="s">
        <v>31</v>
      </c>
      <c r="L39" t="s">
        <v>31</v>
      </c>
      <c r="M39">
        <v>2023</v>
      </c>
      <c r="N39" t="s">
        <v>38</v>
      </c>
      <c r="O39" t="s">
        <v>33</v>
      </c>
      <c r="P39">
        <v>0</v>
      </c>
      <c r="Q39">
        <v>0</v>
      </c>
      <c r="R39">
        <v>1</v>
      </c>
      <c r="S39" t="s">
        <v>34</v>
      </c>
      <c r="T39" t="s">
        <v>94</v>
      </c>
      <c r="U39">
        <v>1</v>
      </c>
    </row>
    <row r="40" spans="1:21" x14ac:dyDescent="0.3">
      <c r="A40" t="s">
        <v>95</v>
      </c>
      <c r="B40" t="s">
        <v>96</v>
      </c>
      <c r="C40" t="s">
        <v>97</v>
      </c>
      <c r="D40" t="s">
        <v>98</v>
      </c>
      <c r="E40" t="s">
        <v>30</v>
      </c>
      <c r="F40" s="6">
        <v>45291</v>
      </c>
      <c r="G40">
        <v>100</v>
      </c>
      <c r="H40">
        <v>99</v>
      </c>
      <c r="I40">
        <v>0.99</v>
      </c>
      <c r="J40">
        <v>0.99</v>
      </c>
      <c r="K40" t="s">
        <v>31</v>
      </c>
      <c r="L40" t="s">
        <v>31</v>
      </c>
      <c r="M40">
        <v>2023</v>
      </c>
      <c r="N40" t="s">
        <v>57</v>
      </c>
      <c r="O40" t="s">
        <v>47</v>
      </c>
      <c r="P40">
        <v>0</v>
      </c>
      <c r="Q40">
        <v>0</v>
      </c>
      <c r="R40">
        <v>0</v>
      </c>
      <c r="S40" t="s">
        <v>99</v>
      </c>
      <c r="T40" t="s">
        <v>100</v>
      </c>
      <c r="U40">
        <v>1</v>
      </c>
    </row>
    <row r="41" spans="1:21" x14ac:dyDescent="0.3">
      <c r="A41" t="s">
        <v>95</v>
      </c>
      <c r="B41" t="s">
        <v>96</v>
      </c>
      <c r="C41" t="s">
        <v>97</v>
      </c>
      <c r="D41" t="s">
        <v>98</v>
      </c>
      <c r="E41" t="s">
        <v>30</v>
      </c>
      <c r="F41" s="6">
        <v>45657</v>
      </c>
      <c r="G41">
        <v>100</v>
      </c>
      <c r="H41">
        <v>99</v>
      </c>
      <c r="I41">
        <v>0.99</v>
      </c>
      <c r="J41">
        <v>0.99</v>
      </c>
      <c r="K41" t="s">
        <v>31</v>
      </c>
      <c r="L41" t="s">
        <v>31</v>
      </c>
      <c r="M41">
        <v>2024</v>
      </c>
      <c r="N41" t="s">
        <v>57</v>
      </c>
      <c r="O41" t="s">
        <v>78</v>
      </c>
      <c r="P41">
        <v>0</v>
      </c>
      <c r="Q41">
        <v>0</v>
      </c>
      <c r="R41">
        <v>0</v>
      </c>
      <c r="S41" t="s">
        <v>99</v>
      </c>
      <c r="T41" t="s">
        <v>101</v>
      </c>
      <c r="U41">
        <v>1</v>
      </c>
    </row>
    <row r="42" spans="1:21" x14ac:dyDescent="0.3">
      <c r="A42" t="s">
        <v>95</v>
      </c>
      <c r="B42" t="s">
        <v>96</v>
      </c>
      <c r="C42" t="s">
        <v>97</v>
      </c>
      <c r="D42" t="s">
        <v>98</v>
      </c>
      <c r="E42" t="s">
        <v>30</v>
      </c>
      <c r="F42" s="6">
        <v>46022</v>
      </c>
      <c r="G42">
        <v>100</v>
      </c>
      <c r="H42" t="s">
        <v>95</v>
      </c>
      <c r="I42">
        <v>1</v>
      </c>
      <c r="J42">
        <v>1</v>
      </c>
      <c r="K42" t="s">
        <v>102</v>
      </c>
      <c r="L42" t="s">
        <v>102</v>
      </c>
      <c r="M42">
        <v>2025</v>
      </c>
      <c r="N42" t="s">
        <v>57</v>
      </c>
      <c r="O42" t="s">
        <v>103</v>
      </c>
      <c r="P42">
        <v>2</v>
      </c>
      <c r="Q42">
        <v>2</v>
      </c>
      <c r="R42">
        <v>0</v>
      </c>
      <c r="S42" t="s">
        <v>104</v>
      </c>
      <c r="T42" t="s">
        <v>105</v>
      </c>
      <c r="U42">
        <v>31</v>
      </c>
    </row>
    <row r="43" spans="1:21" x14ac:dyDescent="0.3">
      <c r="A43" t="s">
        <v>106</v>
      </c>
      <c r="B43" t="s">
        <v>107</v>
      </c>
      <c r="C43" t="s">
        <v>97</v>
      </c>
      <c r="D43" t="s">
        <v>98</v>
      </c>
      <c r="E43" t="s">
        <v>108</v>
      </c>
      <c r="F43" s="6">
        <v>45291</v>
      </c>
      <c r="G43">
        <v>2.14</v>
      </c>
      <c r="H43">
        <v>0.47</v>
      </c>
      <c r="I43">
        <v>1</v>
      </c>
      <c r="J43">
        <v>1</v>
      </c>
      <c r="K43" t="s">
        <v>109</v>
      </c>
      <c r="L43" t="s">
        <v>109</v>
      </c>
      <c r="M43">
        <v>2023</v>
      </c>
      <c r="N43" t="s">
        <v>57</v>
      </c>
      <c r="O43" t="s">
        <v>47</v>
      </c>
      <c r="P43">
        <v>2</v>
      </c>
      <c r="Q43">
        <v>2</v>
      </c>
      <c r="R43">
        <v>0</v>
      </c>
      <c r="S43" t="s">
        <v>99</v>
      </c>
      <c r="T43" t="s">
        <v>110</v>
      </c>
      <c r="U43">
        <v>1</v>
      </c>
    </row>
    <row r="44" spans="1:21" x14ac:dyDescent="0.3">
      <c r="A44" t="s">
        <v>106</v>
      </c>
      <c r="B44" t="s">
        <v>107</v>
      </c>
      <c r="C44" t="s">
        <v>97</v>
      </c>
      <c r="D44" t="s">
        <v>98</v>
      </c>
      <c r="E44" t="s">
        <v>108</v>
      </c>
      <c r="F44" s="6">
        <v>45657</v>
      </c>
      <c r="G44">
        <v>1.2</v>
      </c>
      <c r="H44">
        <v>0.11</v>
      </c>
      <c r="I44">
        <v>1</v>
      </c>
      <c r="J44">
        <v>1</v>
      </c>
      <c r="K44" t="s">
        <v>109</v>
      </c>
      <c r="L44" t="s">
        <v>109</v>
      </c>
      <c r="M44">
        <v>2024</v>
      </c>
      <c r="N44" t="s">
        <v>57</v>
      </c>
      <c r="O44" t="s">
        <v>78</v>
      </c>
      <c r="P44">
        <v>2</v>
      </c>
      <c r="Q44">
        <v>2</v>
      </c>
      <c r="R44">
        <v>0</v>
      </c>
      <c r="S44" t="s">
        <v>99</v>
      </c>
      <c r="T44" t="s">
        <v>111</v>
      </c>
      <c r="U44">
        <v>1</v>
      </c>
    </row>
    <row r="45" spans="1:21" x14ac:dyDescent="0.3">
      <c r="A45" t="s">
        <v>106</v>
      </c>
      <c r="B45" t="s">
        <v>107</v>
      </c>
      <c r="C45" t="s">
        <v>97</v>
      </c>
      <c r="D45" t="s">
        <v>98</v>
      </c>
      <c r="E45" t="s">
        <v>108</v>
      </c>
      <c r="F45" s="6">
        <v>46022</v>
      </c>
      <c r="G45">
        <v>2.14</v>
      </c>
      <c r="H45" t="s">
        <v>112</v>
      </c>
      <c r="I45">
        <v>1.3</v>
      </c>
      <c r="J45">
        <v>10.19047619047619</v>
      </c>
      <c r="K45" t="s">
        <v>113</v>
      </c>
      <c r="L45" t="s">
        <v>114</v>
      </c>
      <c r="M45">
        <v>2025</v>
      </c>
      <c r="N45" t="s">
        <v>57</v>
      </c>
      <c r="O45" t="s">
        <v>103</v>
      </c>
      <c r="P45">
        <v>2</v>
      </c>
      <c r="Q45">
        <v>2</v>
      </c>
      <c r="R45">
        <v>0</v>
      </c>
      <c r="S45" t="s">
        <v>104</v>
      </c>
      <c r="T45" t="s">
        <v>115</v>
      </c>
      <c r="U45">
        <v>31</v>
      </c>
    </row>
    <row r="46" spans="1:21" x14ac:dyDescent="0.3">
      <c r="A46" t="s">
        <v>116</v>
      </c>
      <c r="B46" t="s">
        <v>117</v>
      </c>
      <c r="C46" t="s">
        <v>97</v>
      </c>
      <c r="D46" t="s">
        <v>98</v>
      </c>
      <c r="E46" t="s">
        <v>108</v>
      </c>
      <c r="F46" s="6">
        <v>45291</v>
      </c>
      <c r="G46">
        <v>1.0000000000000001E-5</v>
      </c>
      <c r="H46">
        <v>1.0000000000000001E-5</v>
      </c>
      <c r="I46">
        <v>1</v>
      </c>
      <c r="J46">
        <v>1</v>
      </c>
      <c r="K46" t="s">
        <v>118</v>
      </c>
      <c r="L46" t="s">
        <v>118</v>
      </c>
      <c r="M46">
        <v>2023</v>
      </c>
      <c r="N46" t="s">
        <v>57</v>
      </c>
      <c r="O46" t="s">
        <v>47</v>
      </c>
      <c r="P46">
        <v>0</v>
      </c>
      <c r="Q46">
        <v>0</v>
      </c>
      <c r="R46">
        <v>0</v>
      </c>
      <c r="S46" t="s">
        <v>99</v>
      </c>
      <c r="T46" t="s">
        <v>119</v>
      </c>
      <c r="U46">
        <v>1</v>
      </c>
    </row>
    <row r="47" spans="1:21" x14ac:dyDescent="0.3">
      <c r="A47" t="s">
        <v>116</v>
      </c>
      <c r="B47" t="s">
        <v>117</v>
      </c>
      <c r="C47" t="s">
        <v>97</v>
      </c>
      <c r="D47" t="s">
        <v>98</v>
      </c>
      <c r="E47" t="s">
        <v>108</v>
      </c>
      <c r="F47" s="6">
        <v>45657</v>
      </c>
      <c r="G47">
        <v>0</v>
      </c>
      <c r="H47">
        <v>0</v>
      </c>
      <c r="I47">
        <v>1</v>
      </c>
      <c r="J47">
        <v>1</v>
      </c>
      <c r="K47" t="s">
        <v>118</v>
      </c>
      <c r="L47" t="s">
        <v>118</v>
      </c>
      <c r="M47">
        <v>2024</v>
      </c>
      <c r="N47" t="s">
        <v>57</v>
      </c>
      <c r="O47" t="s">
        <v>78</v>
      </c>
      <c r="P47">
        <v>0</v>
      </c>
      <c r="Q47">
        <v>0</v>
      </c>
      <c r="R47">
        <v>0</v>
      </c>
      <c r="S47" t="s">
        <v>99</v>
      </c>
      <c r="T47" t="s">
        <v>120</v>
      </c>
      <c r="U47">
        <v>1</v>
      </c>
    </row>
    <row r="48" spans="1:21" x14ac:dyDescent="0.3">
      <c r="A48" t="s">
        <v>116</v>
      </c>
      <c r="B48" t="s">
        <v>117</v>
      </c>
      <c r="C48" t="s">
        <v>97</v>
      </c>
      <c r="D48" t="s">
        <v>98</v>
      </c>
      <c r="E48" t="s">
        <v>108</v>
      </c>
      <c r="F48" s="6">
        <v>46022</v>
      </c>
      <c r="G48">
        <v>0</v>
      </c>
      <c r="H48" t="s">
        <v>121</v>
      </c>
      <c r="I48">
        <v>0</v>
      </c>
      <c r="J48">
        <v>0</v>
      </c>
      <c r="K48" t="s">
        <v>122</v>
      </c>
      <c r="L48" t="s">
        <v>122</v>
      </c>
      <c r="M48">
        <v>2025</v>
      </c>
      <c r="N48" t="s">
        <v>57</v>
      </c>
      <c r="O48" t="s">
        <v>103</v>
      </c>
      <c r="P48">
        <v>2</v>
      </c>
      <c r="Q48">
        <v>2</v>
      </c>
      <c r="R48">
        <v>0</v>
      </c>
      <c r="S48" t="s">
        <v>104</v>
      </c>
      <c r="T48" t="s">
        <v>123</v>
      </c>
      <c r="U48">
        <v>31</v>
      </c>
    </row>
    <row r="49" spans="1:21" x14ac:dyDescent="0.3">
      <c r="A49" t="s">
        <v>124</v>
      </c>
      <c r="B49" t="s">
        <v>125</v>
      </c>
      <c r="C49" t="s">
        <v>126</v>
      </c>
      <c r="D49" t="s">
        <v>98</v>
      </c>
      <c r="E49" t="s">
        <v>30</v>
      </c>
      <c r="F49" s="6">
        <v>45657</v>
      </c>
      <c r="M49">
        <v>2024</v>
      </c>
      <c r="N49" t="s">
        <v>57</v>
      </c>
      <c r="O49" t="s">
        <v>78</v>
      </c>
      <c r="P49">
        <v>0</v>
      </c>
      <c r="Q49">
        <v>0</v>
      </c>
      <c r="R49">
        <v>0</v>
      </c>
      <c r="S49" t="s">
        <v>99</v>
      </c>
      <c r="T49" t="s">
        <v>127</v>
      </c>
      <c r="U49">
        <v>1</v>
      </c>
    </row>
    <row r="50" spans="1:21" x14ac:dyDescent="0.3">
      <c r="A50" t="s">
        <v>128</v>
      </c>
      <c r="B50" t="s">
        <v>125</v>
      </c>
      <c r="C50" t="s">
        <v>129</v>
      </c>
      <c r="D50" t="s">
        <v>98</v>
      </c>
      <c r="E50" t="s">
        <v>30</v>
      </c>
      <c r="F50" s="6">
        <v>44926</v>
      </c>
      <c r="G50">
        <v>80</v>
      </c>
      <c r="H50">
        <v>80.476190476190496</v>
      </c>
      <c r="I50">
        <v>1.0059523809523809</v>
      </c>
      <c r="J50">
        <v>1.0059523809523809</v>
      </c>
      <c r="K50" t="s">
        <v>31</v>
      </c>
      <c r="L50" t="s">
        <v>31</v>
      </c>
      <c r="M50">
        <v>2022</v>
      </c>
      <c r="N50" t="s">
        <v>57</v>
      </c>
      <c r="O50" t="s">
        <v>90</v>
      </c>
      <c r="P50">
        <v>0</v>
      </c>
      <c r="Q50">
        <v>0</v>
      </c>
      <c r="R50">
        <v>0</v>
      </c>
      <c r="S50" t="s">
        <v>130</v>
      </c>
      <c r="T50" t="s">
        <v>131</v>
      </c>
      <c r="U50">
        <v>1</v>
      </c>
    </row>
    <row r="51" spans="1:21" x14ac:dyDescent="0.3">
      <c r="A51" t="s">
        <v>128</v>
      </c>
      <c r="B51" t="s">
        <v>125</v>
      </c>
      <c r="C51" t="s">
        <v>129</v>
      </c>
      <c r="D51" t="s">
        <v>98</v>
      </c>
      <c r="E51" t="s">
        <v>30</v>
      </c>
      <c r="F51" s="6">
        <v>45230</v>
      </c>
      <c r="G51">
        <v>80</v>
      </c>
      <c r="H51">
        <v>92.953627628463991</v>
      </c>
      <c r="I51">
        <v>1.1619203453558</v>
      </c>
      <c r="J51">
        <v>1.1619203453558</v>
      </c>
      <c r="K51" t="s">
        <v>31</v>
      </c>
      <c r="L51" t="s">
        <v>31</v>
      </c>
      <c r="M51">
        <v>2023</v>
      </c>
      <c r="N51" t="s">
        <v>53</v>
      </c>
      <c r="O51" t="s">
        <v>47</v>
      </c>
      <c r="P51">
        <v>0</v>
      </c>
      <c r="Q51">
        <v>0</v>
      </c>
      <c r="R51">
        <v>0</v>
      </c>
      <c r="S51" t="s">
        <v>130</v>
      </c>
      <c r="T51" t="s">
        <v>132</v>
      </c>
      <c r="U51">
        <v>1</v>
      </c>
    </row>
    <row r="52" spans="1:21" x14ac:dyDescent="0.3">
      <c r="A52" t="s">
        <v>128</v>
      </c>
      <c r="B52" t="s">
        <v>125</v>
      </c>
      <c r="C52" t="s">
        <v>133</v>
      </c>
      <c r="D52" t="s">
        <v>98</v>
      </c>
      <c r="E52" t="s">
        <v>30</v>
      </c>
      <c r="F52" s="6">
        <v>45230</v>
      </c>
      <c r="G52">
        <v>80</v>
      </c>
      <c r="H52">
        <v>89.440265168623696</v>
      </c>
      <c r="I52">
        <v>1.1180033146077959</v>
      </c>
      <c r="J52">
        <v>1.1180033146077959</v>
      </c>
      <c r="K52" t="s">
        <v>31</v>
      </c>
      <c r="L52" t="s">
        <v>31</v>
      </c>
      <c r="M52">
        <v>2023</v>
      </c>
      <c r="N52" t="s">
        <v>53</v>
      </c>
      <c r="O52" t="s">
        <v>47</v>
      </c>
      <c r="P52">
        <v>0</v>
      </c>
      <c r="Q52">
        <v>0</v>
      </c>
      <c r="R52">
        <v>0</v>
      </c>
      <c r="S52" t="s">
        <v>130</v>
      </c>
      <c r="T52" t="s">
        <v>134</v>
      </c>
      <c r="U52">
        <v>1</v>
      </c>
    </row>
    <row r="53" spans="1:21" x14ac:dyDescent="0.3">
      <c r="A53" t="s">
        <v>128</v>
      </c>
      <c r="B53" t="s">
        <v>125</v>
      </c>
      <c r="C53" t="s">
        <v>129</v>
      </c>
      <c r="D53" t="s">
        <v>98</v>
      </c>
      <c r="E53" t="s">
        <v>30</v>
      </c>
      <c r="F53" s="6">
        <v>45291</v>
      </c>
      <c r="G53">
        <v>80</v>
      </c>
      <c r="H53">
        <v>80.476190476190496</v>
      </c>
      <c r="I53">
        <v>1.0059523809523809</v>
      </c>
      <c r="J53">
        <v>1.0059523809523809</v>
      </c>
      <c r="K53" t="s">
        <v>31</v>
      </c>
      <c r="L53" t="s">
        <v>31</v>
      </c>
      <c r="M53">
        <v>2023</v>
      </c>
      <c r="N53" t="s">
        <v>57</v>
      </c>
      <c r="O53" t="s">
        <v>47</v>
      </c>
      <c r="P53">
        <v>0</v>
      </c>
      <c r="Q53">
        <v>0</v>
      </c>
      <c r="R53">
        <v>0</v>
      </c>
      <c r="S53" t="s">
        <v>130</v>
      </c>
      <c r="T53" t="s">
        <v>135</v>
      </c>
      <c r="U53">
        <v>1</v>
      </c>
    </row>
    <row r="54" spans="1:21" x14ac:dyDescent="0.3">
      <c r="A54" t="s">
        <v>128</v>
      </c>
      <c r="B54" t="s">
        <v>125</v>
      </c>
      <c r="C54" t="s">
        <v>133</v>
      </c>
      <c r="D54" t="s">
        <v>98</v>
      </c>
      <c r="E54" t="s">
        <v>30</v>
      </c>
      <c r="F54" s="6">
        <v>45291</v>
      </c>
      <c r="G54">
        <v>80</v>
      </c>
      <c r="H54">
        <v>89.440265168623696</v>
      </c>
      <c r="I54">
        <v>1.1180033146077959</v>
      </c>
      <c r="J54">
        <v>1.1180033146077959</v>
      </c>
      <c r="K54" t="s">
        <v>31</v>
      </c>
      <c r="L54" t="s">
        <v>31</v>
      </c>
      <c r="M54">
        <v>2023</v>
      </c>
      <c r="N54" t="s">
        <v>57</v>
      </c>
      <c r="O54" t="s">
        <v>47</v>
      </c>
      <c r="P54">
        <v>0</v>
      </c>
      <c r="Q54">
        <v>0</v>
      </c>
      <c r="R54">
        <v>0</v>
      </c>
      <c r="S54" t="s">
        <v>130</v>
      </c>
      <c r="T54" t="s">
        <v>136</v>
      </c>
      <c r="U54">
        <v>1</v>
      </c>
    </row>
    <row r="55" spans="1:21" x14ac:dyDescent="0.3">
      <c r="A55" t="s">
        <v>137</v>
      </c>
      <c r="B55" t="s">
        <v>125</v>
      </c>
      <c r="C55" t="s">
        <v>138</v>
      </c>
      <c r="D55" t="s">
        <v>98</v>
      </c>
      <c r="E55" t="s">
        <v>30</v>
      </c>
      <c r="F55" s="6">
        <v>45230</v>
      </c>
      <c r="G55">
        <v>80</v>
      </c>
      <c r="H55">
        <v>96.689723320158109</v>
      </c>
      <c r="I55">
        <v>1.2086215415019761</v>
      </c>
      <c r="J55">
        <v>1.2086215415019761</v>
      </c>
      <c r="K55" t="s">
        <v>31</v>
      </c>
      <c r="L55" t="s">
        <v>31</v>
      </c>
      <c r="M55">
        <v>2023</v>
      </c>
      <c r="N55" t="s">
        <v>53</v>
      </c>
      <c r="O55" t="s">
        <v>47</v>
      </c>
      <c r="P55">
        <v>0</v>
      </c>
      <c r="Q55">
        <v>0</v>
      </c>
      <c r="R55">
        <v>0</v>
      </c>
      <c r="S55" t="s">
        <v>130</v>
      </c>
      <c r="T55" t="s">
        <v>139</v>
      </c>
      <c r="U55">
        <v>1</v>
      </c>
    </row>
    <row r="56" spans="1:21" x14ac:dyDescent="0.3">
      <c r="A56" t="s">
        <v>137</v>
      </c>
      <c r="B56" t="s">
        <v>125</v>
      </c>
      <c r="C56" t="s">
        <v>138</v>
      </c>
      <c r="D56" t="s">
        <v>98</v>
      </c>
      <c r="E56" t="s">
        <v>30</v>
      </c>
      <c r="F56" s="6">
        <v>45291</v>
      </c>
      <c r="G56">
        <v>80</v>
      </c>
      <c r="H56">
        <v>96.689723320158109</v>
      </c>
      <c r="I56">
        <v>1.2086215415019761</v>
      </c>
      <c r="J56">
        <v>1.2086215415019761</v>
      </c>
      <c r="K56" t="s">
        <v>31</v>
      </c>
      <c r="L56" t="s">
        <v>31</v>
      </c>
      <c r="M56">
        <v>2023</v>
      </c>
      <c r="N56" t="s">
        <v>57</v>
      </c>
      <c r="O56" t="s">
        <v>47</v>
      </c>
      <c r="P56">
        <v>0</v>
      </c>
      <c r="Q56">
        <v>0</v>
      </c>
      <c r="R56">
        <v>0</v>
      </c>
      <c r="S56" t="s">
        <v>130</v>
      </c>
      <c r="T56" t="s">
        <v>140</v>
      </c>
      <c r="U56">
        <v>1</v>
      </c>
    </row>
    <row r="57" spans="1:21" x14ac:dyDescent="0.3">
      <c r="A57" t="s">
        <v>141</v>
      </c>
      <c r="B57" t="s">
        <v>125</v>
      </c>
      <c r="C57" t="s">
        <v>142</v>
      </c>
      <c r="D57" t="s">
        <v>98</v>
      </c>
      <c r="E57" t="s">
        <v>30</v>
      </c>
      <c r="F57" s="6">
        <v>45230</v>
      </c>
      <c r="G57">
        <v>80</v>
      </c>
      <c r="H57">
        <v>84.559884559884608</v>
      </c>
      <c r="I57">
        <v>1.056998556998558</v>
      </c>
      <c r="J57">
        <v>1.056998556998558</v>
      </c>
      <c r="K57" t="s">
        <v>31</v>
      </c>
      <c r="L57" t="s">
        <v>31</v>
      </c>
      <c r="M57">
        <v>2023</v>
      </c>
      <c r="N57" t="s">
        <v>53</v>
      </c>
      <c r="O57" t="s">
        <v>47</v>
      </c>
      <c r="P57">
        <v>0</v>
      </c>
      <c r="Q57">
        <v>0</v>
      </c>
      <c r="R57">
        <v>0</v>
      </c>
      <c r="S57" t="s">
        <v>130</v>
      </c>
      <c r="T57" t="s">
        <v>143</v>
      </c>
      <c r="U57">
        <v>1</v>
      </c>
    </row>
    <row r="58" spans="1:21" x14ac:dyDescent="0.3">
      <c r="A58" t="s">
        <v>141</v>
      </c>
      <c r="B58" t="s">
        <v>125</v>
      </c>
      <c r="C58" t="s">
        <v>142</v>
      </c>
      <c r="D58" t="s">
        <v>98</v>
      </c>
      <c r="E58" t="s">
        <v>30</v>
      </c>
      <c r="F58" s="6">
        <v>45291</v>
      </c>
      <c r="G58">
        <v>80</v>
      </c>
      <c r="H58">
        <v>84.559884559884608</v>
      </c>
      <c r="I58">
        <v>1.056998556998558</v>
      </c>
      <c r="J58">
        <v>1.056998556998558</v>
      </c>
      <c r="K58" t="s">
        <v>31</v>
      </c>
      <c r="L58" t="s">
        <v>31</v>
      </c>
      <c r="M58">
        <v>2023</v>
      </c>
      <c r="N58" t="s">
        <v>57</v>
      </c>
      <c r="O58" t="s">
        <v>47</v>
      </c>
      <c r="P58">
        <v>0</v>
      </c>
      <c r="Q58">
        <v>0</v>
      </c>
      <c r="R58">
        <v>0</v>
      </c>
      <c r="S58" t="s">
        <v>130</v>
      </c>
      <c r="T58" t="s">
        <v>144</v>
      </c>
      <c r="U58">
        <v>1</v>
      </c>
    </row>
    <row r="59" spans="1:21" x14ac:dyDescent="0.3">
      <c r="A59" t="s">
        <v>145</v>
      </c>
      <c r="B59" t="s">
        <v>125</v>
      </c>
      <c r="C59" t="s">
        <v>146</v>
      </c>
      <c r="D59" t="s">
        <v>98</v>
      </c>
      <c r="E59" t="s">
        <v>30</v>
      </c>
      <c r="F59" s="6">
        <v>45230</v>
      </c>
      <c r="G59">
        <v>80</v>
      </c>
      <c r="H59">
        <v>86</v>
      </c>
      <c r="I59">
        <v>1.075</v>
      </c>
      <c r="J59">
        <v>1.075</v>
      </c>
      <c r="K59" t="s">
        <v>31</v>
      </c>
      <c r="L59" t="s">
        <v>31</v>
      </c>
      <c r="M59">
        <v>2023</v>
      </c>
      <c r="N59" t="s">
        <v>53</v>
      </c>
      <c r="O59" t="s">
        <v>47</v>
      </c>
      <c r="P59">
        <v>0</v>
      </c>
      <c r="Q59">
        <v>0</v>
      </c>
      <c r="R59">
        <v>0</v>
      </c>
      <c r="S59" t="s">
        <v>130</v>
      </c>
      <c r="T59" t="s">
        <v>147</v>
      </c>
      <c r="U59">
        <v>1</v>
      </c>
    </row>
    <row r="60" spans="1:21" x14ac:dyDescent="0.3">
      <c r="A60" t="s">
        <v>145</v>
      </c>
      <c r="B60" t="s">
        <v>125</v>
      </c>
      <c r="C60" t="s">
        <v>146</v>
      </c>
      <c r="D60" t="s">
        <v>98</v>
      </c>
      <c r="E60" t="s">
        <v>30</v>
      </c>
      <c r="F60" s="6">
        <v>45291</v>
      </c>
      <c r="G60">
        <v>80</v>
      </c>
      <c r="H60">
        <v>86</v>
      </c>
      <c r="I60">
        <v>1.075</v>
      </c>
      <c r="J60">
        <v>1.075</v>
      </c>
      <c r="K60" t="s">
        <v>31</v>
      </c>
      <c r="L60" t="s">
        <v>31</v>
      </c>
      <c r="M60">
        <v>2023</v>
      </c>
      <c r="N60" t="s">
        <v>57</v>
      </c>
      <c r="O60" t="s">
        <v>47</v>
      </c>
      <c r="P60">
        <v>0</v>
      </c>
      <c r="Q60">
        <v>0</v>
      </c>
      <c r="R60">
        <v>0</v>
      </c>
      <c r="S60" t="s">
        <v>130</v>
      </c>
      <c r="T60" t="s">
        <v>148</v>
      </c>
      <c r="U60">
        <v>1</v>
      </c>
    </row>
    <row r="61" spans="1:21" x14ac:dyDescent="0.3">
      <c r="A61" t="s">
        <v>149</v>
      </c>
      <c r="B61" t="s">
        <v>125</v>
      </c>
      <c r="C61" t="s">
        <v>150</v>
      </c>
      <c r="D61" t="s">
        <v>98</v>
      </c>
      <c r="E61" t="s">
        <v>30</v>
      </c>
      <c r="F61" s="6">
        <v>45230</v>
      </c>
      <c r="G61">
        <v>80</v>
      </c>
      <c r="H61">
        <v>76.418533802500093</v>
      </c>
      <c r="I61">
        <v>0.95523167253125119</v>
      </c>
      <c r="J61">
        <v>0.95523167253125119</v>
      </c>
      <c r="K61" t="s">
        <v>31</v>
      </c>
      <c r="L61" t="s">
        <v>31</v>
      </c>
      <c r="M61">
        <v>2023</v>
      </c>
      <c r="N61" t="s">
        <v>53</v>
      </c>
      <c r="O61" t="s">
        <v>47</v>
      </c>
      <c r="P61">
        <v>0</v>
      </c>
      <c r="Q61">
        <v>0</v>
      </c>
      <c r="R61">
        <v>0</v>
      </c>
      <c r="S61" t="s">
        <v>130</v>
      </c>
      <c r="T61" t="s">
        <v>151</v>
      </c>
      <c r="U61">
        <v>1</v>
      </c>
    </row>
    <row r="62" spans="1:21" x14ac:dyDescent="0.3">
      <c r="A62" t="s">
        <v>149</v>
      </c>
      <c r="B62" t="s">
        <v>125</v>
      </c>
      <c r="C62" t="s">
        <v>150</v>
      </c>
      <c r="D62" t="s">
        <v>98</v>
      </c>
      <c r="E62" t="s">
        <v>30</v>
      </c>
      <c r="F62" s="6">
        <v>45291</v>
      </c>
      <c r="G62">
        <v>80</v>
      </c>
      <c r="H62">
        <v>76.418533802500093</v>
      </c>
      <c r="I62">
        <v>0.95523167253125119</v>
      </c>
      <c r="J62">
        <v>0.95523167253125119</v>
      </c>
      <c r="K62" t="s">
        <v>31</v>
      </c>
      <c r="L62" t="s">
        <v>31</v>
      </c>
      <c r="M62">
        <v>2023</v>
      </c>
      <c r="N62" t="s">
        <v>57</v>
      </c>
      <c r="O62" t="s">
        <v>47</v>
      </c>
      <c r="P62">
        <v>0</v>
      </c>
      <c r="Q62">
        <v>0</v>
      </c>
      <c r="R62">
        <v>0</v>
      </c>
      <c r="S62" t="s">
        <v>130</v>
      </c>
      <c r="T62" t="s">
        <v>152</v>
      </c>
      <c r="U62">
        <v>1</v>
      </c>
    </row>
    <row r="63" spans="1:21" x14ac:dyDescent="0.3">
      <c r="A63" t="s">
        <v>153</v>
      </c>
      <c r="B63" t="s">
        <v>125</v>
      </c>
      <c r="C63" t="s">
        <v>154</v>
      </c>
      <c r="D63" t="s">
        <v>98</v>
      </c>
      <c r="E63" t="s">
        <v>30</v>
      </c>
      <c r="F63" s="6">
        <v>45230</v>
      </c>
      <c r="G63">
        <v>80</v>
      </c>
      <c r="H63">
        <v>82.904040404040401</v>
      </c>
      <c r="I63">
        <v>1.036300505050505</v>
      </c>
      <c r="J63">
        <v>1.036300505050505</v>
      </c>
      <c r="K63" t="s">
        <v>31</v>
      </c>
      <c r="L63" t="s">
        <v>31</v>
      </c>
      <c r="M63">
        <v>2023</v>
      </c>
      <c r="N63" t="s">
        <v>53</v>
      </c>
      <c r="O63" t="s">
        <v>47</v>
      </c>
      <c r="P63">
        <v>0</v>
      </c>
      <c r="Q63">
        <v>0</v>
      </c>
      <c r="R63">
        <v>0</v>
      </c>
      <c r="S63" t="s">
        <v>130</v>
      </c>
      <c r="T63" t="s">
        <v>155</v>
      </c>
      <c r="U63">
        <v>1</v>
      </c>
    </row>
    <row r="64" spans="1:21" x14ac:dyDescent="0.3">
      <c r="A64" t="s">
        <v>153</v>
      </c>
      <c r="B64" t="s">
        <v>125</v>
      </c>
      <c r="C64" t="s">
        <v>154</v>
      </c>
      <c r="D64" t="s">
        <v>98</v>
      </c>
      <c r="E64" t="s">
        <v>30</v>
      </c>
      <c r="F64" s="6">
        <v>45291</v>
      </c>
      <c r="G64">
        <v>80</v>
      </c>
      <c r="H64">
        <v>82.904040404040401</v>
      </c>
      <c r="I64">
        <v>1.036300505050505</v>
      </c>
      <c r="J64">
        <v>1.036300505050505</v>
      </c>
      <c r="K64" t="s">
        <v>31</v>
      </c>
      <c r="L64" t="s">
        <v>31</v>
      </c>
      <c r="M64">
        <v>2023</v>
      </c>
      <c r="N64" t="s">
        <v>57</v>
      </c>
      <c r="O64" t="s">
        <v>47</v>
      </c>
      <c r="P64">
        <v>0</v>
      </c>
      <c r="Q64">
        <v>0</v>
      </c>
      <c r="R64">
        <v>0</v>
      </c>
      <c r="S64" t="s">
        <v>130</v>
      </c>
      <c r="T64" t="s">
        <v>156</v>
      </c>
      <c r="U64">
        <v>1</v>
      </c>
    </row>
    <row r="65" spans="1:21" x14ac:dyDescent="0.3">
      <c r="A65" t="s">
        <v>157</v>
      </c>
      <c r="B65" t="s">
        <v>125</v>
      </c>
      <c r="C65" t="s">
        <v>158</v>
      </c>
      <c r="D65" t="s">
        <v>98</v>
      </c>
      <c r="E65" t="s">
        <v>30</v>
      </c>
      <c r="F65" s="6">
        <v>45291</v>
      </c>
      <c r="G65">
        <v>80</v>
      </c>
      <c r="H65">
        <v>88.508473249579296</v>
      </c>
      <c r="I65">
        <v>1.1063559156197409</v>
      </c>
      <c r="J65">
        <v>1.1063559156197409</v>
      </c>
      <c r="M65">
        <v>2023</v>
      </c>
      <c r="N65" t="s">
        <v>57</v>
      </c>
      <c r="O65" t="s">
        <v>47</v>
      </c>
      <c r="P65">
        <v>1</v>
      </c>
      <c r="Q65">
        <v>1</v>
      </c>
      <c r="R65">
        <v>0</v>
      </c>
      <c r="S65" t="s">
        <v>130</v>
      </c>
      <c r="T65" t="s">
        <v>159</v>
      </c>
      <c r="U65">
        <v>1</v>
      </c>
    </row>
    <row r="66" spans="1:21" x14ac:dyDescent="0.3">
      <c r="A66" t="s">
        <v>160</v>
      </c>
      <c r="B66" t="s">
        <v>125</v>
      </c>
      <c r="C66" t="s">
        <v>161</v>
      </c>
      <c r="D66" t="s">
        <v>98</v>
      </c>
      <c r="E66" t="s">
        <v>30</v>
      </c>
      <c r="F66" s="6">
        <v>45230</v>
      </c>
      <c r="G66">
        <v>80</v>
      </c>
      <c r="H66">
        <v>94.811073336571098</v>
      </c>
      <c r="I66">
        <v>1.185138416707139</v>
      </c>
      <c r="J66">
        <v>1.185138416707139</v>
      </c>
      <c r="K66" t="s">
        <v>31</v>
      </c>
      <c r="L66" t="s">
        <v>31</v>
      </c>
      <c r="M66">
        <v>2023</v>
      </c>
      <c r="N66" t="s">
        <v>53</v>
      </c>
      <c r="O66" t="s">
        <v>47</v>
      </c>
      <c r="P66">
        <v>0</v>
      </c>
      <c r="Q66">
        <v>0</v>
      </c>
      <c r="R66">
        <v>0</v>
      </c>
      <c r="S66" t="s">
        <v>130</v>
      </c>
      <c r="T66" t="s">
        <v>162</v>
      </c>
      <c r="U66">
        <v>1</v>
      </c>
    </row>
    <row r="67" spans="1:21" x14ac:dyDescent="0.3">
      <c r="A67" t="s">
        <v>160</v>
      </c>
      <c r="B67" t="s">
        <v>125</v>
      </c>
      <c r="C67" t="s">
        <v>161</v>
      </c>
      <c r="D67" t="s">
        <v>98</v>
      </c>
      <c r="E67" t="s">
        <v>30</v>
      </c>
      <c r="F67" s="6">
        <v>45291</v>
      </c>
      <c r="G67">
        <v>80</v>
      </c>
      <c r="H67">
        <v>94.811073336571098</v>
      </c>
      <c r="I67">
        <v>1.185138416707139</v>
      </c>
      <c r="J67">
        <v>1.185138416707139</v>
      </c>
      <c r="K67" t="s">
        <v>31</v>
      </c>
      <c r="L67" t="s">
        <v>31</v>
      </c>
      <c r="M67">
        <v>2023</v>
      </c>
      <c r="N67" t="s">
        <v>57</v>
      </c>
      <c r="O67" t="s">
        <v>47</v>
      </c>
      <c r="P67">
        <v>0</v>
      </c>
      <c r="Q67">
        <v>0</v>
      </c>
      <c r="R67">
        <v>0</v>
      </c>
      <c r="S67" t="s">
        <v>130</v>
      </c>
      <c r="T67" t="s">
        <v>163</v>
      </c>
      <c r="U67">
        <v>1</v>
      </c>
    </row>
    <row r="68" spans="1:21" x14ac:dyDescent="0.3">
      <c r="A68" t="s">
        <v>164</v>
      </c>
      <c r="B68" t="s">
        <v>125</v>
      </c>
      <c r="C68" t="s">
        <v>165</v>
      </c>
      <c r="D68" t="s">
        <v>98</v>
      </c>
      <c r="E68" t="s">
        <v>30</v>
      </c>
      <c r="F68" s="6">
        <v>45230</v>
      </c>
      <c r="G68">
        <v>80</v>
      </c>
      <c r="H68">
        <v>87.392767703668298</v>
      </c>
      <c r="I68">
        <v>1.092409596295854</v>
      </c>
      <c r="J68">
        <v>1.092409596295854</v>
      </c>
      <c r="K68" t="s">
        <v>31</v>
      </c>
      <c r="L68" t="s">
        <v>31</v>
      </c>
      <c r="M68">
        <v>2023</v>
      </c>
      <c r="N68" t="s">
        <v>53</v>
      </c>
      <c r="O68" t="s">
        <v>47</v>
      </c>
      <c r="P68">
        <v>0</v>
      </c>
      <c r="Q68">
        <v>0</v>
      </c>
      <c r="R68">
        <v>0</v>
      </c>
      <c r="S68" t="s">
        <v>130</v>
      </c>
      <c r="T68" t="s">
        <v>166</v>
      </c>
      <c r="U68">
        <v>1</v>
      </c>
    </row>
    <row r="69" spans="1:21" x14ac:dyDescent="0.3">
      <c r="A69" t="s">
        <v>164</v>
      </c>
      <c r="B69" t="s">
        <v>125</v>
      </c>
      <c r="C69" t="s">
        <v>165</v>
      </c>
      <c r="D69" t="s">
        <v>98</v>
      </c>
      <c r="E69" t="s">
        <v>30</v>
      </c>
      <c r="F69" s="6">
        <v>45291</v>
      </c>
      <c r="G69">
        <v>80</v>
      </c>
      <c r="H69">
        <v>87.392767703668298</v>
      </c>
      <c r="I69">
        <v>1.092409596295854</v>
      </c>
      <c r="J69">
        <v>1.092409596295854</v>
      </c>
      <c r="K69" t="s">
        <v>31</v>
      </c>
      <c r="L69" t="s">
        <v>31</v>
      </c>
      <c r="M69">
        <v>2023</v>
      </c>
      <c r="N69" t="s">
        <v>57</v>
      </c>
      <c r="O69" t="s">
        <v>47</v>
      </c>
      <c r="P69">
        <v>0</v>
      </c>
      <c r="Q69">
        <v>0</v>
      </c>
      <c r="R69">
        <v>0</v>
      </c>
      <c r="S69" t="s">
        <v>130</v>
      </c>
      <c r="T69" t="s">
        <v>167</v>
      </c>
      <c r="U69">
        <v>1</v>
      </c>
    </row>
    <row r="70" spans="1:21" x14ac:dyDescent="0.3">
      <c r="A70" t="s">
        <v>168</v>
      </c>
      <c r="B70" t="s">
        <v>125</v>
      </c>
      <c r="C70" t="s">
        <v>169</v>
      </c>
      <c r="D70" t="s">
        <v>98</v>
      </c>
      <c r="E70" t="s">
        <v>30</v>
      </c>
      <c r="F70" s="6">
        <v>44926</v>
      </c>
      <c r="G70">
        <v>80</v>
      </c>
      <c r="H70">
        <v>68</v>
      </c>
      <c r="I70">
        <v>0.85</v>
      </c>
      <c r="J70">
        <v>0.85</v>
      </c>
      <c r="K70" t="s">
        <v>31</v>
      </c>
      <c r="L70" t="s">
        <v>31</v>
      </c>
      <c r="M70">
        <v>2022</v>
      </c>
      <c r="N70" t="s">
        <v>57</v>
      </c>
      <c r="O70" t="s">
        <v>90</v>
      </c>
      <c r="P70">
        <v>0</v>
      </c>
      <c r="Q70">
        <v>0</v>
      </c>
      <c r="R70">
        <v>0</v>
      </c>
      <c r="S70" t="s">
        <v>130</v>
      </c>
      <c r="T70" t="s">
        <v>170</v>
      </c>
      <c r="U70">
        <v>1</v>
      </c>
    </row>
    <row r="71" spans="1:21" x14ac:dyDescent="0.3">
      <c r="A71" t="s">
        <v>168</v>
      </c>
      <c r="B71" t="s">
        <v>125</v>
      </c>
      <c r="C71" t="s">
        <v>169</v>
      </c>
      <c r="D71" t="s">
        <v>98</v>
      </c>
      <c r="E71" t="s">
        <v>30</v>
      </c>
      <c r="F71" s="6">
        <v>45230</v>
      </c>
      <c r="G71">
        <v>80</v>
      </c>
      <c r="H71">
        <v>90.977702771558697</v>
      </c>
      <c r="I71">
        <v>1.137221284644484</v>
      </c>
      <c r="J71">
        <v>1.137221284644484</v>
      </c>
      <c r="K71" t="s">
        <v>31</v>
      </c>
      <c r="L71" t="s">
        <v>31</v>
      </c>
      <c r="M71">
        <v>2023</v>
      </c>
      <c r="N71" t="s">
        <v>53</v>
      </c>
      <c r="O71" t="s">
        <v>47</v>
      </c>
      <c r="P71">
        <v>0</v>
      </c>
      <c r="Q71">
        <v>0</v>
      </c>
      <c r="R71">
        <v>0</v>
      </c>
      <c r="S71" t="s">
        <v>130</v>
      </c>
      <c r="T71" t="s">
        <v>171</v>
      </c>
      <c r="U71">
        <v>1</v>
      </c>
    </row>
    <row r="72" spans="1:21" x14ac:dyDescent="0.3">
      <c r="A72" t="s">
        <v>168</v>
      </c>
      <c r="B72" t="s">
        <v>125</v>
      </c>
      <c r="C72" t="s">
        <v>169</v>
      </c>
      <c r="D72" t="s">
        <v>98</v>
      </c>
      <c r="E72" t="s">
        <v>30</v>
      </c>
      <c r="F72" s="6">
        <v>45291</v>
      </c>
      <c r="G72">
        <v>80</v>
      </c>
      <c r="H72">
        <v>90.977702771558697</v>
      </c>
      <c r="I72">
        <v>1.137221284644484</v>
      </c>
      <c r="J72">
        <v>1.137221284644484</v>
      </c>
      <c r="K72" t="s">
        <v>31</v>
      </c>
      <c r="L72" t="s">
        <v>31</v>
      </c>
      <c r="M72">
        <v>2023</v>
      </c>
      <c r="N72" t="s">
        <v>57</v>
      </c>
      <c r="O72" t="s">
        <v>47</v>
      </c>
      <c r="P72">
        <v>0</v>
      </c>
      <c r="Q72">
        <v>0</v>
      </c>
      <c r="R72">
        <v>0</v>
      </c>
      <c r="S72" t="s">
        <v>130</v>
      </c>
      <c r="T72" t="s">
        <v>172</v>
      </c>
      <c r="U72">
        <v>1</v>
      </c>
    </row>
    <row r="73" spans="1:21" x14ac:dyDescent="0.3">
      <c r="A73" t="s">
        <v>173</v>
      </c>
      <c r="B73" t="s">
        <v>125</v>
      </c>
      <c r="C73" t="s">
        <v>174</v>
      </c>
      <c r="D73" t="s">
        <v>98</v>
      </c>
      <c r="E73" t="s">
        <v>30</v>
      </c>
      <c r="F73" s="6">
        <v>45230</v>
      </c>
      <c r="G73">
        <v>80</v>
      </c>
      <c r="H73">
        <v>81.991406812802296</v>
      </c>
      <c r="I73">
        <v>1.024892585160029</v>
      </c>
      <c r="J73">
        <v>1.024892585160029</v>
      </c>
      <c r="K73" t="s">
        <v>31</v>
      </c>
      <c r="L73" t="s">
        <v>31</v>
      </c>
      <c r="M73">
        <v>2023</v>
      </c>
      <c r="N73" t="s">
        <v>53</v>
      </c>
      <c r="O73" t="s">
        <v>47</v>
      </c>
      <c r="P73">
        <v>0</v>
      </c>
      <c r="Q73">
        <v>0</v>
      </c>
      <c r="R73">
        <v>0</v>
      </c>
      <c r="S73" t="s">
        <v>130</v>
      </c>
      <c r="T73" t="s">
        <v>175</v>
      </c>
      <c r="U73">
        <v>1</v>
      </c>
    </row>
    <row r="74" spans="1:21" x14ac:dyDescent="0.3">
      <c r="A74" t="s">
        <v>173</v>
      </c>
      <c r="B74" t="s">
        <v>125</v>
      </c>
      <c r="C74" t="s">
        <v>174</v>
      </c>
      <c r="D74" t="s">
        <v>98</v>
      </c>
      <c r="E74" t="s">
        <v>30</v>
      </c>
      <c r="F74" s="6">
        <v>45291</v>
      </c>
      <c r="G74">
        <v>80</v>
      </c>
      <c r="H74">
        <v>81.991406812802296</v>
      </c>
      <c r="I74">
        <v>1.024892585160029</v>
      </c>
      <c r="J74">
        <v>1.024892585160029</v>
      </c>
      <c r="K74" t="s">
        <v>31</v>
      </c>
      <c r="L74" t="s">
        <v>31</v>
      </c>
      <c r="M74">
        <v>2023</v>
      </c>
      <c r="N74" t="s">
        <v>57</v>
      </c>
      <c r="O74" t="s">
        <v>47</v>
      </c>
      <c r="P74">
        <v>0</v>
      </c>
      <c r="Q74">
        <v>0</v>
      </c>
      <c r="R74">
        <v>0</v>
      </c>
      <c r="S74" t="s">
        <v>130</v>
      </c>
      <c r="T74" t="s">
        <v>176</v>
      </c>
      <c r="U74">
        <v>1</v>
      </c>
    </row>
    <row r="75" spans="1:21" x14ac:dyDescent="0.3">
      <c r="A75" t="s">
        <v>177</v>
      </c>
      <c r="B75" t="s">
        <v>125</v>
      </c>
      <c r="C75" t="s">
        <v>178</v>
      </c>
      <c r="D75" t="s">
        <v>98</v>
      </c>
      <c r="E75" t="s">
        <v>30</v>
      </c>
      <c r="F75" s="6">
        <v>45230</v>
      </c>
      <c r="G75">
        <v>80</v>
      </c>
      <c r="H75">
        <v>81.322057504242295</v>
      </c>
      <c r="I75">
        <v>1.016525718803029</v>
      </c>
      <c r="J75">
        <v>1.016525718803029</v>
      </c>
      <c r="K75" t="s">
        <v>31</v>
      </c>
      <c r="L75" t="s">
        <v>31</v>
      </c>
      <c r="M75">
        <v>2023</v>
      </c>
      <c r="N75" t="s">
        <v>53</v>
      </c>
      <c r="O75" t="s">
        <v>47</v>
      </c>
      <c r="P75">
        <v>0</v>
      </c>
      <c r="Q75">
        <v>0</v>
      </c>
      <c r="R75">
        <v>0</v>
      </c>
      <c r="S75" t="s">
        <v>130</v>
      </c>
      <c r="T75" t="s">
        <v>179</v>
      </c>
      <c r="U75">
        <v>1</v>
      </c>
    </row>
    <row r="76" spans="1:21" x14ac:dyDescent="0.3">
      <c r="A76" t="s">
        <v>177</v>
      </c>
      <c r="B76" t="s">
        <v>125</v>
      </c>
      <c r="C76" t="s">
        <v>178</v>
      </c>
      <c r="D76" t="s">
        <v>98</v>
      </c>
      <c r="E76" t="s">
        <v>30</v>
      </c>
      <c r="F76" s="6">
        <v>45291</v>
      </c>
      <c r="G76">
        <v>80</v>
      </c>
      <c r="H76">
        <v>81.322057504242295</v>
      </c>
      <c r="I76">
        <v>1.016525718803029</v>
      </c>
      <c r="J76">
        <v>1.016525718803029</v>
      </c>
      <c r="K76" t="s">
        <v>31</v>
      </c>
      <c r="L76" t="s">
        <v>31</v>
      </c>
      <c r="M76">
        <v>2023</v>
      </c>
      <c r="N76" t="s">
        <v>57</v>
      </c>
      <c r="O76" t="s">
        <v>47</v>
      </c>
      <c r="P76">
        <v>0</v>
      </c>
      <c r="Q76">
        <v>0</v>
      </c>
      <c r="R76">
        <v>0</v>
      </c>
      <c r="S76" t="s">
        <v>130</v>
      </c>
      <c r="T76" t="s">
        <v>180</v>
      </c>
      <c r="U76">
        <v>1</v>
      </c>
    </row>
    <row r="77" spans="1:21" x14ac:dyDescent="0.3">
      <c r="A77" t="s">
        <v>181</v>
      </c>
      <c r="B77" t="s">
        <v>125</v>
      </c>
      <c r="C77" t="s">
        <v>182</v>
      </c>
      <c r="D77" t="s">
        <v>98</v>
      </c>
      <c r="E77" t="s">
        <v>30</v>
      </c>
      <c r="F77" s="6">
        <v>45230</v>
      </c>
      <c r="G77">
        <v>80</v>
      </c>
      <c r="H77">
        <v>77.756756756756801</v>
      </c>
      <c r="I77">
        <v>0.97195945945946005</v>
      </c>
      <c r="J77">
        <v>0.97195945945946005</v>
      </c>
      <c r="K77" t="s">
        <v>31</v>
      </c>
      <c r="L77" t="s">
        <v>31</v>
      </c>
      <c r="M77">
        <v>2023</v>
      </c>
      <c r="N77" t="s">
        <v>53</v>
      </c>
      <c r="O77" t="s">
        <v>47</v>
      </c>
      <c r="P77">
        <v>0</v>
      </c>
      <c r="Q77">
        <v>0</v>
      </c>
      <c r="R77">
        <v>0</v>
      </c>
      <c r="S77" t="s">
        <v>130</v>
      </c>
      <c r="T77" t="s">
        <v>183</v>
      </c>
      <c r="U77">
        <v>1</v>
      </c>
    </row>
    <row r="78" spans="1:21" x14ac:dyDescent="0.3">
      <c r="A78" t="s">
        <v>181</v>
      </c>
      <c r="B78" t="s">
        <v>125</v>
      </c>
      <c r="C78" t="s">
        <v>184</v>
      </c>
      <c r="D78" t="s">
        <v>98</v>
      </c>
      <c r="E78" t="s">
        <v>30</v>
      </c>
      <c r="F78" s="6">
        <v>45291</v>
      </c>
      <c r="G78">
        <v>80</v>
      </c>
      <c r="H78">
        <v>77.756756756756801</v>
      </c>
      <c r="I78">
        <v>0.97195945945946005</v>
      </c>
      <c r="J78">
        <v>0.97195945945946005</v>
      </c>
      <c r="K78" t="s">
        <v>31</v>
      </c>
      <c r="L78" t="s">
        <v>31</v>
      </c>
      <c r="M78">
        <v>2023</v>
      </c>
      <c r="N78" t="s">
        <v>57</v>
      </c>
      <c r="O78" t="s">
        <v>47</v>
      </c>
      <c r="P78">
        <v>0</v>
      </c>
      <c r="Q78">
        <v>0</v>
      </c>
      <c r="R78">
        <v>0</v>
      </c>
      <c r="S78" t="s">
        <v>130</v>
      </c>
      <c r="T78" t="s">
        <v>185</v>
      </c>
      <c r="U78">
        <v>1</v>
      </c>
    </row>
    <row r="79" spans="1:21" x14ac:dyDescent="0.3">
      <c r="A79" t="s">
        <v>186</v>
      </c>
      <c r="B79" t="s">
        <v>125</v>
      </c>
      <c r="C79" t="s">
        <v>187</v>
      </c>
      <c r="D79" t="s">
        <v>98</v>
      </c>
      <c r="E79" t="s">
        <v>30</v>
      </c>
      <c r="F79" s="6">
        <v>45230</v>
      </c>
      <c r="G79">
        <v>80</v>
      </c>
      <c r="H79">
        <v>94.9579831932773</v>
      </c>
      <c r="I79">
        <v>1.1869747899159659</v>
      </c>
      <c r="J79">
        <v>1.1869747899159659</v>
      </c>
      <c r="K79" t="s">
        <v>31</v>
      </c>
      <c r="L79" t="s">
        <v>31</v>
      </c>
      <c r="M79">
        <v>2023</v>
      </c>
      <c r="N79" t="s">
        <v>53</v>
      </c>
      <c r="O79" t="s">
        <v>47</v>
      </c>
      <c r="P79">
        <v>0</v>
      </c>
      <c r="Q79">
        <v>0</v>
      </c>
      <c r="R79">
        <v>0</v>
      </c>
      <c r="S79" t="s">
        <v>130</v>
      </c>
      <c r="T79" t="s">
        <v>188</v>
      </c>
      <c r="U79">
        <v>1</v>
      </c>
    </row>
    <row r="80" spans="1:21" x14ac:dyDescent="0.3">
      <c r="A80" t="s">
        <v>186</v>
      </c>
      <c r="B80" t="s">
        <v>125</v>
      </c>
      <c r="C80" t="s">
        <v>187</v>
      </c>
      <c r="D80" t="s">
        <v>98</v>
      </c>
      <c r="E80" t="s">
        <v>30</v>
      </c>
      <c r="F80" s="6">
        <v>45291</v>
      </c>
      <c r="G80">
        <v>80</v>
      </c>
      <c r="H80">
        <v>94.9579831932773</v>
      </c>
      <c r="I80">
        <v>1.1869747899159659</v>
      </c>
      <c r="J80">
        <v>1.1869747899159659</v>
      </c>
      <c r="K80" t="s">
        <v>31</v>
      </c>
      <c r="L80" t="s">
        <v>31</v>
      </c>
      <c r="M80">
        <v>2023</v>
      </c>
      <c r="N80" t="s">
        <v>57</v>
      </c>
      <c r="O80" t="s">
        <v>47</v>
      </c>
      <c r="P80">
        <v>0</v>
      </c>
      <c r="Q80">
        <v>0</v>
      </c>
      <c r="R80">
        <v>0</v>
      </c>
      <c r="S80" t="s">
        <v>130</v>
      </c>
      <c r="T80" t="s">
        <v>189</v>
      </c>
      <c r="U80">
        <v>1</v>
      </c>
    </row>
    <row r="81" spans="1:21" x14ac:dyDescent="0.3">
      <c r="A81" t="s">
        <v>190</v>
      </c>
      <c r="B81" t="s">
        <v>125</v>
      </c>
      <c r="C81" t="s">
        <v>165</v>
      </c>
      <c r="D81" t="s">
        <v>98</v>
      </c>
      <c r="E81" t="s">
        <v>30</v>
      </c>
      <c r="F81" s="6">
        <v>45657</v>
      </c>
      <c r="M81">
        <v>2024</v>
      </c>
      <c r="N81" t="s">
        <v>57</v>
      </c>
      <c r="O81" t="s">
        <v>78</v>
      </c>
      <c r="P81">
        <v>0</v>
      </c>
      <c r="Q81">
        <v>0</v>
      </c>
      <c r="R81">
        <v>0</v>
      </c>
      <c r="S81" t="s">
        <v>99</v>
      </c>
      <c r="T81" t="s">
        <v>191</v>
      </c>
      <c r="U81">
        <v>1</v>
      </c>
    </row>
    <row r="82" spans="1:21" x14ac:dyDescent="0.3">
      <c r="A82" t="s">
        <v>190</v>
      </c>
      <c r="B82" t="s">
        <v>125</v>
      </c>
      <c r="C82" t="s">
        <v>165</v>
      </c>
      <c r="D82" t="s">
        <v>98</v>
      </c>
      <c r="E82" t="s">
        <v>30</v>
      </c>
      <c r="F82" s="6">
        <v>45961</v>
      </c>
      <c r="G82">
        <v>80</v>
      </c>
      <c r="H82" t="s">
        <v>192</v>
      </c>
      <c r="I82">
        <v>1.175</v>
      </c>
      <c r="J82">
        <v>1.175</v>
      </c>
      <c r="K82" t="s">
        <v>193</v>
      </c>
      <c r="L82" t="s">
        <v>194</v>
      </c>
      <c r="M82">
        <v>2025</v>
      </c>
      <c r="N82" t="s">
        <v>53</v>
      </c>
      <c r="O82" t="s">
        <v>103</v>
      </c>
      <c r="P82">
        <v>2</v>
      </c>
      <c r="Q82">
        <v>2</v>
      </c>
      <c r="R82">
        <v>1</v>
      </c>
      <c r="S82" t="s">
        <v>104</v>
      </c>
      <c r="T82" t="s">
        <v>195</v>
      </c>
      <c r="U82">
        <v>31</v>
      </c>
    </row>
    <row r="83" spans="1:21" x14ac:dyDescent="0.3">
      <c r="A83" t="s">
        <v>196</v>
      </c>
      <c r="B83" t="s">
        <v>197</v>
      </c>
      <c r="C83" t="s">
        <v>184</v>
      </c>
      <c r="D83" t="s">
        <v>29</v>
      </c>
      <c r="E83" t="s">
        <v>30</v>
      </c>
      <c r="F83" s="6">
        <v>45077</v>
      </c>
      <c r="G83">
        <v>47</v>
      </c>
      <c r="H83">
        <v>36</v>
      </c>
      <c r="I83">
        <v>0.76595744680851063</v>
      </c>
      <c r="J83">
        <v>0.76595744680851063</v>
      </c>
      <c r="K83" t="s">
        <v>31</v>
      </c>
      <c r="L83" t="s">
        <v>31</v>
      </c>
      <c r="M83">
        <v>2023</v>
      </c>
      <c r="N83" t="s">
        <v>42</v>
      </c>
      <c r="O83" t="s">
        <v>33</v>
      </c>
      <c r="P83">
        <v>0</v>
      </c>
      <c r="Q83">
        <v>0</v>
      </c>
      <c r="R83">
        <v>1</v>
      </c>
      <c r="S83" t="s">
        <v>198</v>
      </c>
      <c r="T83" t="s">
        <v>199</v>
      </c>
      <c r="U83">
        <v>1</v>
      </c>
    </row>
    <row r="84" spans="1:21" x14ac:dyDescent="0.3">
      <c r="A84" t="s">
        <v>196</v>
      </c>
      <c r="B84" t="s">
        <v>197</v>
      </c>
      <c r="C84" t="s">
        <v>184</v>
      </c>
      <c r="D84" t="s">
        <v>29</v>
      </c>
      <c r="E84" t="s">
        <v>30</v>
      </c>
      <c r="F84" s="6">
        <v>45107</v>
      </c>
      <c r="G84">
        <v>67</v>
      </c>
      <c r="H84">
        <v>58</v>
      </c>
      <c r="I84">
        <v>0.86567164179104472</v>
      </c>
      <c r="J84">
        <v>0.86567164179104472</v>
      </c>
      <c r="K84" t="s">
        <v>31</v>
      </c>
      <c r="L84" t="s">
        <v>31</v>
      </c>
      <c r="M84">
        <v>2023</v>
      </c>
      <c r="N84" t="s">
        <v>44</v>
      </c>
      <c r="O84" t="s">
        <v>33</v>
      </c>
      <c r="P84">
        <v>0</v>
      </c>
      <c r="Q84">
        <v>0</v>
      </c>
      <c r="R84">
        <v>1</v>
      </c>
      <c r="S84" t="s">
        <v>198</v>
      </c>
      <c r="T84" t="s">
        <v>200</v>
      </c>
      <c r="U84">
        <v>1</v>
      </c>
    </row>
    <row r="85" spans="1:21" x14ac:dyDescent="0.3">
      <c r="A85" t="s">
        <v>196</v>
      </c>
      <c r="B85" t="s">
        <v>197</v>
      </c>
      <c r="C85" t="s">
        <v>184</v>
      </c>
      <c r="D85" t="s">
        <v>29</v>
      </c>
      <c r="E85" t="s">
        <v>30</v>
      </c>
      <c r="F85" s="6">
        <v>45138</v>
      </c>
      <c r="G85">
        <v>72</v>
      </c>
      <c r="H85">
        <v>64</v>
      </c>
      <c r="I85">
        <v>0.88888888888888884</v>
      </c>
      <c r="J85">
        <v>0.88888888888888884</v>
      </c>
      <c r="K85" t="s">
        <v>31</v>
      </c>
      <c r="L85" t="s">
        <v>31</v>
      </c>
      <c r="M85">
        <v>2023</v>
      </c>
      <c r="N85" t="s">
        <v>46</v>
      </c>
      <c r="O85" t="s">
        <v>47</v>
      </c>
      <c r="P85">
        <v>0</v>
      </c>
      <c r="Q85">
        <v>0</v>
      </c>
      <c r="R85">
        <v>1</v>
      </c>
      <c r="S85" t="s">
        <v>198</v>
      </c>
      <c r="T85" t="s">
        <v>201</v>
      </c>
      <c r="U85">
        <v>1</v>
      </c>
    </row>
    <row r="86" spans="1:21" x14ac:dyDescent="0.3">
      <c r="A86" t="s">
        <v>196</v>
      </c>
      <c r="B86" t="s">
        <v>197</v>
      </c>
      <c r="C86" t="s">
        <v>184</v>
      </c>
      <c r="D86" t="s">
        <v>29</v>
      </c>
      <c r="E86" t="s">
        <v>30</v>
      </c>
      <c r="F86" s="6">
        <v>45169</v>
      </c>
      <c r="G86">
        <v>78</v>
      </c>
      <c r="H86">
        <v>68</v>
      </c>
      <c r="I86">
        <v>0.87179487179487181</v>
      </c>
      <c r="J86">
        <v>0.87179487179487181</v>
      </c>
      <c r="K86" t="s">
        <v>31</v>
      </c>
      <c r="L86" t="s">
        <v>31</v>
      </c>
      <c r="M86">
        <v>2023</v>
      </c>
      <c r="N86" t="s">
        <v>49</v>
      </c>
      <c r="O86" t="s">
        <v>47</v>
      </c>
      <c r="P86">
        <v>0</v>
      </c>
      <c r="Q86">
        <v>0</v>
      </c>
      <c r="R86">
        <v>1</v>
      </c>
      <c r="S86" t="s">
        <v>198</v>
      </c>
      <c r="T86" t="s">
        <v>202</v>
      </c>
      <c r="U86">
        <v>1</v>
      </c>
    </row>
    <row r="87" spans="1:21" x14ac:dyDescent="0.3">
      <c r="A87" t="s">
        <v>196</v>
      </c>
      <c r="B87" t="s">
        <v>197</v>
      </c>
      <c r="C87" t="s">
        <v>184</v>
      </c>
      <c r="D87" t="s">
        <v>29</v>
      </c>
      <c r="E87" t="s">
        <v>30</v>
      </c>
      <c r="F87" s="6">
        <v>45199</v>
      </c>
      <c r="G87">
        <v>81</v>
      </c>
      <c r="H87">
        <v>67</v>
      </c>
      <c r="I87">
        <v>0.8271604938271605</v>
      </c>
      <c r="J87">
        <v>0.8271604938271605</v>
      </c>
      <c r="K87" t="s">
        <v>31</v>
      </c>
      <c r="L87" t="s">
        <v>31</v>
      </c>
      <c r="M87">
        <v>2023</v>
      </c>
      <c r="N87" t="s">
        <v>51</v>
      </c>
      <c r="O87" t="s">
        <v>47</v>
      </c>
      <c r="P87">
        <v>0</v>
      </c>
      <c r="Q87">
        <v>0</v>
      </c>
      <c r="R87">
        <v>1</v>
      </c>
      <c r="S87" t="s">
        <v>198</v>
      </c>
      <c r="T87" t="s">
        <v>203</v>
      </c>
      <c r="U87">
        <v>1</v>
      </c>
    </row>
    <row r="88" spans="1:21" x14ac:dyDescent="0.3">
      <c r="A88" t="s">
        <v>196</v>
      </c>
      <c r="B88" t="s">
        <v>197</v>
      </c>
      <c r="C88" t="s">
        <v>184</v>
      </c>
      <c r="D88" t="s">
        <v>29</v>
      </c>
      <c r="E88" t="s">
        <v>30</v>
      </c>
      <c r="F88" s="6">
        <v>45230</v>
      </c>
      <c r="G88">
        <v>81</v>
      </c>
      <c r="H88">
        <v>67</v>
      </c>
      <c r="I88">
        <v>0.8271604938271605</v>
      </c>
      <c r="J88">
        <v>0.8271604938271605</v>
      </c>
      <c r="K88" t="s">
        <v>31</v>
      </c>
      <c r="L88" t="s">
        <v>31</v>
      </c>
      <c r="M88">
        <v>2023</v>
      </c>
      <c r="N88" t="s">
        <v>53</v>
      </c>
      <c r="O88" t="s">
        <v>47</v>
      </c>
      <c r="P88">
        <v>0</v>
      </c>
      <c r="Q88">
        <v>0</v>
      </c>
      <c r="R88">
        <v>1</v>
      </c>
      <c r="S88" t="s">
        <v>198</v>
      </c>
      <c r="T88" t="s">
        <v>204</v>
      </c>
      <c r="U88">
        <v>1</v>
      </c>
    </row>
    <row r="89" spans="1:21" x14ac:dyDescent="0.3">
      <c r="A89" t="s">
        <v>196</v>
      </c>
      <c r="B89" t="s">
        <v>197</v>
      </c>
      <c r="C89" t="s">
        <v>184</v>
      </c>
      <c r="D89" t="s">
        <v>29</v>
      </c>
      <c r="E89" t="s">
        <v>30</v>
      </c>
      <c r="F89" s="6">
        <v>45260</v>
      </c>
      <c r="G89">
        <v>81</v>
      </c>
      <c r="H89">
        <v>67</v>
      </c>
      <c r="I89">
        <v>0.8271604938271605</v>
      </c>
      <c r="J89">
        <v>0.8271604938271605</v>
      </c>
      <c r="K89" t="s">
        <v>31</v>
      </c>
      <c r="L89" t="s">
        <v>31</v>
      </c>
      <c r="M89">
        <v>2023</v>
      </c>
      <c r="N89" t="s">
        <v>55</v>
      </c>
      <c r="O89" t="s">
        <v>47</v>
      </c>
      <c r="P89">
        <v>0</v>
      </c>
      <c r="Q89">
        <v>0</v>
      </c>
      <c r="R89">
        <v>1</v>
      </c>
      <c r="S89" t="s">
        <v>198</v>
      </c>
      <c r="T89" t="s">
        <v>205</v>
      </c>
      <c r="U89">
        <v>1</v>
      </c>
    </row>
    <row r="90" spans="1:21" x14ac:dyDescent="0.3">
      <c r="A90" t="s">
        <v>196</v>
      </c>
      <c r="B90" t="s">
        <v>197</v>
      </c>
      <c r="C90" t="s">
        <v>184</v>
      </c>
      <c r="D90" t="s">
        <v>29</v>
      </c>
      <c r="E90" t="s">
        <v>30</v>
      </c>
      <c r="F90" s="6">
        <v>45291</v>
      </c>
      <c r="G90">
        <v>81</v>
      </c>
      <c r="H90">
        <v>67</v>
      </c>
      <c r="I90">
        <v>0.8271604938271605</v>
      </c>
      <c r="J90">
        <v>0.8271604938271605</v>
      </c>
      <c r="K90" t="s">
        <v>31</v>
      </c>
      <c r="L90" t="s">
        <v>31</v>
      </c>
      <c r="M90">
        <v>2023</v>
      </c>
      <c r="N90" t="s">
        <v>57</v>
      </c>
      <c r="O90" t="s">
        <v>47</v>
      </c>
      <c r="P90">
        <v>0</v>
      </c>
      <c r="Q90">
        <v>0</v>
      </c>
      <c r="R90">
        <v>1</v>
      </c>
      <c r="S90" t="s">
        <v>198</v>
      </c>
      <c r="T90" t="s">
        <v>206</v>
      </c>
      <c r="U90">
        <v>1</v>
      </c>
    </row>
    <row r="91" spans="1:21" x14ac:dyDescent="0.3">
      <c r="A91" t="s">
        <v>196</v>
      </c>
      <c r="B91" t="s">
        <v>197</v>
      </c>
      <c r="C91" t="s">
        <v>184</v>
      </c>
      <c r="D91" t="s">
        <v>29</v>
      </c>
      <c r="E91" t="s">
        <v>30</v>
      </c>
      <c r="F91" s="6">
        <v>45322</v>
      </c>
      <c r="G91">
        <v>85</v>
      </c>
      <c r="H91">
        <v>67</v>
      </c>
      <c r="I91">
        <v>0.78823529411764703</v>
      </c>
      <c r="J91">
        <v>0.78823529411764703</v>
      </c>
      <c r="K91" t="s">
        <v>31</v>
      </c>
      <c r="L91" t="s">
        <v>31</v>
      </c>
      <c r="M91">
        <v>2024</v>
      </c>
      <c r="N91" t="s">
        <v>32</v>
      </c>
      <c r="O91" t="s">
        <v>71</v>
      </c>
      <c r="P91">
        <v>0</v>
      </c>
      <c r="Q91">
        <v>0</v>
      </c>
      <c r="R91">
        <v>1</v>
      </c>
      <c r="S91" t="s">
        <v>198</v>
      </c>
      <c r="T91" t="s">
        <v>207</v>
      </c>
      <c r="U91">
        <v>1</v>
      </c>
    </row>
    <row r="92" spans="1:21" x14ac:dyDescent="0.3">
      <c r="A92" t="s">
        <v>196</v>
      </c>
      <c r="B92" t="s">
        <v>197</v>
      </c>
      <c r="C92" t="s">
        <v>184</v>
      </c>
      <c r="D92" t="s">
        <v>29</v>
      </c>
      <c r="E92" t="s">
        <v>30</v>
      </c>
      <c r="F92" s="6">
        <v>45351</v>
      </c>
      <c r="G92">
        <v>85</v>
      </c>
      <c r="H92">
        <v>67</v>
      </c>
      <c r="I92">
        <v>0.78823529411764703</v>
      </c>
      <c r="J92">
        <v>0.78823529411764703</v>
      </c>
      <c r="K92" t="s">
        <v>31</v>
      </c>
      <c r="L92" t="s">
        <v>31</v>
      </c>
      <c r="M92">
        <v>2024</v>
      </c>
      <c r="N92" t="s">
        <v>36</v>
      </c>
      <c r="O92" t="s">
        <v>71</v>
      </c>
      <c r="P92">
        <v>0</v>
      </c>
      <c r="Q92">
        <v>0</v>
      </c>
      <c r="R92">
        <v>1</v>
      </c>
      <c r="S92" t="s">
        <v>198</v>
      </c>
      <c r="T92" t="s">
        <v>208</v>
      </c>
      <c r="U92">
        <v>1</v>
      </c>
    </row>
    <row r="93" spans="1:21" x14ac:dyDescent="0.3">
      <c r="A93" t="s">
        <v>196</v>
      </c>
      <c r="B93" t="s">
        <v>197</v>
      </c>
      <c r="C93" t="s">
        <v>184</v>
      </c>
      <c r="D93" t="s">
        <v>29</v>
      </c>
      <c r="E93" t="s">
        <v>30</v>
      </c>
      <c r="F93" s="6">
        <v>45382</v>
      </c>
      <c r="G93">
        <v>85</v>
      </c>
      <c r="H93">
        <v>67</v>
      </c>
      <c r="I93">
        <v>0.78823529411764703</v>
      </c>
      <c r="J93">
        <v>0.78823529411764703</v>
      </c>
      <c r="K93" t="s">
        <v>31</v>
      </c>
      <c r="L93" t="s">
        <v>31</v>
      </c>
      <c r="M93">
        <v>2024</v>
      </c>
      <c r="N93" t="s">
        <v>38</v>
      </c>
      <c r="O93" t="s">
        <v>71</v>
      </c>
      <c r="P93">
        <v>0</v>
      </c>
      <c r="Q93">
        <v>0</v>
      </c>
      <c r="R93">
        <v>1</v>
      </c>
      <c r="S93" t="s">
        <v>198</v>
      </c>
      <c r="T93" t="s">
        <v>209</v>
      </c>
      <c r="U93">
        <v>1</v>
      </c>
    </row>
    <row r="94" spans="1:21" x14ac:dyDescent="0.3">
      <c r="A94" t="s">
        <v>196</v>
      </c>
      <c r="B94" t="s">
        <v>197</v>
      </c>
      <c r="C94" t="s">
        <v>184</v>
      </c>
      <c r="D94" t="s">
        <v>29</v>
      </c>
      <c r="E94" t="s">
        <v>30</v>
      </c>
      <c r="F94" s="6">
        <v>45412</v>
      </c>
      <c r="G94">
        <v>60</v>
      </c>
      <c r="H94">
        <v>59</v>
      </c>
      <c r="I94">
        <v>0.98333333333333328</v>
      </c>
      <c r="J94">
        <v>0.98333333333333328</v>
      </c>
      <c r="K94" t="s">
        <v>31</v>
      </c>
      <c r="L94" t="s">
        <v>31</v>
      </c>
      <c r="M94">
        <v>2024</v>
      </c>
      <c r="N94" t="s">
        <v>40</v>
      </c>
      <c r="O94" t="s">
        <v>71</v>
      </c>
      <c r="P94">
        <v>0</v>
      </c>
      <c r="Q94">
        <v>0</v>
      </c>
      <c r="R94">
        <v>1</v>
      </c>
      <c r="S94" t="s">
        <v>198</v>
      </c>
      <c r="T94" t="s">
        <v>210</v>
      </c>
      <c r="U94">
        <v>1</v>
      </c>
    </row>
    <row r="95" spans="1:21" x14ac:dyDescent="0.3">
      <c r="A95" t="s">
        <v>196</v>
      </c>
      <c r="B95" t="s">
        <v>197</v>
      </c>
      <c r="C95" t="s">
        <v>184</v>
      </c>
      <c r="D95" t="s">
        <v>29</v>
      </c>
      <c r="E95" t="s">
        <v>30</v>
      </c>
      <c r="F95" s="6">
        <v>45443</v>
      </c>
      <c r="G95">
        <v>60</v>
      </c>
      <c r="H95">
        <v>59</v>
      </c>
      <c r="I95">
        <v>0.98333333333333328</v>
      </c>
      <c r="J95">
        <v>0.98333333333333328</v>
      </c>
      <c r="K95" t="s">
        <v>31</v>
      </c>
      <c r="L95" t="s">
        <v>31</v>
      </c>
      <c r="M95">
        <v>2024</v>
      </c>
      <c r="N95" t="s">
        <v>42</v>
      </c>
      <c r="O95" t="s">
        <v>71</v>
      </c>
      <c r="P95">
        <v>0</v>
      </c>
      <c r="Q95">
        <v>0</v>
      </c>
      <c r="R95">
        <v>1</v>
      </c>
      <c r="S95" t="s">
        <v>198</v>
      </c>
      <c r="T95" t="s">
        <v>211</v>
      </c>
      <c r="U95">
        <v>1</v>
      </c>
    </row>
    <row r="96" spans="1:21" x14ac:dyDescent="0.3">
      <c r="A96" t="s">
        <v>196</v>
      </c>
      <c r="B96" t="s">
        <v>197</v>
      </c>
      <c r="C96" t="s">
        <v>184</v>
      </c>
      <c r="D96" t="s">
        <v>29</v>
      </c>
      <c r="E96" t="s">
        <v>30</v>
      </c>
      <c r="F96" s="6">
        <v>45473</v>
      </c>
      <c r="G96">
        <v>97</v>
      </c>
      <c r="H96">
        <v>93</v>
      </c>
      <c r="I96">
        <v>0.95876288659793818</v>
      </c>
      <c r="J96">
        <v>0.95876288659793818</v>
      </c>
      <c r="K96" t="s">
        <v>31</v>
      </c>
      <c r="L96" t="s">
        <v>31</v>
      </c>
      <c r="M96">
        <v>2024</v>
      </c>
      <c r="N96" t="s">
        <v>44</v>
      </c>
      <c r="O96" t="s">
        <v>71</v>
      </c>
      <c r="P96">
        <v>0</v>
      </c>
      <c r="Q96">
        <v>0</v>
      </c>
      <c r="R96">
        <v>1</v>
      </c>
      <c r="S96" t="s">
        <v>198</v>
      </c>
      <c r="T96" t="s">
        <v>212</v>
      </c>
      <c r="U96">
        <v>1</v>
      </c>
    </row>
    <row r="97" spans="1:21" x14ac:dyDescent="0.3">
      <c r="A97" t="s">
        <v>196</v>
      </c>
      <c r="B97" t="s">
        <v>197</v>
      </c>
      <c r="C97" t="s">
        <v>184</v>
      </c>
      <c r="D97" t="s">
        <v>29</v>
      </c>
      <c r="E97" t="s">
        <v>30</v>
      </c>
      <c r="F97" s="6">
        <v>45504</v>
      </c>
      <c r="G97">
        <v>60</v>
      </c>
      <c r="H97">
        <v>59</v>
      </c>
      <c r="I97">
        <v>0.98333333333333328</v>
      </c>
      <c r="J97">
        <v>0.98333333333333328</v>
      </c>
      <c r="K97" t="s">
        <v>31</v>
      </c>
      <c r="L97" t="s">
        <v>31</v>
      </c>
      <c r="M97">
        <v>2024</v>
      </c>
      <c r="N97" t="s">
        <v>46</v>
      </c>
      <c r="O97" t="s">
        <v>78</v>
      </c>
      <c r="P97">
        <v>0</v>
      </c>
      <c r="Q97">
        <v>0</v>
      </c>
      <c r="R97">
        <v>1</v>
      </c>
      <c r="S97" t="s">
        <v>198</v>
      </c>
      <c r="T97" t="s">
        <v>213</v>
      </c>
      <c r="U97">
        <v>1</v>
      </c>
    </row>
    <row r="98" spans="1:21" x14ac:dyDescent="0.3">
      <c r="A98" t="s">
        <v>196</v>
      </c>
      <c r="B98" t="s">
        <v>197</v>
      </c>
      <c r="C98" t="s">
        <v>184</v>
      </c>
      <c r="D98" t="s">
        <v>29</v>
      </c>
      <c r="E98" t="s">
        <v>30</v>
      </c>
      <c r="F98" s="6">
        <v>45535</v>
      </c>
      <c r="G98">
        <v>60</v>
      </c>
      <c r="H98">
        <v>59</v>
      </c>
      <c r="I98">
        <v>0.98333333333333328</v>
      </c>
      <c r="J98">
        <v>0.98333333333333328</v>
      </c>
      <c r="K98" t="s">
        <v>31</v>
      </c>
      <c r="L98" t="s">
        <v>31</v>
      </c>
      <c r="M98">
        <v>2024</v>
      </c>
      <c r="N98" t="s">
        <v>49</v>
      </c>
      <c r="O98" t="s">
        <v>78</v>
      </c>
      <c r="P98">
        <v>0</v>
      </c>
      <c r="Q98">
        <v>0</v>
      </c>
      <c r="R98">
        <v>1</v>
      </c>
      <c r="S98" t="s">
        <v>198</v>
      </c>
      <c r="T98" t="s">
        <v>214</v>
      </c>
      <c r="U98">
        <v>1</v>
      </c>
    </row>
    <row r="99" spans="1:21" x14ac:dyDescent="0.3">
      <c r="A99" t="s">
        <v>196</v>
      </c>
      <c r="B99" t="s">
        <v>197</v>
      </c>
      <c r="C99" t="s">
        <v>184</v>
      </c>
      <c r="D99" t="s">
        <v>29</v>
      </c>
      <c r="E99" t="s">
        <v>30</v>
      </c>
      <c r="F99" s="6">
        <v>45565</v>
      </c>
      <c r="K99" t="s">
        <v>215</v>
      </c>
      <c r="L99" t="s">
        <v>215</v>
      </c>
      <c r="M99">
        <v>2024</v>
      </c>
      <c r="N99" t="s">
        <v>51</v>
      </c>
      <c r="O99" t="s">
        <v>78</v>
      </c>
      <c r="P99">
        <v>0</v>
      </c>
      <c r="Q99">
        <v>0</v>
      </c>
      <c r="R99">
        <v>1</v>
      </c>
      <c r="S99" t="s">
        <v>198</v>
      </c>
      <c r="T99" t="s">
        <v>216</v>
      </c>
      <c r="U99">
        <v>1</v>
      </c>
    </row>
    <row r="100" spans="1:21" x14ac:dyDescent="0.3">
      <c r="A100" t="s">
        <v>196</v>
      </c>
      <c r="B100" t="s">
        <v>197</v>
      </c>
      <c r="C100" t="s">
        <v>184</v>
      </c>
      <c r="D100" t="s">
        <v>29</v>
      </c>
      <c r="E100" t="s">
        <v>30</v>
      </c>
      <c r="F100" s="6">
        <v>45596</v>
      </c>
      <c r="G100">
        <v>77</v>
      </c>
      <c r="H100">
        <v>59</v>
      </c>
      <c r="I100">
        <v>0.76623376623376627</v>
      </c>
      <c r="J100">
        <v>0.76623376623376627</v>
      </c>
      <c r="K100" t="s">
        <v>31</v>
      </c>
      <c r="L100" t="s">
        <v>31</v>
      </c>
      <c r="M100">
        <v>2024</v>
      </c>
      <c r="N100" t="s">
        <v>53</v>
      </c>
      <c r="O100" t="s">
        <v>78</v>
      </c>
      <c r="P100">
        <v>0</v>
      </c>
      <c r="Q100">
        <v>0</v>
      </c>
      <c r="R100">
        <v>1</v>
      </c>
      <c r="S100" t="s">
        <v>198</v>
      </c>
      <c r="T100" t="s">
        <v>217</v>
      </c>
      <c r="U100">
        <v>1</v>
      </c>
    </row>
    <row r="101" spans="1:21" x14ac:dyDescent="0.3">
      <c r="A101" t="s">
        <v>196</v>
      </c>
      <c r="B101" t="s">
        <v>197</v>
      </c>
      <c r="C101" t="s">
        <v>184</v>
      </c>
      <c r="D101" t="s">
        <v>29</v>
      </c>
      <c r="E101" t="s">
        <v>30</v>
      </c>
      <c r="F101" s="6">
        <v>45626</v>
      </c>
      <c r="G101">
        <v>56</v>
      </c>
      <c r="H101">
        <v>56</v>
      </c>
      <c r="I101">
        <v>1</v>
      </c>
      <c r="J101">
        <v>1</v>
      </c>
      <c r="K101" t="s">
        <v>31</v>
      </c>
      <c r="L101" t="s">
        <v>31</v>
      </c>
      <c r="M101">
        <v>2024</v>
      </c>
      <c r="N101" t="s">
        <v>55</v>
      </c>
      <c r="O101" t="s">
        <v>78</v>
      </c>
      <c r="P101">
        <v>0</v>
      </c>
      <c r="Q101">
        <v>0</v>
      </c>
      <c r="R101">
        <v>1</v>
      </c>
      <c r="S101" t="s">
        <v>198</v>
      </c>
      <c r="T101" t="s">
        <v>218</v>
      </c>
      <c r="U101">
        <v>1</v>
      </c>
    </row>
    <row r="102" spans="1:21" x14ac:dyDescent="0.3">
      <c r="A102" t="s">
        <v>196</v>
      </c>
      <c r="B102" t="s">
        <v>197</v>
      </c>
      <c r="C102" t="s">
        <v>184</v>
      </c>
      <c r="D102" t="s">
        <v>29</v>
      </c>
      <c r="E102" t="s">
        <v>30</v>
      </c>
      <c r="F102" s="6">
        <v>45657</v>
      </c>
      <c r="K102" t="s">
        <v>215</v>
      </c>
      <c r="L102" t="s">
        <v>215</v>
      </c>
      <c r="M102">
        <v>2024</v>
      </c>
      <c r="N102" t="s">
        <v>57</v>
      </c>
      <c r="O102" t="s">
        <v>78</v>
      </c>
      <c r="P102">
        <v>0</v>
      </c>
      <c r="Q102">
        <v>0</v>
      </c>
      <c r="R102">
        <v>1</v>
      </c>
      <c r="S102" t="s">
        <v>198</v>
      </c>
      <c r="T102" t="s">
        <v>219</v>
      </c>
      <c r="U102">
        <v>1</v>
      </c>
    </row>
    <row r="103" spans="1:21" x14ac:dyDescent="0.3">
      <c r="A103" t="s">
        <v>220</v>
      </c>
      <c r="B103" t="s">
        <v>221</v>
      </c>
      <c r="C103" t="s">
        <v>184</v>
      </c>
      <c r="D103" t="s">
        <v>222</v>
      </c>
      <c r="E103" t="s">
        <v>30</v>
      </c>
      <c r="F103" s="6">
        <v>45473</v>
      </c>
      <c r="G103">
        <v>5</v>
      </c>
      <c r="H103">
        <v>3</v>
      </c>
      <c r="I103">
        <v>0.6</v>
      </c>
      <c r="J103">
        <v>0.6</v>
      </c>
      <c r="K103" t="s">
        <v>118</v>
      </c>
      <c r="L103" t="s">
        <v>118</v>
      </c>
      <c r="M103">
        <v>2024</v>
      </c>
      <c r="N103" t="s">
        <v>44</v>
      </c>
      <c r="O103" t="s">
        <v>71</v>
      </c>
      <c r="P103">
        <v>0</v>
      </c>
      <c r="Q103">
        <v>0</v>
      </c>
      <c r="R103">
        <v>0</v>
      </c>
      <c r="S103" t="s">
        <v>130</v>
      </c>
      <c r="T103" t="s">
        <v>223</v>
      </c>
      <c r="U103">
        <v>1</v>
      </c>
    </row>
    <row r="104" spans="1:21" x14ac:dyDescent="0.3">
      <c r="A104" t="s">
        <v>224</v>
      </c>
      <c r="B104" t="s">
        <v>125</v>
      </c>
      <c r="C104" t="s">
        <v>225</v>
      </c>
      <c r="D104" t="s">
        <v>98</v>
      </c>
      <c r="E104" t="s">
        <v>30</v>
      </c>
      <c r="F104" s="6">
        <v>44865</v>
      </c>
      <c r="G104">
        <v>80</v>
      </c>
      <c r="H104">
        <v>73.401915113871596</v>
      </c>
      <c r="I104">
        <v>0.9175239389233949</v>
      </c>
      <c r="J104">
        <v>0.9175239389233949</v>
      </c>
      <c r="K104" t="s">
        <v>31</v>
      </c>
      <c r="L104" t="s">
        <v>31</v>
      </c>
      <c r="M104">
        <v>2022</v>
      </c>
      <c r="N104" t="s">
        <v>53</v>
      </c>
      <c r="O104" t="s">
        <v>90</v>
      </c>
      <c r="P104">
        <v>0</v>
      </c>
      <c r="Q104">
        <v>0</v>
      </c>
      <c r="R104">
        <v>0</v>
      </c>
      <c r="S104" t="s">
        <v>99</v>
      </c>
      <c r="T104" t="s">
        <v>226</v>
      </c>
      <c r="U104">
        <v>1</v>
      </c>
    </row>
    <row r="105" spans="1:21" x14ac:dyDescent="0.3">
      <c r="A105" t="s">
        <v>224</v>
      </c>
      <c r="B105" t="s">
        <v>125</v>
      </c>
      <c r="C105" t="s">
        <v>225</v>
      </c>
      <c r="D105" t="s">
        <v>98</v>
      </c>
      <c r="E105" t="s">
        <v>30</v>
      </c>
      <c r="F105" s="6">
        <v>45230</v>
      </c>
      <c r="G105">
        <v>80</v>
      </c>
      <c r="H105">
        <v>78</v>
      </c>
      <c r="I105">
        <v>0.97499999999999998</v>
      </c>
      <c r="J105">
        <v>0.97499999999999998</v>
      </c>
      <c r="K105" t="s">
        <v>31</v>
      </c>
      <c r="L105" t="s">
        <v>31</v>
      </c>
      <c r="M105">
        <v>2023</v>
      </c>
      <c r="N105" t="s">
        <v>53</v>
      </c>
      <c r="O105" t="s">
        <v>47</v>
      </c>
      <c r="P105">
        <v>0</v>
      </c>
      <c r="Q105">
        <v>0</v>
      </c>
      <c r="R105">
        <v>0</v>
      </c>
      <c r="S105" t="s">
        <v>130</v>
      </c>
      <c r="T105" t="s">
        <v>227</v>
      </c>
      <c r="U105">
        <v>1</v>
      </c>
    </row>
    <row r="106" spans="1:21" x14ac:dyDescent="0.3">
      <c r="A106" t="s">
        <v>224</v>
      </c>
      <c r="B106" t="s">
        <v>125</v>
      </c>
      <c r="C106" t="s">
        <v>225</v>
      </c>
      <c r="D106" t="s">
        <v>98</v>
      </c>
      <c r="E106" t="s">
        <v>30</v>
      </c>
      <c r="F106" s="6">
        <v>45291</v>
      </c>
      <c r="G106">
        <v>80</v>
      </c>
      <c r="H106">
        <v>78</v>
      </c>
      <c r="I106">
        <v>0.97499999999999998</v>
      </c>
      <c r="J106">
        <v>0.97499999999999998</v>
      </c>
      <c r="K106" t="s">
        <v>31</v>
      </c>
      <c r="L106" t="s">
        <v>31</v>
      </c>
      <c r="M106">
        <v>2023</v>
      </c>
      <c r="N106" t="s">
        <v>57</v>
      </c>
      <c r="O106" t="s">
        <v>47</v>
      </c>
      <c r="P106">
        <v>0</v>
      </c>
      <c r="Q106">
        <v>0</v>
      </c>
      <c r="R106">
        <v>0</v>
      </c>
      <c r="S106" t="s">
        <v>130</v>
      </c>
      <c r="T106" t="s">
        <v>228</v>
      </c>
      <c r="U106">
        <v>1</v>
      </c>
    </row>
    <row r="107" spans="1:21" x14ac:dyDescent="0.3">
      <c r="A107" t="s">
        <v>224</v>
      </c>
      <c r="B107" t="s">
        <v>125</v>
      </c>
      <c r="C107" t="s">
        <v>229</v>
      </c>
      <c r="D107" t="s">
        <v>98</v>
      </c>
      <c r="E107" t="s">
        <v>30</v>
      </c>
      <c r="F107" s="6">
        <v>45657</v>
      </c>
      <c r="K107" t="s">
        <v>31</v>
      </c>
      <c r="L107" t="s">
        <v>31</v>
      </c>
      <c r="M107">
        <v>2024</v>
      </c>
      <c r="N107" t="s">
        <v>57</v>
      </c>
      <c r="O107" t="s">
        <v>78</v>
      </c>
      <c r="P107">
        <v>0</v>
      </c>
      <c r="Q107">
        <v>0</v>
      </c>
      <c r="R107">
        <v>0</v>
      </c>
      <c r="S107" t="s">
        <v>130</v>
      </c>
      <c r="T107" t="s">
        <v>230</v>
      </c>
      <c r="U107">
        <v>1</v>
      </c>
    </row>
    <row r="108" spans="1:21" x14ac:dyDescent="0.3">
      <c r="A108" t="s">
        <v>231</v>
      </c>
      <c r="B108" t="s">
        <v>125</v>
      </c>
      <c r="C108" t="s">
        <v>232</v>
      </c>
      <c r="D108" t="s">
        <v>233</v>
      </c>
      <c r="E108" t="s">
        <v>30</v>
      </c>
      <c r="F108" s="6">
        <v>45016</v>
      </c>
      <c r="G108">
        <v>80</v>
      </c>
      <c r="H108">
        <v>87</v>
      </c>
      <c r="I108">
        <v>1.0874999999999999</v>
      </c>
      <c r="J108">
        <v>1.0874999999999999</v>
      </c>
      <c r="K108" t="s">
        <v>31</v>
      </c>
      <c r="L108" t="s">
        <v>31</v>
      </c>
      <c r="M108">
        <v>2023</v>
      </c>
      <c r="N108" t="s">
        <v>38</v>
      </c>
      <c r="O108" t="s">
        <v>33</v>
      </c>
      <c r="P108">
        <v>0</v>
      </c>
      <c r="Q108">
        <v>0</v>
      </c>
      <c r="R108">
        <v>0</v>
      </c>
      <c r="S108" t="s">
        <v>130</v>
      </c>
      <c r="T108" t="s">
        <v>234</v>
      </c>
      <c r="U108">
        <v>1</v>
      </c>
    </row>
    <row r="109" spans="1:21" x14ac:dyDescent="0.3">
      <c r="A109" t="s">
        <v>231</v>
      </c>
      <c r="B109" t="s">
        <v>125</v>
      </c>
      <c r="C109" t="s">
        <v>232</v>
      </c>
      <c r="D109" t="s">
        <v>233</v>
      </c>
      <c r="E109" t="s">
        <v>30</v>
      </c>
      <c r="F109" s="6">
        <v>45107</v>
      </c>
      <c r="G109">
        <v>80</v>
      </c>
      <c r="H109">
        <v>90</v>
      </c>
      <c r="I109">
        <v>1.125</v>
      </c>
      <c r="J109">
        <v>1.125</v>
      </c>
      <c r="K109" t="s">
        <v>31</v>
      </c>
      <c r="L109" t="s">
        <v>31</v>
      </c>
      <c r="M109">
        <v>2023</v>
      </c>
      <c r="N109" t="s">
        <v>44</v>
      </c>
      <c r="O109" t="s">
        <v>33</v>
      </c>
      <c r="P109">
        <v>0</v>
      </c>
      <c r="Q109">
        <v>0</v>
      </c>
      <c r="R109">
        <v>0</v>
      </c>
      <c r="S109" t="s">
        <v>130</v>
      </c>
      <c r="T109" t="s">
        <v>235</v>
      </c>
      <c r="U109">
        <v>1</v>
      </c>
    </row>
    <row r="110" spans="1:21" x14ac:dyDescent="0.3">
      <c r="A110" t="s">
        <v>231</v>
      </c>
      <c r="B110" t="s">
        <v>125</v>
      </c>
      <c r="C110" t="s">
        <v>232</v>
      </c>
      <c r="D110" t="s">
        <v>233</v>
      </c>
      <c r="E110" t="s">
        <v>30</v>
      </c>
      <c r="F110" s="6">
        <v>45199</v>
      </c>
      <c r="G110">
        <v>80</v>
      </c>
      <c r="H110">
        <v>93</v>
      </c>
      <c r="I110">
        <v>1.1625000000000001</v>
      </c>
      <c r="J110">
        <v>1.1625000000000001</v>
      </c>
      <c r="K110" t="s">
        <v>31</v>
      </c>
      <c r="L110" t="s">
        <v>31</v>
      </c>
      <c r="M110">
        <v>2023</v>
      </c>
      <c r="N110" t="s">
        <v>51</v>
      </c>
      <c r="O110" t="s">
        <v>47</v>
      </c>
      <c r="P110">
        <v>0</v>
      </c>
      <c r="Q110">
        <v>0</v>
      </c>
      <c r="R110">
        <v>0</v>
      </c>
      <c r="S110" t="s">
        <v>130</v>
      </c>
      <c r="T110" t="s">
        <v>236</v>
      </c>
      <c r="U110">
        <v>1</v>
      </c>
    </row>
    <row r="111" spans="1:21" x14ac:dyDescent="0.3">
      <c r="A111" t="s">
        <v>231</v>
      </c>
      <c r="B111" t="s">
        <v>125</v>
      </c>
      <c r="C111" t="s">
        <v>232</v>
      </c>
      <c r="D111" t="s">
        <v>233</v>
      </c>
      <c r="E111" t="s">
        <v>30</v>
      </c>
      <c r="F111" s="6">
        <v>45291</v>
      </c>
      <c r="G111">
        <v>80</v>
      </c>
      <c r="H111">
        <v>96</v>
      </c>
      <c r="I111">
        <v>1.2</v>
      </c>
      <c r="J111">
        <v>1.2</v>
      </c>
      <c r="K111" t="s">
        <v>31</v>
      </c>
      <c r="L111" t="s">
        <v>31</v>
      </c>
      <c r="M111">
        <v>2023</v>
      </c>
      <c r="N111" t="s">
        <v>57</v>
      </c>
      <c r="O111" t="s">
        <v>47</v>
      </c>
      <c r="P111">
        <v>0</v>
      </c>
      <c r="Q111">
        <v>0</v>
      </c>
      <c r="R111">
        <v>0</v>
      </c>
      <c r="S111" t="s">
        <v>130</v>
      </c>
      <c r="T111" t="s">
        <v>237</v>
      </c>
      <c r="U111">
        <v>1</v>
      </c>
    </row>
    <row r="112" spans="1:21" x14ac:dyDescent="0.3">
      <c r="A112" t="s">
        <v>231</v>
      </c>
      <c r="B112" t="s">
        <v>125</v>
      </c>
      <c r="C112" t="s">
        <v>232</v>
      </c>
      <c r="D112" t="s">
        <v>233</v>
      </c>
      <c r="E112" t="s">
        <v>30</v>
      </c>
      <c r="F112" s="6">
        <v>45382</v>
      </c>
      <c r="G112">
        <v>80</v>
      </c>
      <c r="H112">
        <v>94</v>
      </c>
      <c r="I112">
        <v>1.175</v>
      </c>
      <c r="J112">
        <v>1.175</v>
      </c>
      <c r="K112" t="s">
        <v>31</v>
      </c>
      <c r="L112" t="s">
        <v>31</v>
      </c>
      <c r="M112">
        <v>2024</v>
      </c>
      <c r="N112" t="s">
        <v>38</v>
      </c>
      <c r="O112" t="s">
        <v>71</v>
      </c>
      <c r="P112">
        <v>0</v>
      </c>
      <c r="Q112">
        <v>0</v>
      </c>
      <c r="R112">
        <v>0</v>
      </c>
      <c r="S112" t="s">
        <v>130</v>
      </c>
      <c r="T112" t="s">
        <v>238</v>
      </c>
      <c r="U112">
        <v>1</v>
      </c>
    </row>
    <row r="113" spans="1:21" x14ac:dyDescent="0.3">
      <c r="A113" t="s">
        <v>231</v>
      </c>
      <c r="B113" t="s">
        <v>125</v>
      </c>
      <c r="C113" t="s">
        <v>232</v>
      </c>
      <c r="D113" t="s">
        <v>233</v>
      </c>
      <c r="E113" t="s">
        <v>30</v>
      </c>
      <c r="F113" s="6">
        <v>45473</v>
      </c>
      <c r="G113">
        <v>80</v>
      </c>
      <c r="H113">
        <v>98</v>
      </c>
      <c r="I113">
        <v>1</v>
      </c>
      <c r="J113">
        <v>1.2250000000000001</v>
      </c>
      <c r="K113" t="s">
        <v>31</v>
      </c>
      <c r="L113" t="s">
        <v>31</v>
      </c>
      <c r="M113">
        <v>2024</v>
      </c>
      <c r="N113" t="s">
        <v>44</v>
      </c>
      <c r="O113" t="s">
        <v>71</v>
      </c>
      <c r="P113">
        <v>0</v>
      </c>
      <c r="Q113">
        <v>0</v>
      </c>
      <c r="R113">
        <v>0</v>
      </c>
      <c r="S113" t="s">
        <v>130</v>
      </c>
      <c r="T113" t="s">
        <v>239</v>
      </c>
      <c r="U113">
        <v>1</v>
      </c>
    </row>
    <row r="114" spans="1:21" x14ac:dyDescent="0.3">
      <c r="A114" t="s">
        <v>231</v>
      </c>
      <c r="B114" t="s">
        <v>125</v>
      </c>
      <c r="C114" t="s">
        <v>232</v>
      </c>
      <c r="D114" t="s">
        <v>233</v>
      </c>
      <c r="E114" t="s">
        <v>30</v>
      </c>
      <c r="F114" s="6">
        <v>45565</v>
      </c>
      <c r="G114">
        <v>80</v>
      </c>
      <c r="H114">
        <v>86.7</v>
      </c>
      <c r="I114">
        <v>1.08375</v>
      </c>
      <c r="J114">
        <v>1.08375</v>
      </c>
      <c r="K114" t="s">
        <v>31</v>
      </c>
      <c r="L114" t="s">
        <v>31</v>
      </c>
      <c r="M114">
        <v>2024</v>
      </c>
      <c r="N114" t="s">
        <v>51</v>
      </c>
      <c r="O114" t="s">
        <v>78</v>
      </c>
      <c r="P114">
        <v>0</v>
      </c>
      <c r="Q114">
        <v>0</v>
      </c>
      <c r="R114">
        <v>0</v>
      </c>
      <c r="S114" t="s">
        <v>130</v>
      </c>
      <c r="T114" t="s">
        <v>240</v>
      </c>
      <c r="U114">
        <v>1</v>
      </c>
    </row>
    <row r="115" spans="1:21" x14ac:dyDescent="0.3">
      <c r="A115" t="s">
        <v>231</v>
      </c>
      <c r="B115" t="s">
        <v>125</v>
      </c>
      <c r="C115" t="s">
        <v>232</v>
      </c>
      <c r="D115" t="s">
        <v>233</v>
      </c>
      <c r="E115" t="s">
        <v>30</v>
      </c>
      <c r="F115" s="6">
        <v>45657</v>
      </c>
      <c r="G115">
        <v>80</v>
      </c>
      <c r="H115">
        <v>92</v>
      </c>
      <c r="I115">
        <v>1.1499999999999999</v>
      </c>
      <c r="J115">
        <v>1.1499999999999999</v>
      </c>
      <c r="K115" t="s">
        <v>31</v>
      </c>
      <c r="L115" t="s">
        <v>31</v>
      </c>
      <c r="M115">
        <v>2024</v>
      </c>
      <c r="N115" t="s">
        <v>57</v>
      </c>
      <c r="O115" t="s">
        <v>78</v>
      </c>
      <c r="P115">
        <v>0</v>
      </c>
      <c r="Q115">
        <v>0</v>
      </c>
      <c r="R115">
        <v>0</v>
      </c>
      <c r="S115" t="s">
        <v>130</v>
      </c>
      <c r="T115" t="s">
        <v>241</v>
      </c>
      <c r="U115">
        <v>1</v>
      </c>
    </row>
    <row r="116" spans="1:21" x14ac:dyDescent="0.3">
      <c r="A116" t="s">
        <v>231</v>
      </c>
      <c r="B116" t="s">
        <v>125</v>
      </c>
      <c r="C116" t="s">
        <v>232</v>
      </c>
      <c r="D116" t="s">
        <v>233</v>
      </c>
      <c r="E116" t="s">
        <v>30</v>
      </c>
      <c r="F116" s="6">
        <v>45747</v>
      </c>
      <c r="G116">
        <v>80</v>
      </c>
      <c r="H116" t="s">
        <v>242</v>
      </c>
      <c r="I116">
        <v>1.1587499999999999</v>
      </c>
      <c r="J116">
        <v>1.1587499999999999</v>
      </c>
      <c r="K116" t="s">
        <v>193</v>
      </c>
      <c r="L116" t="s">
        <v>243</v>
      </c>
      <c r="M116">
        <v>2025</v>
      </c>
      <c r="N116" t="s">
        <v>38</v>
      </c>
      <c r="O116" t="s">
        <v>244</v>
      </c>
      <c r="P116">
        <v>2</v>
      </c>
      <c r="Q116">
        <v>2</v>
      </c>
      <c r="R116">
        <v>0</v>
      </c>
      <c r="S116" t="s">
        <v>130</v>
      </c>
      <c r="T116" t="s">
        <v>245</v>
      </c>
      <c r="U116">
        <v>31</v>
      </c>
    </row>
    <row r="117" spans="1:21" x14ac:dyDescent="0.3">
      <c r="A117" t="s">
        <v>231</v>
      </c>
      <c r="B117" t="s">
        <v>125</v>
      </c>
      <c r="C117" t="s">
        <v>232</v>
      </c>
      <c r="D117" t="s">
        <v>233</v>
      </c>
      <c r="E117" t="s">
        <v>30</v>
      </c>
      <c r="F117" s="6">
        <v>45838</v>
      </c>
      <c r="G117">
        <v>80</v>
      </c>
      <c r="H117" t="s">
        <v>95</v>
      </c>
      <c r="I117">
        <v>1.25</v>
      </c>
      <c r="J117">
        <v>1.25</v>
      </c>
      <c r="K117" t="s">
        <v>193</v>
      </c>
      <c r="L117" t="s">
        <v>102</v>
      </c>
      <c r="M117">
        <v>2025</v>
      </c>
      <c r="N117" t="s">
        <v>44</v>
      </c>
      <c r="O117" t="s">
        <v>244</v>
      </c>
      <c r="P117">
        <v>2</v>
      </c>
      <c r="Q117">
        <v>2</v>
      </c>
      <c r="R117">
        <v>0</v>
      </c>
      <c r="S117" t="s">
        <v>130</v>
      </c>
      <c r="T117" t="s">
        <v>246</v>
      </c>
      <c r="U117">
        <v>30</v>
      </c>
    </row>
    <row r="118" spans="1:21" x14ac:dyDescent="0.3">
      <c r="A118" t="s">
        <v>231</v>
      </c>
      <c r="B118" t="s">
        <v>125</v>
      </c>
      <c r="C118" t="s">
        <v>232</v>
      </c>
      <c r="D118" t="s">
        <v>233</v>
      </c>
      <c r="E118" t="s">
        <v>30</v>
      </c>
      <c r="F118" s="6">
        <v>46022</v>
      </c>
      <c r="G118">
        <v>80</v>
      </c>
      <c r="H118" t="s">
        <v>247</v>
      </c>
      <c r="I118">
        <v>1.2075</v>
      </c>
      <c r="J118">
        <v>1.2075</v>
      </c>
      <c r="K118" t="s">
        <v>193</v>
      </c>
      <c r="L118" t="s">
        <v>248</v>
      </c>
      <c r="M118">
        <v>2025</v>
      </c>
      <c r="N118" t="s">
        <v>57</v>
      </c>
      <c r="O118" t="s">
        <v>103</v>
      </c>
      <c r="P118">
        <v>2</v>
      </c>
      <c r="Q118">
        <v>2</v>
      </c>
      <c r="R118">
        <v>0</v>
      </c>
      <c r="S118" t="s">
        <v>130</v>
      </c>
      <c r="T118" t="s">
        <v>249</v>
      </c>
      <c r="U118">
        <v>31</v>
      </c>
    </row>
    <row r="119" spans="1:21" x14ac:dyDescent="0.3">
      <c r="A119" t="s">
        <v>250</v>
      </c>
      <c r="B119" t="s">
        <v>125</v>
      </c>
      <c r="C119" t="s">
        <v>251</v>
      </c>
      <c r="D119" t="s">
        <v>98</v>
      </c>
      <c r="E119" t="s">
        <v>30</v>
      </c>
      <c r="F119" s="6">
        <v>44865</v>
      </c>
      <c r="G119">
        <v>80</v>
      </c>
      <c r="H119">
        <v>74.166215125198292</v>
      </c>
      <c r="I119">
        <v>0.92707768906497867</v>
      </c>
      <c r="J119">
        <v>0.92707768906497867</v>
      </c>
      <c r="K119" t="s">
        <v>31</v>
      </c>
      <c r="L119" t="s">
        <v>31</v>
      </c>
      <c r="M119">
        <v>2022</v>
      </c>
      <c r="N119" t="s">
        <v>53</v>
      </c>
      <c r="O119" t="s">
        <v>90</v>
      </c>
      <c r="P119">
        <v>0</v>
      </c>
      <c r="Q119">
        <v>0</v>
      </c>
      <c r="R119">
        <v>0</v>
      </c>
      <c r="S119" t="s">
        <v>130</v>
      </c>
      <c r="T119" t="s">
        <v>252</v>
      </c>
      <c r="U119">
        <v>1</v>
      </c>
    </row>
    <row r="120" spans="1:21" x14ac:dyDescent="0.3">
      <c r="A120" t="s">
        <v>250</v>
      </c>
      <c r="B120" t="s">
        <v>125</v>
      </c>
      <c r="C120" t="s">
        <v>251</v>
      </c>
      <c r="D120" t="s">
        <v>98</v>
      </c>
      <c r="E120" t="s">
        <v>30</v>
      </c>
      <c r="F120" s="6">
        <v>45230</v>
      </c>
      <c r="G120">
        <v>80</v>
      </c>
      <c r="H120">
        <v>89.603847284377991</v>
      </c>
      <c r="I120">
        <v>1.120048091054725</v>
      </c>
      <c r="J120">
        <v>1.120048091054725</v>
      </c>
      <c r="K120" t="s">
        <v>31</v>
      </c>
      <c r="L120" t="s">
        <v>31</v>
      </c>
      <c r="M120">
        <v>2023</v>
      </c>
      <c r="N120" t="s">
        <v>53</v>
      </c>
      <c r="O120" t="s">
        <v>47</v>
      </c>
      <c r="P120">
        <v>0</v>
      </c>
      <c r="Q120">
        <v>0</v>
      </c>
      <c r="R120">
        <v>0</v>
      </c>
      <c r="S120" t="s">
        <v>130</v>
      </c>
      <c r="T120" t="s">
        <v>253</v>
      </c>
      <c r="U120">
        <v>1</v>
      </c>
    </row>
    <row r="121" spans="1:21" x14ac:dyDescent="0.3">
      <c r="A121" t="s">
        <v>250</v>
      </c>
      <c r="B121" t="s">
        <v>125</v>
      </c>
      <c r="C121" t="s">
        <v>251</v>
      </c>
      <c r="D121" t="s">
        <v>98</v>
      </c>
      <c r="E121" t="s">
        <v>30</v>
      </c>
      <c r="F121" s="6">
        <v>45596</v>
      </c>
      <c r="G121">
        <v>80</v>
      </c>
      <c r="H121">
        <v>90</v>
      </c>
      <c r="I121">
        <v>1.125</v>
      </c>
      <c r="J121">
        <v>1.125</v>
      </c>
      <c r="K121" t="s">
        <v>31</v>
      </c>
      <c r="L121" t="s">
        <v>31</v>
      </c>
      <c r="M121">
        <v>2024</v>
      </c>
      <c r="N121" t="s">
        <v>53</v>
      </c>
      <c r="O121" t="s">
        <v>78</v>
      </c>
      <c r="P121">
        <v>0</v>
      </c>
      <c r="Q121">
        <v>0</v>
      </c>
      <c r="R121">
        <v>0</v>
      </c>
      <c r="S121" t="s">
        <v>130</v>
      </c>
      <c r="T121" t="s">
        <v>254</v>
      </c>
      <c r="U121">
        <v>1</v>
      </c>
    </row>
    <row r="122" spans="1:21" x14ac:dyDescent="0.3">
      <c r="A122" t="s">
        <v>250</v>
      </c>
      <c r="B122" t="s">
        <v>125</v>
      </c>
      <c r="C122" t="s">
        <v>251</v>
      </c>
      <c r="D122" t="s">
        <v>98</v>
      </c>
      <c r="E122" t="s">
        <v>30</v>
      </c>
      <c r="F122" s="6">
        <v>45961</v>
      </c>
      <c r="G122">
        <v>80</v>
      </c>
      <c r="H122" t="s">
        <v>255</v>
      </c>
      <c r="I122">
        <v>1.125</v>
      </c>
      <c r="J122">
        <v>1.125</v>
      </c>
      <c r="K122" t="s">
        <v>193</v>
      </c>
      <c r="L122" t="s">
        <v>256</v>
      </c>
      <c r="M122">
        <v>2025</v>
      </c>
      <c r="N122" t="s">
        <v>53</v>
      </c>
      <c r="O122" t="s">
        <v>103</v>
      </c>
      <c r="P122">
        <v>2</v>
      </c>
      <c r="Q122">
        <v>2</v>
      </c>
      <c r="R122">
        <v>0</v>
      </c>
      <c r="S122" t="s">
        <v>104</v>
      </c>
      <c r="T122" t="s">
        <v>257</v>
      </c>
      <c r="U122">
        <v>31</v>
      </c>
    </row>
    <row r="123" spans="1:21" x14ac:dyDescent="0.3">
      <c r="A123" t="s">
        <v>258</v>
      </c>
      <c r="B123" t="s">
        <v>125</v>
      </c>
      <c r="C123" t="s">
        <v>259</v>
      </c>
      <c r="D123" t="s">
        <v>98</v>
      </c>
      <c r="E123" t="s">
        <v>30</v>
      </c>
      <c r="F123" s="6">
        <v>44865</v>
      </c>
      <c r="G123">
        <v>80</v>
      </c>
      <c r="H123">
        <v>76.616718813056906</v>
      </c>
      <c r="I123">
        <v>0.95770898516321135</v>
      </c>
      <c r="J123">
        <v>0.95770898516321135</v>
      </c>
      <c r="K123" t="s">
        <v>31</v>
      </c>
      <c r="L123" t="s">
        <v>31</v>
      </c>
      <c r="M123">
        <v>2022</v>
      </c>
      <c r="N123" t="s">
        <v>53</v>
      </c>
      <c r="O123" t="s">
        <v>90</v>
      </c>
      <c r="P123">
        <v>0</v>
      </c>
      <c r="Q123">
        <v>0</v>
      </c>
      <c r="R123">
        <v>0</v>
      </c>
      <c r="S123" t="s">
        <v>130</v>
      </c>
      <c r="T123" t="s">
        <v>260</v>
      </c>
      <c r="U123">
        <v>1</v>
      </c>
    </row>
    <row r="124" spans="1:21" x14ac:dyDescent="0.3">
      <c r="A124" t="s">
        <v>258</v>
      </c>
      <c r="B124" t="s">
        <v>125</v>
      </c>
      <c r="C124" t="s">
        <v>259</v>
      </c>
      <c r="D124" t="s">
        <v>98</v>
      </c>
      <c r="E124" t="s">
        <v>30</v>
      </c>
      <c r="F124" s="6">
        <v>45230</v>
      </c>
      <c r="G124">
        <v>80</v>
      </c>
      <c r="H124">
        <v>88.101513502306503</v>
      </c>
      <c r="I124">
        <v>1.1012689187788309</v>
      </c>
      <c r="J124">
        <v>1.1012689187788309</v>
      </c>
      <c r="K124" t="s">
        <v>31</v>
      </c>
      <c r="L124" t="s">
        <v>31</v>
      </c>
      <c r="M124">
        <v>2023</v>
      </c>
      <c r="N124" t="s">
        <v>53</v>
      </c>
      <c r="O124" t="s">
        <v>47</v>
      </c>
      <c r="P124">
        <v>0</v>
      </c>
      <c r="Q124">
        <v>0</v>
      </c>
      <c r="R124">
        <v>0</v>
      </c>
      <c r="S124" t="s">
        <v>130</v>
      </c>
      <c r="T124" t="s">
        <v>261</v>
      </c>
      <c r="U124">
        <v>1</v>
      </c>
    </row>
    <row r="125" spans="1:21" x14ac:dyDescent="0.3">
      <c r="A125" t="s">
        <v>258</v>
      </c>
      <c r="B125" t="s">
        <v>125</v>
      </c>
      <c r="C125" t="s">
        <v>262</v>
      </c>
      <c r="D125" t="s">
        <v>98</v>
      </c>
      <c r="E125" t="s">
        <v>30</v>
      </c>
      <c r="F125" s="6">
        <v>45596</v>
      </c>
      <c r="G125">
        <v>80</v>
      </c>
      <c r="H125">
        <v>88</v>
      </c>
      <c r="I125">
        <v>1.1000000000000001</v>
      </c>
      <c r="J125">
        <v>1.1000000000000001</v>
      </c>
      <c r="K125" t="s">
        <v>31</v>
      </c>
      <c r="L125" t="s">
        <v>31</v>
      </c>
      <c r="M125">
        <v>2024</v>
      </c>
      <c r="N125" t="s">
        <v>53</v>
      </c>
      <c r="O125" t="s">
        <v>78</v>
      </c>
      <c r="P125">
        <v>0</v>
      </c>
      <c r="Q125">
        <v>0</v>
      </c>
      <c r="R125">
        <v>0</v>
      </c>
      <c r="S125" t="s">
        <v>130</v>
      </c>
      <c r="T125" t="s">
        <v>263</v>
      </c>
      <c r="U125">
        <v>1</v>
      </c>
    </row>
    <row r="126" spans="1:21" x14ac:dyDescent="0.3">
      <c r="A126" t="s">
        <v>258</v>
      </c>
      <c r="B126" t="s">
        <v>125</v>
      </c>
      <c r="C126" t="s">
        <v>262</v>
      </c>
      <c r="D126" t="s">
        <v>98</v>
      </c>
      <c r="E126" t="s">
        <v>30</v>
      </c>
      <c r="F126" s="6">
        <v>45961</v>
      </c>
      <c r="G126">
        <v>80</v>
      </c>
      <c r="H126" t="s">
        <v>192</v>
      </c>
      <c r="I126">
        <v>1.175</v>
      </c>
      <c r="J126">
        <v>1.175</v>
      </c>
      <c r="K126" t="s">
        <v>193</v>
      </c>
      <c r="L126" t="s">
        <v>194</v>
      </c>
      <c r="M126">
        <v>2025</v>
      </c>
      <c r="N126" t="s">
        <v>53</v>
      </c>
      <c r="O126" t="s">
        <v>103</v>
      </c>
      <c r="P126">
        <v>2</v>
      </c>
      <c r="Q126">
        <v>2</v>
      </c>
      <c r="R126">
        <v>0</v>
      </c>
      <c r="S126" t="s">
        <v>130</v>
      </c>
      <c r="T126" t="s">
        <v>264</v>
      </c>
      <c r="U126">
        <v>31</v>
      </c>
    </row>
    <row r="127" spans="1:21" x14ac:dyDescent="0.3">
      <c r="A127" t="s">
        <v>265</v>
      </c>
      <c r="B127" t="s">
        <v>125</v>
      </c>
      <c r="C127" t="s">
        <v>266</v>
      </c>
      <c r="D127" t="s">
        <v>98</v>
      </c>
      <c r="E127" t="s">
        <v>30</v>
      </c>
      <c r="F127" s="6">
        <v>44865</v>
      </c>
      <c r="G127">
        <v>80</v>
      </c>
      <c r="H127">
        <v>79.427055947965997</v>
      </c>
      <c r="I127">
        <v>0.99283819934957496</v>
      </c>
      <c r="J127">
        <v>0.99283819934957496</v>
      </c>
      <c r="K127" t="s">
        <v>31</v>
      </c>
      <c r="L127" t="s">
        <v>31</v>
      </c>
      <c r="M127">
        <v>2022</v>
      </c>
      <c r="N127" t="s">
        <v>53</v>
      </c>
      <c r="O127" t="s">
        <v>90</v>
      </c>
      <c r="P127">
        <v>0</v>
      </c>
      <c r="Q127">
        <v>0</v>
      </c>
      <c r="R127">
        <v>0</v>
      </c>
      <c r="S127" t="s">
        <v>130</v>
      </c>
      <c r="T127" t="s">
        <v>267</v>
      </c>
      <c r="U127">
        <v>1</v>
      </c>
    </row>
    <row r="128" spans="1:21" x14ac:dyDescent="0.3">
      <c r="A128" t="s">
        <v>265</v>
      </c>
      <c r="B128" t="s">
        <v>125</v>
      </c>
      <c r="C128" t="s">
        <v>266</v>
      </c>
      <c r="D128" t="s">
        <v>98</v>
      </c>
      <c r="E128" t="s">
        <v>30</v>
      </c>
      <c r="F128" s="6">
        <v>45230</v>
      </c>
      <c r="G128">
        <v>80</v>
      </c>
      <c r="H128">
        <v>86.209232514990404</v>
      </c>
      <c r="I128">
        <v>1.07761540643738</v>
      </c>
      <c r="J128">
        <v>1.07761540643738</v>
      </c>
      <c r="K128" t="s">
        <v>31</v>
      </c>
      <c r="L128" t="s">
        <v>31</v>
      </c>
      <c r="M128">
        <v>2023</v>
      </c>
      <c r="N128" t="s">
        <v>53</v>
      </c>
      <c r="O128" t="s">
        <v>47</v>
      </c>
      <c r="P128">
        <v>0</v>
      </c>
      <c r="Q128">
        <v>0</v>
      </c>
      <c r="R128">
        <v>0</v>
      </c>
      <c r="S128" t="s">
        <v>130</v>
      </c>
      <c r="T128" t="s">
        <v>268</v>
      </c>
      <c r="U128">
        <v>1</v>
      </c>
    </row>
    <row r="129" spans="1:21" x14ac:dyDescent="0.3">
      <c r="A129" t="s">
        <v>265</v>
      </c>
      <c r="B129" t="s">
        <v>125</v>
      </c>
      <c r="C129" t="s">
        <v>266</v>
      </c>
      <c r="D129" t="s">
        <v>98</v>
      </c>
      <c r="E129" t="s">
        <v>30</v>
      </c>
      <c r="F129" s="6">
        <v>45596</v>
      </c>
      <c r="G129">
        <v>80</v>
      </c>
      <c r="H129">
        <v>81</v>
      </c>
      <c r="I129">
        <v>1.0125</v>
      </c>
      <c r="J129">
        <v>1.0125</v>
      </c>
      <c r="K129" t="s">
        <v>31</v>
      </c>
      <c r="L129" t="s">
        <v>31</v>
      </c>
      <c r="M129">
        <v>2024</v>
      </c>
      <c r="N129" t="s">
        <v>53</v>
      </c>
      <c r="O129" t="s">
        <v>78</v>
      </c>
      <c r="P129">
        <v>0</v>
      </c>
      <c r="Q129">
        <v>0</v>
      </c>
      <c r="R129">
        <v>0</v>
      </c>
      <c r="S129" t="s">
        <v>130</v>
      </c>
      <c r="T129" t="s">
        <v>269</v>
      </c>
      <c r="U129">
        <v>1</v>
      </c>
    </row>
    <row r="130" spans="1:21" x14ac:dyDescent="0.3">
      <c r="A130" t="s">
        <v>265</v>
      </c>
      <c r="B130" t="s">
        <v>125</v>
      </c>
      <c r="C130" t="s">
        <v>270</v>
      </c>
      <c r="D130" t="s">
        <v>98</v>
      </c>
      <c r="E130" t="s">
        <v>30</v>
      </c>
      <c r="F130" s="6">
        <v>45961</v>
      </c>
      <c r="G130">
        <v>80</v>
      </c>
      <c r="H130" t="s">
        <v>271</v>
      </c>
      <c r="I130">
        <v>0.92500000000000004</v>
      </c>
      <c r="J130">
        <v>0.92500000000000004</v>
      </c>
      <c r="K130" t="s">
        <v>193</v>
      </c>
      <c r="L130" t="s">
        <v>272</v>
      </c>
      <c r="M130">
        <v>2025</v>
      </c>
      <c r="N130" t="s">
        <v>53</v>
      </c>
      <c r="O130" t="s">
        <v>103</v>
      </c>
      <c r="P130">
        <v>2</v>
      </c>
      <c r="Q130">
        <v>2</v>
      </c>
      <c r="R130">
        <v>0</v>
      </c>
      <c r="S130" t="s">
        <v>130</v>
      </c>
      <c r="T130" t="s">
        <v>273</v>
      </c>
      <c r="U130">
        <v>31</v>
      </c>
    </row>
    <row r="131" spans="1:21" x14ac:dyDescent="0.3">
      <c r="A131" t="s">
        <v>274</v>
      </c>
      <c r="B131" t="s">
        <v>125</v>
      </c>
      <c r="C131" t="s">
        <v>275</v>
      </c>
      <c r="D131" t="s">
        <v>98</v>
      </c>
      <c r="E131" t="s">
        <v>30</v>
      </c>
      <c r="F131" s="6">
        <v>45230</v>
      </c>
      <c r="G131">
        <v>80</v>
      </c>
      <c r="H131">
        <v>90.789405483854196</v>
      </c>
      <c r="I131">
        <v>1.1348675685481771</v>
      </c>
      <c r="J131">
        <v>1.1348675685481771</v>
      </c>
      <c r="K131" t="s">
        <v>31</v>
      </c>
      <c r="L131" t="s">
        <v>31</v>
      </c>
      <c r="M131">
        <v>2023</v>
      </c>
      <c r="N131" t="s">
        <v>53</v>
      </c>
      <c r="O131" t="s">
        <v>47</v>
      </c>
      <c r="P131">
        <v>0</v>
      </c>
      <c r="Q131">
        <v>0</v>
      </c>
      <c r="R131">
        <v>0</v>
      </c>
      <c r="S131" t="s">
        <v>130</v>
      </c>
      <c r="T131" t="s">
        <v>276</v>
      </c>
      <c r="U131">
        <v>1</v>
      </c>
    </row>
    <row r="132" spans="1:21" x14ac:dyDescent="0.3">
      <c r="A132" t="s">
        <v>274</v>
      </c>
      <c r="B132" t="s">
        <v>125</v>
      </c>
      <c r="C132" t="s">
        <v>97</v>
      </c>
      <c r="D132" t="s">
        <v>98</v>
      </c>
      <c r="E132" t="s">
        <v>30</v>
      </c>
      <c r="F132" s="6">
        <v>45291</v>
      </c>
      <c r="G132">
        <v>80</v>
      </c>
      <c r="H132">
        <v>90.789405483854196</v>
      </c>
      <c r="I132">
        <v>1</v>
      </c>
      <c r="J132">
        <v>1.1348675685481771</v>
      </c>
      <c r="K132" t="s">
        <v>31</v>
      </c>
      <c r="L132" t="s">
        <v>31</v>
      </c>
      <c r="M132">
        <v>2023</v>
      </c>
      <c r="N132" t="s">
        <v>57</v>
      </c>
      <c r="O132" t="s">
        <v>47</v>
      </c>
      <c r="P132">
        <v>0</v>
      </c>
      <c r="Q132">
        <v>0</v>
      </c>
      <c r="R132">
        <v>0</v>
      </c>
      <c r="S132" t="s">
        <v>130</v>
      </c>
      <c r="T132" t="s">
        <v>277</v>
      </c>
      <c r="U132">
        <v>1</v>
      </c>
    </row>
    <row r="133" spans="1:21" x14ac:dyDescent="0.3">
      <c r="A133" t="s">
        <v>274</v>
      </c>
      <c r="B133" t="s">
        <v>125</v>
      </c>
      <c r="C133" t="s">
        <v>97</v>
      </c>
      <c r="D133" t="s">
        <v>98</v>
      </c>
      <c r="E133" t="s">
        <v>30</v>
      </c>
      <c r="F133" s="6">
        <v>45657</v>
      </c>
      <c r="K133" t="s">
        <v>31</v>
      </c>
      <c r="L133" t="s">
        <v>31</v>
      </c>
      <c r="M133">
        <v>2024</v>
      </c>
      <c r="N133" t="s">
        <v>57</v>
      </c>
      <c r="O133" t="s">
        <v>78</v>
      </c>
      <c r="P133">
        <v>0</v>
      </c>
      <c r="Q133">
        <v>0</v>
      </c>
      <c r="R133">
        <v>0</v>
      </c>
      <c r="S133" t="s">
        <v>130</v>
      </c>
      <c r="T133" t="s">
        <v>278</v>
      </c>
      <c r="U133">
        <v>1</v>
      </c>
    </row>
    <row r="134" spans="1:21" x14ac:dyDescent="0.3">
      <c r="A134" t="s">
        <v>274</v>
      </c>
      <c r="B134" t="s">
        <v>125</v>
      </c>
      <c r="C134" t="s">
        <v>97</v>
      </c>
      <c r="D134" t="s">
        <v>98</v>
      </c>
      <c r="E134" t="s">
        <v>30</v>
      </c>
      <c r="F134" s="6">
        <v>45961</v>
      </c>
      <c r="G134">
        <v>80</v>
      </c>
      <c r="H134" t="s">
        <v>279</v>
      </c>
      <c r="I134">
        <v>1.1125</v>
      </c>
      <c r="J134">
        <v>1.1125</v>
      </c>
      <c r="K134" t="s">
        <v>193</v>
      </c>
      <c r="L134" t="s">
        <v>280</v>
      </c>
      <c r="M134">
        <v>2025</v>
      </c>
      <c r="N134" t="s">
        <v>53</v>
      </c>
      <c r="O134" t="s">
        <v>103</v>
      </c>
      <c r="P134">
        <v>2</v>
      </c>
      <c r="Q134">
        <v>2</v>
      </c>
      <c r="R134">
        <v>0</v>
      </c>
      <c r="S134" t="s">
        <v>104</v>
      </c>
      <c r="T134" t="s">
        <v>281</v>
      </c>
      <c r="U134">
        <v>31</v>
      </c>
    </row>
    <row r="135" spans="1:21" x14ac:dyDescent="0.3">
      <c r="A135" t="s">
        <v>282</v>
      </c>
      <c r="B135" t="s">
        <v>125</v>
      </c>
      <c r="C135" t="s">
        <v>283</v>
      </c>
      <c r="D135" t="s">
        <v>284</v>
      </c>
      <c r="E135" t="s">
        <v>30</v>
      </c>
      <c r="F135" s="6">
        <v>44985</v>
      </c>
      <c r="M135">
        <v>2023</v>
      </c>
      <c r="N135" t="s">
        <v>36</v>
      </c>
      <c r="O135" t="s">
        <v>33</v>
      </c>
      <c r="P135">
        <v>0</v>
      </c>
      <c r="Q135">
        <v>0</v>
      </c>
      <c r="R135">
        <v>0</v>
      </c>
      <c r="S135" t="s">
        <v>130</v>
      </c>
      <c r="T135" t="s">
        <v>285</v>
      </c>
      <c r="U135">
        <v>1</v>
      </c>
    </row>
    <row r="136" spans="1:21" x14ac:dyDescent="0.3">
      <c r="A136" t="s">
        <v>282</v>
      </c>
      <c r="B136" t="s">
        <v>125</v>
      </c>
      <c r="C136" t="s">
        <v>283</v>
      </c>
      <c r="D136" t="s">
        <v>284</v>
      </c>
      <c r="E136" t="s">
        <v>30</v>
      </c>
      <c r="F136" s="6">
        <v>45046</v>
      </c>
      <c r="G136">
        <v>80</v>
      </c>
      <c r="H136">
        <v>83</v>
      </c>
      <c r="I136">
        <v>1.0375000000000001</v>
      </c>
      <c r="J136">
        <v>1.0375000000000001</v>
      </c>
      <c r="K136" t="s">
        <v>31</v>
      </c>
      <c r="L136" t="s">
        <v>31</v>
      </c>
      <c r="M136">
        <v>2023</v>
      </c>
      <c r="N136" t="s">
        <v>40</v>
      </c>
      <c r="O136" t="s">
        <v>33</v>
      </c>
      <c r="P136">
        <v>0</v>
      </c>
      <c r="Q136">
        <v>0</v>
      </c>
      <c r="R136">
        <v>0</v>
      </c>
      <c r="S136" t="s">
        <v>130</v>
      </c>
      <c r="T136" t="s">
        <v>286</v>
      </c>
      <c r="U136">
        <v>1</v>
      </c>
    </row>
    <row r="137" spans="1:21" x14ac:dyDescent="0.3">
      <c r="A137" t="s">
        <v>282</v>
      </c>
      <c r="B137" t="s">
        <v>125</v>
      </c>
      <c r="C137" t="s">
        <v>283</v>
      </c>
      <c r="D137" t="s">
        <v>284</v>
      </c>
      <c r="E137" t="s">
        <v>30</v>
      </c>
      <c r="F137" s="6">
        <v>45107</v>
      </c>
      <c r="G137">
        <v>80</v>
      </c>
      <c r="H137">
        <v>84</v>
      </c>
      <c r="I137">
        <v>1.05</v>
      </c>
      <c r="J137">
        <v>1.05</v>
      </c>
      <c r="K137" t="s">
        <v>31</v>
      </c>
      <c r="L137" t="s">
        <v>31</v>
      </c>
      <c r="M137">
        <v>2023</v>
      </c>
      <c r="N137" t="s">
        <v>44</v>
      </c>
      <c r="O137" t="s">
        <v>33</v>
      </c>
      <c r="P137">
        <v>0</v>
      </c>
      <c r="Q137">
        <v>0</v>
      </c>
      <c r="R137">
        <v>0</v>
      </c>
      <c r="S137" t="s">
        <v>130</v>
      </c>
      <c r="T137" t="s">
        <v>287</v>
      </c>
      <c r="U137">
        <v>1</v>
      </c>
    </row>
    <row r="138" spans="1:21" x14ac:dyDescent="0.3">
      <c r="A138" t="s">
        <v>282</v>
      </c>
      <c r="B138" t="s">
        <v>125</v>
      </c>
      <c r="C138" t="s">
        <v>283</v>
      </c>
      <c r="D138" t="s">
        <v>284</v>
      </c>
      <c r="E138" t="s">
        <v>30</v>
      </c>
      <c r="F138" s="6">
        <v>45169</v>
      </c>
      <c r="G138">
        <v>80</v>
      </c>
      <c r="H138">
        <v>84</v>
      </c>
      <c r="I138">
        <v>1.05</v>
      </c>
      <c r="J138">
        <v>1.05</v>
      </c>
      <c r="K138" t="s">
        <v>31</v>
      </c>
      <c r="L138" t="s">
        <v>31</v>
      </c>
      <c r="M138">
        <v>2023</v>
      </c>
      <c r="N138" t="s">
        <v>49</v>
      </c>
      <c r="O138" t="s">
        <v>47</v>
      </c>
      <c r="P138">
        <v>0</v>
      </c>
      <c r="Q138">
        <v>0</v>
      </c>
      <c r="R138">
        <v>0</v>
      </c>
      <c r="S138" t="s">
        <v>130</v>
      </c>
      <c r="T138" t="s">
        <v>288</v>
      </c>
      <c r="U138">
        <v>1</v>
      </c>
    </row>
    <row r="139" spans="1:21" x14ac:dyDescent="0.3">
      <c r="A139" t="s">
        <v>282</v>
      </c>
      <c r="B139" t="s">
        <v>125</v>
      </c>
      <c r="C139" t="s">
        <v>283</v>
      </c>
      <c r="D139" t="s">
        <v>284</v>
      </c>
      <c r="E139" t="s">
        <v>30</v>
      </c>
      <c r="F139" s="6">
        <v>45230</v>
      </c>
      <c r="G139">
        <v>80</v>
      </c>
      <c r="H139">
        <v>88</v>
      </c>
      <c r="I139">
        <v>1.1000000000000001</v>
      </c>
      <c r="J139">
        <v>1.1000000000000001</v>
      </c>
      <c r="K139" t="s">
        <v>31</v>
      </c>
      <c r="L139" t="s">
        <v>31</v>
      </c>
      <c r="M139">
        <v>2023</v>
      </c>
      <c r="N139" t="s">
        <v>53</v>
      </c>
      <c r="O139" t="s">
        <v>47</v>
      </c>
      <c r="P139">
        <v>0</v>
      </c>
      <c r="Q139">
        <v>0</v>
      </c>
      <c r="R139">
        <v>0</v>
      </c>
      <c r="S139" t="s">
        <v>130</v>
      </c>
      <c r="T139" t="s">
        <v>289</v>
      </c>
      <c r="U139">
        <v>1</v>
      </c>
    </row>
    <row r="140" spans="1:21" x14ac:dyDescent="0.3">
      <c r="A140" t="s">
        <v>282</v>
      </c>
      <c r="B140" t="s">
        <v>125</v>
      </c>
      <c r="C140" t="s">
        <v>283</v>
      </c>
      <c r="D140" t="s">
        <v>284</v>
      </c>
      <c r="E140" t="s">
        <v>30</v>
      </c>
      <c r="F140" s="6">
        <v>45291</v>
      </c>
      <c r="G140">
        <v>80</v>
      </c>
      <c r="H140">
        <v>88</v>
      </c>
      <c r="I140">
        <v>1.1000000000000001</v>
      </c>
      <c r="J140">
        <v>1.1000000000000001</v>
      </c>
      <c r="K140" t="s">
        <v>31</v>
      </c>
      <c r="L140" t="s">
        <v>31</v>
      </c>
      <c r="M140">
        <v>2023</v>
      </c>
      <c r="N140" t="s">
        <v>57</v>
      </c>
      <c r="O140" t="s">
        <v>47</v>
      </c>
      <c r="P140">
        <v>0</v>
      </c>
      <c r="Q140">
        <v>0</v>
      </c>
      <c r="R140">
        <v>0</v>
      </c>
      <c r="S140" t="s">
        <v>130</v>
      </c>
      <c r="T140" t="s">
        <v>290</v>
      </c>
      <c r="U140">
        <v>1</v>
      </c>
    </row>
    <row r="141" spans="1:21" x14ac:dyDescent="0.3">
      <c r="A141" t="s">
        <v>282</v>
      </c>
      <c r="B141" t="s">
        <v>125</v>
      </c>
      <c r="C141" t="s">
        <v>283</v>
      </c>
      <c r="D141" t="s">
        <v>284</v>
      </c>
      <c r="E141" t="s">
        <v>30</v>
      </c>
      <c r="F141" s="6">
        <v>45351</v>
      </c>
      <c r="K141" t="s">
        <v>31</v>
      </c>
      <c r="L141" t="s">
        <v>31</v>
      </c>
      <c r="M141">
        <v>2024</v>
      </c>
      <c r="N141" t="s">
        <v>36</v>
      </c>
      <c r="O141" t="s">
        <v>71</v>
      </c>
      <c r="P141">
        <v>0</v>
      </c>
      <c r="Q141">
        <v>0</v>
      </c>
      <c r="R141">
        <v>0</v>
      </c>
      <c r="S141" t="s">
        <v>130</v>
      </c>
      <c r="T141" t="s">
        <v>291</v>
      </c>
      <c r="U141">
        <v>1</v>
      </c>
    </row>
    <row r="142" spans="1:21" x14ac:dyDescent="0.3">
      <c r="A142" t="s">
        <v>282</v>
      </c>
      <c r="B142" t="s">
        <v>125</v>
      </c>
      <c r="C142" t="s">
        <v>283</v>
      </c>
      <c r="D142" t="s">
        <v>284</v>
      </c>
      <c r="E142" t="s">
        <v>30</v>
      </c>
      <c r="F142" s="6">
        <v>45412</v>
      </c>
      <c r="K142" t="s">
        <v>31</v>
      </c>
      <c r="L142" t="s">
        <v>31</v>
      </c>
      <c r="M142">
        <v>2024</v>
      </c>
      <c r="N142" t="s">
        <v>40</v>
      </c>
      <c r="O142" t="s">
        <v>71</v>
      </c>
      <c r="P142">
        <v>0</v>
      </c>
      <c r="Q142">
        <v>0</v>
      </c>
      <c r="R142">
        <v>0</v>
      </c>
      <c r="S142" t="s">
        <v>130</v>
      </c>
      <c r="T142" t="s">
        <v>292</v>
      </c>
      <c r="U142">
        <v>1</v>
      </c>
    </row>
    <row r="143" spans="1:21" x14ac:dyDescent="0.3">
      <c r="A143" t="s">
        <v>282</v>
      </c>
      <c r="B143" t="s">
        <v>125</v>
      </c>
      <c r="C143" t="s">
        <v>283</v>
      </c>
      <c r="D143" t="s">
        <v>284</v>
      </c>
      <c r="E143" t="s">
        <v>30</v>
      </c>
      <c r="F143" s="6">
        <v>45473</v>
      </c>
      <c r="K143" t="s">
        <v>31</v>
      </c>
      <c r="L143" t="s">
        <v>31</v>
      </c>
      <c r="M143">
        <v>2024</v>
      </c>
      <c r="N143" t="s">
        <v>44</v>
      </c>
      <c r="O143" t="s">
        <v>71</v>
      </c>
      <c r="P143">
        <v>0</v>
      </c>
      <c r="Q143">
        <v>0</v>
      </c>
      <c r="R143">
        <v>0</v>
      </c>
      <c r="S143" t="s">
        <v>130</v>
      </c>
      <c r="T143" t="s">
        <v>293</v>
      </c>
      <c r="U143">
        <v>1</v>
      </c>
    </row>
    <row r="144" spans="1:21" x14ac:dyDescent="0.3">
      <c r="A144" t="s">
        <v>282</v>
      </c>
      <c r="B144" t="s">
        <v>125</v>
      </c>
      <c r="C144" t="s">
        <v>283</v>
      </c>
      <c r="D144" t="s">
        <v>284</v>
      </c>
      <c r="E144" t="s">
        <v>30</v>
      </c>
      <c r="F144" s="6">
        <v>45535</v>
      </c>
      <c r="G144">
        <v>80</v>
      </c>
      <c r="H144">
        <v>88</v>
      </c>
      <c r="I144">
        <v>1.1000000000000001</v>
      </c>
      <c r="J144">
        <v>1.1000000000000001</v>
      </c>
      <c r="K144" t="s">
        <v>31</v>
      </c>
      <c r="L144" t="s">
        <v>31</v>
      </c>
      <c r="M144">
        <v>2024</v>
      </c>
      <c r="N144" t="s">
        <v>49</v>
      </c>
      <c r="O144" t="s">
        <v>78</v>
      </c>
      <c r="P144">
        <v>0</v>
      </c>
      <c r="Q144">
        <v>0</v>
      </c>
      <c r="R144">
        <v>0</v>
      </c>
      <c r="S144" t="s">
        <v>130</v>
      </c>
      <c r="T144" t="s">
        <v>294</v>
      </c>
      <c r="U144">
        <v>1</v>
      </c>
    </row>
    <row r="145" spans="1:21" x14ac:dyDescent="0.3">
      <c r="A145" t="s">
        <v>282</v>
      </c>
      <c r="B145" t="s">
        <v>125</v>
      </c>
      <c r="C145" t="s">
        <v>283</v>
      </c>
      <c r="D145" t="s">
        <v>284</v>
      </c>
      <c r="E145" t="s">
        <v>30</v>
      </c>
      <c r="F145" s="6">
        <v>45596</v>
      </c>
      <c r="K145" t="s">
        <v>31</v>
      </c>
      <c r="L145" t="s">
        <v>31</v>
      </c>
      <c r="M145">
        <v>2024</v>
      </c>
      <c r="N145" t="s">
        <v>53</v>
      </c>
      <c r="O145" t="s">
        <v>78</v>
      </c>
      <c r="P145">
        <v>0</v>
      </c>
      <c r="Q145">
        <v>0</v>
      </c>
      <c r="R145">
        <v>0</v>
      </c>
      <c r="S145" t="s">
        <v>130</v>
      </c>
      <c r="T145" t="s">
        <v>295</v>
      </c>
      <c r="U145">
        <v>1</v>
      </c>
    </row>
    <row r="146" spans="1:21" x14ac:dyDescent="0.3">
      <c r="A146" t="s">
        <v>282</v>
      </c>
      <c r="B146" t="s">
        <v>125</v>
      </c>
      <c r="C146" t="s">
        <v>283</v>
      </c>
      <c r="D146" t="s">
        <v>284</v>
      </c>
      <c r="E146" t="s">
        <v>30</v>
      </c>
      <c r="F146" s="6">
        <v>45657</v>
      </c>
      <c r="K146" t="s">
        <v>31</v>
      </c>
      <c r="L146" t="s">
        <v>31</v>
      </c>
      <c r="M146">
        <v>2024</v>
      </c>
      <c r="N146" t="s">
        <v>57</v>
      </c>
      <c r="O146" t="s">
        <v>78</v>
      </c>
      <c r="P146">
        <v>0</v>
      </c>
      <c r="Q146">
        <v>0</v>
      </c>
      <c r="R146">
        <v>0</v>
      </c>
      <c r="S146" t="s">
        <v>130</v>
      </c>
      <c r="T146" t="s">
        <v>296</v>
      </c>
      <c r="U146">
        <v>1</v>
      </c>
    </row>
    <row r="147" spans="1:21" x14ac:dyDescent="0.3">
      <c r="A147" t="s">
        <v>282</v>
      </c>
      <c r="B147" t="s">
        <v>125</v>
      </c>
      <c r="C147" t="s">
        <v>283</v>
      </c>
      <c r="D147" t="s">
        <v>98</v>
      </c>
      <c r="E147" t="s">
        <v>30</v>
      </c>
      <c r="F147" s="6">
        <v>46022</v>
      </c>
      <c r="G147">
        <v>80</v>
      </c>
      <c r="H147" t="s">
        <v>95</v>
      </c>
      <c r="I147">
        <v>1.25</v>
      </c>
      <c r="J147">
        <v>1.25</v>
      </c>
      <c r="K147" t="s">
        <v>193</v>
      </c>
      <c r="L147" t="s">
        <v>102</v>
      </c>
      <c r="M147">
        <v>2025</v>
      </c>
      <c r="N147" t="s">
        <v>57</v>
      </c>
      <c r="O147" t="s">
        <v>103</v>
      </c>
      <c r="P147">
        <v>2</v>
      </c>
      <c r="Q147">
        <v>2</v>
      </c>
      <c r="R147">
        <v>0</v>
      </c>
      <c r="S147" t="s">
        <v>130</v>
      </c>
      <c r="T147" t="s">
        <v>297</v>
      </c>
      <c r="U147">
        <v>31</v>
      </c>
    </row>
    <row r="148" spans="1:21" x14ac:dyDescent="0.3">
      <c r="A148" t="s">
        <v>298</v>
      </c>
      <c r="B148" t="s">
        <v>125</v>
      </c>
      <c r="C148" t="s">
        <v>299</v>
      </c>
      <c r="D148" t="s">
        <v>98</v>
      </c>
      <c r="E148" t="s">
        <v>30</v>
      </c>
      <c r="F148" s="6">
        <v>44865</v>
      </c>
      <c r="G148">
        <v>80</v>
      </c>
      <c r="H148">
        <v>86.602201544730292</v>
      </c>
      <c r="I148">
        <v>1.082527519309129</v>
      </c>
      <c r="J148">
        <v>1.082527519309129</v>
      </c>
      <c r="K148" t="s">
        <v>31</v>
      </c>
      <c r="L148" t="s">
        <v>31</v>
      </c>
      <c r="M148">
        <v>2022</v>
      </c>
      <c r="N148" t="s">
        <v>53</v>
      </c>
      <c r="O148" t="s">
        <v>90</v>
      </c>
      <c r="P148">
        <v>0</v>
      </c>
      <c r="Q148">
        <v>0</v>
      </c>
      <c r="R148">
        <v>0</v>
      </c>
      <c r="S148" t="s">
        <v>130</v>
      </c>
      <c r="T148" t="s">
        <v>300</v>
      </c>
      <c r="U148">
        <v>1</v>
      </c>
    </row>
    <row r="149" spans="1:21" x14ac:dyDescent="0.3">
      <c r="A149" t="s">
        <v>298</v>
      </c>
      <c r="B149" t="s">
        <v>125</v>
      </c>
      <c r="C149" t="s">
        <v>299</v>
      </c>
      <c r="D149" t="s">
        <v>98</v>
      </c>
      <c r="E149" t="s">
        <v>30</v>
      </c>
      <c r="F149" s="6">
        <v>45230</v>
      </c>
      <c r="G149">
        <v>80</v>
      </c>
      <c r="H149">
        <v>90.107415856608498</v>
      </c>
      <c r="I149">
        <v>1.1263426982076059</v>
      </c>
      <c r="J149">
        <v>1.1263426982076059</v>
      </c>
      <c r="K149" t="s">
        <v>31</v>
      </c>
      <c r="L149" t="s">
        <v>31</v>
      </c>
      <c r="M149">
        <v>2023</v>
      </c>
      <c r="N149" t="s">
        <v>53</v>
      </c>
      <c r="O149" t="s">
        <v>47</v>
      </c>
      <c r="P149">
        <v>0</v>
      </c>
      <c r="Q149">
        <v>0</v>
      </c>
      <c r="R149">
        <v>0</v>
      </c>
      <c r="S149" t="s">
        <v>130</v>
      </c>
      <c r="T149" t="s">
        <v>301</v>
      </c>
      <c r="U149">
        <v>1</v>
      </c>
    </row>
    <row r="150" spans="1:21" x14ac:dyDescent="0.3">
      <c r="A150" t="s">
        <v>298</v>
      </c>
      <c r="B150" t="s">
        <v>125</v>
      </c>
      <c r="C150" t="s">
        <v>299</v>
      </c>
      <c r="D150" t="s">
        <v>98</v>
      </c>
      <c r="E150" t="s">
        <v>30</v>
      </c>
      <c r="F150" s="6">
        <v>45596</v>
      </c>
      <c r="G150">
        <v>80</v>
      </c>
      <c r="H150">
        <v>89</v>
      </c>
      <c r="I150">
        <v>1.1125</v>
      </c>
      <c r="J150">
        <v>1.1125</v>
      </c>
      <c r="K150" t="s">
        <v>31</v>
      </c>
      <c r="L150" t="s">
        <v>31</v>
      </c>
      <c r="M150">
        <v>2024</v>
      </c>
      <c r="N150" t="s">
        <v>53</v>
      </c>
      <c r="O150" t="s">
        <v>78</v>
      </c>
      <c r="P150">
        <v>0</v>
      </c>
      <c r="Q150">
        <v>0</v>
      </c>
      <c r="R150">
        <v>0</v>
      </c>
      <c r="S150" t="s">
        <v>130</v>
      </c>
      <c r="T150" t="s">
        <v>302</v>
      </c>
      <c r="U150">
        <v>1</v>
      </c>
    </row>
    <row r="151" spans="1:21" x14ac:dyDescent="0.3">
      <c r="A151" t="s">
        <v>298</v>
      </c>
      <c r="B151" t="s">
        <v>125</v>
      </c>
      <c r="C151" t="s">
        <v>299</v>
      </c>
      <c r="D151" t="s">
        <v>98</v>
      </c>
      <c r="E151" t="s">
        <v>30</v>
      </c>
      <c r="F151" s="6">
        <v>45961</v>
      </c>
      <c r="G151">
        <v>80</v>
      </c>
      <c r="H151" t="s">
        <v>95</v>
      </c>
      <c r="I151">
        <v>1.25</v>
      </c>
      <c r="J151">
        <v>1.25</v>
      </c>
      <c r="K151" t="s">
        <v>193</v>
      </c>
      <c r="L151" t="s">
        <v>102</v>
      </c>
      <c r="M151">
        <v>2025</v>
      </c>
      <c r="N151" t="s">
        <v>53</v>
      </c>
      <c r="O151" t="s">
        <v>103</v>
      </c>
      <c r="P151">
        <v>2</v>
      </c>
      <c r="Q151">
        <v>2</v>
      </c>
      <c r="R151">
        <v>0</v>
      </c>
      <c r="S151" t="s">
        <v>130</v>
      </c>
      <c r="T151" t="s">
        <v>303</v>
      </c>
      <c r="U151">
        <v>31</v>
      </c>
    </row>
    <row r="152" spans="1:21" x14ac:dyDescent="0.3">
      <c r="A152" t="s">
        <v>304</v>
      </c>
      <c r="B152" t="s">
        <v>125</v>
      </c>
      <c r="C152" t="s">
        <v>305</v>
      </c>
      <c r="D152" t="s">
        <v>98</v>
      </c>
      <c r="E152" t="s">
        <v>30</v>
      </c>
      <c r="F152" s="6">
        <v>44865</v>
      </c>
      <c r="G152">
        <v>80</v>
      </c>
      <c r="H152">
        <v>88.120620620620599</v>
      </c>
      <c r="I152">
        <v>1.101507757757757</v>
      </c>
      <c r="J152">
        <v>1.101507757757757</v>
      </c>
      <c r="K152" t="s">
        <v>31</v>
      </c>
      <c r="L152" t="s">
        <v>31</v>
      </c>
      <c r="M152">
        <v>2022</v>
      </c>
      <c r="N152" t="s">
        <v>53</v>
      </c>
      <c r="O152" t="s">
        <v>90</v>
      </c>
      <c r="P152">
        <v>0</v>
      </c>
      <c r="Q152">
        <v>0</v>
      </c>
      <c r="R152">
        <v>0</v>
      </c>
      <c r="S152" t="s">
        <v>130</v>
      </c>
      <c r="T152" t="s">
        <v>306</v>
      </c>
      <c r="U152">
        <v>1</v>
      </c>
    </row>
    <row r="153" spans="1:21" x14ac:dyDescent="0.3">
      <c r="A153" t="s">
        <v>304</v>
      </c>
      <c r="B153" t="s">
        <v>125</v>
      </c>
      <c r="C153" t="s">
        <v>305</v>
      </c>
      <c r="D153" t="s">
        <v>98</v>
      </c>
      <c r="E153" t="s">
        <v>30</v>
      </c>
      <c r="F153" s="6">
        <v>45291</v>
      </c>
      <c r="G153">
        <v>80</v>
      </c>
      <c r="H153">
        <v>94.138576779026195</v>
      </c>
      <c r="I153">
        <v>1.176732209737827</v>
      </c>
      <c r="J153">
        <v>1.176732209737827</v>
      </c>
      <c r="K153" t="s">
        <v>31</v>
      </c>
      <c r="L153" t="s">
        <v>31</v>
      </c>
      <c r="M153">
        <v>2023</v>
      </c>
      <c r="N153" t="s">
        <v>57</v>
      </c>
      <c r="O153" t="s">
        <v>47</v>
      </c>
      <c r="P153">
        <v>0</v>
      </c>
      <c r="Q153">
        <v>0</v>
      </c>
      <c r="R153">
        <v>0</v>
      </c>
      <c r="S153" t="s">
        <v>130</v>
      </c>
      <c r="T153" t="s">
        <v>307</v>
      </c>
      <c r="U153">
        <v>1</v>
      </c>
    </row>
    <row r="154" spans="1:21" x14ac:dyDescent="0.3">
      <c r="A154" t="s">
        <v>304</v>
      </c>
      <c r="B154" t="s">
        <v>308</v>
      </c>
      <c r="C154" t="s">
        <v>309</v>
      </c>
      <c r="D154" t="s">
        <v>98</v>
      </c>
      <c r="E154" t="s">
        <v>30</v>
      </c>
      <c r="F154" s="6">
        <v>45657</v>
      </c>
      <c r="G154">
        <v>80</v>
      </c>
      <c r="H154">
        <v>86</v>
      </c>
      <c r="I154">
        <v>1.075</v>
      </c>
      <c r="J154">
        <v>1.075</v>
      </c>
      <c r="K154" t="s">
        <v>31</v>
      </c>
      <c r="L154" t="s">
        <v>31</v>
      </c>
      <c r="M154">
        <v>2024</v>
      </c>
      <c r="N154" t="s">
        <v>57</v>
      </c>
      <c r="O154" t="s">
        <v>78</v>
      </c>
      <c r="P154">
        <v>0</v>
      </c>
      <c r="Q154">
        <v>0</v>
      </c>
      <c r="R154">
        <v>0</v>
      </c>
      <c r="S154" t="s">
        <v>130</v>
      </c>
      <c r="T154" t="s">
        <v>310</v>
      </c>
      <c r="U154">
        <v>1</v>
      </c>
    </row>
    <row r="155" spans="1:21" x14ac:dyDescent="0.3">
      <c r="A155" t="s">
        <v>304</v>
      </c>
      <c r="B155" t="s">
        <v>308</v>
      </c>
      <c r="C155" t="s">
        <v>309</v>
      </c>
      <c r="D155" t="s">
        <v>98</v>
      </c>
      <c r="E155" t="s">
        <v>30</v>
      </c>
      <c r="F155" s="6">
        <v>45961</v>
      </c>
      <c r="G155">
        <v>80</v>
      </c>
      <c r="H155" t="s">
        <v>311</v>
      </c>
      <c r="I155">
        <v>1.2250000000000001</v>
      </c>
      <c r="J155">
        <v>1.2250000000000001</v>
      </c>
      <c r="K155" t="s">
        <v>193</v>
      </c>
      <c r="L155" t="s">
        <v>312</v>
      </c>
      <c r="M155">
        <v>2025</v>
      </c>
      <c r="N155" t="s">
        <v>53</v>
      </c>
      <c r="O155" t="s">
        <v>103</v>
      </c>
      <c r="P155">
        <v>2</v>
      </c>
      <c r="Q155">
        <v>2</v>
      </c>
      <c r="R155">
        <v>0</v>
      </c>
      <c r="S155" t="s">
        <v>130</v>
      </c>
      <c r="T155" t="s">
        <v>313</v>
      </c>
      <c r="U155">
        <v>31</v>
      </c>
    </row>
    <row r="156" spans="1:21" x14ac:dyDescent="0.3">
      <c r="A156" t="s">
        <v>314</v>
      </c>
      <c r="B156" t="s">
        <v>315</v>
      </c>
      <c r="C156" t="s">
        <v>184</v>
      </c>
      <c r="D156" t="s">
        <v>29</v>
      </c>
      <c r="E156" t="s">
        <v>30</v>
      </c>
      <c r="F156" s="6">
        <v>45169</v>
      </c>
      <c r="G156">
        <v>51</v>
      </c>
      <c r="H156">
        <v>51</v>
      </c>
      <c r="I156">
        <v>1</v>
      </c>
      <c r="J156">
        <v>1</v>
      </c>
      <c r="K156" t="s">
        <v>31</v>
      </c>
      <c r="L156" t="s">
        <v>31</v>
      </c>
      <c r="M156">
        <v>2023</v>
      </c>
      <c r="N156" t="s">
        <v>49</v>
      </c>
      <c r="O156" t="s">
        <v>47</v>
      </c>
      <c r="P156">
        <v>0</v>
      </c>
      <c r="Q156">
        <v>0</v>
      </c>
      <c r="R156">
        <v>1</v>
      </c>
      <c r="S156" t="s">
        <v>198</v>
      </c>
      <c r="T156" t="s">
        <v>316</v>
      </c>
      <c r="U156">
        <v>1</v>
      </c>
    </row>
    <row r="157" spans="1:21" x14ac:dyDescent="0.3">
      <c r="A157" t="s">
        <v>314</v>
      </c>
      <c r="B157" t="s">
        <v>315</v>
      </c>
      <c r="C157" t="s">
        <v>184</v>
      </c>
      <c r="D157" t="s">
        <v>29</v>
      </c>
      <c r="E157" t="s">
        <v>30</v>
      </c>
      <c r="F157" s="6">
        <v>45199</v>
      </c>
      <c r="G157">
        <v>56</v>
      </c>
      <c r="H157">
        <v>51</v>
      </c>
      <c r="I157">
        <v>0.9107142857142857</v>
      </c>
      <c r="J157">
        <v>0.9107142857142857</v>
      </c>
      <c r="K157" t="s">
        <v>31</v>
      </c>
      <c r="L157" t="s">
        <v>31</v>
      </c>
      <c r="M157">
        <v>2023</v>
      </c>
      <c r="N157" t="s">
        <v>51</v>
      </c>
      <c r="O157" t="s">
        <v>47</v>
      </c>
      <c r="P157">
        <v>0</v>
      </c>
      <c r="Q157">
        <v>0</v>
      </c>
      <c r="R157">
        <v>1</v>
      </c>
      <c r="S157" t="s">
        <v>198</v>
      </c>
      <c r="T157" t="s">
        <v>317</v>
      </c>
      <c r="U157">
        <v>1</v>
      </c>
    </row>
    <row r="158" spans="1:21" x14ac:dyDescent="0.3">
      <c r="A158" t="s">
        <v>314</v>
      </c>
      <c r="B158" t="s">
        <v>315</v>
      </c>
      <c r="C158" t="s">
        <v>184</v>
      </c>
      <c r="D158" t="s">
        <v>29</v>
      </c>
      <c r="E158" t="s">
        <v>30</v>
      </c>
      <c r="F158" s="6">
        <v>45230</v>
      </c>
      <c r="G158">
        <v>65</v>
      </c>
      <c r="H158">
        <v>51</v>
      </c>
      <c r="I158">
        <v>0.7846153846153846</v>
      </c>
      <c r="J158">
        <v>0.7846153846153846</v>
      </c>
      <c r="K158" t="s">
        <v>31</v>
      </c>
      <c r="L158" t="s">
        <v>31</v>
      </c>
      <c r="M158">
        <v>2023</v>
      </c>
      <c r="N158" t="s">
        <v>53</v>
      </c>
      <c r="O158" t="s">
        <v>47</v>
      </c>
      <c r="P158">
        <v>0</v>
      </c>
      <c r="Q158">
        <v>0</v>
      </c>
      <c r="R158">
        <v>1</v>
      </c>
      <c r="S158" t="s">
        <v>198</v>
      </c>
      <c r="T158" t="s">
        <v>318</v>
      </c>
      <c r="U158">
        <v>1</v>
      </c>
    </row>
    <row r="159" spans="1:21" x14ac:dyDescent="0.3">
      <c r="A159" t="s">
        <v>314</v>
      </c>
      <c r="B159" t="s">
        <v>315</v>
      </c>
      <c r="C159" t="s">
        <v>184</v>
      </c>
      <c r="D159" t="s">
        <v>29</v>
      </c>
      <c r="E159" t="s">
        <v>30</v>
      </c>
      <c r="F159" s="6">
        <v>45260</v>
      </c>
      <c r="G159">
        <v>65</v>
      </c>
      <c r="H159">
        <v>51</v>
      </c>
      <c r="I159">
        <v>0.7846153846153846</v>
      </c>
      <c r="J159">
        <v>0.7846153846153846</v>
      </c>
      <c r="K159" t="s">
        <v>31</v>
      </c>
      <c r="L159" t="s">
        <v>31</v>
      </c>
      <c r="M159">
        <v>2023</v>
      </c>
      <c r="N159" t="s">
        <v>55</v>
      </c>
      <c r="O159" t="s">
        <v>47</v>
      </c>
      <c r="P159">
        <v>0</v>
      </c>
      <c r="Q159">
        <v>0</v>
      </c>
      <c r="R159">
        <v>1</v>
      </c>
      <c r="S159" t="s">
        <v>198</v>
      </c>
      <c r="T159" t="s">
        <v>319</v>
      </c>
      <c r="U159">
        <v>1</v>
      </c>
    </row>
    <row r="160" spans="1:21" x14ac:dyDescent="0.3">
      <c r="A160" t="s">
        <v>314</v>
      </c>
      <c r="B160" t="s">
        <v>315</v>
      </c>
      <c r="C160" t="s">
        <v>184</v>
      </c>
      <c r="D160" t="s">
        <v>29</v>
      </c>
      <c r="E160" t="s">
        <v>30</v>
      </c>
      <c r="F160" s="6">
        <v>45291</v>
      </c>
      <c r="G160">
        <v>65</v>
      </c>
      <c r="H160">
        <v>51</v>
      </c>
      <c r="I160">
        <v>0.7846153846153846</v>
      </c>
      <c r="J160">
        <v>0.7846153846153846</v>
      </c>
      <c r="K160" t="s">
        <v>31</v>
      </c>
      <c r="L160" t="s">
        <v>31</v>
      </c>
      <c r="M160">
        <v>2023</v>
      </c>
      <c r="N160" t="s">
        <v>57</v>
      </c>
      <c r="O160" t="s">
        <v>47</v>
      </c>
      <c r="P160">
        <v>0</v>
      </c>
      <c r="Q160">
        <v>0</v>
      </c>
      <c r="R160">
        <v>1</v>
      </c>
      <c r="S160" t="s">
        <v>198</v>
      </c>
      <c r="T160" t="s">
        <v>320</v>
      </c>
      <c r="U160">
        <v>1</v>
      </c>
    </row>
    <row r="161" spans="1:21" x14ac:dyDescent="0.3">
      <c r="A161" t="s">
        <v>314</v>
      </c>
      <c r="B161" t="s">
        <v>315</v>
      </c>
      <c r="C161" t="s">
        <v>184</v>
      </c>
      <c r="D161" t="s">
        <v>29</v>
      </c>
      <c r="E161" t="s">
        <v>30</v>
      </c>
      <c r="F161" s="6">
        <v>45322</v>
      </c>
      <c r="G161">
        <v>65</v>
      </c>
      <c r="H161">
        <v>51</v>
      </c>
      <c r="I161">
        <v>0.7846153846153846</v>
      </c>
      <c r="J161">
        <v>0.7846153846153846</v>
      </c>
      <c r="K161" t="s">
        <v>31</v>
      </c>
      <c r="L161" t="s">
        <v>31</v>
      </c>
      <c r="M161">
        <v>2024</v>
      </c>
      <c r="N161" t="s">
        <v>32</v>
      </c>
      <c r="O161" t="s">
        <v>71</v>
      </c>
      <c r="P161">
        <v>0</v>
      </c>
      <c r="Q161">
        <v>0</v>
      </c>
      <c r="R161">
        <v>1</v>
      </c>
      <c r="S161" t="s">
        <v>198</v>
      </c>
      <c r="T161" t="s">
        <v>321</v>
      </c>
      <c r="U161">
        <v>1</v>
      </c>
    </row>
    <row r="162" spans="1:21" x14ac:dyDescent="0.3">
      <c r="A162" t="s">
        <v>314</v>
      </c>
      <c r="B162" t="s">
        <v>315</v>
      </c>
      <c r="C162" t="s">
        <v>184</v>
      </c>
      <c r="D162" t="s">
        <v>29</v>
      </c>
      <c r="E162" t="s">
        <v>30</v>
      </c>
      <c r="F162" s="6">
        <v>45351</v>
      </c>
      <c r="G162">
        <v>65</v>
      </c>
      <c r="H162">
        <v>51</v>
      </c>
      <c r="I162">
        <v>0.7846153846153846</v>
      </c>
      <c r="J162">
        <v>0.7846153846153846</v>
      </c>
      <c r="K162" t="s">
        <v>31</v>
      </c>
      <c r="L162" t="s">
        <v>31</v>
      </c>
      <c r="M162">
        <v>2024</v>
      </c>
      <c r="N162" t="s">
        <v>36</v>
      </c>
      <c r="O162" t="s">
        <v>71</v>
      </c>
      <c r="P162">
        <v>0</v>
      </c>
      <c r="Q162">
        <v>0</v>
      </c>
      <c r="R162">
        <v>1</v>
      </c>
      <c r="S162" t="s">
        <v>198</v>
      </c>
      <c r="T162" t="s">
        <v>322</v>
      </c>
      <c r="U162">
        <v>1</v>
      </c>
    </row>
    <row r="163" spans="1:21" x14ac:dyDescent="0.3">
      <c r="A163" t="s">
        <v>314</v>
      </c>
      <c r="B163" t="s">
        <v>315</v>
      </c>
      <c r="C163" t="s">
        <v>184</v>
      </c>
      <c r="D163" t="s">
        <v>29</v>
      </c>
      <c r="E163" t="s">
        <v>30</v>
      </c>
      <c r="F163" s="6">
        <v>45382</v>
      </c>
      <c r="G163">
        <v>65</v>
      </c>
      <c r="H163">
        <v>51</v>
      </c>
      <c r="I163">
        <v>0.7846153846153846</v>
      </c>
      <c r="J163">
        <v>0.7846153846153846</v>
      </c>
      <c r="K163" t="s">
        <v>31</v>
      </c>
      <c r="L163" t="s">
        <v>31</v>
      </c>
      <c r="M163">
        <v>2024</v>
      </c>
      <c r="N163" t="s">
        <v>38</v>
      </c>
      <c r="O163" t="s">
        <v>71</v>
      </c>
      <c r="P163">
        <v>0</v>
      </c>
      <c r="Q163">
        <v>0</v>
      </c>
      <c r="R163">
        <v>1</v>
      </c>
      <c r="S163" t="s">
        <v>198</v>
      </c>
      <c r="T163" t="s">
        <v>323</v>
      </c>
      <c r="U163">
        <v>1</v>
      </c>
    </row>
    <row r="164" spans="1:21" x14ac:dyDescent="0.3">
      <c r="A164" t="s">
        <v>314</v>
      </c>
      <c r="B164" t="s">
        <v>315</v>
      </c>
      <c r="C164" t="s">
        <v>184</v>
      </c>
      <c r="D164" t="s">
        <v>29</v>
      </c>
      <c r="E164" t="s">
        <v>30</v>
      </c>
      <c r="F164" s="6">
        <v>45412</v>
      </c>
      <c r="G164">
        <v>64</v>
      </c>
      <c r="H164">
        <v>64</v>
      </c>
      <c r="I164">
        <v>1</v>
      </c>
      <c r="J164">
        <v>1</v>
      </c>
      <c r="K164" t="s">
        <v>31</v>
      </c>
      <c r="L164" t="s">
        <v>31</v>
      </c>
      <c r="M164">
        <v>2024</v>
      </c>
      <c r="N164" t="s">
        <v>40</v>
      </c>
      <c r="O164" t="s">
        <v>71</v>
      </c>
      <c r="P164">
        <v>0</v>
      </c>
      <c r="Q164">
        <v>0</v>
      </c>
      <c r="R164">
        <v>1</v>
      </c>
      <c r="S164" t="s">
        <v>198</v>
      </c>
      <c r="T164" t="s">
        <v>324</v>
      </c>
      <c r="U164">
        <v>1</v>
      </c>
    </row>
    <row r="165" spans="1:21" x14ac:dyDescent="0.3">
      <c r="A165" t="s">
        <v>314</v>
      </c>
      <c r="B165" t="s">
        <v>315</v>
      </c>
      <c r="C165" t="s">
        <v>184</v>
      </c>
      <c r="D165" t="s">
        <v>29</v>
      </c>
      <c r="E165" t="s">
        <v>30</v>
      </c>
      <c r="F165" s="6">
        <v>45443</v>
      </c>
      <c r="G165">
        <v>53</v>
      </c>
      <c r="H165">
        <v>48</v>
      </c>
      <c r="I165">
        <v>0.90566037735849059</v>
      </c>
      <c r="J165">
        <v>0.90566037735849059</v>
      </c>
      <c r="K165" t="s">
        <v>31</v>
      </c>
      <c r="L165" t="s">
        <v>31</v>
      </c>
      <c r="M165">
        <v>2024</v>
      </c>
      <c r="N165" t="s">
        <v>42</v>
      </c>
      <c r="O165" t="s">
        <v>71</v>
      </c>
      <c r="P165">
        <v>0</v>
      </c>
      <c r="Q165">
        <v>0</v>
      </c>
      <c r="R165">
        <v>1</v>
      </c>
      <c r="S165" t="s">
        <v>198</v>
      </c>
      <c r="T165" t="s">
        <v>325</v>
      </c>
      <c r="U165">
        <v>1</v>
      </c>
    </row>
    <row r="166" spans="1:21" x14ac:dyDescent="0.3">
      <c r="A166" t="s">
        <v>314</v>
      </c>
      <c r="B166" t="s">
        <v>315</v>
      </c>
      <c r="C166" t="s">
        <v>184</v>
      </c>
      <c r="D166" t="s">
        <v>29</v>
      </c>
      <c r="E166" t="s">
        <v>30</v>
      </c>
      <c r="F166" s="6">
        <v>45473</v>
      </c>
      <c r="G166">
        <v>89</v>
      </c>
      <c r="H166">
        <v>91</v>
      </c>
      <c r="I166">
        <v>1.02247191011236</v>
      </c>
      <c r="J166">
        <v>1.02247191011236</v>
      </c>
      <c r="K166" t="s">
        <v>31</v>
      </c>
      <c r="L166" t="s">
        <v>31</v>
      </c>
      <c r="M166">
        <v>2024</v>
      </c>
      <c r="N166" t="s">
        <v>44</v>
      </c>
      <c r="O166" t="s">
        <v>71</v>
      </c>
      <c r="P166">
        <v>0</v>
      </c>
      <c r="Q166">
        <v>0</v>
      </c>
      <c r="R166">
        <v>1</v>
      </c>
      <c r="S166" t="s">
        <v>198</v>
      </c>
      <c r="T166" t="s">
        <v>326</v>
      </c>
      <c r="U166">
        <v>1</v>
      </c>
    </row>
    <row r="167" spans="1:21" x14ac:dyDescent="0.3">
      <c r="A167" t="s">
        <v>314</v>
      </c>
      <c r="B167" t="s">
        <v>315</v>
      </c>
      <c r="C167" t="s">
        <v>184</v>
      </c>
      <c r="D167" t="s">
        <v>29</v>
      </c>
      <c r="E167" t="s">
        <v>30</v>
      </c>
      <c r="F167" s="6">
        <v>45504</v>
      </c>
      <c r="G167">
        <v>64</v>
      </c>
      <c r="H167">
        <v>54</v>
      </c>
      <c r="I167">
        <v>0.84375</v>
      </c>
      <c r="J167">
        <v>0.84375</v>
      </c>
      <c r="K167" t="s">
        <v>31</v>
      </c>
      <c r="L167" t="s">
        <v>31</v>
      </c>
      <c r="M167">
        <v>2024</v>
      </c>
      <c r="N167" t="s">
        <v>46</v>
      </c>
      <c r="O167" t="s">
        <v>78</v>
      </c>
      <c r="P167">
        <v>0</v>
      </c>
      <c r="Q167">
        <v>0</v>
      </c>
      <c r="R167">
        <v>1</v>
      </c>
      <c r="S167" t="s">
        <v>198</v>
      </c>
      <c r="T167" t="s">
        <v>327</v>
      </c>
      <c r="U167">
        <v>1</v>
      </c>
    </row>
    <row r="168" spans="1:21" x14ac:dyDescent="0.3">
      <c r="A168" t="s">
        <v>314</v>
      </c>
      <c r="B168" t="s">
        <v>315</v>
      </c>
      <c r="C168" t="s">
        <v>184</v>
      </c>
      <c r="D168" t="s">
        <v>29</v>
      </c>
      <c r="E168" t="s">
        <v>30</v>
      </c>
      <c r="F168" s="6">
        <v>45535</v>
      </c>
      <c r="G168">
        <v>64</v>
      </c>
      <c r="H168">
        <v>54</v>
      </c>
      <c r="I168">
        <v>0.84375</v>
      </c>
      <c r="J168">
        <v>0.84375</v>
      </c>
      <c r="K168" t="s">
        <v>31</v>
      </c>
      <c r="L168" t="s">
        <v>31</v>
      </c>
      <c r="M168">
        <v>2024</v>
      </c>
      <c r="N168" t="s">
        <v>49</v>
      </c>
      <c r="O168" t="s">
        <v>78</v>
      </c>
      <c r="P168">
        <v>0</v>
      </c>
      <c r="Q168">
        <v>0</v>
      </c>
      <c r="R168">
        <v>1</v>
      </c>
      <c r="S168" t="s">
        <v>198</v>
      </c>
      <c r="T168" t="s">
        <v>328</v>
      </c>
      <c r="U168">
        <v>1</v>
      </c>
    </row>
    <row r="169" spans="1:21" x14ac:dyDescent="0.3">
      <c r="A169" t="s">
        <v>314</v>
      </c>
      <c r="B169" t="s">
        <v>315</v>
      </c>
      <c r="C169" t="s">
        <v>184</v>
      </c>
      <c r="D169" t="s">
        <v>29</v>
      </c>
      <c r="E169" t="s">
        <v>30</v>
      </c>
      <c r="F169" s="6">
        <v>45565</v>
      </c>
      <c r="K169" t="s">
        <v>215</v>
      </c>
      <c r="L169" t="s">
        <v>215</v>
      </c>
      <c r="M169">
        <v>2024</v>
      </c>
      <c r="N169" t="s">
        <v>51</v>
      </c>
      <c r="O169" t="s">
        <v>78</v>
      </c>
      <c r="P169">
        <v>0</v>
      </c>
      <c r="Q169">
        <v>0</v>
      </c>
      <c r="R169">
        <v>1</v>
      </c>
      <c r="S169" t="s">
        <v>198</v>
      </c>
      <c r="T169" t="s">
        <v>329</v>
      </c>
      <c r="U169">
        <v>1</v>
      </c>
    </row>
    <row r="170" spans="1:21" x14ac:dyDescent="0.3">
      <c r="A170" t="s">
        <v>314</v>
      </c>
      <c r="B170" t="s">
        <v>315</v>
      </c>
      <c r="C170" t="s">
        <v>184</v>
      </c>
      <c r="D170" t="s">
        <v>29</v>
      </c>
      <c r="E170" t="s">
        <v>30</v>
      </c>
      <c r="F170" s="6">
        <v>45596</v>
      </c>
      <c r="G170">
        <v>64</v>
      </c>
      <c r="H170">
        <v>54</v>
      </c>
      <c r="I170">
        <v>0.84375</v>
      </c>
      <c r="J170">
        <v>0.84375</v>
      </c>
      <c r="K170" t="s">
        <v>31</v>
      </c>
      <c r="L170" t="s">
        <v>31</v>
      </c>
      <c r="M170">
        <v>2024</v>
      </c>
      <c r="N170" t="s">
        <v>53</v>
      </c>
      <c r="O170" t="s">
        <v>78</v>
      </c>
      <c r="P170">
        <v>0</v>
      </c>
      <c r="Q170">
        <v>0</v>
      </c>
      <c r="R170">
        <v>1</v>
      </c>
      <c r="S170" t="s">
        <v>198</v>
      </c>
      <c r="T170" t="s">
        <v>330</v>
      </c>
      <c r="U170">
        <v>1</v>
      </c>
    </row>
    <row r="171" spans="1:21" x14ac:dyDescent="0.3">
      <c r="A171" t="s">
        <v>314</v>
      </c>
      <c r="B171" t="s">
        <v>315</v>
      </c>
      <c r="C171" t="s">
        <v>184</v>
      </c>
      <c r="D171" t="s">
        <v>29</v>
      </c>
      <c r="E171" t="s">
        <v>30</v>
      </c>
      <c r="F171" s="6">
        <v>45626</v>
      </c>
      <c r="G171">
        <v>76</v>
      </c>
      <c r="H171">
        <v>56</v>
      </c>
      <c r="I171">
        <v>0.73684210526315785</v>
      </c>
      <c r="J171">
        <v>0.73684210526315785</v>
      </c>
      <c r="K171" t="s">
        <v>31</v>
      </c>
      <c r="L171" t="s">
        <v>31</v>
      </c>
      <c r="M171">
        <v>2024</v>
      </c>
      <c r="N171" t="s">
        <v>55</v>
      </c>
      <c r="O171" t="s">
        <v>78</v>
      </c>
      <c r="P171">
        <v>0</v>
      </c>
      <c r="Q171">
        <v>0</v>
      </c>
      <c r="R171">
        <v>1</v>
      </c>
      <c r="S171" t="s">
        <v>198</v>
      </c>
      <c r="T171" t="s">
        <v>331</v>
      </c>
      <c r="U171">
        <v>1</v>
      </c>
    </row>
    <row r="172" spans="1:21" x14ac:dyDescent="0.3">
      <c r="A172" t="s">
        <v>314</v>
      </c>
      <c r="B172" t="s">
        <v>315</v>
      </c>
      <c r="C172" t="s">
        <v>184</v>
      </c>
      <c r="D172" t="s">
        <v>29</v>
      </c>
      <c r="E172" t="s">
        <v>30</v>
      </c>
      <c r="F172" s="6">
        <v>45657</v>
      </c>
      <c r="K172" t="s">
        <v>215</v>
      </c>
      <c r="L172" t="s">
        <v>215</v>
      </c>
      <c r="M172">
        <v>2024</v>
      </c>
      <c r="N172" t="s">
        <v>57</v>
      </c>
      <c r="O172" t="s">
        <v>78</v>
      </c>
      <c r="P172">
        <v>0</v>
      </c>
      <c r="Q172">
        <v>0</v>
      </c>
      <c r="R172">
        <v>1</v>
      </c>
      <c r="S172" t="s">
        <v>198</v>
      </c>
      <c r="T172" t="s">
        <v>332</v>
      </c>
      <c r="U172">
        <v>1</v>
      </c>
    </row>
    <row r="173" spans="1:21" x14ac:dyDescent="0.3">
      <c r="A173" t="s">
        <v>333</v>
      </c>
      <c r="B173" t="s">
        <v>334</v>
      </c>
      <c r="C173" t="s">
        <v>262</v>
      </c>
      <c r="D173" t="s">
        <v>29</v>
      </c>
      <c r="E173" t="s">
        <v>108</v>
      </c>
      <c r="F173" s="6">
        <v>44592</v>
      </c>
      <c r="G173">
        <v>11031480</v>
      </c>
      <c r="H173">
        <v>11023772</v>
      </c>
      <c r="I173">
        <v>1.000699216202948</v>
      </c>
      <c r="J173">
        <v>1.000699216202948</v>
      </c>
      <c r="K173" t="s">
        <v>335</v>
      </c>
      <c r="L173" t="s">
        <v>335</v>
      </c>
      <c r="M173">
        <v>2022</v>
      </c>
      <c r="N173" t="s">
        <v>32</v>
      </c>
      <c r="O173" t="s">
        <v>88</v>
      </c>
      <c r="P173">
        <v>0</v>
      </c>
      <c r="Q173">
        <v>0</v>
      </c>
      <c r="R173">
        <v>0</v>
      </c>
      <c r="S173" t="s">
        <v>336</v>
      </c>
      <c r="T173" t="s">
        <v>337</v>
      </c>
      <c r="U173">
        <v>1</v>
      </c>
    </row>
    <row r="174" spans="1:21" x14ac:dyDescent="0.3">
      <c r="A174" t="s">
        <v>333</v>
      </c>
      <c r="B174" t="s">
        <v>334</v>
      </c>
      <c r="C174" t="s">
        <v>262</v>
      </c>
      <c r="D174" t="s">
        <v>29</v>
      </c>
      <c r="E174" t="s">
        <v>108</v>
      </c>
      <c r="F174" s="6">
        <v>44620</v>
      </c>
      <c r="G174">
        <v>19009806</v>
      </c>
      <c r="H174">
        <v>18978668</v>
      </c>
      <c r="I174">
        <v>1.001640684161818</v>
      </c>
      <c r="J174">
        <v>1.001640684161818</v>
      </c>
      <c r="K174" t="s">
        <v>335</v>
      </c>
      <c r="L174" t="s">
        <v>335</v>
      </c>
      <c r="M174">
        <v>2022</v>
      </c>
      <c r="N174" t="s">
        <v>36</v>
      </c>
      <c r="O174" t="s">
        <v>88</v>
      </c>
      <c r="P174">
        <v>0</v>
      </c>
      <c r="Q174">
        <v>0</v>
      </c>
      <c r="R174">
        <v>0</v>
      </c>
      <c r="S174" t="s">
        <v>336</v>
      </c>
      <c r="T174" t="s">
        <v>338</v>
      </c>
      <c r="U174">
        <v>1</v>
      </c>
    </row>
    <row r="175" spans="1:21" x14ac:dyDescent="0.3">
      <c r="A175" t="s">
        <v>333</v>
      </c>
      <c r="B175" t="s">
        <v>334</v>
      </c>
      <c r="C175" t="s">
        <v>262</v>
      </c>
      <c r="D175" t="s">
        <v>29</v>
      </c>
      <c r="E175" t="s">
        <v>108</v>
      </c>
      <c r="F175" s="6">
        <v>44651</v>
      </c>
      <c r="G175">
        <v>28116541</v>
      </c>
      <c r="H175">
        <v>28119507</v>
      </c>
      <c r="I175">
        <v>0.99989452162159176</v>
      </c>
      <c r="J175">
        <v>0.99989452162159176</v>
      </c>
      <c r="K175" t="s">
        <v>335</v>
      </c>
      <c r="L175" t="s">
        <v>335</v>
      </c>
      <c r="M175">
        <v>2022</v>
      </c>
      <c r="N175" t="s">
        <v>38</v>
      </c>
      <c r="O175" t="s">
        <v>88</v>
      </c>
      <c r="P175">
        <v>0</v>
      </c>
      <c r="Q175">
        <v>0</v>
      </c>
      <c r="R175">
        <v>0</v>
      </c>
      <c r="S175" t="s">
        <v>336</v>
      </c>
      <c r="T175" t="s">
        <v>339</v>
      </c>
      <c r="U175">
        <v>1</v>
      </c>
    </row>
    <row r="176" spans="1:21" x14ac:dyDescent="0.3">
      <c r="A176" t="s">
        <v>333</v>
      </c>
      <c r="B176" t="s">
        <v>334</v>
      </c>
      <c r="C176" t="s">
        <v>262</v>
      </c>
      <c r="D176" t="s">
        <v>29</v>
      </c>
      <c r="E176" t="s">
        <v>108</v>
      </c>
      <c r="F176" s="6">
        <v>44681</v>
      </c>
      <c r="G176">
        <v>36304455</v>
      </c>
      <c r="H176">
        <v>36102205</v>
      </c>
      <c r="I176">
        <v>1.005602150893554</v>
      </c>
      <c r="J176">
        <v>1.005602150893554</v>
      </c>
      <c r="K176" t="s">
        <v>335</v>
      </c>
      <c r="L176" t="s">
        <v>335</v>
      </c>
      <c r="M176">
        <v>2022</v>
      </c>
      <c r="N176" t="s">
        <v>40</v>
      </c>
      <c r="O176" t="s">
        <v>88</v>
      </c>
      <c r="P176">
        <v>0</v>
      </c>
      <c r="Q176">
        <v>0</v>
      </c>
      <c r="R176">
        <v>0</v>
      </c>
      <c r="S176" t="s">
        <v>336</v>
      </c>
      <c r="T176" t="s">
        <v>340</v>
      </c>
      <c r="U176">
        <v>1</v>
      </c>
    </row>
    <row r="177" spans="1:21" x14ac:dyDescent="0.3">
      <c r="A177" t="s">
        <v>333</v>
      </c>
      <c r="B177" t="s">
        <v>334</v>
      </c>
      <c r="C177" t="s">
        <v>262</v>
      </c>
      <c r="D177" t="s">
        <v>29</v>
      </c>
      <c r="E177" t="s">
        <v>108</v>
      </c>
      <c r="F177" s="6">
        <v>44712</v>
      </c>
      <c r="G177">
        <v>46155164</v>
      </c>
      <c r="H177">
        <v>45937108</v>
      </c>
      <c r="I177">
        <v>1.0047468377852611</v>
      </c>
      <c r="J177">
        <v>1.0047468377852611</v>
      </c>
      <c r="K177" t="s">
        <v>335</v>
      </c>
      <c r="L177" t="s">
        <v>335</v>
      </c>
      <c r="M177">
        <v>2022</v>
      </c>
      <c r="N177" t="s">
        <v>42</v>
      </c>
      <c r="O177" t="s">
        <v>88</v>
      </c>
      <c r="P177">
        <v>0</v>
      </c>
      <c r="Q177">
        <v>0</v>
      </c>
      <c r="R177">
        <v>0</v>
      </c>
      <c r="S177" t="s">
        <v>336</v>
      </c>
      <c r="T177" t="s">
        <v>341</v>
      </c>
      <c r="U177">
        <v>1</v>
      </c>
    </row>
    <row r="178" spans="1:21" x14ac:dyDescent="0.3">
      <c r="A178" t="s">
        <v>333</v>
      </c>
      <c r="B178" t="s">
        <v>334</v>
      </c>
      <c r="C178" t="s">
        <v>262</v>
      </c>
      <c r="D178" t="s">
        <v>29</v>
      </c>
      <c r="E178" t="s">
        <v>108</v>
      </c>
      <c r="F178" s="6">
        <v>44742</v>
      </c>
      <c r="G178">
        <v>52112928</v>
      </c>
      <c r="H178">
        <v>52119221</v>
      </c>
      <c r="I178">
        <v>0.99987925759673191</v>
      </c>
      <c r="J178">
        <v>0.99987925759673191</v>
      </c>
      <c r="K178" t="s">
        <v>335</v>
      </c>
      <c r="L178" t="s">
        <v>335</v>
      </c>
      <c r="M178">
        <v>2022</v>
      </c>
      <c r="N178" t="s">
        <v>44</v>
      </c>
      <c r="O178" t="s">
        <v>88</v>
      </c>
      <c r="P178">
        <v>0</v>
      </c>
      <c r="Q178">
        <v>0</v>
      </c>
      <c r="R178">
        <v>0</v>
      </c>
      <c r="S178" t="s">
        <v>336</v>
      </c>
      <c r="T178" t="s">
        <v>342</v>
      </c>
      <c r="U178">
        <v>1</v>
      </c>
    </row>
    <row r="179" spans="1:21" x14ac:dyDescent="0.3">
      <c r="A179" t="s">
        <v>333</v>
      </c>
      <c r="B179" t="s">
        <v>334</v>
      </c>
      <c r="C179" t="s">
        <v>262</v>
      </c>
      <c r="D179" t="s">
        <v>29</v>
      </c>
      <c r="E179" t="s">
        <v>108</v>
      </c>
      <c r="F179" s="6">
        <v>44773</v>
      </c>
      <c r="G179">
        <v>58415497</v>
      </c>
      <c r="H179">
        <v>58456182</v>
      </c>
      <c r="I179">
        <v>0.99930400859912472</v>
      </c>
      <c r="J179">
        <v>0.99930400859912472</v>
      </c>
      <c r="K179" t="s">
        <v>335</v>
      </c>
      <c r="L179" t="s">
        <v>335</v>
      </c>
      <c r="M179">
        <v>2022</v>
      </c>
      <c r="N179" t="s">
        <v>46</v>
      </c>
      <c r="O179" t="s">
        <v>90</v>
      </c>
      <c r="P179">
        <v>0</v>
      </c>
      <c r="Q179">
        <v>0</v>
      </c>
      <c r="R179">
        <v>0</v>
      </c>
      <c r="S179" t="s">
        <v>336</v>
      </c>
      <c r="T179" t="s">
        <v>343</v>
      </c>
      <c r="U179">
        <v>1</v>
      </c>
    </row>
    <row r="180" spans="1:21" x14ac:dyDescent="0.3">
      <c r="A180" t="s">
        <v>333</v>
      </c>
      <c r="B180" t="s">
        <v>334</v>
      </c>
      <c r="C180" t="s">
        <v>262</v>
      </c>
      <c r="D180" t="s">
        <v>29</v>
      </c>
      <c r="E180" t="s">
        <v>108</v>
      </c>
      <c r="F180" s="6">
        <v>44804</v>
      </c>
      <c r="G180">
        <v>66288642</v>
      </c>
      <c r="H180">
        <v>66663793</v>
      </c>
      <c r="I180">
        <v>0.994372492426286</v>
      </c>
      <c r="J180">
        <v>0.994372492426286</v>
      </c>
      <c r="K180" t="s">
        <v>335</v>
      </c>
      <c r="L180" t="s">
        <v>335</v>
      </c>
      <c r="M180">
        <v>2022</v>
      </c>
      <c r="N180" t="s">
        <v>49</v>
      </c>
      <c r="O180" t="s">
        <v>90</v>
      </c>
      <c r="P180">
        <v>0</v>
      </c>
      <c r="Q180">
        <v>0</v>
      </c>
      <c r="R180">
        <v>0</v>
      </c>
      <c r="S180" t="s">
        <v>336</v>
      </c>
      <c r="T180" t="s">
        <v>344</v>
      </c>
      <c r="U180">
        <v>1</v>
      </c>
    </row>
    <row r="181" spans="1:21" x14ac:dyDescent="0.3">
      <c r="A181" t="s">
        <v>333</v>
      </c>
      <c r="B181" t="s">
        <v>334</v>
      </c>
      <c r="C181" t="s">
        <v>262</v>
      </c>
      <c r="D181" t="s">
        <v>29</v>
      </c>
      <c r="E181" t="s">
        <v>108</v>
      </c>
      <c r="F181" s="6">
        <v>44834</v>
      </c>
      <c r="G181">
        <v>75258802</v>
      </c>
      <c r="H181">
        <v>75542774</v>
      </c>
      <c r="I181">
        <v>0.99624091114260649</v>
      </c>
      <c r="J181">
        <v>0.99624091114260649</v>
      </c>
      <c r="K181" t="s">
        <v>335</v>
      </c>
      <c r="L181" t="s">
        <v>335</v>
      </c>
      <c r="M181">
        <v>2022</v>
      </c>
      <c r="N181" t="s">
        <v>51</v>
      </c>
      <c r="O181" t="s">
        <v>90</v>
      </c>
      <c r="P181">
        <v>0</v>
      </c>
      <c r="Q181">
        <v>0</v>
      </c>
      <c r="R181">
        <v>0</v>
      </c>
      <c r="S181" t="s">
        <v>336</v>
      </c>
      <c r="T181" t="s">
        <v>345</v>
      </c>
      <c r="U181">
        <v>1</v>
      </c>
    </row>
    <row r="182" spans="1:21" x14ac:dyDescent="0.3">
      <c r="A182" t="s">
        <v>333</v>
      </c>
      <c r="B182" t="s">
        <v>334</v>
      </c>
      <c r="C182" t="s">
        <v>262</v>
      </c>
      <c r="D182" t="s">
        <v>29</v>
      </c>
      <c r="E182" t="s">
        <v>108</v>
      </c>
      <c r="F182" s="6">
        <v>44865</v>
      </c>
      <c r="G182">
        <v>83898594</v>
      </c>
      <c r="H182">
        <v>85244168</v>
      </c>
      <c r="I182">
        <v>0.98421506090598476</v>
      </c>
      <c r="J182">
        <v>0.98421506090598476</v>
      </c>
      <c r="K182" t="s">
        <v>335</v>
      </c>
      <c r="L182" t="s">
        <v>335</v>
      </c>
      <c r="M182">
        <v>2022</v>
      </c>
      <c r="N182" t="s">
        <v>53</v>
      </c>
      <c r="O182" t="s">
        <v>90</v>
      </c>
      <c r="P182">
        <v>0</v>
      </c>
      <c r="Q182">
        <v>0</v>
      </c>
      <c r="R182">
        <v>0</v>
      </c>
      <c r="S182" t="s">
        <v>336</v>
      </c>
      <c r="T182" t="s">
        <v>346</v>
      </c>
      <c r="U182">
        <v>1</v>
      </c>
    </row>
    <row r="183" spans="1:21" x14ac:dyDescent="0.3">
      <c r="A183" t="s">
        <v>333</v>
      </c>
      <c r="B183" t="s">
        <v>334</v>
      </c>
      <c r="C183" t="s">
        <v>262</v>
      </c>
      <c r="D183" t="s">
        <v>29</v>
      </c>
      <c r="E183" t="s">
        <v>108</v>
      </c>
      <c r="F183" s="6">
        <v>44895</v>
      </c>
      <c r="G183">
        <v>92023631</v>
      </c>
      <c r="H183">
        <v>93610292</v>
      </c>
      <c r="I183">
        <v>0.98305035732609403</v>
      </c>
      <c r="J183">
        <v>0.98305035732609403</v>
      </c>
      <c r="K183" t="s">
        <v>335</v>
      </c>
      <c r="L183" t="s">
        <v>335</v>
      </c>
      <c r="M183">
        <v>2022</v>
      </c>
      <c r="N183" t="s">
        <v>55</v>
      </c>
      <c r="O183" t="s">
        <v>90</v>
      </c>
      <c r="P183">
        <v>0</v>
      </c>
      <c r="Q183">
        <v>0</v>
      </c>
      <c r="R183">
        <v>0</v>
      </c>
      <c r="S183" t="s">
        <v>336</v>
      </c>
      <c r="T183" t="s">
        <v>347</v>
      </c>
      <c r="U183">
        <v>1</v>
      </c>
    </row>
    <row r="184" spans="1:21" x14ac:dyDescent="0.3">
      <c r="A184" t="s">
        <v>333</v>
      </c>
      <c r="B184" t="s">
        <v>334</v>
      </c>
      <c r="C184" t="s">
        <v>262</v>
      </c>
      <c r="D184" t="s">
        <v>29</v>
      </c>
      <c r="E184" t="s">
        <v>108</v>
      </c>
      <c r="F184" s="6">
        <v>44926</v>
      </c>
      <c r="G184">
        <v>99442439</v>
      </c>
      <c r="H184">
        <v>99311458</v>
      </c>
      <c r="I184">
        <v>1.001318891119291</v>
      </c>
      <c r="J184">
        <v>1.001318891119291</v>
      </c>
      <c r="K184" t="s">
        <v>335</v>
      </c>
      <c r="L184" t="s">
        <v>335</v>
      </c>
      <c r="M184">
        <v>2022</v>
      </c>
      <c r="N184" t="s">
        <v>57</v>
      </c>
      <c r="O184" t="s">
        <v>90</v>
      </c>
      <c r="P184">
        <v>0</v>
      </c>
      <c r="Q184">
        <v>0</v>
      </c>
      <c r="R184">
        <v>0</v>
      </c>
      <c r="S184" t="s">
        <v>336</v>
      </c>
      <c r="T184" t="s">
        <v>348</v>
      </c>
      <c r="U184">
        <v>1</v>
      </c>
    </row>
    <row r="185" spans="1:21" x14ac:dyDescent="0.3">
      <c r="A185" t="s">
        <v>333</v>
      </c>
      <c r="B185" t="s">
        <v>334</v>
      </c>
      <c r="C185" t="s">
        <v>262</v>
      </c>
      <c r="D185" t="s">
        <v>29</v>
      </c>
      <c r="E185" t="s">
        <v>108</v>
      </c>
      <c r="F185" s="6">
        <v>44957</v>
      </c>
      <c r="G185">
        <v>10573482</v>
      </c>
      <c r="H185">
        <v>11317966</v>
      </c>
      <c r="I185">
        <v>0.9342210428976373</v>
      </c>
      <c r="J185">
        <v>0.9342210428976373</v>
      </c>
      <c r="K185" t="s">
        <v>335</v>
      </c>
      <c r="L185" t="s">
        <v>335</v>
      </c>
      <c r="M185">
        <v>2023</v>
      </c>
      <c r="N185" t="s">
        <v>32</v>
      </c>
      <c r="O185" t="s">
        <v>33</v>
      </c>
      <c r="P185">
        <v>0</v>
      </c>
      <c r="Q185">
        <v>0</v>
      </c>
      <c r="R185">
        <v>0</v>
      </c>
      <c r="S185" t="s">
        <v>336</v>
      </c>
      <c r="T185" t="s">
        <v>349</v>
      </c>
      <c r="U185">
        <v>1</v>
      </c>
    </row>
    <row r="186" spans="1:21" x14ac:dyDescent="0.3">
      <c r="A186" t="s">
        <v>333</v>
      </c>
      <c r="B186" t="s">
        <v>334</v>
      </c>
      <c r="C186" t="s">
        <v>262</v>
      </c>
      <c r="D186" t="s">
        <v>29</v>
      </c>
      <c r="E186" t="s">
        <v>108</v>
      </c>
      <c r="F186" s="6">
        <v>44985</v>
      </c>
      <c r="G186">
        <v>23005526</v>
      </c>
      <c r="H186">
        <v>24729183</v>
      </c>
      <c r="I186">
        <v>0.93029866777240477</v>
      </c>
      <c r="J186">
        <v>0.93029866777240477</v>
      </c>
      <c r="K186" t="s">
        <v>335</v>
      </c>
      <c r="L186" t="s">
        <v>335</v>
      </c>
      <c r="M186">
        <v>2023</v>
      </c>
      <c r="N186" t="s">
        <v>36</v>
      </c>
      <c r="O186" t="s">
        <v>33</v>
      </c>
      <c r="P186">
        <v>0</v>
      </c>
      <c r="Q186">
        <v>0</v>
      </c>
      <c r="R186">
        <v>0</v>
      </c>
      <c r="S186" t="s">
        <v>336</v>
      </c>
      <c r="T186" t="s">
        <v>350</v>
      </c>
      <c r="U186">
        <v>1</v>
      </c>
    </row>
    <row r="187" spans="1:21" x14ac:dyDescent="0.3">
      <c r="A187" t="s">
        <v>333</v>
      </c>
      <c r="B187" t="s">
        <v>334</v>
      </c>
      <c r="C187" t="s">
        <v>262</v>
      </c>
      <c r="D187" t="s">
        <v>29</v>
      </c>
      <c r="E187" t="s">
        <v>108</v>
      </c>
      <c r="F187" s="6">
        <v>45016</v>
      </c>
      <c r="G187">
        <v>32859507</v>
      </c>
      <c r="H187">
        <v>33857339</v>
      </c>
      <c r="I187">
        <v>0.9705283395130373</v>
      </c>
      <c r="J187">
        <v>0.9705283395130373</v>
      </c>
      <c r="K187" t="s">
        <v>335</v>
      </c>
      <c r="L187" t="s">
        <v>335</v>
      </c>
      <c r="M187">
        <v>2023</v>
      </c>
      <c r="N187" t="s">
        <v>38</v>
      </c>
      <c r="O187" t="s">
        <v>33</v>
      </c>
      <c r="P187">
        <v>0</v>
      </c>
      <c r="Q187">
        <v>0</v>
      </c>
      <c r="R187">
        <v>0</v>
      </c>
      <c r="S187" t="s">
        <v>336</v>
      </c>
      <c r="T187" t="s">
        <v>351</v>
      </c>
      <c r="U187">
        <v>1</v>
      </c>
    </row>
    <row r="188" spans="1:21" x14ac:dyDescent="0.3">
      <c r="A188" t="s">
        <v>333</v>
      </c>
      <c r="B188" t="s">
        <v>334</v>
      </c>
      <c r="C188" t="s">
        <v>262</v>
      </c>
      <c r="D188" t="s">
        <v>29</v>
      </c>
      <c r="E188" t="s">
        <v>108</v>
      </c>
      <c r="F188" s="6">
        <v>45046</v>
      </c>
      <c r="G188">
        <v>43746174</v>
      </c>
      <c r="H188">
        <v>43091921</v>
      </c>
      <c r="I188">
        <v>1.0151827299599849</v>
      </c>
      <c r="J188">
        <v>1.0151827299599849</v>
      </c>
      <c r="K188" t="s">
        <v>335</v>
      </c>
      <c r="L188" t="s">
        <v>335</v>
      </c>
      <c r="M188">
        <v>2023</v>
      </c>
      <c r="N188" t="s">
        <v>40</v>
      </c>
      <c r="O188" t="s">
        <v>33</v>
      </c>
      <c r="P188">
        <v>0</v>
      </c>
      <c r="Q188">
        <v>0</v>
      </c>
      <c r="R188">
        <v>0</v>
      </c>
      <c r="S188" t="s">
        <v>336</v>
      </c>
      <c r="T188" t="s">
        <v>352</v>
      </c>
      <c r="U188">
        <v>1</v>
      </c>
    </row>
    <row r="189" spans="1:21" x14ac:dyDescent="0.3">
      <c r="A189" t="s">
        <v>333</v>
      </c>
      <c r="B189" t="s">
        <v>334</v>
      </c>
      <c r="C189" t="s">
        <v>262</v>
      </c>
      <c r="D189" t="s">
        <v>29</v>
      </c>
      <c r="E189" t="s">
        <v>108</v>
      </c>
      <c r="F189" s="6">
        <v>45077</v>
      </c>
      <c r="G189">
        <v>53156531</v>
      </c>
      <c r="H189">
        <v>53803672</v>
      </c>
      <c r="I189">
        <v>0.98797217780972268</v>
      </c>
      <c r="J189">
        <v>0.98797217780972268</v>
      </c>
      <c r="K189" t="s">
        <v>335</v>
      </c>
      <c r="L189" t="s">
        <v>335</v>
      </c>
      <c r="M189">
        <v>2023</v>
      </c>
      <c r="N189" t="s">
        <v>42</v>
      </c>
      <c r="O189" t="s">
        <v>33</v>
      </c>
      <c r="P189">
        <v>0</v>
      </c>
      <c r="Q189">
        <v>0</v>
      </c>
      <c r="R189">
        <v>0</v>
      </c>
      <c r="S189" t="s">
        <v>336</v>
      </c>
      <c r="T189" t="s">
        <v>353</v>
      </c>
      <c r="U189">
        <v>1</v>
      </c>
    </row>
    <row r="190" spans="1:21" x14ac:dyDescent="0.3">
      <c r="A190" t="s">
        <v>333</v>
      </c>
      <c r="B190" t="s">
        <v>334</v>
      </c>
      <c r="C190" t="s">
        <v>262</v>
      </c>
      <c r="D190" t="s">
        <v>29</v>
      </c>
      <c r="E190" t="s">
        <v>108</v>
      </c>
      <c r="F190" s="6">
        <v>45107</v>
      </c>
      <c r="G190">
        <v>59906689</v>
      </c>
      <c r="H190">
        <v>61361410</v>
      </c>
      <c r="I190">
        <v>0.97629257541506953</v>
      </c>
      <c r="J190">
        <v>0.97629257541506953</v>
      </c>
      <c r="K190" t="s">
        <v>335</v>
      </c>
      <c r="L190" t="s">
        <v>335</v>
      </c>
      <c r="M190">
        <v>2023</v>
      </c>
      <c r="N190" t="s">
        <v>44</v>
      </c>
      <c r="O190" t="s">
        <v>33</v>
      </c>
      <c r="P190">
        <v>0</v>
      </c>
      <c r="Q190">
        <v>0</v>
      </c>
      <c r="R190">
        <v>0</v>
      </c>
      <c r="S190" t="s">
        <v>336</v>
      </c>
      <c r="T190" t="s">
        <v>354</v>
      </c>
      <c r="U190">
        <v>1</v>
      </c>
    </row>
    <row r="191" spans="1:21" x14ac:dyDescent="0.3">
      <c r="A191" t="s">
        <v>333</v>
      </c>
      <c r="B191" t="s">
        <v>334</v>
      </c>
      <c r="C191" t="s">
        <v>262</v>
      </c>
      <c r="D191" t="s">
        <v>29</v>
      </c>
      <c r="E191" t="s">
        <v>108</v>
      </c>
      <c r="F191" s="6">
        <v>45138</v>
      </c>
      <c r="G191">
        <v>65620204</v>
      </c>
      <c r="H191">
        <v>68123507</v>
      </c>
      <c r="I191">
        <v>0.96325346256762734</v>
      </c>
      <c r="J191">
        <v>0.96325346256762734</v>
      </c>
      <c r="K191" t="s">
        <v>335</v>
      </c>
      <c r="L191" t="s">
        <v>335</v>
      </c>
      <c r="M191">
        <v>2023</v>
      </c>
      <c r="N191" t="s">
        <v>46</v>
      </c>
      <c r="O191" t="s">
        <v>47</v>
      </c>
      <c r="P191">
        <v>0</v>
      </c>
      <c r="Q191">
        <v>0</v>
      </c>
      <c r="R191">
        <v>0</v>
      </c>
      <c r="S191" t="s">
        <v>336</v>
      </c>
      <c r="T191" t="s">
        <v>355</v>
      </c>
      <c r="U191">
        <v>1</v>
      </c>
    </row>
    <row r="192" spans="1:21" x14ac:dyDescent="0.3">
      <c r="A192" t="s">
        <v>333</v>
      </c>
      <c r="B192" t="s">
        <v>334</v>
      </c>
      <c r="C192" t="s">
        <v>262</v>
      </c>
      <c r="D192" t="s">
        <v>29</v>
      </c>
      <c r="E192" t="s">
        <v>108</v>
      </c>
      <c r="F192" s="6">
        <v>45169</v>
      </c>
      <c r="G192">
        <v>75793547</v>
      </c>
      <c r="H192">
        <v>79700391</v>
      </c>
      <c r="I192">
        <v>0.95098086783539115</v>
      </c>
      <c r="J192">
        <v>0.95098086783539115</v>
      </c>
      <c r="K192" t="s">
        <v>335</v>
      </c>
      <c r="L192" t="s">
        <v>335</v>
      </c>
      <c r="M192">
        <v>2023</v>
      </c>
      <c r="N192" t="s">
        <v>49</v>
      </c>
      <c r="O192" t="s">
        <v>47</v>
      </c>
      <c r="P192">
        <v>0</v>
      </c>
      <c r="Q192">
        <v>0</v>
      </c>
      <c r="R192">
        <v>0</v>
      </c>
      <c r="S192" t="s">
        <v>336</v>
      </c>
      <c r="T192" t="s">
        <v>356</v>
      </c>
      <c r="U192">
        <v>1</v>
      </c>
    </row>
    <row r="193" spans="1:21" x14ac:dyDescent="0.3">
      <c r="A193" t="s">
        <v>333</v>
      </c>
      <c r="B193" t="s">
        <v>334</v>
      </c>
      <c r="C193" t="s">
        <v>262</v>
      </c>
      <c r="D193" t="s">
        <v>29</v>
      </c>
      <c r="E193" t="s">
        <v>108</v>
      </c>
      <c r="F193" s="6">
        <v>45199</v>
      </c>
      <c r="G193">
        <v>85150823</v>
      </c>
      <c r="H193">
        <v>89101921</v>
      </c>
      <c r="I193">
        <v>0.95565642181833543</v>
      </c>
      <c r="J193">
        <v>0.95565642181833543</v>
      </c>
      <c r="K193" t="s">
        <v>335</v>
      </c>
      <c r="L193" t="s">
        <v>335</v>
      </c>
      <c r="M193">
        <v>2023</v>
      </c>
      <c r="N193" t="s">
        <v>51</v>
      </c>
      <c r="O193" t="s">
        <v>47</v>
      </c>
      <c r="P193">
        <v>0</v>
      </c>
      <c r="Q193">
        <v>0</v>
      </c>
      <c r="R193">
        <v>0</v>
      </c>
      <c r="S193" t="s">
        <v>336</v>
      </c>
      <c r="T193" t="s">
        <v>357</v>
      </c>
      <c r="U193">
        <v>1</v>
      </c>
    </row>
    <row r="194" spans="1:21" x14ac:dyDescent="0.3">
      <c r="A194" t="s">
        <v>333</v>
      </c>
      <c r="B194" t="s">
        <v>334</v>
      </c>
      <c r="C194" t="s">
        <v>262</v>
      </c>
      <c r="D194" t="s">
        <v>29</v>
      </c>
      <c r="E194" t="s">
        <v>108</v>
      </c>
      <c r="F194" s="6">
        <v>45230</v>
      </c>
      <c r="G194">
        <v>103504677</v>
      </c>
      <c r="H194">
        <v>114526582</v>
      </c>
      <c r="I194">
        <v>0.90376116350001612</v>
      </c>
      <c r="J194">
        <v>0.90376116350001612</v>
      </c>
      <c r="K194" t="s">
        <v>335</v>
      </c>
      <c r="L194" t="s">
        <v>335</v>
      </c>
      <c r="M194">
        <v>2023</v>
      </c>
      <c r="N194" t="s">
        <v>53</v>
      </c>
      <c r="O194" t="s">
        <v>47</v>
      </c>
      <c r="P194">
        <v>0</v>
      </c>
      <c r="Q194">
        <v>0</v>
      </c>
      <c r="R194">
        <v>0</v>
      </c>
      <c r="S194" t="s">
        <v>336</v>
      </c>
      <c r="T194" t="s">
        <v>358</v>
      </c>
      <c r="U194">
        <v>1</v>
      </c>
    </row>
    <row r="195" spans="1:21" x14ac:dyDescent="0.3">
      <c r="A195" t="s">
        <v>333</v>
      </c>
      <c r="B195" t="s">
        <v>334</v>
      </c>
      <c r="C195" t="s">
        <v>262</v>
      </c>
      <c r="D195" t="s">
        <v>29</v>
      </c>
      <c r="E195" t="s">
        <v>108</v>
      </c>
      <c r="F195" s="6">
        <v>45260</v>
      </c>
      <c r="G195">
        <v>110049104</v>
      </c>
      <c r="H195">
        <v>122487832</v>
      </c>
      <c r="I195">
        <v>0.89844927616973413</v>
      </c>
      <c r="J195">
        <v>0.89844927616973413</v>
      </c>
      <c r="K195" t="s">
        <v>335</v>
      </c>
      <c r="L195" t="s">
        <v>335</v>
      </c>
      <c r="M195">
        <v>2023</v>
      </c>
      <c r="N195" t="s">
        <v>55</v>
      </c>
      <c r="O195" t="s">
        <v>47</v>
      </c>
      <c r="P195">
        <v>0</v>
      </c>
      <c r="Q195">
        <v>0</v>
      </c>
      <c r="R195">
        <v>0</v>
      </c>
      <c r="S195" t="s">
        <v>336</v>
      </c>
      <c r="T195" t="s">
        <v>359</v>
      </c>
      <c r="U195">
        <v>1</v>
      </c>
    </row>
    <row r="196" spans="1:21" x14ac:dyDescent="0.3">
      <c r="A196" t="s">
        <v>333</v>
      </c>
      <c r="B196" t="s">
        <v>334</v>
      </c>
      <c r="C196" t="s">
        <v>262</v>
      </c>
      <c r="D196" t="s">
        <v>29</v>
      </c>
      <c r="E196" t="s">
        <v>108</v>
      </c>
      <c r="F196" s="6">
        <v>45291</v>
      </c>
      <c r="G196">
        <v>94354868</v>
      </c>
      <c r="H196">
        <v>100568102</v>
      </c>
      <c r="I196">
        <v>0.93821864113533737</v>
      </c>
      <c r="J196">
        <v>0.93821864113533737</v>
      </c>
      <c r="K196" t="s">
        <v>335</v>
      </c>
      <c r="L196" t="s">
        <v>335</v>
      </c>
      <c r="M196">
        <v>2023</v>
      </c>
      <c r="N196" t="s">
        <v>57</v>
      </c>
      <c r="O196" t="s">
        <v>47</v>
      </c>
      <c r="P196">
        <v>0</v>
      </c>
      <c r="Q196">
        <v>0</v>
      </c>
      <c r="R196">
        <v>0</v>
      </c>
      <c r="S196" t="s">
        <v>336</v>
      </c>
      <c r="T196" t="s">
        <v>360</v>
      </c>
      <c r="U196">
        <v>1</v>
      </c>
    </row>
    <row r="197" spans="1:21" x14ac:dyDescent="0.3">
      <c r="A197" t="s">
        <v>333</v>
      </c>
      <c r="B197" t="s">
        <v>334</v>
      </c>
      <c r="C197" t="s">
        <v>262</v>
      </c>
      <c r="D197" t="s">
        <v>29</v>
      </c>
      <c r="E197" t="s">
        <v>108</v>
      </c>
      <c r="F197" s="6">
        <v>45322</v>
      </c>
      <c r="G197">
        <v>14842650</v>
      </c>
      <c r="H197">
        <v>14589860</v>
      </c>
      <c r="I197">
        <v>1.0173264171143519</v>
      </c>
      <c r="J197">
        <v>1.0173264171143519</v>
      </c>
      <c r="K197" t="s">
        <v>335</v>
      </c>
      <c r="L197" t="s">
        <v>335</v>
      </c>
      <c r="M197">
        <v>2024</v>
      </c>
      <c r="N197" t="s">
        <v>32</v>
      </c>
      <c r="O197" t="s">
        <v>71</v>
      </c>
      <c r="P197">
        <v>0</v>
      </c>
      <c r="Q197">
        <v>0</v>
      </c>
      <c r="R197">
        <v>0</v>
      </c>
      <c r="S197" t="s">
        <v>336</v>
      </c>
      <c r="T197" t="s">
        <v>361</v>
      </c>
      <c r="U197">
        <v>1</v>
      </c>
    </row>
    <row r="198" spans="1:21" x14ac:dyDescent="0.3">
      <c r="A198" t="s">
        <v>333</v>
      </c>
      <c r="B198" t="s">
        <v>334</v>
      </c>
      <c r="C198" t="s">
        <v>262</v>
      </c>
      <c r="D198" t="s">
        <v>29</v>
      </c>
      <c r="E198" t="s">
        <v>108</v>
      </c>
      <c r="F198" s="6">
        <v>45351</v>
      </c>
      <c r="G198">
        <v>25394485</v>
      </c>
      <c r="H198">
        <v>25489607</v>
      </c>
      <c r="I198">
        <v>0.99626820452743736</v>
      </c>
      <c r="J198">
        <v>0.99626820452743736</v>
      </c>
      <c r="K198" t="s">
        <v>335</v>
      </c>
      <c r="L198" t="s">
        <v>335</v>
      </c>
      <c r="M198">
        <v>2024</v>
      </c>
      <c r="N198" t="s">
        <v>36</v>
      </c>
      <c r="O198" t="s">
        <v>71</v>
      </c>
      <c r="P198">
        <v>0</v>
      </c>
      <c r="Q198">
        <v>0</v>
      </c>
      <c r="R198">
        <v>0</v>
      </c>
      <c r="S198" t="s">
        <v>336</v>
      </c>
      <c r="T198" t="s">
        <v>362</v>
      </c>
      <c r="U198">
        <v>1</v>
      </c>
    </row>
    <row r="199" spans="1:21" x14ac:dyDescent="0.3">
      <c r="A199" t="s">
        <v>333</v>
      </c>
      <c r="B199" t="s">
        <v>334</v>
      </c>
      <c r="C199" t="s">
        <v>262</v>
      </c>
      <c r="D199" t="s">
        <v>29</v>
      </c>
      <c r="E199" t="s">
        <v>108</v>
      </c>
      <c r="F199" s="6">
        <v>45382</v>
      </c>
      <c r="G199">
        <v>36222295</v>
      </c>
      <c r="H199">
        <v>36593172</v>
      </c>
      <c r="I199">
        <v>0.98986485784834399</v>
      </c>
      <c r="J199">
        <v>0.98986485784834399</v>
      </c>
      <c r="K199" t="s">
        <v>335</v>
      </c>
      <c r="L199" t="s">
        <v>335</v>
      </c>
      <c r="M199">
        <v>2024</v>
      </c>
      <c r="N199" t="s">
        <v>38</v>
      </c>
      <c r="O199" t="s">
        <v>71</v>
      </c>
      <c r="P199">
        <v>0</v>
      </c>
      <c r="Q199">
        <v>0</v>
      </c>
      <c r="R199">
        <v>0</v>
      </c>
      <c r="S199" t="s">
        <v>336</v>
      </c>
      <c r="T199" t="s">
        <v>363</v>
      </c>
      <c r="U199">
        <v>1</v>
      </c>
    </row>
    <row r="200" spans="1:21" x14ac:dyDescent="0.3">
      <c r="A200" t="s">
        <v>333</v>
      </c>
      <c r="B200" t="s">
        <v>334</v>
      </c>
      <c r="C200" t="s">
        <v>262</v>
      </c>
      <c r="D200" t="s">
        <v>29</v>
      </c>
      <c r="E200" t="s">
        <v>108</v>
      </c>
      <c r="F200" s="6">
        <v>45412</v>
      </c>
      <c r="G200">
        <v>48002565</v>
      </c>
      <c r="H200">
        <v>49360068</v>
      </c>
      <c r="I200">
        <v>0.97249795117786308</v>
      </c>
      <c r="J200">
        <v>0.97249795117786308</v>
      </c>
      <c r="K200" t="s">
        <v>335</v>
      </c>
      <c r="L200" t="s">
        <v>335</v>
      </c>
      <c r="M200">
        <v>2024</v>
      </c>
      <c r="N200" t="s">
        <v>40</v>
      </c>
      <c r="O200" t="s">
        <v>71</v>
      </c>
      <c r="P200">
        <v>0</v>
      </c>
      <c r="Q200">
        <v>0</v>
      </c>
      <c r="R200">
        <v>0</v>
      </c>
      <c r="S200" t="s">
        <v>336</v>
      </c>
      <c r="T200" t="s">
        <v>364</v>
      </c>
      <c r="U200">
        <v>1</v>
      </c>
    </row>
    <row r="201" spans="1:21" x14ac:dyDescent="0.3">
      <c r="A201" t="s">
        <v>333</v>
      </c>
      <c r="B201" t="s">
        <v>334</v>
      </c>
      <c r="C201" t="s">
        <v>262</v>
      </c>
      <c r="D201" t="s">
        <v>29</v>
      </c>
      <c r="E201" t="s">
        <v>108</v>
      </c>
      <c r="F201" s="6">
        <v>45443</v>
      </c>
      <c r="G201">
        <v>55499718</v>
      </c>
      <c r="H201">
        <v>56630838</v>
      </c>
      <c r="I201">
        <v>0.98002643012275392</v>
      </c>
      <c r="J201">
        <v>0.98002643012275392</v>
      </c>
      <c r="K201" t="s">
        <v>335</v>
      </c>
      <c r="L201" t="s">
        <v>335</v>
      </c>
      <c r="M201">
        <v>2024</v>
      </c>
      <c r="N201" t="s">
        <v>42</v>
      </c>
      <c r="O201" t="s">
        <v>71</v>
      </c>
      <c r="P201">
        <v>0</v>
      </c>
      <c r="Q201">
        <v>0</v>
      </c>
      <c r="R201">
        <v>0</v>
      </c>
      <c r="S201" t="s">
        <v>336</v>
      </c>
      <c r="T201" t="s">
        <v>365</v>
      </c>
      <c r="U201">
        <v>1</v>
      </c>
    </row>
    <row r="202" spans="1:21" x14ac:dyDescent="0.3">
      <c r="A202" t="s">
        <v>333</v>
      </c>
      <c r="B202" t="s">
        <v>334</v>
      </c>
      <c r="C202" t="s">
        <v>262</v>
      </c>
      <c r="D202" t="s">
        <v>29</v>
      </c>
      <c r="E202" t="s">
        <v>108</v>
      </c>
      <c r="F202" s="6">
        <v>45473</v>
      </c>
      <c r="G202">
        <v>63722202</v>
      </c>
      <c r="H202">
        <v>64925860</v>
      </c>
      <c r="I202">
        <v>0.98146103879101487</v>
      </c>
      <c r="J202">
        <v>0.98146103879101487</v>
      </c>
      <c r="K202" t="s">
        <v>335</v>
      </c>
      <c r="L202" t="s">
        <v>335</v>
      </c>
      <c r="M202">
        <v>2024</v>
      </c>
      <c r="N202" t="s">
        <v>44</v>
      </c>
      <c r="O202" t="s">
        <v>71</v>
      </c>
      <c r="P202">
        <v>0</v>
      </c>
      <c r="Q202">
        <v>0</v>
      </c>
      <c r="R202">
        <v>0</v>
      </c>
      <c r="S202" t="s">
        <v>336</v>
      </c>
      <c r="T202" t="s">
        <v>366</v>
      </c>
      <c r="U202">
        <v>1</v>
      </c>
    </row>
    <row r="203" spans="1:21" x14ac:dyDescent="0.3">
      <c r="A203" t="s">
        <v>333</v>
      </c>
      <c r="B203" t="s">
        <v>334</v>
      </c>
      <c r="C203" t="s">
        <v>262</v>
      </c>
      <c r="D203" t="s">
        <v>29</v>
      </c>
      <c r="E203" t="s">
        <v>108</v>
      </c>
      <c r="F203" s="6">
        <v>45504</v>
      </c>
      <c r="G203">
        <v>73376331</v>
      </c>
      <c r="H203">
        <v>74294915</v>
      </c>
      <c r="I203">
        <v>0.98763597750936249</v>
      </c>
      <c r="J203">
        <v>0.98763597750936249</v>
      </c>
      <c r="K203" t="s">
        <v>335</v>
      </c>
      <c r="L203" t="s">
        <v>335</v>
      </c>
      <c r="M203">
        <v>2024</v>
      </c>
      <c r="N203" t="s">
        <v>46</v>
      </c>
      <c r="O203" t="s">
        <v>78</v>
      </c>
      <c r="P203">
        <v>0</v>
      </c>
      <c r="Q203">
        <v>0</v>
      </c>
      <c r="R203">
        <v>0</v>
      </c>
      <c r="S203" t="s">
        <v>336</v>
      </c>
      <c r="T203" t="s">
        <v>367</v>
      </c>
      <c r="U203">
        <v>1</v>
      </c>
    </row>
    <row r="204" spans="1:21" x14ac:dyDescent="0.3">
      <c r="A204" t="s">
        <v>333</v>
      </c>
      <c r="B204" t="s">
        <v>334</v>
      </c>
      <c r="C204" t="s">
        <v>262</v>
      </c>
      <c r="D204" t="s">
        <v>29</v>
      </c>
      <c r="E204" t="s">
        <v>108</v>
      </c>
      <c r="F204" s="6">
        <v>45535</v>
      </c>
      <c r="G204">
        <v>83924291</v>
      </c>
      <c r="H204">
        <v>83784799</v>
      </c>
      <c r="I204">
        <v>1.001664884342564</v>
      </c>
      <c r="J204">
        <v>1.001664884342564</v>
      </c>
      <c r="K204" t="s">
        <v>335</v>
      </c>
      <c r="L204" t="s">
        <v>335</v>
      </c>
      <c r="M204">
        <v>2024</v>
      </c>
      <c r="N204" t="s">
        <v>49</v>
      </c>
      <c r="O204" t="s">
        <v>78</v>
      </c>
      <c r="P204">
        <v>0</v>
      </c>
      <c r="Q204">
        <v>0</v>
      </c>
      <c r="R204">
        <v>0</v>
      </c>
      <c r="S204" t="s">
        <v>336</v>
      </c>
      <c r="T204" t="s">
        <v>368</v>
      </c>
      <c r="U204">
        <v>1</v>
      </c>
    </row>
    <row r="205" spans="1:21" x14ac:dyDescent="0.3">
      <c r="A205" t="s">
        <v>333</v>
      </c>
      <c r="B205" t="s">
        <v>334</v>
      </c>
      <c r="C205" t="s">
        <v>262</v>
      </c>
      <c r="D205" t="s">
        <v>29</v>
      </c>
      <c r="E205" t="s">
        <v>108</v>
      </c>
      <c r="F205" s="6">
        <v>45565</v>
      </c>
      <c r="G205">
        <v>93710314</v>
      </c>
      <c r="H205">
        <v>95484547</v>
      </c>
      <c r="I205">
        <v>0.98141863730054668</v>
      </c>
      <c r="J205">
        <v>0.98141863730054668</v>
      </c>
      <c r="K205" t="s">
        <v>335</v>
      </c>
      <c r="L205" t="s">
        <v>335</v>
      </c>
      <c r="M205">
        <v>2024</v>
      </c>
      <c r="N205" t="s">
        <v>51</v>
      </c>
      <c r="O205" t="s">
        <v>78</v>
      </c>
      <c r="P205">
        <v>0</v>
      </c>
      <c r="Q205">
        <v>0</v>
      </c>
      <c r="R205">
        <v>0</v>
      </c>
      <c r="S205" t="s">
        <v>336</v>
      </c>
      <c r="T205" t="s">
        <v>369</v>
      </c>
      <c r="U205">
        <v>1</v>
      </c>
    </row>
    <row r="206" spans="1:21" x14ac:dyDescent="0.3">
      <c r="A206" t="s">
        <v>333</v>
      </c>
      <c r="B206" t="s">
        <v>334</v>
      </c>
      <c r="C206" t="s">
        <v>262</v>
      </c>
      <c r="D206" t="s">
        <v>29</v>
      </c>
      <c r="E206" t="s">
        <v>108</v>
      </c>
      <c r="F206" s="6">
        <v>45596</v>
      </c>
      <c r="G206">
        <v>104814162</v>
      </c>
      <c r="H206">
        <v>105749334</v>
      </c>
      <c r="I206">
        <v>0.99115671026353702</v>
      </c>
      <c r="J206">
        <v>0.99115671026353702</v>
      </c>
      <c r="K206" t="s">
        <v>335</v>
      </c>
      <c r="L206" t="s">
        <v>335</v>
      </c>
      <c r="M206">
        <v>2024</v>
      </c>
      <c r="N206" t="s">
        <v>53</v>
      </c>
      <c r="O206" t="s">
        <v>78</v>
      </c>
      <c r="P206">
        <v>0</v>
      </c>
      <c r="Q206">
        <v>0</v>
      </c>
      <c r="R206">
        <v>0</v>
      </c>
      <c r="S206" t="s">
        <v>336</v>
      </c>
      <c r="T206" t="s">
        <v>370</v>
      </c>
      <c r="U206">
        <v>1</v>
      </c>
    </row>
    <row r="207" spans="1:21" x14ac:dyDescent="0.3">
      <c r="A207" t="s">
        <v>333</v>
      </c>
      <c r="B207" t="s">
        <v>334</v>
      </c>
      <c r="C207" t="s">
        <v>262</v>
      </c>
      <c r="D207" t="s">
        <v>29</v>
      </c>
      <c r="E207" t="s">
        <v>108</v>
      </c>
      <c r="F207" s="6">
        <v>45626</v>
      </c>
      <c r="G207">
        <v>116198157</v>
      </c>
      <c r="H207">
        <v>116832953</v>
      </c>
      <c r="I207">
        <v>0.99456663566485393</v>
      </c>
      <c r="J207">
        <v>0.99456663566485393</v>
      </c>
      <c r="K207" t="s">
        <v>335</v>
      </c>
      <c r="L207" t="s">
        <v>335</v>
      </c>
      <c r="M207">
        <v>2024</v>
      </c>
      <c r="N207" t="s">
        <v>55</v>
      </c>
      <c r="O207" t="s">
        <v>78</v>
      </c>
      <c r="P207">
        <v>0</v>
      </c>
      <c r="Q207">
        <v>0</v>
      </c>
      <c r="R207">
        <v>0</v>
      </c>
      <c r="S207" t="s">
        <v>336</v>
      </c>
      <c r="T207" t="s">
        <v>371</v>
      </c>
      <c r="U207">
        <v>1</v>
      </c>
    </row>
    <row r="208" spans="1:21" x14ac:dyDescent="0.3">
      <c r="A208" t="s">
        <v>333</v>
      </c>
      <c r="B208" t="s">
        <v>334</v>
      </c>
      <c r="C208" t="s">
        <v>262</v>
      </c>
      <c r="D208" t="s">
        <v>29</v>
      </c>
      <c r="E208" t="s">
        <v>108</v>
      </c>
      <c r="F208" s="6">
        <v>45657</v>
      </c>
      <c r="G208">
        <v>122326052</v>
      </c>
      <c r="H208">
        <v>122528282</v>
      </c>
      <c r="I208">
        <v>0.99834952390828424</v>
      </c>
      <c r="J208">
        <v>0.99834952390828424</v>
      </c>
      <c r="K208" t="s">
        <v>335</v>
      </c>
      <c r="L208" t="s">
        <v>335</v>
      </c>
      <c r="M208">
        <v>2024</v>
      </c>
      <c r="N208" t="s">
        <v>57</v>
      </c>
      <c r="O208" t="s">
        <v>78</v>
      </c>
      <c r="P208">
        <v>0</v>
      </c>
      <c r="Q208">
        <v>0</v>
      </c>
      <c r="R208">
        <v>0</v>
      </c>
      <c r="S208" t="s">
        <v>336</v>
      </c>
      <c r="T208" t="s">
        <v>372</v>
      </c>
      <c r="U208">
        <v>1</v>
      </c>
    </row>
    <row r="209" spans="1:21" x14ac:dyDescent="0.3">
      <c r="A209" t="s">
        <v>333</v>
      </c>
      <c r="B209" t="s">
        <v>334</v>
      </c>
      <c r="C209" t="s">
        <v>262</v>
      </c>
      <c r="D209" t="s">
        <v>29</v>
      </c>
      <c r="E209" t="s">
        <v>108</v>
      </c>
      <c r="F209" s="6">
        <v>45688</v>
      </c>
      <c r="G209">
        <v>102</v>
      </c>
      <c r="H209" t="s">
        <v>373</v>
      </c>
      <c r="I209">
        <v>1.02843315184513</v>
      </c>
      <c r="J209">
        <v>1.02843315184513</v>
      </c>
      <c r="K209" t="s">
        <v>374</v>
      </c>
      <c r="L209" t="s">
        <v>375</v>
      </c>
      <c r="M209">
        <v>2025</v>
      </c>
      <c r="N209" t="s">
        <v>32</v>
      </c>
      <c r="O209" t="s">
        <v>244</v>
      </c>
      <c r="P209">
        <v>2</v>
      </c>
      <c r="Q209">
        <v>2</v>
      </c>
      <c r="R209">
        <v>0</v>
      </c>
      <c r="S209" t="s">
        <v>336</v>
      </c>
      <c r="T209" t="s">
        <v>376</v>
      </c>
      <c r="U209">
        <v>31</v>
      </c>
    </row>
    <row r="210" spans="1:21" x14ac:dyDescent="0.3">
      <c r="A210" t="s">
        <v>333</v>
      </c>
      <c r="B210" t="s">
        <v>334</v>
      </c>
      <c r="C210" t="s">
        <v>262</v>
      </c>
      <c r="D210" t="s">
        <v>29</v>
      </c>
      <c r="E210" t="s">
        <v>108</v>
      </c>
      <c r="F210" s="6">
        <v>45716</v>
      </c>
      <c r="G210">
        <v>102</v>
      </c>
      <c r="H210" t="s">
        <v>377</v>
      </c>
      <c r="I210">
        <v>0.94742708526843766</v>
      </c>
      <c r="J210">
        <v>0.94742708526843766</v>
      </c>
      <c r="K210" t="s">
        <v>374</v>
      </c>
      <c r="L210" t="s">
        <v>378</v>
      </c>
      <c r="M210">
        <v>2025</v>
      </c>
      <c r="N210" t="s">
        <v>36</v>
      </c>
      <c r="O210" t="s">
        <v>244</v>
      </c>
      <c r="P210">
        <v>2</v>
      </c>
      <c r="Q210">
        <v>2</v>
      </c>
      <c r="R210">
        <v>0</v>
      </c>
      <c r="S210" t="s">
        <v>336</v>
      </c>
      <c r="T210" t="s">
        <v>379</v>
      </c>
      <c r="U210">
        <v>28</v>
      </c>
    </row>
    <row r="211" spans="1:21" x14ac:dyDescent="0.3">
      <c r="A211" t="s">
        <v>333</v>
      </c>
      <c r="B211" t="s">
        <v>334</v>
      </c>
      <c r="C211" t="s">
        <v>262</v>
      </c>
      <c r="D211" t="s">
        <v>29</v>
      </c>
      <c r="E211" t="s">
        <v>108</v>
      </c>
      <c r="F211" s="6">
        <v>45747</v>
      </c>
      <c r="G211">
        <v>102</v>
      </c>
      <c r="H211" t="s">
        <v>380</v>
      </c>
      <c r="I211">
        <v>0.95532452936218037</v>
      </c>
      <c r="J211">
        <v>0.95532452936218037</v>
      </c>
      <c r="K211" t="s">
        <v>374</v>
      </c>
      <c r="L211" t="s">
        <v>381</v>
      </c>
      <c r="M211">
        <v>2025</v>
      </c>
      <c r="N211" t="s">
        <v>38</v>
      </c>
      <c r="O211" t="s">
        <v>244</v>
      </c>
      <c r="P211">
        <v>2</v>
      </c>
      <c r="Q211">
        <v>2</v>
      </c>
      <c r="R211">
        <v>0</v>
      </c>
      <c r="S211" t="s">
        <v>336</v>
      </c>
      <c r="T211" t="s">
        <v>382</v>
      </c>
      <c r="U211">
        <v>31</v>
      </c>
    </row>
    <row r="212" spans="1:21" x14ac:dyDescent="0.3">
      <c r="A212" t="s">
        <v>333</v>
      </c>
      <c r="B212" t="s">
        <v>334</v>
      </c>
      <c r="C212" t="s">
        <v>262</v>
      </c>
      <c r="D212" t="s">
        <v>29</v>
      </c>
      <c r="E212" t="s">
        <v>108</v>
      </c>
      <c r="F212" s="6">
        <v>45777</v>
      </c>
      <c r="G212">
        <v>102</v>
      </c>
      <c r="H212" t="s">
        <v>116</v>
      </c>
      <c r="I212">
        <v>0.96226415094339623</v>
      </c>
      <c r="J212">
        <v>0.96226415094339623</v>
      </c>
      <c r="K212" t="s">
        <v>374</v>
      </c>
      <c r="L212" t="s">
        <v>383</v>
      </c>
      <c r="M212">
        <v>2025</v>
      </c>
      <c r="N212" t="s">
        <v>40</v>
      </c>
      <c r="O212" t="s">
        <v>244</v>
      </c>
      <c r="P212">
        <v>2</v>
      </c>
      <c r="Q212">
        <v>2</v>
      </c>
      <c r="R212">
        <v>0</v>
      </c>
      <c r="S212" t="s">
        <v>336</v>
      </c>
      <c r="T212" t="s">
        <v>384</v>
      </c>
      <c r="U212">
        <v>30</v>
      </c>
    </row>
    <row r="213" spans="1:21" x14ac:dyDescent="0.3">
      <c r="A213" t="s">
        <v>333</v>
      </c>
      <c r="B213" t="s">
        <v>334</v>
      </c>
      <c r="C213" t="s">
        <v>262</v>
      </c>
      <c r="D213" t="s">
        <v>29</v>
      </c>
      <c r="E213" t="s">
        <v>108</v>
      </c>
      <c r="F213" s="6">
        <v>45808</v>
      </c>
      <c r="G213">
        <v>102</v>
      </c>
      <c r="H213" t="s">
        <v>385</v>
      </c>
      <c r="I213">
        <v>0.8877284595300261</v>
      </c>
      <c r="J213">
        <v>0.8877284595300261</v>
      </c>
      <c r="K213" t="s">
        <v>374</v>
      </c>
      <c r="L213" t="s">
        <v>386</v>
      </c>
      <c r="M213">
        <v>2025</v>
      </c>
      <c r="N213" t="s">
        <v>42</v>
      </c>
      <c r="O213" t="s">
        <v>244</v>
      </c>
      <c r="P213">
        <v>2</v>
      </c>
      <c r="Q213">
        <v>2</v>
      </c>
      <c r="R213">
        <v>0</v>
      </c>
      <c r="S213" t="s">
        <v>336</v>
      </c>
      <c r="T213" t="s">
        <v>387</v>
      </c>
      <c r="U213">
        <v>31</v>
      </c>
    </row>
    <row r="214" spans="1:21" x14ac:dyDescent="0.3">
      <c r="A214" t="s">
        <v>333</v>
      </c>
      <c r="B214" t="s">
        <v>334</v>
      </c>
      <c r="C214" t="s">
        <v>262</v>
      </c>
      <c r="D214" t="s">
        <v>29</v>
      </c>
      <c r="E214" t="s">
        <v>108</v>
      </c>
      <c r="F214" s="6">
        <v>45838</v>
      </c>
      <c r="G214">
        <v>102</v>
      </c>
      <c r="H214" t="s">
        <v>388</v>
      </c>
      <c r="I214">
        <v>0.92676721788115568</v>
      </c>
      <c r="J214">
        <v>0.92676721788115568</v>
      </c>
      <c r="K214" t="s">
        <v>374</v>
      </c>
      <c r="L214" t="s">
        <v>389</v>
      </c>
      <c r="M214">
        <v>2025</v>
      </c>
      <c r="N214" t="s">
        <v>44</v>
      </c>
      <c r="O214" t="s">
        <v>244</v>
      </c>
      <c r="P214">
        <v>2</v>
      </c>
      <c r="Q214">
        <v>2</v>
      </c>
      <c r="R214">
        <v>0</v>
      </c>
      <c r="S214" t="s">
        <v>336</v>
      </c>
      <c r="T214" t="s">
        <v>390</v>
      </c>
      <c r="U214">
        <v>30</v>
      </c>
    </row>
    <row r="215" spans="1:21" x14ac:dyDescent="0.3">
      <c r="A215" t="s">
        <v>333</v>
      </c>
      <c r="B215" t="s">
        <v>334</v>
      </c>
      <c r="C215" t="s">
        <v>262</v>
      </c>
      <c r="D215" t="s">
        <v>29</v>
      </c>
      <c r="E215" t="s">
        <v>108</v>
      </c>
      <c r="F215" s="6">
        <v>45869</v>
      </c>
      <c r="G215">
        <v>102</v>
      </c>
      <c r="H215" t="s">
        <v>391</v>
      </c>
      <c r="I215">
        <v>0.90876692801140413</v>
      </c>
      <c r="J215">
        <v>0.90876692801140413</v>
      </c>
      <c r="K215" t="s">
        <v>374</v>
      </c>
      <c r="L215" t="s">
        <v>392</v>
      </c>
      <c r="M215">
        <v>2025</v>
      </c>
      <c r="N215" t="s">
        <v>46</v>
      </c>
      <c r="O215" t="s">
        <v>103</v>
      </c>
      <c r="P215">
        <v>2</v>
      </c>
      <c r="Q215">
        <v>2</v>
      </c>
      <c r="R215">
        <v>0</v>
      </c>
      <c r="S215" t="s">
        <v>336</v>
      </c>
      <c r="T215" t="s">
        <v>393</v>
      </c>
      <c r="U215">
        <v>31</v>
      </c>
    </row>
    <row r="216" spans="1:21" x14ac:dyDescent="0.3">
      <c r="A216" t="s">
        <v>333</v>
      </c>
      <c r="B216" t="s">
        <v>334</v>
      </c>
      <c r="C216" t="s">
        <v>262</v>
      </c>
      <c r="D216" t="s">
        <v>29</v>
      </c>
      <c r="E216" t="s">
        <v>108</v>
      </c>
      <c r="F216" s="6">
        <v>45900</v>
      </c>
      <c r="G216">
        <v>102</v>
      </c>
      <c r="H216" t="s">
        <v>394</v>
      </c>
      <c r="I216">
        <v>1.0131108462455301</v>
      </c>
      <c r="J216">
        <v>1.0131108462455301</v>
      </c>
      <c r="K216" t="s">
        <v>374</v>
      </c>
      <c r="L216" t="s">
        <v>395</v>
      </c>
      <c r="M216">
        <v>2025</v>
      </c>
      <c r="N216" t="s">
        <v>49</v>
      </c>
      <c r="O216" t="s">
        <v>103</v>
      </c>
      <c r="P216">
        <v>2</v>
      </c>
      <c r="Q216">
        <v>2</v>
      </c>
      <c r="R216">
        <v>0</v>
      </c>
      <c r="S216" t="s">
        <v>336</v>
      </c>
      <c r="T216" t="s">
        <v>396</v>
      </c>
      <c r="U216">
        <v>31</v>
      </c>
    </row>
    <row r="217" spans="1:21" x14ac:dyDescent="0.3">
      <c r="A217" t="s">
        <v>333</v>
      </c>
      <c r="B217" t="s">
        <v>334</v>
      </c>
      <c r="C217" t="s">
        <v>262</v>
      </c>
      <c r="D217" t="s">
        <v>29</v>
      </c>
      <c r="E217" t="s">
        <v>108</v>
      </c>
      <c r="F217" s="6">
        <v>45961</v>
      </c>
      <c r="G217">
        <v>102</v>
      </c>
      <c r="H217" t="s">
        <v>397</v>
      </c>
      <c r="I217">
        <v>0.95087163232963556</v>
      </c>
      <c r="J217">
        <v>0.95087163232963556</v>
      </c>
      <c r="K217" t="s">
        <v>374</v>
      </c>
      <c r="L217" t="s">
        <v>398</v>
      </c>
      <c r="M217">
        <v>2025</v>
      </c>
      <c r="N217" t="s">
        <v>53</v>
      </c>
      <c r="O217" t="s">
        <v>103</v>
      </c>
      <c r="P217">
        <v>2</v>
      </c>
      <c r="Q217">
        <v>2</v>
      </c>
      <c r="R217">
        <v>0</v>
      </c>
      <c r="S217" t="s">
        <v>336</v>
      </c>
      <c r="T217" t="s">
        <v>399</v>
      </c>
      <c r="U217">
        <v>31</v>
      </c>
    </row>
    <row r="218" spans="1:21" x14ac:dyDescent="0.3">
      <c r="A218" t="s">
        <v>333</v>
      </c>
      <c r="B218" t="s">
        <v>334</v>
      </c>
      <c r="C218" t="s">
        <v>262</v>
      </c>
      <c r="D218" t="s">
        <v>29</v>
      </c>
      <c r="E218" t="s">
        <v>108</v>
      </c>
      <c r="F218" s="6">
        <v>45991</v>
      </c>
      <c r="G218">
        <v>102</v>
      </c>
      <c r="H218" t="s">
        <v>400</v>
      </c>
      <c r="I218">
        <v>0.9574767671078569</v>
      </c>
      <c r="J218">
        <v>0.9574767671078569</v>
      </c>
      <c r="K218" t="s">
        <v>374</v>
      </c>
      <c r="L218" t="s">
        <v>401</v>
      </c>
      <c r="M218">
        <v>2025</v>
      </c>
      <c r="N218" t="s">
        <v>55</v>
      </c>
      <c r="O218" t="s">
        <v>103</v>
      </c>
      <c r="P218">
        <v>2</v>
      </c>
      <c r="Q218">
        <v>2</v>
      </c>
      <c r="R218">
        <v>0</v>
      </c>
      <c r="S218" t="s">
        <v>336</v>
      </c>
      <c r="T218" t="s">
        <v>402</v>
      </c>
      <c r="U218">
        <v>30</v>
      </c>
    </row>
    <row r="219" spans="1:21" x14ac:dyDescent="0.3">
      <c r="A219" t="s">
        <v>333</v>
      </c>
      <c r="B219" t="s">
        <v>334</v>
      </c>
      <c r="C219" t="s">
        <v>262</v>
      </c>
      <c r="D219" t="s">
        <v>29</v>
      </c>
      <c r="E219" t="s">
        <v>108</v>
      </c>
      <c r="F219" s="6">
        <v>46022</v>
      </c>
      <c r="G219">
        <v>102</v>
      </c>
      <c r="H219" t="s">
        <v>403</v>
      </c>
      <c r="I219">
        <v>0.9721692718261532</v>
      </c>
      <c r="J219">
        <v>0.9721692718261532</v>
      </c>
      <c r="K219" t="s">
        <v>374</v>
      </c>
      <c r="L219" t="s">
        <v>404</v>
      </c>
      <c r="M219">
        <v>2025</v>
      </c>
      <c r="N219" t="s">
        <v>57</v>
      </c>
      <c r="O219" t="s">
        <v>103</v>
      </c>
      <c r="P219">
        <v>2</v>
      </c>
      <c r="Q219">
        <v>2</v>
      </c>
      <c r="R219">
        <v>0</v>
      </c>
      <c r="S219" t="s">
        <v>336</v>
      </c>
      <c r="T219" t="s">
        <v>405</v>
      </c>
      <c r="U219">
        <v>31</v>
      </c>
    </row>
    <row r="220" spans="1:21" x14ac:dyDescent="0.3">
      <c r="A220" t="s">
        <v>333</v>
      </c>
      <c r="B220" t="s">
        <v>334</v>
      </c>
      <c r="C220" t="s">
        <v>262</v>
      </c>
      <c r="D220" t="s">
        <v>29</v>
      </c>
      <c r="E220" t="s">
        <v>108</v>
      </c>
      <c r="F220" s="6">
        <v>46053</v>
      </c>
      <c r="G220">
        <v>100</v>
      </c>
      <c r="H220" t="s">
        <v>406</v>
      </c>
      <c r="I220">
        <v>1.013684744044602</v>
      </c>
      <c r="J220">
        <v>1.013684744044602</v>
      </c>
      <c r="K220" t="s">
        <v>102</v>
      </c>
      <c r="L220" t="s">
        <v>407</v>
      </c>
      <c r="M220">
        <v>2026</v>
      </c>
      <c r="N220" t="s">
        <v>32</v>
      </c>
      <c r="O220" t="s">
        <v>408</v>
      </c>
      <c r="P220">
        <v>2</v>
      </c>
      <c r="Q220">
        <v>2</v>
      </c>
      <c r="R220">
        <v>0</v>
      </c>
      <c r="S220" t="s">
        <v>336</v>
      </c>
      <c r="T220" t="s">
        <v>409</v>
      </c>
      <c r="U220">
        <v>31</v>
      </c>
    </row>
    <row r="221" spans="1:21" x14ac:dyDescent="0.3">
      <c r="A221" t="s">
        <v>410</v>
      </c>
      <c r="B221" t="s">
        <v>411</v>
      </c>
      <c r="C221" t="s">
        <v>309</v>
      </c>
      <c r="D221" t="s">
        <v>284</v>
      </c>
      <c r="E221" t="s">
        <v>30</v>
      </c>
      <c r="F221" s="6">
        <v>44985</v>
      </c>
      <c r="G221">
        <v>80</v>
      </c>
      <c r="H221">
        <v>100</v>
      </c>
      <c r="I221">
        <v>1.25</v>
      </c>
      <c r="J221">
        <v>1.25</v>
      </c>
      <c r="K221" t="s">
        <v>31</v>
      </c>
      <c r="L221" t="s">
        <v>31</v>
      </c>
      <c r="M221">
        <v>2023</v>
      </c>
      <c r="N221" t="s">
        <v>36</v>
      </c>
      <c r="O221" t="s">
        <v>33</v>
      </c>
      <c r="P221">
        <v>0</v>
      </c>
      <c r="Q221">
        <v>0</v>
      </c>
      <c r="R221">
        <v>0</v>
      </c>
      <c r="S221" t="s">
        <v>99</v>
      </c>
      <c r="T221" t="s">
        <v>412</v>
      </c>
      <c r="U221">
        <v>1</v>
      </c>
    </row>
    <row r="222" spans="1:21" x14ac:dyDescent="0.3">
      <c r="A222" t="s">
        <v>410</v>
      </c>
      <c r="B222" t="s">
        <v>411</v>
      </c>
      <c r="C222" t="s">
        <v>309</v>
      </c>
      <c r="D222" t="s">
        <v>284</v>
      </c>
      <c r="E222" t="s">
        <v>30</v>
      </c>
      <c r="F222" s="6">
        <v>45046</v>
      </c>
      <c r="G222">
        <v>80</v>
      </c>
      <c r="H222">
        <v>100</v>
      </c>
      <c r="I222">
        <v>1.25</v>
      </c>
      <c r="J222">
        <v>1.25</v>
      </c>
      <c r="K222" t="s">
        <v>31</v>
      </c>
      <c r="L222" t="s">
        <v>31</v>
      </c>
      <c r="M222">
        <v>2023</v>
      </c>
      <c r="N222" t="s">
        <v>40</v>
      </c>
      <c r="O222" t="s">
        <v>33</v>
      </c>
      <c r="P222">
        <v>0</v>
      </c>
      <c r="Q222">
        <v>0</v>
      </c>
      <c r="R222">
        <v>0</v>
      </c>
      <c r="S222" t="s">
        <v>99</v>
      </c>
      <c r="T222" t="s">
        <v>413</v>
      </c>
      <c r="U222">
        <v>1</v>
      </c>
    </row>
    <row r="223" spans="1:21" x14ac:dyDescent="0.3">
      <c r="A223" t="s">
        <v>410</v>
      </c>
      <c r="B223" t="s">
        <v>411</v>
      </c>
      <c r="C223" t="s">
        <v>309</v>
      </c>
      <c r="D223" t="s">
        <v>284</v>
      </c>
      <c r="E223" t="s">
        <v>30</v>
      </c>
      <c r="F223" s="6">
        <v>45107</v>
      </c>
      <c r="G223">
        <v>80</v>
      </c>
      <c r="H223">
        <v>75</v>
      </c>
      <c r="I223">
        <v>0.9375</v>
      </c>
      <c r="J223">
        <v>0.9375</v>
      </c>
      <c r="K223" t="s">
        <v>31</v>
      </c>
      <c r="L223" t="s">
        <v>31</v>
      </c>
      <c r="M223">
        <v>2023</v>
      </c>
      <c r="N223" t="s">
        <v>44</v>
      </c>
      <c r="O223" t="s">
        <v>33</v>
      </c>
      <c r="P223">
        <v>0</v>
      </c>
      <c r="Q223">
        <v>0</v>
      </c>
      <c r="R223">
        <v>0</v>
      </c>
      <c r="S223" t="s">
        <v>99</v>
      </c>
      <c r="T223" t="s">
        <v>414</v>
      </c>
      <c r="U223">
        <v>1</v>
      </c>
    </row>
    <row r="224" spans="1:21" x14ac:dyDescent="0.3">
      <c r="A224" t="s">
        <v>410</v>
      </c>
      <c r="B224" t="s">
        <v>411</v>
      </c>
      <c r="C224" t="s">
        <v>309</v>
      </c>
      <c r="D224" t="s">
        <v>284</v>
      </c>
      <c r="E224" t="s">
        <v>30</v>
      </c>
      <c r="F224" s="6">
        <v>45169</v>
      </c>
      <c r="G224">
        <v>80</v>
      </c>
      <c r="H224">
        <v>80</v>
      </c>
      <c r="I224">
        <v>1</v>
      </c>
      <c r="J224">
        <v>1</v>
      </c>
      <c r="K224" t="s">
        <v>31</v>
      </c>
      <c r="L224" t="s">
        <v>31</v>
      </c>
      <c r="M224">
        <v>2023</v>
      </c>
      <c r="N224" t="s">
        <v>49</v>
      </c>
      <c r="O224" t="s">
        <v>47</v>
      </c>
      <c r="P224">
        <v>0</v>
      </c>
      <c r="Q224">
        <v>0</v>
      </c>
      <c r="R224">
        <v>0</v>
      </c>
      <c r="S224" t="s">
        <v>99</v>
      </c>
      <c r="T224" t="s">
        <v>415</v>
      </c>
      <c r="U224">
        <v>1</v>
      </c>
    </row>
    <row r="225" spans="1:21" x14ac:dyDescent="0.3">
      <c r="A225" t="s">
        <v>410</v>
      </c>
      <c r="B225" t="s">
        <v>411</v>
      </c>
      <c r="C225" t="s">
        <v>309</v>
      </c>
      <c r="D225" t="s">
        <v>284</v>
      </c>
      <c r="E225" t="s">
        <v>30</v>
      </c>
      <c r="F225" s="6">
        <v>45230</v>
      </c>
      <c r="G225">
        <v>80</v>
      </c>
      <c r="H225">
        <v>100</v>
      </c>
      <c r="I225">
        <v>1.25</v>
      </c>
      <c r="J225">
        <v>1.25</v>
      </c>
      <c r="K225" t="s">
        <v>31</v>
      </c>
      <c r="L225" t="s">
        <v>31</v>
      </c>
      <c r="M225">
        <v>2023</v>
      </c>
      <c r="N225" t="s">
        <v>53</v>
      </c>
      <c r="O225" t="s">
        <v>47</v>
      </c>
      <c r="P225">
        <v>0</v>
      </c>
      <c r="Q225">
        <v>0</v>
      </c>
      <c r="R225">
        <v>0</v>
      </c>
      <c r="S225" t="s">
        <v>99</v>
      </c>
      <c r="T225" t="s">
        <v>416</v>
      </c>
      <c r="U225">
        <v>1</v>
      </c>
    </row>
    <row r="226" spans="1:21" x14ac:dyDescent="0.3">
      <c r="A226" t="s">
        <v>410</v>
      </c>
      <c r="B226" t="s">
        <v>411</v>
      </c>
      <c r="C226" t="s">
        <v>309</v>
      </c>
      <c r="D226" t="s">
        <v>284</v>
      </c>
      <c r="E226" t="s">
        <v>30</v>
      </c>
      <c r="F226" s="6">
        <v>45291</v>
      </c>
      <c r="G226">
        <v>80</v>
      </c>
      <c r="H226">
        <v>90.91</v>
      </c>
      <c r="I226">
        <v>1.1363749999999999</v>
      </c>
      <c r="J226">
        <v>1.1363749999999999</v>
      </c>
      <c r="K226" t="s">
        <v>31</v>
      </c>
      <c r="L226" t="s">
        <v>31</v>
      </c>
      <c r="M226">
        <v>2023</v>
      </c>
      <c r="N226" t="s">
        <v>57</v>
      </c>
      <c r="O226" t="s">
        <v>47</v>
      </c>
      <c r="P226">
        <v>0</v>
      </c>
      <c r="Q226">
        <v>0</v>
      </c>
      <c r="R226">
        <v>0</v>
      </c>
      <c r="S226" t="s">
        <v>99</v>
      </c>
      <c r="T226" t="s">
        <v>417</v>
      </c>
      <c r="U226">
        <v>1</v>
      </c>
    </row>
    <row r="227" spans="1:21" x14ac:dyDescent="0.3">
      <c r="A227" t="s">
        <v>410</v>
      </c>
      <c r="B227" t="s">
        <v>411</v>
      </c>
      <c r="C227" t="s">
        <v>309</v>
      </c>
      <c r="D227" t="s">
        <v>284</v>
      </c>
      <c r="E227" t="s">
        <v>30</v>
      </c>
      <c r="F227" s="6">
        <v>45351</v>
      </c>
      <c r="G227">
        <v>80</v>
      </c>
      <c r="H227">
        <v>96.67</v>
      </c>
      <c r="I227">
        <v>1.208375</v>
      </c>
      <c r="J227">
        <v>1.208375</v>
      </c>
      <c r="K227" t="s">
        <v>31</v>
      </c>
      <c r="L227" t="s">
        <v>31</v>
      </c>
      <c r="M227">
        <v>2024</v>
      </c>
      <c r="N227" t="s">
        <v>36</v>
      </c>
      <c r="O227" t="s">
        <v>71</v>
      </c>
      <c r="P227">
        <v>0</v>
      </c>
      <c r="Q227">
        <v>0</v>
      </c>
      <c r="R227">
        <v>0</v>
      </c>
      <c r="S227" t="s">
        <v>99</v>
      </c>
      <c r="T227" t="s">
        <v>418</v>
      </c>
      <c r="U227">
        <v>1</v>
      </c>
    </row>
    <row r="228" spans="1:21" x14ac:dyDescent="0.3">
      <c r="A228" t="s">
        <v>410</v>
      </c>
      <c r="B228" t="s">
        <v>411</v>
      </c>
      <c r="C228" t="s">
        <v>309</v>
      </c>
      <c r="D228" t="s">
        <v>284</v>
      </c>
      <c r="E228" t="s">
        <v>30</v>
      </c>
      <c r="F228" s="6">
        <v>45412</v>
      </c>
      <c r="G228">
        <v>80</v>
      </c>
      <c r="H228">
        <v>97.67</v>
      </c>
      <c r="I228">
        <v>1.2208749999999999</v>
      </c>
      <c r="J228">
        <v>1.2208749999999999</v>
      </c>
      <c r="K228" t="s">
        <v>31</v>
      </c>
      <c r="L228" t="s">
        <v>31</v>
      </c>
      <c r="M228">
        <v>2024</v>
      </c>
      <c r="N228" t="s">
        <v>40</v>
      </c>
      <c r="O228" t="s">
        <v>71</v>
      </c>
      <c r="P228">
        <v>0</v>
      </c>
      <c r="Q228">
        <v>0</v>
      </c>
      <c r="R228">
        <v>0</v>
      </c>
      <c r="S228" t="s">
        <v>99</v>
      </c>
      <c r="T228" t="s">
        <v>419</v>
      </c>
      <c r="U228">
        <v>1</v>
      </c>
    </row>
    <row r="229" spans="1:21" x14ac:dyDescent="0.3">
      <c r="A229" t="s">
        <v>410</v>
      </c>
      <c r="B229" t="s">
        <v>411</v>
      </c>
      <c r="C229" t="s">
        <v>309</v>
      </c>
      <c r="D229" t="s">
        <v>284</v>
      </c>
      <c r="E229" t="s">
        <v>30</v>
      </c>
      <c r="F229" s="6">
        <v>45473</v>
      </c>
      <c r="G229">
        <v>80</v>
      </c>
      <c r="H229">
        <v>95</v>
      </c>
      <c r="I229">
        <v>1.1875</v>
      </c>
      <c r="J229">
        <v>1.1875</v>
      </c>
      <c r="K229" t="s">
        <v>31</v>
      </c>
      <c r="L229" t="s">
        <v>31</v>
      </c>
      <c r="M229">
        <v>2024</v>
      </c>
      <c r="N229" t="s">
        <v>44</v>
      </c>
      <c r="O229" t="s">
        <v>71</v>
      </c>
      <c r="P229">
        <v>0</v>
      </c>
      <c r="Q229">
        <v>0</v>
      </c>
      <c r="R229">
        <v>0</v>
      </c>
      <c r="S229" t="s">
        <v>99</v>
      </c>
      <c r="T229" t="s">
        <v>420</v>
      </c>
      <c r="U229">
        <v>1</v>
      </c>
    </row>
    <row r="230" spans="1:21" x14ac:dyDescent="0.3">
      <c r="A230" t="s">
        <v>410</v>
      </c>
      <c r="B230" t="s">
        <v>411</v>
      </c>
      <c r="C230" t="s">
        <v>309</v>
      </c>
      <c r="D230" t="s">
        <v>284</v>
      </c>
      <c r="E230" t="s">
        <v>30</v>
      </c>
      <c r="F230" s="6">
        <v>45535</v>
      </c>
      <c r="G230">
        <v>80</v>
      </c>
      <c r="H230">
        <v>79.069999999999993</v>
      </c>
      <c r="I230">
        <v>0.98837499999999989</v>
      </c>
      <c r="J230">
        <v>0.98837499999999989</v>
      </c>
      <c r="K230" t="s">
        <v>31</v>
      </c>
      <c r="L230" t="s">
        <v>31</v>
      </c>
      <c r="M230">
        <v>2024</v>
      </c>
      <c r="N230" t="s">
        <v>49</v>
      </c>
      <c r="O230" t="s">
        <v>78</v>
      </c>
      <c r="P230">
        <v>0</v>
      </c>
      <c r="Q230">
        <v>0</v>
      </c>
      <c r="R230">
        <v>0</v>
      </c>
      <c r="S230" t="s">
        <v>99</v>
      </c>
      <c r="T230" t="s">
        <v>421</v>
      </c>
      <c r="U230">
        <v>1</v>
      </c>
    </row>
    <row r="231" spans="1:21" x14ac:dyDescent="0.3">
      <c r="A231" t="s">
        <v>410</v>
      </c>
      <c r="B231" t="s">
        <v>411</v>
      </c>
      <c r="C231" t="s">
        <v>309</v>
      </c>
      <c r="D231" t="s">
        <v>284</v>
      </c>
      <c r="E231" t="s">
        <v>30</v>
      </c>
      <c r="F231" s="6">
        <v>45596</v>
      </c>
      <c r="G231">
        <v>80</v>
      </c>
      <c r="H231">
        <v>97.5</v>
      </c>
      <c r="I231">
        <v>1.21875</v>
      </c>
      <c r="J231">
        <v>1.21875</v>
      </c>
      <c r="K231" t="s">
        <v>31</v>
      </c>
      <c r="L231" t="s">
        <v>31</v>
      </c>
      <c r="M231">
        <v>2024</v>
      </c>
      <c r="N231" t="s">
        <v>53</v>
      </c>
      <c r="O231" t="s">
        <v>78</v>
      </c>
      <c r="P231">
        <v>0</v>
      </c>
      <c r="Q231">
        <v>0</v>
      </c>
      <c r="R231">
        <v>0</v>
      </c>
      <c r="S231" t="s">
        <v>99</v>
      </c>
      <c r="T231" t="s">
        <v>422</v>
      </c>
      <c r="U231">
        <v>1</v>
      </c>
    </row>
    <row r="232" spans="1:21" x14ac:dyDescent="0.3">
      <c r="A232" t="s">
        <v>410</v>
      </c>
      <c r="B232" t="s">
        <v>411</v>
      </c>
      <c r="C232" t="s">
        <v>309</v>
      </c>
      <c r="D232" t="s">
        <v>284</v>
      </c>
      <c r="E232" t="s">
        <v>30</v>
      </c>
      <c r="F232" s="6">
        <v>45657</v>
      </c>
      <c r="G232">
        <v>80</v>
      </c>
      <c r="H232">
        <v>100</v>
      </c>
      <c r="I232">
        <v>1.25</v>
      </c>
      <c r="J232">
        <v>1.25</v>
      </c>
      <c r="K232" t="s">
        <v>31</v>
      </c>
      <c r="L232" t="s">
        <v>31</v>
      </c>
      <c r="M232">
        <v>2024</v>
      </c>
      <c r="N232" t="s">
        <v>57</v>
      </c>
      <c r="O232" t="s">
        <v>78</v>
      </c>
      <c r="P232">
        <v>0</v>
      </c>
      <c r="Q232">
        <v>0</v>
      </c>
      <c r="R232">
        <v>0</v>
      </c>
      <c r="S232" t="s">
        <v>99</v>
      </c>
      <c r="T232" t="s">
        <v>423</v>
      </c>
      <c r="U232">
        <v>1</v>
      </c>
    </row>
    <row r="233" spans="1:21" x14ac:dyDescent="0.3">
      <c r="A233" t="s">
        <v>410</v>
      </c>
      <c r="B233" t="s">
        <v>411</v>
      </c>
      <c r="C233" t="s">
        <v>309</v>
      </c>
      <c r="D233" t="s">
        <v>29</v>
      </c>
      <c r="E233" t="s">
        <v>30</v>
      </c>
      <c r="F233" s="6">
        <v>45688</v>
      </c>
      <c r="G233">
        <v>90</v>
      </c>
      <c r="H233" t="s">
        <v>424</v>
      </c>
      <c r="I233">
        <v>0</v>
      </c>
      <c r="J233">
        <v>0</v>
      </c>
      <c r="K233" t="s">
        <v>256</v>
      </c>
      <c r="M233">
        <v>2025</v>
      </c>
      <c r="N233" t="s">
        <v>32</v>
      </c>
      <c r="O233" t="s">
        <v>244</v>
      </c>
      <c r="P233">
        <v>2</v>
      </c>
      <c r="Q233">
        <v>2</v>
      </c>
      <c r="R233">
        <v>0</v>
      </c>
      <c r="S233" t="s">
        <v>104</v>
      </c>
      <c r="T233" t="s">
        <v>425</v>
      </c>
      <c r="U233">
        <v>31</v>
      </c>
    </row>
    <row r="234" spans="1:21" x14ac:dyDescent="0.3">
      <c r="A234" t="s">
        <v>410</v>
      </c>
      <c r="B234" t="s">
        <v>411</v>
      </c>
      <c r="C234" t="s">
        <v>309</v>
      </c>
      <c r="D234" t="s">
        <v>29</v>
      </c>
      <c r="E234" t="s">
        <v>30</v>
      </c>
      <c r="F234" s="6">
        <v>45716</v>
      </c>
      <c r="G234">
        <v>90</v>
      </c>
      <c r="H234" t="s">
        <v>95</v>
      </c>
      <c r="I234">
        <v>1.1111111111111109</v>
      </c>
      <c r="J234">
        <v>1.1111111111111109</v>
      </c>
      <c r="K234" t="s">
        <v>256</v>
      </c>
      <c r="L234" t="s">
        <v>102</v>
      </c>
      <c r="M234">
        <v>2025</v>
      </c>
      <c r="N234" t="s">
        <v>36</v>
      </c>
      <c r="O234" t="s">
        <v>244</v>
      </c>
      <c r="P234">
        <v>2</v>
      </c>
      <c r="Q234">
        <v>2</v>
      </c>
      <c r="R234">
        <v>0</v>
      </c>
      <c r="S234" t="s">
        <v>104</v>
      </c>
      <c r="T234" t="s">
        <v>426</v>
      </c>
      <c r="U234">
        <v>28</v>
      </c>
    </row>
    <row r="235" spans="1:21" x14ac:dyDescent="0.3">
      <c r="A235" t="s">
        <v>410</v>
      </c>
      <c r="B235" t="s">
        <v>411</v>
      </c>
      <c r="C235" t="s">
        <v>309</v>
      </c>
      <c r="D235" t="s">
        <v>29</v>
      </c>
      <c r="E235" t="s">
        <v>30</v>
      </c>
      <c r="F235" s="6">
        <v>45747</v>
      </c>
      <c r="G235">
        <v>90</v>
      </c>
      <c r="H235" t="s">
        <v>424</v>
      </c>
      <c r="I235">
        <v>0</v>
      </c>
      <c r="J235">
        <v>0</v>
      </c>
      <c r="K235" t="s">
        <v>256</v>
      </c>
      <c r="M235">
        <v>2025</v>
      </c>
      <c r="N235" t="s">
        <v>38</v>
      </c>
      <c r="O235" t="s">
        <v>244</v>
      </c>
      <c r="P235">
        <v>2</v>
      </c>
      <c r="Q235">
        <v>2</v>
      </c>
      <c r="R235">
        <v>0</v>
      </c>
      <c r="S235" t="s">
        <v>104</v>
      </c>
      <c r="T235" t="s">
        <v>427</v>
      </c>
      <c r="U235">
        <v>31</v>
      </c>
    </row>
    <row r="236" spans="1:21" x14ac:dyDescent="0.3">
      <c r="A236" t="s">
        <v>410</v>
      </c>
      <c r="B236" t="s">
        <v>411</v>
      </c>
      <c r="C236" t="s">
        <v>309</v>
      </c>
      <c r="D236" t="s">
        <v>29</v>
      </c>
      <c r="E236" t="s">
        <v>30</v>
      </c>
      <c r="F236" s="6">
        <v>45777</v>
      </c>
      <c r="G236">
        <v>90</v>
      </c>
      <c r="H236" t="s">
        <v>95</v>
      </c>
      <c r="I236">
        <v>1.1111111111111109</v>
      </c>
      <c r="J236">
        <v>1.1111111111111109</v>
      </c>
      <c r="K236" t="s">
        <v>256</v>
      </c>
      <c r="L236" t="s">
        <v>102</v>
      </c>
      <c r="M236">
        <v>2025</v>
      </c>
      <c r="N236" t="s">
        <v>40</v>
      </c>
      <c r="O236" t="s">
        <v>244</v>
      </c>
      <c r="P236">
        <v>2</v>
      </c>
      <c r="Q236">
        <v>2</v>
      </c>
      <c r="R236">
        <v>0</v>
      </c>
      <c r="S236" t="s">
        <v>104</v>
      </c>
      <c r="T236" t="s">
        <v>428</v>
      </c>
      <c r="U236">
        <v>30</v>
      </c>
    </row>
    <row r="237" spans="1:21" x14ac:dyDescent="0.3">
      <c r="A237" t="s">
        <v>410</v>
      </c>
      <c r="B237" t="s">
        <v>411</v>
      </c>
      <c r="C237" t="s">
        <v>309</v>
      </c>
      <c r="D237" t="s">
        <v>29</v>
      </c>
      <c r="E237" t="s">
        <v>30</v>
      </c>
      <c r="F237" s="6">
        <v>45808</v>
      </c>
      <c r="G237">
        <v>90</v>
      </c>
      <c r="H237" t="s">
        <v>424</v>
      </c>
      <c r="I237">
        <v>0</v>
      </c>
      <c r="J237">
        <v>0</v>
      </c>
      <c r="K237" t="s">
        <v>256</v>
      </c>
      <c r="M237">
        <v>2025</v>
      </c>
      <c r="N237" t="s">
        <v>42</v>
      </c>
      <c r="O237" t="s">
        <v>244</v>
      </c>
      <c r="P237">
        <v>2</v>
      </c>
      <c r="Q237">
        <v>2</v>
      </c>
      <c r="R237">
        <v>0</v>
      </c>
      <c r="S237" t="s">
        <v>104</v>
      </c>
      <c r="T237" t="s">
        <v>429</v>
      </c>
      <c r="U237">
        <v>31</v>
      </c>
    </row>
    <row r="238" spans="1:21" x14ac:dyDescent="0.3">
      <c r="A238" t="s">
        <v>410</v>
      </c>
      <c r="B238" t="s">
        <v>411</v>
      </c>
      <c r="C238" t="s">
        <v>309</v>
      </c>
      <c r="D238" t="s">
        <v>29</v>
      </c>
      <c r="E238" t="s">
        <v>30</v>
      </c>
      <c r="F238" s="6">
        <v>45838</v>
      </c>
      <c r="G238">
        <v>90</v>
      </c>
      <c r="H238" t="s">
        <v>430</v>
      </c>
      <c r="I238">
        <v>0.4831111111111111</v>
      </c>
      <c r="J238">
        <v>0.4831111111111111</v>
      </c>
      <c r="K238" t="s">
        <v>256</v>
      </c>
      <c r="L238" t="s">
        <v>431</v>
      </c>
      <c r="M238">
        <v>2025</v>
      </c>
      <c r="N238" t="s">
        <v>44</v>
      </c>
      <c r="O238" t="s">
        <v>244</v>
      </c>
      <c r="P238">
        <v>2</v>
      </c>
      <c r="Q238">
        <v>2</v>
      </c>
      <c r="R238">
        <v>0</v>
      </c>
      <c r="S238" t="s">
        <v>104</v>
      </c>
      <c r="T238" t="s">
        <v>432</v>
      </c>
      <c r="U238">
        <v>30</v>
      </c>
    </row>
    <row r="239" spans="1:21" x14ac:dyDescent="0.3">
      <c r="A239" t="s">
        <v>410</v>
      </c>
      <c r="B239" t="s">
        <v>411</v>
      </c>
      <c r="C239" t="s">
        <v>309</v>
      </c>
      <c r="D239" t="s">
        <v>29</v>
      </c>
      <c r="E239" t="s">
        <v>30</v>
      </c>
      <c r="F239" s="6">
        <v>45869</v>
      </c>
      <c r="G239">
        <v>90</v>
      </c>
      <c r="H239" t="s">
        <v>433</v>
      </c>
      <c r="I239">
        <v>0.86955555555555564</v>
      </c>
      <c r="J239">
        <v>0.86955555555555564</v>
      </c>
      <c r="K239" t="s">
        <v>256</v>
      </c>
      <c r="L239" t="s">
        <v>434</v>
      </c>
      <c r="M239">
        <v>2025</v>
      </c>
      <c r="N239" t="s">
        <v>46</v>
      </c>
      <c r="O239" t="s">
        <v>103</v>
      </c>
      <c r="P239">
        <v>2</v>
      </c>
      <c r="Q239">
        <v>2</v>
      </c>
      <c r="R239">
        <v>0</v>
      </c>
      <c r="S239" t="s">
        <v>104</v>
      </c>
      <c r="T239" t="s">
        <v>435</v>
      </c>
      <c r="U239">
        <v>31</v>
      </c>
    </row>
    <row r="240" spans="1:21" x14ac:dyDescent="0.3">
      <c r="A240" t="s">
        <v>410</v>
      </c>
      <c r="B240" t="s">
        <v>411</v>
      </c>
      <c r="C240" t="s">
        <v>309</v>
      </c>
      <c r="D240" t="s">
        <v>29</v>
      </c>
      <c r="E240" t="s">
        <v>30</v>
      </c>
      <c r="F240" s="6">
        <v>45900</v>
      </c>
      <c r="G240">
        <v>90</v>
      </c>
      <c r="H240" t="s">
        <v>436</v>
      </c>
      <c r="I240">
        <v>0.64322222222222225</v>
      </c>
      <c r="J240">
        <v>0.64322222222222225</v>
      </c>
      <c r="K240" t="s">
        <v>256</v>
      </c>
      <c r="L240" t="s">
        <v>437</v>
      </c>
      <c r="M240">
        <v>2025</v>
      </c>
      <c r="N240" t="s">
        <v>49</v>
      </c>
      <c r="O240" t="s">
        <v>103</v>
      </c>
      <c r="P240">
        <v>2</v>
      </c>
      <c r="Q240">
        <v>2</v>
      </c>
      <c r="R240">
        <v>0</v>
      </c>
      <c r="S240" t="s">
        <v>104</v>
      </c>
      <c r="T240" t="s">
        <v>438</v>
      </c>
      <c r="U240">
        <v>31</v>
      </c>
    </row>
    <row r="241" spans="1:21" x14ac:dyDescent="0.3">
      <c r="A241" t="s">
        <v>410</v>
      </c>
      <c r="B241" t="s">
        <v>411</v>
      </c>
      <c r="C241" t="s">
        <v>309</v>
      </c>
      <c r="D241" t="s">
        <v>29</v>
      </c>
      <c r="E241" t="s">
        <v>30</v>
      </c>
      <c r="F241" s="6">
        <v>45961</v>
      </c>
      <c r="G241">
        <v>90</v>
      </c>
      <c r="H241" t="s">
        <v>439</v>
      </c>
      <c r="I241">
        <v>0.98766666666666669</v>
      </c>
      <c r="J241">
        <v>0.98766666666666669</v>
      </c>
      <c r="K241" t="s">
        <v>256</v>
      </c>
      <c r="L241" t="s">
        <v>440</v>
      </c>
      <c r="M241">
        <v>2025</v>
      </c>
      <c r="N241" t="s">
        <v>53</v>
      </c>
      <c r="O241" t="s">
        <v>103</v>
      </c>
      <c r="P241">
        <v>2</v>
      </c>
      <c r="Q241">
        <v>2</v>
      </c>
      <c r="R241">
        <v>0</v>
      </c>
      <c r="S241" t="s">
        <v>104</v>
      </c>
      <c r="T241" t="s">
        <v>441</v>
      </c>
      <c r="U241">
        <v>31</v>
      </c>
    </row>
    <row r="242" spans="1:21" x14ac:dyDescent="0.3">
      <c r="A242" t="s">
        <v>410</v>
      </c>
      <c r="B242" t="s">
        <v>411</v>
      </c>
      <c r="C242" t="s">
        <v>309</v>
      </c>
      <c r="D242" t="s">
        <v>29</v>
      </c>
      <c r="E242" t="s">
        <v>30</v>
      </c>
      <c r="F242" s="6">
        <v>45991</v>
      </c>
      <c r="G242">
        <v>90</v>
      </c>
      <c r="H242" t="s">
        <v>255</v>
      </c>
      <c r="I242">
        <v>1</v>
      </c>
      <c r="J242">
        <v>1</v>
      </c>
      <c r="K242" t="s">
        <v>256</v>
      </c>
      <c r="L242" t="s">
        <v>256</v>
      </c>
      <c r="M242">
        <v>2025</v>
      </c>
      <c r="N242" t="s">
        <v>55</v>
      </c>
      <c r="O242" t="s">
        <v>103</v>
      </c>
      <c r="P242">
        <v>2</v>
      </c>
      <c r="Q242">
        <v>2</v>
      </c>
      <c r="R242">
        <v>0</v>
      </c>
      <c r="S242" t="s">
        <v>104</v>
      </c>
      <c r="T242" t="s">
        <v>442</v>
      </c>
      <c r="U242">
        <v>30</v>
      </c>
    </row>
    <row r="243" spans="1:21" x14ac:dyDescent="0.3">
      <c r="A243" t="s">
        <v>410</v>
      </c>
      <c r="B243" t="s">
        <v>411</v>
      </c>
      <c r="C243" t="s">
        <v>309</v>
      </c>
      <c r="D243" t="s">
        <v>29</v>
      </c>
      <c r="E243" t="s">
        <v>30</v>
      </c>
      <c r="F243" s="6">
        <v>46022</v>
      </c>
      <c r="G243">
        <v>90</v>
      </c>
      <c r="H243" t="s">
        <v>95</v>
      </c>
      <c r="I243">
        <v>1.1111111111111109</v>
      </c>
      <c r="J243">
        <v>1.1111111111111109</v>
      </c>
      <c r="K243" t="s">
        <v>256</v>
      </c>
      <c r="L243" t="s">
        <v>102</v>
      </c>
      <c r="M243">
        <v>2025</v>
      </c>
      <c r="N243" t="s">
        <v>57</v>
      </c>
      <c r="O243" t="s">
        <v>103</v>
      </c>
      <c r="P243">
        <v>2</v>
      </c>
      <c r="Q243">
        <v>2</v>
      </c>
      <c r="R243">
        <v>0</v>
      </c>
      <c r="S243" t="s">
        <v>104</v>
      </c>
      <c r="T243" t="s">
        <v>443</v>
      </c>
      <c r="U243">
        <v>31</v>
      </c>
    </row>
    <row r="244" spans="1:21" x14ac:dyDescent="0.3">
      <c r="A244" t="s">
        <v>410</v>
      </c>
      <c r="B244" t="s">
        <v>411</v>
      </c>
      <c r="C244" t="s">
        <v>309</v>
      </c>
      <c r="D244" t="s">
        <v>29</v>
      </c>
      <c r="E244" t="s">
        <v>30</v>
      </c>
      <c r="F244" s="6">
        <v>46053</v>
      </c>
      <c r="G244">
        <v>80</v>
      </c>
      <c r="H244" t="s">
        <v>424</v>
      </c>
      <c r="I244">
        <v>0</v>
      </c>
      <c r="J244">
        <v>0</v>
      </c>
      <c r="K244" t="s">
        <v>193</v>
      </c>
      <c r="M244">
        <v>2026</v>
      </c>
      <c r="N244" t="s">
        <v>32</v>
      </c>
      <c r="O244" t="s">
        <v>408</v>
      </c>
      <c r="P244">
        <v>2</v>
      </c>
      <c r="Q244">
        <v>2</v>
      </c>
      <c r="R244">
        <v>0</v>
      </c>
      <c r="S244" t="s">
        <v>104</v>
      </c>
      <c r="T244" t="s">
        <v>444</v>
      </c>
      <c r="U244">
        <v>31</v>
      </c>
    </row>
    <row r="245" spans="1:21" x14ac:dyDescent="0.3">
      <c r="A245" t="s">
        <v>445</v>
      </c>
      <c r="B245" t="s">
        <v>446</v>
      </c>
      <c r="C245" t="s">
        <v>97</v>
      </c>
      <c r="D245" t="s">
        <v>29</v>
      </c>
      <c r="E245" t="s">
        <v>108</v>
      </c>
      <c r="F245" s="6">
        <v>44592</v>
      </c>
      <c r="G245">
        <v>1.6</v>
      </c>
      <c r="H245">
        <v>0</v>
      </c>
      <c r="I245">
        <v>1</v>
      </c>
      <c r="J245">
        <v>1</v>
      </c>
      <c r="K245" t="s">
        <v>109</v>
      </c>
      <c r="L245" t="s">
        <v>31</v>
      </c>
      <c r="M245">
        <v>2022</v>
      </c>
      <c r="N245" t="s">
        <v>32</v>
      </c>
      <c r="O245" t="s">
        <v>88</v>
      </c>
      <c r="P245">
        <v>1</v>
      </c>
      <c r="Q245">
        <v>2</v>
      </c>
      <c r="R245">
        <v>0</v>
      </c>
      <c r="S245" t="s">
        <v>99</v>
      </c>
      <c r="T245" t="s">
        <v>447</v>
      </c>
      <c r="U245">
        <v>1</v>
      </c>
    </row>
    <row r="246" spans="1:21" x14ac:dyDescent="0.3">
      <c r="A246" t="s">
        <v>445</v>
      </c>
      <c r="B246" t="s">
        <v>446</v>
      </c>
      <c r="C246" t="s">
        <v>97</v>
      </c>
      <c r="D246" t="s">
        <v>29</v>
      </c>
      <c r="E246" t="s">
        <v>108</v>
      </c>
      <c r="F246" s="6">
        <v>44620</v>
      </c>
      <c r="G246">
        <v>1.6</v>
      </c>
      <c r="H246">
        <v>7.0000000000000007E-2</v>
      </c>
      <c r="I246">
        <v>1</v>
      </c>
      <c r="J246">
        <v>1</v>
      </c>
      <c r="K246" t="s">
        <v>109</v>
      </c>
      <c r="L246" t="s">
        <v>31</v>
      </c>
      <c r="M246">
        <v>2022</v>
      </c>
      <c r="N246" t="s">
        <v>36</v>
      </c>
      <c r="O246" t="s">
        <v>88</v>
      </c>
      <c r="P246">
        <v>1</v>
      </c>
      <c r="Q246">
        <v>2</v>
      </c>
      <c r="R246">
        <v>0</v>
      </c>
      <c r="S246" t="s">
        <v>99</v>
      </c>
      <c r="T246" t="s">
        <v>448</v>
      </c>
      <c r="U246">
        <v>1</v>
      </c>
    </row>
    <row r="247" spans="1:21" x14ac:dyDescent="0.3">
      <c r="A247" t="s">
        <v>445</v>
      </c>
      <c r="B247" t="s">
        <v>446</v>
      </c>
      <c r="C247" t="s">
        <v>97</v>
      </c>
      <c r="D247" t="s">
        <v>29</v>
      </c>
      <c r="E247" t="s">
        <v>108</v>
      </c>
      <c r="F247" s="6">
        <v>44651</v>
      </c>
      <c r="G247">
        <v>1.6</v>
      </c>
      <c r="H247">
        <v>0</v>
      </c>
      <c r="I247">
        <v>1</v>
      </c>
      <c r="J247">
        <v>1</v>
      </c>
      <c r="K247" t="s">
        <v>109</v>
      </c>
      <c r="L247" t="s">
        <v>31</v>
      </c>
      <c r="M247">
        <v>2022</v>
      </c>
      <c r="N247" t="s">
        <v>38</v>
      </c>
      <c r="O247" t="s">
        <v>88</v>
      </c>
      <c r="P247">
        <v>1</v>
      </c>
      <c r="Q247">
        <v>2</v>
      </c>
      <c r="R247">
        <v>0</v>
      </c>
      <c r="S247" t="s">
        <v>99</v>
      </c>
      <c r="T247" t="s">
        <v>449</v>
      </c>
      <c r="U247">
        <v>1</v>
      </c>
    </row>
    <row r="248" spans="1:21" x14ac:dyDescent="0.3">
      <c r="A248" t="s">
        <v>445</v>
      </c>
      <c r="B248" t="s">
        <v>446</v>
      </c>
      <c r="C248" t="s">
        <v>97</v>
      </c>
      <c r="D248" t="s">
        <v>29</v>
      </c>
      <c r="E248" t="s">
        <v>108</v>
      </c>
      <c r="F248" s="6">
        <v>44681</v>
      </c>
      <c r="G248">
        <v>1.6</v>
      </c>
      <c r="H248">
        <v>0</v>
      </c>
      <c r="I248">
        <v>1</v>
      </c>
      <c r="J248">
        <v>1</v>
      </c>
      <c r="K248" t="s">
        <v>109</v>
      </c>
      <c r="L248" t="s">
        <v>109</v>
      </c>
      <c r="M248">
        <v>2022</v>
      </c>
      <c r="N248" t="s">
        <v>40</v>
      </c>
      <c r="O248" t="s">
        <v>88</v>
      </c>
      <c r="P248">
        <v>1</v>
      </c>
      <c r="Q248">
        <v>2</v>
      </c>
      <c r="R248">
        <v>0</v>
      </c>
      <c r="S248" t="s">
        <v>99</v>
      </c>
      <c r="T248" t="s">
        <v>450</v>
      </c>
      <c r="U248">
        <v>1</v>
      </c>
    </row>
    <row r="249" spans="1:21" x14ac:dyDescent="0.3">
      <c r="A249" t="s">
        <v>445</v>
      </c>
      <c r="B249" t="s">
        <v>446</v>
      </c>
      <c r="C249" t="s">
        <v>97</v>
      </c>
      <c r="D249" t="s">
        <v>29</v>
      </c>
      <c r="E249" t="s">
        <v>108</v>
      </c>
      <c r="F249" s="6">
        <v>44712</v>
      </c>
      <c r="G249">
        <v>1.6</v>
      </c>
      <c r="H249">
        <v>0.05</v>
      </c>
      <c r="I249">
        <v>1</v>
      </c>
      <c r="J249">
        <v>1</v>
      </c>
      <c r="K249" t="s">
        <v>109</v>
      </c>
      <c r="L249" t="s">
        <v>109</v>
      </c>
      <c r="M249">
        <v>2022</v>
      </c>
      <c r="N249" t="s">
        <v>42</v>
      </c>
      <c r="O249" t="s">
        <v>88</v>
      </c>
      <c r="P249">
        <v>1</v>
      </c>
      <c r="Q249">
        <v>2</v>
      </c>
      <c r="R249">
        <v>0</v>
      </c>
      <c r="S249" t="s">
        <v>99</v>
      </c>
      <c r="T249" t="s">
        <v>451</v>
      </c>
      <c r="U249">
        <v>1</v>
      </c>
    </row>
    <row r="250" spans="1:21" x14ac:dyDescent="0.3">
      <c r="A250" t="s">
        <v>445</v>
      </c>
      <c r="B250" t="s">
        <v>446</v>
      </c>
      <c r="C250" t="s">
        <v>97</v>
      </c>
      <c r="D250" t="s">
        <v>29</v>
      </c>
      <c r="E250" t="s">
        <v>108</v>
      </c>
      <c r="F250" s="6">
        <v>44742</v>
      </c>
      <c r="G250">
        <v>1.6</v>
      </c>
      <c r="H250">
        <v>0</v>
      </c>
      <c r="I250">
        <v>1</v>
      </c>
      <c r="J250">
        <v>1</v>
      </c>
      <c r="K250" t="s">
        <v>109</v>
      </c>
      <c r="L250" t="s">
        <v>109</v>
      </c>
      <c r="M250">
        <v>2022</v>
      </c>
      <c r="N250" t="s">
        <v>44</v>
      </c>
      <c r="O250" t="s">
        <v>88</v>
      </c>
      <c r="P250">
        <v>1</v>
      </c>
      <c r="Q250">
        <v>2</v>
      </c>
      <c r="R250">
        <v>0</v>
      </c>
      <c r="S250" t="s">
        <v>99</v>
      </c>
      <c r="T250" t="s">
        <v>452</v>
      </c>
      <c r="U250">
        <v>1</v>
      </c>
    </row>
    <row r="251" spans="1:21" x14ac:dyDescent="0.3">
      <c r="A251" t="s">
        <v>445</v>
      </c>
      <c r="B251" t="s">
        <v>446</v>
      </c>
      <c r="C251" t="s">
        <v>97</v>
      </c>
      <c r="D251" t="s">
        <v>29</v>
      </c>
      <c r="E251" t="s">
        <v>108</v>
      </c>
      <c r="F251" s="6">
        <v>44773</v>
      </c>
      <c r="G251">
        <v>1.6</v>
      </c>
      <c r="H251">
        <v>0</v>
      </c>
      <c r="I251">
        <v>1</v>
      </c>
      <c r="J251">
        <v>1</v>
      </c>
      <c r="K251" t="s">
        <v>109</v>
      </c>
      <c r="L251" t="s">
        <v>109</v>
      </c>
      <c r="M251">
        <v>2022</v>
      </c>
      <c r="N251" t="s">
        <v>46</v>
      </c>
      <c r="O251" t="s">
        <v>90</v>
      </c>
      <c r="P251">
        <v>1</v>
      </c>
      <c r="Q251">
        <v>2</v>
      </c>
      <c r="R251">
        <v>0</v>
      </c>
      <c r="S251" t="s">
        <v>99</v>
      </c>
      <c r="T251" t="s">
        <v>453</v>
      </c>
      <c r="U251">
        <v>1</v>
      </c>
    </row>
    <row r="252" spans="1:21" x14ac:dyDescent="0.3">
      <c r="A252" t="s">
        <v>445</v>
      </c>
      <c r="B252" t="s">
        <v>446</v>
      </c>
      <c r="C252" t="s">
        <v>97</v>
      </c>
      <c r="D252" t="s">
        <v>29</v>
      </c>
      <c r="E252" t="s">
        <v>108</v>
      </c>
      <c r="F252" s="6">
        <v>44804</v>
      </c>
      <c r="G252">
        <v>1.6</v>
      </c>
      <c r="H252">
        <v>0.19</v>
      </c>
      <c r="I252">
        <v>1</v>
      </c>
      <c r="J252">
        <v>1</v>
      </c>
      <c r="K252" t="s">
        <v>109</v>
      </c>
      <c r="L252" t="s">
        <v>109</v>
      </c>
      <c r="M252">
        <v>2022</v>
      </c>
      <c r="N252" t="s">
        <v>49</v>
      </c>
      <c r="O252" t="s">
        <v>90</v>
      </c>
      <c r="P252">
        <v>1</v>
      </c>
      <c r="Q252">
        <v>2</v>
      </c>
      <c r="R252">
        <v>0</v>
      </c>
      <c r="S252" t="s">
        <v>99</v>
      </c>
      <c r="T252" t="s">
        <v>454</v>
      </c>
      <c r="U252">
        <v>1</v>
      </c>
    </row>
    <row r="253" spans="1:21" x14ac:dyDescent="0.3">
      <c r="A253" t="s">
        <v>445</v>
      </c>
      <c r="B253" t="s">
        <v>446</v>
      </c>
      <c r="C253" t="s">
        <v>97</v>
      </c>
      <c r="D253" t="s">
        <v>29</v>
      </c>
      <c r="E253" t="s">
        <v>108</v>
      </c>
      <c r="F253" s="6">
        <v>44834</v>
      </c>
      <c r="G253">
        <v>1.6</v>
      </c>
      <c r="H253">
        <v>0</v>
      </c>
      <c r="I253">
        <v>1</v>
      </c>
      <c r="J253">
        <v>1</v>
      </c>
      <c r="K253" t="s">
        <v>109</v>
      </c>
      <c r="L253" t="s">
        <v>109</v>
      </c>
      <c r="M253">
        <v>2022</v>
      </c>
      <c r="N253" t="s">
        <v>51</v>
      </c>
      <c r="O253" t="s">
        <v>90</v>
      </c>
      <c r="P253">
        <v>1</v>
      </c>
      <c r="Q253">
        <v>2</v>
      </c>
      <c r="R253">
        <v>0</v>
      </c>
      <c r="S253" t="s">
        <v>99</v>
      </c>
      <c r="T253" t="s">
        <v>455</v>
      </c>
      <c r="U253">
        <v>1</v>
      </c>
    </row>
    <row r="254" spans="1:21" x14ac:dyDescent="0.3">
      <c r="A254" t="s">
        <v>445</v>
      </c>
      <c r="B254" t="s">
        <v>446</v>
      </c>
      <c r="C254" t="s">
        <v>97</v>
      </c>
      <c r="D254" t="s">
        <v>29</v>
      </c>
      <c r="E254" t="s">
        <v>108</v>
      </c>
      <c r="F254" s="6">
        <v>44865</v>
      </c>
      <c r="G254">
        <v>1.6</v>
      </c>
      <c r="H254">
        <v>0.06</v>
      </c>
      <c r="I254">
        <v>1</v>
      </c>
      <c r="J254">
        <v>1</v>
      </c>
      <c r="K254" t="s">
        <v>109</v>
      </c>
      <c r="L254" t="s">
        <v>109</v>
      </c>
      <c r="M254">
        <v>2022</v>
      </c>
      <c r="N254" t="s">
        <v>53</v>
      </c>
      <c r="O254" t="s">
        <v>90</v>
      </c>
      <c r="P254">
        <v>1</v>
      </c>
      <c r="Q254">
        <v>2</v>
      </c>
      <c r="R254">
        <v>0</v>
      </c>
      <c r="S254" t="s">
        <v>99</v>
      </c>
      <c r="T254" t="s">
        <v>456</v>
      </c>
      <c r="U254">
        <v>1</v>
      </c>
    </row>
    <row r="255" spans="1:21" x14ac:dyDescent="0.3">
      <c r="A255" t="s">
        <v>445</v>
      </c>
      <c r="B255" t="s">
        <v>446</v>
      </c>
      <c r="C255" t="s">
        <v>97</v>
      </c>
      <c r="D255" t="s">
        <v>29</v>
      </c>
      <c r="E255" t="s">
        <v>108</v>
      </c>
      <c r="F255" s="6">
        <v>44895</v>
      </c>
      <c r="G255">
        <v>1.6</v>
      </c>
      <c r="H255">
        <v>0</v>
      </c>
      <c r="I255">
        <v>1</v>
      </c>
      <c r="J255">
        <v>1</v>
      </c>
      <c r="K255" t="s">
        <v>109</v>
      </c>
      <c r="L255" t="s">
        <v>109</v>
      </c>
      <c r="M255">
        <v>2022</v>
      </c>
      <c r="N255" t="s">
        <v>55</v>
      </c>
      <c r="O255" t="s">
        <v>90</v>
      </c>
      <c r="P255">
        <v>1</v>
      </c>
      <c r="Q255">
        <v>2</v>
      </c>
      <c r="R255">
        <v>0</v>
      </c>
      <c r="S255" t="s">
        <v>99</v>
      </c>
      <c r="T255" t="s">
        <v>457</v>
      </c>
      <c r="U255">
        <v>1</v>
      </c>
    </row>
    <row r="256" spans="1:21" x14ac:dyDescent="0.3">
      <c r="A256" t="s">
        <v>445</v>
      </c>
      <c r="B256" t="s">
        <v>446</v>
      </c>
      <c r="C256" t="s">
        <v>97</v>
      </c>
      <c r="D256" t="s">
        <v>29</v>
      </c>
      <c r="E256" t="s">
        <v>108</v>
      </c>
      <c r="F256" s="6">
        <v>44926</v>
      </c>
      <c r="G256">
        <v>1.6</v>
      </c>
      <c r="H256">
        <v>0</v>
      </c>
      <c r="I256">
        <v>1</v>
      </c>
      <c r="J256">
        <v>1</v>
      </c>
      <c r="K256" t="s">
        <v>109</v>
      </c>
      <c r="L256" t="s">
        <v>109</v>
      </c>
      <c r="M256">
        <v>2022</v>
      </c>
      <c r="N256" t="s">
        <v>57</v>
      </c>
      <c r="O256" t="s">
        <v>90</v>
      </c>
      <c r="P256">
        <v>1</v>
      </c>
      <c r="Q256">
        <v>2</v>
      </c>
      <c r="R256">
        <v>0</v>
      </c>
      <c r="S256" t="s">
        <v>99</v>
      </c>
      <c r="T256" t="s">
        <v>458</v>
      </c>
      <c r="U256">
        <v>1</v>
      </c>
    </row>
    <row r="257" spans="1:21" x14ac:dyDescent="0.3">
      <c r="A257" t="s">
        <v>445</v>
      </c>
      <c r="B257" t="s">
        <v>446</v>
      </c>
      <c r="C257" t="s">
        <v>97</v>
      </c>
      <c r="D257" t="s">
        <v>29</v>
      </c>
      <c r="E257" t="s">
        <v>108</v>
      </c>
      <c r="F257" s="6">
        <v>44957</v>
      </c>
      <c r="G257">
        <v>1.6</v>
      </c>
      <c r="H257">
        <v>0</v>
      </c>
      <c r="I257">
        <v>1</v>
      </c>
      <c r="J257">
        <v>1</v>
      </c>
      <c r="K257" t="s">
        <v>109</v>
      </c>
      <c r="L257" t="s">
        <v>109</v>
      </c>
      <c r="M257">
        <v>2023</v>
      </c>
      <c r="N257" t="s">
        <v>32</v>
      </c>
      <c r="O257" t="s">
        <v>33</v>
      </c>
      <c r="P257">
        <v>1</v>
      </c>
      <c r="Q257">
        <v>2</v>
      </c>
      <c r="R257">
        <v>0</v>
      </c>
      <c r="S257" t="s">
        <v>99</v>
      </c>
      <c r="T257" t="s">
        <v>459</v>
      </c>
      <c r="U257">
        <v>1</v>
      </c>
    </row>
    <row r="258" spans="1:21" x14ac:dyDescent="0.3">
      <c r="A258" t="s">
        <v>445</v>
      </c>
      <c r="B258" t="s">
        <v>446</v>
      </c>
      <c r="C258" t="s">
        <v>97</v>
      </c>
      <c r="D258" t="s">
        <v>29</v>
      </c>
      <c r="E258" t="s">
        <v>108</v>
      </c>
      <c r="F258" s="6">
        <v>44985</v>
      </c>
      <c r="G258">
        <v>1.6</v>
      </c>
      <c r="H258">
        <v>0</v>
      </c>
      <c r="I258">
        <v>1</v>
      </c>
      <c r="J258">
        <v>1</v>
      </c>
      <c r="K258" t="s">
        <v>109</v>
      </c>
      <c r="L258" t="s">
        <v>109</v>
      </c>
      <c r="M258">
        <v>2023</v>
      </c>
      <c r="N258" t="s">
        <v>36</v>
      </c>
      <c r="O258" t="s">
        <v>33</v>
      </c>
      <c r="P258">
        <v>1</v>
      </c>
      <c r="Q258">
        <v>2</v>
      </c>
      <c r="R258">
        <v>0</v>
      </c>
      <c r="S258" t="s">
        <v>99</v>
      </c>
      <c r="T258" t="s">
        <v>460</v>
      </c>
      <c r="U258">
        <v>1</v>
      </c>
    </row>
    <row r="259" spans="1:21" x14ac:dyDescent="0.3">
      <c r="A259" t="s">
        <v>445</v>
      </c>
      <c r="B259" t="s">
        <v>446</v>
      </c>
      <c r="C259" t="s">
        <v>97</v>
      </c>
      <c r="D259" t="s">
        <v>29</v>
      </c>
      <c r="E259" t="s">
        <v>108</v>
      </c>
      <c r="F259" s="6">
        <v>45016</v>
      </c>
      <c r="G259">
        <v>1.6</v>
      </c>
      <c r="H259">
        <v>0</v>
      </c>
      <c r="I259">
        <v>1</v>
      </c>
      <c r="J259">
        <v>1</v>
      </c>
      <c r="K259" t="s">
        <v>109</v>
      </c>
      <c r="L259" t="s">
        <v>109</v>
      </c>
      <c r="M259">
        <v>2023</v>
      </c>
      <c r="N259" t="s">
        <v>38</v>
      </c>
      <c r="O259" t="s">
        <v>33</v>
      </c>
      <c r="P259">
        <v>1</v>
      </c>
      <c r="Q259">
        <v>2</v>
      </c>
      <c r="R259">
        <v>0</v>
      </c>
      <c r="S259" t="s">
        <v>99</v>
      </c>
      <c r="T259" t="s">
        <v>461</v>
      </c>
      <c r="U259">
        <v>1</v>
      </c>
    </row>
    <row r="260" spans="1:21" x14ac:dyDescent="0.3">
      <c r="A260" t="s">
        <v>445</v>
      </c>
      <c r="B260" t="s">
        <v>446</v>
      </c>
      <c r="C260" t="s">
        <v>97</v>
      </c>
      <c r="D260" t="s">
        <v>29</v>
      </c>
      <c r="E260" t="s">
        <v>108</v>
      </c>
      <c r="F260" s="6">
        <v>45046</v>
      </c>
      <c r="G260">
        <v>1.6</v>
      </c>
      <c r="H260">
        <v>0.104356900600052</v>
      </c>
      <c r="I260">
        <v>1</v>
      </c>
      <c r="J260">
        <v>1</v>
      </c>
      <c r="K260" t="s">
        <v>109</v>
      </c>
      <c r="L260" t="s">
        <v>109</v>
      </c>
      <c r="M260">
        <v>2023</v>
      </c>
      <c r="N260" t="s">
        <v>40</v>
      </c>
      <c r="O260" t="s">
        <v>33</v>
      </c>
      <c r="P260">
        <v>1</v>
      </c>
      <c r="Q260">
        <v>2</v>
      </c>
      <c r="R260">
        <v>0</v>
      </c>
      <c r="S260" t="s">
        <v>99</v>
      </c>
      <c r="T260" t="s">
        <v>462</v>
      </c>
      <c r="U260">
        <v>1</v>
      </c>
    </row>
    <row r="261" spans="1:21" x14ac:dyDescent="0.3">
      <c r="A261" t="s">
        <v>445</v>
      </c>
      <c r="B261" t="s">
        <v>446</v>
      </c>
      <c r="C261" t="s">
        <v>97</v>
      </c>
      <c r="D261" t="s">
        <v>29</v>
      </c>
      <c r="E261" t="s">
        <v>108</v>
      </c>
      <c r="F261" s="6">
        <v>45077</v>
      </c>
      <c r="G261">
        <v>1.6</v>
      </c>
      <c r="H261">
        <v>5.1072522982635302E-2</v>
      </c>
      <c r="I261">
        <v>1</v>
      </c>
      <c r="J261">
        <v>1</v>
      </c>
      <c r="K261" t="s">
        <v>109</v>
      </c>
      <c r="L261" t="s">
        <v>109</v>
      </c>
      <c r="M261">
        <v>2023</v>
      </c>
      <c r="N261" t="s">
        <v>42</v>
      </c>
      <c r="O261" t="s">
        <v>33</v>
      </c>
      <c r="P261">
        <v>1</v>
      </c>
      <c r="Q261">
        <v>2</v>
      </c>
      <c r="R261">
        <v>0</v>
      </c>
      <c r="S261" t="s">
        <v>99</v>
      </c>
      <c r="T261" t="s">
        <v>463</v>
      </c>
      <c r="U261">
        <v>1</v>
      </c>
    </row>
    <row r="262" spans="1:21" x14ac:dyDescent="0.3">
      <c r="A262" t="s">
        <v>445</v>
      </c>
      <c r="B262" t="s">
        <v>446</v>
      </c>
      <c r="C262" t="s">
        <v>97</v>
      </c>
      <c r="D262" t="s">
        <v>29</v>
      </c>
      <c r="E262" t="s">
        <v>108</v>
      </c>
      <c r="F262" s="6">
        <v>45107</v>
      </c>
      <c r="G262">
        <v>1.6</v>
      </c>
      <c r="H262">
        <v>0</v>
      </c>
      <c r="I262">
        <v>1</v>
      </c>
      <c r="J262">
        <v>1</v>
      </c>
      <c r="K262" t="s">
        <v>109</v>
      </c>
      <c r="L262" t="s">
        <v>109</v>
      </c>
      <c r="M262">
        <v>2023</v>
      </c>
      <c r="N262" t="s">
        <v>44</v>
      </c>
      <c r="O262" t="s">
        <v>33</v>
      </c>
      <c r="P262">
        <v>1</v>
      </c>
      <c r="Q262">
        <v>2</v>
      </c>
      <c r="R262">
        <v>0</v>
      </c>
      <c r="S262" t="s">
        <v>99</v>
      </c>
      <c r="T262" t="s">
        <v>464</v>
      </c>
      <c r="U262">
        <v>1</v>
      </c>
    </row>
    <row r="263" spans="1:21" x14ac:dyDescent="0.3">
      <c r="A263" t="s">
        <v>445</v>
      </c>
      <c r="B263" t="s">
        <v>446</v>
      </c>
      <c r="C263" t="s">
        <v>97</v>
      </c>
      <c r="D263" t="s">
        <v>29</v>
      </c>
      <c r="E263" t="s">
        <v>108</v>
      </c>
      <c r="F263" s="6">
        <v>45138</v>
      </c>
      <c r="G263">
        <v>1.6</v>
      </c>
      <c r="H263">
        <v>7.5471698113208002E-2</v>
      </c>
      <c r="I263">
        <v>1</v>
      </c>
      <c r="J263">
        <v>1</v>
      </c>
      <c r="K263" t="s">
        <v>109</v>
      </c>
      <c r="L263" t="s">
        <v>109</v>
      </c>
      <c r="M263">
        <v>2023</v>
      </c>
      <c r="N263" t="s">
        <v>46</v>
      </c>
      <c r="O263" t="s">
        <v>47</v>
      </c>
      <c r="P263">
        <v>1</v>
      </c>
      <c r="Q263">
        <v>2</v>
      </c>
      <c r="R263">
        <v>0</v>
      </c>
      <c r="S263" t="s">
        <v>99</v>
      </c>
      <c r="T263" t="s">
        <v>465</v>
      </c>
      <c r="U263">
        <v>1</v>
      </c>
    </row>
    <row r="264" spans="1:21" x14ac:dyDescent="0.3">
      <c r="A264" t="s">
        <v>445</v>
      </c>
      <c r="B264" t="s">
        <v>446</v>
      </c>
      <c r="C264" t="s">
        <v>97</v>
      </c>
      <c r="D264" t="s">
        <v>29</v>
      </c>
      <c r="E264" t="s">
        <v>108</v>
      </c>
      <c r="F264" s="6">
        <v>45169</v>
      </c>
      <c r="G264">
        <v>1.6</v>
      </c>
      <c r="H264">
        <v>0.06</v>
      </c>
      <c r="I264">
        <v>1</v>
      </c>
      <c r="J264">
        <v>1</v>
      </c>
      <c r="K264" t="s">
        <v>109</v>
      </c>
      <c r="L264" t="s">
        <v>109</v>
      </c>
      <c r="M264">
        <v>2023</v>
      </c>
      <c r="N264" t="s">
        <v>49</v>
      </c>
      <c r="O264" t="s">
        <v>47</v>
      </c>
      <c r="P264">
        <v>1</v>
      </c>
      <c r="Q264">
        <v>2</v>
      </c>
      <c r="R264">
        <v>0</v>
      </c>
      <c r="S264" t="s">
        <v>99</v>
      </c>
      <c r="T264" t="s">
        <v>466</v>
      </c>
      <c r="U264">
        <v>1</v>
      </c>
    </row>
    <row r="265" spans="1:21" x14ac:dyDescent="0.3">
      <c r="A265" t="s">
        <v>445</v>
      </c>
      <c r="B265" t="s">
        <v>446</v>
      </c>
      <c r="C265" t="s">
        <v>97</v>
      </c>
      <c r="D265" t="s">
        <v>29</v>
      </c>
      <c r="E265" t="s">
        <v>108</v>
      </c>
      <c r="F265" s="6">
        <v>45199</v>
      </c>
      <c r="G265">
        <v>1.6</v>
      </c>
      <c r="H265">
        <v>0</v>
      </c>
      <c r="I265">
        <v>1</v>
      </c>
      <c r="J265">
        <v>1</v>
      </c>
      <c r="K265" t="s">
        <v>109</v>
      </c>
      <c r="L265" t="s">
        <v>109</v>
      </c>
      <c r="M265">
        <v>2023</v>
      </c>
      <c r="N265" t="s">
        <v>51</v>
      </c>
      <c r="O265" t="s">
        <v>47</v>
      </c>
      <c r="P265">
        <v>1</v>
      </c>
      <c r="Q265">
        <v>2</v>
      </c>
      <c r="R265">
        <v>0</v>
      </c>
      <c r="S265" t="s">
        <v>99</v>
      </c>
      <c r="T265" t="s">
        <v>467</v>
      </c>
      <c r="U265">
        <v>1</v>
      </c>
    </row>
    <row r="266" spans="1:21" x14ac:dyDescent="0.3">
      <c r="A266" t="s">
        <v>445</v>
      </c>
      <c r="B266" t="s">
        <v>446</v>
      </c>
      <c r="C266" t="s">
        <v>97</v>
      </c>
      <c r="D266" t="s">
        <v>29</v>
      </c>
      <c r="E266" t="s">
        <v>108</v>
      </c>
      <c r="F266" s="6">
        <v>45230</v>
      </c>
      <c r="G266">
        <v>1.6</v>
      </c>
      <c r="H266">
        <v>0.05</v>
      </c>
      <c r="I266">
        <v>1</v>
      </c>
      <c r="J266">
        <v>1</v>
      </c>
      <c r="K266" t="s">
        <v>109</v>
      </c>
      <c r="L266" t="s">
        <v>109</v>
      </c>
      <c r="M266">
        <v>2023</v>
      </c>
      <c r="N266" t="s">
        <v>53</v>
      </c>
      <c r="O266" t="s">
        <v>47</v>
      </c>
      <c r="P266">
        <v>1</v>
      </c>
      <c r="Q266">
        <v>2</v>
      </c>
      <c r="R266">
        <v>0</v>
      </c>
      <c r="S266" t="s">
        <v>99</v>
      </c>
      <c r="T266" t="s">
        <v>468</v>
      </c>
      <c r="U266">
        <v>1</v>
      </c>
    </row>
    <row r="267" spans="1:21" x14ac:dyDescent="0.3">
      <c r="A267" t="s">
        <v>445</v>
      </c>
      <c r="B267" t="s">
        <v>446</v>
      </c>
      <c r="C267" t="s">
        <v>97</v>
      </c>
      <c r="D267" t="s">
        <v>29</v>
      </c>
      <c r="E267" t="s">
        <v>108</v>
      </c>
      <c r="F267" s="6">
        <v>45260</v>
      </c>
      <c r="G267">
        <v>1.6</v>
      </c>
      <c r="H267">
        <v>0</v>
      </c>
      <c r="I267">
        <v>1</v>
      </c>
      <c r="J267">
        <v>1</v>
      </c>
      <c r="K267" t="s">
        <v>109</v>
      </c>
      <c r="L267" t="s">
        <v>109</v>
      </c>
      <c r="M267">
        <v>2023</v>
      </c>
      <c r="N267" t="s">
        <v>55</v>
      </c>
      <c r="O267" t="s">
        <v>47</v>
      </c>
      <c r="P267">
        <v>1</v>
      </c>
      <c r="Q267">
        <v>2</v>
      </c>
      <c r="R267">
        <v>0</v>
      </c>
      <c r="S267" t="s">
        <v>99</v>
      </c>
      <c r="T267" t="s">
        <v>469</v>
      </c>
      <c r="U267">
        <v>1</v>
      </c>
    </row>
    <row r="268" spans="1:21" x14ac:dyDescent="0.3">
      <c r="A268" t="s">
        <v>445</v>
      </c>
      <c r="B268" t="s">
        <v>446</v>
      </c>
      <c r="C268" t="s">
        <v>97</v>
      </c>
      <c r="D268" t="s">
        <v>29</v>
      </c>
      <c r="E268" t="s">
        <v>108</v>
      </c>
      <c r="F268" s="6">
        <v>45291</v>
      </c>
      <c r="G268">
        <v>1.6</v>
      </c>
      <c r="H268">
        <v>0</v>
      </c>
      <c r="I268">
        <v>1</v>
      </c>
      <c r="J268">
        <v>1</v>
      </c>
      <c r="K268" t="s">
        <v>109</v>
      </c>
      <c r="L268" t="s">
        <v>109</v>
      </c>
      <c r="M268">
        <v>2023</v>
      </c>
      <c r="N268" t="s">
        <v>57</v>
      </c>
      <c r="O268" t="s">
        <v>47</v>
      </c>
      <c r="P268">
        <v>1</v>
      </c>
      <c r="Q268">
        <v>2</v>
      </c>
      <c r="R268">
        <v>0</v>
      </c>
      <c r="S268" t="s">
        <v>99</v>
      </c>
      <c r="T268" t="s">
        <v>470</v>
      </c>
      <c r="U268">
        <v>1</v>
      </c>
    </row>
    <row r="269" spans="1:21" x14ac:dyDescent="0.3">
      <c r="A269" t="s">
        <v>445</v>
      </c>
      <c r="B269" t="s">
        <v>446</v>
      </c>
      <c r="C269" t="s">
        <v>97</v>
      </c>
      <c r="D269" t="s">
        <v>29</v>
      </c>
      <c r="E269" t="s">
        <v>108</v>
      </c>
      <c r="F269" s="6">
        <v>45322</v>
      </c>
      <c r="G269">
        <v>0.2</v>
      </c>
      <c r="H269">
        <v>0</v>
      </c>
      <c r="I269">
        <v>1</v>
      </c>
      <c r="J269">
        <v>1</v>
      </c>
      <c r="K269" t="s">
        <v>109</v>
      </c>
      <c r="L269" t="s">
        <v>109</v>
      </c>
      <c r="M269">
        <v>2024</v>
      </c>
      <c r="N269" t="s">
        <v>32</v>
      </c>
      <c r="O269" t="s">
        <v>71</v>
      </c>
      <c r="P269">
        <v>1</v>
      </c>
      <c r="Q269">
        <v>2</v>
      </c>
      <c r="R269">
        <v>0</v>
      </c>
      <c r="S269" t="s">
        <v>99</v>
      </c>
      <c r="T269" t="s">
        <v>471</v>
      </c>
      <c r="U269">
        <v>1</v>
      </c>
    </row>
    <row r="270" spans="1:21" x14ac:dyDescent="0.3">
      <c r="A270" t="s">
        <v>445</v>
      </c>
      <c r="B270" t="s">
        <v>446</v>
      </c>
      <c r="C270" t="s">
        <v>97</v>
      </c>
      <c r="D270" t="s">
        <v>29</v>
      </c>
      <c r="E270" t="s">
        <v>108</v>
      </c>
      <c r="F270" s="6">
        <v>45351</v>
      </c>
      <c r="G270">
        <v>0.2</v>
      </c>
      <c r="H270">
        <v>0</v>
      </c>
      <c r="I270">
        <v>1</v>
      </c>
      <c r="J270">
        <v>1</v>
      </c>
      <c r="K270" t="s">
        <v>109</v>
      </c>
      <c r="L270" t="s">
        <v>109</v>
      </c>
      <c r="M270">
        <v>2024</v>
      </c>
      <c r="N270" t="s">
        <v>36</v>
      </c>
      <c r="O270" t="s">
        <v>71</v>
      </c>
      <c r="P270">
        <v>1</v>
      </c>
      <c r="Q270">
        <v>2</v>
      </c>
      <c r="R270">
        <v>0</v>
      </c>
      <c r="S270" t="s">
        <v>99</v>
      </c>
      <c r="T270" t="s">
        <v>472</v>
      </c>
      <c r="U270">
        <v>1</v>
      </c>
    </row>
    <row r="271" spans="1:21" x14ac:dyDescent="0.3">
      <c r="A271" t="s">
        <v>445</v>
      </c>
      <c r="B271" t="s">
        <v>446</v>
      </c>
      <c r="C271" t="s">
        <v>97</v>
      </c>
      <c r="D271" t="s">
        <v>29</v>
      </c>
      <c r="E271" t="s">
        <v>108</v>
      </c>
      <c r="F271" s="6">
        <v>45382</v>
      </c>
      <c r="G271">
        <v>0.2</v>
      </c>
      <c r="H271">
        <v>0</v>
      </c>
      <c r="I271">
        <v>1</v>
      </c>
      <c r="J271">
        <v>1</v>
      </c>
      <c r="K271" t="s">
        <v>109</v>
      </c>
      <c r="L271" t="s">
        <v>109</v>
      </c>
      <c r="M271">
        <v>2024</v>
      </c>
      <c r="N271" t="s">
        <v>38</v>
      </c>
      <c r="O271" t="s">
        <v>71</v>
      </c>
      <c r="P271">
        <v>1</v>
      </c>
      <c r="Q271">
        <v>2</v>
      </c>
      <c r="R271">
        <v>0</v>
      </c>
      <c r="S271" t="s">
        <v>99</v>
      </c>
      <c r="T271" t="s">
        <v>473</v>
      </c>
      <c r="U271">
        <v>1</v>
      </c>
    </row>
    <row r="272" spans="1:21" x14ac:dyDescent="0.3">
      <c r="A272" t="s">
        <v>445</v>
      </c>
      <c r="B272" t="s">
        <v>446</v>
      </c>
      <c r="C272" t="s">
        <v>97</v>
      </c>
      <c r="D272" t="s">
        <v>29</v>
      </c>
      <c r="E272" t="s">
        <v>108</v>
      </c>
      <c r="F272" s="6">
        <v>45412</v>
      </c>
      <c r="G272">
        <v>0.2</v>
      </c>
      <c r="H272">
        <v>0</v>
      </c>
      <c r="I272">
        <v>1</v>
      </c>
      <c r="J272">
        <v>1</v>
      </c>
      <c r="K272" t="s">
        <v>109</v>
      </c>
      <c r="L272" t="s">
        <v>109</v>
      </c>
      <c r="M272">
        <v>2024</v>
      </c>
      <c r="N272" t="s">
        <v>40</v>
      </c>
      <c r="O272" t="s">
        <v>71</v>
      </c>
      <c r="P272">
        <v>1</v>
      </c>
      <c r="Q272">
        <v>2</v>
      </c>
      <c r="R272">
        <v>0</v>
      </c>
      <c r="S272" t="s">
        <v>99</v>
      </c>
      <c r="T272" t="s">
        <v>474</v>
      </c>
      <c r="U272">
        <v>1</v>
      </c>
    </row>
    <row r="273" spans="1:21" x14ac:dyDescent="0.3">
      <c r="A273" t="s">
        <v>445</v>
      </c>
      <c r="B273" t="s">
        <v>446</v>
      </c>
      <c r="C273" t="s">
        <v>97</v>
      </c>
      <c r="D273" t="s">
        <v>29</v>
      </c>
      <c r="E273" t="s">
        <v>108</v>
      </c>
      <c r="F273" s="6">
        <v>45443</v>
      </c>
      <c r="G273">
        <v>0.2</v>
      </c>
      <c r="H273">
        <v>0.04</v>
      </c>
      <c r="I273">
        <v>1</v>
      </c>
      <c r="J273">
        <v>1</v>
      </c>
      <c r="K273" t="s">
        <v>109</v>
      </c>
      <c r="L273" t="s">
        <v>109</v>
      </c>
      <c r="M273">
        <v>2024</v>
      </c>
      <c r="N273" t="s">
        <v>42</v>
      </c>
      <c r="O273" t="s">
        <v>71</v>
      </c>
      <c r="P273">
        <v>1</v>
      </c>
      <c r="Q273">
        <v>2</v>
      </c>
      <c r="R273">
        <v>0</v>
      </c>
      <c r="S273" t="s">
        <v>99</v>
      </c>
      <c r="T273" t="s">
        <v>475</v>
      </c>
      <c r="U273">
        <v>1</v>
      </c>
    </row>
    <row r="274" spans="1:21" x14ac:dyDescent="0.3">
      <c r="A274" t="s">
        <v>445</v>
      </c>
      <c r="B274" t="s">
        <v>446</v>
      </c>
      <c r="C274" t="s">
        <v>97</v>
      </c>
      <c r="D274" t="s">
        <v>29</v>
      </c>
      <c r="E274" t="s">
        <v>108</v>
      </c>
      <c r="F274" s="6">
        <v>45473</v>
      </c>
      <c r="G274">
        <v>0.2</v>
      </c>
      <c r="H274">
        <v>0</v>
      </c>
      <c r="I274">
        <v>1</v>
      </c>
      <c r="J274">
        <v>1</v>
      </c>
      <c r="K274" t="s">
        <v>109</v>
      </c>
      <c r="L274" t="s">
        <v>109</v>
      </c>
      <c r="M274">
        <v>2024</v>
      </c>
      <c r="N274" t="s">
        <v>44</v>
      </c>
      <c r="O274" t="s">
        <v>71</v>
      </c>
      <c r="P274">
        <v>1</v>
      </c>
      <c r="Q274">
        <v>2</v>
      </c>
      <c r="R274">
        <v>0</v>
      </c>
      <c r="S274" t="s">
        <v>99</v>
      </c>
      <c r="T274" t="s">
        <v>476</v>
      </c>
      <c r="U274">
        <v>1</v>
      </c>
    </row>
    <row r="275" spans="1:21" x14ac:dyDescent="0.3">
      <c r="A275" t="s">
        <v>445</v>
      </c>
      <c r="B275" t="s">
        <v>446</v>
      </c>
      <c r="C275" t="s">
        <v>97</v>
      </c>
      <c r="D275" t="s">
        <v>29</v>
      </c>
      <c r="E275" t="s">
        <v>108</v>
      </c>
      <c r="F275" s="6">
        <v>45504</v>
      </c>
      <c r="G275">
        <v>0.2</v>
      </c>
      <c r="H275">
        <v>0</v>
      </c>
      <c r="I275">
        <v>1</v>
      </c>
      <c r="J275">
        <v>1</v>
      </c>
      <c r="K275" t="s">
        <v>109</v>
      </c>
      <c r="L275" t="s">
        <v>109</v>
      </c>
      <c r="M275">
        <v>2024</v>
      </c>
      <c r="N275" t="s">
        <v>46</v>
      </c>
      <c r="O275" t="s">
        <v>78</v>
      </c>
      <c r="P275">
        <v>1</v>
      </c>
      <c r="Q275">
        <v>2</v>
      </c>
      <c r="R275">
        <v>0</v>
      </c>
      <c r="S275" t="s">
        <v>99</v>
      </c>
      <c r="T275" t="s">
        <v>477</v>
      </c>
      <c r="U275">
        <v>1</v>
      </c>
    </row>
    <row r="276" spans="1:21" x14ac:dyDescent="0.3">
      <c r="A276" t="s">
        <v>445</v>
      </c>
      <c r="B276" t="s">
        <v>446</v>
      </c>
      <c r="C276" t="s">
        <v>97</v>
      </c>
      <c r="D276" t="s">
        <v>29</v>
      </c>
      <c r="E276" t="s">
        <v>108</v>
      </c>
      <c r="F276" s="6">
        <v>45535</v>
      </c>
      <c r="G276">
        <v>0.2</v>
      </c>
      <c r="H276">
        <v>0</v>
      </c>
      <c r="I276">
        <v>1</v>
      </c>
      <c r="J276">
        <v>1</v>
      </c>
      <c r="K276" t="s">
        <v>109</v>
      </c>
      <c r="L276" t="s">
        <v>109</v>
      </c>
      <c r="M276">
        <v>2024</v>
      </c>
      <c r="N276" t="s">
        <v>49</v>
      </c>
      <c r="O276" t="s">
        <v>78</v>
      </c>
      <c r="P276">
        <v>1</v>
      </c>
      <c r="Q276">
        <v>2</v>
      </c>
      <c r="R276">
        <v>0</v>
      </c>
      <c r="S276" t="s">
        <v>99</v>
      </c>
      <c r="T276" t="s">
        <v>478</v>
      </c>
      <c r="U276">
        <v>1</v>
      </c>
    </row>
    <row r="277" spans="1:21" x14ac:dyDescent="0.3">
      <c r="A277" t="s">
        <v>445</v>
      </c>
      <c r="B277" t="s">
        <v>446</v>
      </c>
      <c r="C277" t="s">
        <v>97</v>
      </c>
      <c r="D277" t="s">
        <v>29</v>
      </c>
      <c r="E277" t="s">
        <v>108</v>
      </c>
      <c r="F277" s="6">
        <v>45565</v>
      </c>
      <c r="G277">
        <v>0.2</v>
      </c>
      <c r="H277">
        <v>0</v>
      </c>
      <c r="I277">
        <v>1</v>
      </c>
      <c r="J277">
        <v>1</v>
      </c>
      <c r="K277" t="s">
        <v>109</v>
      </c>
      <c r="L277" t="s">
        <v>109</v>
      </c>
      <c r="M277">
        <v>2024</v>
      </c>
      <c r="N277" t="s">
        <v>51</v>
      </c>
      <c r="O277" t="s">
        <v>78</v>
      </c>
      <c r="P277">
        <v>1</v>
      </c>
      <c r="Q277">
        <v>2</v>
      </c>
      <c r="R277">
        <v>0</v>
      </c>
      <c r="S277" t="s">
        <v>99</v>
      </c>
      <c r="T277" t="s">
        <v>479</v>
      </c>
      <c r="U277">
        <v>1</v>
      </c>
    </row>
    <row r="278" spans="1:21" x14ac:dyDescent="0.3">
      <c r="A278" t="s">
        <v>445</v>
      </c>
      <c r="B278" t="s">
        <v>446</v>
      </c>
      <c r="C278" t="s">
        <v>97</v>
      </c>
      <c r="D278" t="s">
        <v>29</v>
      </c>
      <c r="E278" t="s">
        <v>108</v>
      </c>
      <c r="F278" s="6">
        <v>45596</v>
      </c>
      <c r="G278">
        <v>0.2</v>
      </c>
      <c r="H278">
        <v>0</v>
      </c>
      <c r="I278">
        <v>1</v>
      </c>
      <c r="J278">
        <v>1</v>
      </c>
      <c r="K278" t="s">
        <v>109</v>
      </c>
      <c r="L278" t="s">
        <v>109</v>
      </c>
      <c r="M278">
        <v>2024</v>
      </c>
      <c r="N278" t="s">
        <v>53</v>
      </c>
      <c r="O278" t="s">
        <v>78</v>
      </c>
      <c r="P278">
        <v>1</v>
      </c>
      <c r="Q278">
        <v>2</v>
      </c>
      <c r="R278">
        <v>0</v>
      </c>
      <c r="S278" t="s">
        <v>99</v>
      </c>
      <c r="T278" t="s">
        <v>480</v>
      </c>
      <c r="U278">
        <v>1</v>
      </c>
    </row>
    <row r="279" spans="1:21" x14ac:dyDescent="0.3">
      <c r="A279" t="s">
        <v>445</v>
      </c>
      <c r="B279" t="s">
        <v>446</v>
      </c>
      <c r="C279" t="s">
        <v>97</v>
      </c>
      <c r="D279" t="s">
        <v>29</v>
      </c>
      <c r="E279" t="s">
        <v>108</v>
      </c>
      <c r="F279" s="6">
        <v>45626</v>
      </c>
      <c r="G279">
        <v>0.2</v>
      </c>
      <c r="H279">
        <v>0</v>
      </c>
      <c r="I279">
        <v>1</v>
      </c>
      <c r="J279">
        <v>1</v>
      </c>
      <c r="K279" t="s">
        <v>109</v>
      </c>
      <c r="L279" t="s">
        <v>109</v>
      </c>
      <c r="M279">
        <v>2024</v>
      </c>
      <c r="N279" t="s">
        <v>55</v>
      </c>
      <c r="O279" t="s">
        <v>78</v>
      </c>
      <c r="P279">
        <v>1</v>
      </c>
      <c r="Q279">
        <v>2</v>
      </c>
      <c r="R279">
        <v>0</v>
      </c>
      <c r="S279" t="s">
        <v>99</v>
      </c>
      <c r="T279" t="s">
        <v>481</v>
      </c>
      <c r="U279">
        <v>1</v>
      </c>
    </row>
    <row r="280" spans="1:21" x14ac:dyDescent="0.3">
      <c r="A280" t="s">
        <v>445</v>
      </c>
      <c r="B280" t="s">
        <v>446</v>
      </c>
      <c r="C280" t="s">
        <v>97</v>
      </c>
      <c r="D280" t="s">
        <v>29</v>
      </c>
      <c r="E280" t="s">
        <v>108</v>
      </c>
      <c r="F280" s="6">
        <v>45657</v>
      </c>
      <c r="G280">
        <v>0.2</v>
      </c>
      <c r="H280">
        <v>0.11</v>
      </c>
      <c r="I280">
        <v>1</v>
      </c>
      <c r="J280">
        <v>1</v>
      </c>
      <c r="K280" t="s">
        <v>109</v>
      </c>
      <c r="L280" t="s">
        <v>109</v>
      </c>
      <c r="M280">
        <v>2024</v>
      </c>
      <c r="N280" t="s">
        <v>57</v>
      </c>
      <c r="O280" t="s">
        <v>78</v>
      </c>
      <c r="P280">
        <v>1</v>
      </c>
      <c r="Q280">
        <v>2</v>
      </c>
      <c r="R280">
        <v>0</v>
      </c>
      <c r="S280" t="s">
        <v>99</v>
      </c>
      <c r="T280" t="s">
        <v>482</v>
      </c>
      <c r="U280">
        <v>1</v>
      </c>
    </row>
    <row r="281" spans="1:21" x14ac:dyDescent="0.3">
      <c r="A281" t="s">
        <v>445</v>
      </c>
      <c r="B281" t="s">
        <v>446</v>
      </c>
      <c r="C281" t="s">
        <v>97</v>
      </c>
      <c r="D281" t="s">
        <v>29</v>
      </c>
      <c r="E281" t="s">
        <v>108</v>
      </c>
      <c r="F281" s="6">
        <v>45688</v>
      </c>
      <c r="G281">
        <v>0.2</v>
      </c>
      <c r="H281" t="s">
        <v>483</v>
      </c>
      <c r="I281">
        <v>1.3</v>
      </c>
      <c r="J281">
        <v>2.194</v>
      </c>
      <c r="K281" t="s">
        <v>484</v>
      </c>
      <c r="L281" t="s">
        <v>485</v>
      </c>
      <c r="M281">
        <v>2025</v>
      </c>
      <c r="N281" t="s">
        <v>32</v>
      </c>
      <c r="O281" t="s">
        <v>244</v>
      </c>
      <c r="P281">
        <v>2</v>
      </c>
      <c r="Q281">
        <v>2</v>
      </c>
      <c r="R281">
        <v>0</v>
      </c>
      <c r="S281" t="s">
        <v>104</v>
      </c>
      <c r="T281" t="s">
        <v>486</v>
      </c>
      <c r="U281">
        <v>31</v>
      </c>
    </row>
    <row r="282" spans="1:21" x14ac:dyDescent="0.3">
      <c r="A282" t="s">
        <v>445</v>
      </c>
      <c r="B282" t="s">
        <v>446</v>
      </c>
      <c r="C282" t="s">
        <v>97</v>
      </c>
      <c r="D282" t="s">
        <v>29</v>
      </c>
      <c r="E282" t="s">
        <v>108</v>
      </c>
      <c r="F282" s="6">
        <v>45716</v>
      </c>
      <c r="G282">
        <v>0.2</v>
      </c>
      <c r="H282" t="s">
        <v>121</v>
      </c>
      <c r="I282">
        <v>0</v>
      </c>
      <c r="J282">
        <v>0</v>
      </c>
      <c r="K282" t="s">
        <v>484</v>
      </c>
      <c r="L282" t="s">
        <v>122</v>
      </c>
      <c r="M282">
        <v>2025</v>
      </c>
      <c r="N282" t="s">
        <v>36</v>
      </c>
      <c r="O282" t="s">
        <v>244</v>
      </c>
      <c r="P282">
        <v>2</v>
      </c>
      <c r="Q282">
        <v>2</v>
      </c>
      <c r="R282">
        <v>0</v>
      </c>
      <c r="S282" t="s">
        <v>104</v>
      </c>
      <c r="T282" t="s">
        <v>487</v>
      </c>
      <c r="U282">
        <v>28</v>
      </c>
    </row>
    <row r="283" spans="1:21" x14ac:dyDescent="0.3">
      <c r="A283" t="s">
        <v>445</v>
      </c>
      <c r="B283" t="s">
        <v>446</v>
      </c>
      <c r="C283" t="s">
        <v>97</v>
      </c>
      <c r="D283" t="s">
        <v>29</v>
      </c>
      <c r="E283" t="s">
        <v>108</v>
      </c>
      <c r="F283" s="6">
        <v>45747</v>
      </c>
      <c r="G283">
        <v>0.2</v>
      </c>
      <c r="H283" t="s">
        <v>488</v>
      </c>
      <c r="I283">
        <v>1.3</v>
      </c>
      <c r="J283">
        <v>3.333333333333333</v>
      </c>
      <c r="K283" t="s">
        <v>484</v>
      </c>
      <c r="L283" t="s">
        <v>489</v>
      </c>
      <c r="M283">
        <v>2025</v>
      </c>
      <c r="N283" t="s">
        <v>38</v>
      </c>
      <c r="O283" t="s">
        <v>244</v>
      </c>
      <c r="P283">
        <v>2</v>
      </c>
      <c r="Q283">
        <v>2</v>
      </c>
      <c r="R283">
        <v>0</v>
      </c>
      <c r="S283" t="s">
        <v>104</v>
      </c>
      <c r="T283" t="s">
        <v>490</v>
      </c>
      <c r="U283">
        <v>31</v>
      </c>
    </row>
    <row r="284" spans="1:21" x14ac:dyDescent="0.3">
      <c r="A284" t="s">
        <v>445</v>
      </c>
      <c r="B284" t="s">
        <v>446</v>
      </c>
      <c r="C284" t="s">
        <v>97</v>
      </c>
      <c r="D284" t="s">
        <v>29</v>
      </c>
      <c r="E284" t="s">
        <v>108</v>
      </c>
      <c r="F284" s="6">
        <v>45777</v>
      </c>
      <c r="G284">
        <v>0.2</v>
      </c>
      <c r="H284" t="s">
        <v>121</v>
      </c>
      <c r="I284">
        <v>0</v>
      </c>
      <c r="J284">
        <v>0</v>
      </c>
      <c r="K284" t="s">
        <v>484</v>
      </c>
      <c r="L284" t="s">
        <v>122</v>
      </c>
      <c r="M284">
        <v>2025</v>
      </c>
      <c r="N284" t="s">
        <v>40</v>
      </c>
      <c r="O284" t="s">
        <v>244</v>
      </c>
      <c r="P284">
        <v>2</v>
      </c>
      <c r="Q284">
        <v>2</v>
      </c>
      <c r="R284">
        <v>0</v>
      </c>
      <c r="S284" t="s">
        <v>104</v>
      </c>
      <c r="T284" t="s">
        <v>491</v>
      </c>
      <c r="U284">
        <v>30</v>
      </c>
    </row>
    <row r="285" spans="1:21" x14ac:dyDescent="0.3">
      <c r="A285" t="s">
        <v>445</v>
      </c>
      <c r="B285" t="s">
        <v>446</v>
      </c>
      <c r="C285" t="s">
        <v>97</v>
      </c>
      <c r="D285" t="s">
        <v>29</v>
      </c>
      <c r="E285" t="s">
        <v>108</v>
      </c>
      <c r="F285" s="6">
        <v>45808</v>
      </c>
      <c r="G285">
        <v>0.2</v>
      </c>
      <c r="H285" t="s">
        <v>488</v>
      </c>
      <c r="I285">
        <v>1.3</v>
      </c>
      <c r="J285">
        <v>3.333333333333333</v>
      </c>
      <c r="K285" t="s">
        <v>484</v>
      </c>
      <c r="L285" t="s">
        <v>489</v>
      </c>
      <c r="M285">
        <v>2025</v>
      </c>
      <c r="N285" t="s">
        <v>42</v>
      </c>
      <c r="O285" t="s">
        <v>244</v>
      </c>
      <c r="P285">
        <v>2</v>
      </c>
      <c r="Q285">
        <v>2</v>
      </c>
      <c r="R285">
        <v>0</v>
      </c>
      <c r="S285" t="s">
        <v>104</v>
      </c>
      <c r="T285" t="s">
        <v>492</v>
      </c>
      <c r="U285">
        <v>31</v>
      </c>
    </row>
    <row r="286" spans="1:21" x14ac:dyDescent="0.3">
      <c r="A286" t="s">
        <v>445</v>
      </c>
      <c r="B286" t="s">
        <v>446</v>
      </c>
      <c r="C286" t="s">
        <v>97</v>
      </c>
      <c r="D286" t="s">
        <v>29</v>
      </c>
      <c r="E286" t="s">
        <v>108</v>
      </c>
      <c r="F286" s="6">
        <v>45838</v>
      </c>
      <c r="G286">
        <v>0.2</v>
      </c>
      <c r="H286" t="s">
        <v>121</v>
      </c>
      <c r="I286">
        <v>0</v>
      </c>
      <c r="J286">
        <v>0</v>
      </c>
      <c r="K286" t="s">
        <v>484</v>
      </c>
      <c r="L286" t="s">
        <v>122</v>
      </c>
      <c r="M286">
        <v>2025</v>
      </c>
      <c r="N286" t="s">
        <v>44</v>
      </c>
      <c r="O286" t="s">
        <v>244</v>
      </c>
      <c r="P286">
        <v>2</v>
      </c>
      <c r="Q286">
        <v>2</v>
      </c>
      <c r="R286">
        <v>0</v>
      </c>
      <c r="S286" t="s">
        <v>104</v>
      </c>
      <c r="T286" t="s">
        <v>493</v>
      </c>
      <c r="U286">
        <v>30</v>
      </c>
    </row>
    <row r="287" spans="1:21" x14ac:dyDescent="0.3">
      <c r="A287" t="s">
        <v>445</v>
      </c>
      <c r="B287" t="s">
        <v>446</v>
      </c>
      <c r="C287" t="s">
        <v>97</v>
      </c>
      <c r="D287" t="s">
        <v>29</v>
      </c>
      <c r="E287" t="s">
        <v>108</v>
      </c>
      <c r="F287" s="6">
        <v>45869</v>
      </c>
      <c r="G287">
        <v>0.2</v>
      </c>
      <c r="H287" t="s">
        <v>494</v>
      </c>
      <c r="I287">
        <v>1.3</v>
      </c>
      <c r="J287">
        <v>2.5</v>
      </c>
      <c r="K287" t="s">
        <v>484</v>
      </c>
      <c r="L287" t="s">
        <v>495</v>
      </c>
      <c r="M287">
        <v>2025</v>
      </c>
      <c r="N287" t="s">
        <v>46</v>
      </c>
      <c r="O287" t="s">
        <v>103</v>
      </c>
      <c r="P287">
        <v>2</v>
      </c>
      <c r="Q287">
        <v>2</v>
      </c>
      <c r="R287">
        <v>0</v>
      </c>
      <c r="S287" t="s">
        <v>104</v>
      </c>
      <c r="T287" t="s">
        <v>496</v>
      </c>
      <c r="U287">
        <v>31</v>
      </c>
    </row>
    <row r="288" spans="1:21" x14ac:dyDescent="0.3">
      <c r="A288" t="s">
        <v>445</v>
      </c>
      <c r="B288" t="s">
        <v>446</v>
      </c>
      <c r="C288" t="s">
        <v>97</v>
      </c>
      <c r="D288" t="s">
        <v>29</v>
      </c>
      <c r="E288" t="s">
        <v>108</v>
      </c>
      <c r="F288" s="6">
        <v>45900</v>
      </c>
      <c r="G288">
        <v>0.2</v>
      </c>
      <c r="H288" t="s">
        <v>121</v>
      </c>
      <c r="I288">
        <v>0</v>
      </c>
      <c r="J288">
        <v>0</v>
      </c>
      <c r="K288" t="s">
        <v>484</v>
      </c>
      <c r="L288" t="s">
        <v>122</v>
      </c>
      <c r="M288">
        <v>2025</v>
      </c>
      <c r="N288" t="s">
        <v>49</v>
      </c>
      <c r="O288" t="s">
        <v>103</v>
      </c>
      <c r="P288">
        <v>2</v>
      </c>
      <c r="Q288">
        <v>2</v>
      </c>
      <c r="R288">
        <v>0</v>
      </c>
      <c r="S288" t="s">
        <v>104</v>
      </c>
      <c r="T288" t="s">
        <v>497</v>
      </c>
      <c r="U288">
        <v>31</v>
      </c>
    </row>
    <row r="289" spans="1:21" x14ac:dyDescent="0.3">
      <c r="A289" t="s">
        <v>445</v>
      </c>
      <c r="B289" t="s">
        <v>446</v>
      </c>
      <c r="C289" t="s">
        <v>97</v>
      </c>
      <c r="D289" t="s">
        <v>29</v>
      </c>
      <c r="E289" t="s">
        <v>108</v>
      </c>
      <c r="F289" s="6">
        <v>45961</v>
      </c>
      <c r="G289">
        <v>0.2</v>
      </c>
      <c r="H289" t="s">
        <v>121</v>
      </c>
      <c r="I289">
        <v>0</v>
      </c>
      <c r="J289">
        <v>0</v>
      </c>
      <c r="K289" t="s">
        <v>484</v>
      </c>
      <c r="L289" t="s">
        <v>122</v>
      </c>
      <c r="M289">
        <v>2025</v>
      </c>
      <c r="N289" t="s">
        <v>53</v>
      </c>
      <c r="O289" t="s">
        <v>103</v>
      </c>
      <c r="P289">
        <v>2</v>
      </c>
      <c r="Q289">
        <v>2</v>
      </c>
      <c r="R289">
        <v>0</v>
      </c>
      <c r="S289" t="s">
        <v>104</v>
      </c>
      <c r="T289" t="s">
        <v>498</v>
      </c>
      <c r="U289">
        <v>31</v>
      </c>
    </row>
    <row r="290" spans="1:21" x14ac:dyDescent="0.3">
      <c r="A290" t="s">
        <v>445</v>
      </c>
      <c r="B290" t="s">
        <v>446</v>
      </c>
      <c r="C290" t="s">
        <v>97</v>
      </c>
      <c r="D290" t="s">
        <v>29</v>
      </c>
      <c r="E290" t="s">
        <v>108</v>
      </c>
      <c r="F290" s="6">
        <v>45991</v>
      </c>
      <c r="G290">
        <v>0.2</v>
      </c>
      <c r="H290" t="s">
        <v>121</v>
      </c>
      <c r="I290">
        <v>0</v>
      </c>
      <c r="J290">
        <v>0</v>
      </c>
      <c r="K290" t="s">
        <v>484</v>
      </c>
      <c r="L290" t="s">
        <v>122</v>
      </c>
      <c r="M290">
        <v>2025</v>
      </c>
      <c r="N290" t="s">
        <v>55</v>
      </c>
      <c r="O290" t="s">
        <v>103</v>
      </c>
      <c r="P290">
        <v>2</v>
      </c>
      <c r="Q290">
        <v>2</v>
      </c>
      <c r="R290">
        <v>0</v>
      </c>
      <c r="S290" t="s">
        <v>104</v>
      </c>
      <c r="T290" t="s">
        <v>499</v>
      </c>
      <c r="U290">
        <v>30</v>
      </c>
    </row>
    <row r="291" spans="1:21" x14ac:dyDescent="0.3">
      <c r="A291" t="s">
        <v>445</v>
      </c>
      <c r="B291" t="s">
        <v>446</v>
      </c>
      <c r="C291" t="s">
        <v>97</v>
      </c>
      <c r="D291" t="s">
        <v>29</v>
      </c>
      <c r="E291" t="s">
        <v>108</v>
      </c>
      <c r="F291" s="6">
        <v>46022</v>
      </c>
      <c r="G291">
        <v>0.2</v>
      </c>
      <c r="H291" t="s">
        <v>121</v>
      </c>
      <c r="I291">
        <v>0</v>
      </c>
      <c r="J291">
        <v>0</v>
      </c>
      <c r="K291" t="s">
        <v>484</v>
      </c>
      <c r="L291" t="s">
        <v>122</v>
      </c>
      <c r="M291">
        <v>2025</v>
      </c>
      <c r="N291" t="s">
        <v>57</v>
      </c>
      <c r="O291" t="s">
        <v>103</v>
      </c>
      <c r="P291">
        <v>2</v>
      </c>
      <c r="Q291">
        <v>2</v>
      </c>
      <c r="R291">
        <v>0</v>
      </c>
      <c r="S291" t="s">
        <v>104</v>
      </c>
      <c r="T291" t="s">
        <v>500</v>
      </c>
      <c r="U291">
        <v>31</v>
      </c>
    </row>
    <row r="292" spans="1:21" x14ac:dyDescent="0.3">
      <c r="A292" t="s">
        <v>445</v>
      </c>
      <c r="B292" t="s">
        <v>446</v>
      </c>
      <c r="C292" t="s">
        <v>97</v>
      </c>
      <c r="D292" t="s">
        <v>29</v>
      </c>
      <c r="E292" t="s">
        <v>108</v>
      </c>
      <c r="F292" s="6">
        <v>46053</v>
      </c>
      <c r="G292">
        <v>1.6</v>
      </c>
      <c r="H292" t="s">
        <v>121</v>
      </c>
      <c r="I292">
        <v>0</v>
      </c>
      <c r="J292">
        <v>0</v>
      </c>
      <c r="K292" t="s">
        <v>501</v>
      </c>
      <c r="L292" t="s">
        <v>122</v>
      </c>
      <c r="M292">
        <v>2026</v>
      </c>
      <c r="N292" t="s">
        <v>32</v>
      </c>
      <c r="O292" t="s">
        <v>408</v>
      </c>
      <c r="P292">
        <v>2</v>
      </c>
      <c r="Q292">
        <v>2</v>
      </c>
      <c r="R292">
        <v>0</v>
      </c>
      <c r="S292" t="s">
        <v>104</v>
      </c>
      <c r="T292" t="s">
        <v>502</v>
      </c>
      <c r="U292">
        <v>31</v>
      </c>
    </row>
    <row r="293" spans="1:21" x14ac:dyDescent="0.3">
      <c r="A293" t="s">
        <v>503</v>
      </c>
      <c r="B293" t="s">
        <v>504</v>
      </c>
      <c r="C293" t="s">
        <v>97</v>
      </c>
      <c r="D293" t="s">
        <v>29</v>
      </c>
      <c r="E293" t="s">
        <v>108</v>
      </c>
      <c r="F293" s="6">
        <v>44592</v>
      </c>
      <c r="G293">
        <v>4.7</v>
      </c>
      <c r="H293">
        <v>0</v>
      </c>
      <c r="I293">
        <v>1</v>
      </c>
      <c r="J293">
        <v>1</v>
      </c>
      <c r="K293" t="s">
        <v>109</v>
      </c>
      <c r="L293" t="s">
        <v>109</v>
      </c>
      <c r="M293">
        <v>2022</v>
      </c>
      <c r="N293" t="s">
        <v>32</v>
      </c>
      <c r="O293" t="s">
        <v>88</v>
      </c>
      <c r="P293">
        <v>1</v>
      </c>
      <c r="Q293">
        <v>2</v>
      </c>
      <c r="R293">
        <v>0</v>
      </c>
      <c r="S293" t="s">
        <v>99</v>
      </c>
      <c r="T293" t="s">
        <v>505</v>
      </c>
      <c r="U293">
        <v>1</v>
      </c>
    </row>
    <row r="294" spans="1:21" x14ac:dyDescent="0.3">
      <c r="A294" t="s">
        <v>503</v>
      </c>
      <c r="B294" t="s">
        <v>504</v>
      </c>
      <c r="C294" t="s">
        <v>97</v>
      </c>
      <c r="D294" t="s">
        <v>29</v>
      </c>
      <c r="E294" t="s">
        <v>108</v>
      </c>
      <c r="F294" s="6">
        <v>44620</v>
      </c>
      <c r="G294">
        <v>4.7</v>
      </c>
      <c r="H294">
        <v>0.21</v>
      </c>
      <c r="I294">
        <v>1</v>
      </c>
      <c r="J294">
        <v>1</v>
      </c>
      <c r="K294" t="s">
        <v>109</v>
      </c>
      <c r="L294" t="s">
        <v>109</v>
      </c>
      <c r="M294">
        <v>2022</v>
      </c>
      <c r="N294" t="s">
        <v>36</v>
      </c>
      <c r="O294" t="s">
        <v>88</v>
      </c>
      <c r="P294">
        <v>1</v>
      </c>
      <c r="Q294">
        <v>2</v>
      </c>
      <c r="R294">
        <v>0</v>
      </c>
      <c r="S294" t="s">
        <v>99</v>
      </c>
      <c r="T294" t="s">
        <v>506</v>
      </c>
      <c r="U294">
        <v>1</v>
      </c>
    </row>
    <row r="295" spans="1:21" x14ac:dyDescent="0.3">
      <c r="A295" t="s">
        <v>503</v>
      </c>
      <c r="B295" t="s">
        <v>504</v>
      </c>
      <c r="C295" t="s">
        <v>97</v>
      </c>
      <c r="D295" t="s">
        <v>29</v>
      </c>
      <c r="E295" t="s">
        <v>108</v>
      </c>
      <c r="F295" s="6">
        <v>44651</v>
      </c>
      <c r="G295">
        <v>4.7</v>
      </c>
      <c r="H295">
        <v>0</v>
      </c>
      <c r="I295">
        <v>1</v>
      </c>
      <c r="J295">
        <v>1</v>
      </c>
      <c r="K295" t="s">
        <v>109</v>
      </c>
      <c r="L295" t="s">
        <v>109</v>
      </c>
      <c r="M295">
        <v>2022</v>
      </c>
      <c r="N295" t="s">
        <v>38</v>
      </c>
      <c r="O295" t="s">
        <v>88</v>
      </c>
      <c r="P295">
        <v>1</v>
      </c>
      <c r="Q295">
        <v>2</v>
      </c>
      <c r="R295">
        <v>0</v>
      </c>
      <c r="S295" t="s">
        <v>99</v>
      </c>
      <c r="T295" t="s">
        <v>507</v>
      </c>
      <c r="U295">
        <v>1</v>
      </c>
    </row>
    <row r="296" spans="1:21" x14ac:dyDescent="0.3">
      <c r="A296" t="s">
        <v>503</v>
      </c>
      <c r="B296" t="s">
        <v>504</v>
      </c>
      <c r="C296" t="s">
        <v>97</v>
      </c>
      <c r="D296" t="s">
        <v>29</v>
      </c>
      <c r="E296" t="s">
        <v>108</v>
      </c>
      <c r="F296" s="6">
        <v>44681</v>
      </c>
      <c r="G296">
        <v>4.7</v>
      </c>
      <c r="H296">
        <v>0</v>
      </c>
      <c r="I296">
        <v>1</v>
      </c>
      <c r="J296">
        <v>1</v>
      </c>
      <c r="K296" t="s">
        <v>109</v>
      </c>
      <c r="L296" t="s">
        <v>109</v>
      </c>
      <c r="M296">
        <v>2022</v>
      </c>
      <c r="N296" t="s">
        <v>40</v>
      </c>
      <c r="O296" t="s">
        <v>88</v>
      </c>
      <c r="P296">
        <v>1</v>
      </c>
      <c r="Q296">
        <v>2</v>
      </c>
      <c r="R296">
        <v>0</v>
      </c>
      <c r="S296" t="s">
        <v>99</v>
      </c>
      <c r="T296" t="s">
        <v>508</v>
      </c>
      <c r="U296">
        <v>1</v>
      </c>
    </row>
    <row r="297" spans="1:21" x14ac:dyDescent="0.3">
      <c r="A297" t="s">
        <v>503</v>
      </c>
      <c r="B297" t="s">
        <v>504</v>
      </c>
      <c r="C297" t="s">
        <v>97</v>
      </c>
      <c r="D297" t="s">
        <v>29</v>
      </c>
      <c r="E297" t="s">
        <v>108</v>
      </c>
      <c r="F297" s="6">
        <v>44712</v>
      </c>
      <c r="G297">
        <v>4.7</v>
      </c>
      <c r="H297">
        <v>0.27</v>
      </c>
      <c r="I297">
        <v>1</v>
      </c>
      <c r="J297">
        <v>1</v>
      </c>
      <c r="K297" t="s">
        <v>109</v>
      </c>
      <c r="L297" t="s">
        <v>109</v>
      </c>
      <c r="M297">
        <v>2022</v>
      </c>
      <c r="N297" t="s">
        <v>42</v>
      </c>
      <c r="O297" t="s">
        <v>88</v>
      </c>
      <c r="P297">
        <v>1</v>
      </c>
      <c r="Q297">
        <v>2</v>
      </c>
      <c r="R297">
        <v>0</v>
      </c>
      <c r="S297" t="s">
        <v>99</v>
      </c>
      <c r="T297" t="s">
        <v>509</v>
      </c>
      <c r="U297">
        <v>1</v>
      </c>
    </row>
    <row r="298" spans="1:21" x14ac:dyDescent="0.3">
      <c r="A298" t="s">
        <v>503</v>
      </c>
      <c r="B298" t="s">
        <v>504</v>
      </c>
      <c r="C298" t="s">
        <v>97</v>
      </c>
      <c r="D298" t="s">
        <v>29</v>
      </c>
      <c r="E298" t="s">
        <v>108</v>
      </c>
      <c r="F298" s="6">
        <v>44742</v>
      </c>
      <c r="G298">
        <v>4.7</v>
      </c>
      <c r="H298">
        <v>0</v>
      </c>
      <c r="I298">
        <v>1</v>
      </c>
      <c r="J298">
        <v>1</v>
      </c>
      <c r="K298" t="s">
        <v>109</v>
      </c>
      <c r="L298" t="s">
        <v>109</v>
      </c>
      <c r="M298">
        <v>2022</v>
      </c>
      <c r="N298" t="s">
        <v>44</v>
      </c>
      <c r="O298" t="s">
        <v>88</v>
      </c>
      <c r="P298">
        <v>1</v>
      </c>
      <c r="Q298">
        <v>2</v>
      </c>
      <c r="R298">
        <v>0</v>
      </c>
      <c r="S298" t="s">
        <v>99</v>
      </c>
      <c r="T298" t="s">
        <v>510</v>
      </c>
      <c r="U298">
        <v>1</v>
      </c>
    </row>
    <row r="299" spans="1:21" x14ac:dyDescent="0.3">
      <c r="A299" t="s">
        <v>503</v>
      </c>
      <c r="B299" t="s">
        <v>504</v>
      </c>
      <c r="C299" t="s">
        <v>97</v>
      </c>
      <c r="D299" t="s">
        <v>29</v>
      </c>
      <c r="E299" t="s">
        <v>108</v>
      </c>
      <c r="F299" s="6">
        <v>44773</v>
      </c>
      <c r="G299">
        <v>4.7</v>
      </c>
      <c r="H299">
        <v>0</v>
      </c>
      <c r="I299">
        <v>1</v>
      </c>
      <c r="J299">
        <v>1</v>
      </c>
      <c r="K299" t="s">
        <v>109</v>
      </c>
      <c r="L299" t="s">
        <v>109</v>
      </c>
      <c r="M299">
        <v>2022</v>
      </c>
      <c r="N299" t="s">
        <v>46</v>
      </c>
      <c r="O299" t="s">
        <v>90</v>
      </c>
      <c r="P299">
        <v>1</v>
      </c>
      <c r="Q299">
        <v>2</v>
      </c>
      <c r="R299">
        <v>0</v>
      </c>
      <c r="S299" t="s">
        <v>99</v>
      </c>
      <c r="T299" t="s">
        <v>511</v>
      </c>
      <c r="U299">
        <v>1</v>
      </c>
    </row>
    <row r="300" spans="1:21" x14ac:dyDescent="0.3">
      <c r="A300" t="s">
        <v>503</v>
      </c>
      <c r="B300" t="s">
        <v>504</v>
      </c>
      <c r="C300" t="s">
        <v>97</v>
      </c>
      <c r="D300" t="s">
        <v>29</v>
      </c>
      <c r="E300" t="s">
        <v>108</v>
      </c>
      <c r="F300" s="6">
        <v>44804</v>
      </c>
      <c r="G300">
        <v>4.7</v>
      </c>
      <c r="H300">
        <v>0.31</v>
      </c>
      <c r="I300">
        <v>1</v>
      </c>
      <c r="J300">
        <v>1</v>
      </c>
      <c r="K300" t="s">
        <v>109</v>
      </c>
      <c r="L300" t="s">
        <v>109</v>
      </c>
      <c r="M300">
        <v>2022</v>
      </c>
      <c r="N300" t="s">
        <v>49</v>
      </c>
      <c r="O300" t="s">
        <v>90</v>
      </c>
      <c r="P300">
        <v>1</v>
      </c>
      <c r="Q300">
        <v>2</v>
      </c>
      <c r="R300">
        <v>0</v>
      </c>
      <c r="S300" t="s">
        <v>99</v>
      </c>
      <c r="T300" t="s">
        <v>512</v>
      </c>
      <c r="U300">
        <v>1</v>
      </c>
    </row>
    <row r="301" spans="1:21" x14ac:dyDescent="0.3">
      <c r="A301" t="s">
        <v>503</v>
      </c>
      <c r="B301" t="s">
        <v>504</v>
      </c>
      <c r="C301" t="s">
        <v>97</v>
      </c>
      <c r="D301" t="s">
        <v>29</v>
      </c>
      <c r="E301" t="s">
        <v>108</v>
      </c>
      <c r="F301" s="6">
        <v>44834</v>
      </c>
      <c r="G301">
        <v>4.7</v>
      </c>
      <c r="H301">
        <v>0</v>
      </c>
      <c r="I301">
        <v>1</v>
      </c>
      <c r="J301">
        <v>1</v>
      </c>
      <c r="K301" t="s">
        <v>109</v>
      </c>
      <c r="L301" t="s">
        <v>109</v>
      </c>
      <c r="M301">
        <v>2022</v>
      </c>
      <c r="N301" t="s">
        <v>51</v>
      </c>
      <c r="O301" t="s">
        <v>90</v>
      </c>
      <c r="P301">
        <v>1</v>
      </c>
      <c r="Q301">
        <v>2</v>
      </c>
      <c r="R301">
        <v>0</v>
      </c>
      <c r="S301" t="s">
        <v>99</v>
      </c>
      <c r="T301" t="s">
        <v>513</v>
      </c>
      <c r="U301">
        <v>1</v>
      </c>
    </row>
    <row r="302" spans="1:21" x14ac:dyDescent="0.3">
      <c r="A302" t="s">
        <v>503</v>
      </c>
      <c r="B302" t="s">
        <v>504</v>
      </c>
      <c r="C302" t="s">
        <v>97</v>
      </c>
      <c r="D302" t="s">
        <v>29</v>
      </c>
      <c r="E302" t="s">
        <v>108</v>
      </c>
      <c r="F302" s="6">
        <v>44865</v>
      </c>
      <c r="G302">
        <v>4.7</v>
      </c>
      <c r="H302">
        <v>0.17</v>
      </c>
      <c r="I302">
        <v>1</v>
      </c>
      <c r="J302">
        <v>1</v>
      </c>
      <c r="K302" t="s">
        <v>109</v>
      </c>
      <c r="L302" t="s">
        <v>109</v>
      </c>
      <c r="M302">
        <v>2022</v>
      </c>
      <c r="N302" t="s">
        <v>53</v>
      </c>
      <c r="O302" t="s">
        <v>90</v>
      </c>
      <c r="P302">
        <v>1</v>
      </c>
      <c r="Q302">
        <v>2</v>
      </c>
      <c r="R302">
        <v>0</v>
      </c>
      <c r="S302" t="s">
        <v>99</v>
      </c>
      <c r="T302" t="s">
        <v>514</v>
      </c>
      <c r="U302">
        <v>1</v>
      </c>
    </row>
    <row r="303" spans="1:21" x14ac:dyDescent="0.3">
      <c r="A303" t="s">
        <v>503</v>
      </c>
      <c r="B303" t="s">
        <v>504</v>
      </c>
      <c r="C303" t="s">
        <v>97</v>
      </c>
      <c r="D303" t="s">
        <v>29</v>
      </c>
      <c r="E303" t="s">
        <v>108</v>
      </c>
      <c r="F303" s="6">
        <v>44895</v>
      </c>
      <c r="G303">
        <v>4.7</v>
      </c>
      <c r="H303">
        <v>0</v>
      </c>
      <c r="I303">
        <v>1</v>
      </c>
      <c r="J303">
        <v>1</v>
      </c>
      <c r="K303" t="s">
        <v>109</v>
      </c>
      <c r="L303" t="s">
        <v>109</v>
      </c>
      <c r="M303">
        <v>2022</v>
      </c>
      <c r="N303" t="s">
        <v>55</v>
      </c>
      <c r="O303" t="s">
        <v>90</v>
      </c>
      <c r="P303">
        <v>1</v>
      </c>
      <c r="Q303">
        <v>2</v>
      </c>
      <c r="R303">
        <v>0</v>
      </c>
      <c r="S303" t="s">
        <v>99</v>
      </c>
      <c r="T303" t="s">
        <v>515</v>
      </c>
      <c r="U303">
        <v>1</v>
      </c>
    </row>
    <row r="304" spans="1:21" x14ac:dyDescent="0.3">
      <c r="A304" t="s">
        <v>503</v>
      </c>
      <c r="B304" t="s">
        <v>504</v>
      </c>
      <c r="C304" t="s">
        <v>97</v>
      </c>
      <c r="D304" t="s">
        <v>29</v>
      </c>
      <c r="E304" t="s">
        <v>108</v>
      </c>
      <c r="F304" s="6">
        <v>44926</v>
      </c>
      <c r="G304">
        <v>4.7</v>
      </c>
      <c r="H304">
        <v>0</v>
      </c>
      <c r="I304">
        <v>1</v>
      </c>
      <c r="J304">
        <v>1</v>
      </c>
      <c r="K304" t="s">
        <v>109</v>
      </c>
      <c r="L304" t="s">
        <v>109</v>
      </c>
      <c r="M304">
        <v>2022</v>
      </c>
      <c r="N304" t="s">
        <v>57</v>
      </c>
      <c r="O304" t="s">
        <v>90</v>
      </c>
      <c r="P304">
        <v>1</v>
      </c>
      <c r="Q304">
        <v>2</v>
      </c>
      <c r="R304">
        <v>0</v>
      </c>
      <c r="S304" t="s">
        <v>99</v>
      </c>
      <c r="T304" t="s">
        <v>516</v>
      </c>
      <c r="U304">
        <v>1</v>
      </c>
    </row>
    <row r="305" spans="1:21" x14ac:dyDescent="0.3">
      <c r="A305" t="s">
        <v>503</v>
      </c>
      <c r="B305" t="s">
        <v>504</v>
      </c>
      <c r="C305" t="s">
        <v>97</v>
      </c>
      <c r="D305" t="s">
        <v>29</v>
      </c>
      <c r="E305" t="s">
        <v>108</v>
      </c>
      <c r="F305" s="6">
        <v>44957</v>
      </c>
      <c r="G305">
        <v>4.7</v>
      </c>
      <c r="H305">
        <v>0</v>
      </c>
      <c r="I305">
        <v>1</v>
      </c>
      <c r="J305">
        <v>1</v>
      </c>
      <c r="K305" t="s">
        <v>109</v>
      </c>
      <c r="L305" t="s">
        <v>109</v>
      </c>
      <c r="M305">
        <v>2023</v>
      </c>
      <c r="N305" t="s">
        <v>32</v>
      </c>
      <c r="O305" t="s">
        <v>33</v>
      </c>
      <c r="P305">
        <v>1</v>
      </c>
      <c r="Q305">
        <v>2</v>
      </c>
      <c r="R305">
        <v>0</v>
      </c>
      <c r="S305" t="s">
        <v>99</v>
      </c>
      <c r="T305" t="s">
        <v>517</v>
      </c>
      <c r="U305">
        <v>1</v>
      </c>
    </row>
    <row r="306" spans="1:21" x14ac:dyDescent="0.3">
      <c r="A306" t="s">
        <v>503</v>
      </c>
      <c r="B306" t="s">
        <v>504</v>
      </c>
      <c r="C306" t="s">
        <v>97</v>
      </c>
      <c r="D306" t="s">
        <v>29</v>
      </c>
      <c r="E306" t="s">
        <v>108</v>
      </c>
      <c r="F306" s="6">
        <v>44985</v>
      </c>
      <c r="G306">
        <v>4.7</v>
      </c>
      <c r="H306">
        <v>0</v>
      </c>
      <c r="I306">
        <v>1</v>
      </c>
      <c r="J306">
        <v>1</v>
      </c>
      <c r="K306" t="s">
        <v>109</v>
      </c>
      <c r="L306" t="s">
        <v>109</v>
      </c>
      <c r="M306">
        <v>2023</v>
      </c>
      <c r="N306" t="s">
        <v>36</v>
      </c>
      <c r="O306" t="s">
        <v>33</v>
      </c>
      <c r="P306">
        <v>1</v>
      </c>
      <c r="Q306">
        <v>2</v>
      </c>
      <c r="R306">
        <v>0</v>
      </c>
      <c r="S306" t="s">
        <v>99</v>
      </c>
      <c r="T306" t="s">
        <v>518</v>
      </c>
      <c r="U306">
        <v>1</v>
      </c>
    </row>
    <row r="307" spans="1:21" x14ac:dyDescent="0.3">
      <c r="A307" t="s">
        <v>503</v>
      </c>
      <c r="B307" t="s">
        <v>504</v>
      </c>
      <c r="C307" t="s">
        <v>97</v>
      </c>
      <c r="D307" t="s">
        <v>29</v>
      </c>
      <c r="E307" t="s">
        <v>108</v>
      </c>
      <c r="F307" s="6">
        <v>45016</v>
      </c>
      <c r="G307">
        <v>4.7</v>
      </c>
      <c r="H307">
        <v>0</v>
      </c>
      <c r="I307">
        <v>1</v>
      </c>
      <c r="J307">
        <v>1</v>
      </c>
      <c r="K307" t="s">
        <v>109</v>
      </c>
      <c r="L307" t="s">
        <v>109</v>
      </c>
      <c r="M307">
        <v>2023</v>
      </c>
      <c r="N307" t="s">
        <v>38</v>
      </c>
      <c r="O307" t="s">
        <v>33</v>
      </c>
      <c r="P307">
        <v>1</v>
      </c>
      <c r="Q307">
        <v>2</v>
      </c>
      <c r="R307">
        <v>0</v>
      </c>
      <c r="S307" t="s">
        <v>99</v>
      </c>
      <c r="T307" t="s">
        <v>519</v>
      </c>
      <c r="U307">
        <v>1</v>
      </c>
    </row>
    <row r="308" spans="1:21" x14ac:dyDescent="0.3">
      <c r="A308" t="s">
        <v>503</v>
      </c>
      <c r="B308" t="s">
        <v>504</v>
      </c>
      <c r="C308" t="s">
        <v>97</v>
      </c>
      <c r="D308" t="s">
        <v>29</v>
      </c>
      <c r="E308" t="s">
        <v>108</v>
      </c>
      <c r="F308" s="6">
        <v>45046</v>
      </c>
      <c r="G308">
        <v>4.7</v>
      </c>
      <c r="H308">
        <v>0.13044612575006501</v>
      </c>
      <c r="I308">
        <v>1</v>
      </c>
      <c r="J308">
        <v>1</v>
      </c>
      <c r="K308" t="s">
        <v>109</v>
      </c>
      <c r="L308" t="s">
        <v>109</v>
      </c>
      <c r="M308">
        <v>2023</v>
      </c>
      <c r="N308" t="s">
        <v>40</v>
      </c>
      <c r="O308" t="s">
        <v>33</v>
      </c>
      <c r="P308">
        <v>1</v>
      </c>
      <c r="Q308">
        <v>2</v>
      </c>
      <c r="R308">
        <v>0</v>
      </c>
      <c r="S308" t="s">
        <v>99</v>
      </c>
      <c r="T308" t="s">
        <v>520</v>
      </c>
      <c r="U308">
        <v>1</v>
      </c>
    </row>
    <row r="309" spans="1:21" x14ac:dyDescent="0.3">
      <c r="A309" t="s">
        <v>503</v>
      </c>
      <c r="B309" t="s">
        <v>504</v>
      </c>
      <c r="C309" t="s">
        <v>97</v>
      </c>
      <c r="D309" t="s">
        <v>29</v>
      </c>
      <c r="E309" t="s">
        <v>108</v>
      </c>
      <c r="F309" s="6">
        <v>45077</v>
      </c>
      <c r="G309">
        <v>4.7</v>
      </c>
      <c r="H309">
        <v>0</v>
      </c>
      <c r="I309">
        <v>1</v>
      </c>
      <c r="J309">
        <v>1</v>
      </c>
      <c r="K309" t="s">
        <v>109</v>
      </c>
      <c r="L309" t="s">
        <v>109</v>
      </c>
      <c r="M309">
        <v>2023</v>
      </c>
      <c r="N309" t="s">
        <v>42</v>
      </c>
      <c r="O309" t="s">
        <v>33</v>
      </c>
      <c r="P309">
        <v>1</v>
      </c>
      <c r="Q309">
        <v>2</v>
      </c>
      <c r="R309">
        <v>0</v>
      </c>
      <c r="S309" t="s">
        <v>99</v>
      </c>
      <c r="T309" t="s">
        <v>521</v>
      </c>
      <c r="U309">
        <v>1</v>
      </c>
    </row>
    <row r="310" spans="1:21" x14ac:dyDescent="0.3">
      <c r="A310" t="s">
        <v>503</v>
      </c>
      <c r="B310" t="s">
        <v>504</v>
      </c>
      <c r="C310" t="s">
        <v>97</v>
      </c>
      <c r="D310" t="s">
        <v>29</v>
      </c>
      <c r="E310" t="s">
        <v>108</v>
      </c>
      <c r="F310" s="6">
        <v>45107</v>
      </c>
      <c r="G310">
        <v>4.7</v>
      </c>
      <c r="H310">
        <v>0</v>
      </c>
      <c r="I310">
        <v>1</v>
      </c>
      <c r="J310">
        <v>1</v>
      </c>
      <c r="K310" t="s">
        <v>109</v>
      </c>
      <c r="L310" t="s">
        <v>109</v>
      </c>
      <c r="M310">
        <v>2023</v>
      </c>
      <c r="N310" t="s">
        <v>44</v>
      </c>
      <c r="O310" t="s">
        <v>33</v>
      </c>
      <c r="P310">
        <v>1</v>
      </c>
      <c r="Q310">
        <v>2</v>
      </c>
      <c r="R310">
        <v>0</v>
      </c>
      <c r="S310" t="s">
        <v>99</v>
      </c>
      <c r="T310" t="s">
        <v>522</v>
      </c>
      <c r="U310">
        <v>1</v>
      </c>
    </row>
    <row r="311" spans="1:21" x14ac:dyDescent="0.3">
      <c r="A311" t="s">
        <v>503</v>
      </c>
      <c r="B311" t="s">
        <v>504</v>
      </c>
      <c r="C311" t="s">
        <v>97</v>
      </c>
      <c r="D311" t="s">
        <v>29</v>
      </c>
      <c r="E311" t="s">
        <v>108</v>
      </c>
      <c r="F311" s="6">
        <v>45138</v>
      </c>
      <c r="G311">
        <v>4.7</v>
      </c>
      <c r="H311">
        <v>1.0566037735849001</v>
      </c>
      <c r="I311">
        <v>1</v>
      </c>
      <c r="J311">
        <v>1</v>
      </c>
      <c r="K311" t="s">
        <v>109</v>
      </c>
      <c r="L311" t="s">
        <v>109</v>
      </c>
      <c r="M311">
        <v>2023</v>
      </c>
      <c r="N311" t="s">
        <v>46</v>
      </c>
      <c r="O311" t="s">
        <v>47</v>
      </c>
      <c r="P311">
        <v>1</v>
      </c>
      <c r="Q311">
        <v>2</v>
      </c>
      <c r="R311">
        <v>0</v>
      </c>
      <c r="S311" t="s">
        <v>99</v>
      </c>
      <c r="T311" t="s">
        <v>523</v>
      </c>
      <c r="U311">
        <v>1</v>
      </c>
    </row>
    <row r="312" spans="1:21" x14ac:dyDescent="0.3">
      <c r="A312" t="s">
        <v>503</v>
      </c>
      <c r="B312" t="s">
        <v>504</v>
      </c>
      <c r="C312" t="s">
        <v>97</v>
      </c>
      <c r="D312" t="s">
        <v>29</v>
      </c>
      <c r="E312" t="s">
        <v>108</v>
      </c>
      <c r="F312" s="6">
        <v>45169</v>
      </c>
      <c r="G312">
        <v>4.7</v>
      </c>
      <c r="H312">
        <v>0.92</v>
      </c>
      <c r="I312">
        <v>1</v>
      </c>
      <c r="J312">
        <v>1</v>
      </c>
      <c r="K312" t="s">
        <v>109</v>
      </c>
      <c r="L312" t="s">
        <v>109</v>
      </c>
      <c r="M312">
        <v>2023</v>
      </c>
      <c r="N312" t="s">
        <v>49</v>
      </c>
      <c r="O312" t="s">
        <v>47</v>
      </c>
      <c r="P312">
        <v>1</v>
      </c>
      <c r="Q312">
        <v>2</v>
      </c>
      <c r="R312">
        <v>0</v>
      </c>
      <c r="S312" t="s">
        <v>99</v>
      </c>
      <c r="T312" t="s">
        <v>524</v>
      </c>
      <c r="U312">
        <v>1</v>
      </c>
    </row>
    <row r="313" spans="1:21" x14ac:dyDescent="0.3">
      <c r="A313" t="s">
        <v>503</v>
      </c>
      <c r="B313" t="s">
        <v>504</v>
      </c>
      <c r="C313" t="s">
        <v>97</v>
      </c>
      <c r="D313" t="s">
        <v>29</v>
      </c>
      <c r="E313" t="s">
        <v>108</v>
      </c>
      <c r="F313" s="6">
        <v>45199</v>
      </c>
      <c r="G313">
        <v>4.7</v>
      </c>
      <c r="H313">
        <v>0</v>
      </c>
      <c r="I313">
        <v>1</v>
      </c>
      <c r="J313">
        <v>1</v>
      </c>
      <c r="K313" t="s">
        <v>109</v>
      </c>
      <c r="L313" t="s">
        <v>109</v>
      </c>
      <c r="M313">
        <v>2023</v>
      </c>
      <c r="N313" t="s">
        <v>51</v>
      </c>
      <c r="O313" t="s">
        <v>47</v>
      </c>
      <c r="P313">
        <v>1</v>
      </c>
      <c r="Q313">
        <v>2</v>
      </c>
      <c r="R313">
        <v>0</v>
      </c>
      <c r="S313" t="s">
        <v>99</v>
      </c>
      <c r="T313" t="s">
        <v>525</v>
      </c>
      <c r="U313">
        <v>1</v>
      </c>
    </row>
    <row r="314" spans="1:21" x14ac:dyDescent="0.3">
      <c r="A314" t="s">
        <v>503</v>
      </c>
      <c r="B314" t="s">
        <v>504</v>
      </c>
      <c r="C314" t="s">
        <v>97</v>
      </c>
      <c r="D314" t="s">
        <v>29</v>
      </c>
      <c r="E314" t="s">
        <v>108</v>
      </c>
      <c r="F314" s="6">
        <v>45230</v>
      </c>
      <c r="G314">
        <v>4.7</v>
      </c>
      <c r="H314">
        <v>0</v>
      </c>
      <c r="I314">
        <v>1</v>
      </c>
      <c r="J314">
        <v>1</v>
      </c>
      <c r="K314" t="s">
        <v>109</v>
      </c>
      <c r="L314" t="s">
        <v>109</v>
      </c>
      <c r="M314">
        <v>2023</v>
      </c>
      <c r="N314" t="s">
        <v>53</v>
      </c>
      <c r="O314" t="s">
        <v>47</v>
      </c>
      <c r="P314">
        <v>1</v>
      </c>
      <c r="Q314">
        <v>2</v>
      </c>
      <c r="R314">
        <v>0</v>
      </c>
      <c r="S314" t="s">
        <v>99</v>
      </c>
      <c r="T314" t="s">
        <v>526</v>
      </c>
      <c r="U314">
        <v>1</v>
      </c>
    </row>
    <row r="315" spans="1:21" x14ac:dyDescent="0.3">
      <c r="A315" t="s">
        <v>503</v>
      </c>
      <c r="B315" t="s">
        <v>504</v>
      </c>
      <c r="C315" t="s">
        <v>97</v>
      </c>
      <c r="D315" t="s">
        <v>29</v>
      </c>
      <c r="E315" t="s">
        <v>108</v>
      </c>
      <c r="F315" s="6">
        <v>45260</v>
      </c>
      <c r="G315">
        <v>4.7</v>
      </c>
      <c r="H315">
        <v>0</v>
      </c>
      <c r="I315">
        <v>1</v>
      </c>
      <c r="J315">
        <v>1</v>
      </c>
      <c r="K315" t="s">
        <v>109</v>
      </c>
      <c r="L315" t="s">
        <v>109</v>
      </c>
      <c r="M315">
        <v>2023</v>
      </c>
      <c r="N315" t="s">
        <v>55</v>
      </c>
      <c r="O315" t="s">
        <v>47</v>
      </c>
      <c r="P315">
        <v>1</v>
      </c>
      <c r="Q315">
        <v>2</v>
      </c>
      <c r="R315">
        <v>0</v>
      </c>
      <c r="S315" t="s">
        <v>99</v>
      </c>
      <c r="T315" t="s">
        <v>527</v>
      </c>
      <c r="U315">
        <v>1</v>
      </c>
    </row>
    <row r="316" spans="1:21" x14ac:dyDescent="0.3">
      <c r="A316" t="s">
        <v>503</v>
      </c>
      <c r="B316" t="s">
        <v>504</v>
      </c>
      <c r="C316" t="s">
        <v>97</v>
      </c>
      <c r="D316" t="s">
        <v>29</v>
      </c>
      <c r="E316" t="s">
        <v>108</v>
      </c>
      <c r="F316" s="6">
        <v>45291</v>
      </c>
      <c r="G316">
        <v>4.7</v>
      </c>
      <c r="H316">
        <v>0</v>
      </c>
      <c r="I316">
        <v>1</v>
      </c>
      <c r="J316">
        <v>1</v>
      </c>
      <c r="K316" t="s">
        <v>109</v>
      </c>
      <c r="L316" t="s">
        <v>109</v>
      </c>
      <c r="M316">
        <v>2023</v>
      </c>
      <c r="N316" t="s">
        <v>57</v>
      </c>
      <c r="O316" t="s">
        <v>47</v>
      </c>
      <c r="P316">
        <v>1</v>
      </c>
      <c r="Q316">
        <v>2</v>
      </c>
      <c r="R316">
        <v>0</v>
      </c>
      <c r="S316" t="s">
        <v>99</v>
      </c>
      <c r="T316" t="s">
        <v>528</v>
      </c>
      <c r="U316">
        <v>1</v>
      </c>
    </row>
    <row r="317" spans="1:21" x14ac:dyDescent="0.3">
      <c r="A317" t="s">
        <v>503</v>
      </c>
      <c r="B317" t="s">
        <v>504</v>
      </c>
      <c r="C317" t="s">
        <v>97</v>
      </c>
      <c r="D317" t="s">
        <v>29</v>
      </c>
      <c r="E317" t="s">
        <v>108</v>
      </c>
      <c r="F317" s="6">
        <v>45322</v>
      </c>
      <c r="G317">
        <v>1.9</v>
      </c>
      <c r="H317">
        <v>0</v>
      </c>
      <c r="I317">
        <v>1</v>
      </c>
      <c r="J317">
        <v>1</v>
      </c>
      <c r="K317" t="s">
        <v>109</v>
      </c>
      <c r="L317" t="s">
        <v>109</v>
      </c>
      <c r="M317">
        <v>2024</v>
      </c>
      <c r="N317" t="s">
        <v>32</v>
      </c>
      <c r="O317" t="s">
        <v>71</v>
      </c>
      <c r="P317">
        <v>1</v>
      </c>
      <c r="Q317">
        <v>2</v>
      </c>
      <c r="R317">
        <v>0</v>
      </c>
      <c r="S317" t="s">
        <v>99</v>
      </c>
      <c r="T317" t="s">
        <v>529</v>
      </c>
      <c r="U317">
        <v>1</v>
      </c>
    </row>
    <row r="318" spans="1:21" x14ac:dyDescent="0.3">
      <c r="A318" t="s">
        <v>503</v>
      </c>
      <c r="B318" t="s">
        <v>504</v>
      </c>
      <c r="C318" t="s">
        <v>97</v>
      </c>
      <c r="D318" t="s">
        <v>29</v>
      </c>
      <c r="E318" t="s">
        <v>108</v>
      </c>
      <c r="F318" s="6">
        <v>45351</v>
      </c>
      <c r="G318">
        <v>1.9</v>
      </c>
      <c r="H318">
        <v>0</v>
      </c>
      <c r="I318">
        <v>1</v>
      </c>
      <c r="J318">
        <v>1</v>
      </c>
      <c r="K318" t="s">
        <v>109</v>
      </c>
      <c r="L318" t="s">
        <v>109</v>
      </c>
      <c r="M318">
        <v>2024</v>
      </c>
      <c r="N318" t="s">
        <v>36</v>
      </c>
      <c r="O318" t="s">
        <v>71</v>
      </c>
      <c r="P318">
        <v>1</v>
      </c>
      <c r="Q318">
        <v>2</v>
      </c>
      <c r="R318">
        <v>0</v>
      </c>
      <c r="S318" t="s">
        <v>99</v>
      </c>
      <c r="T318" t="s">
        <v>530</v>
      </c>
      <c r="U318">
        <v>1</v>
      </c>
    </row>
    <row r="319" spans="1:21" x14ac:dyDescent="0.3">
      <c r="A319" t="s">
        <v>503</v>
      </c>
      <c r="B319" t="s">
        <v>504</v>
      </c>
      <c r="C319" t="s">
        <v>97</v>
      </c>
      <c r="D319" t="s">
        <v>29</v>
      </c>
      <c r="E319" t="s">
        <v>108</v>
      </c>
      <c r="F319" s="6">
        <v>45382</v>
      </c>
      <c r="G319">
        <v>1.9</v>
      </c>
      <c r="H319">
        <v>0</v>
      </c>
      <c r="I319">
        <v>1</v>
      </c>
      <c r="J319">
        <v>1</v>
      </c>
      <c r="K319" t="s">
        <v>109</v>
      </c>
      <c r="L319" t="s">
        <v>109</v>
      </c>
      <c r="M319">
        <v>2024</v>
      </c>
      <c r="N319" t="s">
        <v>38</v>
      </c>
      <c r="O319" t="s">
        <v>71</v>
      </c>
      <c r="P319">
        <v>1</v>
      </c>
      <c r="Q319">
        <v>2</v>
      </c>
      <c r="R319">
        <v>0</v>
      </c>
      <c r="S319" t="s">
        <v>99</v>
      </c>
      <c r="T319" t="s">
        <v>531</v>
      </c>
      <c r="U319">
        <v>1</v>
      </c>
    </row>
    <row r="320" spans="1:21" x14ac:dyDescent="0.3">
      <c r="A320" t="s">
        <v>503</v>
      </c>
      <c r="B320" t="s">
        <v>504</v>
      </c>
      <c r="C320" t="s">
        <v>97</v>
      </c>
      <c r="D320" t="s">
        <v>29</v>
      </c>
      <c r="E320" t="s">
        <v>108</v>
      </c>
      <c r="F320" s="6">
        <v>45412</v>
      </c>
      <c r="G320">
        <v>1.9</v>
      </c>
      <c r="H320">
        <v>0</v>
      </c>
      <c r="I320">
        <v>1</v>
      </c>
      <c r="J320">
        <v>1</v>
      </c>
      <c r="K320" t="s">
        <v>109</v>
      </c>
      <c r="L320" t="s">
        <v>109</v>
      </c>
      <c r="M320">
        <v>2024</v>
      </c>
      <c r="N320" t="s">
        <v>40</v>
      </c>
      <c r="O320" t="s">
        <v>71</v>
      </c>
      <c r="P320">
        <v>1</v>
      </c>
      <c r="Q320">
        <v>2</v>
      </c>
      <c r="R320">
        <v>0</v>
      </c>
      <c r="S320" t="s">
        <v>99</v>
      </c>
      <c r="T320" t="s">
        <v>532</v>
      </c>
      <c r="U320">
        <v>1</v>
      </c>
    </row>
    <row r="321" spans="1:21" x14ac:dyDescent="0.3">
      <c r="A321" t="s">
        <v>503</v>
      </c>
      <c r="B321" t="s">
        <v>504</v>
      </c>
      <c r="C321" t="s">
        <v>97</v>
      </c>
      <c r="D321" t="s">
        <v>29</v>
      </c>
      <c r="E321" t="s">
        <v>108</v>
      </c>
      <c r="F321" s="6">
        <v>45443</v>
      </c>
      <c r="G321">
        <v>1.9</v>
      </c>
      <c r="H321">
        <v>0.21</v>
      </c>
      <c r="I321">
        <v>1</v>
      </c>
      <c r="J321">
        <v>1</v>
      </c>
      <c r="K321" t="s">
        <v>109</v>
      </c>
      <c r="L321" t="s">
        <v>109</v>
      </c>
      <c r="M321">
        <v>2024</v>
      </c>
      <c r="N321" t="s">
        <v>42</v>
      </c>
      <c r="O321" t="s">
        <v>71</v>
      </c>
      <c r="P321">
        <v>1</v>
      </c>
      <c r="Q321">
        <v>2</v>
      </c>
      <c r="R321">
        <v>0</v>
      </c>
      <c r="S321" t="s">
        <v>99</v>
      </c>
      <c r="T321" t="s">
        <v>533</v>
      </c>
      <c r="U321">
        <v>1</v>
      </c>
    </row>
    <row r="322" spans="1:21" x14ac:dyDescent="0.3">
      <c r="A322" t="s">
        <v>503</v>
      </c>
      <c r="B322" t="s">
        <v>504</v>
      </c>
      <c r="C322" t="s">
        <v>97</v>
      </c>
      <c r="D322" t="s">
        <v>29</v>
      </c>
      <c r="E322" t="s">
        <v>108</v>
      </c>
      <c r="F322" s="6">
        <v>45473</v>
      </c>
      <c r="G322">
        <v>1.9</v>
      </c>
      <c r="H322">
        <v>0</v>
      </c>
      <c r="I322">
        <v>1</v>
      </c>
      <c r="J322">
        <v>1</v>
      </c>
      <c r="K322" t="s">
        <v>109</v>
      </c>
      <c r="L322" t="s">
        <v>109</v>
      </c>
      <c r="M322">
        <v>2024</v>
      </c>
      <c r="N322" t="s">
        <v>44</v>
      </c>
      <c r="O322" t="s">
        <v>71</v>
      </c>
      <c r="P322">
        <v>1</v>
      </c>
      <c r="Q322">
        <v>2</v>
      </c>
      <c r="R322">
        <v>0</v>
      </c>
      <c r="S322" t="s">
        <v>99</v>
      </c>
      <c r="T322" t="s">
        <v>534</v>
      </c>
      <c r="U322">
        <v>1</v>
      </c>
    </row>
    <row r="323" spans="1:21" x14ac:dyDescent="0.3">
      <c r="A323" t="s">
        <v>503</v>
      </c>
      <c r="B323" t="s">
        <v>504</v>
      </c>
      <c r="C323" t="s">
        <v>97</v>
      </c>
      <c r="D323" t="s">
        <v>29</v>
      </c>
      <c r="E323" t="s">
        <v>108</v>
      </c>
      <c r="F323" s="6">
        <v>45504</v>
      </c>
      <c r="G323">
        <v>1.9</v>
      </c>
      <c r="H323">
        <v>0</v>
      </c>
      <c r="I323">
        <v>1</v>
      </c>
      <c r="J323">
        <v>1</v>
      </c>
      <c r="K323" t="s">
        <v>109</v>
      </c>
      <c r="L323" t="s">
        <v>109</v>
      </c>
      <c r="M323">
        <v>2024</v>
      </c>
      <c r="N323" t="s">
        <v>46</v>
      </c>
      <c r="O323" t="s">
        <v>78</v>
      </c>
      <c r="P323">
        <v>1</v>
      </c>
      <c r="Q323">
        <v>2</v>
      </c>
      <c r="R323">
        <v>0</v>
      </c>
      <c r="S323" t="s">
        <v>99</v>
      </c>
      <c r="T323" t="s">
        <v>535</v>
      </c>
      <c r="U323">
        <v>1</v>
      </c>
    </row>
    <row r="324" spans="1:21" x14ac:dyDescent="0.3">
      <c r="A324" t="s">
        <v>503</v>
      </c>
      <c r="B324" t="s">
        <v>504</v>
      </c>
      <c r="C324" t="s">
        <v>97</v>
      </c>
      <c r="D324" t="s">
        <v>29</v>
      </c>
      <c r="E324" t="s">
        <v>108</v>
      </c>
      <c r="F324" s="6">
        <v>45535</v>
      </c>
      <c r="G324">
        <v>1.9</v>
      </c>
      <c r="H324">
        <v>0</v>
      </c>
      <c r="I324">
        <v>1</v>
      </c>
      <c r="J324">
        <v>1</v>
      </c>
      <c r="K324" t="s">
        <v>109</v>
      </c>
      <c r="L324" t="s">
        <v>109</v>
      </c>
      <c r="M324">
        <v>2024</v>
      </c>
      <c r="N324" t="s">
        <v>49</v>
      </c>
      <c r="O324" t="s">
        <v>78</v>
      </c>
      <c r="P324">
        <v>1</v>
      </c>
      <c r="Q324">
        <v>2</v>
      </c>
      <c r="R324">
        <v>0</v>
      </c>
      <c r="S324" t="s">
        <v>99</v>
      </c>
      <c r="T324" t="s">
        <v>536</v>
      </c>
      <c r="U324">
        <v>1</v>
      </c>
    </row>
    <row r="325" spans="1:21" x14ac:dyDescent="0.3">
      <c r="A325" t="s">
        <v>503</v>
      </c>
      <c r="B325" t="s">
        <v>504</v>
      </c>
      <c r="C325" t="s">
        <v>97</v>
      </c>
      <c r="D325" t="s">
        <v>29</v>
      </c>
      <c r="E325" t="s">
        <v>108</v>
      </c>
      <c r="F325" s="6">
        <v>45565</v>
      </c>
      <c r="G325">
        <v>1.9</v>
      </c>
      <c r="H325">
        <v>0</v>
      </c>
      <c r="I325">
        <v>1</v>
      </c>
      <c r="J325">
        <v>1</v>
      </c>
      <c r="K325" t="s">
        <v>109</v>
      </c>
      <c r="L325" t="s">
        <v>109</v>
      </c>
      <c r="M325">
        <v>2024</v>
      </c>
      <c r="N325" t="s">
        <v>51</v>
      </c>
      <c r="O325" t="s">
        <v>78</v>
      </c>
      <c r="P325">
        <v>1</v>
      </c>
      <c r="Q325">
        <v>2</v>
      </c>
      <c r="R325">
        <v>0</v>
      </c>
      <c r="S325" t="s">
        <v>99</v>
      </c>
      <c r="T325" t="s">
        <v>537</v>
      </c>
      <c r="U325">
        <v>1</v>
      </c>
    </row>
    <row r="326" spans="1:21" x14ac:dyDescent="0.3">
      <c r="A326" t="s">
        <v>503</v>
      </c>
      <c r="B326" t="s">
        <v>504</v>
      </c>
      <c r="C326" t="s">
        <v>97</v>
      </c>
      <c r="D326" t="s">
        <v>29</v>
      </c>
      <c r="E326" t="s">
        <v>108</v>
      </c>
      <c r="F326" s="6">
        <v>45596</v>
      </c>
      <c r="G326">
        <v>1.9</v>
      </c>
      <c r="H326">
        <v>0</v>
      </c>
      <c r="I326">
        <v>1</v>
      </c>
      <c r="J326">
        <v>1</v>
      </c>
      <c r="K326" t="s">
        <v>109</v>
      </c>
      <c r="L326" t="s">
        <v>109</v>
      </c>
      <c r="M326">
        <v>2024</v>
      </c>
      <c r="N326" t="s">
        <v>53</v>
      </c>
      <c r="O326" t="s">
        <v>78</v>
      </c>
      <c r="P326">
        <v>1</v>
      </c>
      <c r="Q326">
        <v>2</v>
      </c>
      <c r="R326">
        <v>0</v>
      </c>
      <c r="S326" t="s">
        <v>99</v>
      </c>
      <c r="T326" t="s">
        <v>538</v>
      </c>
      <c r="U326">
        <v>1</v>
      </c>
    </row>
    <row r="327" spans="1:21" x14ac:dyDescent="0.3">
      <c r="A327" t="s">
        <v>503</v>
      </c>
      <c r="B327" t="s">
        <v>504</v>
      </c>
      <c r="C327" t="s">
        <v>97</v>
      </c>
      <c r="D327" t="s">
        <v>29</v>
      </c>
      <c r="E327" t="s">
        <v>108</v>
      </c>
      <c r="F327" s="6">
        <v>45626</v>
      </c>
      <c r="G327">
        <v>1.9</v>
      </c>
      <c r="H327">
        <v>0</v>
      </c>
      <c r="I327">
        <v>1</v>
      </c>
      <c r="J327">
        <v>1</v>
      </c>
      <c r="K327" t="s">
        <v>109</v>
      </c>
      <c r="L327" t="s">
        <v>109</v>
      </c>
      <c r="M327">
        <v>2024</v>
      </c>
      <c r="N327" t="s">
        <v>55</v>
      </c>
      <c r="O327" t="s">
        <v>78</v>
      </c>
      <c r="P327">
        <v>1</v>
      </c>
      <c r="Q327">
        <v>2</v>
      </c>
      <c r="R327">
        <v>0</v>
      </c>
      <c r="S327" t="s">
        <v>99</v>
      </c>
      <c r="T327" t="s">
        <v>539</v>
      </c>
      <c r="U327">
        <v>1</v>
      </c>
    </row>
    <row r="328" spans="1:21" x14ac:dyDescent="0.3">
      <c r="A328" t="s">
        <v>503</v>
      </c>
      <c r="B328" t="s">
        <v>504</v>
      </c>
      <c r="C328" t="s">
        <v>97</v>
      </c>
      <c r="D328" t="s">
        <v>29</v>
      </c>
      <c r="E328" t="s">
        <v>108</v>
      </c>
      <c r="F328" s="6">
        <v>45657</v>
      </c>
      <c r="G328">
        <v>1.9</v>
      </c>
      <c r="H328">
        <v>0.91</v>
      </c>
      <c r="I328">
        <v>1</v>
      </c>
      <c r="J328">
        <v>1</v>
      </c>
      <c r="K328" t="s">
        <v>109</v>
      </c>
      <c r="L328" t="s">
        <v>109</v>
      </c>
      <c r="M328">
        <v>2024</v>
      </c>
      <c r="N328" t="s">
        <v>57</v>
      </c>
      <c r="O328" t="s">
        <v>78</v>
      </c>
      <c r="P328">
        <v>1</v>
      </c>
      <c r="Q328">
        <v>2</v>
      </c>
      <c r="R328">
        <v>0</v>
      </c>
      <c r="S328" t="s">
        <v>99</v>
      </c>
      <c r="T328" t="s">
        <v>540</v>
      </c>
      <c r="U328">
        <v>1</v>
      </c>
    </row>
    <row r="329" spans="1:21" x14ac:dyDescent="0.3">
      <c r="A329" t="s">
        <v>503</v>
      </c>
      <c r="B329" t="s">
        <v>504</v>
      </c>
      <c r="C329" t="s">
        <v>97</v>
      </c>
      <c r="D329" t="s">
        <v>29</v>
      </c>
      <c r="E329" t="s">
        <v>108</v>
      </c>
      <c r="F329" s="6">
        <v>45688</v>
      </c>
      <c r="G329">
        <v>1.9</v>
      </c>
      <c r="H329" t="s">
        <v>541</v>
      </c>
      <c r="I329">
        <v>1.3</v>
      </c>
      <c r="J329">
        <v>6.9476666666666649</v>
      </c>
      <c r="K329" t="s">
        <v>542</v>
      </c>
      <c r="L329" t="s">
        <v>543</v>
      </c>
      <c r="M329">
        <v>2025</v>
      </c>
      <c r="N329" t="s">
        <v>32</v>
      </c>
      <c r="O329" t="s">
        <v>244</v>
      </c>
      <c r="P329">
        <v>2</v>
      </c>
      <c r="Q329">
        <v>2</v>
      </c>
      <c r="R329">
        <v>0</v>
      </c>
      <c r="S329" t="s">
        <v>104</v>
      </c>
      <c r="T329" t="s">
        <v>544</v>
      </c>
      <c r="U329">
        <v>31</v>
      </c>
    </row>
    <row r="330" spans="1:21" x14ac:dyDescent="0.3">
      <c r="A330" t="s">
        <v>503</v>
      </c>
      <c r="B330" t="s">
        <v>504</v>
      </c>
      <c r="C330" t="s">
        <v>97</v>
      </c>
      <c r="D330" t="s">
        <v>29</v>
      </c>
      <c r="E330" t="s">
        <v>108</v>
      </c>
      <c r="F330" s="6">
        <v>45716</v>
      </c>
      <c r="G330">
        <v>1.9</v>
      </c>
      <c r="H330" t="s">
        <v>121</v>
      </c>
      <c r="I330">
        <v>0</v>
      </c>
      <c r="J330">
        <v>0</v>
      </c>
      <c r="K330" t="s">
        <v>542</v>
      </c>
      <c r="L330" t="s">
        <v>122</v>
      </c>
      <c r="M330">
        <v>2025</v>
      </c>
      <c r="N330" t="s">
        <v>36</v>
      </c>
      <c r="O330" t="s">
        <v>244</v>
      </c>
      <c r="P330">
        <v>2</v>
      </c>
      <c r="Q330">
        <v>2</v>
      </c>
      <c r="R330">
        <v>0</v>
      </c>
      <c r="S330" t="s">
        <v>104</v>
      </c>
      <c r="T330" t="s">
        <v>545</v>
      </c>
      <c r="U330">
        <v>28</v>
      </c>
    </row>
    <row r="331" spans="1:21" x14ac:dyDescent="0.3">
      <c r="A331" t="s">
        <v>503</v>
      </c>
      <c r="B331" t="s">
        <v>504</v>
      </c>
      <c r="C331" t="s">
        <v>97</v>
      </c>
      <c r="D331" t="s">
        <v>29</v>
      </c>
      <c r="E331" t="s">
        <v>108</v>
      </c>
      <c r="F331" s="6">
        <v>45747</v>
      </c>
      <c r="G331">
        <v>1.9</v>
      </c>
      <c r="H331" t="s">
        <v>546</v>
      </c>
      <c r="I331">
        <v>1.3</v>
      </c>
      <c r="J331">
        <v>4.2222222222222223</v>
      </c>
      <c r="K331" t="s">
        <v>542</v>
      </c>
      <c r="L331" t="s">
        <v>547</v>
      </c>
      <c r="M331">
        <v>2025</v>
      </c>
      <c r="N331" t="s">
        <v>38</v>
      </c>
      <c r="O331" t="s">
        <v>244</v>
      </c>
      <c r="P331">
        <v>2</v>
      </c>
      <c r="Q331">
        <v>2</v>
      </c>
      <c r="R331">
        <v>0</v>
      </c>
      <c r="S331" t="s">
        <v>104</v>
      </c>
      <c r="T331" t="s">
        <v>548</v>
      </c>
      <c r="U331">
        <v>31</v>
      </c>
    </row>
    <row r="332" spans="1:21" x14ac:dyDescent="0.3">
      <c r="A332" t="s">
        <v>503</v>
      </c>
      <c r="B332" t="s">
        <v>504</v>
      </c>
      <c r="C332" t="s">
        <v>97</v>
      </c>
      <c r="D332" t="s">
        <v>29</v>
      </c>
      <c r="E332" t="s">
        <v>108</v>
      </c>
      <c r="F332" s="6">
        <v>45777</v>
      </c>
      <c r="G332">
        <v>1.9</v>
      </c>
      <c r="H332" t="s">
        <v>121</v>
      </c>
      <c r="I332">
        <v>0</v>
      </c>
      <c r="J332">
        <v>0</v>
      </c>
      <c r="K332" t="s">
        <v>542</v>
      </c>
      <c r="L332" t="s">
        <v>122</v>
      </c>
      <c r="M332">
        <v>2025</v>
      </c>
      <c r="N332" t="s">
        <v>40</v>
      </c>
      <c r="O332" t="s">
        <v>244</v>
      </c>
      <c r="P332">
        <v>2</v>
      </c>
      <c r="Q332">
        <v>2</v>
      </c>
      <c r="R332">
        <v>0</v>
      </c>
      <c r="S332" t="s">
        <v>104</v>
      </c>
      <c r="T332" t="s">
        <v>549</v>
      </c>
      <c r="U332">
        <v>30</v>
      </c>
    </row>
    <row r="333" spans="1:21" x14ac:dyDescent="0.3">
      <c r="A333" t="s">
        <v>503</v>
      </c>
      <c r="B333" t="s">
        <v>504</v>
      </c>
      <c r="C333" t="s">
        <v>97</v>
      </c>
      <c r="D333" t="s">
        <v>29</v>
      </c>
      <c r="E333" t="s">
        <v>108</v>
      </c>
      <c r="F333" s="6">
        <v>45808</v>
      </c>
      <c r="G333">
        <v>1.9</v>
      </c>
      <c r="H333" t="s">
        <v>550</v>
      </c>
      <c r="I333">
        <v>1.3</v>
      </c>
      <c r="J333">
        <v>7.916666666666667</v>
      </c>
      <c r="K333" t="s">
        <v>542</v>
      </c>
      <c r="L333" t="s">
        <v>551</v>
      </c>
      <c r="M333">
        <v>2025</v>
      </c>
      <c r="N333" t="s">
        <v>42</v>
      </c>
      <c r="O333" t="s">
        <v>244</v>
      </c>
      <c r="P333">
        <v>2</v>
      </c>
      <c r="Q333">
        <v>2</v>
      </c>
      <c r="R333">
        <v>0</v>
      </c>
      <c r="S333" t="s">
        <v>104</v>
      </c>
      <c r="T333" t="s">
        <v>552</v>
      </c>
      <c r="U333">
        <v>31</v>
      </c>
    </row>
    <row r="334" spans="1:21" x14ac:dyDescent="0.3">
      <c r="A334" t="s">
        <v>503</v>
      </c>
      <c r="B334" t="s">
        <v>504</v>
      </c>
      <c r="C334" t="s">
        <v>97</v>
      </c>
      <c r="D334" t="s">
        <v>29</v>
      </c>
      <c r="E334" t="s">
        <v>108</v>
      </c>
      <c r="F334" s="6">
        <v>45838</v>
      </c>
      <c r="G334">
        <v>1.9</v>
      </c>
      <c r="H334" t="s">
        <v>121</v>
      </c>
      <c r="I334">
        <v>0</v>
      </c>
      <c r="J334">
        <v>0</v>
      </c>
      <c r="K334" t="s">
        <v>542</v>
      </c>
      <c r="L334" t="s">
        <v>122</v>
      </c>
      <c r="M334">
        <v>2025</v>
      </c>
      <c r="N334" t="s">
        <v>44</v>
      </c>
      <c r="O334" t="s">
        <v>244</v>
      </c>
      <c r="P334">
        <v>2</v>
      </c>
      <c r="Q334">
        <v>2</v>
      </c>
      <c r="R334">
        <v>0</v>
      </c>
      <c r="S334" t="s">
        <v>104</v>
      </c>
      <c r="T334" t="s">
        <v>553</v>
      </c>
      <c r="U334">
        <v>30</v>
      </c>
    </row>
    <row r="335" spans="1:21" x14ac:dyDescent="0.3">
      <c r="A335" t="s">
        <v>503</v>
      </c>
      <c r="B335" t="s">
        <v>504</v>
      </c>
      <c r="C335" t="s">
        <v>97</v>
      </c>
      <c r="D335" t="s">
        <v>29</v>
      </c>
      <c r="E335" t="s">
        <v>108</v>
      </c>
      <c r="F335" s="6">
        <v>45869</v>
      </c>
      <c r="G335">
        <v>1.9</v>
      </c>
      <c r="H335" t="s">
        <v>554</v>
      </c>
      <c r="I335">
        <v>1.3</v>
      </c>
      <c r="J335">
        <v>7.6</v>
      </c>
      <c r="K335" t="s">
        <v>542</v>
      </c>
      <c r="L335" t="s">
        <v>555</v>
      </c>
      <c r="M335">
        <v>2025</v>
      </c>
      <c r="N335" t="s">
        <v>46</v>
      </c>
      <c r="O335" t="s">
        <v>103</v>
      </c>
      <c r="P335">
        <v>2</v>
      </c>
      <c r="Q335">
        <v>2</v>
      </c>
      <c r="R335">
        <v>0</v>
      </c>
      <c r="S335" t="s">
        <v>104</v>
      </c>
      <c r="T335" t="s">
        <v>556</v>
      </c>
      <c r="U335">
        <v>31</v>
      </c>
    </row>
    <row r="336" spans="1:21" x14ac:dyDescent="0.3">
      <c r="A336" t="s">
        <v>503</v>
      </c>
      <c r="B336" t="s">
        <v>504</v>
      </c>
      <c r="C336" t="s">
        <v>97</v>
      </c>
      <c r="D336" t="s">
        <v>29</v>
      </c>
      <c r="E336" t="s">
        <v>108</v>
      </c>
      <c r="F336" s="6">
        <v>45900</v>
      </c>
      <c r="G336">
        <v>1.9</v>
      </c>
      <c r="H336" t="s">
        <v>121</v>
      </c>
      <c r="I336">
        <v>0</v>
      </c>
      <c r="J336">
        <v>0</v>
      </c>
      <c r="K336" t="s">
        <v>542</v>
      </c>
      <c r="L336" t="s">
        <v>122</v>
      </c>
      <c r="M336">
        <v>2025</v>
      </c>
      <c r="N336" t="s">
        <v>49</v>
      </c>
      <c r="O336" t="s">
        <v>103</v>
      </c>
      <c r="P336">
        <v>2</v>
      </c>
      <c r="Q336">
        <v>2</v>
      </c>
      <c r="R336">
        <v>0</v>
      </c>
      <c r="S336" t="s">
        <v>104</v>
      </c>
      <c r="T336" t="s">
        <v>557</v>
      </c>
      <c r="U336">
        <v>31</v>
      </c>
    </row>
    <row r="337" spans="1:21" x14ac:dyDescent="0.3">
      <c r="A337" t="s">
        <v>503</v>
      </c>
      <c r="B337" t="s">
        <v>504</v>
      </c>
      <c r="C337" t="s">
        <v>97</v>
      </c>
      <c r="D337" t="s">
        <v>29</v>
      </c>
      <c r="E337" t="s">
        <v>108</v>
      </c>
      <c r="F337" s="6">
        <v>45961</v>
      </c>
      <c r="G337">
        <v>1.9</v>
      </c>
      <c r="H337" t="s">
        <v>121</v>
      </c>
      <c r="I337">
        <v>0</v>
      </c>
      <c r="J337">
        <v>0</v>
      </c>
      <c r="K337" t="s">
        <v>542</v>
      </c>
      <c r="L337" t="s">
        <v>122</v>
      </c>
      <c r="M337">
        <v>2025</v>
      </c>
      <c r="N337" t="s">
        <v>53</v>
      </c>
      <c r="O337" t="s">
        <v>103</v>
      </c>
      <c r="P337">
        <v>2</v>
      </c>
      <c r="Q337">
        <v>2</v>
      </c>
      <c r="R337">
        <v>0</v>
      </c>
      <c r="S337" t="s">
        <v>104</v>
      </c>
      <c r="T337" t="s">
        <v>558</v>
      </c>
      <c r="U337">
        <v>31</v>
      </c>
    </row>
    <row r="338" spans="1:21" x14ac:dyDescent="0.3">
      <c r="A338" t="s">
        <v>503</v>
      </c>
      <c r="B338" t="s">
        <v>504</v>
      </c>
      <c r="C338" t="s">
        <v>97</v>
      </c>
      <c r="D338" t="s">
        <v>29</v>
      </c>
      <c r="E338" t="s">
        <v>108</v>
      </c>
      <c r="F338" s="6">
        <v>45991</v>
      </c>
      <c r="G338">
        <v>1.9</v>
      </c>
      <c r="H338" t="s">
        <v>121</v>
      </c>
      <c r="I338">
        <v>0</v>
      </c>
      <c r="J338">
        <v>0</v>
      </c>
      <c r="K338" t="s">
        <v>542</v>
      </c>
      <c r="L338" t="s">
        <v>122</v>
      </c>
      <c r="M338">
        <v>2025</v>
      </c>
      <c r="N338" t="s">
        <v>55</v>
      </c>
      <c r="O338" t="s">
        <v>103</v>
      </c>
      <c r="P338">
        <v>2</v>
      </c>
      <c r="Q338">
        <v>2</v>
      </c>
      <c r="R338">
        <v>0</v>
      </c>
      <c r="S338" t="s">
        <v>104</v>
      </c>
      <c r="T338" t="s">
        <v>559</v>
      </c>
      <c r="U338">
        <v>30</v>
      </c>
    </row>
    <row r="339" spans="1:21" x14ac:dyDescent="0.3">
      <c r="A339" t="s">
        <v>503</v>
      </c>
      <c r="B339" t="s">
        <v>504</v>
      </c>
      <c r="C339" t="s">
        <v>97</v>
      </c>
      <c r="D339" t="s">
        <v>29</v>
      </c>
      <c r="E339" t="s">
        <v>108</v>
      </c>
      <c r="F339" s="6">
        <v>46022</v>
      </c>
      <c r="G339">
        <v>1.9</v>
      </c>
      <c r="H339" t="s">
        <v>121</v>
      </c>
      <c r="I339">
        <v>0</v>
      </c>
      <c r="J339">
        <v>0</v>
      </c>
      <c r="K339" t="s">
        <v>542</v>
      </c>
      <c r="L339" t="s">
        <v>122</v>
      </c>
      <c r="M339">
        <v>2025</v>
      </c>
      <c r="N339" t="s">
        <v>57</v>
      </c>
      <c r="O339" t="s">
        <v>103</v>
      </c>
      <c r="P339">
        <v>2</v>
      </c>
      <c r="Q339">
        <v>2</v>
      </c>
      <c r="R339">
        <v>0</v>
      </c>
      <c r="S339" t="s">
        <v>104</v>
      </c>
      <c r="T339" t="s">
        <v>560</v>
      </c>
      <c r="U339">
        <v>31</v>
      </c>
    </row>
    <row r="340" spans="1:21" x14ac:dyDescent="0.3">
      <c r="A340" t="s">
        <v>503</v>
      </c>
      <c r="B340" t="s">
        <v>504</v>
      </c>
      <c r="C340" t="s">
        <v>97</v>
      </c>
      <c r="D340" t="s">
        <v>29</v>
      </c>
      <c r="E340" t="s">
        <v>108</v>
      </c>
      <c r="F340" s="6">
        <v>46053</v>
      </c>
      <c r="G340">
        <v>4.7</v>
      </c>
      <c r="H340" t="s">
        <v>121</v>
      </c>
      <c r="I340">
        <v>0</v>
      </c>
      <c r="J340">
        <v>0</v>
      </c>
      <c r="K340" t="s">
        <v>561</v>
      </c>
      <c r="L340" t="s">
        <v>122</v>
      </c>
      <c r="M340">
        <v>2026</v>
      </c>
      <c r="N340" t="s">
        <v>32</v>
      </c>
      <c r="O340" t="s">
        <v>408</v>
      </c>
      <c r="P340">
        <v>2</v>
      </c>
      <c r="Q340">
        <v>2</v>
      </c>
      <c r="R340">
        <v>0</v>
      </c>
      <c r="S340" t="s">
        <v>104</v>
      </c>
      <c r="T340" t="s">
        <v>562</v>
      </c>
      <c r="U340">
        <v>31</v>
      </c>
    </row>
    <row r="341" spans="1:21" x14ac:dyDescent="0.3">
      <c r="A341" t="s">
        <v>563</v>
      </c>
      <c r="B341" t="s">
        <v>564</v>
      </c>
      <c r="C341" t="s">
        <v>97</v>
      </c>
      <c r="D341" t="s">
        <v>98</v>
      </c>
      <c r="E341" t="s">
        <v>108</v>
      </c>
      <c r="F341" s="6">
        <v>44926</v>
      </c>
      <c r="G341">
        <v>2</v>
      </c>
      <c r="H341">
        <v>0.12</v>
      </c>
      <c r="I341">
        <v>1</v>
      </c>
      <c r="J341">
        <v>1</v>
      </c>
      <c r="K341" t="s">
        <v>109</v>
      </c>
      <c r="L341" t="s">
        <v>109</v>
      </c>
      <c r="M341">
        <v>2022</v>
      </c>
      <c r="N341" t="s">
        <v>57</v>
      </c>
      <c r="O341" t="s">
        <v>90</v>
      </c>
      <c r="P341">
        <v>0</v>
      </c>
      <c r="Q341">
        <v>2</v>
      </c>
      <c r="R341">
        <v>0</v>
      </c>
      <c r="S341" t="s">
        <v>99</v>
      </c>
      <c r="T341" t="s">
        <v>565</v>
      </c>
      <c r="U341">
        <v>1</v>
      </c>
    </row>
    <row r="342" spans="1:21" x14ac:dyDescent="0.3">
      <c r="A342" t="s">
        <v>563</v>
      </c>
      <c r="B342" t="s">
        <v>564</v>
      </c>
      <c r="C342" t="s">
        <v>97</v>
      </c>
      <c r="D342" t="s">
        <v>98</v>
      </c>
      <c r="E342" t="s">
        <v>108</v>
      </c>
      <c r="F342" s="6">
        <v>45291</v>
      </c>
      <c r="G342">
        <v>2</v>
      </c>
      <c r="H342">
        <v>0.12</v>
      </c>
      <c r="I342">
        <v>1</v>
      </c>
      <c r="J342">
        <v>1</v>
      </c>
      <c r="K342" t="s">
        <v>109</v>
      </c>
      <c r="L342" t="s">
        <v>109</v>
      </c>
      <c r="M342">
        <v>2023</v>
      </c>
      <c r="N342" t="s">
        <v>57</v>
      </c>
      <c r="O342" t="s">
        <v>47</v>
      </c>
      <c r="P342">
        <v>0</v>
      </c>
      <c r="Q342">
        <v>2</v>
      </c>
      <c r="R342">
        <v>0</v>
      </c>
      <c r="S342" t="s">
        <v>99</v>
      </c>
      <c r="T342" t="s">
        <v>566</v>
      </c>
      <c r="U342">
        <v>1</v>
      </c>
    </row>
    <row r="343" spans="1:21" x14ac:dyDescent="0.3">
      <c r="A343" t="s">
        <v>563</v>
      </c>
      <c r="B343" t="s">
        <v>564</v>
      </c>
      <c r="C343" t="s">
        <v>97</v>
      </c>
      <c r="D343" t="s">
        <v>98</v>
      </c>
      <c r="E343" t="s">
        <v>108</v>
      </c>
      <c r="F343" s="6">
        <v>45657</v>
      </c>
      <c r="G343">
        <v>2</v>
      </c>
      <c r="H343">
        <v>0.1</v>
      </c>
      <c r="I343">
        <v>1</v>
      </c>
      <c r="J343">
        <v>1</v>
      </c>
      <c r="K343" t="s">
        <v>109</v>
      </c>
      <c r="L343" t="s">
        <v>109</v>
      </c>
      <c r="M343">
        <v>2024</v>
      </c>
      <c r="N343" t="s">
        <v>57</v>
      </c>
      <c r="O343" t="s">
        <v>78</v>
      </c>
      <c r="P343">
        <v>0</v>
      </c>
      <c r="Q343">
        <v>1</v>
      </c>
      <c r="R343">
        <v>0</v>
      </c>
      <c r="S343" t="s">
        <v>99</v>
      </c>
      <c r="T343" t="s">
        <v>567</v>
      </c>
      <c r="U343">
        <v>1</v>
      </c>
    </row>
    <row r="344" spans="1:21" x14ac:dyDescent="0.3">
      <c r="A344" t="s">
        <v>563</v>
      </c>
      <c r="B344" t="s">
        <v>564</v>
      </c>
      <c r="C344" t="s">
        <v>97</v>
      </c>
      <c r="D344" t="s">
        <v>98</v>
      </c>
      <c r="E344" t="s">
        <v>108</v>
      </c>
      <c r="F344" s="6">
        <v>46022</v>
      </c>
      <c r="G344">
        <v>2</v>
      </c>
      <c r="H344" t="s">
        <v>568</v>
      </c>
      <c r="I344">
        <v>1.3</v>
      </c>
      <c r="J344">
        <v>12.5</v>
      </c>
      <c r="K344" t="s">
        <v>569</v>
      </c>
      <c r="L344" t="s">
        <v>570</v>
      </c>
      <c r="M344">
        <v>2025</v>
      </c>
      <c r="N344" t="s">
        <v>57</v>
      </c>
      <c r="O344" t="s">
        <v>103</v>
      </c>
      <c r="P344">
        <v>2</v>
      </c>
      <c r="Q344">
        <v>2</v>
      </c>
      <c r="R344">
        <v>0</v>
      </c>
      <c r="S344" t="s">
        <v>104</v>
      </c>
      <c r="T344" t="s">
        <v>571</v>
      </c>
      <c r="U344">
        <v>31</v>
      </c>
    </row>
    <row r="345" spans="1:21" x14ac:dyDescent="0.3">
      <c r="A345" t="s">
        <v>572</v>
      </c>
      <c r="B345" t="s">
        <v>573</v>
      </c>
      <c r="C345" t="s">
        <v>97</v>
      </c>
      <c r="D345" t="s">
        <v>98</v>
      </c>
      <c r="E345" t="s">
        <v>108</v>
      </c>
      <c r="F345" s="6">
        <v>44926</v>
      </c>
      <c r="G345">
        <v>0</v>
      </c>
      <c r="H345">
        <v>0</v>
      </c>
      <c r="I345">
        <v>1</v>
      </c>
      <c r="J345">
        <v>1</v>
      </c>
      <c r="M345">
        <v>2022</v>
      </c>
      <c r="N345" t="s">
        <v>57</v>
      </c>
      <c r="O345" t="s">
        <v>90</v>
      </c>
      <c r="P345">
        <v>0</v>
      </c>
      <c r="Q345">
        <v>0</v>
      </c>
      <c r="R345">
        <v>0</v>
      </c>
      <c r="S345" t="s">
        <v>99</v>
      </c>
      <c r="T345" t="s">
        <v>574</v>
      </c>
      <c r="U345">
        <v>1</v>
      </c>
    </row>
    <row r="346" spans="1:21" x14ac:dyDescent="0.3">
      <c r="A346" t="s">
        <v>572</v>
      </c>
      <c r="B346" t="s">
        <v>573</v>
      </c>
      <c r="C346" t="s">
        <v>97</v>
      </c>
      <c r="D346" t="s">
        <v>98</v>
      </c>
      <c r="E346" t="s">
        <v>108</v>
      </c>
      <c r="F346" s="6">
        <v>45291</v>
      </c>
      <c r="G346">
        <v>0</v>
      </c>
      <c r="H346">
        <v>0</v>
      </c>
      <c r="I346">
        <v>1</v>
      </c>
      <c r="J346">
        <v>1</v>
      </c>
      <c r="M346">
        <v>2023</v>
      </c>
      <c r="N346" t="s">
        <v>57</v>
      </c>
      <c r="O346" t="s">
        <v>47</v>
      </c>
      <c r="P346">
        <v>0</v>
      </c>
      <c r="Q346">
        <v>0</v>
      </c>
      <c r="R346">
        <v>0</v>
      </c>
      <c r="S346" t="s">
        <v>99</v>
      </c>
      <c r="T346" t="s">
        <v>575</v>
      </c>
      <c r="U346">
        <v>1</v>
      </c>
    </row>
    <row r="347" spans="1:21" x14ac:dyDescent="0.3">
      <c r="A347" t="s">
        <v>572</v>
      </c>
      <c r="B347" t="s">
        <v>573</v>
      </c>
      <c r="C347" t="s">
        <v>97</v>
      </c>
      <c r="D347" t="s">
        <v>98</v>
      </c>
      <c r="E347" t="s">
        <v>108</v>
      </c>
      <c r="F347" s="6">
        <v>45657</v>
      </c>
      <c r="G347">
        <v>0</v>
      </c>
      <c r="H347">
        <v>0</v>
      </c>
      <c r="I347">
        <v>1</v>
      </c>
      <c r="J347">
        <v>1</v>
      </c>
      <c r="M347">
        <v>2024</v>
      </c>
      <c r="N347" t="s">
        <v>57</v>
      </c>
      <c r="O347" t="s">
        <v>78</v>
      </c>
      <c r="P347">
        <v>0</v>
      </c>
      <c r="Q347">
        <v>0</v>
      </c>
      <c r="R347">
        <v>0</v>
      </c>
      <c r="S347" t="s">
        <v>99</v>
      </c>
      <c r="T347" t="s">
        <v>576</v>
      </c>
      <c r="U347">
        <v>1</v>
      </c>
    </row>
    <row r="348" spans="1:21" x14ac:dyDescent="0.3">
      <c r="A348" t="s">
        <v>572</v>
      </c>
      <c r="B348" t="s">
        <v>573</v>
      </c>
      <c r="C348" t="s">
        <v>97</v>
      </c>
      <c r="D348" t="s">
        <v>98</v>
      </c>
      <c r="E348" t="s">
        <v>108</v>
      </c>
      <c r="F348" s="6">
        <v>46022</v>
      </c>
      <c r="G348">
        <v>0</v>
      </c>
      <c r="H348" t="s">
        <v>121</v>
      </c>
      <c r="I348">
        <v>0</v>
      </c>
      <c r="J348">
        <v>0</v>
      </c>
      <c r="K348" t="s">
        <v>122</v>
      </c>
      <c r="L348" t="s">
        <v>122</v>
      </c>
      <c r="M348">
        <v>2025</v>
      </c>
      <c r="N348" t="s">
        <v>57</v>
      </c>
      <c r="O348" t="s">
        <v>103</v>
      </c>
      <c r="P348">
        <v>2</v>
      </c>
      <c r="Q348">
        <v>2</v>
      </c>
      <c r="R348">
        <v>0</v>
      </c>
      <c r="S348" t="s">
        <v>104</v>
      </c>
      <c r="T348" t="s">
        <v>577</v>
      </c>
      <c r="U348">
        <v>31</v>
      </c>
    </row>
    <row r="349" spans="1:21" x14ac:dyDescent="0.3">
      <c r="A349" t="s">
        <v>578</v>
      </c>
      <c r="B349" t="s">
        <v>579</v>
      </c>
      <c r="C349" t="s">
        <v>97</v>
      </c>
      <c r="D349" t="s">
        <v>29</v>
      </c>
      <c r="E349" t="s">
        <v>108</v>
      </c>
      <c r="F349" s="6">
        <v>44592</v>
      </c>
      <c r="G349">
        <v>1</v>
      </c>
      <c r="H349">
        <v>0.56000000000000005</v>
      </c>
      <c r="I349">
        <v>1</v>
      </c>
      <c r="J349">
        <v>1</v>
      </c>
      <c r="K349" t="s">
        <v>109</v>
      </c>
      <c r="L349" t="s">
        <v>109</v>
      </c>
      <c r="M349">
        <v>2022</v>
      </c>
      <c r="N349" t="s">
        <v>32</v>
      </c>
      <c r="O349" t="s">
        <v>88</v>
      </c>
      <c r="P349">
        <v>0</v>
      </c>
      <c r="Q349">
        <v>2</v>
      </c>
      <c r="R349">
        <v>0</v>
      </c>
      <c r="S349" t="s">
        <v>99</v>
      </c>
      <c r="T349" t="s">
        <v>580</v>
      </c>
      <c r="U349">
        <v>1</v>
      </c>
    </row>
    <row r="350" spans="1:21" x14ac:dyDescent="0.3">
      <c r="A350" t="s">
        <v>578</v>
      </c>
      <c r="B350" t="s">
        <v>579</v>
      </c>
      <c r="C350" t="s">
        <v>97</v>
      </c>
      <c r="D350" t="s">
        <v>29</v>
      </c>
      <c r="E350" t="s">
        <v>108</v>
      </c>
      <c r="F350" s="6">
        <v>44620</v>
      </c>
      <c r="G350">
        <v>1</v>
      </c>
      <c r="H350">
        <v>0.94</v>
      </c>
      <c r="I350">
        <v>1</v>
      </c>
      <c r="J350">
        <v>1</v>
      </c>
      <c r="K350" t="s">
        <v>109</v>
      </c>
      <c r="L350" t="s">
        <v>109</v>
      </c>
      <c r="M350">
        <v>2022</v>
      </c>
      <c r="N350" t="s">
        <v>36</v>
      </c>
      <c r="O350" t="s">
        <v>88</v>
      </c>
      <c r="P350">
        <v>0</v>
      </c>
      <c r="Q350">
        <v>2</v>
      </c>
      <c r="R350">
        <v>0</v>
      </c>
      <c r="S350" t="s">
        <v>99</v>
      </c>
      <c r="T350" t="s">
        <v>581</v>
      </c>
      <c r="U350">
        <v>1</v>
      </c>
    </row>
    <row r="351" spans="1:21" x14ac:dyDescent="0.3">
      <c r="A351" t="s">
        <v>578</v>
      </c>
      <c r="B351" t="s">
        <v>579</v>
      </c>
      <c r="C351" t="s">
        <v>97</v>
      </c>
      <c r="D351" t="s">
        <v>29</v>
      </c>
      <c r="E351" t="s">
        <v>108</v>
      </c>
      <c r="F351" s="6">
        <v>44651</v>
      </c>
      <c r="G351">
        <v>1</v>
      </c>
      <c r="H351">
        <v>0.67</v>
      </c>
      <c r="I351">
        <v>1</v>
      </c>
      <c r="J351">
        <v>1</v>
      </c>
      <c r="K351" t="s">
        <v>109</v>
      </c>
      <c r="L351" t="s">
        <v>109</v>
      </c>
      <c r="M351">
        <v>2022</v>
      </c>
      <c r="N351" t="s">
        <v>38</v>
      </c>
      <c r="O351" t="s">
        <v>88</v>
      </c>
      <c r="P351">
        <v>0</v>
      </c>
      <c r="Q351">
        <v>2</v>
      </c>
      <c r="R351">
        <v>0</v>
      </c>
      <c r="S351" t="s">
        <v>99</v>
      </c>
      <c r="T351" t="s">
        <v>582</v>
      </c>
      <c r="U351">
        <v>1</v>
      </c>
    </row>
    <row r="352" spans="1:21" x14ac:dyDescent="0.3">
      <c r="A352" t="s">
        <v>578</v>
      </c>
      <c r="B352" t="s">
        <v>579</v>
      </c>
      <c r="C352" t="s">
        <v>97</v>
      </c>
      <c r="D352" t="s">
        <v>29</v>
      </c>
      <c r="E352" t="s">
        <v>108</v>
      </c>
      <c r="F352" s="6">
        <v>44681</v>
      </c>
      <c r="G352">
        <v>1</v>
      </c>
      <c r="H352">
        <v>0.78</v>
      </c>
      <c r="I352">
        <v>1</v>
      </c>
      <c r="J352">
        <v>1</v>
      </c>
      <c r="K352" t="s">
        <v>109</v>
      </c>
      <c r="L352" t="s">
        <v>109</v>
      </c>
      <c r="M352">
        <v>2022</v>
      </c>
      <c r="N352" t="s">
        <v>40</v>
      </c>
      <c r="O352" t="s">
        <v>88</v>
      </c>
      <c r="P352">
        <v>0</v>
      </c>
      <c r="Q352">
        <v>2</v>
      </c>
      <c r="R352">
        <v>0</v>
      </c>
      <c r="S352" t="s">
        <v>99</v>
      </c>
      <c r="T352" t="s">
        <v>583</v>
      </c>
      <c r="U352">
        <v>1</v>
      </c>
    </row>
    <row r="353" spans="1:21" x14ac:dyDescent="0.3">
      <c r="A353" t="s">
        <v>578</v>
      </c>
      <c r="B353" t="s">
        <v>579</v>
      </c>
      <c r="C353" t="s">
        <v>97</v>
      </c>
      <c r="D353" t="s">
        <v>29</v>
      </c>
      <c r="E353" t="s">
        <v>108</v>
      </c>
      <c r="F353" s="6">
        <v>44712</v>
      </c>
      <c r="G353">
        <v>1</v>
      </c>
      <c r="H353">
        <v>0.54</v>
      </c>
      <c r="I353">
        <v>1</v>
      </c>
      <c r="J353">
        <v>1</v>
      </c>
      <c r="K353" t="s">
        <v>109</v>
      </c>
      <c r="L353" t="s">
        <v>109</v>
      </c>
      <c r="M353">
        <v>2022</v>
      </c>
      <c r="N353" t="s">
        <v>42</v>
      </c>
      <c r="O353" t="s">
        <v>88</v>
      </c>
      <c r="P353">
        <v>0</v>
      </c>
      <c r="Q353">
        <v>2</v>
      </c>
      <c r="R353">
        <v>0</v>
      </c>
      <c r="S353" t="s">
        <v>99</v>
      </c>
      <c r="T353" t="s">
        <v>584</v>
      </c>
      <c r="U353">
        <v>1</v>
      </c>
    </row>
    <row r="354" spans="1:21" x14ac:dyDescent="0.3">
      <c r="A354" t="s">
        <v>578</v>
      </c>
      <c r="B354" t="s">
        <v>579</v>
      </c>
      <c r="C354" t="s">
        <v>97</v>
      </c>
      <c r="D354" t="s">
        <v>29</v>
      </c>
      <c r="E354" t="s">
        <v>108</v>
      </c>
      <c r="F354" s="6">
        <v>44742</v>
      </c>
      <c r="G354">
        <v>1</v>
      </c>
      <c r="H354">
        <v>0.81</v>
      </c>
      <c r="I354">
        <v>1</v>
      </c>
      <c r="J354">
        <v>1</v>
      </c>
      <c r="K354" t="s">
        <v>109</v>
      </c>
      <c r="L354" t="s">
        <v>109</v>
      </c>
      <c r="M354">
        <v>2022</v>
      </c>
      <c r="N354" t="s">
        <v>44</v>
      </c>
      <c r="O354" t="s">
        <v>88</v>
      </c>
      <c r="P354">
        <v>0</v>
      </c>
      <c r="Q354">
        <v>2</v>
      </c>
      <c r="R354">
        <v>0</v>
      </c>
      <c r="S354" t="s">
        <v>99</v>
      </c>
      <c r="T354" t="s">
        <v>585</v>
      </c>
      <c r="U354">
        <v>1</v>
      </c>
    </row>
    <row r="355" spans="1:21" x14ac:dyDescent="0.3">
      <c r="A355" t="s">
        <v>578</v>
      </c>
      <c r="B355" t="s">
        <v>579</v>
      </c>
      <c r="C355" t="s">
        <v>97</v>
      </c>
      <c r="D355" t="s">
        <v>29</v>
      </c>
      <c r="E355" t="s">
        <v>108</v>
      </c>
      <c r="F355" s="6">
        <v>44773</v>
      </c>
      <c r="G355">
        <v>1</v>
      </c>
      <c r="H355">
        <v>1.2</v>
      </c>
      <c r="I355">
        <v>0.83333333333333337</v>
      </c>
      <c r="J355">
        <v>0.83333333333333337</v>
      </c>
      <c r="K355" t="s">
        <v>109</v>
      </c>
      <c r="L355" t="s">
        <v>109</v>
      </c>
      <c r="M355">
        <v>2022</v>
      </c>
      <c r="N355" t="s">
        <v>46</v>
      </c>
      <c r="O355" t="s">
        <v>90</v>
      </c>
      <c r="P355">
        <v>0</v>
      </c>
      <c r="Q355">
        <v>2</v>
      </c>
      <c r="R355">
        <v>0</v>
      </c>
      <c r="S355" t="s">
        <v>99</v>
      </c>
      <c r="T355" t="s">
        <v>586</v>
      </c>
      <c r="U355">
        <v>1</v>
      </c>
    </row>
    <row r="356" spans="1:21" x14ac:dyDescent="0.3">
      <c r="A356" t="s">
        <v>578</v>
      </c>
      <c r="B356" t="s">
        <v>579</v>
      </c>
      <c r="C356" t="s">
        <v>97</v>
      </c>
      <c r="D356" t="s">
        <v>29</v>
      </c>
      <c r="E356" t="s">
        <v>108</v>
      </c>
      <c r="F356" s="6">
        <v>44804</v>
      </c>
      <c r="G356">
        <v>1</v>
      </c>
      <c r="H356">
        <v>0.85</v>
      </c>
      <c r="I356">
        <v>1</v>
      </c>
      <c r="J356">
        <v>1</v>
      </c>
      <c r="K356" t="s">
        <v>109</v>
      </c>
      <c r="L356" t="s">
        <v>109</v>
      </c>
      <c r="M356">
        <v>2022</v>
      </c>
      <c r="N356" t="s">
        <v>49</v>
      </c>
      <c r="O356" t="s">
        <v>90</v>
      </c>
      <c r="P356">
        <v>0</v>
      </c>
      <c r="Q356">
        <v>2</v>
      </c>
      <c r="R356">
        <v>0</v>
      </c>
      <c r="S356" t="s">
        <v>99</v>
      </c>
      <c r="T356" t="s">
        <v>587</v>
      </c>
      <c r="U356">
        <v>1</v>
      </c>
    </row>
    <row r="357" spans="1:21" x14ac:dyDescent="0.3">
      <c r="A357" t="s">
        <v>578</v>
      </c>
      <c r="B357" t="s">
        <v>579</v>
      </c>
      <c r="C357" t="s">
        <v>97</v>
      </c>
      <c r="D357" t="s">
        <v>29</v>
      </c>
      <c r="E357" t="s">
        <v>108</v>
      </c>
      <c r="F357" s="6">
        <v>44834</v>
      </c>
      <c r="G357">
        <v>1</v>
      </c>
      <c r="H357">
        <v>0.6</v>
      </c>
      <c r="I357">
        <v>1</v>
      </c>
      <c r="J357">
        <v>1</v>
      </c>
      <c r="K357" t="s">
        <v>109</v>
      </c>
      <c r="L357" t="s">
        <v>109</v>
      </c>
      <c r="M357">
        <v>2022</v>
      </c>
      <c r="N357" t="s">
        <v>51</v>
      </c>
      <c r="O357" t="s">
        <v>90</v>
      </c>
      <c r="P357">
        <v>0</v>
      </c>
      <c r="Q357">
        <v>2</v>
      </c>
      <c r="R357">
        <v>0</v>
      </c>
      <c r="S357" t="s">
        <v>99</v>
      </c>
      <c r="T357" t="s">
        <v>588</v>
      </c>
      <c r="U357">
        <v>1</v>
      </c>
    </row>
    <row r="358" spans="1:21" x14ac:dyDescent="0.3">
      <c r="A358" t="s">
        <v>578</v>
      </c>
      <c r="B358" t="s">
        <v>579</v>
      </c>
      <c r="C358" t="s">
        <v>97</v>
      </c>
      <c r="D358" t="s">
        <v>29</v>
      </c>
      <c r="E358" t="s">
        <v>108</v>
      </c>
      <c r="F358" s="6">
        <v>44865</v>
      </c>
      <c r="G358">
        <v>1</v>
      </c>
      <c r="H358">
        <v>0.75</v>
      </c>
      <c r="I358">
        <v>1</v>
      </c>
      <c r="J358">
        <v>1</v>
      </c>
      <c r="K358" t="s">
        <v>109</v>
      </c>
      <c r="L358" t="s">
        <v>109</v>
      </c>
      <c r="M358">
        <v>2022</v>
      </c>
      <c r="N358" t="s">
        <v>53</v>
      </c>
      <c r="O358" t="s">
        <v>90</v>
      </c>
      <c r="P358">
        <v>0</v>
      </c>
      <c r="Q358">
        <v>1</v>
      </c>
      <c r="R358">
        <v>0</v>
      </c>
      <c r="S358" t="s">
        <v>99</v>
      </c>
      <c r="T358" t="s">
        <v>589</v>
      </c>
      <c r="U358">
        <v>1</v>
      </c>
    </row>
    <row r="359" spans="1:21" x14ac:dyDescent="0.3">
      <c r="A359" t="s">
        <v>578</v>
      </c>
      <c r="B359" t="s">
        <v>579</v>
      </c>
      <c r="C359" t="s">
        <v>97</v>
      </c>
      <c r="D359" t="s">
        <v>29</v>
      </c>
      <c r="E359" t="s">
        <v>108</v>
      </c>
      <c r="F359" s="6">
        <v>44895</v>
      </c>
      <c r="G359">
        <v>1</v>
      </c>
      <c r="H359">
        <v>0.92</v>
      </c>
      <c r="I359">
        <v>1</v>
      </c>
      <c r="J359">
        <v>1</v>
      </c>
      <c r="K359" t="s">
        <v>109</v>
      </c>
      <c r="L359" t="s">
        <v>109</v>
      </c>
      <c r="M359">
        <v>2022</v>
      </c>
      <c r="N359" t="s">
        <v>55</v>
      </c>
      <c r="O359" t="s">
        <v>90</v>
      </c>
      <c r="P359">
        <v>0</v>
      </c>
      <c r="Q359">
        <v>2</v>
      </c>
      <c r="R359">
        <v>0</v>
      </c>
      <c r="S359" t="s">
        <v>99</v>
      </c>
      <c r="T359" t="s">
        <v>590</v>
      </c>
      <c r="U359">
        <v>1</v>
      </c>
    </row>
    <row r="360" spans="1:21" x14ac:dyDescent="0.3">
      <c r="A360" t="s">
        <v>578</v>
      </c>
      <c r="B360" t="s">
        <v>579</v>
      </c>
      <c r="C360" t="s">
        <v>97</v>
      </c>
      <c r="D360" t="s">
        <v>29</v>
      </c>
      <c r="E360" t="s">
        <v>108</v>
      </c>
      <c r="F360" s="6">
        <v>44926</v>
      </c>
      <c r="G360">
        <v>1</v>
      </c>
      <c r="H360">
        <v>0.8</v>
      </c>
      <c r="I360">
        <v>1</v>
      </c>
      <c r="J360">
        <v>1</v>
      </c>
      <c r="K360" t="s">
        <v>109</v>
      </c>
      <c r="L360" t="s">
        <v>109</v>
      </c>
      <c r="M360">
        <v>2022</v>
      </c>
      <c r="N360" t="s">
        <v>57</v>
      </c>
      <c r="O360" t="s">
        <v>90</v>
      </c>
      <c r="P360">
        <v>0</v>
      </c>
      <c r="Q360">
        <v>2</v>
      </c>
      <c r="R360">
        <v>0</v>
      </c>
      <c r="S360" t="s">
        <v>99</v>
      </c>
      <c r="T360" t="s">
        <v>591</v>
      </c>
      <c r="U360">
        <v>1</v>
      </c>
    </row>
    <row r="361" spans="1:21" x14ac:dyDescent="0.3">
      <c r="A361" t="s">
        <v>578</v>
      </c>
      <c r="B361" t="s">
        <v>579</v>
      </c>
      <c r="C361" t="s">
        <v>97</v>
      </c>
      <c r="D361" t="s">
        <v>29</v>
      </c>
      <c r="E361" t="s">
        <v>108</v>
      </c>
      <c r="F361" s="6">
        <v>44957</v>
      </c>
      <c r="G361">
        <v>1</v>
      </c>
      <c r="H361">
        <v>1.0900000000000001</v>
      </c>
      <c r="I361">
        <v>0.9174311926605504</v>
      </c>
      <c r="J361">
        <v>0.9174311926605504</v>
      </c>
      <c r="K361" t="s">
        <v>109</v>
      </c>
      <c r="L361" t="s">
        <v>109</v>
      </c>
      <c r="M361">
        <v>2023</v>
      </c>
      <c r="N361" t="s">
        <v>32</v>
      </c>
      <c r="O361" t="s">
        <v>33</v>
      </c>
      <c r="P361">
        <v>0</v>
      </c>
      <c r="Q361">
        <v>2</v>
      </c>
      <c r="R361">
        <v>0</v>
      </c>
      <c r="S361" t="s">
        <v>99</v>
      </c>
      <c r="T361" t="s">
        <v>592</v>
      </c>
      <c r="U361">
        <v>1</v>
      </c>
    </row>
    <row r="362" spans="1:21" x14ac:dyDescent="0.3">
      <c r="A362" t="s">
        <v>578</v>
      </c>
      <c r="B362" t="s">
        <v>579</v>
      </c>
      <c r="C362" t="s">
        <v>97</v>
      </c>
      <c r="D362" t="s">
        <v>29</v>
      </c>
      <c r="E362" t="s">
        <v>108</v>
      </c>
      <c r="F362" s="6">
        <v>44985</v>
      </c>
      <c r="G362">
        <v>1</v>
      </c>
      <c r="H362">
        <v>0.92</v>
      </c>
      <c r="I362">
        <v>1</v>
      </c>
      <c r="J362">
        <v>1</v>
      </c>
      <c r="K362" t="s">
        <v>109</v>
      </c>
      <c r="L362" t="s">
        <v>109</v>
      </c>
      <c r="M362">
        <v>2023</v>
      </c>
      <c r="N362" t="s">
        <v>36</v>
      </c>
      <c r="O362" t="s">
        <v>33</v>
      </c>
      <c r="P362">
        <v>0</v>
      </c>
      <c r="Q362">
        <v>2</v>
      </c>
      <c r="R362">
        <v>0</v>
      </c>
      <c r="S362" t="s">
        <v>99</v>
      </c>
      <c r="T362" t="s">
        <v>593</v>
      </c>
      <c r="U362">
        <v>1</v>
      </c>
    </row>
    <row r="363" spans="1:21" x14ac:dyDescent="0.3">
      <c r="A363" t="s">
        <v>578</v>
      </c>
      <c r="B363" t="s">
        <v>579</v>
      </c>
      <c r="C363" t="s">
        <v>97</v>
      </c>
      <c r="D363" t="s">
        <v>29</v>
      </c>
      <c r="E363" t="s">
        <v>108</v>
      </c>
      <c r="F363" s="6">
        <v>45016</v>
      </c>
      <c r="G363">
        <v>1</v>
      </c>
      <c r="H363">
        <v>0.76</v>
      </c>
      <c r="I363">
        <v>1</v>
      </c>
      <c r="J363">
        <v>1</v>
      </c>
      <c r="K363" t="s">
        <v>109</v>
      </c>
      <c r="L363" t="s">
        <v>109</v>
      </c>
      <c r="M363">
        <v>2023</v>
      </c>
      <c r="N363" t="s">
        <v>38</v>
      </c>
      <c r="O363" t="s">
        <v>33</v>
      </c>
      <c r="P363">
        <v>0</v>
      </c>
      <c r="Q363">
        <v>2</v>
      </c>
      <c r="R363">
        <v>0</v>
      </c>
      <c r="S363" t="s">
        <v>99</v>
      </c>
      <c r="T363" t="s">
        <v>594</v>
      </c>
      <c r="U363">
        <v>1</v>
      </c>
    </row>
    <row r="364" spans="1:21" x14ac:dyDescent="0.3">
      <c r="A364" t="s">
        <v>578</v>
      </c>
      <c r="B364" t="s">
        <v>579</v>
      </c>
      <c r="C364" t="s">
        <v>97</v>
      </c>
      <c r="D364" t="s">
        <v>29</v>
      </c>
      <c r="E364" t="s">
        <v>108</v>
      </c>
      <c r="F364" s="6">
        <v>45046</v>
      </c>
      <c r="G364">
        <v>1</v>
      </c>
      <c r="H364">
        <v>1.01</v>
      </c>
      <c r="I364">
        <v>0.99009900990099009</v>
      </c>
      <c r="J364">
        <v>0.99009900990099009</v>
      </c>
      <c r="K364" t="s">
        <v>109</v>
      </c>
      <c r="L364" t="s">
        <v>109</v>
      </c>
      <c r="M364">
        <v>2023</v>
      </c>
      <c r="N364" t="s">
        <v>40</v>
      </c>
      <c r="O364" t="s">
        <v>33</v>
      </c>
      <c r="P364">
        <v>0</v>
      </c>
      <c r="Q364">
        <v>2</v>
      </c>
      <c r="R364">
        <v>0</v>
      </c>
      <c r="S364" t="s">
        <v>99</v>
      </c>
      <c r="T364" t="s">
        <v>595</v>
      </c>
      <c r="U364">
        <v>1</v>
      </c>
    </row>
    <row r="365" spans="1:21" x14ac:dyDescent="0.3">
      <c r="A365" t="s">
        <v>578</v>
      </c>
      <c r="B365" t="s">
        <v>579</v>
      </c>
      <c r="C365" t="s">
        <v>97</v>
      </c>
      <c r="D365" t="s">
        <v>29</v>
      </c>
      <c r="E365" t="s">
        <v>108</v>
      </c>
      <c r="F365" s="6">
        <v>45077</v>
      </c>
      <c r="G365">
        <v>1</v>
      </c>
      <c r="H365">
        <v>0.76</v>
      </c>
      <c r="I365">
        <v>1</v>
      </c>
      <c r="J365">
        <v>1</v>
      </c>
      <c r="K365" t="s">
        <v>109</v>
      </c>
      <c r="L365" t="s">
        <v>109</v>
      </c>
      <c r="M365">
        <v>2023</v>
      </c>
      <c r="N365" t="s">
        <v>42</v>
      </c>
      <c r="O365" t="s">
        <v>33</v>
      </c>
      <c r="P365">
        <v>0</v>
      </c>
      <c r="Q365">
        <v>2</v>
      </c>
      <c r="R365">
        <v>0</v>
      </c>
      <c r="S365" t="s">
        <v>99</v>
      </c>
      <c r="T365" t="s">
        <v>596</v>
      </c>
      <c r="U365">
        <v>1</v>
      </c>
    </row>
    <row r="366" spans="1:21" x14ac:dyDescent="0.3">
      <c r="A366" t="s">
        <v>578</v>
      </c>
      <c r="B366" t="s">
        <v>579</v>
      </c>
      <c r="C366" t="s">
        <v>97</v>
      </c>
      <c r="D366" t="s">
        <v>29</v>
      </c>
      <c r="E366" t="s">
        <v>108</v>
      </c>
      <c r="F366" s="6">
        <v>45107</v>
      </c>
      <c r="G366">
        <v>1</v>
      </c>
      <c r="H366">
        <v>1.12622826908541</v>
      </c>
      <c r="I366">
        <v>0.88791946308724989</v>
      </c>
      <c r="J366">
        <v>0.88791946308724989</v>
      </c>
      <c r="K366" t="s">
        <v>109</v>
      </c>
      <c r="L366" t="s">
        <v>109</v>
      </c>
      <c r="M366">
        <v>2023</v>
      </c>
      <c r="N366" t="s">
        <v>44</v>
      </c>
      <c r="O366" t="s">
        <v>33</v>
      </c>
      <c r="P366">
        <v>0</v>
      </c>
      <c r="Q366">
        <v>2</v>
      </c>
      <c r="R366">
        <v>0</v>
      </c>
      <c r="S366" t="s">
        <v>99</v>
      </c>
      <c r="T366" t="s">
        <v>597</v>
      </c>
      <c r="U366">
        <v>1</v>
      </c>
    </row>
    <row r="367" spans="1:21" x14ac:dyDescent="0.3">
      <c r="A367" t="s">
        <v>578</v>
      </c>
      <c r="B367" t="s">
        <v>579</v>
      </c>
      <c r="C367" t="s">
        <v>97</v>
      </c>
      <c r="D367" t="s">
        <v>29</v>
      </c>
      <c r="E367" t="s">
        <v>108</v>
      </c>
      <c r="F367" s="6">
        <v>45138</v>
      </c>
      <c r="G367">
        <v>1</v>
      </c>
      <c r="H367">
        <v>1.17</v>
      </c>
      <c r="I367">
        <v>0.85470085470085477</v>
      </c>
      <c r="J367">
        <v>0.85470085470085477</v>
      </c>
      <c r="K367" t="s">
        <v>109</v>
      </c>
      <c r="L367" t="s">
        <v>109</v>
      </c>
      <c r="M367">
        <v>2023</v>
      </c>
      <c r="N367" t="s">
        <v>46</v>
      </c>
      <c r="O367" t="s">
        <v>47</v>
      </c>
      <c r="P367">
        <v>0</v>
      </c>
      <c r="Q367">
        <v>2</v>
      </c>
      <c r="R367">
        <v>0</v>
      </c>
      <c r="S367" t="s">
        <v>99</v>
      </c>
      <c r="T367" t="s">
        <v>598</v>
      </c>
      <c r="U367">
        <v>1</v>
      </c>
    </row>
    <row r="368" spans="1:21" x14ac:dyDescent="0.3">
      <c r="A368" t="s">
        <v>578</v>
      </c>
      <c r="B368" t="s">
        <v>579</v>
      </c>
      <c r="C368" t="s">
        <v>97</v>
      </c>
      <c r="D368" t="s">
        <v>29</v>
      </c>
      <c r="E368" t="s">
        <v>108</v>
      </c>
      <c r="F368" s="6">
        <v>45169</v>
      </c>
      <c r="G368">
        <v>1</v>
      </c>
      <c r="H368">
        <v>0.95</v>
      </c>
      <c r="I368">
        <v>1</v>
      </c>
      <c r="J368">
        <v>1</v>
      </c>
      <c r="K368" t="s">
        <v>109</v>
      </c>
      <c r="L368" t="s">
        <v>109</v>
      </c>
      <c r="M368">
        <v>2023</v>
      </c>
      <c r="N368" t="s">
        <v>49</v>
      </c>
      <c r="O368" t="s">
        <v>47</v>
      </c>
      <c r="P368">
        <v>0</v>
      </c>
      <c r="Q368">
        <v>2</v>
      </c>
      <c r="R368">
        <v>0</v>
      </c>
      <c r="S368" t="s">
        <v>99</v>
      </c>
      <c r="T368" t="s">
        <v>599</v>
      </c>
      <c r="U368">
        <v>1</v>
      </c>
    </row>
    <row r="369" spans="1:21" x14ac:dyDescent="0.3">
      <c r="A369" t="s">
        <v>578</v>
      </c>
      <c r="B369" t="s">
        <v>579</v>
      </c>
      <c r="C369" t="s">
        <v>97</v>
      </c>
      <c r="D369" t="s">
        <v>29</v>
      </c>
      <c r="E369" t="s">
        <v>108</v>
      </c>
      <c r="F369" s="6">
        <v>45199</v>
      </c>
      <c r="G369">
        <v>1</v>
      </c>
      <c r="H369">
        <v>0.51</v>
      </c>
      <c r="I369">
        <v>1</v>
      </c>
      <c r="J369">
        <v>1</v>
      </c>
      <c r="K369" t="s">
        <v>109</v>
      </c>
      <c r="L369" t="s">
        <v>109</v>
      </c>
      <c r="M369">
        <v>2023</v>
      </c>
      <c r="N369" t="s">
        <v>51</v>
      </c>
      <c r="O369" t="s">
        <v>47</v>
      </c>
      <c r="P369">
        <v>0</v>
      </c>
      <c r="Q369">
        <v>2</v>
      </c>
      <c r="R369">
        <v>0</v>
      </c>
      <c r="S369" t="s">
        <v>99</v>
      </c>
      <c r="T369" t="s">
        <v>600</v>
      </c>
      <c r="U369">
        <v>1</v>
      </c>
    </row>
    <row r="370" spans="1:21" x14ac:dyDescent="0.3">
      <c r="A370" t="s">
        <v>578</v>
      </c>
      <c r="B370" t="s">
        <v>579</v>
      </c>
      <c r="C370" t="s">
        <v>97</v>
      </c>
      <c r="D370" t="s">
        <v>29</v>
      </c>
      <c r="E370" t="s">
        <v>108</v>
      </c>
      <c r="F370" s="6">
        <v>45230</v>
      </c>
      <c r="G370">
        <v>1</v>
      </c>
      <c r="H370">
        <v>0.5</v>
      </c>
      <c r="I370">
        <v>1</v>
      </c>
      <c r="J370">
        <v>1</v>
      </c>
      <c r="K370" t="s">
        <v>109</v>
      </c>
      <c r="L370" t="s">
        <v>109</v>
      </c>
      <c r="M370">
        <v>2023</v>
      </c>
      <c r="N370" t="s">
        <v>53</v>
      </c>
      <c r="O370" t="s">
        <v>47</v>
      </c>
      <c r="P370">
        <v>0</v>
      </c>
      <c r="Q370">
        <v>1</v>
      </c>
      <c r="R370">
        <v>0</v>
      </c>
      <c r="S370" t="s">
        <v>99</v>
      </c>
      <c r="T370" t="s">
        <v>601</v>
      </c>
      <c r="U370">
        <v>1</v>
      </c>
    </row>
    <row r="371" spans="1:21" x14ac:dyDescent="0.3">
      <c r="A371" t="s">
        <v>578</v>
      </c>
      <c r="B371" t="s">
        <v>579</v>
      </c>
      <c r="C371" t="s">
        <v>97</v>
      </c>
      <c r="D371" t="s">
        <v>29</v>
      </c>
      <c r="E371" t="s">
        <v>108</v>
      </c>
      <c r="F371" s="6">
        <v>45260</v>
      </c>
      <c r="G371">
        <v>1</v>
      </c>
      <c r="H371">
        <v>0.72</v>
      </c>
      <c r="I371">
        <v>1</v>
      </c>
      <c r="J371">
        <v>1</v>
      </c>
      <c r="K371" t="s">
        <v>109</v>
      </c>
      <c r="L371" t="s">
        <v>109</v>
      </c>
      <c r="M371">
        <v>2023</v>
      </c>
      <c r="N371" t="s">
        <v>55</v>
      </c>
      <c r="O371" t="s">
        <v>47</v>
      </c>
      <c r="P371">
        <v>0</v>
      </c>
      <c r="Q371">
        <v>2</v>
      </c>
      <c r="R371">
        <v>0</v>
      </c>
      <c r="S371" t="s">
        <v>99</v>
      </c>
      <c r="T371" t="s">
        <v>602</v>
      </c>
      <c r="U371">
        <v>1</v>
      </c>
    </row>
    <row r="372" spans="1:21" x14ac:dyDescent="0.3">
      <c r="A372" t="s">
        <v>578</v>
      </c>
      <c r="B372" t="s">
        <v>579</v>
      </c>
      <c r="C372" t="s">
        <v>97</v>
      </c>
      <c r="D372" t="s">
        <v>29</v>
      </c>
      <c r="E372" t="s">
        <v>108</v>
      </c>
      <c r="F372" s="6">
        <v>45291</v>
      </c>
      <c r="G372">
        <v>1</v>
      </c>
      <c r="H372">
        <v>0.64</v>
      </c>
      <c r="I372">
        <v>1</v>
      </c>
      <c r="J372">
        <v>1</v>
      </c>
      <c r="K372" t="s">
        <v>109</v>
      </c>
      <c r="L372" t="s">
        <v>109</v>
      </c>
      <c r="M372">
        <v>2023</v>
      </c>
      <c r="N372" t="s">
        <v>57</v>
      </c>
      <c r="O372" t="s">
        <v>47</v>
      </c>
      <c r="P372">
        <v>0</v>
      </c>
      <c r="Q372">
        <v>2</v>
      </c>
      <c r="R372">
        <v>0</v>
      </c>
      <c r="S372" t="s">
        <v>99</v>
      </c>
      <c r="T372" t="s">
        <v>603</v>
      </c>
      <c r="U372">
        <v>1</v>
      </c>
    </row>
    <row r="373" spans="1:21" x14ac:dyDescent="0.3">
      <c r="A373" t="s">
        <v>578</v>
      </c>
      <c r="B373" t="s">
        <v>579</v>
      </c>
      <c r="C373" t="s">
        <v>97</v>
      </c>
      <c r="D373" t="s">
        <v>29</v>
      </c>
      <c r="E373" t="s">
        <v>108</v>
      </c>
      <c r="F373" s="6">
        <v>45322</v>
      </c>
      <c r="G373">
        <v>1</v>
      </c>
      <c r="H373">
        <v>0.7</v>
      </c>
      <c r="I373">
        <v>1</v>
      </c>
      <c r="J373">
        <v>1</v>
      </c>
      <c r="K373" t="s">
        <v>109</v>
      </c>
      <c r="L373" t="s">
        <v>109</v>
      </c>
      <c r="M373">
        <v>2024</v>
      </c>
      <c r="N373" t="s">
        <v>32</v>
      </c>
      <c r="O373" t="s">
        <v>71</v>
      </c>
      <c r="P373">
        <v>0</v>
      </c>
      <c r="Q373">
        <v>2</v>
      </c>
      <c r="R373">
        <v>0</v>
      </c>
      <c r="S373" t="s">
        <v>99</v>
      </c>
      <c r="T373" t="s">
        <v>604</v>
      </c>
      <c r="U373">
        <v>1</v>
      </c>
    </row>
    <row r="374" spans="1:21" x14ac:dyDescent="0.3">
      <c r="A374" t="s">
        <v>578</v>
      </c>
      <c r="B374" t="s">
        <v>579</v>
      </c>
      <c r="C374" t="s">
        <v>97</v>
      </c>
      <c r="D374" t="s">
        <v>29</v>
      </c>
      <c r="E374" t="s">
        <v>108</v>
      </c>
      <c r="F374" s="6">
        <v>45351</v>
      </c>
      <c r="G374">
        <v>1</v>
      </c>
      <c r="H374">
        <v>0.9</v>
      </c>
      <c r="I374">
        <v>1</v>
      </c>
      <c r="J374">
        <v>1</v>
      </c>
      <c r="K374" t="s">
        <v>109</v>
      </c>
      <c r="L374" t="s">
        <v>109</v>
      </c>
      <c r="M374">
        <v>2024</v>
      </c>
      <c r="N374" t="s">
        <v>36</v>
      </c>
      <c r="O374" t="s">
        <v>71</v>
      </c>
      <c r="P374">
        <v>0</v>
      </c>
      <c r="Q374">
        <v>2</v>
      </c>
      <c r="R374">
        <v>0</v>
      </c>
      <c r="S374" t="s">
        <v>99</v>
      </c>
      <c r="T374" t="s">
        <v>605</v>
      </c>
      <c r="U374">
        <v>1</v>
      </c>
    </row>
    <row r="375" spans="1:21" x14ac:dyDescent="0.3">
      <c r="A375" t="s">
        <v>578</v>
      </c>
      <c r="B375" t="s">
        <v>579</v>
      </c>
      <c r="C375" t="s">
        <v>97</v>
      </c>
      <c r="D375" t="s">
        <v>29</v>
      </c>
      <c r="E375" t="s">
        <v>108</v>
      </c>
      <c r="F375" s="6">
        <v>45382</v>
      </c>
      <c r="G375">
        <v>1</v>
      </c>
      <c r="H375">
        <v>1.05</v>
      </c>
      <c r="I375">
        <v>0.95238095238095233</v>
      </c>
      <c r="J375">
        <v>0.95238095238095233</v>
      </c>
      <c r="K375" t="s">
        <v>109</v>
      </c>
      <c r="L375" t="s">
        <v>109</v>
      </c>
      <c r="M375">
        <v>2024</v>
      </c>
      <c r="N375" t="s">
        <v>38</v>
      </c>
      <c r="O375" t="s">
        <v>71</v>
      </c>
      <c r="P375">
        <v>0</v>
      </c>
      <c r="Q375">
        <v>2</v>
      </c>
      <c r="R375">
        <v>0</v>
      </c>
      <c r="S375" t="s">
        <v>99</v>
      </c>
      <c r="T375" t="s">
        <v>606</v>
      </c>
      <c r="U375">
        <v>1</v>
      </c>
    </row>
    <row r="376" spans="1:21" x14ac:dyDescent="0.3">
      <c r="A376" t="s">
        <v>578</v>
      </c>
      <c r="B376" t="s">
        <v>579</v>
      </c>
      <c r="C376" t="s">
        <v>97</v>
      </c>
      <c r="D376" t="s">
        <v>29</v>
      </c>
      <c r="E376" t="s">
        <v>108</v>
      </c>
      <c r="F376" s="6">
        <v>45412</v>
      </c>
      <c r="G376">
        <v>1</v>
      </c>
      <c r="H376">
        <v>0.4</v>
      </c>
      <c r="I376">
        <v>1</v>
      </c>
      <c r="J376">
        <v>1</v>
      </c>
      <c r="K376" t="s">
        <v>109</v>
      </c>
      <c r="L376" t="s">
        <v>109</v>
      </c>
      <c r="M376">
        <v>2024</v>
      </c>
      <c r="N376" t="s">
        <v>40</v>
      </c>
      <c r="O376" t="s">
        <v>71</v>
      </c>
      <c r="P376">
        <v>0</v>
      </c>
      <c r="Q376">
        <v>2</v>
      </c>
      <c r="R376">
        <v>0</v>
      </c>
      <c r="S376" t="s">
        <v>99</v>
      </c>
      <c r="T376" t="s">
        <v>607</v>
      </c>
      <c r="U376">
        <v>1</v>
      </c>
    </row>
    <row r="377" spans="1:21" x14ac:dyDescent="0.3">
      <c r="A377" t="s">
        <v>578</v>
      </c>
      <c r="B377" t="s">
        <v>579</v>
      </c>
      <c r="C377" t="s">
        <v>97</v>
      </c>
      <c r="D377" t="s">
        <v>29</v>
      </c>
      <c r="E377" t="s">
        <v>108</v>
      </c>
      <c r="F377" s="6">
        <v>45443</v>
      </c>
      <c r="G377">
        <v>1</v>
      </c>
      <c r="H377">
        <v>0.55000000000000004</v>
      </c>
      <c r="I377">
        <v>1</v>
      </c>
      <c r="J377">
        <v>1</v>
      </c>
      <c r="K377" t="s">
        <v>109</v>
      </c>
      <c r="L377" t="s">
        <v>109</v>
      </c>
      <c r="M377">
        <v>2024</v>
      </c>
      <c r="N377" t="s">
        <v>42</v>
      </c>
      <c r="O377" t="s">
        <v>71</v>
      </c>
      <c r="P377">
        <v>0</v>
      </c>
      <c r="Q377">
        <v>2</v>
      </c>
      <c r="R377">
        <v>0</v>
      </c>
      <c r="S377" t="s">
        <v>99</v>
      </c>
      <c r="T377" t="s">
        <v>608</v>
      </c>
      <c r="U377">
        <v>1</v>
      </c>
    </row>
    <row r="378" spans="1:21" x14ac:dyDescent="0.3">
      <c r="A378" t="s">
        <v>578</v>
      </c>
      <c r="B378" t="s">
        <v>579</v>
      </c>
      <c r="C378" t="s">
        <v>97</v>
      </c>
      <c r="D378" t="s">
        <v>29</v>
      </c>
      <c r="E378" t="s">
        <v>108</v>
      </c>
      <c r="F378" s="6">
        <v>45473</v>
      </c>
      <c r="G378">
        <v>1</v>
      </c>
      <c r="H378">
        <v>0.36</v>
      </c>
      <c r="I378">
        <v>1</v>
      </c>
      <c r="J378">
        <v>1</v>
      </c>
      <c r="K378" t="s">
        <v>109</v>
      </c>
      <c r="L378" t="s">
        <v>109</v>
      </c>
      <c r="M378">
        <v>2024</v>
      </c>
      <c r="N378" t="s">
        <v>44</v>
      </c>
      <c r="O378" t="s">
        <v>71</v>
      </c>
      <c r="P378">
        <v>0</v>
      </c>
      <c r="Q378">
        <v>2</v>
      </c>
      <c r="R378">
        <v>0</v>
      </c>
      <c r="S378" t="s">
        <v>99</v>
      </c>
      <c r="T378" t="s">
        <v>609</v>
      </c>
      <c r="U378">
        <v>1</v>
      </c>
    </row>
    <row r="379" spans="1:21" x14ac:dyDescent="0.3">
      <c r="A379" t="s">
        <v>578</v>
      </c>
      <c r="B379" t="s">
        <v>579</v>
      </c>
      <c r="C379" t="s">
        <v>97</v>
      </c>
      <c r="D379" t="s">
        <v>29</v>
      </c>
      <c r="E379" t="s">
        <v>108</v>
      </c>
      <c r="F379" s="6">
        <v>45504</v>
      </c>
      <c r="G379">
        <v>1</v>
      </c>
      <c r="H379">
        <v>0.65</v>
      </c>
      <c r="I379">
        <v>1</v>
      </c>
      <c r="J379">
        <v>1</v>
      </c>
      <c r="K379" t="s">
        <v>109</v>
      </c>
      <c r="L379" t="s">
        <v>109</v>
      </c>
      <c r="M379">
        <v>2024</v>
      </c>
      <c r="N379" t="s">
        <v>46</v>
      </c>
      <c r="O379" t="s">
        <v>78</v>
      </c>
      <c r="P379">
        <v>0</v>
      </c>
      <c r="Q379">
        <v>2</v>
      </c>
      <c r="R379">
        <v>0</v>
      </c>
      <c r="S379" t="s">
        <v>99</v>
      </c>
      <c r="T379" t="s">
        <v>610</v>
      </c>
      <c r="U379">
        <v>1</v>
      </c>
    </row>
    <row r="380" spans="1:21" x14ac:dyDescent="0.3">
      <c r="A380" t="s">
        <v>578</v>
      </c>
      <c r="B380" t="s">
        <v>579</v>
      </c>
      <c r="C380" t="s">
        <v>97</v>
      </c>
      <c r="D380" t="s">
        <v>29</v>
      </c>
      <c r="E380" t="s">
        <v>108</v>
      </c>
      <c r="F380" s="6">
        <v>45535</v>
      </c>
      <c r="G380">
        <v>1</v>
      </c>
      <c r="H380">
        <v>0.51</v>
      </c>
      <c r="I380">
        <v>1</v>
      </c>
      <c r="J380">
        <v>1</v>
      </c>
      <c r="K380" t="s">
        <v>109</v>
      </c>
      <c r="L380" t="s">
        <v>109</v>
      </c>
      <c r="M380">
        <v>2024</v>
      </c>
      <c r="N380" t="s">
        <v>49</v>
      </c>
      <c r="O380" t="s">
        <v>78</v>
      </c>
      <c r="P380">
        <v>0</v>
      </c>
      <c r="Q380">
        <v>2</v>
      </c>
      <c r="R380">
        <v>0</v>
      </c>
      <c r="S380" t="s">
        <v>99</v>
      </c>
      <c r="T380" t="s">
        <v>611</v>
      </c>
      <c r="U380">
        <v>1</v>
      </c>
    </row>
    <row r="381" spans="1:21" x14ac:dyDescent="0.3">
      <c r="A381" t="s">
        <v>578</v>
      </c>
      <c r="B381" t="s">
        <v>579</v>
      </c>
      <c r="C381" t="s">
        <v>97</v>
      </c>
      <c r="D381" t="s">
        <v>29</v>
      </c>
      <c r="E381" t="s">
        <v>108</v>
      </c>
      <c r="F381" s="6">
        <v>45565</v>
      </c>
      <c r="G381">
        <v>1</v>
      </c>
      <c r="H381">
        <v>0.7</v>
      </c>
      <c r="I381">
        <v>1</v>
      </c>
      <c r="J381">
        <v>1</v>
      </c>
      <c r="K381" t="s">
        <v>109</v>
      </c>
      <c r="L381" t="s">
        <v>109</v>
      </c>
      <c r="M381">
        <v>2024</v>
      </c>
      <c r="N381" t="s">
        <v>51</v>
      </c>
      <c r="O381" t="s">
        <v>78</v>
      </c>
      <c r="P381">
        <v>0</v>
      </c>
      <c r="Q381">
        <v>2</v>
      </c>
      <c r="R381">
        <v>0</v>
      </c>
      <c r="S381" t="s">
        <v>99</v>
      </c>
      <c r="T381" t="s">
        <v>612</v>
      </c>
      <c r="U381">
        <v>1</v>
      </c>
    </row>
    <row r="382" spans="1:21" x14ac:dyDescent="0.3">
      <c r="A382" t="s">
        <v>578</v>
      </c>
      <c r="B382" t="s">
        <v>579</v>
      </c>
      <c r="C382" t="s">
        <v>97</v>
      </c>
      <c r="D382" t="s">
        <v>29</v>
      </c>
      <c r="E382" t="s">
        <v>108</v>
      </c>
      <c r="F382" s="6">
        <v>45596</v>
      </c>
      <c r="G382">
        <v>1</v>
      </c>
      <c r="H382">
        <v>0.61</v>
      </c>
      <c r="I382">
        <v>1</v>
      </c>
      <c r="J382">
        <v>1</v>
      </c>
      <c r="K382" t="s">
        <v>109</v>
      </c>
      <c r="L382" t="s">
        <v>109</v>
      </c>
      <c r="M382">
        <v>2024</v>
      </c>
      <c r="N382" t="s">
        <v>53</v>
      </c>
      <c r="O382" t="s">
        <v>78</v>
      </c>
      <c r="P382">
        <v>0</v>
      </c>
      <c r="Q382">
        <v>1</v>
      </c>
      <c r="R382">
        <v>0</v>
      </c>
      <c r="S382" t="s">
        <v>99</v>
      </c>
      <c r="T382" t="s">
        <v>613</v>
      </c>
      <c r="U382">
        <v>1</v>
      </c>
    </row>
    <row r="383" spans="1:21" x14ac:dyDescent="0.3">
      <c r="A383" t="s">
        <v>578</v>
      </c>
      <c r="B383" t="s">
        <v>579</v>
      </c>
      <c r="C383" t="s">
        <v>97</v>
      </c>
      <c r="D383" t="s">
        <v>29</v>
      </c>
      <c r="E383" t="s">
        <v>108</v>
      </c>
      <c r="F383" s="6">
        <v>45626</v>
      </c>
      <c r="G383">
        <v>1</v>
      </c>
      <c r="H383">
        <v>0.96</v>
      </c>
      <c r="I383">
        <v>1</v>
      </c>
      <c r="J383">
        <v>1</v>
      </c>
      <c r="K383" t="s">
        <v>109</v>
      </c>
      <c r="L383" t="s">
        <v>109</v>
      </c>
      <c r="M383">
        <v>2024</v>
      </c>
      <c r="N383" t="s">
        <v>55</v>
      </c>
      <c r="O383" t="s">
        <v>78</v>
      </c>
      <c r="P383">
        <v>0</v>
      </c>
      <c r="Q383">
        <v>2</v>
      </c>
      <c r="R383">
        <v>0</v>
      </c>
      <c r="S383" t="s">
        <v>99</v>
      </c>
      <c r="T383" t="s">
        <v>614</v>
      </c>
      <c r="U383">
        <v>1</v>
      </c>
    </row>
    <row r="384" spans="1:21" x14ac:dyDescent="0.3">
      <c r="A384" t="s">
        <v>578</v>
      </c>
      <c r="B384" t="s">
        <v>579</v>
      </c>
      <c r="C384" t="s">
        <v>97</v>
      </c>
      <c r="D384" t="s">
        <v>29</v>
      </c>
      <c r="E384" t="s">
        <v>108</v>
      </c>
      <c r="F384" s="6">
        <v>45657</v>
      </c>
      <c r="G384">
        <v>1</v>
      </c>
      <c r="H384">
        <v>0.78</v>
      </c>
      <c r="I384">
        <v>1</v>
      </c>
      <c r="J384">
        <v>1</v>
      </c>
      <c r="K384" t="s">
        <v>109</v>
      </c>
      <c r="L384" t="s">
        <v>109</v>
      </c>
      <c r="M384">
        <v>2024</v>
      </c>
      <c r="N384" t="s">
        <v>57</v>
      </c>
      <c r="O384" t="s">
        <v>78</v>
      </c>
      <c r="P384">
        <v>0</v>
      </c>
      <c r="Q384">
        <v>2</v>
      </c>
      <c r="R384">
        <v>0</v>
      </c>
      <c r="S384" t="s">
        <v>99</v>
      </c>
      <c r="T384" t="s">
        <v>615</v>
      </c>
      <c r="U384">
        <v>1</v>
      </c>
    </row>
    <row r="385" spans="1:21" x14ac:dyDescent="0.3">
      <c r="A385" t="s">
        <v>578</v>
      </c>
      <c r="B385" t="s">
        <v>579</v>
      </c>
      <c r="C385" t="s">
        <v>97</v>
      </c>
      <c r="D385" t="s">
        <v>29</v>
      </c>
      <c r="E385" t="s">
        <v>108</v>
      </c>
      <c r="F385" s="6">
        <v>45688</v>
      </c>
      <c r="G385">
        <v>1</v>
      </c>
      <c r="H385" t="s">
        <v>616</v>
      </c>
      <c r="I385">
        <v>1.1627906976744189</v>
      </c>
      <c r="J385">
        <v>1.1627906976744189</v>
      </c>
      <c r="K385" t="s">
        <v>617</v>
      </c>
      <c r="L385" t="s">
        <v>618</v>
      </c>
      <c r="M385">
        <v>2025</v>
      </c>
      <c r="N385" t="s">
        <v>32</v>
      </c>
      <c r="O385" t="s">
        <v>244</v>
      </c>
      <c r="P385">
        <v>2</v>
      </c>
      <c r="Q385">
        <v>2</v>
      </c>
      <c r="R385">
        <v>0</v>
      </c>
      <c r="S385" t="s">
        <v>104</v>
      </c>
      <c r="T385" t="s">
        <v>619</v>
      </c>
      <c r="U385">
        <v>31</v>
      </c>
    </row>
    <row r="386" spans="1:21" x14ac:dyDescent="0.3">
      <c r="A386" t="s">
        <v>578</v>
      </c>
      <c r="B386" t="s">
        <v>579</v>
      </c>
      <c r="C386" t="s">
        <v>97</v>
      </c>
      <c r="D386" t="s">
        <v>29</v>
      </c>
      <c r="E386" t="s">
        <v>108</v>
      </c>
      <c r="F386" s="6">
        <v>45716</v>
      </c>
      <c r="G386">
        <v>1</v>
      </c>
      <c r="H386" t="s">
        <v>620</v>
      </c>
      <c r="I386">
        <v>1.0101010101010099</v>
      </c>
      <c r="J386">
        <v>1.0101010101010099</v>
      </c>
      <c r="K386" t="s">
        <v>617</v>
      </c>
      <c r="L386" t="s">
        <v>621</v>
      </c>
      <c r="M386">
        <v>2025</v>
      </c>
      <c r="N386" t="s">
        <v>36</v>
      </c>
      <c r="O386" t="s">
        <v>244</v>
      </c>
      <c r="P386">
        <v>2</v>
      </c>
      <c r="Q386">
        <v>2</v>
      </c>
      <c r="R386">
        <v>0</v>
      </c>
      <c r="S386" t="s">
        <v>104</v>
      </c>
      <c r="T386" t="s">
        <v>622</v>
      </c>
      <c r="U386">
        <v>28</v>
      </c>
    </row>
    <row r="387" spans="1:21" x14ac:dyDescent="0.3">
      <c r="A387" t="s">
        <v>578</v>
      </c>
      <c r="B387" t="s">
        <v>579</v>
      </c>
      <c r="C387" t="s">
        <v>97</v>
      </c>
      <c r="D387" t="s">
        <v>29</v>
      </c>
      <c r="E387" t="s">
        <v>108</v>
      </c>
      <c r="F387" s="6">
        <v>45747</v>
      </c>
      <c r="G387">
        <v>1</v>
      </c>
      <c r="H387" t="s">
        <v>623</v>
      </c>
      <c r="I387">
        <v>1.041666666666667</v>
      </c>
      <c r="J387">
        <v>1.041666666666667</v>
      </c>
      <c r="K387" t="s">
        <v>617</v>
      </c>
      <c r="L387" t="s">
        <v>624</v>
      </c>
      <c r="M387">
        <v>2025</v>
      </c>
      <c r="N387" t="s">
        <v>38</v>
      </c>
      <c r="O387" t="s">
        <v>244</v>
      </c>
      <c r="P387">
        <v>2</v>
      </c>
      <c r="Q387">
        <v>2</v>
      </c>
      <c r="R387">
        <v>0</v>
      </c>
      <c r="S387" t="s">
        <v>104</v>
      </c>
      <c r="T387" t="s">
        <v>625</v>
      </c>
      <c r="U387">
        <v>31</v>
      </c>
    </row>
    <row r="388" spans="1:21" x14ac:dyDescent="0.3">
      <c r="A388" t="s">
        <v>578</v>
      </c>
      <c r="B388" t="s">
        <v>579</v>
      </c>
      <c r="C388" t="s">
        <v>97</v>
      </c>
      <c r="D388" t="s">
        <v>29</v>
      </c>
      <c r="E388" t="s">
        <v>108</v>
      </c>
      <c r="F388" s="6">
        <v>45777</v>
      </c>
      <c r="G388">
        <v>1</v>
      </c>
      <c r="H388" t="s">
        <v>626</v>
      </c>
      <c r="I388">
        <v>1.063829787234043</v>
      </c>
      <c r="J388">
        <v>1.063829787234043</v>
      </c>
      <c r="K388" t="s">
        <v>617</v>
      </c>
      <c r="L388" t="s">
        <v>627</v>
      </c>
      <c r="M388">
        <v>2025</v>
      </c>
      <c r="N388" t="s">
        <v>40</v>
      </c>
      <c r="O388" t="s">
        <v>244</v>
      </c>
      <c r="P388">
        <v>2</v>
      </c>
      <c r="Q388">
        <v>2</v>
      </c>
      <c r="R388">
        <v>0</v>
      </c>
      <c r="S388" t="s">
        <v>104</v>
      </c>
      <c r="T388" t="s">
        <v>628</v>
      </c>
      <c r="U388">
        <v>30</v>
      </c>
    </row>
    <row r="389" spans="1:21" x14ac:dyDescent="0.3">
      <c r="A389" t="s">
        <v>578</v>
      </c>
      <c r="B389" t="s">
        <v>579</v>
      </c>
      <c r="C389" t="s">
        <v>97</v>
      </c>
      <c r="D389" t="s">
        <v>29</v>
      </c>
      <c r="E389" t="s">
        <v>108</v>
      </c>
      <c r="F389" s="6">
        <v>45808</v>
      </c>
      <c r="G389">
        <v>1</v>
      </c>
      <c r="H389" t="s">
        <v>629</v>
      </c>
      <c r="I389">
        <v>1.136363636363636</v>
      </c>
      <c r="J389">
        <v>1.136363636363636</v>
      </c>
      <c r="K389" t="s">
        <v>617</v>
      </c>
      <c r="L389" t="s">
        <v>630</v>
      </c>
      <c r="M389">
        <v>2025</v>
      </c>
      <c r="N389" t="s">
        <v>42</v>
      </c>
      <c r="O389" t="s">
        <v>244</v>
      </c>
      <c r="P389">
        <v>2</v>
      </c>
      <c r="Q389">
        <v>2</v>
      </c>
      <c r="R389">
        <v>0</v>
      </c>
      <c r="S389" t="s">
        <v>104</v>
      </c>
      <c r="T389" t="s">
        <v>631</v>
      </c>
      <c r="U389">
        <v>31</v>
      </c>
    </row>
    <row r="390" spans="1:21" x14ac:dyDescent="0.3">
      <c r="A390" t="s">
        <v>578</v>
      </c>
      <c r="B390" t="s">
        <v>579</v>
      </c>
      <c r="C390" t="s">
        <v>97</v>
      </c>
      <c r="D390" t="s">
        <v>29</v>
      </c>
      <c r="E390" t="s">
        <v>108</v>
      </c>
      <c r="F390" s="6">
        <v>45838</v>
      </c>
      <c r="G390">
        <v>1</v>
      </c>
      <c r="H390" t="s">
        <v>632</v>
      </c>
      <c r="I390">
        <v>1.0309278350515469</v>
      </c>
      <c r="J390">
        <v>1.0309278350515469</v>
      </c>
      <c r="K390" t="s">
        <v>617</v>
      </c>
      <c r="L390" t="s">
        <v>633</v>
      </c>
      <c r="M390">
        <v>2025</v>
      </c>
      <c r="N390" t="s">
        <v>44</v>
      </c>
      <c r="O390" t="s">
        <v>244</v>
      </c>
      <c r="P390">
        <v>2</v>
      </c>
      <c r="Q390">
        <v>2</v>
      </c>
      <c r="R390">
        <v>0</v>
      </c>
      <c r="S390" t="s">
        <v>104</v>
      </c>
      <c r="T390" t="s">
        <v>634</v>
      </c>
      <c r="U390">
        <v>30</v>
      </c>
    </row>
    <row r="391" spans="1:21" x14ac:dyDescent="0.3">
      <c r="A391" t="s">
        <v>578</v>
      </c>
      <c r="B391" t="s">
        <v>579</v>
      </c>
      <c r="C391" t="s">
        <v>97</v>
      </c>
      <c r="D391" t="s">
        <v>29</v>
      </c>
      <c r="E391" t="s">
        <v>108</v>
      </c>
      <c r="F391" s="6">
        <v>45869</v>
      </c>
      <c r="G391">
        <v>1</v>
      </c>
      <c r="H391" t="s">
        <v>635</v>
      </c>
      <c r="I391">
        <v>1.0204081632653059</v>
      </c>
      <c r="J391">
        <v>1.0204081632653059</v>
      </c>
      <c r="K391" t="s">
        <v>617</v>
      </c>
      <c r="L391" t="s">
        <v>636</v>
      </c>
      <c r="M391">
        <v>2025</v>
      </c>
      <c r="N391" t="s">
        <v>46</v>
      </c>
      <c r="O391" t="s">
        <v>103</v>
      </c>
      <c r="P391">
        <v>2</v>
      </c>
      <c r="Q391">
        <v>2</v>
      </c>
      <c r="R391">
        <v>0</v>
      </c>
      <c r="S391" t="s">
        <v>104</v>
      </c>
      <c r="T391" t="s">
        <v>637</v>
      </c>
      <c r="U391">
        <v>31</v>
      </c>
    </row>
    <row r="392" spans="1:21" x14ac:dyDescent="0.3">
      <c r="A392" t="s">
        <v>578</v>
      </c>
      <c r="B392" t="s">
        <v>579</v>
      </c>
      <c r="C392" t="s">
        <v>97</v>
      </c>
      <c r="D392" t="s">
        <v>29</v>
      </c>
      <c r="E392" t="s">
        <v>108</v>
      </c>
      <c r="F392" s="6">
        <v>45900</v>
      </c>
      <c r="G392">
        <v>1</v>
      </c>
      <c r="H392" t="s">
        <v>632</v>
      </c>
      <c r="I392">
        <v>1.0309278350515469</v>
      </c>
      <c r="J392">
        <v>1.0309278350515469</v>
      </c>
      <c r="K392" t="s">
        <v>617</v>
      </c>
      <c r="L392" t="s">
        <v>633</v>
      </c>
      <c r="M392">
        <v>2025</v>
      </c>
      <c r="N392" t="s">
        <v>49</v>
      </c>
      <c r="O392" t="s">
        <v>103</v>
      </c>
      <c r="P392">
        <v>2</v>
      </c>
      <c r="Q392">
        <v>2</v>
      </c>
      <c r="R392">
        <v>0</v>
      </c>
      <c r="S392" t="s">
        <v>104</v>
      </c>
      <c r="T392" t="s">
        <v>638</v>
      </c>
      <c r="U392">
        <v>31</v>
      </c>
    </row>
    <row r="393" spans="1:21" x14ac:dyDescent="0.3">
      <c r="A393" t="s">
        <v>578</v>
      </c>
      <c r="B393" t="s">
        <v>579</v>
      </c>
      <c r="C393" t="s">
        <v>97</v>
      </c>
      <c r="D393" t="s">
        <v>29</v>
      </c>
      <c r="E393" t="s">
        <v>108</v>
      </c>
      <c r="F393" s="6">
        <v>45961</v>
      </c>
      <c r="G393">
        <v>1</v>
      </c>
      <c r="H393" t="s">
        <v>639</v>
      </c>
      <c r="I393">
        <v>1.3</v>
      </c>
      <c r="J393">
        <v>1.449275362318841</v>
      </c>
      <c r="K393" t="s">
        <v>617</v>
      </c>
      <c r="L393" t="s">
        <v>640</v>
      </c>
      <c r="M393">
        <v>2025</v>
      </c>
      <c r="N393" t="s">
        <v>53</v>
      </c>
      <c r="O393" t="s">
        <v>103</v>
      </c>
      <c r="P393">
        <v>2</v>
      </c>
      <c r="Q393">
        <v>2</v>
      </c>
      <c r="R393">
        <v>0</v>
      </c>
      <c r="S393" t="s">
        <v>104</v>
      </c>
      <c r="T393" t="s">
        <v>641</v>
      </c>
      <c r="U393">
        <v>31</v>
      </c>
    </row>
    <row r="394" spans="1:21" x14ac:dyDescent="0.3">
      <c r="A394" t="s">
        <v>578</v>
      </c>
      <c r="B394" t="s">
        <v>579</v>
      </c>
      <c r="C394" t="s">
        <v>97</v>
      </c>
      <c r="D394" t="s">
        <v>29</v>
      </c>
      <c r="E394" t="s">
        <v>108</v>
      </c>
      <c r="F394" s="6">
        <v>45991</v>
      </c>
      <c r="G394">
        <v>1</v>
      </c>
      <c r="H394" t="s">
        <v>642</v>
      </c>
      <c r="I394">
        <v>1.0526315789473679</v>
      </c>
      <c r="J394">
        <v>1.0526315789473679</v>
      </c>
      <c r="K394" t="s">
        <v>617</v>
      </c>
      <c r="L394" t="s">
        <v>643</v>
      </c>
      <c r="M394">
        <v>2025</v>
      </c>
      <c r="N394" t="s">
        <v>55</v>
      </c>
      <c r="O394" t="s">
        <v>103</v>
      </c>
      <c r="P394">
        <v>2</v>
      </c>
      <c r="Q394">
        <v>2</v>
      </c>
      <c r="R394">
        <v>0</v>
      </c>
      <c r="S394" t="s">
        <v>104</v>
      </c>
      <c r="T394" t="s">
        <v>644</v>
      </c>
      <c r="U394">
        <v>30</v>
      </c>
    </row>
    <row r="395" spans="1:21" x14ac:dyDescent="0.3">
      <c r="A395" t="s">
        <v>578</v>
      </c>
      <c r="B395" t="s">
        <v>579</v>
      </c>
      <c r="C395" t="s">
        <v>97</v>
      </c>
      <c r="D395" t="s">
        <v>29</v>
      </c>
      <c r="E395" t="s">
        <v>108</v>
      </c>
      <c r="F395" s="6">
        <v>46022</v>
      </c>
      <c r="G395">
        <v>1</v>
      </c>
      <c r="H395" t="s">
        <v>632</v>
      </c>
      <c r="I395">
        <v>1.0309278350515469</v>
      </c>
      <c r="J395">
        <v>1.0309278350515469</v>
      </c>
      <c r="K395" t="s">
        <v>617</v>
      </c>
      <c r="L395" t="s">
        <v>633</v>
      </c>
      <c r="M395">
        <v>2025</v>
      </c>
      <c r="N395" t="s">
        <v>57</v>
      </c>
      <c r="O395" t="s">
        <v>103</v>
      </c>
      <c r="P395">
        <v>2</v>
      </c>
      <c r="Q395">
        <v>2</v>
      </c>
      <c r="R395">
        <v>0</v>
      </c>
      <c r="S395" t="s">
        <v>104</v>
      </c>
      <c r="T395" t="s">
        <v>645</v>
      </c>
      <c r="U395">
        <v>31</v>
      </c>
    </row>
    <row r="396" spans="1:21" x14ac:dyDescent="0.3">
      <c r="A396" t="s">
        <v>578</v>
      </c>
      <c r="B396" t="s">
        <v>579</v>
      </c>
      <c r="C396" t="s">
        <v>97</v>
      </c>
      <c r="D396" t="s">
        <v>29</v>
      </c>
      <c r="E396" t="s">
        <v>108</v>
      </c>
      <c r="F396" s="6">
        <v>46053</v>
      </c>
      <c r="G396">
        <v>1</v>
      </c>
      <c r="H396" t="s">
        <v>639</v>
      </c>
      <c r="I396">
        <v>1.3</v>
      </c>
      <c r="J396">
        <v>1.449275362318841</v>
      </c>
      <c r="K396" t="s">
        <v>617</v>
      </c>
      <c r="L396" t="s">
        <v>640</v>
      </c>
      <c r="M396">
        <v>2026</v>
      </c>
      <c r="N396" t="s">
        <v>32</v>
      </c>
      <c r="O396" t="s">
        <v>408</v>
      </c>
      <c r="P396">
        <v>2</v>
      </c>
      <c r="Q396">
        <v>2</v>
      </c>
      <c r="R396">
        <v>0</v>
      </c>
      <c r="S396" t="s">
        <v>104</v>
      </c>
      <c r="T396" t="s">
        <v>646</v>
      </c>
      <c r="U396">
        <v>31</v>
      </c>
    </row>
    <row r="397" spans="1:21" x14ac:dyDescent="0.3">
      <c r="A397" t="s">
        <v>647</v>
      </c>
      <c r="B397" t="s">
        <v>648</v>
      </c>
      <c r="C397" t="s">
        <v>649</v>
      </c>
      <c r="D397" t="s">
        <v>29</v>
      </c>
      <c r="E397" t="s">
        <v>30</v>
      </c>
      <c r="F397" s="6">
        <v>45107</v>
      </c>
      <c r="G397">
        <v>22</v>
      </c>
      <c r="H397">
        <v>20</v>
      </c>
      <c r="I397">
        <v>0.90909090909090906</v>
      </c>
      <c r="J397">
        <v>0.90909090909090906</v>
      </c>
      <c r="K397" t="s">
        <v>31</v>
      </c>
      <c r="L397" t="s">
        <v>31</v>
      </c>
      <c r="M397">
        <v>2023</v>
      </c>
      <c r="N397" t="s">
        <v>44</v>
      </c>
      <c r="O397" t="s">
        <v>33</v>
      </c>
      <c r="P397">
        <v>0</v>
      </c>
      <c r="Q397">
        <v>0</v>
      </c>
      <c r="R397">
        <v>1</v>
      </c>
      <c r="S397" t="s">
        <v>130</v>
      </c>
      <c r="T397" t="s">
        <v>650</v>
      </c>
      <c r="U397">
        <v>1</v>
      </c>
    </row>
    <row r="398" spans="1:21" x14ac:dyDescent="0.3">
      <c r="A398" t="s">
        <v>647</v>
      </c>
      <c r="B398" t="s">
        <v>648</v>
      </c>
      <c r="C398" t="s">
        <v>649</v>
      </c>
      <c r="D398" t="s">
        <v>29</v>
      </c>
      <c r="E398" t="s">
        <v>30</v>
      </c>
      <c r="F398" s="6">
        <v>45138</v>
      </c>
      <c r="G398">
        <v>41</v>
      </c>
      <c r="H398">
        <v>25</v>
      </c>
      <c r="I398">
        <v>0.6097560975609756</v>
      </c>
      <c r="J398">
        <v>0.6097560975609756</v>
      </c>
      <c r="K398" t="s">
        <v>31</v>
      </c>
      <c r="L398" t="s">
        <v>31</v>
      </c>
      <c r="M398">
        <v>2023</v>
      </c>
      <c r="N398" t="s">
        <v>46</v>
      </c>
      <c r="O398" t="s">
        <v>47</v>
      </c>
      <c r="P398">
        <v>0</v>
      </c>
      <c r="Q398">
        <v>0</v>
      </c>
      <c r="R398">
        <v>1</v>
      </c>
      <c r="S398" t="s">
        <v>130</v>
      </c>
      <c r="T398" t="s">
        <v>651</v>
      </c>
      <c r="U398">
        <v>1</v>
      </c>
    </row>
    <row r="399" spans="1:21" x14ac:dyDescent="0.3">
      <c r="A399" t="s">
        <v>647</v>
      </c>
      <c r="B399" t="s">
        <v>648</v>
      </c>
      <c r="C399" t="s">
        <v>649</v>
      </c>
      <c r="D399" t="s">
        <v>29</v>
      </c>
      <c r="E399" t="s">
        <v>30</v>
      </c>
      <c r="F399" s="6">
        <v>45169</v>
      </c>
      <c r="G399">
        <v>59</v>
      </c>
      <c r="H399">
        <v>47</v>
      </c>
      <c r="I399">
        <v>0.79661016949152541</v>
      </c>
      <c r="J399">
        <v>0.79661016949152541</v>
      </c>
      <c r="K399" t="s">
        <v>31</v>
      </c>
      <c r="L399" t="s">
        <v>31</v>
      </c>
      <c r="M399">
        <v>2023</v>
      </c>
      <c r="N399" t="s">
        <v>49</v>
      </c>
      <c r="O399" t="s">
        <v>47</v>
      </c>
      <c r="P399">
        <v>0</v>
      </c>
      <c r="Q399">
        <v>0</v>
      </c>
      <c r="R399">
        <v>1</v>
      </c>
      <c r="S399" t="s">
        <v>130</v>
      </c>
      <c r="T399" t="s">
        <v>652</v>
      </c>
      <c r="U399">
        <v>1</v>
      </c>
    </row>
    <row r="400" spans="1:21" x14ac:dyDescent="0.3">
      <c r="A400" t="s">
        <v>647</v>
      </c>
      <c r="B400" t="s">
        <v>648</v>
      </c>
      <c r="C400" t="s">
        <v>649</v>
      </c>
      <c r="D400" t="s">
        <v>29</v>
      </c>
      <c r="E400" t="s">
        <v>30</v>
      </c>
      <c r="F400" s="6">
        <v>45199</v>
      </c>
      <c r="G400">
        <v>64</v>
      </c>
      <c r="H400">
        <v>63</v>
      </c>
      <c r="I400">
        <v>0.984375</v>
      </c>
      <c r="J400">
        <v>0.984375</v>
      </c>
      <c r="K400" t="s">
        <v>31</v>
      </c>
      <c r="L400" t="s">
        <v>31</v>
      </c>
      <c r="M400">
        <v>2023</v>
      </c>
      <c r="N400" t="s">
        <v>51</v>
      </c>
      <c r="O400" t="s">
        <v>47</v>
      </c>
      <c r="P400">
        <v>0</v>
      </c>
      <c r="Q400">
        <v>0</v>
      </c>
      <c r="R400">
        <v>1</v>
      </c>
      <c r="S400" t="s">
        <v>130</v>
      </c>
      <c r="T400" t="s">
        <v>653</v>
      </c>
      <c r="U400">
        <v>1</v>
      </c>
    </row>
    <row r="401" spans="1:21" x14ac:dyDescent="0.3">
      <c r="A401" t="s">
        <v>647</v>
      </c>
      <c r="B401" t="s">
        <v>648</v>
      </c>
      <c r="C401" t="s">
        <v>649</v>
      </c>
      <c r="D401" t="s">
        <v>29</v>
      </c>
      <c r="E401" t="s">
        <v>30</v>
      </c>
      <c r="F401" s="6">
        <v>45230</v>
      </c>
      <c r="G401">
        <v>77</v>
      </c>
      <c r="H401">
        <v>74</v>
      </c>
      <c r="I401">
        <v>0.96103896103896103</v>
      </c>
      <c r="J401">
        <v>0.96103896103896103</v>
      </c>
      <c r="K401" t="s">
        <v>31</v>
      </c>
      <c r="L401" t="s">
        <v>31</v>
      </c>
      <c r="M401">
        <v>2023</v>
      </c>
      <c r="N401" t="s">
        <v>53</v>
      </c>
      <c r="O401" t="s">
        <v>47</v>
      </c>
      <c r="P401">
        <v>0</v>
      </c>
      <c r="Q401">
        <v>0</v>
      </c>
      <c r="R401">
        <v>1</v>
      </c>
      <c r="S401" t="s">
        <v>130</v>
      </c>
      <c r="T401" t="s">
        <v>654</v>
      </c>
      <c r="U401">
        <v>1</v>
      </c>
    </row>
    <row r="402" spans="1:21" x14ac:dyDescent="0.3">
      <c r="A402" t="s">
        <v>647</v>
      </c>
      <c r="B402" t="s">
        <v>648</v>
      </c>
      <c r="C402" t="s">
        <v>649</v>
      </c>
      <c r="D402" t="s">
        <v>29</v>
      </c>
      <c r="E402" t="s">
        <v>30</v>
      </c>
      <c r="F402" s="6">
        <v>45260</v>
      </c>
      <c r="G402">
        <v>81</v>
      </c>
      <c r="H402">
        <v>62</v>
      </c>
      <c r="I402">
        <v>0.76543209876543206</v>
      </c>
      <c r="J402">
        <v>0.76543209876543206</v>
      </c>
      <c r="K402" t="s">
        <v>31</v>
      </c>
      <c r="L402" t="s">
        <v>31</v>
      </c>
      <c r="M402">
        <v>2023</v>
      </c>
      <c r="N402" t="s">
        <v>55</v>
      </c>
      <c r="O402" t="s">
        <v>47</v>
      </c>
      <c r="P402">
        <v>0</v>
      </c>
      <c r="Q402">
        <v>0</v>
      </c>
      <c r="R402">
        <v>1</v>
      </c>
      <c r="S402" t="s">
        <v>130</v>
      </c>
      <c r="T402" t="s">
        <v>655</v>
      </c>
      <c r="U402">
        <v>1</v>
      </c>
    </row>
    <row r="403" spans="1:21" x14ac:dyDescent="0.3">
      <c r="A403" t="s">
        <v>647</v>
      </c>
      <c r="B403" t="s">
        <v>648</v>
      </c>
      <c r="C403" t="s">
        <v>649</v>
      </c>
      <c r="D403" t="s">
        <v>29</v>
      </c>
      <c r="E403" t="s">
        <v>30</v>
      </c>
      <c r="F403" s="6">
        <v>45291</v>
      </c>
      <c r="G403">
        <v>100</v>
      </c>
      <c r="H403">
        <v>99</v>
      </c>
      <c r="I403">
        <v>0.99</v>
      </c>
      <c r="J403">
        <v>0.99</v>
      </c>
      <c r="K403" t="s">
        <v>31</v>
      </c>
      <c r="L403" t="s">
        <v>31</v>
      </c>
      <c r="M403">
        <v>2023</v>
      </c>
      <c r="N403" t="s">
        <v>57</v>
      </c>
      <c r="O403" t="s">
        <v>47</v>
      </c>
      <c r="P403">
        <v>0</v>
      </c>
      <c r="Q403">
        <v>0</v>
      </c>
      <c r="R403">
        <v>1</v>
      </c>
      <c r="S403" t="s">
        <v>130</v>
      </c>
      <c r="T403" t="s">
        <v>656</v>
      </c>
      <c r="U403">
        <v>1</v>
      </c>
    </row>
    <row r="404" spans="1:21" x14ac:dyDescent="0.3">
      <c r="A404" t="s">
        <v>647</v>
      </c>
      <c r="B404" t="s">
        <v>648</v>
      </c>
      <c r="C404" t="s">
        <v>649</v>
      </c>
      <c r="D404" t="s">
        <v>29</v>
      </c>
      <c r="E404" t="s">
        <v>30</v>
      </c>
      <c r="F404" s="6">
        <v>45322</v>
      </c>
      <c r="G404">
        <v>100</v>
      </c>
      <c r="H404">
        <v>100</v>
      </c>
      <c r="I404">
        <v>1</v>
      </c>
      <c r="J404">
        <v>1</v>
      </c>
      <c r="K404" t="s">
        <v>31</v>
      </c>
      <c r="L404" t="s">
        <v>31</v>
      </c>
      <c r="M404">
        <v>2024</v>
      </c>
      <c r="N404" t="s">
        <v>32</v>
      </c>
      <c r="O404" t="s">
        <v>71</v>
      </c>
      <c r="P404">
        <v>0</v>
      </c>
      <c r="Q404">
        <v>0</v>
      </c>
      <c r="R404">
        <v>1</v>
      </c>
      <c r="S404" t="s">
        <v>130</v>
      </c>
      <c r="T404" t="s">
        <v>657</v>
      </c>
      <c r="U404">
        <v>1</v>
      </c>
    </row>
    <row r="405" spans="1:21" x14ac:dyDescent="0.3">
      <c r="A405" t="s">
        <v>658</v>
      </c>
      <c r="B405" t="s">
        <v>659</v>
      </c>
      <c r="C405" t="s">
        <v>187</v>
      </c>
      <c r="D405" t="s">
        <v>29</v>
      </c>
      <c r="E405" t="s">
        <v>30</v>
      </c>
      <c r="F405" s="6">
        <v>44926</v>
      </c>
      <c r="G405">
        <v>57</v>
      </c>
      <c r="H405">
        <v>71</v>
      </c>
      <c r="I405">
        <v>1.245614035087719</v>
      </c>
      <c r="J405">
        <v>1.245614035087719</v>
      </c>
      <c r="M405">
        <v>2022</v>
      </c>
      <c r="N405" t="s">
        <v>57</v>
      </c>
      <c r="O405" t="s">
        <v>90</v>
      </c>
      <c r="P405">
        <v>0</v>
      </c>
      <c r="Q405">
        <v>0</v>
      </c>
      <c r="R405">
        <v>0</v>
      </c>
      <c r="S405" t="s">
        <v>130</v>
      </c>
      <c r="T405" t="s">
        <v>660</v>
      </c>
      <c r="U405">
        <v>1</v>
      </c>
    </row>
    <row r="406" spans="1:21" x14ac:dyDescent="0.3">
      <c r="A406" t="s">
        <v>658</v>
      </c>
      <c r="B406" t="s">
        <v>659</v>
      </c>
      <c r="C406" t="s">
        <v>187</v>
      </c>
      <c r="D406" t="s">
        <v>29</v>
      </c>
      <c r="E406" t="s">
        <v>30</v>
      </c>
      <c r="F406" s="6">
        <v>45107</v>
      </c>
      <c r="G406">
        <v>100</v>
      </c>
      <c r="H406">
        <v>100</v>
      </c>
      <c r="I406">
        <v>1</v>
      </c>
      <c r="J406">
        <v>1</v>
      </c>
      <c r="K406" t="s">
        <v>31</v>
      </c>
      <c r="L406" t="s">
        <v>31</v>
      </c>
      <c r="M406">
        <v>2023</v>
      </c>
      <c r="N406" t="s">
        <v>44</v>
      </c>
      <c r="O406" t="s">
        <v>33</v>
      </c>
      <c r="P406">
        <v>0</v>
      </c>
      <c r="Q406">
        <v>0</v>
      </c>
      <c r="R406">
        <v>0</v>
      </c>
      <c r="S406" t="s">
        <v>130</v>
      </c>
      <c r="T406" t="s">
        <v>661</v>
      </c>
      <c r="U406">
        <v>1</v>
      </c>
    </row>
    <row r="407" spans="1:21" x14ac:dyDescent="0.3">
      <c r="A407" t="s">
        <v>662</v>
      </c>
      <c r="B407" t="s">
        <v>125</v>
      </c>
      <c r="C407" t="s">
        <v>663</v>
      </c>
      <c r="D407" t="s">
        <v>98</v>
      </c>
      <c r="E407" t="s">
        <v>30</v>
      </c>
      <c r="F407" s="6">
        <v>44865</v>
      </c>
      <c r="G407">
        <v>80</v>
      </c>
      <c r="H407">
        <v>84.895356277709197</v>
      </c>
      <c r="I407">
        <v>1.061191953471365</v>
      </c>
      <c r="J407">
        <v>1.061191953471365</v>
      </c>
      <c r="K407" t="s">
        <v>31</v>
      </c>
      <c r="L407" t="s">
        <v>31</v>
      </c>
      <c r="M407">
        <v>2022</v>
      </c>
      <c r="N407" t="s">
        <v>53</v>
      </c>
      <c r="O407" t="s">
        <v>90</v>
      </c>
      <c r="P407">
        <v>0</v>
      </c>
      <c r="Q407">
        <v>0</v>
      </c>
      <c r="R407">
        <v>0</v>
      </c>
      <c r="S407" t="s">
        <v>130</v>
      </c>
      <c r="T407" t="s">
        <v>664</v>
      </c>
      <c r="U407">
        <v>1</v>
      </c>
    </row>
    <row r="408" spans="1:21" x14ac:dyDescent="0.3">
      <c r="A408" t="s">
        <v>662</v>
      </c>
      <c r="B408" t="s">
        <v>125</v>
      </c>
      <c r="C408" t="s">
        <v>663</v>
      </c>
      <c r="D408" t="s">
        <v>98</v>
      </c>
      <c r="E408" t="s">
        <v>30</v>
      </c>
      <c r="F408" s="6">
        <v>45291</v>
      </c>
      <c r="G408">
        <v>80</v>
      </c>
      <c r="H408">
        <v>92.789115646258509</v>
      </c>
      <c r="I408">
        <v>1.1598639455782309</v>
      </c>
      <c r="J408">
        <v>1.1598639455782309</v>
      </c>
      <c r="K408" t="s">
        <v>31</v>
      </c>
      <c r="L408" t="s">
        <v>31</v>
      </c>
      <c r="M408">
        <v>2023</v>
      </c>
      <c r="N408" t="s">
        <v>57</v>
      </c>
      <c r="O408" t="s">
        <v>47</v>
      </c>
      <c r="P408">
        <v>0</v>
      </c>
      <c r="Q408">
        <v>0</v>
      </c>
      <c r="R408">
        <v>0</v>
      </c>
      <c r="S408" t="s">
        <v>130</v>
      </c>
      <c r="T408" t="s">
        <v>665</v>
      </c>
      <c r="U408">
        <v>1</v>
      </c>
    </row>
    <row r="409" spans="1:21" x14ac:dyDescent="0.3">
      <c r="A409" t="s">
        <v>662</v>
      </c>
      <c r="B409" t="s">
        <v>125</v>
      </c>
      <c r="C409" t="s">
        <v>663</v>
      </c>
      <c r="D409" t="s">
        <v>98</v>
      </c>
      <c r="E409" t="s">
        <v>30</v>
      </c>
      <c r="F409" s="6">
        <v>45657</v>
      </c>
      <c r="G409">
        <v>80</v>
      </c>
      <c r="H409">
        <v>91</v>
      </c>
      <c r="I409">
        <v>1.1375</v>
      </c>
      <c r="J409">
        <v>1.1375</v>
      </c>
      <c r="K409" t="s">
        <v>31</v>
      </c>
      <c r="L409" t="s">
        <v>31</v>
      </c>
      <c r="M409">
        <v>2024</v>
      </c>
      <c r="N409" t="s">
        <v>57</v>
      </c>
      <c r="O409" t="s">
        <v>78</v>
      </c>
      <c r="P409">
        <v>0</v>
      </c>
      <c r="Q409">
        <v>0</v>
      </c>
      <c r="R409">
        <v>0</v>
      </c>
      <c r="S409" t="s">
        <v>130</v>
      </c>
      <c r="T409" t="s">
        <v>666</v>
      </c>
      <c r="U409">
        <v>1</v>
      </c>
    </row>
    <row r="410" spans="1:21" x14ac:dyDescent="0.3">
      <c r="A410" t="s">
        <v>662</v>
      </c>
      <c r="B410" t="s">
        <v>125</v>
      </c>
      <c r="C410" t="s">
        <v>663</v>
      </c>
      <c r="D410" t="s">
        <v>98</v>
      </c>
      <c r="E410" t="s">
        <v>30</v>
      </c>
      <c r="F410" s="6">
        <v>45961</v>
      </c>
      <c r="G410">
        <v>80</v>
      </c>
      <c r="H410" t="s">
        <v>667</v>
      </c>
      <c r="I410">
        <v>1.2</v>
      </c>
      <c r="J410">
        <v>1.2</v>
      </c>
      <c r="K410" t="s">
        <v>193</v>
      </c>
      <c r="L410" t="s">
        <v>668</v>
      </c>
      <c r="M410">
        <v>2025</v>
      </c>
      <c r="N410" t="s">
        <v>53</v>
      </c>
      <c r="O410" t="s">
        <v>103</v>
      </c>
      <c r="P410">
        <v>2</v>
      </c>
      <c r="Q410">
        <v>2</v>
      </c>
      <c r="R410">
        <v>0</v>
      </c>
      <c r="S410" t="s">
        <v>130</v>
      </c>
      <c r="T410" t="s">
        <v>669</v>
      </c>
      <c r="U410">
        <v>31</v>
      </c>
    </row>
    <row r="411" spans="1:21" x14ac:dyDescent="0.3">
      <c r="A411" t="s">
        <v>670</v>
      </c>
      <c r="B411" t="s">
        <v>671</v>
      </c>
      <c r="C411" t="s">
        <v>672</v>
      </c>
      <c r="D411" t="s">
        <v>222</v>
      </c>
      <c r="E411" t="s">
        <v>30</v>
      </c>
      <c r="F411" s="6">
        <v>45107</v>
      </c>
      <c r="G411">
        <v>90</v>
      </c>
      <c r="H411">
        <v>105.56</v>
      </c>
      <c r="I411">
        <v>1.0556000000000001</v>
      </c>
      <c r="J411">
        <v>1.1728888888888891</v>
      </c>
      <c r="K411" t="s">
        <v>31</v>
      </c>
      <c r="L411" t="s">
        <v>31</v>
      </c>
      <c r="M411">
        <v>2023</v>
      </c>
      <c r="N411" t="s">
        <v>44</v>
      </c>
      <c r="O411" t="s">
        <v>33</v>
      </c>
      <c r="P411">
        <v>0</v>
      </c>
      <c r="Q411">
        <v>0</v>
      </c>
      <c r="R411">
        <v>0</v>
      </c>
      <c r="S411" t="s">
        <v>130</v>
      </c>
      <c r="T411" t="s">
        <v>673</v>
      </c>
      <c r="U411">
        <v>1</v>
      </c>
    </row>
    <row r="412" spans="1:21" x14ac:dyDescent="0.3">
      <c r="A412" t="s">
        <v>670</v>
      </c>
      <c r="B412" t="s">
        <v>671</v>
      </c>
      <c r="C412" t="s">
        <v>672</v>
      </c>
      <c r="D412" t="s">
        <v>222</v>
      </c>
      <c r="E412" t="s">
        <v>30</v>
      </c>
      <c r="F412" s="6">
        <v>45291</v>
      </c>
      <c r="G412">
        <v>90</v>
      </c>
      <c r="H412">
        <v>94.44</v>
      </c>
      <c r="I412">
        <v>0.94440000000000002</v>
      </c>
      <c r="J412">
        <v>1.049333333333333</v>
      </c>
      <c r="K412" t="s">
        <v>31</v>
      </c>
      <c r="L412" t="s">
        <v>31</v>
      </c>
      <c r="M412">
        <v>2023</v>
      </c>
      <c r="N412" t="s">
        <v>57</v>
      </c>
      <c r="O412" t="s">
        <v>47</v>
      </c>
      <c r="P412">
        <v>0</v>
      </c>
      <c r="Q412">
        <v>0</v>
      </c>
      <c r="R412">
        <v>0</v>
      </c>
      <c r="S412" t="s">
        <v>130</v>
      </c>
      <c r="T412" t="s">
        <v>674</v>
      </c>
      <c r="U412">
        <v>1</v>
      </c>
    </row>
    <row r="413" spans="1:21" x14ac:dyDescent="0.3">
      <c r="A413" t="s">
        <v>670</v>
      </c>
      <c r="B413" t="s">
        <v>671</v>
      </c>
      <c r="C413" t="s">
        <v>672</v>
      </c>
      <c r="D413" t="s">
        <v>222</v>
      </c>
      <c r="E413" t="s">
        <v>30</v>
      </c>
      <c r="F413" s="6">
        <v>45473</v>
      </c>
      <c r="G413">
        <v>90</v>
      </c>
      <c r="H413">
        <v>95.24</v>
      </c>
      <c r="I413">
        <v>1.058222222222222</v>
      </c>
      <c r="J413">
        <v>1.058222222222222</v>
      </c>
      <c r="K413" t="s">
        <v>31</v>
      </c>
      <c r="L413" t="s">
        <v>31</v>
      </c>
      <c r="M413">
        <v>2024</v>
      </c>
      <c r="N413" t="s">
        <v>44</v>
      </c>
      <c r="O413" t="s">
        <v>71</v>
      </c>
      <c r="P413">
        <v>0</v>
      </c>
      <c r="Q413">
        <v>0</v>
      </c>
      <c r="R413">
        <v>0</v>
      </c>
      <c r="S413" t="s">
        <v>130</v>
      </c>
      <c r="T413" t="s">
        <v>675</v>
      </c>
      <c r="U413">
        <v>1</v>
      </c>
    </row>
    <row r="414" spans="1:21" x14ac:dyDescent="0.3">
      <c r="A414" t="s">
        <v>676</v>
      </c>
      <c r="B414" t="s">
        <v>677</v>
      </c>
      <c r="C414" t="s">
        <v>672</v>
      </c>
      <c r="D414" t="s">
        <v>233</v>
      </c>
      <c r="E414" t="s">
        <v>30</v>
      </c>
      <c r="F414" s="6">
        <v>45016</v>
      </c>
      <c r="G414">
        <v>86</v>
      </c>
      <c r="H414">
        <v>87</v>
      </c>
      <c r="I414">
        <v>1.011627906976744</v>
      </c>
      <c r="J414">
        <v>1.011627906976744</v>
      </c>
      <c r="K414" t="s">
        <v>31</v>
      </c>
      <c r="L414" t="s">
        <v>31</v>
      </c>
      <c r="M414">
        <v>2023</v>
      </c>
      <c r="N414" t="s">
        <v>38</v>
      </c>
      <c r="O414" t="s">
        <v>33</v>
      </c>
      <c r="P414">
        <v>0</v>
      </c>
      <c r="Q414">
        <v>0</v>
      </c>
      <c r="R414">
        <v>0</v>
      </c>
      <c r="S414" t="s">
        <v>130</v>
      </c>
      <c r="T414" t="s">
        <v>678</v>
      </c>
      <c r="U414">
        <v>1</v>
      </c>
    </row>
    <row r="415" spans="1:21" x14ac:dyDescent="0.3">
      <c r="A415" t="s">
        <v>676</v>
      </c>
      <c r="B415" t="s">
        <v>677</v>
      </c>
      <c r="C415" t="s">
        <v>672</v>
      </c>
      <c r="D415" t="s">
        <v>233</v>
      </c>
      <c r="E415" t="s">
        <v>30</v>
      </c>
      <c r="F415" s="6">
        <v>45107</v>
      </c>
      <c r="G415">
        <v>126</v>
      </c>
      <c r="H415">
        <v>126</v>
      </c>
      <c r="I415">
        <v>1</v>
      </c>
      <c r="J415">
        <v>1</v>
      </c>
      <c r="K415" t="s">
        <v>31</v>
      </c>
      <c r="L415" t="s">
        <v>31</v>
      </c>
      <c r="M415">
        <v>2023</v>
      </c>
      <c r="N415" t="s">
        <v>44</v>
      </c>
      <c r="O415" t="s">
        <v>33</v>
      </c>
      <c r="P415">
        <v>0</v>
      </c>
      <c r="Q415">
        <v>0</v>
      </c>
      <c r="R415">
        <v>0</v>
      </c>
      <c r="S415" t="s">
        <v>130</v>
      </c>
      <c r="T415" t="s">
        <v>679</v>
      </c>
      <c r="U415">
        <v>1</v>
      </c>
    </row>
    <row r="416" spans="1:21" x14ac:dyDescent="0.3">
      <c r="A416" t="s">
        <v>676</v>
      </c>
      <c r="B416" t="s">
        <v>677</v>
      </c>
      <c r="C416" t="s">
        <v>672</v>
      </c>
      <c r="D416" t="s">
        <v>233</v>
      </c>
      <c r="E416" t="s">
        <v>30</v>
      </c>
      <c r="F416" s="6">
        <v>45199</v>
      </c>
      <c r="G416">
        <v>138</v>
      </c>
      <c r="H416">
        <v>138</v>
      </c>
      <c r="I416">
        <v>1</v>
      </c>
      <c r="J416">
        <v>1</v>
      </c>
      <c r="K416" t="s">
        <v>31</v>
      </c>
      <c r="L416" t="s">
        <v>31</v>
      </c>
      <c r="M416">
        <v>2023</v>
      </c>
      <c r="N416" t="s">
        <v>51</v>
      </c>
      <c r="O416" t="s">
        <v>47</v>
      </c>
      <c r="P416">
        <v>0</v>
      </c>
      <c r="Q416">
        <v>0</v>
      </c>
      <c r="R416">
        <v>0</v>
      </c>
      <c r="S416" t="s">
        <v>130</v>
      </c>
      <c r="T416" t="s">
        <v>680</v>
      </c>
      <c r="U416">
        <v>1</v>
      </c>
    </row>
    <row r="417" spans="1:21" x14ac:dyDescent="0.3">
      <c r="A417" t="s">
        <v>676</v>
      </c>
      <c r="B417" t="s">
        <v>677</v>
      </c>
      <c r="C417" t="s">
        <v>672</v>
      </c>
      <c r="D417" t="s">
        <v>233</v>
      </c>
      <c r="E417" t="s">
        <v>30</v>
      </c>
      <c r="F417" s="6">
        <v>45291</v>
      </c>
      <c r="G417">
        <v>97</v>
      </c>
      <c r="H417">
        <v>97</v>
      </c>
      <c r="I417">
        <v>1</v>
      </c>
      <c r="J417">
        <v>1</v>
      </c>
      <c r="K417" t="s">
        <v>31</v>
      </c>
      <c r="L417" t="s">
        <v>31</v>
      </c>
      <c r="M417">
        <v>2023</v>
      </c>
      <c r="N417" t="s">
        <v>57</v>
      </c>
      <c r="O417" t="s">
        <v>47</v>
      </c>
      <c r="P417">
        <v>0</v>
      </c>
      <c r="Q417">
        <v>0</v>
      </c>
      <c r="R417">
        <v>0</v>
      </c>
      <c r="S417" t="s">
        <v>130</v>
      </c>
      <c r="T417" t="s">
        <v>681</v>
      </c>
      <c r="U417">
        <v>1</v>
      </c>
    </row>
    <row r="418" spans="1:21" x14ac:dyDescent="0.3">
      <c r="A418" t="s">
        <v>676</v>
      </c>
      <c r="B418" t="s">
        <v>677</v>
      </c>
      <c r="C418" t="s">
        <v>672</v>
      </c>
      <c r="D418" t="s">
        <v>233</v>
      </c>
      <c r="E418" t="s">
        <v>30</v>
      </c>
      <c r="F418" s="6">
        <v>45473</v>
      </c>
      <c r="G418">
        <v>90</v>
      </c>
      <c r="H418">
        <v>100</v>
      </c>
      <c r="I418">
        <v>1.1111111111111109</v>
      </c>
      <c r="J418">
        <v>1.1111111111111109</v>
      </c>
      <c r="K418" t="s">
        <v>31</v>
      </c>
      <c r="L418" t="s">
        <v>31</v>
      </c>
      <c r="M418">
        <v>2024</v>
      </c>
      <c r="N418" t="s">
        <v>44</v>
      </c>
      <c r="O418" t="s">
        <v>71</v>
      </c>
      <c r="P418">
        <v>0</v>
      </c>
      <c r="Q418">
        <v>0</v>
      </c>
      <c r="R418">
        <v>0</v>
      </c>
      <c r="S418" t="s">
        <v>130</v>
      </c>
      <c r="T418" t="s">
        <v>682</v>
      </c>
      <c r="U418">
        <v>1</v>
      </c>
    </row>
    <row r="419" spans="1:21" x14ac:dyDescent="0.3">
      <c r="A419" t="s">
        <v>683</v>
      </c>
      <c r="B419" t="s">
        <v>684</v>
      </c>
      <c r="C419" t="s">
        <v>672</v>
      </c>
      <c r="D419" t="s">
        <v>29</v>
      </c>
      <c r="E419" t="s">
        <v>108</v>
      </c>
      <c r="F419" s="6">
        <v>44957</v>
      </c>
      <c r="G419">
        <v>58.043999999999997</v>
      </c>
      <c r="H419">
        <v>60.66</v>
      </c>
      <c r="I419">
        <v>0.95687438180019779</v>
      </c>
      <c r="J419">
        <v>0.95687438180019779</v>
      </c>
      <c r="K419" t="s">
        <v>335</v>
      </c>
      <c r="L419" t="s">
        <v>335</v>
      </c>
      <c r="M419">
        <v>2023</v>
      </c>
      <c r="N419" t="s">
        <v>32</v>
      </c>
      <c r="O419" t="s">
        <v>33</v>
      </c>
      <c r="P419">
        <v>2</v>
      </c>
      <c r="Q419">
        <v>2</v>
      </c>
      <c r="R419">
        <v>0</v>
      </c>
      <c r="S419" t="s">
        <v>336</v>
      </c>
      <c r="T419" t="s">
        <v>685</v>
      </c>
      <c r="U419">
        <v>1</v>
      </c>
    </row>
    <row r="420" spans="1:21" x14ac:dyDescent="0.3">
      <c r="A420" t="s">
        <v>683</v>
      </c>
      <c r="B420" t="s">
        <v>684</v>
      </c>
      <c r="C420" t="s">
        <v>672</v>
      </c>
      <c r="D420" t="s">
        <v>29</v>
      </c>
      <c r="E420" t="s">
        <v>108</v>
      </c>
      <c r="F420" s="6">
        <v>44985</v>
      </c>
      <c r="G420">
        <v>163.87299999999999</v>
      </c>
      <c r="H420">
        <v>115.42100000000001</v>
      </c>
      <c r="I420">
        <v>1.3</v>
      </c>
      <c r="J420">
        <v>1.4197849611422531</v>
      </c>
      <c r="K420" t="s">
        <v>335</v>
      </c>
      <c r="L420" t="s">
        <v>335</v>
      </c>
      <c r="M420">
        <v>2023</v>
      </c>
      <c r="N420" t="s">
        <v>36</v>
      </c>
      <c r="O420" t="s">
        <v>33</v>
      </c>
      <c r="P420">
        <v>2</v>
      </c>
      <c r="Q420">
        <v>2</v>
      </c>
      <c r="R420">
        <v>0</v>
      </c>
      <c r="S420" t="s">
        <v>336</v>
      </c>
      <c r="T420" t="s">
        <v>686</v>
      </c>
      <c r="U420">
        <v>1</v>
      </c>
    </row>
    <row r="421" spans="1:21" x14ac:dyDescent="0.3">
      <c r="A421" t="s">
        <v>683</v>
      </c>
      <c r="B421" t="s">
        <v>684</v>
      </c>
      <c r="C421" t="s">
        <v>672</v>
      </c>
      <c r="D421" t="s">
        <v>29</v>
      </c>
      <c r="E421" t="s">
        <v>108</v>
      </c>
      <c r="F421" s="6">
        <v>45016</v>
      </c>
      <c r="G421">
        <v>336.81799999999998</v>
      </c>
      <c r="H421">
        <v>167.49299999999999</v>
      </c>
      <c r="I421">
        <v>1.3</v>
      </c>
      <c r="J421">
        <v>2.0109377705336939</v>
      </c>
      <c r="K421" t="s">
        <v>335</v>
      </c>
      <c r="L421" t="s">
        <v>335</v>
      </c>
      <c r="M421">
        <v>2023</v>
      </c>
      <c r="N421" t="s">
        <v>38</v>
      </c>
      <c r="O421" t="s">
        <v>33</v>
      </c>
      <c r="P421">
        <v>2</v>
      </c>
      <c r="Q421">
        <v>2</v>
      </c>
      <c r="R421">
        <v>0</v>
      </c>
      <c r="S421" t="s">
        <v>336</v>
      </c>
      <c r="T421" t="s">
        <v>687</v>
      </c>
      <c r="U421">
        <v>1</v>
      </c>
    </row>
    <row r="422" spans="1:21" x14ac:dyDescent="0.3">
      <c r="A422" t="s">
        <v>683</v>
      </c>
      <c r="B422" t="s">
        <v>684</v>
      </c>
      <c r="C422" t="s">
        <v>672</v>
      </c>
      <c r="D422" t="s">
        <v>29</v>
      </c>
      <c r="E422" t="s">
        <v>108</v>
      </c>
      <c r="F422" s="6">
        <v>45046</v>
      </c>
      <c r="G422">
        <v>424.51799999999997</v>
      </c>
      <c r="H422">
        <v>251.40600000000001</v>
      </c>
      <c r="I422">
        <v>1.3</v>
      </c>
      <c r="J422">
        <v>1.688575451659865</v>
      </c>
      <c r="K422" t="s">
        <v>335</v>
      </c>
      <c r="L422" t="s">
        <v>335</v>
      </c>
      <c r="M422">
        <v>2023</v>
      </c>
      <c r="N422" t="s">
        <v>40</v>
      </c>
      <c r="O422" t="s">
        <v>33</v>
      </c>
      <c r="P422">
        <v>2</v>
      </c>
      <c r="Q422">
        <v>2</v>
      </c>
      <c r="R422">
        <v>0</v>
      </c>
      <c r="S422" t="s">
        <v>336</v>
      </c>
      <c r="T422" t="s">
        <v>688</v>
      </c>
      <c r="U422">
        <v>1</v>
      </c>
    </row>
    <row r="423" spans="1:21" x14ac:dyDescent="0.3">
      <c r="A423" t="s">
        <v>683</v>
      </c>
      <c r="B423" t="s">
        <v>684</v>
      </c>
      <c r="C423" t="s">
        <v>672</v>
      </c>
      <c r="D423" t="s">
        <v>29</v>
      </c>
      <c r="E423" t="s">
        <v>108</v>
      </c>
      <c r="F423" s="6">
        <v>45077</v>
      </c>
      <c r="G423">
        <v>498.73899999999998</v>
      </c>
      <c r="H423">
        <v>329.68</v>
      </c>
      <c r="I423">
        <v>1.3</v>
      </c>
      <c r="J423">
        <v>1.5127972579471001</v>
      </c>
      <c r="K423" t="s">
        <v>335</v>
      </c>
      <c r="L423" t="s">
        <v>335</v>
      </c>
      <c r="M423">
        <v>2023</v>
      </c>
      <c r="N423" t="s">
        <v>42</v>
      </c>
      <c r="O423" t="s">
        <v>33</v>
      </c>
      <c r="P423">
        <v>2</v>
      </c>
      <c r="Q423">
        <v>2</v>
      </c>
      <c r="R423">
        <v>0</v>
      </c>
      <c r="S423" t="s">
        <v>336</v>
      </c>
      <c r="T423" t="s">
        <v>689</v>
      </c>
      <c r="U423">
        <v>1</v>
      </c>
    </row>
    <row r="424" spans="1:21" x14ac:dyDescent="0.3">
      <c r="A424" t="s">
        <v>683</v>
      </c>
      <c r="B424" t="s">
        <v>684</v>
      </c>
      <c r="C424" t="s">
        <v>672</v>
      </c>
      <c r="D424" t="s">
        <v>29</v>
      </c>
      <c r="E424" t="s">
        <v>108</v>
      </c>
      <c r="F424" s="6">
        <v>45107</v>
      </c>
      <c r="G424">
        <v>570.08299999999997</v>
      </c>
      <c r="H424">
        <v>410.077</v>
      </c>
      <c r="I424">
        <v>1.3</v>
      </c>
      <c r="J424">
        <v>1.3901852578905911</v>
      </c>
      <c r="K424" t="s">
        <v>335</v>
      </c>
      <c r="L424" t="s">
        <v>335</v>
      </c>
      <c r="M424">
        <v>2023</v>
      </c>
      <c r="N424" t="s">
        <v>44</v>
      </c>
      <c r="O424" t="s">
        <v>33</v>
      </c>
      <c r="P424">
        <v>2</v>
      </c>
      <c r="Q424">
        <v>2</v>
      </c>
      <c r="R424">
        <v>0</v>
      </c>
      <c r="S424" t="s">
        <v>336</v>
      </c>
      <c r="T424" t="s">
        <v>690</v>
      </c>
      <c r="U424">
        <v>1</v>
      </c>
    </row>
    <row r="425" spans="1:21" x14ac:dyDescent="0.3">
      <c r="A425" t="s">
        <v>683</v>
      </c>
      <c r="B425" t="s">
        <v>684</v>
      </c>
      <c r="C425" t="s">
        <v>672</v>
      </c>
      <c r="D425" t="s">
        <v>29</v>
      </c>
      <c r="E425" t="s">
        <v>108</v>
      </c>
      <c r="F425" s="6">
        <v>45138</v>
      </c>
      <c r="G425">
        <v>657.57899999999995</v>
      </c>
      <c r="H425">
        <v>491.44</v>
      </c>
      <c r="I425">
        <v>1.3</v>
      </c>
      <c r="J425">
        <v>1.3380656845189649</v>
      </c>
      <c r="K425" t="s">
        <v>335</v>
      </c>
      <c r="L425" t="s">
        <v>335</v>
      </c>
      <c r="M425">
        <v>2023</v>
      </c>
      <c r="N425" t="s">
        <v>46</v>
      </c>
      <c r="O425" t="s">
        <v>47</v>
      </c>
      <c r="P425">
        <v>2</v>
      </c>
      <c r="Q425">
        <v>2</v>
      </c>
      <c r="R425">
        <v>0</v>
      </c>
      <c r="S425" t="s">
        <v>336</v>
      </c>
      <c r="T425" t="s">
        <v>691</v>
      </c>
      <c r="U425">
        <v>1</v>
      </c>
    </row>
    <row r="426" spans="1:21" x14ac:dyDescent="0.3">
      <c r="A426" t="s">
        <v>683</v>
      </c>
      <c r="B426" t="s">
        <v>684</v>
      </c>
      <c r="C426" t="s">
        <v>672</v>
      </c>
      <c r="D426" t="s">
        <v>29</v>
      </c>
      <c r="E426" t="s">
        <v>108</v>
      </c>
      <c r="F426" s="6">
        <v>45169</v>
      </c>
      <c r="G426">
        <v>742.86199999999997</v>
      </c>
      <c r="H426">
        <v>579.83399999999995</v>
      </c>
      <c r="I426">
        <v>1.281163229476022</v>
      </c>
      <c r="J426">
        <v>1.281163229476022</v>
      </c>
      <c r="K426" t="s">
        <v>335</v>
      </c>
      <c r="L426" t="s">
        <v>335</v>
      </c>
      <c r="M426">
        <v>2023</v>
      </c>
      <c r="N426" t="s">
        <v>49</v>
      </c>
      <c r="O426" t="s">
        <v>47</v>
      </c>
      <c r="P426">
        <v>2</v>
      </c>
      <c r="Q426">
        <v>2</v>
      </c>
      <c r="R426">
        <v>0</v>
      </c>
      <c r="S426" t="s">
        <v>336</v>
      </c>
      <c r="T426" t="s">
        <v>692</v>
      </c>
      <c r="U426">
        <v>1</v>
      </c>
    </row>
    <row r="427" spans="1:21" x14ac:dyDescent="0.3">
      <c r="A427" t="s">
        <v>683</v>
      </c>
      <c r="B427" t="s">
        <v>684</v>
      </c>
      <c r="C427" t="s">
        <v>672</v>
      </c>
      <c r="D427" t="s">
        <v>29</v>
      </c>
      <c r="E427" t="s">
        <v>108</v>
      </c>
      <c r="F427" s="6">
        <v>45199</v>
      </c>
      <c r="G427">
        <v>767.86699999999996</v>
      </c>
      <c r="H427">
        <v>654.85500000000002</v>
      </c>
      <c r="I427">
        <v>1.1725756083407779</v>
      </c>
      <c r="J427">
        <v>1.1725756083407779</v>
      </c>
      <c r="K427" t="s">
        <v>335</v>
      </c>
      <c r="L427" t="s">
        <v>335</v>
      </c>
      <c r="M427">
        <v>2023</v>
      </c>
      <c r="N427" t="s">
        <v>51</v>
      </c>
      <c r="O427" t="s">
        <v>47</v>
      </c>
      <c r="P427">
        <v>2</v>
      </c>
      <c r="Q427">
        <v>2</v>
      </c>
      <c r="R427">
        <v>0</v>
      </c>
      <c r="S427" t="s">
        <v>336</v>
      </c>
      <c r="T427" t="s">
        <v>693</v>
      </c>
      <c r="U427">
        <v>1</v>
      </c>
    </row>
    <row r="428" spans="1:21" x14ac:dyDescent="0.3">
      <c r="A428" t="s">
        <v>683</v>
      </c>
      <c r="B428" t="s">
        <v>684</v>
      </c>
      <c r="C428" t="s">
        <v>672</v>
      </c>
      <c r="D428" t="s">
        <v>29</v>
      </c>
      <c r="E428" t="s">
        <v>108</v>
      </c>
      <c r="F428" s="6">
        <v>45230</v>
      </c>
      <c r="G428">
        <v>838.952</v>
      </c>
      <c r="H428">
        <v>743.86199999999997</v>
      </c>
      <c r="I428">
        <v>1.127832850716934</v>
      </c>
      <c r="J428">
        <v>1.127832850716934</v>
      </c>
      <c r="K428" t="s">
        <v>335</v>
      </c>
      <c r="L428" t="s">
        <v>335</v>
      </c>
      <c r="M428">
        <v>2023</v>
      </c>
      <c r="N428" t="s">
        <v>53</v>
      </c>
      <c r="O428" t="s">
        <v>47</v>
      </c>
      <c r="P428">
        <v>2</v>
      </c>
      <c r="Q428">
        <v>2</v>
      </c>
      <c r="R428">
        <v>0</v>
      </c>
      <c r="S428" t="s">
        <v>336</v>
      </c>
      <c r="T428" t="s">
        <v>694</v>
      </c>
      <c r="U428">
        <v>1</v>
      </c>
    </row>
    <row r="429" spans="1:21" x14ac:dyDescent="0.3">
      <c r="A429" t="s">
        <v>683</v>
      </c>
      <c r="B429" t="s">
        <v>684</v>
      </c>
      <c r="C429" t="s">
        <v>672</v>
      </c>
      <c r="D429" t="s">
        <v>29</v>
      </c>
      <c r="E429" t="s">
        <v>108</v>
      </c>
      <c r="F429" s="6">
        <v>45260</v>
      </c>
      <c r="G429">
        <v>910.10699999999997</v>
      </c>
      <c r="H429">
        <v>840.42200000000003</v>
      </c>
      <c r="I429">
        <v>1.082916677573885</v>
      </c>
      <c r="J429">
        <v>1.082916677573885</v>
      </c>
      <c r="K429" t="s">
        <v>335</v>
      </c>
      <c r="L429" t="s">
        <v>335</v>
      </c>
      <c r="M429">
        <v>2023</v>
      </c>
      <c r="N429" t="s">
        <v>55</v>
      </c>
      <c r="O429" t="s">
        <v>47</v>
      </c>
      <c r="P429">
        <v>2</v>
      </c>
      <c r="Q429">
        <v>2</v>
      </c>
      <c r="R429">
        <v>0</v>
      </c>
      <c r="S429" t="s">
        <v>336</v>
      </c>
      <c r="T429" t="s">
        <v>695</v>
      </c>
      <c r="U429">
        <v>1</v>
      </c>
    </row>
    <row r="430" spans="1:21" x14ac:dyDescent="0.3">
      <c r="A430" t="s">
        <v>683</v>
      </c>
      <c r="B430" t="s">
        <v>684</v>
      </c>
      <c r="C430" t="s">
        <v>672</v>
      </c>
      <c r="D430" t="s">
        <v>29</v>
      </c>
      <c r="E430" t="s">
        <v>108</v>
      </c>
      <c r="F430" s="6">
        <v>45291</v>
      </c>
      <c r="G430">
        <v>981.98199999999997</v>
      </c>
      <c r="H430">
        <v>964.28399999999999</v>
      </c>
      <c r="I430">
        <v>1.0183535141099509</v>
      </c>
      <c r="J430">
        <v>1.0183535141099509</v>
      </c>
      <c r="K430" t="s">
        <v>335</v>
      </c>
      <c r="L430" t="s">
        <v>335</v>
      </c>
      <c r="M430">
        <v>2023</v>
      </c>
      <c r="N430" t="s">
        <v>57</v>
      </c>
      <c r="O430" t="s">
        <v>47</v>
      </c>
      <c r="P430">
        <v>2</v>
      </c>
      <c r="Q430">
        <v>2</v>
      </c>
      <c r="R430">
        <v>0</v>
      </c>
      <c r="S430" t="s">
        <v>336</v>
      </c>
      <c r="T430" t="s">
        <v>696</v>
      </c>
      <c r="U430">
        <v>1</v>
      </c>
    </row>
    <row r="431" spans="1:21" x14ac:dyDescent="0.3">
      <c r="A431" t="s">
        <v>683</v>
      </c>
      <c r="B431" t="s">
        <v>684</v>
      </c>
      <c r="C431" t="s">
        <v>672</v>
      </c>
      <c r="D431" t="s">
        <v>29</v>
      </c>
      <c r="E431" t="s">
        <v>108</v>
      </c>
      <c r="F431" s="6">
        <v>45322</v>
      </c>
      <c r="G431">
        <v>79.365133</v>
      </c>
      <c r="H431">
        <v>79.446461999999997</v>
      </c>
      <c r="I431">
        <v>0.99897630431925344</v>
      </c>
      <c r="J431">
        <v>0.99897630431925344</v>
      </c>
      <c r="K431" t="s">
        <v>335</v>
      </c>
      <c r="L431" t="s">
        <v>335</v>
      </c>
      <c r="M431">
        <v>2024</v>
      </c>
      <c r="N431" t="s">
        <v>32</v>
      </c>
      <c r="O431" t="s">
        <v>71</v>
      </c>
      <c r="P431">
        <v>2</v>
      </c>
      <c r="Q431">
        <v>2</v>
      </c>
      <c r="R431">
        <v>0</v>
      </c>
      <c r="S431" t="s">
        <v>336</v>
      </c>
      <c r="T431" t="s">
        <v>697</v>
      </c>
      <c r="U431">
        <v>1</v>
      </c>
    </row>
    <row r="432" spans="1:21" x14ac:dyDescent="0.3">
      <c r="A432" t="s">
        <v>683</v>
      </c>
      <c r="B432" t="s">
        <v>684</v>
      </c>
      <c r="C432" t="s">
        <v>672</v>
      </c>
      <c r="D432" t="s">
        <v>29</v>
      </c>
      <c r="E432" t="s">
        <v>108</v>
      </c>
      <c r="F432" s="6">
        <v>45351</v>
      </c>
      <c r="G432">
        <v>181.94887900000001</v>
      </c>
      <c r="H432">
        <v>168.893529</v>
      </c>
      <c r="I432">
        <v>1.077299290726526</v>
      </c>
      <c r="J432">
        <v>1.077299290726526</v>
      </c>
      <c r="K432" t="s">
        <v>335</v>
      </c>
      <c r="L432" t="s">
        <v>335</v>
      </c>
      <c r="M432">
        <v>2024</v>
      </c>
      <c r="N432" t="s">
        <v>36</v>
      </c>
      <c r="O432" t="s">
        <v>71</v>
      </c>
      <c r="P432">
        <v>2</v>
      </c>
      <c r="Q432">
        <v>2</v>
      </c>
      <c r="R432">
        <v>0</v>
      </c>
      <c r="S432" t="s">
        <v>336</v>
      </c>
      <c r="T432" t="s">
        <v>698</v>
      </c>
      <c r="U432">
        <v>1</v>
      </c>
    </row>
    <row r="433" spans="1:21" x14ac:dyDescent="0.3">
      <c r="A433" t="s">
        <v>683</v>
      </c>
      <c r="B433" t="s">
        <v>684</v>
      </c>
      <c r="C433" t="s">
        <v>672</v>
      </c>
      <c r="D433" t="s">
        <v>29</v>
      </c>
      <c r="E433" t="s">
        <v>108</v>
      </c>
      <c r="F433" s="6">
        <v>45382</v>
      </c>
      <c r="G433">
        <v>357.09982600000001</v>
      </c>
      <c r="H433">
        <v>224.836963</v>
      </c>
      <c r="I433">
        <v>1.3</v>
      </c>
      <c r="J433">
        <v>1.5882612059654979</v>
      </c>
      <c r="K433" t="s">
        <v>335</v>
      </c>
      <c r="L433" t="s">
        <v>335</v>
      </c>
      <c r="M433">
        <v>2024</v>
      </c>
      <c r="N433" t="s">
        <v>38</v>
      </c>
      <c r="O433" t="s">
        <v>71</v>
      </c>
      <c r="P433">
        <v>2</v>
      </c>
      <c r="Q433">
        <v>2</v>
      </c>
      <c r="R433">
        <v>0</v>
      </c>
      <c r="S433" t="s">
        <v>336</v>
      </c>
      <c r="T433" t="s">
        <v>699</v>
      </c>
      <c r="U433">
        <v>1</v>
      </c>
    </row>
    <row r="434" spans="1:21" x14ac:dyDescent="0.3">
      <c r="A434" t="s">
        <v>683</v>
      </c>
      <c r="B434" t="s">
        <v>684</v>
      </c>
      <c r="C434" t="s">
        <v>672</v>
      </c>
      <c r="D434" t="s">
        <v>29</v>
      </c>
      <c r="E434" t="s">
        <v>108</v>
      </c>
      <c r="F434" s="6">
        <v>45412</v>
      </c>
      <c r="G434">
        <v>452.15224499999999</v>
      </c>
      <c r="H434">
        <v>311.054847</v>
      </c>
      <c r="I434">
        <v>1.3</v>
      </c>
      <c r="J434">
        <v>1.4536093854856409</v>
      </c>
      <c r="K434" t="s">
        <v>335</v>
      </c>
      <c r="L434" t="s">
        <v>335</v>
      </c>
      <c r="M434">
        <v>2024</v>
      </c>
      <c r="N434" t="s">
        <v>40</v>
      </c>
      <c r="O434" t="s">
        <v>71</v>
      </c>
      <c r="P434">
        <v>2</v>
      </c>
      <c r="Q434">
        <v>2</v>
      </c>
      <c r="R434">
        <v>0</v>
      </c>
      <c r="S434" t="s">
        <v>336</v>
      </c>
      <c r="T434" t="s">
        <v>700</v>
      </c>
      <c r="U434">
        <v>1</v>
      </c>
    </row>
    <row r="435" spans="1:21" x14ac:dyDescent="0.3">
      <c r="A435" t="s">
        <v>683</v>
      </c>
      <c r="B435" t="s">
        <v>684</v>
      </c>
      <c r="C435" t="s">
        <v>672</v>
      </c>
      <c r="D435" t="s">
        <v>29</v>
      </c>
      <c r="E435" t="s">
        <v>108</v>
      </c>
      <c r="F435" s="6">
        <v>45443</v>
      </c>
      <c r="G435">
        <v>539.12789899999996</v>
      </c>
      <c r="H435">
        <v>391.41320000000002</v>
      </c>
      <c r="I435">
        <v>1.3</v>
      </c>
      <c r="J435">
        <v>1.377388138672891</v>
      </c>
      <c r="K435" t="s">
        <v>335</v>
      </c>
      <c r="L435" t="s">
        <v>335</v>
      </c>
      <c r="M435">
        <v>2024</v>
      </c>
      <c r="N435" t="s">
        <v>42</v>
      </c>
      <c r="O435" t="s">
        <v>71</v>
      </c>
      <c r="P435">
        <v>2</v>
      </c>
      <c r="Q435">
        <v>2</v>
      </c>
      <c r="R435">
        <v>0</v>
      </c>
      <c r="S435" t="s">
        <v>336</v>
      </c>
      <c r="T435" t="s">
        <v>701</v>
      </c>
      <c r="U435">
        <v>1</v>
      </c>
    </row>
    <row r="436" spans="1:21" x14ac:dyDescent="0.3">
      <c r="A436" t="s">
        <v>683</v>
      </c>
      <c r="B436" t="s">
        <v>684</v>
      </c>
      <c r="C436" t="s">
        <v>672</v>
      </c>
      <c r="D436" t="s">
        <v>29</v>
      </c>
      <c r="E436" t="s">
        <v>108</v>
      </c>
      <c r="F436" s="6">
        <v>45473</v>
      </c>
      <c r="G436">
        <v>624.02159300000005</v>
      </c>
      <c r="H436">
        <v>470.81177500000001</v>
      </c>
      <c r="I436">
        <v>1.3</v>
      </c>
      <c r="J436">
        <v>1.325416283396905</v>
      </c>
      <c r="K436" t="s">
        <v>335</v>
      </c>
      <c r="L436" t="s">
        <v>335</v>
      </c>
      <c r="M436">
        <v>2024</v>
      </c>
      <c r="N436" t="s">
        <v>44</v>
      </c>
      <c r="O436" t="s">
        <v>71</v>
      </c>
      <c r="P436">
        <v>2</v>
      </c>
      <c r="Q436">
        <v>2</v>
      </c>
      <c r="R436">
        <v>0</v>
      </c>
      <c r="S436" t="s">
        <v>336</v>
      </c>
      <c r="T436" t="s">
        <v>702</v>
      </c>
      <c r="U436">
        <v>1</v>
      </c>
    </row>
    <row r="437" spans="1:21" x14ac:dyDescent="0.3">
      <c r="A437" t="s">
        <v>683</v>
      </c>
      <c r="B437" t="s">
        <v>684</v>
      </c>
      <c r="C437" t="s">
        <v>672</v>
      </c>
      <c r="D437" t="s">
        <v>29</v>
      </c>
      <c r="E437" t="s">
        <v>108</v>
      </c>
      <c r="F437" s="6">
        <v>45504</v>
      </c>
      <c r="G437">
        <v>720.62219600000003</v>
      </c>
      <c r="H437">
        <v>569.495364</v>
      </c>
      <c r="I437">
        <v>1.265369731789423</v>
      </c>
      <c r="J437">
        <v>1.265369731789423</v>
      </c>
      <c r="K437" t="s">
        <v>335</v>
      </c>
      <c r="L437" t="s">
        <v>335</v>
      </c>
      <c r="M437">
        <v>2024</v>
      </c>
      <c r="N437" t="s">
        <v>46</v>
      </c>
      <c r="O437" t="s">
        <v>78</v>
      </c>
      <c r="P437">
        <v>2</v>
      </c>
      <c r="Q437">
        <v>2</v>
      </c>
      <c r="R437">
        <v>0</v>
      </c>
      <c r="S437" t="s">
        <v>336</v>
      </c>
      <c r="T437" t="s">
        <v>703</v>
      </c>
      <c r="U437">
        <v>1</v>
      </c>
    </row>
    <row r="438" spans="1:21" x14ac:dyDescent="0.3">
      <c r="A438" t="s">
        <v>683</v>
      </c>
      <c r="B438" t="s">
        <v>684</v>
      </c>
      <c r="C438" t="s">
        <v>672</v>
      </c>
      <c r="D438" t="s">
        <v>29</v>
      </c>
      <c r="E438" t="s">
        <v>108</v>
      </c>
      <c r="F438" s="6">
        <v>45535</v>
      </c>
      <c r="G438">
        <v>822.01309600000002</v>
      </c>
      <c r="H438">
        <v>656.46144200000003</v>
      </c>
      <c r="I438">
        <v>1.252187932768182</v>
      </c>
      <c r="J438">
        <v>1.252187932768182</v>
      </c>
      <c r="K438" t="s">
        <v>335</v>
      </c>
      <c r="L438" t="s">
        <v>335</v>
      </c>
      <c r="M438">
        <v>2024</v>
      </c>
      <c r="N438" t="s">
        <v>49</v>
      </c>
      <c r="O438" t="s">
        <v>78</v>
      </c>
      <c r="P438">
        <v>2</v>
      </c>
      <c r="Q438">
        <v>2</v>
      </c>
      <c r="R438">
        <v>0</v>
      </c>
      <c r="S438" t="s">
        <v>336</v>
      </c>
      <c r="T438" t="s">
        <v>704</v>
      </c>
      <c r="U438">
        <v>1</v>
      </c>
    </row>
    <row r="439" spans="1:21" x14ac:dyDescent="0.3">
      <c r="A439" t="s">
        <v>683</v>
      </c>
      <c r="B439" t="s">
        <v>684</v>
      </c>
      <c r="C439" t="s">
        <v>672</v>
      </c>
      <c r="D439" t="s">
        <v>29</v>
      </c>
      <c r="E439" t="s">
        <v>108</v>
      </c>
      <c r="F439" s="6">
        <v>45565</v>
      </c>
      <c r="G439">
        <v>927.16113199999995</v>
      </c>
      <c r="H439">
        <v>737.62694799999997</v>
      </c>
      <c r="I439">
        <v>1.2569512739656581</v>
      </c>
      <c r="J439">
        <v>1.2569512739656581</v>
      </c>
      <c r="K439" t="s">
        <v>335</v>
      </c>
      <c r="L439" t="s">
        <v>335</v>
      </c>
      <c r="M439">
        <v>2024</v>
      </c>
      <c r="N439" t="s">
        <v>51</v>
      </c>
      <c r="O439" t="s">
        <v>78</v>
      </c>
      <c r="P439">
        <v>2</v>
      </c>
      <c r="Q439">
        <v>2</v>
      </c>
      <c r="R439">
        <v>0</v>
      </c>
      <c r="S439" t="s">
        <v>336</v>
      </c>
      <c r="T439" t="s">
        <v>705</v>
      </c>
      <c r="U439">
        <v>1</v>
      </c>
    </row>
    <row r="440" spans="1:21" x14ac:dyDescent="0.3">
      <c r="A440" t="s">
        <v>683</v>
      </c>
      <c r="B440" t="s">
        <v>684</v>
      </c>
      <c r="C440" t="s">
        <v>672</v>
      </c>
      <c r="D440" t="s">
        <v>29</v>
      </c>
      <c r="E440" t="s">
        <v>108</v>
      </c>
      <c r="F440" s="6">
        <v>45596</v>
      </c>
      <c r="G440">
        <v>1966.696715</v>
      </c>
      <c r="H440">
        <v>1039.535584</v>
      </c>
      <c r="I440">
        <v>1.3</v>
      </c>
      <c r="J440">
        <v>1.891899368593428</v>
      </c>
      <c r="K440" t="s">
        <v>335</v>
      </c>
      <c r="L440" t="s">
        <v>335</v>
      </c>
      <c r="M440">
        <v>2024</v>
      </c>
      <c r="N440" t="s">
        <v>53</v>
      </c>
      <c r="O440" t="s">
        <v>78</v>
      </c>
      <c r="P440">
        <v>2</v>
      </c>
      <c r="Q440">
        <v>2</v>
      </c>
      <c r="R440">
        <v>0</v>
      </c>
      <c r="S440" t="s">
        <v>336</v>
      </c>
      <c r="T440" t="s">
        <v>706</v>
      </c>
      <c r="U440">
        <v>1</v>
      </c>
    </row>
    <row r="441" spans="1:21" x14ac:dyDescent="0.3">
      <c r="A441" t="s">
        <v>683</v>
      </c>
      <c r="B441" t="s">
        <v>684</v>
      </c>
      <c r="C441" t="s">
        <v>672</v>
      </c>
      <c r="D441" t="s">
        <v>29</v>
      </c>
      <c r="E441" t="s">
        <v>108</v>
      </c>
      <c r="F441" s="6">
        <v>45626</v>
      </c>
      <c r="G441">
        <v>2267.1264860000001</v>
      </c>
      <c r="H441">
        <v>1136.282148</v>
      </c>
      <c r="I441">
        <v>1.3</v>
      </c>
      <c r="J441">
        <v>1.995214384024627</v>
      </c>
      <c r="K441" t="s">
        <v>335</v>
      </c>
      <c r="L441" t="s">
        <v>335</v>
      </c>
      <c r="M441">
        <v>2024</v>
      </c>
      <c r="N441" t="s">
        <v>55</v>
      </c>
      <c r="O441" t="s">
        <v>78</v>
      </c>
      <c r="P441">
        <v>2</v>
      </c>
      <c r="Q441">
        <v>2</v>
      </c>
      <c r="R441">
        <v>0</v>
      </c>
      <c r="S441" t="s">
        <v>336</v>
      </c>
      <c r="T441" t="s">
        <v>707</v>
      </c>
      <c r="U441">
        <v>1</v>
      </c>
    </row>
    <row r="442" spans="1:21" x14ac:dyDescent="0.3">
      <c r="A442" t="s">
        <v>683</v>
      </c>
      <c r="B442" t="s">
        <v>684</v>
      </c>
      <c r="C442" t="s">
        <v>672</v>
      </c>
      <c r="D442" t="s">
        <v>29</v>
      </c>
      <c r="E442" t="s">
        <v>108</v>
      </c>
      <c r="F442" s="6">
        <v>45657</v>
      </c>
      <c r="G442">
        <v>1338.6143959999999</v>
      </c>
      <c r="H442">
        <v>1214.7518809999999</v>
      </c>
      <c r="I442">
        <v>1.101965279442938</v>
      </c>
      <c r="J442">
        <v>1.101965279442938</v>
      </c>
      <c r="K442" t="s">
        <v>335</v>
      </c>
      <c r="L442" t="s">
        <v>335</v>
      </c>
      <c r="M442">
        <v>2024</v>
      </c>
      <c r="N442" t="s">
        <v>57</v>
      </c>
      <c r="O442" t="s">
        <v>78</v>
      </c>
      <c r="P442">
        <v>2</v>
      </c>
      <c r="Q442">
        <v>2</v>
      </c>
      <c r="R442">
        <v>0</v>
      </c>
      <c r="S442" t="s">
        <v>336</v>
      </c>
      <c r="T442" t="s">
        <v>708</v>
      </c>
      <c r="U442">
        <v>1</v>
      </c>
    </row>
    <row r="443" spans="1:21" x14ac:dyDescent="0.3">
      <c r="A443" t="s">
        <v>683</v>
      </c>
      <c r="B443" t="s">
        <v>684</v>
      </c>
      <c r="C443" t="s">
        <v>672</v>
      </c>
      <c r="D443" t="s">
        <v>29</v>
      </c>
      <c r="E443" t="s">
        <v>108</v>
      </c>
      <c r="F443" s="6">
        <v>45688</v>
      </c>
      <c r="G443">
        <v>77.181053000000006</v>
      </c>
      <c r="H443">
        <v>57.628145000000004</v>
      </c>
      <c r="I443">
        <v>1.3</v>
      </c>
      <c r="J443">
        <v>1.3392944194195391</v>
      </c>
      <c r="K443" t="s">
        <v>335</v>
      </c>
      <c r="L443" t="s">
        <v>335</v>
      </c>
      <c r="M443">
        <v>2025</v>
      </c>
      <c r="N443" t="s">
        <v>32</v>
      </c>
      <c r="O443" t="s">
        <v>244</v>
      </c>
      <c r="P443">
        <v>2</v>
      </c>
      <c r="Q443">
        <v>2</v>
      </c>
      <c r="R443">
        <v>0</v>
      </c>
      <c r="S443" t="s">
        <v>336</v>
      </c>
      <c r="T443" t="s">
        <v>709</v>
      </c>
      <c r="U443">
        <v>1</v>
      </c>
    </row>
    <row r="444" spans="1:21" x14ac:dyDescent="0.3">
      <c r="A444" t="s">
        <v>683</v>
      </c>
      <c r="B444" t="s">
        <v>684</v>
      </c>
      <c r="C444" t="s">
        <v>672</v>
      </c>
      <c r="D444" t="s">
        <v>29</v>
      </c>
      <c r="E444" t="s">
        <v>108</v>
      </c>
      <c r="F444" s="6">
        <v>45716</v>
      </c>
      <c r="G444">
        <v>181.77995200000001</v>
      </c>
      <c r="H444">
        <v>123.96515100000001</v>
      </c>
      <c r="I444">
        <v>1.3</v>
      </c>
      <c r="J444">
        <v>1.466379466597028</v>
      </c>
      <c r="K444" t="s">
        <v>335</v>
      </c>
      <c r="L444" t="s">
        <v>335</v>
      </c>
      <c r="M444">
        <v>2025</v>
      </c>
      <c r="N444" t="s">
        <v>36</v>
      </c>
      <c r="O444" t="s">
        <v>244</v>
      </c>
      <c r="P444">
        <v>2</v>
      </c>
      <c r="Q444">
        <v>2</v>
      </c>
      <c r="R444">
        <v>0</v>
      </c>
      <c r="S444" t="s">
        <v>336</v>
      </c>
      <c r="T444" t="s">
        <v>710</v>
      </c>
      <c r="U444">
        <v>1</v>
      </c>
    </row>
    <row r="445" spans="1:21" x14ac:dyDescent="0.3">
      <c r="A445" t="s">
        <v>683</v>
      </c>
      <c r="B445" t="s">
        <v>684</v>
      </c>
      <c r="C445" t="s">
        <v>672</v>
      </c>
      <c r="D445" t="s">
        <v>29</v>
      </c>
      <c r="E445" t="s">
        <v>108</v>
      </c>
      <c r="F445" s="6">
        <v>45747</v>
      </c>
      <c r="G445">
        <v>283.588797</v>
      </c>
      <c r="H445">
        <v>210.89800299999999</v>
      </c>
      <c r="I445">
        <v>1.3</v>
      </c>
      <c r="J445">
        <v>1.3446727468538431</v>
      </c>
      <c r="K445" t="s">
        <v>335</v>
      </c>
      <c r="L445" t="s">
        <v>335</v>
      </c>
      <c r="M445">
        <v>2025</v>
      </c>
      <c r="N445" t="s">
        <v>38</v>
      </c>
      <c r="O445" t="s">
        <v>244</v>
      </c>
      <c r="P445">
        <v>2</v>
      </c>
      <c r="Q445">
        <v>2</v>
      </c>
      <c r="R445">
        <v>0</v>
      </c>
      <c r="S445" t="s">
        <v>336</v>
      </c>
      <c r="T445" t="s">
        <v>711</v>
      </c>
      <c r="U445">
        <v>1</v>
      </c>
    </row>
    <row r="446" spans="1:21" x14ac:dyDescent="0.3">
      <c r="A446" t="s">
        <v>683</v>
      </c>
      <c r="B446" t="s">
        <v>684</v>
      </c>
      <c r="C446" t="s">
        <v>672</v>
      </c>
      <c r="D446" t="s">
        <v>29</v>
      </c>
      <c r="E446" t="s">
        <v>108</v>
      </c>
      <c r="F446" s="6">
        <v>45777</v>
      </c>
      <c r="G446">
        <v>377.18637999999999</v>
      </c>
      <c r="H446">
        <v>276.106829</v>
      </c>
      <c r="I446">
        <v>1.3</v>
      </c>
      <c r="J446">
        <v>1.3660885584253331</v>
      </c>
      <c r="K446" t="s">
        <v>335</v>
      </c>
      <c r="L446" t="s">
        <v>335</v>
      </c>
      <c r="M446">
        <v>2025</v>
      </c>
      <c r="N446" t="s">
        <v>40</v>
      </c>
      <c r="O446" t="s">
        <v>244</v>
      </c>
      <c r="P446">
        <v>2</v>
      </c>
      <c r="Q446">
        <v>2</v>
      </c>
      <c r="R446">
        <v>0</v>
      </c>
      <c r="S446" t="s">
        <v>336</v>
      </c>
      <c r="T446" t="s">
        <v>712</v>
      </c>
      <c r="U446">
        <v>1</v>
      </c>
    </row>
    <row r="447" spans="1:21" x14ac:dyDescent="0.3">
      <c r="A447" t="s">
        <v>683</v>
      </c>
      <c r="B447" t="s">
        <v>684</v>
      </c>
      <c r="C447" t="s">
        <v>672</v>
      </c>
      <c r="D447" t="s">
        <v>29</v>
      </c>
      <c r="E447" t="s">
        <v>108</v>
      </c>
      <c r="F447" s="6">
        <v>45808</v>
      </c>
      <c r="G447">
        <v>468.09073599999999</v>
      </c>
      <c r="H447">
        <v>357.86115000000001</v>
      </c>
      <c r="I447">
        <v>1.3</v>
      </c>
      <c r="J447">
        <v>1.308023338101943</v>
      </c>
      <c r="K447" t="s">
        <v>335</v>
      </c>
      <c r="L447" t="s">
        <v>335</v>
      </c>
      <c r="M447">
        <v>2025</v>
      </c>
      <c r="N447" t="s">
        <v>42</v>
      </c>
      <c r="O447" t="s">
        <v>244</v>
      </c>
      <c r="P447">
        <v>2</v>
      </c>
      <c r="Q447">
        <v>2</v>
      </c>
      <c r="R447">
        <v>0</v>
      </c>
      <c r="S447" t="s">
        <v>336</v>
      </c>
      <c r="T447" t="s">
        <v>713</v>
      </c>
      <c r="U447">
        <v>1</v>
      </c>
    </row>
    <row r="448" spans="1:21" x14ac:dyDescent="0.3">
      <c r="A448" t="s">
        <v>683</v>
      </c>
      <c r="B448" t="s">
        <v>684</v>
      </c>
      <c r="C448" t="s">
        <v>672</v>
      </c>
      <c r="D448" t="s">
        <v>29</v>
      </c>
      <c r="E448" t="s">
        <v>108</v>
      </c>
      <c r="F448" s="6">
        <v>45838</v>
      </c>
      <c r="G448">
        <v>588.27781200000004</v>
      </c>
      <c r="H448">
        <v>423.52072099999998</v>
      </c>
      <c r="I448">
        <v>1.3</v>
      </c>
      <c r="J448">
        <v>1.3890177807852759</v>
      </c>
      <c r="K448" t="s">
        <v>335</v>
      </c>
      <c r="L448" t="s">
        <v>335</v>
      </c>
      <c r="M448">
        <v>2025</v>
      </c>
      <c r="N448" t="s">
        <v>44</v>
      </c>
      <c r="O448" t="s">
        <v>244</v>
      </c>
      <c r="P448">
        <v>2</v>
      </c>
      <c r="Q448">
        <v>2</v>
      </c>
      <c r="R448">
        <v>0</v>
      </c>
      <c r="S448" t="s">
        <v>336</v>
      </c>
      <c r="T448" t="s">
        <v>714</v>
      </c>
      <c r="U448">
        <v>1</v>
      </c>
    </row>
    <row r="449" spans="1:21" x14ac:dyDescent="0.3">
      <c r="A449" t="s">
        <v>715</v>
      </c>
      <c r="B449" t="s">
        <v>716</v>
      </c>
      <c r="C449" t="s">
        <v>717</v>
      </c>
      <c r="D449" t="s">
        <v>222</v>
      </c>
      <c r="E449" t="s">
        <v>30</v>
      </c>
      <c r="F449" s="6">
        <v>44742</v>
      </c>
      <c r="G449">
        <v>49004</v>
      </c>
      <c r="H449">
        <v>51010</v>
      </c>
      <c r="I449">
        <v>1.040935433842135</v>
      </c>
      <c r="J449">
        <v>1.040935433842135</v>
      </c>
      <c r="K449" t="s">
        <v>118</v>
      </c>
      <c r="L449" t="s">
        <v>118</v>
      </c>
      <c r="M449">
        <v>2022</v>
      </c>
      <c r="N449" t="s">
        <v>44</v>
      </c>
      <c r="O449" t="s">
        <v>88</v>
      </c>
      <c r="P449">
        <v>0</v>
      </c>
      <c r="Q449">
        <v>0</v>
      </c>
      <c r="R449">
        <v>1</v>
      </c>
      <c r="S449" t="s">
        <v>718</v>
      </c>
      <c r="T449" t="s">
        <v>719</v>
      </c>
      <c r="U449">
        <v>1</v>
      </c>
    </row>
    <row r="450" spans="1:21" x14ac:dyDescent="0.3">
      <c r="A450" t="s">
        <v>715</v>
      </c>
      <c r="B450" t="s">
        <v>716</v>
      </c>
      <c r="C450" t="s">
        <v>717</v>
      </c>
      <c r="D450" t="s">
        <v>222</v>
      </c>
      <c r="E450" t="s">
        <v>30</v>
      </c>
      <c r="F450" s="6">
        <v>44926</v>
      </c>
      <c r="G450">
        <v>50430</v>
      </c>
      <c r="H450">
        <v>50238</v>
      </c>
      <c r="I450">
        <v>0.99619274241522904</v>
      </c>
      <c r="J450">
        <v>0.99619274241522904</v>
      </c>
      <c r="K450" t="s">
        <v>118</v>
      </c>
      <c r="L450" t="s">
        <v>118</v>
      </c>
      <c r="M450">
        <v>2022</v>
      </c>
      <c r="N450" t="s">
        <v>57</v>
      </c>
      <c r="O450" t="s">
        <v>90</v>
      </c>
      <c r="P450">
        <v>0</v>
      </c>
      <c r="Q450">
        <v>0</v>
      </c>
      <c r="R450">
        <v>1</v>
      </c>
      <c r="S450" t="s">
        <v>718</v>
      </c>
      <c r="T450" t="s">
        <v>720</v>
      </c>
      <c r="U450">
        <v>1</v>
      </c>
    </row>
    <row r="451" spans="1:21" x14ac:dyDescent="0.3">
      <c r="A451" t="s">
        <v>715</v>
      </c>
      <c r="B451" t="s">
        <v>716</v>
      </c>
      <c r="C451" t="s">
        <v>717</v>
      </c>
      <c r="D451" t="s">
        <v>222</v>
      </c>
      <c r="E451" t="s">
        <v>30</v>
      </c>
      <c r="F451" s="6">
        <v>45107</v>
      </c>
      <c r="G451">
        <v>52177</v>
      </c>
      <c r="H451">
        <v>51473</v>
      </c>
      <c r="I451">
        <v>0.98650746497498898</v>
      </c>
      <c r="J451">
        <v>0.98650746497498898</v>
      </c>
      <c r="K451" t="s">
        <v>118</v>
      </c>
      <c r="L451" t="s">
        <v>118</v>
      </c>
      <c r="M451">
        <v>2023</v>
      </c>
      <c r="N451" t="s">
        <v>44</v>
      </c>
      <c r="O451" t="s">
        <v>33</v>
      </c>
      <c r="P451">
        <v>0</v>
      </c>
      <c r="Q451">
        <v>0</v>
      </c>
      <c r="R451">
        <v>1</v>
      </c>
      <c r="S451" t="s">
        <v>718</v>
      </c>
      <c r="T451" t="s">
        <v>721</v>
      </c>
      <c r="U451">
        <v>1</v>
      </c>
    </row>
    <row r="452" spans="1:21" x14ac:dyDescent="0.3">
      <c r="A452" t="s">
        <v>715</v>
      </c>
      <c r="B452" t="s">
        <v>716</v>
      </c>
      <c r="C452" t="s">
        <v>717</v>
      </c>
      <c r="D452" t="s">
        <v>222</v>
      </c>
      <c r="E452" t="s">
        <v>30</v>
      </c>
      <c r="F452" s="6">
        <v>45291</v>
      </c>
      <c r="G452">
        <v>51687</v>
      </c>
      <c r="H452">
        <v>51375</v>
      </c>
      <c r="I452">
        <v>0.99396366591212493</v>
      </c>
      <c r="J452">
        <v>0.99396366591212493</v>
      </c>
      <c r="K452" t="s">
        <v>118</v>
      </c>
      <c r="L452" t="s">
        <v>118</v>
      </c>
      <c r="M452">
        <v>2023</v>
      </c>
      <c r="N452" t="s">
        <v>57</v>
      </c>
      <c r="O452" t="s">
        <v>47</v>
      </c>
      <c r="P452">
        <v>0</v>
      </c>
      <c r="Q452">
        <v>0</v>
      </c>
      <c r="R452">
        <v>1</v>
      </c>
      <c r="S452" t="s">
        <v>718</v>
      </c>
      <c r="T452" t="s">
        <v>722</v>
      </c>
      <c r="U452">
        <v>1</v>
      </c>
    </row>
    <row r="453" spans="1:21" x14ac:dyDescent="0.3">
      <c r="A453" t="s">
        <v>715</v>
      </c>
      <c r="B453" t="s">
        <v>716</v>
      </c>
      <c r="C453" t="s">
        <v>717</v>
      </c>
      <c r="D453" t="s">
        <v>222</v>
      </c>
      <c r="E453" t="s">
        <v>30</v>
      </c>
      <c r="F453" s="6">
        <v>45473</v>
      </c>
      <c r="G453">
        <v>52403.186118801452</v>
      </c>
      <c r="H453">
        <v>52585</v>
      </c>
      <c r="I453">
        <v>1.00346951959727</v>
      </c>
      <c r="J453">
        <v>1.00346951959727</v>
      </c>
      <c r="K453" t="s">
        <v>118</v>
      </c>
      <c r="L453" t="s">
        <v>118</v>
      </c>
      <c r="M453">
        <v>2024</v>
      </c>
      <c r="N453" t="s">
        <v>44</v>
      </c>
      <c r="O453" t="s">
        <v>71</v>
      </c>
      <c r="P453">
        <v>0</v>
      </c>
      <c r="Q453">
        <v>0</v>
      </c>
      <c r="R453">
        <v>1</v>
      </c>
      <c r="S453" t="s">
        <v>718</v>
      </c>
      <c r="T453" t="s">
        <v>723</v>
      </c>
      <c r="U453">
        <v>1</v>
      </c>
    </row>
    <row r="454" spans="1:21" x14ac:dyDescent="0.3">
      <c r="A454" t="s">
        <v>715</v>
      </c>
      <c r="B454" t="s">
        <v>716</v>
      </c>
      <c r="C454" t="s">
        <v>717</v>
      </c>
      <c r="D454" t="s">
        <v>222</v>
      </c>
      <c r="E454" t="s">
        <v>30</v>
      </c>
      <c r="F454" s="6">
        <v>45657</v>
      </c>
      <c r="G454">
        <v>51116.334115206948</v>
      </c>
      <c r="H454">
        <v>52005</v>
      </c>
      <c r="I454">
        <v>1.017385164647961</v>
      </c>
      <c r="J454">
        <v>1.017385164647961</v>
      </c>
      <c r="K454" t="s">
        <v>118</v>
      </c>
      <c r="L454" t="s">
        <v>118</v>
      </c>
      <c r="M454">
        <v>2024</v>
      </c>
      <c r="N454" t="s">
        <v>57</v>
      </c>
      <c r="O454" t="s">
        <v>78</v>
      </c>
      <c r="P454">
        <v>0</v>
      </c>
      <c r="Q454">
        <v>0</v>
      </c>
      <c r="R454">
        <v>1</v>
      </c>
      <c r="S454" t="s">
        <v>718</v>
      </c>
      <c r="T454" t="s">
        <v>724</v>
      </c>
      <c r="U454">
        <v>1</v>
      </c>
    </row>
    <row r="455" spans="1:21" x14ac:dyDescent="0.3">
      <c r="A455" t="s">
        <v>725</v>
      </c>
      <c r="B455" t="s">
        <v>726</v>
      </c>
      <c r="C455" t="s">
        <v>717</v>
      </c>
      <c r="D455" t="s">
        <v>222</v>
      </c>
      <c r="E455" t="s">
        <v>30</v>
      </c>
      <c r="F455" s="6">
        <v>44742</v>
      </c>
      <c r="G455">
        <v>7541</v>
      </c>
      <c r="H455">
        <v>7651</v>
      </c>
      <c r="I455">
        <v>1.0145869248110331</v>
      </c>
      <c r="J455">
        <v>1.0145869248110331</v>
      </c>
      <c r="K455" t="s">
        <v>31</v>
      </c>
      <c r="L455" t="s">
        <v>31</v>
      </c>
      <c r="M455">
        <v>2022</v>
      </c>
      <c r="N455" t="s">
        <v>44</v>
      </c>
      <c r="O455" t="s">
        <v>88</v>
      </c>
      <c r="P455">
        <v>0</v>
      </c>
      <c r="Q455">
        <v>0</v>
      </c>
      <c r="R455">
        <v>0</v>
      </c>
      <c r="S455" t="s">
        <v>130</v>
      </c>
      <c r="T455" t="s">
        <v>727</v>
      </c>
      <c r="U455">
        <v>1</v>
      </c>
    </row>
    <row r="456" spans="1:21" x14ac:dyDescent="0.3">
      <c r="A456" t="s">
        <v>725</v>
      </c>
      <c r="B456" t="s">
        <v>726</v>
      </c>
      <c r="C456" t="s">
        <v>717</v>
      </c>
      <c r="D456" t="s">
        <v>222</v>
      </c>
      <c r="E456" t="s">
        <v>30</v>
      </c>
      <c r="F456" s="6">
        <v>44926</v>
      </c>
      <c r="G456">
        <v>6730</v>
      </c>
      <c r="H456">
        <v>7539</v>
      </c>
      <c r="I456">
        <v>1.1202080237741461</v>
      </c>
      <c r="J456">
        <v>1.1202080237741461</v>
      </c>
      <c r="K456" t="s">
        <v>31</v>
      </c>
      <c r="L456" t="s">
        <v>31</v>
      </c>
      <c r="M456">
        <v>2022</v>
      </c>
      <c r="N456" t="s">
        <v>57</v>
      </c>
      <c r="O456" t="s">
        <v>90</v>
      </c>
      <c r="P456">
        <v>0</v>
      </c>
      <c r="Q456">
        <v>0</v>
      </c>
      <c r="R456">
        <v>0</v>
      </c>
      <c r="S456" t="s">
        <v>130</v>
      </c>
      <c r="T456" t="s">
        <v>728</v>
      </c>
      <c r="U456">
        <v>1</v>
      </c>
    </row>
    <row r="457" spans="1:21" x14ac:dyDescent="0.3">
      <c r="A457" t="s">
        <v>725</v>
      </c>
      <c r="B457" t="s">
        <v>726</v>
      </c>
      <c r="C457" t="s">
        <v>717</v>
      </c>
      <c r="D457" t="s">
        <v>222</v>
      </c>
      <c r="E457" t="s">
        <v>30</v>
      </c>
      <c r="F457" s="6">
        <v>45107</v>
      </c>
      <c r="G457">
        <v>7822</v>
      </c>
      <c r="H457">
        <v>7912</v>
      </c>
      <c r="I457">
        <v>1.0115060086934291</v>
      </c>
      <c r="J457">
        <v>1.0115060086934291</v>
      </c>
      <c r="K457" t="s">
        <v>31</v>
      </c>
      <c r="L457" t="s">
        <v>31</v>
      </c>
      <c r="M457">
        <v>2023</v>
      </c>
      <c r="N457" t="s">
        <v>44</v>
      </c>
      <c r="O457" t="s">
        <v>33</v>
      </c>
      <c r="P457">
        <v>0</v>
      </c>
      <c r="Q457">
        <v>0</v>
      </c>
      <c r="R457">
        <v>1</v>
      </c>
      <c r="S457" t="s">
        <v>718</v>
      </c>
      <c r="T457" t="s">
        <v>729</v>
      </c>
      <c r="U457">
        <v>1</v>
      </c>
    </row>
    <row r="458" spans="1:21" x14ac:dyDescent="0.3">
      <c r="A458" t="s">
        <v>725</v>
      </c>
      <c r="B458" t="s">
        <v>726</v>
      </c>
      <c r="C458" t="s">
        <v>730</v>
      </c>
      <c r="D458" t="s">
        <v>222</v>
      </c>
      <c r="E458" t="s">
        <v>30</v>
      </c>
      <c r="F458" s="6">
        <v>45291</v>
      </c>
      <c r="G458">
        <v>7620</v>
      </c>
      <c r="H458">
        <v>8067</v>
      </c>
      <c r="I458">
        <v>1.058661417322835</v>
      </c>
      <c r="J458">
        <v>1.058661417322835</v>
      </c>
      <c r="K458" t="s">
        <v>31</v>
      </c>
      <c r="L458" t="s">
        <v>31</v>
      </c>
      <c r="M458">
        <v>2023</v>
      </c>
      <c r="N458" t="s">
        <v>57</v>
      </c>
      <c r="O458" t="s">
        <v>47</v>
      </c>
      <c r="P458">
        <v>0</v>
      </c>
      <c r="Q458">
        <v>0</v>
      </c>
      <c r="R458">
        <v>1</v>
      </c>
      <c r="S458" t="s">
        <v>718</v>
      </c>
      <c r="T458" t="s">
        <v>731</v>
      </c>
      <c r="U458">
        <v>1</v>
      </c>
    </row>
    <row r="459" spans="1:21" x14ac:dyDescent="0.3">
      <c r="A459" t="s">
        <v>725</v>
      </c>
      <c r="B459" t="s">
        <v>726</v>
      </c>
      <c r="C459" t="s">
        <v>730</v>
      </c>
      <c r="D459" t="s">
        <v>222</v>
      </c>
      <c r="E459" t="s">
        <v>30</v>
      </c>
      <c r="F459" s="6">
        <v>45473</v>
      </c>
      <c r="G459">
        <v>8168</v>
      </c>
      <c r="H459">
        <v>8424</v>
      </c>
      <c r="I459">
        <v>1.031341821743389</v>
      </c>
      <c r="J459">
        <v>1.031341821743389</v>
      </c>
      <c r="K459" t="s">
        <v>31</v>
      </c>
      <c r="L459" t="s">
        <v>31</v>
      </c>
      <c r="M459">
        <v>2024</v>
      </c>
      <c r="N459" t="s">
        <v>44</v>
      </c>
      <c r="O459" t="s">
        <v>71</v>
      </c>
      <c r="P459">
        <v>0</v>
      </c>
      <c r="Q459">
        <v>0</v>
      </c>
      <c r="R459">
        <v>1</v>
      </c>
      <c r="S459" t="s">
        <v>718</v>
      </c>
      <c r="T459" t="s">
        <v>732</v>
      </c>
      <c r="U459">
        <v>1</v>
      </c>
    </row>
    <row r="460" spans="1:21" x14ac:dyDescent="0.3">
      <c r="A460" t="s">
        <v>725</v>
      </c>
      <c r="B460" t="s">
        <v>726</v>
      </c>
      <c r="C460" t="s">
        <v>730</v>
      </c>
      <c r="D460" t="s">
        <v>222</v>
      </c>
      <c r="E460" t="s">
        <v>30</v>
      </c>
      <c r="F460" s="6">
        <v>45657</v>
      </c>
      <c r="G460">
        <v>7912</v>
      </c>
      <c r="H460">
        <v>8165</v>
      </c>
      <c r="I460">
        <v>1.031976744186047</v>
      </c>
      <c r="J460">
        <v>1.031976744186047</v>
      </c>
      <c r="K460" t="s">
        <v>31</v>
      </c>
      <c r="L460" t="s">
        <v>31</v>
      </c>
      <c r="M460">
        <v>2024</v>
      </c>
      <c r="N460" t="s">
        <v>57</v>
      </c>
      <c r="O460" t="s">
        <v>78</v>
      </c>
      <c r="P460">
        <v>0</v>
      </c>
      <c r="Q460">
        <v>0</v>
      </c>
      <c r="R460">
        <v>1</v>
      </c>
      <c r="S460" t="s">
        <v>718</v>
      </c>
      <c r="T460" t="s">
        <v>733</v>
      </c>
      <c r="U460">
        <v>1</v>
      </c>
    </row>
    <row r="461" spans="1:21" x14ac:dyDescent="0.3">
      <c r="A461" t="s">
        <v>734</v>
      </c>
      <c r="B461" t="s">
        <v>735</v>
      </c>
      <c r="C461" t="s">
        <v>717</v>
      </c>
      <c r="D461" t="s">
        <v>222</v>
      </c>
      <c r="E461" t="s">
        <v>30</v>
      </c>
      <c r="F461" s="6">
        <v>44742</v>
      </c>
      <c r="G461">
        <v>42889</v>
      </c>
      <c r="H461">
        <v>43359</v>
      </c>
      <c r="I461">
        <v>1.010958520832848</v>
      </c>
      <c r="J461">
        <v>1.010958520832848</v>
      </c>
      <c r="K461" t="s">
        <v>118</v>
      </c>
      <c r="L461" t="s">
        <v>118</v>
      </c>
      <c r="M461">
        <v>2022</v>
      </c>
      <c r="N461" t="s">
        <v>44</v>
      </c>
      <c r="O461" t="s">
        <v>88</v>
      </c>
      <c r="P461">
        <v>0</v>
      </c>
      <c r="Q461">
        <v>0</v>
      </c>
      <c r="R461">
        <v>0</v>
      </c>
      <c r="S461" t="s">
        <v>718</v>
      </c>
      <c r="T461" t="s">
        <v>736</v>
      </c>
      <c r="U461">
        <v>1</v>
      </c>
    </row>
    <row r="462" spans="1:21" x14ac:dyDescent="0.3">
      <c r="A462" t="s">
        <v>734</v>
      </c>
      <c r="B462" t="s">
        <v>735</v>
      </c>
      <c r="C462" t="s">
        <v>717</v>
      </c>
      <c r="D462" t="s">
        <v>222</v>
      </c>
      <c r="E462" t="s">
        <v>30</v>
      </c>
      <c r="F462" s="6">
        <v>44926</v>
      </c>
      <c r="G462">
        <v>42274</v>
      </c>
      <c r="H462">
        <v>42699</v>
      </c>
      <c r="I462">
        <v>1.0100534607560201</v>
      </c>
      <c r="J462">
        <v>1.0100534607560201</v>
      </c>
      <c r="K462" t="s">
        <v>118</v>
      </c>
      <c r="L462" t="s">
        <v>118</v>
      </c>
      <c r="M462">
        <v>2022</v>
      </c>
      <c r="N462" t="s">
        <v>57</v>
      </c>
      <c r="O462" t="s">
        <v>90</v>
      </c>
      <c r="P462">
        <v>0</v>
      </c>
      <c r="Q462">
        <v>0</v>
      </c>
      <c r="R462">
        <v>0</v>
      </c>
      <c r="S462" t="s">
        <v>718</v>
      </c>
      <c r="T462" t="s">
        <v>737</v>
      </c>
      <c r="U462">
        <v>1</v>
      </c>
    </row>
    <row r="463" spans="1:21" x14ac:dyDescent="0.3">
      <c r="A463" t="s">
        <v>734</v>
      </c>
      <c r="B463" t="s">
        <v>735</v>
      </c>
      <c r="C463" t="s">
        <v>717</v>
      </c>
      <c r="D463" t="s">
        <v>222</v>
      </c>
      <c r="E463" t="s">
        <v>30</v>
      </c>
      <c r="F463" s="6">
        <v>45107</v>
      </c>
      <c r="G463">
        <v>44355</v>
      </c>
      <c r="H463">
        <v>43561</v>
      </c>
      <c r="I463">
        <v>0.98209897418554837</v>
      </c>
      <c r="J463">
        <v>0.98209897418554837</v>
      </c>
      <c r="K463" t="s">
        <v>118</v>
      </c>
      <c r="L463" t="s">
        <v>118</v>
      </c>
      <c r="M463">
        <v>2023</v>
      </c>
      <c r="N463" t="s">
        <v>44</v>
      </c>
      <c r="O463" t="s">
        <v>33</v>
      </c>
      <c r="P463">
        <v>0</v>
      </c>
      <c r="Q463">
        <v>0</v>
      </c>
      <c r="R463">
        <v>1</v>
      </c>
      <c r="S463" t="s">
        <v>718</v>
      </c>
      <c r="T463" t="s">
        <v>738</v>
      </c>
      <c r="U463">
        <v>1</v>
      </c>
    </row>
    <row r="464" spans="1:21" x14ac:dyDescent="0.3">
      <c r="A464" t="s">
        <v>734</v>
      </c>
      <c r="B464" t="s">
        <v>735</v>
      </c>
      <c r="C464" t="s">
        <v>730</v>
      </c>
      <c r="D464" t="s">
        <v>222</v>
      </c>
      <c r="E464" t="s">
        <v>30</v>
      </c>
      <c r="F464" s="6">
        <v>45291</v>
      </c>
      <c r="G464">
        <v>44067</v>
      </c>
      <c r="H464">
        <v>43308</v>
      </c>
      <c r="I464">
        <v>0.98277622710872081</v>
      </c>
      <c r="J464">
        <v>0.98277622710872081</v>
      </c>
      <c r="K464" t="s">
        <v>118</v>
      </c>
      <c r="L464" t="s">
        <v>118</v>
      </c>
      <c r="M464">
        <v>2023</v>
      </c>
      <c r="N464" t="s">
        <v>57</v>
      </c>
      <c r="O464" t="s">
        <v>47</v>
      </c>
      <c r="P464">
        <v>0</v>
      </c>
      <c r="Q464">
        <v>0</v>
      </c>
      <c r="R464">
        <v>1</v>
      </c>
      <c r="S464" t="s">
        <v>718</v>
      </c>
      <c r="T464" t="s">
        <v>739</v>
      </c>
      <c r="U464">
        <v>1</v>
      </c>
    </row>
    <row r="465" spans="1:21" x14ac:dyDescent="0.3">
      <c r="A465" t="s">
        <v>734</v>
      </c>
      <c r="B465" t="s">
        <v>735</v>
      </c>
      <c r="C465" t="s">
        <v>730</v>
      </c>
      <c r="D465" t="s">
        <v>222</v>
      </c>
      <c r="E465" t="s">
        <v>30</v>
      </c>
      <c r="F465" s="6">
        <v>45473</v>
      </c>
      <c r="G465">
        <v>44235</v>
      </c>
      <c r="H465">
        <v>44161</v>
      </c>
      <c r="I465">
        <v>0.99832711653667905</v>
      </c>
      <c r="J465">
        <v>0.99832711653667905</v>
      </c>
      <c r="K465" t="s">
        <v>118</v>
      </c>
      <c r="L465" t="s">
        <v>118</v>
      </c>
      <c r="M465">
        <v>2024</v>
      </c>
      <c r="N465" t="s">
        <v>44</v>
      </c>
      <c r="O465" t="s">
        <v>71</v>
      </c>
      <c r="P465">
        <v>0</v>
      </c>
      <c r="Q465">
        <v>0</v>
      </c>
      <c r="R465">
        <v>1</v>
      </c>
      <c r="S465" t="s">
        <v>718</v>
      </c>
      <c r="T465" t="s">
        <v>740</v>
      </c>
      <c r="U465">
        <v>1</v>
      </c>
    </row>
    <row r="466" spans="1:21" x14ac:dyDescent="0.3">
      <c r="A466" t="s">
        <v>734</v>
      </c>
      <c r="B466" t="s">
        <v>735</v>
      </c>
      <c r="C466" t="s">
        <v>730</v>
      </c>
      <c r="D466" t="s">
        <v>222</v>
      </c>
      <c r="E466" t="s">
        <v>30</v>
      </c>
      <c r="F466" s="6">
        <v>45657</v>
      </c>
      <c r="G466">
        <v>43204</v>
      </c>
      <c r="H466">
        <v>43840</v>
      </c>
      <c r="I466">
        <v>1.0147208591797059</v>
      </c>
      <c r="J466">
        <v>1.0147208591797059</v>
      </c>
      <c r="K466" t="s">
        <v>118</v>
      </c>
      <c r="L466" t="s">
        <v>118</v>
      </c>
      <c r="M466">
        <v>2024</v>
      </c>
      <c r="N466" t="s">
        <v>57</v>
      </c>
      <c r="O466" t="s">
        <v>78</v>
      </c>
      <c r="P466">
        <v>0</v>
      </c>
      <c r="Q466">
        <v>0</v>
      </c>
      <c r="R466">
        <v>1</v>
      </c>
      <c r="S466" t="s">
        <v>718</v>
      </c>
      <c r="T466" t="s">
        <v>741</v>
      </c>
      <c r="U466">
        <v>1</v>
      </c>
    </row>
    <row r="467" spans="1:21" x14ac:dyDescent="0.3">
      <c r="A467" t="s">
        <v>742</v>
      </c>
      <c r="B467" t="s">
        <v>743</v>
      </c>
      <c r="C467" t="s">
        <v>730</v>
      </c>
      <c r="D467" t="s">
        <v>222</v>
      </c>
      <c r="E467" t="s">
        <v>30</v>
      </c>
      <c r="F467" s="6">
        <v>44742</v>
      </c>
      <c r="G467">
        <v>48022</v>
      </c>
      <c r="H467">
        <v>48612</v>
      </c>
      <c r="I467">
        <v>1.012286035567032</v>
      </c>
      <c r="J467">
        <v>1.012286035567032</v>
      </c>
      <c r="K467" t="s">
        <v>31</v>
      </c>
      <c r="L467" t="s">
        <v>31</v>
      </c>
      <c r="M467">
        <v>2022</v>
      </c>
      <c r="N467" t="s">
        <v>44</v>
      </c>
      <c r="O467" t="s">
        <v>88</v>
      </c>
      <c r="P467">
        <v>0</v>
      </c>
      <c r="Q467">
        <v>0</v>
      </c>
      <c r="R467">
        <v>0</v>
      </c>
      <c r="S467" t="s">
        <v>718</v>
      </c>
      <c r="T467" t="s">
        <v>744</v>
      </c>
      <c r="U467">
        <v>1</v>
      </c>
    </row>
    <row r="468" spans="1:21" x14ac:dyDescent="0.3">
      <c r="A468" t="s">
        <v>742</v>
      </c>
      <c r="B468" t="s">
        <v>743</v>
      </c>
      <c r="C468" t="s">
        <v>730</v>
      </c>
      <c r="D468" t="s">
        <v>222</v>
      </c>
      <c r="E468" t="s">
        <v>30</v>
      </c>
      <c r="F468" s="6">
        <v>44926</v>
      </c>
      <c r="G468">
        <v>46674</v>
      </c>
      <c r="H468">
        <v>47628</v>
      </c>
      <c r="I468">
        <v>1.020439645198612</v>
      </c>
      <c r="J468">
        <v>1.020439645198612</v>
      </c>
      <c r="K468" t="s">
        <v>31</v>
      </c>
      <c r="L468" t="s">
        <v>31</v>
      </c>
      <c r="M468">
        <v>2022</v>
      </c>
      <c r="N468" t="s">
        <v>57</v>
      </c>
      <c r="O468" t="s">
        <v>90</v>
      </c>
      <c r="P468">
        <v>0</v>
      </c>
      <c r="Q468">
        <v>0</v>
      </c>
      <c r="R468">
        <v>0</v>
      </c>
      <c r="S468" t="s">
        <v>718</v>
      </c>
      <c r="T468" t="s">
        <v>745</v>
      </c>
      <c r="U468">
        <v>1</v>
      </c>
    </row>
    <row r="469" spans="1:21" x14ac:dyDescent="0.3">
      <c r="A469" t="s">
        <v>742</v>
      </c>
      <c r="B469" t="s">
        <v>743</v>
      </c>
      <c r="C469" t="s">
        <v>717</v>
      </c>
      <c r="D469" t="s">
        <v>222</v>
      </c>
      <c r="E469" t="s">
        <v>30</v>
      </c>
      <c r="F469" s="6">
        <v>45107</v>
      </c>
      <c r="G469">
        <v>49451</v>
      </c>
      <c r="H469">
        <v>48483</v>
      </c>
      <c r="I469">
        <v>0.98042506723827627</v>
      </c>
      <c r="J469">
        <v>0.98042506723827627</v>
      </c>
      <c r="K469" t="s">
        <v>31</v>
      </c>
      <c r="L469" t="s">
        <v>31</v>
      </c>
      <c r="M469">
        <v>2023</v>
      </c>
      <c r="N469" t="s">
        <v>44</v>
      </c>
      <c r="O469" t="s">
        <v>33</v>
      </c>
      <c r="P469">
        <v>0</v>
      </c>
      <c r="Q469">
        <v>0</v>
      </c>
      <c r="R469">
        <v>1</v>
      </c>
      <c r="S469" t="s">
        <v>718</v>
      </c>
      <c r="T469" t="s">
        <v>746</v>
      </c>
      <c r="U469">
        <v>1</v>
      </c>
    </row>
    <row r="470" spans="1:21" x14ac:dyDescent="0.3">
      <c r="A470" t="s">
        <v>742</v>
      </c>
      <c r="B470" t="s">
        <v>743</v>
      </c>
      <c r="C470" t="s">
        <v>730</v>
      </c>
      <c r="D470" t="s">
        <v>222</v>
      </c>
      <c r="E470" t="s">
        <v>30</v>
      </c>
      <c r="F470" s="6">
        <v>45291</v>
      </c>
      <c r="G470">
        <v>48891</v>
      </c>
      <c r="H470">
        <v>48047</v>
      </c>
      <c r="I470">
        <v>0.98273710907938061</v>
      </c>
      <c r="J470">
        <v>0.98273710907938061</v>
      </c>
      <c r="K470" t="s">
        <v>31</v>
      </c>
      <c r="L470" t="s">
        <v>31</v>
      </c>
      <c r="M470">
        <v>2023</v>
      </c>
      <c r="N470" t="s">
        <v>57</v>
      </c>
      <c r="O470" t="s">
        <v>47</v>
      </c>
      <c r="P470">
        <v>0</v>
      </c>
      <c r="Q470">
        <v>0</v>
      </c>
      <c r="R470">
        <v>1</v>
      </c>
      <c r="S470" t="s">
        <v>718</v>
      </c>
      <c r="T470" t="s">
        <v>747</v>
      </c>
      <c r="U470">
        <v>1</v>
      </c>
    </row>
    <row r="471" spans="1:21" x14ac:dyDescent="0.3">
      <c r="A471" t="s">
        <v>742</v>
      </c>
      <c r="B471" t="s">
        <v>743</v>
      </c>
      <c r="C471" t="s">
        <v>730</v>
      </c>
      <c r="D471" t="s">
        <v>222</v>
      </c>
      <c r="E471" t="s">
        <v>30</v>
      </c>
      <c r="F471" s="6">
        <v>45473</v>
      </c>
      <c r="G471">
        <v>49310</v>
      </c>
      <c r="H471">
        <v>49100</v>
      </c>
      <c r="I471">
        <v>0.99574122895964312</v>
      </c>
      <c r="J471">
        <v>0.99574122895964312</v>
      </c>
      <c r="K471" t="s">
        <v>31</v>
      </c>
      <c r="L471" t="s">
        <v>31</v>
      </c>
      <c r="M471">
        <v>2024</v>
      </c>
      <c r="N471" t="s">
        <v>44</v>
      </c>
      <c r="O471" t="s">
        <v>71</v>
      </c>
      <c r="P471">
        <v>0</v>
      </c>
      <c r="Q471">
        <v>0</v>
      </c>
      <c r="R471">
        <v>1</v>
      </c>
      <c r="S471" t="s">
        <v>718</v>
      </c>
      <c r="T471" t="s">
        <v>748</v>
      </c>
      <c r="U471">
        <v>1</v>
      </c>
    </row>
    <row r="472" spans="1:21" x14ac:dyDescent="0.3">
      <c r="A472" t="s">
        <v>742</v>
      </c>
      <c r="B472" t="s">
        <v>743</v>
      </c>
      <c r="C472" t="s">
        <v>730</v>
      </c>
      <c r="D472" t="s">
        <v>222</v>
      </c>
      <c r="E472" t="s">
        <v>30</v>
      </c>
      <c r="F472" s="6">
        <v>45657</v>
      </c>
      <c r="G472">
        <v>48061</v>
      </c>
      <c r="H472">
        <v>48339</v>
      </c>
      <c r="I472">
        <v>1.005784315765381</v>
      </c>
      <c r="J472">
        <v>1.005784315765381</v>
      </c>
      <c r="K472" t="s">
        <v>31</v>
      </c>
      <c r="L472" t="s">
        <v>31</v>
      </c>
      <c r="M472">
        <v>2024</v>
      </c>
      <c r="N472" t="s">
        <v>57</v>
      </c>
      <c r="O472" t="s">
        <v>78</v>
      </c>
      <c r="P472">
        <v>0</v>
      </c>
      <c r="Q472">
        <v>0</v>
      </c>
      <c r="R472">
        <v>1</v>
      </c>
      <c r="S472" t="s">
        <v>718</v>
      </c>
      <c r="T472" t="s">
        <v>749</v>
      </c>
      <c r="U472">
        <v>1</v>
      </c>
    </row>
    <row r="473" spans="1:21" x14ac:dyDescent="0.3">
      <c r="A473" t="s">
        <v>750</v>
      </c>
      <c r="B473" t="s">
        <v>751</v>
      </c>
      <c r="C473" t="s">
        <v>730</v>
      </c>
      <c r="D473" t="s">
        <v>222</v>
      </c>
      <c r="E473" t="s">
        <v>30</v>
      </c>
      <c r="F473" s="6">
        <v>44742</v>
      </c>
      <c r="G473">
        <v>2408</v>
      </c>
      <c r="H473">
        <v>2398</v>
      </c>
      <c r="I473">
        <v>0.99584717607973416</v>
      </c>
      <c r="J473">
        <v>0.99584717607973416</v>
      </c>
      <c r="K473" t="s">
        <v>118</v>
      </c>
      <c r="L473" t="s">
        <v>118</v>
      </c>
      <c r="M473">
        <v>2022</v>
      </c>
      <c r="N473" t="s">
        <v>44</v>
      </c>
      <c r="O473" t="s">
        <v>88</v>
      </c>
      <c r="P473">
        <v>0</v>
      </c>
      <c r="Q473">
        <v>0</v>
      </c>
      <c r="R473">
        <v>0</v>
      </c>
      <c r="S473" t="s">
        <v>718</v>
      </c>
      <c r="T473" t="s">
        <v>752</v>
      </c>
      <c r="U473">
        <v>1</v>
      </c>
    </row>
    <row r="474" spans="1:21" x14ac:dyDescent="0.3">
      <c r="A474" t="s">
        <v>750</v>
      </c>
      <c r="B474" t="s">
        <v>751</v>
      </c>
      <c r="C474" t="s">
        <v>730</v>
      </c>
      <c r="D474" t="s">
        <v>222</v>
      </c>
      <c r="E474" t="s">
        <v>30</v>
      </c>
      <c r="F474" s="6">
        <v>44925</v>
      </c>
      <c r="G474">
        <v>2230</v>
      </c>
      <c r="H474">
        <v>2610</v>
      </c>
      <c r="I474">
        <v>1.170403587443946</v>
      </c>
      <c r="J474">
        <v>1.170403587443946</v>
      </c>
      <c r="K474" t="s">
        <v>118</v>
      </c>
      <c r="L474" t="s">
        <v>118</v>
      </c>
      <c r="M474">
        <v>2022</v>
      </c>
      <c r="N474" t="s">
        <v>57</v>
      </c>
      <c r="O474" t="s">
        <v>90</v>
      </c>
      <c r="P474">
        <v>0</v>
      </c>
      <c r="Q474">
        <v>0</v>
      </c>
      <c r="R474">
        <v>0</v>
      </c>
      <c r="S474" t="s">
        <v>718</v>
      </c>
      <c r="T474" t="s">
        <v>753</v>
      </c>
      <c r="U474">
        <v>1</v>
      </c>
    </row>
    <row r="475" spans="1:21" x14ac:dyDescent="0.3">
      <c r="A475" t="s">
        <v>750</v>
      </c>
      <c r="B475" t="s">
        <v>751</v>
      </c>
      <c r="C475" t="s">
        <v>730</v>
      </c>
      <c r="D475" t="s">
        <v>222</v>
      </c>
      <c r="E475" t="s">
        <v>30</v>
      </c>
      <c r="F475" s="6">
        <v>45107</v>
      </c>
      <c r="G475">
        <v>2726</v>
      </c>
      <c r="H475">
        <v>2990</v>
      </c>
      <c r="I475">
        <v>1.096845194424064</v>
      </c>
      <c r="J475">
        <v>1.096845194424064</v>
      </c>
      <c r="K475" t="s">
        <v>118</v>
      </c>
      <c r="L475" t="s">
        <v>118</v>
      </c>
      <c r="M475">
        <v>2023</v>
      </c>
      <c r="N475" t="s">
        <v>44</v>
      </c>
      <c r="O475" t="s">
        <v>33</v>
      </c>
      <c r="P475">
        <v>0</v>
      </c>
      <c r="Q475">
        <v>0</v>
      </c>
      <c r="R475">
        <v>1</v>
      </c>
      <c r="S475" t="s">
        <v>718</v>
      </c>
      <c r="T475" t="s">
        <v>754</v>
      </c>
      <c r="U475">
        <v>1</v>
      </c>
    </row>
    <row r="476" spans="1:21" x14ac:dyDescent="0.3">
      <c r="A476" t="s">
        <v>750</v>
      </c>
      <c r="B476" t="s">
        <v>751</v>
      </c>
      <c r="C476" t="s">
        <v>730</v>
      </c>
      <c r="D476" t="s">
        <v>222</v>
      </c>
      <c r="E476" t="s">
        <v>30</v>
      </c>
      <c r="F476" s="6">
        <v>45291</v>
      </c>
      <c r="G476">
        <v>2796</v>
      </c>
      <c r="H476">
        <v>3328</v>
      </c>
      <c r="I476">
        <v>1.1902718168812589</v>
      </c>
      <c r="J476">
        <v>1.1902718168812589</v>
      </c>
      <c r="K476" t="s">
        <v>118</v>
      </c>
      <c r="L476" t="s">
        <v>118</v>
      </c>
      <c r="M476">
        <v>2023</v>
      </c>
      <c r="N476" t="s">
        <v>57</v>
      </c>
      <c r="O476" t="s">
        <v>47</v>
      </c>
      <c r="P476">
        <v>0</v>
      </c>
      <c r="Q476">
        <v>0</v>
      </c>
      <c r="R476">
        <v>1</v>
      </c>
      <c r="S476" t="s">
        <v>718</v>
      </c>
      <c r="T476" t="s">
        <v>755</v>
      </c>
      <c r="U476">
        <v>1</v>
      </c>
    </row>
    <row r="477" spans="1:21" x14ac:dyDescent="0.3">
      <c r="A477" t="s">
        <v>750</v>
      </c>
      <c r="B477" t="s">
        <v>751</v>
      </c>
      <c r="C477" t="s">
        <v>730</v>
      </c>
      <c r="D477" t="s">
        <v>222</v>
      </c>
      <c r="E477" t="s">
        <v>30</v>
      </c>
      <c r="F477" s="6">
        <v>45473</v>
      </c>
      <c r="G477">
        <v>3093</v>
      </c>
      <c r="H477">
        <v>3485</v>
      </c>
      <c r="I477">
        <v>1.1267377950210149</v>
      </c>
      <c r="J477">
        <v>1.1267377950210149</v>
      </c>
      <c r="K477" t="s">
        <v>118</v>
      </c>
      <c r="L477" t="s">
        <v>118</v>
      </c>
      <c r="M477">
        <v>2024</v>
      </c>
      <c r="N477" t="s">
        <v>44</v>
      </c>
      <c r="O477" t="s">
        <v>71</v>
      </c>
      <c r="P477">
        <v>0</v>
      </c>
      <c r="Q477">
        <v>0</v>
      </c>
      <c r="R477">
        <v>1</v>
      </c>
      <c r="S477" t="s">
        <v>718</v>
      </c>
      <c r="T477" t="s">
        <v>756</v>
      </c>
      <c r="U477">
        <v>1</v>
      </c>
    </row>
    <row r="478" spans="1:21" x14ac:dyDescent="0.3">
      <c r="A478" t="s">
        <v>750</v>
      </c>
      <c r="B478" t="s">
        <v>751</v>
      </c>
      <c r="C478" t="s">
        <v>730</v>
      </c>
      <c r="D478" t="s">
        <v>222</v>
      </c>
      <c r="E478" t="s">
        <v>30</v>
      </c>
      <c r="F478" s="6">
        <v>45657</v>
      </c>
      <c r="G478">
        <v>3055</v>
      </c>
      <c r="H478">
        <v>3666</v>
      </c>
      <c r="I478">
        <v>1.2</v>
      </c>
      <c r="J478">
        <v>1.2</v>
      </c>
      <c r="K478" t="s">
        <v>118</v>
      </c>
      <c r="L478" t="s">
        <v>118</v>
      </c>
      <c r="M478">
        <v>2024</v>
      </c>
      <c r="N478" t="s">
        <v>57</v>
      </c>
      <c r="O478" t="s">
        <v>78</v>
      </c>
      <c r="P478">
        <v>0</v>
      </c>
      <c r="Q478">
        <v>0</v>
      </c>
      <c r="R478">
        <v>1</v>
      </c>
      <c r="S478" t="s">
        <v>718</v>
      </c>
      <c r="T478" t="s">
        <v>757</v>
      </c>
      <c r="U478">
        <v>1</v>
      </c>
    </row>
    <row r="479" spans="1:21" x14ac:dyDescent="0.3">
      <c r="A479" t="s">
        <v>758</v>
      </c>
      <c r="B479" t="s">
        <v>759</v>
      </c>
      <c r="C479" t="s">
        <v>760</v>
      </c>
      <c r="D479" t="s">
        <v>222</v>
      </c>
      <c r="E479" t="s">
        <v>30</v>
      </c>
      <c r="F479" s="6">
        <v>45107</v>
      </c>
      <c r="H479">
        <v>146</v>
      </c>
      <c r="K479" t="s">
        <v>761</v>
      </c>
      <c r="L479" t="s">
        <v>118</v>
      </c>
      <c r="M479">
        <v>2023</v>
      </c>
      <c r="N479" t="s">
        <v>44</v>
      </c>
      <c r="O479" t="s">
        <v>33</v>
      </c>
      <c r="P479">
        <v>0</v>
      </c>
      <c r="Q479">
        <v>0</v>
      </c>
      <c r="R479">
        <v>0</v>
      </c>
      <c r="S479" t="s">
        <v>34</v>
      </c>
      <c r="T479" t="s">
        <v>762</v>
      </c>
      <c r="U479">
        <v>1</v>
      </c>
    </row>
    <row r="480" spans="1:21" x14ac:dyDescent="0.3">
      <c r="A480" t="s">
        <v>758</v>
      </c>
      <c r="B480" t="s">
        <v>759</v>
      </c>
      <c r="C480" t="s">
        <v>760</v>
      </c>
      <c r="D480" t="s">
        <v>222</v>
      </c>
      <c r="E480" t="s">
        <v>30</v>
      </c>
      <c r="F480" s="6">
        <v>45291</v>
      </c>
      <c r="H480">
        <v>146</v>
      </c>
      <c r="K480" t="s">
        <v>761</v>
      </c>
      <c r="L480" t="s">
        <v>118</v>
      </c>
      <c r="M480">
        <v>2023</v>
      </c>
      <c r="N480" t="s">
        <v>57</v>
      </c>
      <c r="O480" t="s">
        <v>47</v>
      </c>
      <c r="P480">
        <v>0</v>
      </c>
      <c r="Q480">
        <v>0</v>
      </c>
      <c r="R480">
        <v>0</v>
      </c>
      <c r="S480" t="s">
        <v>34</v>
      </c>
      <c r="T480" t="s">
        <v>763</v>
      </c>
      <c r="U480">
        <v>1</v>
      </c>
    </row>
    <row r="481" spans="1:21" x14ac:dyDescent="0.3">
      <c r="A481" t="s">
        <v>758</v>
      </c>
      <c r="B481" t="s">
        <v>759</v>
      </c>
      <c r="C481" t="s">
        <v>760</v>
      </c>
      <c r="D481" t="s">
        <v>222</v>
      </c>
      <c r="E481" t="s">
        <v>30</v>
      </c>
      <c r="F481" s="6">
        <v>45473</v>
      </c>
      <c r="H481">
        <v>112</v>
      </c>
      <c r="K481" t="s">
        <v>761</v>
      </c>
      <c r="L481" t="s">
        <v>118</v>
      </c>
      <c r="M481">
        <v>2024</v>
      </c>
      <c r="N481" t="s">
        <v>44</v>
      </c>
      <c r="O481" t="s">
        <v>71</v>
      </c>
      <c r="P481">
        <v>0</v>
      </c>
      <c r="Q481">
        <v>0</v>
      </c>
      <c r="R481">
        <v>0</v>
      </c>
      <c r="S481" t="s">
        <v>34</v>
      </c>
      <c r="T481" t="s">
        <v>764</v>
      </c>
      <c r="U481">
        <v>1</v>
      </c>
    </row>
    <row r="482" spans="1:21" x14ac:dyDescent="0.3">
      <c r="A482" t="s">
        <v>758</v>
      </c>
      <c r="B482" t="s">
        <v>759</v>
      </c>
      <c r="C482" t="s">
        <v>760</v>
      </c>
      <c r="D482" t="s">
        <v>222</v>
      </c>
      <c r="E482" t="s">
        <v>30</v>
      </c>
      <c r="F482" s="6">
        <v>45657</v>
      </c>
      <c r="H482">
        <v>135</v>
      </c>
      <c r="K482" t="s">
        <v>761</v>
      </c>
      <c r="L482" t="s">
        <v>118</v>
      </c>
      <c r="M482">
        <v>2024</v>
      </c>
      <c r="N482" t="s">
        <v>57</v>
      </c>
      <c r="O482" t="s">
        <v>78</v>
      </c>
      <c r="P482">
        <v>0</v>
      </c>
      <c r="Q482">
        <v>0</v>
      </c>
      <c r="R482">
        <v>0</v>
      </c>
      <c r="S482" t="s">
        <v>34</v>
      </c>
      <c r="T482" t="s">
        <v>765</v>
      </c>
      <c r="U482">
        <v>1</v>
      </c>
    </row>
    <row r="483" spans="1:21" x14ac:dyDescent="0.3">
      <c r="A483" t="s">
        <v>758</v>
      </c>
      <c r="B483" t="s">
        <v>766</v>
      </c>
      <c r="C483" t="s">
        <v>760</v>
      </c>
      <c r="D483" t="s">
        <v>222</v>
      </c>
      <c r="E483" t="s">
        <v>30</v>
      </c>
      <c r="F483" s="6">
        <v>45838</v>
      </c>
      <c r="G483">
        <v>100</v>
      </c>
      <c r="H483" t="s">
        <v>767</v>
      </c>
      <c r="I483">
        <v>1.3</v>
      </c>
      <c r="J483">
        <v>1.59</v>
      </c>
      <c r="K483" t="s">
        <v>102</v>
      </c>
      <c r="L483" t="s">
        <v>768</v>
      </c>
      <c r="M483">
        <v>2025</v>
      </c>
      <c r="N483" t="s">
        <v>44</v>
      </c>
      <c r="O483" t="s">
        <v>244</v>
      </c>
      <c r="P483">
        <v>2</v>
      </c>
      <c r="Q483">
        <v>2</v>
      </c>
      <c r="R483">
        <v>0</v>
      </c>
      <c r="S483" t="s">
        <v>34</v>
      </c>
      <c r="T483" t="s">
        <v>769</v>
      </c>
      <c r="U483">
        <v>30</v>
      </c>
    </row>
    <row r="484" spans="1:21" x14ac:dyDescent="0.3">
      <c r="A484" t="s">
        <v>758</v>
      </c>
      <c r="B484" t="s">
        <v>766</v>
      </c>
      <c r="C484" t="s">
        <v>760</v>
      </c>
      <c r="D484" t="s">
        <v>222</v>
      </c>
      <c r="E484" t="s">
        <v>30</v>
      </c>
      <c r="F484" s="6">
        <v>46022</v>
      </c>
      <c r="G484">
        <v>100</v>
      </c>
      <c r="H484" t="s">
        <v>770</v>
      </c>
      <c r="I484">
        <v>1.3</v>
      </c>
      <c r="J484">
        <v>1.91</v>
      </c>
      <c r="K484" t="s">
        <v>102</v>
      </c>
      <c r="L484" t="s">
        <v>771</v>
      </c>
      <c r="M484">
        <v>2025</v>
      </c>
      <c r="N484" t="s">
        <v>57</v>
      </c>
      <c r="O484" t="s">
        <v>103</v>
      </c>
      <c r="P484">
        <v>2</v>
      </c>
      <c r="Q484">
        <v>2</v>
      </c>
      <c r="R484">
        <v>0</v>
      </c>
      <c r="S484" t="s">
        <v>34</v>
      </c>
      <c r="T484" t="s">
        <v>772</v>
      </c>
      <c r="U484">
        <v>31</v>
      </c>
    </row>
    <row r="485" spans="1:21" x14ac:dyDescent="0.3">
      <c r="A485" t="s">
        <v>773</v>
      </c>
      <c r="B485" t="s">
        <v>774</v>
      </c>
      <c r="C485" t="s">
        <v>760</v>
      </c>
      <c r="D485" t="s">
        <v>98</v>
      </c>
      <c r="E485" t="s">
        <v>30</v>
      </c>
      <c r="F485" s="6">
        <v>45291</v>
      </c>
      <c r="G485">
        <v>3</v>
      </c>
      <c r="H485">
        <v>4.83</v>
      </c>
      <c r="I485">
        <v>1.61</v>
      </c>
      <c r="J485">
        <v>1.61</v>
      </c>
      <c r="K485">
        <v>0</v>
      </c>
      <c r="L485" t="s">
        <v>118</v>
      </c>
      <c r="M485">
        <v>2023</v>
      </c>
      <c r="N485" t="s">
        <v>57</v>
      </c>
      <c r="O485" t="s">
        <v>47</v>
      </c>
      <c r="P485">
        <v>0</v>
      </c>
      <c r="Q485">
        <v>0</v>
      </c>
      <c r="R485">
        <v>0</v>
      </c>
      <c r="S485" t="s">
        <v>34</v>
      </c>
      <c r="T485" t="s">
        <v>775</v>
      </c>
      <c r="U485">
        <v>1</v>
      </c>
    </row>
    <row r="486" spans="1:21" x14ac:dyDescent="0.3">
      <c r="A486" t="s">
        <v>773</v>
      </c>
      <c r="B486" t="s">
        <v>774</v>
      </c>
      <c r="C486" t="s">
        <v>760</v>
      </c>
      <c r="D486" t="s">
        <v>98</v>
      </c>
      <c r="E486" t="s">
        <v>30</v>
      </c>
      <c r="F486" s="6">
        <v>45657</v>
      </c>
      <c r="G486">
        <v>3</v>
      </c>
      <c r="H486">
        <v>3.07</v>
      </c>
      <c r="I486">
        <v>1.023333333333333</v>
      </c>
      <c r="J486">
        <v>1.023333333333333</v>
      </c>
      <c r="M486">
        <v>2024</v>
      </c>
      <c r="N486" t="s">
        <v>57</v>
      </c>
      <c r="O486" t="s">
        <v>78</v>
      </c>
      <c r="P486">
        <v>0</v>
      </c>
      <c r="Q486">
        <v>0</v>
      </c>
      <c r="R486">
        <v>0</v>
      </c>
      <c r="S486" t="s">
        <v>34</v>
      </c>
      <c r="T486" t="s">
        <v>776</v>
      </c>
      <c r="U486">
        <v>1</v>
      </c>
    </row>
    <row r="487" spans="1:21" x14ac:dyDescent="0.3">
      <c r="A487" t="s">
        <v>773</v>
      </c>
      <c r="B487" t="s">
        <v>774</v>
      </c>
      <c r="C487" t="s">
        <v>760</v>
      </c>
      <c r="D487" t="s">
        <v>98</v>
      </c>
      <c r="E487" t="s">
        <v>30</v>
      </c>
      <c r="F487" s="6">
        <v>46022</v>
      </c>
      <c r="G487">
        <v>4</v>
      </c>
      <c r="H487" t="s">
        <v>777</v>
      </c>
      <c r="I487">
        <v>0.48749999999999999</v>
      </c>
      <c r="J487">
        <v>0.48749999999999999</v>
      </c>
      <c r="K487" t="s">
        <v>778</v>
      </c>
      <c r="L487" t="s">
        <v>779</v>
      </c>
      <c r="M487">
        <v>2025</v>
      </c>
      <c r="N487" t="s">
        <v>57</v>
      </c>
      <c r="O487" t="s">
        <v>103</v>
      </c>
      <c r="P487">
        <v>2</v>
      </c>
      <c r="Q487">
        <v>2</v>
      </c>
      <c r="R487">
        <v>0</v>
      </c>
      <c r="S487" t="s">
        <v>34</v>
      </c>
      <c r="T487" t="s">
        <v>780</v>
      </c>
      <c r="U487">
        <v>31</v>
      </c>
    </row>
    <row r="488" spans="1:21" x14ac:dyDescent="0.3">
      <c r="A488" t="s">
        <v>781</v>
      </c>
      <c r="B488" t="s">
        <v>782</v>
      </c>
      <c r="C488" t="s">
        <v>146</v>
      </c>
      <c r="D488" t="s">
        <v>222</v>
      </c>
      <c r="E488" t="s">
        <v>30</v>
      </c>
      <c r="F488" s="6">
        <v>45107</v>
      </c>
      <c r="G488">
        <v>1</v>
      </c>
      <c r="H488">
        <v>2</v>
      </c>
      <c r="I488">
        <v>1.3</v>
      </c>
      <c r="J488">
        <v>2</v>
      </c>
      <c r="K488" t="s">
        <v>118</v>
      </c>
      <c r="L488" t="s">
        <v>109</v>
      </c>
      <c r="M488">
        <v>2023</v>
      </c>
      <c r="N488" t="s">
        <v>44</v>
      </c>
      <c r="O488" t="s">
        <v>33</v>
      </c>
      <c r="P488">
        <v>0</v>
      </c>
      <c r="Q488">
        <v>0</v>
      </c>
      <c r="R488">
        <v>0</v>
      </c>
      <c r="S488" t="s">
        <v>34</v>
      </c>
      <c r="T488" t="s">
        <v>783</v>
      </c>
      <c r="U488">
        <v>1</v>
      </c>
    </row>
    <row r="489" spans="1:21" x14ac:dyDescent="0.3">
      <c r="A489" t="s">
        <v>781</v>
      </c>
      <c r="B489" t="s">
        <v>782</v>
      </c>
      <c r="C489" t="s">
        <v>146</v>
      </c>
      <c r="D489" t="s">
        <v>222</v>
      </c>
      <c r="E489" t="s">
        <v>30</v>
      </c>
      <c r="F489" s="6">
        <v>45291</v>
      </c>
      <c r="G489">
        <v>1</v>
      </c>
      <c r="H489">
        <v>2</v>
      </c>
      <c r="I489">
        <v>1.3</v>
      </c>
      <c r="J489">
        <v>2</v>
      </c>
      <c r="K489" t="s">
        <v>118</v>
      </c>
      <c r="L489" t="s">
        <v>109</v>
      </c>
      <c r="M489">
        <v>2023</v>
      </c>
      <c r="N489" t="s">
        <v>57</v>
      </c>
      <c r="O489" t="s">
        <v>47</v>
      </c>
      <c r="P489">
        <v>0</v>
      </c>
      <c r="Q489">
        <v>0</v>
      </c>
      <c r="R489">
        <v>0</v>
      </c>
      <c r="S489" t="s">
        <v>34</v>
      </c>
      <c r="T489" t="s">
        <v>784</v>
      </c>
      <c r="U489">
        <v>1</v>
      </c>
    </row>
    <row r="490" spans="1:21" x14ac:dyDescent="0.3">
      <c r="A490" t="s">
        <v>781</v>
      </c>
      <c r="B490" t="s">
        <v>782</v>
      </c>
      <c r="C490" t="s">
        <v>146</v>
      </c>
      <c r="D490" t="s">
        <v>222</v>
      </c>
      <c r="E490" t="s">
        <v>30</v>
      </c>
      <c r="F490" s="6">
        <v>45473</v>
      </c>
      <c r="G490">
        <v>1</v>
      </c>
      <c r="H490">
        <v>1.97</v>
      </c>
      <c r="I490">
        <v>1.3</v>
      </c>
      <c r="J490">
        <v>1.97</v>
      </c>
      <c r="K490" t="s">
        <v>118</v>
      </c>
      <c r="L490" t="s">
        <v>109</v>
      </c>
      <c r="M490">
        <v>2024</v>
      </c>
      <c r="N490" t="s">
        <v>44</v>
      </c>
      <c r="O490" t="s">
        <v>71</v>
      </c>
      <c r="P490">
        <v>0</v>
      </c>
      <c r="Q490">
        <v>2</v>
      </c>
      <c r="R490">
        <v>0</v>
      </c>
      <c r="S490" t="s">
        <v>34</v>
      </c>
      <c r="T490" t="s">
        <v>785</v>
      </c>
      <c r="U490">
        <v>1</v>
      </c>
    </row>
    <row r="491" spans="1:21" x14ac:dyDescent="0.3">
      <c r="A491" t="s">
        <v>781</v>
      </c>
      <c r="B491" t="s">
        <v>782</v>
      </c>
      <c r="C491" t="s">
        <v>146</v>
      </c>
      <c r="D491" t="s">
        <v>222</v>
      </c>
      <c r="E491" t="s">
        <v>30</v>
      </c>
      <c r="F491" s="6">
        <v>45657</v>
      </c>
      <c r="G491">
        <v>1</v>
      </c>
      <c r="H491">
        <v>1.94</v>
      </c>
      <c r="I491">
        <v>1.3</v>
      </c>
      <c r="J491">
        <v>1.94</v>
      </c>
      <c r="K491" t="s">
        <v>118</v>
      </c>
      <c r="L491" t="s">
        <v>109</v>
      </c>
      <c r="M491">
        <v>2024</v>
      </c>
      <c r="N491" t="s">
        <v>57</v>
      </c>
      <c r="O491" t="s">
        <v>78</v>
      </c>
      <c r="P491">
        <v>0</v>
      </c>
      <c r="Q491">
        <v>2</v>
      </c>
      <c r="R491">
        <v>0</v>
      </c>
      <c r="S491" t="s">
        <v>34</v>
      </c>
      <c r="T491" t="s">
        <v>786</v>
      </c>
      <c r="U491">
        <v>1</v>
      </c>
    </row>
    <row r="492" spans="1:21" x14ac:dyDescent="0.3">
      <c r="A492" t="s">
        <v>781</v>
      </c>
      <c r="B492" t="s">
        <v>782</v>
      </c>
      <c r="C492" t="s">
        <v>146</v>
      </c>
      <c r="D492" t="s">
        <v>222</v>
      </c>
      <c r="E492" t="s">
        <v>30</v>
      </c>
      <c r="F492" s="6">
        <v>45838</v>
      </c>
      <c r="G492">
        <v>1</v>
      </c>
      <c r="H492" t="s">
        <v>787</v>
      </c>
      <c r="I492">
        <v>1.3</v>
      </c>
      <c r="J492">
        <v>1.74</v>
      </c>
      <c r="K492" t="s">
        <v>617</v>
      </c>
      <c r="L492" t="s">
        <v>788</v>
      </c>
      <c r="M492">
        <v>2025</v>
      </c>
      <c r="N492" t="s">
        <v>44</v>
      </c>
      <c r="O492" t="s">
        <v>244</v>
      </c>
      <c r="P492">
        <v>2</v>
      </c>
      <c r="Q492">
        <v>2</v>
      </c>
      <c r="R492">
        <v>0</v>
      </c>
      <c r="S492" t="s">
        <v>34</v>
      </c>
      <c r="T492" t="s">
        <v>789</v>
      </c>
      <c r="U492">
        <v>30</v>
      </c>
    </row>
    <row r="493" spans="1:21" x14ac:dyDescent="0.3">
      <c r="A493" t="s">
        <v>781</v>
      </c>
      <c r="B493" t="s">
        <v>782</v>
      </c>
      <c r="C493" t="s">
        <v>146</v>
      </c>
      <c r="D493" t="s">
        <v>222</v>
      </c>
      <c r="E493" t="s">
        <v>30</v>
      </c>
      <c r="F493" s="6">
        <v>46022</v>
      </c>
      <c r="G493">
        <v>1</v>
      </c>
      <c r="H493" t="s">
        <v>790</v>
      </c>
      <c r="I493">
        <v>1.3</v>
      </c>
      <c r="J493">
        <v>1.62</v>
      </c>
      <c r="K493" t="s">
        <v>617</v>
      </c>
      <c r="L493" t="s">
        <v>791</v>
      </c>
      <c r="M493">
        <v>2025</v>
      </c>
      <c r="N493" t="s">
        <v>57</v>
      </c>
      <c r="O493" t="s">
        <v>103</v>
      </c>
      <c r="P493">
        <v>2</v>
      </c>
      <c r="Q493">
        <v>2</v>
      </c>
      <c r="R493">
        <v>0</v>
      </c>
      <c r="S493" t="s">
        <v>34</v>
      </c>
      <c r="T493" t="s">
        <v>792</v>
      </c>
      <c r="U493">
        <v>31</v>
      </c>
    </row>
    <row r="494" spans="1:21" x14ac:dyDescent="0.3">
      <c r="A494" t="s">
        <v>793</v>
      </c>
      <c r="B494" t="s">
        <v>794</v>
      </c>
      <c r="C494" t="s">
        <v>760</v>
      </c>
      <c r="D494" t="s">
        <v>222</v>
      </c>
      <c r="E494" t="s">
        <v>30</v>
      </c>
      <c r="F494" s="6">
        <v>45107</v>
      </c>
      <c r="G494">
        <v>230</v>
      </c>
      <c r="H494">
        <v>278</v>
      </c>
      <c r="I494">
        <v>1.2086956521739129</v>
      </c>
      <c r="J494">
        <v>1.2086956521739129</v>
      </c>
      <c r="K494" t="s">
        <v>118</v>
      </c>
      <c r="L494" t="s">
        <v>118</v>
      </c>
      <c r="M494">
        <v>2023</v>
      </c>
      <c r="N494" t="s">
        <v>44</v>
      </c>
      <c r="O494" t="s">
        <v>33</v>
      </c>
      <c r="P494">
        <v>0</v>
      </c>
      <c r="Q494">
        <v>0</v>
      </c>
      <c r="R494">
        <v>0</v>
      </c>
      <c r="S494" t="s">
        <v>34</v>
      </c>
      <c r="T494" t="s">
        <v>795</v>
      </c>
      <c r="U494">
        <v>1</v>
      </c>
    </row>
    <row r="495" spans="1:21" x14ac:dyDescent="0.3">
      <c r="A495" t="s">
        <v>793</v>
      </c>
      <c r="B495" t="s">
        <v>794</v>
      </c>
      <c r="C495" t="s">
        <v>760</v>
      </c>
      <c r="D495" t="s">
        <v>222</v>
      </c>
      <c r="E495" t="s">
        <v>30</v>
      </c>
      <c r="F495" s="6">
        <v>45291</v>
      </c>
      <c r="G495">
        <v>230</v>
      </c>
      <c r="H495">
        <v>342</v>
      </c>
      <c r="I495">
        <v>1.486956521739131</v>
      </c>
      <c r="J495">
        <v>1.486956521739131</v>
      </c>
      <c r="K495" t="s">
        <v>118</v>
      </c>
      <c r="L495" t="s">
        <v>118</v>
      </c>
      <c r="M495">
        <v>2023</v>
      </c>
      <c r="N495" t="s">
        <v>57</v>
      </c>
      <c r="O495" t="s">
        <v>47</v>
      </c>
      <c r="P495">
        <v>0</v>
      </c>
      <c r="Q495">
        <v>0</v>
      </c>
      <c r="R495">
        <v>0</v>
      </c>
      <c r="S495" t="s">
        <v>34</v>
      </c>
      <c r="T495" t="s">
        <v>796</v>
      </c>
      <c r="U495">
        <v>1</v>
      </c>
    </row>
    <row r="496" spans="1:21" x14ac:dyDescent="0.3">
      <c r="A496" t="s">
        <v>793</v>
      </c>
      <c r="B496" t="s">
        <v>794</v>
      </c>
      <c r="C496" t="s">
        <v>760</v>
      </c>
      <c r="D496" t="s">
        <v>222</v>
      </c>
      <c r="E496" t="s">
        <v>30</v>
      </c>
      <c r="F496" s="6">
        <v>45473</v>
      </c>
      <c r="G496">
        <v>294</v>
      </c>
      <c r="H496">
        <v>334</v>
      </c>
      <c r="I496">
        <v>1.136054421768707</v>
      </c>
      <c r="J496">
        <v>1.136054421768707</v>
      </c>
      <c r="K496" t="s">
        <v>118</v>
      </c>
      <c r="L496" t="s">
        <v>118</v>
      </c>
      <c r="M496">
        <v>2024</v>
      </c>
      <c r="N496" t="s">
        <v>44</v>
      </c>
      <c r="O496" t="s">
        <v>71</v>
      </c>
      <c r="P496">
        <v>0</v>
      </c>
      <c r="Q496">
        <v>0</v>
      </c>
      <c r="R496">
        <v>0</v>
      </c>
      <c r="S496" t="s">
        <v>34</v>
      </c>
      <c r="T496" t="s">
        <v>797</v>
      </c>
      <c r="U496">
        <v>1</v>
      </c>
    </row>
    <row r="497" spans="1:21" x14ac:dyDescent="0.3">
      <c r="A497" t="s">
        <v>793</v>
      </c>
      <c r="B497" t="s">
        <v>794</v>
      </c>
      <c r="C497" t="s">
        <v>760</v>
      </c>
      <c r="D497" t="s">
        <v>222</v>
      </c>
      <c r="E497" t="s">
        <v>30</v>
      </c>
      <c r="F497" s="6">
        <v>45657</v>
      </c>
      <c r="G497">
        <v>294</v>
      </c>
      <c r="H497">
        <v>343</v>
      </c>
      <c r="I497">
        <v>1.166666666666667</v>
      </c>
      <c r="J497">
        <v>1.166666666666667</v>
      </c>
      <c r="K497" t="s">
        <v>118</v>
      </c>
      <c r="L497" t="s">
        <v>118</v>
      </c>
      <c r="M497">
        <v>2024</v>
      </c>
      <c r="N497" t="s">
        <v>57</v>
      </c>
      <c r="O497" t="s">
        <v>78</v>
      </c>
      <c r="P497">
        <v>0</v>
      </c>
      <c r="Q497">
        <v>0</v>
      </c>
      <c r="R497">
        <v>0</v>
      </c>
      <c r="S497" t="s">
        <v>34</v>
      </c>
      <c r="T497" t="s">
        <v>798</v>
      </c>
      <c r="U497">
        <v>1</v>
      </c>
    </row>
    <row r="498" spans="1:21" x14ac:dyDescent="0.3">
      <c r="A498" t="s">
        <v>793</v>
      </c>
      <c r="B498" t="s">
        <v>794</v>
      </c>
      <c r="C498" t="s">
        <v>760</v>
      </c>
      <c r="D498" t="s">
        <v>222</v>
      </c>
      <c r="E498" t="s">
        <v>30</v>
      </c>
      <c r="F498" s="6">
        <v>45838</v>
      </c>
      <c r="G498">
        <v>100</v>
      </c>
      <c r="H498" t="s">
        <v>799</v>
      </c>
      <c r="I498">
        <v>1.07</v>
      </c>
      <c r="J498">
        <v>1.07</v>
      </c>
      <c r="K498" t="s">
        <v>102</v>
      </c>
      <c r="L498" t="s">
        <v>800</v>
      </c>
      <c r="M498">
        <v>2025</v>
      </c>
      <c r="N498" t="s">
        <v>44</v>
      </c>
      <c r="O498" t="s">
        <v>244</v>
      </c>
      <c r="P498">
        <v>2</v>
      </c>
      <c r="Q498">
        <v>2</v>
      </c>
      <c r="R498">
        <v>0</v>
      </c>
      <c r="S498" t="s">
        <v>34</v>
      </c>
      <c r="T498" t="s">
        <v>801</v>
      </c>
      <c r="U498">
        <v>30</v>
      </c>
    </row>
    <row r="499" spans="1:21" x14ac:dyDescent="0.3">
      <c r="A499" t="s">
        <v>793</v>
      </c>
      <c r="B499" t="s">
        <v>794</v>
      </c>
      <c r="C499" t="s">
        <v>760</v>
      </c>
      <c r="D499" t="s">
        <v>222</v>
      </c>
      <c r="E499" t="s">
        <v>30</v>
      </c>
      <c r="F499" s="6">
        <v>46022</v>
      </c>
      <c r="G499">
        <v>100</v>
      </c>
      <c r="H499" t="s">
        <v>662</v>
      </c>
      <c r="I499">
        <v>1.3</v>
      </c>
      <c r="J499">
        <v>1.33</v>
      </c>
      <c r="K499" t="s">
        <v>102</v>
      </c>
      <c r="L499" t="s">
        <v>802</v>
      </c>
      <c r="M499">
        <v>2025</v>
      </c>
      <c r="N499" t="s">
        <v>57</v>
      </c>
      <c r="O499" t="s">
        <v>103</v>
      </c>
      <c r="P499">
        <v>2</v>
      </c>
      <c r="Q499">
        <v>2</v>
      </c>
      <c r="R499">
        <v>0</v>
      </c>
      <c r="S499" t="s">
        <v>34</v>
      </c>
      <c r="T499" t="s">
        <v>803</v>
      </c>
      <c r="U499">
        <v>31</v>
      </c>
    </row>
    <row r="500" spans="1:21" x14ac:dyDescent="0.3">
      <c r="A500" t="s">
        <v>804</v>
      </c>
      <c r="B500" t="s">
        <v>805</v>
      </c>
      <c r="C500" t="s">
        <v>760</v>
      </c>
      <c r="D500" t="s">
        <v>98</v>
      </c>
      <c r="E500" t="s">
        <v>30</v>
      </c>
      <c r="F500" s="6">
        <v>45291</v>
      </c>
      <c r="G500">
        <v>13</v>
      </c>
      <c r="H500">
        <v>11</v>
      </c>
      <c r="I500">
        <v>0.84615384615384615</v>
      </c>
      <c r="J500">
        <v>0.84615384615384615</v>
      </c>
      <c r="K500" t="s">
        <v>118</v>
      </c>
      <c r="L500" t="s">
        <v>118</v>
      </c>
      <c r="M500">
        <v>2023</v>
      </c>
      <c r="N500" t="s">
        <v>57</v>
      </c>
      <c r="O500" t="s">
        <v>47</v>
      </c>
      <c r="P500">
        <v>0</v>
      </c>
      <c r="Q500">
        <v>0</v>
      </c>
      <c r="R500">
        <v>0</v>
      </c>
      <c r="S500" t="s">
        <v>34</v>
      </c>
      <c r="T500" t="s">
        <v>806</v>
      </c>
      <c r="U500">
        <v>1</v>
      </c>
    </row>
    <row r="501" spans="1:21" x14ac:dyDescent="0.3">
      <c r="A501" t="s">
        <v>804</v>
      </c>
      <c r="B501" t="s">
        <v>805</v>
      </c>
      <c r="C501" t="s">
        <v>760</v>
      </c>
      <c r="D501" t="s">
        <v>98</v>
      </c>
      <c r="E501" t="s">
        <v>30</v>
      </c>
      <c r="F501" s="6">
        <v>45657</v>
      </c>
      <c r="G501">
        <v>16</v>
      </c>
      <c r="H501">
        <v>12</v>
      </c>
      <c r="I501">
        <v>0.75</v>
      </c>
      <c r="J501">
        <v>0.75</v>
      </c>
      <c r="M501">
        <v>2024</v>
      </c>
      <c r="N501" t="s">
        <v>57</v>
      </c>
      <c r="O501" t="s">
        <v>78</v>
      </c>
      <c r="P501">
        <v>0</v>
      </c>
      <c r="Q501">
        <v>0</v>
      </c>
      <c r="R501">
        <v>0</v>
      </c>
      <c r="S501" t="s">
        <v>34</v>
      </c>
      <c r="T501" t="s">
        <v>807</v>
      </c>
      <c r="U501">
        <v>1</v>
      </c>
    </row>
    <row r="502" spans="1:21" x14ac:dyDescent="0.3">
      <c r="A502" t="s">
        <v>804</v>
      </c>
      <c r="B502" t="s">
        <v>805</v>
      </c>
      <c r="C502" t="s">
        <v>760</v>
      </c>
      <c r="D502" t="s">
        <v>98</v>
      </c>
      <c r="E502" t="s">
        <v>30</v>
      </c>
      <c r="F502" s="6">
        <v>46022</v>
      </c>
      <c r="G502">
        <v>16</v>
      </c>
      <c r="H502" t="s">
        <v>808</v>
      </c>
      <c r="I502">
        <v>1</v>
      </c>
      <c r="J502">
        <v>1</v>
      </c>
      <c r="K502" t="s">
        <v>809</v>
      </c>
      <c r="L502" t="s">
        <v>809</v>
      </c>
      <c r="M502">
        <v>2025</v>
      </c>
      <c r="N502" t="s">
        <v>57</v>
      </c>
      <c r="O502" t="s">
        <v>103</v>
      </c>
      <c r="P502">
        <v>2</v>
      </c>
      <c r="Q502">
        <v>2</v>
      </c>
      <c r="R502">
        <v>0</v>
      </c>
      <c r="S502" t="s">
        <v>34</v>
      </c>
      <c r="T502" t="s">
        <v>810</v>
      </c>
      <c r="U502">
        <v>31</v>
      </c>
    </row>
    <row r="503" spans="1:21" x14ac:dyDescent="0.3">
      <c r="A503" t="s">
        <v>811</v>
      </c>
      <c r="B503" t="s">
        <v>812</v>
      </c>
      <c r="C503" t="s">
        <v>146</v>
      </c>
      <c r="D503" t="s">
        <v>222</v>
      </c>
      <c r="E503" t="s">
        <v>30</v>
      </c>
      <c r="F503" s="6">
        <v>44926</v>
      </c>
      <c r="G503">
        <v>5</v>
      </c>
      <c r="H503">
        <v>4.66</v>
      </c>
      <c r="I503">
        <v>0.93200000000000005</v>
      </c>
      <c r="J503">
        <v>0.93200000000000005</v>
      </c>
      <c r="K503" t="s">
        <v>31</v>
      </c>
      <c r="L503" t="s">
        <v>31</v>
      </c>
      <c r="M503">
        <v>2022</v>
      </c>
      <c r="N503" t="s">
        <v>57</v>
      </c>
      <c r="O503" t="s">
        <v>90</v>
      </c>
      <c r="P503">
        <v>0</v>
      </c>
      <c r="Q503">
        <v>1</v>
      </c>
      <c r="R503">
        <v>1</v>
      </c>
      <c r="S503" t="s">
        <v>34</v>
      </c>
      <c r="T503" t="s">
        <v>813</v>
      </c>
      <c r="U503">
        <v>1</v>
      </c>
    </row>
    <row r="504" spans="1:21" x14ac:dyDescent="0.3">
      <c r="A504" t="s">
        <v>811</v>
      </c>
      <c r="B504" t="s">
        <v>812</v>
      </c>
      <c r="C504" t="s">
        <v>146</v>
      </c>
      <c r="D504" t="s">
        <v>222</v>
      </c>
      <c r="E504" t="s">
        <v>30</v>
      </c>
      <c r="F504" s="6">
        <v>45107</v>
      </c>
      <c r="G504">
        <v>2.5</v>
      </c>
      <c r="H504">
        <v>4.1100000000000003</v>
      </c>
      <c r="I504">
        <v>1.3</v>
      </c>
      <c r="J504">
        <v>1.6439999999999999</v>
      </c>
      <c r="K504" t="s">
        <v>31</v>
      </c>
      <c r="L504" t="s">
        <v>31</v>
      </c>
      <c r="M504">
        <v>2023</v>
      </c>
      <c r="N504" t="s">
        <v>44</v>
      </c>
      <c r="O504" t="s">
        <v>33</v>
      </c>
      <c r="P504">
        <v>2</v>
      </c>
      <c r="Q504">
        <v>1</v>
      </c>
      <c r="R504">
        <v>1</v>
      </c>
      <c r="S504" t="s">
        <v>34</v>
      </c>
      <c r="T504" t="s">
        <v>814</v>
      </c>
      <c r="U504">
        <v>1</v>
      </c>
    </row>
    <row r="505" spans="1:21" x14ac:dyDescent="0.3">
      <c r="A505" t="s">
        <v>811</v>
      </c>
      <c r="B505" t="s">
        <v>812</v>
      </c>
      <c r="C505" t="s">
        <v>146</v>
      </c>
      <c r="D505" t="s">
        <v>222</v>
      </c>
      <c r="E505" t="s">
        <v>30</v>
      </c>
      <c r="F505" s="6">
        <v>45291</v>
      </c>
      <c r="G505">
        <v>5</v>
      </c>
      <c r="H505">
        <v>5.71</v>
      </c>
      <c r="I505">
        <v>1.1419999999999999</v>
      </c>
      <c r="J505">
        <v>1.1419999999999999</v>
      </c>
      <c r="K505" t="s">
        <v>31</v>
      </c>
      <c r="L505" t="s">
        <v>31</v>
      </c>
      <c r="M505">
        <v>2023</v>
      </c>
      <c r="N505" t="s">
        <v>57</v>
      </c>
      <c r="O505" t="s">
        <v>47</v>
      </c>
      <c r="P505">
        <v>0</v>
      </c>
      <c r="Q505">
        <v>1</v>
      </c>
      <c r="R505">
        <v>1</v>
      </c>
      <c r="S505" t="s">
        <v>34</v>
      </c>
      <c r="T505" t="s">
        <v>815</v>
      </c>
      <c r="U505">
        <v>1</v>
      </c>
    </row>
    <row r="506" spans="1:21" x14ac:dyDescent="0.3">
      <c r="A506" t="s">
        <v>811</v>
      </c>
      <c r="B506" t="s">
        <v>812</v>
      </c>
      <c r="C506" t="s">
        <v>146</v>
      </c>
      <c r="D506" t="s">
        <v>222</v>
      </c>
      <c r="E506" t="s">
        <v>30</v>
      </c>
      <c r="F506" s="6">
        <v>45473</v>
      </c>
      <c r="G506">
        <v>5</v>
      </c>
      <c r="H506">
        <v>4.3</v>
      </c>
      <c r="I506">
        <v>0.86</v>
      </c>
      <c r="J506">
        <v>0.86</v>
      </c>
      <c r="K506" t="s">
        <v>31</v>
      </c>
      <c r="L506" t="s">
        <v>31</v>
      </c>
      <c r="M506">
        <v>2024</v>
      </c>
      <c r="N506" t="s">
        <v>44</v>
      </c>
      <c r="O506" t="s">
        <v>71</v>
      </c>
      <c r="P506">
        <v>0</v>
      </c>
      <c r="Q506">
        <v>1</v>
      </c>
      <c r="R506">
        <v>1</v>
      </c>
      <c r="S506" t="s">
        <v>34</v>
      </c>
      <c r="T506" t="s">
        <v>816</v>
      </c>
      <c r="U506">
        <v>1</v>
      </c>
    </row>
    <row r="507" spans="1:21" x14ac:dyDescent="0.3">
      <c r="A507" t="s">
        <v>811</v>
      </c>
      <c r="B507" t="s">
        <v>817</v>
      </c>
      <c r="C507" t="s">
        <v>146</v>
      </c>
      <c r="D507" t="s">
        <v>222</v>
      </c>
      <c r="E507" t="s">
        <v>30</v>
      </c>
      <c r="F507" s="6">
        <v>45657</v>
      </c>
      <c r="G507">
        <v>5</v>
      </c>
      <c r="H507">
        <v>6.3</v>
      </c>
      <c r="I507">
        <v>1.26</v>
      </c>
      <c r="J507">
        <v>1.26</v>
      </c>
      <c r="K507" t="s">
        <v>31</v>
      </c>
      <c r="L507" t="s">
        <v>31</v>
      </c>
      <c r="M507">
        <v>2024</v>
      </c>
      <c r="N507" t="s">
        <v>57</v>
      </c>
      <c r="O507" t="s">
        <v>78</v>
      </c>
      <c r="P507">
        <v>0</v>
      </c>
      <c r="Q507">
        <v>1</v>
      </c>
      <c r="R507">
        <v>1</v>
      </c>
      <c r="S507" t="s">
        <v>34</v>
      </c>
      <c r="T507" t="s">
        <v>818</v>
      </c>
      <c r="U507">
        <v>1</v>
      </c>
    </row>
    <row r="508" spans="1:21" x14ac:dyDescent="0.3">
      <c r="A508" t="s">
        <v>811</v>
      </c>
      <c r="B508" t="s">
        <v>817</v>
      </c>
      <c r="C508" t="s">
        <v>146</v>
      </c>
      <c r="D508" t="s">
        <v>222</v>
      </c>
      <c r="E508" t="s">
        <v>30</v>
      </c>
      <c r="F508" s="6">
        <v>45838</v>
      </c>
      <c r="G508">
        <v>4</v>
      </c>
      <c r="H508" t="s">
        <v>819</v>
      </c>
      <c r="I508">
        <v>1.02</v>
      </c>
      <c r="J508">
        <v>1.02</v>
      </c>
      <c r="K508" t="s">
        <v>778</v>
      </c>
      <c r="L508" t="s">
        <v>820</v>
      </c>
      <c r="M508">
        <v>2025</v>
      </c>
      <c r="N508" t="s">
        <v>44</v>
      </c>
      <c r="O508" t="s">
        <v>244</v>
      </c>
      <c r="P508">
        <v>2</v>
      </c>
      <c r="Q508">
        <v>2</v>
      </c>
      <c r="R508">
        <v>1</v>
      </c>
      <c r="S508" t="s">
        <v>34</v>
      </c>
      <c r="T508" t="s">
        <v>821</v>
      </c>
      <c r="U508">
        <v>30</v>
      </c>
    </row>
    <row r="509" spans="1:21" x14ac:dyDescent="0.3">
      <c r="A509" t="s">
        <v>811</v>
      </c>
      <c r="B509" t="s">
        <v>817</v>
      </c>
      <c r="C509" t="s">
        <v>146</v>
      </c>
      <c r="D509" t="s">
        <v>222</v>
      </c>
      <c r="E509" t="s">
        <v>30</v>
      </c>
      <c r="F509" s="6">
        <v>46022</v>
      </c>
      <c r="G509">
        <v>5</v>
      </c>
      <c r="H509" t="s">
        <v>822</v>
      </c>
      <c r="I509">
        <v>1.3</v>
      </c>
      <c r="J509">
        <v>1.3560000000000001</v>
      </c>
      <c r="K509" t="s">
        <v>823</v>
      </c>
      <c r="L509" t="s">
        <v>824</v>
      </c>
      <c r="M509">
        <v>2025</v>
      </c>
      <c r="N509" t="s">
        <v>57</v>
      </c>
      <c r="O509" t="s">
        <v>103</v>
      </c>
      <c r="P509">
        <v>2</v>
      </c>
      <c r="Q509">
        <v>2</v>
      </c>
      <c r="R509">
        <v>1</v>
      </c>
      <c r="S509" t="s">
        <v>34</v>
      </c>
      <c r="T509" t="s">
        <v>825</v>
      </c>
      <c r="U509">
        <v>31</v>
      </c>
    </row>
    <row r="510" spans="1:21" x14ac:dyDescent="0.3">
      <c r="A510" t="s">
        <v>826</v>
      </c>
      <c r="B510" t="s">
        <v>125</v>
      </c>
      <c r="C510" t="s">
        <v>827</v>
      </c>
      <c r="D510" t="s">
        <v>98</v>
      </c>
      <c r="E510" t="s">
        <v>30</v>
      </c>
      <c r="F510" s="6">
        <v>44865</v>
      </c>
      <c r="G510">
        <v>80</v>
      </c>
      <c r="H510">
        <v>73.639994105511391</v>
      </c>
      <c r="I510">
        <v>0.92049992631889244</v>
      </c>
      <c r="J510">
        <v>0.92049992631889244</v>
      </c>
      <c r="K510" t="s">
        <v>31</v>
      </c>
      <c r="L510" t="s">
        <v>31</v>
      </c>
      <c r="M510">
        <v>2022</v>
      </c>
      <c r="N510" t="s">
        <v>53</v>
      </c>
      <c r="O510" t="s">
        <v>90</v>
      </c>
      <c r="P510">
        <v>0</v>
      </c>
      <c r="Q510">
        <v>0</v>
      </c>
      <c r="R510">
        <v>0</v>
      </c>
      <c r="S510" t="s">
        <v>34</v>
      </c>
      <c r="T510" t="s">
        <v>828</v>
      </c>
      <c r="U510">
        <v>1</v>
      </c>
    </row>
    <row r="511" spans="1:21" x14ac:dyDescent="0.3">
      <c r="A511" t="s">
        <v>826</v>
      </c>
      <c r="B511" t="s">
        <v>125</v>
      </c>
      <c r="C511" t="s">
        <v>829</v>
      </c>
      <c r="D511" t="s">
        <v>98</v>
      </c>
      <c r="E511" t="s">
        <v>30</v>
      </c>
      <c r="F511" s="6">
        <v>45230</v>
      </c>
      <c r="G511">
        <v>80</v>
      </c>
      <c r="H511">
        <v>94</v>
      </c>
      <c r="I511">
        <v>1.175</v>
      </c>
      <c r="J511">
        <v>1.175</v>
      </c>
      <c r="K511" t="s">
        <v>31</v>
      </c>
      <c r="L511" t="s">
        <v>31</v>
      </c>
      <c r="M511">
        <v>2023</v>
      </c>
      <c r="N511" t="s">
        <v>53</v>
      </c>
      <c r="O511" t="s">
        <v>47</v>
      </c>
      <c r="P511">
        <v>0</v>
      </c>
      <c r="Q511">
        <v>0</v>
      </c>
      <c r="R511">
        <v>0</v>
      </c>
      <c r="S511" t="s">
        <v>34</v>
      </c>
      <c r="T511" t="s">
        <v>830</v>
      </c>
      <c r="U511">
        <v>1</v>
      </c>
    </row>
    <row r="512" spans="1:21" x14ac:dyDescent="0.3">
      <c r="A512" t="s">
        <v>826</v>
      </c>
      <c r="B512" t="s">
        <v>125</v>
      </c>
      <c r="C512" t="s">
        <v>827</v>
      </c>
      <c r="D512" t="s">
        <v>98</v>
      </c>
      <c r="E512" t="s">
        <v>30</v>
      </c>
      <c r="F512" s="6">
        <v>45291</v>
      </c>
      <c r="G512">
        <v>80</v>
      </c>
      <c r="H512">
        <v>84.343500708111094</v>
      </c>
      <c r="I512">
        <v>1.054293758851389</v>
      </c>
      <c r="J512">
        <v>1.054293758851389</v>
      </c>
      <c r="K512" t="s">
        <v>31</v>
      </c>
      <c r="L512" t="s">
        <v>31</v>
      </c>
      <c r="M512">
        <v>2023</v>
      </c>
      <c r="N512" t="s">
        <v>57</v>
      </c>
      <c r="O512" t="s">
        <v>47</v>
      </c>
      <c r="P512">
        <v>0</v>
      </c>
      <c r="Q512">
        <v>0</v>
      </c>
      <c r="R512">
        <v>0</v>
      </c>
      <c r="S512" t="s">
        <v>34</v>
      </c>
      <c r="T512" t="s">
        <v>831</v>
      </c>
      <c r="U512">
        <v>1</v>
      </c>
    </row>
    <row r="513" spans="1:21" x14ac:dyDescent="0.3">
      <c r="A513" t="s">
        <v>826</v>
      </c>
      <c r="B513" t="s">
        <v>125</v>
      </c>
      <c r="C513" t="s">
        <v>760</v>
      </c>
      <c r="D513" t="s">
        <v>98</v>
      </c>
      <c r="E513" t="s">
        <v>30</v>
      </c>
      <c r="F513" s="6">
        <v>45657</v>
      </c>
      <c r="K513" t="s">
        <v>31</v>
      </c>
      <c r="L513" t="s">
        <v>31</v>
      </c>
      <c r="M513">
        <v>2024</v>
      </c>
      <c r="N513" t="s">
        <v>57</v>
      </c>
      <c r="O513" t="s">
        <v>78</v>
      </c>
      <c r="P513">
        <v>0</v>
      </c>
      <c r="Q513">
        <v>0</v>
      </c>
      <c r="R513">
        <v>0</v>
      </c>
      <c r="S513" t="s">
        <v>34</v>
      </c>
      <c r="T513" t="s">
        <v>832</v>
      </c>
      <c r="U513">
        <v>1</v>
      </c>
    </row>
    <row r="514" spans="1:21" x14ac:dyDescent="0.3">
      <c r="A514" t="s">
        <v>833</v>
      </c>
      <c r="B514" t="s">
        <v>125</v>
      </c>
      <c r="C514" t="s">
        <v>672</v>
      </c>
      <c r="D514" t="s">
        <v>98</v>
      </c>
      <c r="E514" t="s">
        <v>30</v>
      </c>
      <c r="F514" s="6">
        <v>45230</v>
      </c>
      <c r="K514" t="s">
        <v>31</v>
      </c>
      <c r="L514" t="s">
        <v>31</v>
      </c>
      <c r="M514">
        <v>2023</v>
      </c>
      <c r="N514" t="s">
        <v>53</v>
      </c>
      <c r="O514" t="s">
        <v>47</v>
      </c>
      <c r="P514">
        <v>0</v>
      </c>
      <c r="Q514">
        <v>0</v>
      </c>
      <c r="R514">
        <v>0</v>
      </c>
      <c r="S514" t="s">
        <v>130</v>
      </c>
      <c r="T514" t="s">
        <v>834</v>
      </c>
      <c r="U514">
        <v>1</v>
      </c>
    </row>
    <row r="515" spans="1:21" x14ac:dyDescent="0.3">
      <c r="A515" t="s">
        <v>833</v>
      </c>
      <c r="B515" t="s">
        <v>125</v>
      </c>
      <c r="C515" t="s">
        <v>672</v>
      </c>
      <c r="D515" t="s">
        <v>98</v>
      </c>
      <c r="E515" t="s">
        <v>30</v>
      </c>
      <c r="F515" s="6">
        <v>45291</v>
      </c>
      <c r="K515" t="s">
        <v>215</v>
      </c>
      <c r="L515" t="s">
        <v>215</v>
      </c>
      <c r="M515">
        <v>2023</v>
      </c>
      <c r="N515" t="s">
        <v>57</v>
      </c>
      <c r="O515" t="s">
        <v>47</v>
      </c>
      <c r="P515">
        <v>0</v>
      </c>
      <c r="Q515">
        <v>0</v>
      </c>
      <c r="R515">
        <v>0</v>
      </c>
      <c r="S515" t="s">
        <v>130</v>
      </c>
      <c r="T515" t="s">
        <v>835</v>
      </c>
      <c r="U515">
        <v>1</v>
      </c>
    </row>
    <row r="516" spans="1:21" x14ac:dyDescent="0.3">
      <c r="A516" t="s">
        <v>833</v>
      </c>
      <c r="B516" t="s">
        <v>125</v>
      </c>
      <c r="C516" t="s">
        <v>672</v>
      </c>
      <c r="D516" t="s">
        <v>98</v>
      </c>
      <c r="E516" t="s">
        <v>30</v>
      </c>
      <c r="F516" s="6">
        <v>45657</v>
      </c>
      <c r="K516" t="s">
        <v>215</v>
      </c>
      <c r="L516" t="s">
        <v>215</v>
      </c>
      <c r="M516">
        <v>2024</v>
      </c>
      <c r="N516" t="s">
        <v>57</v>
      </c>
      <c r="O516" t="s">
        <v>78</v>
      </c>
      <c r="P516">
        <v>0</v>
      </c>
      <c r="Q516">
        <v>0</v>
      </c>
      <c r="R516">
        <v>0</v>
      </c>
      <c r="S516" t="s">
        <v>130</v>
      </c>
      <c r="T516" t="s">
        <v>836</v>
      </c>
      <c r="U516">
        <v>1</v>
      </c>
    </row>
    <row r="517" spans="1:21" x14ac:dyDescent="0.3">
      <c r="A517" t="s">
        <v>833</v>
      </c>
      <c r="B517" t="s">
        <v>125</v>
      </c>
      <c r="C517" t="s">
        <v>672</v>
      </c>
      <c r="D517" t="s">
        <v>98</v>
      </c>
      <c r="E517" t="s">
        <v>30</v>
      </c>
      <c r="F517" s="6">
        <v>45961</v>
      </c>
      <c r="G517">
        <v>80</v>
      </c>
      <c r="H517" t="s">
        <v>837</v>
      </c>
      <c r="I517">
        <v>1.1875</v>
      </c>
      <c r="J517">
        <v>1.1875</v>
      </c>
      <c r="K517" t="s">
        <v>193</v>
      </c>
      <c r="L517" t="s">
        <v>838</v>
      </c>
      <c r="M517">
        <v>2025</v>
      </c>
      <c r="N517" t="s">
        <v>53</v>
      </c>
      <c r="O517" t="s">
        <v>103</v>
      </c>
      <c r="P517">
        <v>2</v>
      </c>
      <c r="Q517">
        <v>2</v>
      </c>
      <c r="R517">
        <v>0</v>
      </c>
      <c r="S517" t="s">
        <v>130</v>
      </c>
      <c r="T517" t="s">
        <v>839</v>
      </c>
      <c r="U517">
        <v>31</v>
      </c>
    </row>
    <row r="518" spans="1:21" x14ac:dyDescent="0.3">
      <c r="A518" t="s">
        <v>840</v>
      </c>
      <c r="B518" t="s">
        <v>841</v>
      </c>
      <c r="C518" t="s">
        <v>842</v>
      </c>
      <c r="D518" t="s">
        <v>98</v>
      </c>
      <c r="E518" t="s">
        <v>30</v>
      </c>
      <c r="F518" s="6">
        <v>45107</v>
      </c>
      <c r="G518">
        <v>3</v>
      </c>
      <c r="H518">
        <v>4</v>
      </c>
      <c r="I518">
        <v>1.333333333333333</v>
      </c>
      <c r="J518">
        <v>1.333333333333333</v>
      </c>
      <c r="K518" t="s">
        <v>215</v>
      </c>
      <c r="L518" t="s">
        <v>215</v>
      </c>
      <c r="M518">
        <v>2023</v>
      </c>
      <c r="N518" t="s">
        <v>44</v>
      </c>
      <c r="O518" t="s">
        <v>33</v>
      </c>
      <c r="P518">
        <v>0</v>
      </c>
      <c r="Q518">
        <v>0</v>
      </c>
      <c r="R518">
        <v>0</v>
      </c>
      <c r="S518" t="s">
        <v>99</v>
      </c>
      <c r="T518" t="s">
        <v>843</v>
      </c>
      <c r="U518">
        <v>1</v>
      </c>
    </row>
    <row r="519" spans="1:21" x14ac:dyDescent="0.3">
      <c r="A519" t="s">
        <v>840</v>
      </c>
      <c r="B519" t="s">
        <v>841</v>
      </c>
      <c r="C519" t="s">
        <v>842</v>
      </c>
      <c r="D519" t="s">
        <v>98</v>
      </c>
      <c r="E519" t="s">
        <v>30</v>
      </c>
      <c r="F519" s="6">
        <v>45291</v>
      </c>
      <c r="G519">
        <v>3</v>
      </c>
      <c r="H519">
        <v>7</v>
      </c>
      <c r="I519">
        <v>2.333333333333333</v>
      </c>
      <c r="J519">
        <v>2.333333333333333</v>
      </c>
      <c r="K519" t="s">
        <v>215</v>
      </c>
      <c r="L519" t="s">
        <v>215</v>
      </c>
      <c r="M519">
        <v>2023</v>
      </c>
      <c r="N519" t="s">
        <v>57</v>
      </c>
      <c r="O519" t="s">
        <v>47</v>
      </c>
      <c r="P519">
        <v>0</v>
      </c>
      <c r="Q519">
        <v>0</v>
      </c>
      <c r="R519">
        <v>0</v>
      </c>
      <c r="S519" t="s">
        <v>99</v>
      </c>
      <c r="T519" t="s">
        <v>844</v>
      </c>
      <c r="U519">
        <v>1</v>
      </c>
    </row>
    <row r="520" spans="1:21" x14ac:dyDescent="0.3">
      <c r="A520" t="s">
        <v>840</v>
      </c>
      <c r="B520" t="s">
        <v>841</v>
      </c>
      <c r="C520" t="s">
        <v>842</v>
      </c>
      <c r="D520" t="s">
        <v>98</v>
      </c>
      <c r="E520" t="s">
        <v>30</v>
      </c>
      <c r="F520" s="6">
        <v>45657</v>
      </c>
      <c r="G520">
        <v>100</v>
      </c>
      <c r="H520">
        <v>125</v>
      </c>
      <c r="I520">
        <v>1.25</v>
      </c>
      <c r="J520">
        <v>1.25</v>
      </c>
      <c r="M520">
        <v>2024</v>
      </c>
      <c r="N520" t="s">
        <v>57</v>
      </c>
      <c r="O520" t="s">
        <v>78</v>
      </c>
      <c r="P520">
        <v>0</v>
      </c>
      <c r="Q520">
        <v>0</v>
      </c>
      <c r="R520">
        <v>0</v>
      </c>
      <c r="S520" t="s">
        <v>99</v>
      </c>
      <c r="T520" t="s">
        <v>845</v>
      </c>
      <c r="U520">
        <v>1</v>
      </c>
    </row>
    <row r="521" spans="1:21" x14ac:dyDescent="0.3">
      <c r="A521" t="s">
        <v>767</v>
      </c>
      <c r="B521" t="s">
        <v>125</v>
      </c>
      <c r="C521" t="s">
        <v>842</v>
      </c>
      <c r="D521" t="s">
        <v>222</v>
      </c>
      <c r="E521" t="s">
        <v>30</v>
      </c>
      <c r="F521" s="6">
        <v>45107</v>
      </c>
      <c r="G521">
        <v>80</v>
      </c>
      <c r="H521">
        <v>96</v>
      </c>
      <c r="I521">
        <v>1.2</v>
      </c>
      <c r="J521">
        <v>1.2</v>
      </c>
      <c r="K521" t="s">
        <v>31</v>
      </c>
      <c r="L521" t="s">
        <v>31</v>
      </c>
      <c r="M521">
        <v>2023</v>
      </c>
      <c r="N521" t="s">
        <v>44</v>
      </c>
      <c r="O521" t="s">
        <v>33</v>
      </c>
      <c r="P521">
        <v>0</v>
      </c>
      <c r="Q521">
        <v>0</v>
      </c>
      <c r="R521">
        <v>0</v>
      </c>
      <c r="S521" t="s">
        <v>99</v>
      </c>
      <c r="T521" t="s">
        <v>846</v>
      </c>
      <c r="U521">
        <v>1</v>
      </c>
    </row>
    <row r="522" spans="1:21" x14ac:dyDescent="0.3">
      <c r="A522" t="s">
        <v>767</v>
      </c>
      <c r="B522" t="s">
        <v>125</v>
      </c>
      <c r="C522" t="s">
        <v>842</v>
      </c>
      <c r="D522" t="s">
        <v>222</v>
      </c>
      <c r="E522" t="s">
        <v>30</v>
      </c>
      <c r="F522" s="6">
        <v>45291</v>
      </c>
      <c r="G522">
        <v>80</v>
      </c>
      <c r="H522">
        <v>100</v>
      </c>
      <c r="I522">
        <v>1.25</v>
      </c>
      <c r="J522">
        <v>1.25</v>
      </c>
      <c r="K522" t="s">
        <v>31</v>
      </c>
      <c r="L522" t="s">
        <v>31</v>
      </c>
      <c r="M522">
        <v>2023</v>
      </c>
      <c r="N522" t="s">
        <v>57</v>
      </c>
      <c r="O522" t="s">
        <v>47</v>
      </c>
      <c r="P522">
        <v>0</v>
      </c>
      <c r="Q522">
        <v>0</v>
      </c>
      <c r="R522">
        <v>0</v>
      </c>
      <c r="S522" t="s">
        <v>99</v>
      </c>
      <c r="T522" t="s">
        <v>847</v>
      </c>
      <c r="U522">
        <v>1</v>
      </c>
    </row>
    <row r="523" spans="1:21" x14ac:dyDescent="0.3">
      <c r="A523" t="s">
        <v>767</v>
      </c>
      <c r="B523" t="s">
        <v>125</v>
      </c>
      <c r="C523" t="s">
        <v>842</v>
      </c>
      <c r="D523" t="s">
        <v>222</v>
      </c>
      <c r="E523" t="s">
        <v>30</v>
      </c>
      <c r="F523" s="6">
        <v>45473</v>
      </c>
      <c r="G523">
        <v>80</v>
      </c>
      <c r="H523">
        <v>95</v>
      </c>
      <c r="I523">
        <v>1.1875</v>
      </c>
      <c r="J523">
        <v>1.1875</v>
      </c>
      <c r="K523" t="s">
        <v>31</v>
      </c>
      <c r="L523" t="s">
        <v>31</v>
      </c>
      <c r="M523">
        <v>2024</v>
      </c>
      <c r="N523" t="s">
        <v>44</v>
      </c>
      <c r="O523" t="s">
        <v>71</v>
      </c>
      <c r="P523">
        <v>0</v>
      </c>
      <c r="Q523">
        <v>0</v>
      </c>
      <c r="R523">
        <v>0</v>
      </c>
      <c r="S523" t="s">
        <v>99</v>
      </c>
      <c r="T523" t="s">
        <v>848</v>
      </c>
      <c r="U523">
        <v>1</v>
      </c>
    </row>
    <row r="524" spans="1:21" x14ac:dyDescent="0.3">
      <c r="A524" t="s">
        <v>767</v>
      </c>
      <c r="B524" t="s">
        <v>125</v>
      </c>
      <c r="C524" t="s">
        <v>842</v>
      </c>
      <c r="D524" t="s">
        <v>222</v>
      </c>
      <c r="E524" t="s">
        <v>30</v>
      </c>
      <c r="F524" s="6">
        <v>45657</v>
      </c>
      <c r="G524">
        <v>80</v>
      </c>
      <c r="H524">
        <v>97.8</v>
      </c>
      <c r="I524">
        <v>1.2224999999999999</v>
      </c>
      <c r="J524">
        <v>1.2224999999999999</v>
      </c>
      <c r="K524" t="s">
        <v>31</v>
      </c>
      <c r="L524" t="s">
        <v>31</v>
      </c>
      <c r="M524">
        <v>2024</v>
      </c>
      <c r="N524" t="s">
        <v>57</v>
      </c>
      <c r="O524" t="s">
        <v>78</v>
      </c>
      <c r="P524">
        <v>0</v>
      </c>
      <c r="Q524">
        <v>0</v>
      </c>
      <c r="R524">
        <v>0</v>
      </c>
      <c r="S524" t="s">
        <v>99</v>
      </c>
      <c r="T524" t="s">
        <v>849</v>
      </c>
      <c r="U524">
        <v>1</v>
      </c>
    </row>
    <row r="525" spans="1:21" x14ac:dyDescent="0.3">
      <c r="A525" t="s">
        <v>767</v>
      </c>
      <c r="B525" t="s">
        <v>125</v>
      </c>
      <c r="C525" t="s">
        <v>842</v>
      </c>
      <c r="D525" t="s">
        <v>222</v>
      </c>
      <c r="E525" t="s">
        <v>30</v>
      </c>
      <c r="F525" s="6">
        <v>45838</v>
      </c>
      <c r="G525">
        <v>80</v>
      </c>
      <c r="H525" t="s">
        <v>95</v>
      </c>
      <c r="I525">
        <v>1.25</v>
      </c>
      <c r="J525">
        <v>1.25</v>
      </c>
      <c r="K525" t="s">
        <v>193</v>
      </c>
      <c r="L525" t="s">
        <v>102</v>
      </c>
      <c r="M525">
        <v>2025</v>
      </c>
      <c r="N525" t="s">
        <v>44</v>
      </c>
      <c r="O525" t="s">
        <v>244</v>
      </c>
      <c r="P525">
        <v>2</v>
      </c>
      <c r="Q525">
        <v>2</v>
      </c>
      <c r="R525">
        <v>0</v>
      </c>
      <c r="S525" t="s">
        <v>130</v>
      </c>
      <c r="T525" t="s">
        <v>850</v>
      </c>
      <c r="U525">
        <v>30</v>
      </c>
    </row>
    <row r="526" spans="1:21" x14ac:dyDescent="0.3">
      <c r="A526" t="s">
        <v>767</v>
      </c>
      <c r="B526" t="s">
        <v>125</v>
      </c>
      <c r="C526" t="s">
        <v>842</v>
      </c>
      <c r="D526" t="s">
        <v>222</v>
      </c>
      <c r="E526" t="s">
        <v>30</v>
      </c>
      <c r="F526" s="6">
        <v>46022</v>
      </c>
      <c r="G526">
        <v>80</v>
      </c>
      <c r="H526" t="s">
        <v>95</v>
      </c>
      <c r="I526">
        <v>1.25</v>
      </c>
      <c r="J526">
        <v>1.25</v>
      </c>
      <c r="K526" t="s">
        <v>193</v>
      </c>
      <c r="L526" t="s">
        <v>102</v>
      </c>
      <c r="M526">
        <v>2025</v>
      </c>
      <c r="N526" t="s">
        <v>57</v>
      </c>
      <c r="O526" t="s">
        <v>103</v>
      </c>
      <c r="P526">
        <v>2</v>
      </c>
      <c r="Q526">
        <v>2</v>
      </c>
      <c r="R526">
        <v>0</v>
      </c>
      <c r="S526" t="s">
        <v>130</v>
      </c>
      <c r="T526" t="s">
        <v>851</v>
      </c>
      <c r="U526">
        <v>31</v>
      </c>
    </row>
    <row r="527" spans="1:21" x14ac:dyDescent="0.3">
      <c r="A527" t="s">
        <v>852</v>
      </c>
      <c r="B527" t="s">
        <v>853</v>
      </c>
      <c r="C527" t="s">
        <v>262</v>
      </c>
      <c r="D527" t="s">
        <v>222</v>
      </c>
      <c r="E527" t="s">
        <v>30</v>
      </c>
      <c r="F527" s="6">
        <v>45107</v>
      </c>
      <c r="G527">
        <v>80</v>
      </c>
      <c r="H527">
        <v>97.7</v>
      </c>
      <c r="I527">
        <v>1.2212499999999999</v>
      </c>
      <c r="J527">
        <v>1.2212499999999999</v>
      </c>
      <c r="K527" t="s">
        <v>31</v>
      </c>
      <c r="L527" t="s">
        <v>31</v>
      </c>
      <c r="M527">
        <v>2023</v>
      </c>
      <c r="N527" t="s">
        <v>44</v>
      </c>
      <c r="O527" t="s">
        <v>33</v>
      </c>
      <c r="P527">
        <v>0</v>
      </c>
      <c r="Q527">
        <v>1</v>
      </c>
      <c r="R527">
        <v>0</v>
      </c>
      <c r="S527" t="s">
        <v>99</v>
      </c>
      <c r="T527" t="s">
        <v>854</v>
      </c>
      <c r="U527">
        <v>1</v>
      </c>
    </row>
    <row r="528" spans="1:21" x14ac:dyDescent="0.3">
      <c r="A528" t="s">
        <v>852</v>
      </c>
      <c r="B528" t="s">
        <v>853</v>
      </c>
      <c r="C528" t="s">
        <v>262</v>
      </c>
      <c r="D528" t="s">
        <v>222</v>
      </c>
      <c r="E528" t="s">
        <v>30</v>
      </c>
      <c r="F528" s="6">
        <v>45291</v>
      </c>
      <c r="G528">
        <v>80</v>
      </c>
      <c r="H528">
        <v>96.15</v>
      </c>
      <c r="I528">
        <v>1.201875</v>
      </c>
      <c r="J528">
        <v>1.201875</v>
      </c>
      <c r="K528" t="s">
        <v>31</v>
      </c>
      <c r="L528" t="s">
        <v>31</v>
      </c>
      <c r="M528">
        <v>2023</v>
      </c>
      <c r="N528" t="s">
        <v>57</v>
      </c>
      <c r="O528" t="s">
        <v>47</v>
      </c>
      <c r="P528">
        <v>0</v>
      </c>
      <c r="Q528">
        <v>1</v>
      </c>
      <c r="R528">
        <v>0</v>
      </c>
      <c r="S528" t="s">
        <v>99</v>
      </c>
      <c r="T528" t="s">
        <v>855</v>
      </c>
      <c r="U528">
        <v>1</v>
      </c>
    </row>
    <row r="529" spans="1:21" x14ac:dyDescent="0.3">
      <c r="A529" t="s">
        <v>852</v>
      </c>
      <c r="B529" t="s">
        <v>853</v>
      </c>
      <c r="C529" t="s">
        <v>262</v>
      </c>
      <c r="D529" t="s">
        <v>222</v>
      </c>
      <c r="E529" t="s">
        <v>30</v>
      </c>
      <c r="F529" s="6">
        <v>45473</v>
      </c>
      <c r="G529">
        <v>80</v>
      </c>
      <c r="H529">
        <v>96.86</v>
      </c>
      <c r="I529">
        <v>1.21075</v>
      </c>
      <c r="J529">
        <v>1.21075</v>
      </c>
      <c r="K529" t="s">
        <v>31</v>
      </c>
      <c r="L529" t="s">
        <v>31</v>
      </c>
      <c r="M529">
        <v>2024</v>
      </c>
      <c r="N529" t="s">
        <v>44</v>
      </c>
      <c r="O529" t="s">
        <v>71</v>
      </c>
      <c r="P529">
        <v>0</v>
      </c>
      <c r="Q529">
        <v>1</v>
      </c>
      <c r="R529">
        <v>0</v>
      </c>
      <c r="S529" t="s">
        <v>99</v>
      </c>
      <c r="T529" t="s">
        <v>856</v>
      </c>
      <c r="U529">
        <v>1</v>
      </c>
    </row>
    <row r="530" spans="1:21" x14ac:dyDescent="0.3">
      <c r="A530" t="s">
        <v>852</v>
      </c>
      <c r="B530" t="s">
        <v>853</v>
      </c>
      <c r="C530" t="s">
        <v>262</v>
      </c>
      <c r="D530" t="s">
        <v>222</v>
      </c>
      <c r="E530" t="s">
        <v>30</v>
      </c>
      <c r="F530" s="6">
        <v>45657</v>
      </c>
      <c r="G530">
        <v>85</v>
      </c>
      <c r="H530">
        <v>96.8</v>
      </c>
      <c r="I530">
        <v>1.138823529411765</v>
      </c>
      <c r="J530">
        <v>1.138823529411765</v>
      </c>
      <c r="K530" t="s">
        <v>31</v>
      </c>
      <c r="L530" t="s">
        <v>31</v>
      </c>
      <c r="M530">
        <v>2024</v>
      </c>
      <c r="N530" t="s">
        <v>57</v>
      </c>
      <c r="O530" t="s">
        <v>78</v>
      </c>
      <c r="P530">
        <v>0</v>
      </c>
      <c r="Q530">
        <v>1</v>
      </c>
      <c r="R530">
        <v>0</v>
      </c>
      <c r="S530" t="s">
        <v>99</v>
      </c>
      <c r="T530" t="s">
        <v>857</v>
      </c>
      <c r="U530">
        <v>1</v>
      </c>
    </row>
    <row r="531" spans="1:21" x14ac:dyDescent="0.3">
      <c r="A531" t="s">
        <v>852</v>
      </c>
      <c r="B531" t="s">
        <v>853</v>
      </c>
      <c r="C531" t="s">
        <v>262</v>
      </c>
      <c r="D531" t="s">
        <v>222</v>
      </c>
      <c r="E531" t="s">
        <v>30</v>
      </c>
      <c r="F531" s="6">
        <v>45838</v>
      </c>
      <c r="G531">
        <v>90</v>
      </c>
      <c r="H531" t="s">
        <v>858</v>
      </c>
      <c r="I531">
        <v>1.0403333333333331</v>
      </c>
      <c r="J531">
        <v>1.0403333333333331</v>
      </c>
      <c r="K531" t="s">
        <v>256</v>
      </c>
      <c r="L531" t="s">
        <v>859</v>
      </c>
      <c r="M531">
        <v>2025</v>
      </c>
      <c r="N531" t="s">
        <v>44</v>
      </c>
      <c r="O531" t="s">
        <v>244</v>
      </c>
      <c r="P531">
        <v>2</v>
      </c>
      <c r="Q531">
        <v>2</v>
      </c>
      <c r="R531">
        <v>0</v>
      </c>
      <c r="S531" t="s">
        <v>130</v>
      </c>
      <c r="T531" t="s">
        <v>860</v>
      </c>
      <c r="U531">
        <v>30</v>
      </c>
    </row>
    <row r="532" spans="1:21" x14ac:dyDescent="0.3">
      <c r="A532" t="s">
        <v>852</v>
      </c>
      <c r="B532" t="s">
        <v>853</v>
      </c>
      <c r="C532" t="s">
        <v>262</v>
      </c>
      <c r="D532" t="s">
        <v>222</v>
      </c>
      <c r="E532" t="s">
        <v>30</v>
      </c>
      <c r="F532" s="6">
        <v>46022</v>
      </c>
      <c r="G532">
        <v>90</v>
      </c>
      <c r="H532" t="s">
        <v>192</v>
      </c>
      <c r="I532">
        <v>1.044444444444445</v>
      </c>
      <c r="J532">
        <v>1.044444444444445</v>
      </c>
      <c r="K532" t="s">
        <v>256</v>
      </c>
      <c r="L532" t="s">
        <v>194</v>
      </c>
      <c r="M532">
        <v>2025</v>
      </c>
      <c r="N532" t="s">
        <v>57</v>
      </c>
      <c r="O532" t="s">
        <v>103</v>
      </c>
      <c r="P532">
        <v>2</v>
      </c>
      <c r="Q532">
        <v>2</v>
      </c>
      <c r="R532">
        <v>0</v>
      </c>
      <c r="S532" t="s">
        <v>130</v>
      </c>
      <c r="T532" t="s">
        <v>861</v>
      </c>
      <c r="U532">
        <v>31</v>
      </c>
    </row>
    <row r="533" spans="1:21" x14ac:dyDescent="0.3">
      <c r="A533" t="s">
        <v>862</v>
      </c>
      <c r="B533" t="s">
        <v>863</v>
      </c>
      <c r="C533" t="s">
        <v>309</v>
      </c>
      <c r="D533" t="s">
        <v>284</v>
      </c>
      <c r="E533" t="s">
        <v>108</v>
      </c>
      <c r="F533" s="6">
        <v>44985</v>
      </c>
      <c r="G533">
        <v>15</v>
      </c>
      <c r="H533">
        <v>3.5</v>
      </c>
      <c r="I533">
        <v>1.3</v>
      </c>
      <c r="J533">
        <v>4.2857142857142856</v>
      </c>
      <c r="K533" t="s">
        <v>31</v>
      </c>
      <c r="L533" t="s">
        <v>31</v>
      </c>
      <c r="M533">
        <v>2023</v>
      </c>
      <c r="N533" t="s">
        <v>36</v>
      </c>
      <c r="O533" t="s">
        <v>33</v>
      </c>
      <c r="P533">
        <v>1</v>
      </c>
      <c r="Q533">
        <v>1</v>
      </c>
      <c r="R533">
        <v>0</v>
      </c>
      <c r="S533" t="s">
        <v>99</v>
      </c>
      <c r="T533" t="s">
        <v>864</v>
      </c>
      <c r="U533">
        <v>1</v>
      </c>
    </row>
    <row r="534" spans="1:21" x14ac:dyDescent="0.3">
      <c r="A534" t="s">
        <v>862</v>
      </c>
      <c r="B534" t="s">
        <v>863</v>
      </c>
      <c r="C534" t="s">
        <v>309</v>
      </c>
      <c r="D534" t="s">
        <v>284</v>
      </c>
      <c r="E534" t="s">
        <v>108</v>
      </c>
      <c r="F534" s="6">
        <v>45046</v>
      </c>
      <c r="G534">
        <v>15</v>
      </c>
      <c r="H534">
        <v>10.119999999999999</v>
      </c>
      <c r="I534">
        <v>1.3</v>
      </c>
      <c r="J534">
        <v>1.482213438735178</v>
      </c>
      <c r="K534" t="s">
        <v>31</v>
      </c>
      <c r="L534" t="s">
        <v>31</v>
      </c>
      <c r="M534">
        <v>2023</v>
      </c>
      <c r="N534" t="s">
        <v>40</v>
      </c>
      <c r="O534" t="s">
        <v>33</v>
      </c>
      <c r="P534">
        <v>0</v>
      </c>
      <c r="Q534">
        <v>0</v>
      </c>
      <c r="R534">
        <v>0</v>
      </c>
      <c r="S534" t="s">
        <v>99</v>
      </c>
      <c r="T534" t="s">
        <v>865</v>
      </c>
      <c r="U534">
        <v>1</v>
      </c>
    </row>
    <row r="535" spans="1:21" x14ac:dyDescent="0.3">
      <c r="A535" t="s">
        <v>862</v>
      </c>
      <c r="B535" t="s">
        <v>863</v>
      </c>
      <c r="C535" t="s">
        <v>309</v>
      </c>
      <c r="D535" t="s">
        <v>284</v>
      </c>
      <c r="E535" t="s">
        <v>108</v>
      </c>
      <c r="F535" s="6">
        <v>45107</v>
      </c>
      <c r="G535">
        <v>15</v>
      </c>
      <c r="H535">
        <v>5</v>
      </c>
      <c r="I535">
        <v>1.3</v>
      </c>
      <c r="J535">
        <v>3</v>
      </c>
      <c r="K535" t="s">
        <v>31</v>
      </c>
      <c r="L535" t="s">
        <v>31</v>
      </c>
      <c r="M535">
        <v>2023</v>
      </c>
      <c r="N535" t="s">
        <v>44</v>
      </c>
      <c r="O535" t="s">
        <v>33</v>
      </c>
      <c r="P535">
        <v>0</v>
      </c>
      <c r="Q535">
        <v>0</v>
      </c>
      <c r="R535">
        <v>0</v>
      </c>
      <c r="S535" t="s">
        <v>99</v>
      </c>
      <c r="T535" t="s">
        <v>866</v>
      </c>
      <c r="U535">
        <v>1</v>
      </c>
    </row>
    <row r="536" spans="1:21" x14ac:dyDescent="0.3">
      <c r="A536" t="s">
        <v>867</v>
      </c>
      <c r="B536" t="s">
        <v>868</v>
      </c>
      <c r="C536" t="s">
        <v>309</v>
      </c>
      <c r="D536" t="s">
        <v>29</v>
      </c>
      <c r="E536" t="s">
        <v>30</v>
      </c>
      <c r="F536" s="6">
        <v>44742</v>
      </c>
      <c r="G536">
        <v>95</v>
      </c>
      <c r="H536">
        <v>95.24</v>
      </c>
      <c r="I536">
        <v>1.0025263157894739</v>
      </c>
      <c r="J536">
        <v>1.0025263157894739</v>
      </c>
      <c r="K536" t="s">
        <v>31</v>
      </c>
      <c r="L536" t="s">
        <v>31</v>
      </c>
      <c r="M536">
        <v>2022</v>
      </c>
      <c r="N536" t="s">
        <v>44</v>
      </c>
      <c r="O536" t="s">
        <v>88</v>
      </c>
      <c r="P536">
        <v>0</v>
      </c>
      <c r="Q536">
        <v>0</v>
      </c>
      <c r="R536">
        <v>0</v>
      </c>
      <c r="S536" t="s">
        <v>99</v>
      </c>
      <c r="T536" t="s">
        <v>869</v>
      </c>
      <c r="U536">
        <v>1</v>
      </c>
    </row>
    <row r="537" spans="1:21" x14ac:dyDescent="0.3">
      <c r="A537" t="s">
        <v>867</v>
      </c>
      <c r="B537" t="s">
        <v>868</v>
      </c>
      <c r="C537" t="s">
        <v>309</v>
      </c>
      <c r="D537" t="s">
        <v>29</v>
      </c>
      <c r="E537" t="s">
        <v>30</v>
      </c>
      <c r="F537" s="6">
        <v>44773</v>
      </c>
      <c r="G537">
        <v>95</v>
      </c>
      <c r="H537">
        <v>95.65</v>
      </c>
      <c r="I537">
        <v>1.006842105263158</v>
      </c>
      <c r="J537">
        <v>1.006842105263158</v>
      </c>
      <c r="K537" t="s">
        <v>31</v>
      </c>
      <c r="L537" t="s">
        <v>31</v>
      </c>
      <c r="M537">
        <v>2022</v>
      </c>
      <c r="N537" t="s">
        <v>46</v>
      </c>
      <c r="O537" t="s">
        <v>90</v>
      </c>
      <c r="P537">
        <v>0</v>
      </c>
      <c r="Q537">
        <v>0</v>
      </c>
      <c r="R537">
        <v>0</v>
      </c>
      <c r="S537" t="s">
        <v>99</v>
      </c>
      <c r="T537" t="s">
        <v>870</v>
      </c>
      <c r="U537">
        <v>1</v>
      </c>
    </row>
    <row r="538" spans="1:21" x14ac:dyDescent="0.3">
      <c r="A538" t="s">
        <v>867</v>
      </c>
      <c r="B538" t="s">
        <v>868</v>
      </c>
      <c r="C538" t="s">
        <v>309</v>
      </c>
      <c r="D538" t="s">
        <v>29</v>
      </c>
      <c r="E538" t="s">
        <v>30</v>
      </c>
      <c r="F538" s="6">
        <v>44804</v>
      </c>
      <c r="G538">
        <v>95</v>
      </c>
      <c r="H538">
        <v>100</v>
      </c>
      <c r="I538">
        <v>1.0526315789473679</v>
      </c>
      <c r="J538">
        <v>1.0526315789473679</v>
      </c>
      <c r="K538" t="s">
        <v>31</v>
      </c>
      <c r="L538" t="s">
        <v>31</v>
      </c>
      <c r="M538">
        <v>2022</v>
      </c>
      <c r="N538" t="s">
        <v>49</v>
      </c>
      <c r="O538" t="s">
        <v>90</v>
      </c>
      <c r="P538">
        <v>0</v>
      </c>
      <c r="Q538">
        <v>0</v>
      </c>
      <c r="R538">
        <v>0</v>
      </c>
      <c r="S538" t="s">
        <v>99</v>
      </c>
      <c r="T538" t="s">
        <v>871</v>
      </c>
      <c r="U538">
        <v>1</v>
      </c>
    </row>
    <row r="539" spans="1:21" x14ac:dyDescent="0.3">
      <c r="A539" t="s">
        <v>867</v>
      </c>
      <c r="B539" t="s">
        <v>868</v>
      </c>
      <c r="C539" t="s">
        <v>309</v>
      </c>
      <c r="D539" t="s">
        <v>29</v>
      </c>
      <c r="E539" t="s">
        <v>30</v>
      </c>
      <c r="F539" s="6">
        <v>44834</v>
      </c>
      <c r="G539">
        <v>95</v>
      </c>
      <c r="H539">
        <v>100</v>
      </c>
      <c r="I539">
        <v>1.0526315789473679</v>
      </c>
      <c r="J539">
        <v>1.0526315789473679</v>
      </c>
      <c r="K539" t="s">
        <v>31</v>
      </c>
      <c r="L539" t="s">
        <v>31</v>
      </c>
      <c r="M539">
        <v>2022</v>
      </c>
      <c r="N539" t="s">
        <v>51</v>
      </c>
      <c r="O539" t="s">
        <v>90</v>
      </c>
      <c r="P539">
        <v>0</v>
      </c>
      <c r="Q539">
        <v>0</v>
      </c>
      <c r="R539">
        <v>0</v>
      </c>
      <c r="S539" t="s">
        <v>99</v>
      </c>
      <c r="T539" t="s">
        <v>872</v>
      </c>
      <c r="U539">
        <v>1</v>
      </c>
    </row>
    <row r="540" spans="1:21" x14ac:dyDescent="0.3">
      <c r="A540" t="s">
        <v>867</v>
      </c>
      <c r="B540" t="s">
        <v>868</v>
      </c>
      <c r="C540" t="s">
        <v>309</v>
      </c>
      <c r="D540" t="s">
        <v>29</v>
      </c>
      <c r="E540" t="s">
        <v>30</v>
      </c>
      <c r="F540" s="6">
        <v>44865</v>
      </c>
      <c r="G540">
        <v>95</v>
      </c>
      <c r="H540">
        <v>96.39</v>
      </c>
      <c r="I540">
        <v>1.0146315789473681</v>
      </c>
      <c r="J540">
        <v>1.0146315789473681</v>
      </c>
      <c r="K540" t="s">
        <v>31</v>
      </c>
      <c r="L540" t="s">
        <v>31</v>
      </c>
      <c r="M540">
        <v>2022</v>
      </c>
      <c r="N540" t="s">
        <v>53</v>
      </c>
      <c r="O540" t="s">
        <v>90</v>
      </c>
      <c r="P540">
        <v>0</v>
      </c>
      <c r="Q540">
        <v>0</v>
      </c>
      <c r="R540">
        <v>0</v>
      </c>
      <c r="S540" t="s">
        <v>99</v>
      </c>
      <c r="T540" t="s">
        <v>873</v>
      </c>
      <c r="U540">
        <v>1</v>
      </c>
    </row>
    <row r="541" spans="1:21" x14ac:dyDescent="0.3">
      <c r="A541" t="s">
        <v>867</v>
      </c>
      <c r="B541" t="s">
        <v>868</v>
      </c>
      <c r="C541" t="s">
        <v>309</v>
      </c>
      <c r="D541" t="s">
        <v>29</v>
      </c>
      <c r="E541" t="s">
        <v>30</v>
      </c>
      <c r="F541" s="6">
        <v>44895</v>
      </c>
      <c r="G541">
        <v>95</v>
      </c>
      <c r="H541">
        <v>100</v>
      </c>
      <c r="I541">
        <v>1.0526315789473679</v>
      </c>
      <c r="J541">
        <v>1.0526315789473679</v>
      </c>
      <c r="K541" t="s">
        <v>31</v>
      </c>
      <c r="L541" t="s">
        <v>31</v>
      </c>
      <c r="M541">
        <v>2022</v>
      </c>
      <c r="N541" t="s">
        <v>55</v>
      </c>
      <c r="O541" t="s">
        <v>90</v>
      </c>
      <c r="P541">
        <v>0</v>
      </c>
      <c r="Q541">
        <v>0</v>
      </c>
      <c r="R541">
        <v>0</v>
      </c>
      <c r="S541" t="s">
        <v>99</v>
      </c>
      <c r="T541" t="s">
        <v>874</v>
      </c>
      <c r="U541">
        <v>1</v>
      </c>
    </row>
    <row r="542" spans="1:21" x14ac:dyDescent="0.3">
      <c r="A542" t="s">
        <v>867</v>
      </c>
      <c r="B542" t="s">
        <v>868</v>
      </c>
      <c r="C542" t="s">
        <v>309</v>
      </c>
      <c r="D542" t="s">
        <v>29</v>
      </c>
      <c r="E542" t="s">
        <v>30</v>
      </c>
      <c r="F542" s="6">
        <v>44926</v>
      </c>
      <c r="G542">
        <v>95</v>
      </c>
      <c r="H542">
        <v>100</v>
      </c>
      <c r="I542">
        <v>1.0526315789473679</v>
      </c>
      <c r="J542">
        <v>1.0526315789473679</v>
      </c>
      <c r="K542" t="s">
        <v>31</v>
      </c>
      <c r="L542" t="s">
        <v>31</v>
      </c>
      <c r="M542">
        <v>2022</v>
      </c>
      <c r="N542" t="s">
        <v>57</v>
      </c>
      <c r="O542" t="s">
        <v>90</v>
      </c>
      <c r="P542">
        <v>0</v>
      </c>
      <c r="Q542">
        <v>0</v>
      </c>
      <c r="R542">
        <v>0</v>
      </c>
      <c r="S542" t="s">
        <v>99</v>
      </c>
      <c r="T542" t="s">
        <v>875</v>
      </c>
      <c r="U542">
        <v>1</v>
      </c>
    </row>
    <row r="543" spans="1:21" x14ac:dyDescent="0.3">
      <c r="A543" t="s">
        <v>867</v>
      </c>
      <c r="B543" t="s">
        <v>868</v>
      </c>
      <c r="C543" t="s">
        <v>309</v>
      </c>
      <c r="D543" t="s">
        <v>29</v>
      </c>
      <c r="E543" t="s">
        <v>30</v>
      </c>
      <c r="F543" s="6">
        <v>45016</v>
      </c>
      <c r="G543">
        <v>95</v>
      </c>
      <c r="H543">
        <v>100</v>
      </c>
      <c r="I543">
        <v>1.0526315789473679</v>
      </c>
      <c r="J543">
        <v>1.0526315789473679</v>
      </c>
      <c r="K543" t="s">
        <v>31</v>
      </c>
      <c r="L543" t="s">
        <v>31</v>
      </c>
      <c r="M543">
        <v>2023</v>
      </c>
      <c r="N543" t="s">
        <v>38</v>
      </c>
      <c r="O543" t="s">
        <v>33</v>
      </c>
      <c r="P543">
        <v>0</v>
      </c>
      <c r="Q543">
        <v>0</v>
      </c>
      <c r="R543">
        <v>0</v>
      </c>
      <c r="S543" t="s">
        <v>99</v>
      </c>
      <c r="T543" t="s">
        <v>876</v>
      </c>
      <c r="U543">
        <v>1</v>
      </c>
    </row>
    <row r="544" spans="1:21" x14ac:dyDescent="0.3">
      <c r="A544" t="s">
        <v>867</v>
      </c>
      <c r="B544" t="s">
        <v>868</v>
      </c>
      <c r="C544" t="s">
        <v>309</v>
      </c>
      <c r="D544" t="s">
        <v>29</v>
      </c>
      <c r="E544" t="s">
        <v>30</v>
      </c>
      <c r="F544" s="6">
        <v>45046</v>
      </c>
      <c r="G544">
        <v>95</v>
      </c>
      <c r="H544">
        <v>87.71</v>
      </c>
      <c r="I544">
        <v>0.92326315789473679</v>
      </c>
      <c r="J544">
        <v>0.92326315789473679</v>
      </c>
      <c r="K544" t="s">
        <v>31</v>
      </c>
      <c r="L544" t="s">
        <v>31</v>
      </c>
      <c r="M544">
        <v>2023</v>
      </c>
      <c r="N544" t="s">
        <v>40</v>
      </c>
      <c r="O544" t="s">
        <v>33</v>
      </c>
      <c r="P544">
        <v>0</v>
      </c>
      <c r="Q544">
        <v>0</v>
      </c>
      <c r="R544">
        <v>0</v>
      </c>
      <c r="S544" t="s">
        <v>99</v>
      </c>
      <c r="T544" t="s">
        <v>877</v>
      </c>
      <c r="U544">
        <v>1</v>
      </c>
    </row>
    <row r="545" spans="1:21" x14ac:dyDescent="0.3">
      <c r="A545" t="s">
        <v>867</v>
      </c>
      <c r="B545" t="s">
        <v>868</v>
      </c>
      <c r="C545" t="s">
        <v>309</v>
      </c>
      <c r="D545" t="s">
        <v>29</v>
      </c>
      <c r="E545" t="s">
        <v>30</v>
      </c>
      <c r="F545" s="6">
        <v>45077</v>
      </c>
      <c r="G545">
        <v>95</v>
      </c>
      <c r="H545">
        <v>93.33</v>
      </c>
      <c r="I545">
        <v>0.98242105263157897</v>
      </c>
      <c r="J545">
        <v>0.98242105263157897</v>
      </c>
      <c r="K545" t="s">
        <v>31</v>
      </c>
      <c r="L545" t="s">
        <v>31</v>
      </c>
      <c r="M545">
        <v>2023</v>
      </c>
      <c r="N545" t="s">
        <v>42</v>
      </c>
      <c r="O545" t="s">
        <v>33</v>
      </c>
      <c r="P545">
        <v>0</v>
      </c>
      <c r="Q545">
        <v>0</v>
      </c>
      <c r="R545">
        <v>0</v>
      </c>
      <c r="S545" t="s">
        <v>99</v>
      </c>
      <c r="T545" t="s">
        <v>878</v>
      </c>
      <c r="U545">
        <v>1</v>
      </c>
    </row>
    <row r="546" spans="1:21" x14ac:dyDescent="0.3">
      <c r="A546" t="s">
        <v>867</v>
      </c>
      <c r="B546" t="s">
        <v>868</v>
      </c>
      <c r="C546" t="s">
        <v>309</v>
      </c>
      <c r="D546" t="s">
        <v>29</v>
      </c>
      <c r="E546" t="s">
        <v>30</v>
      </c>
      <c r="F546" s="6">
        <v>45107</v>
      </c>
      <c r="G546">
        <v>95</v>
      </c>
      <c r="H546">
        <v>91.67</v>
      </c>
      <c r="I546">
        <v>0.96494736842105266</v>
      </c>
      <c r="J546">
        <v>0.96494736842105266</v>
      </c>
      <c r="K546" t="s">
        <v>31</v>
      </c>
      <c r="L546" t="s">
        <v>31</v>
      </c>
      <c r="M546">
        <v>2023</v>
      </c>
      <c r="N546" t="s">
        <v>44</v>
      </c>
      <c r="O546" t="s">
        <v>33</v>
      </c>
      <c r="P546">
        <v>0</v>
      </c>
      <c r="Q546">
        <v>0</v>
      </c>
      <c r="R546">
        <v>0</v>
      </c>
      <c r="S546" t="s">
        <v>99</v>
      </c>
      <c r="T546" t="s">
        <v>879</v>
      </c>
      <c r="U546">
        <v>1</v>
      </c>
    </row>
    <row r="547" spans="1:21" x14ac:dyDescent="0.3">
      <c r="A547" t="s">
        <v>867</v>
      </c>
      <c r="B547" t="s">
        <v>868</v>
      </c>
      <c r="C547" t="s">
        <v>309</v>
      </c>
      <c r="D547" t="s">
        <v>29</v>
      </c>
      <c r="E547" t="s">
        <v>30</v>
      </c>
      <c r="F547" s="6">
        <v>45138</v>
      </c>
      <c r="G547">
        <v>95</v>
      </c>
      <c r="H547">
        <v>95</v>
      </c>
      <c r="I547">
        <v>1</v>
      </c>
      <c r="J547">
        <v>1</v>
      </c>
      <c r="K547" t="s">
        <v>31</v>
      </c>
      <c r="L547" t="s">
        <v>31</v>
      </c>
      <c r="M547">
        <v>2023</v>
      </c>
      <c r="N547" t="s">
        <v>46</v>
      </c>
      <c r="O547" t="s">
        <v>47</v>
      </c>
      <c r="P547">
        <v>0</v>
      </c>
      <c r="Q547">
        <v>0</v>
      </c>
      <c r="R547">
        <v>0</v>
      </c>
      <c r="S547" t="s">
        <v>99</v>
      </c>
      <c r="T547" t="s">
        <v>880</v>
      </c>
      <c r="U547">
        <v>1</v>
      </c>
    </row>
    <row r="548" spans="1:21" x14ac:dyDescent="0.3">
      <c r="A548" t="s">
        <v>867</v>
      </c>
      <c r="B548" t="s">
        <v>868</v>
      </c>
      <c r="C548" t="s">
        <v>309</v>
      </c>
      <c r="D548" t="s">
        <v>29</v>
      </c>
      <c r="E548" t="s">
        <v>30</v>
      </c>
      <c r="F548" s="6">
        <v>45169</v>
      </c>
      <c r="G548">
        <v>95</v>
      </c>
      <c r="H548">
        <v>91.67</v>
      </c>
      <c r="I548">
        <v>0.96494736842105266</v>
      </c>
      <c r="J548">
        <v>0.96494736842105266</v>
      </c>
      <c r="K548" t="s">
        <v>31</v>
      </c>
      <c r="L548" t="s">
        <v>31</v>
      </c>
      <c r="M548">
        <v>2023</v>
      </c>
      <c r="N548" t="s">
        <v>49</v>
      </c>
      <c r="O548" t="s">
        <v>47</v>
      </c>
      <c r="P548">
        <v>0</v>
      </c>
      <c r="Q548">
        <v>0</v>
      </c>
      <c r="R548">
        <v>0</v>
      </c>
      <c r="S548" t="s">
        <v>99</v>
      </c>
      <c r="T548" t="s">
        <v>881</v>
      </c>
      <c r="U548">
        <v>1</v>
      </c>
    </row>
    <row r="549" spans="1:21" x14ac:dyDescent="0.3">
      <c r="A549" t="s">
        <v>867</v>
      </c>
      <c r="B549" t="s">
        <v>868</v>
      </c>
      <c r="C549" t="s">
        <v>309</v>
      </c>
      <c r="D549" t="s">
        <v>29</v>
      </c>
      <c r="E549" t="s">
        <v>30</v>
      </c>
      <c r="F549" s="6">
        <v>45199</v>
      </c>
      <c r="G549">
        <v>95</v>
      </c>
      <c r="H549">
        <v>96.67</v>
      </c>
      <c r="I549">
        <v>1.0175789473684209</v>
      </c>
      <c r="J549">
        <v>1.0175789473684209</v>
      </c>
      <c r="K549" t="s">
        <v>31</v>
      </c>
      <c r="L549" t="s">
        <v>31</v>
      </c>
      <c r="M549">
        <v>2023</v>
      </c>
      <c r="N549" t="s">
        <v>51</v>
      </c>
      <c r="O549" t="s">
        <v>47</v>
      </c>
      <c r="P549">
        <v>0</v>
      </c>
      <c r="Q549">
        <v>0</v>
      </c>
      <c r="R549">
        <v>0</v>
      </c>
      <c r="S549" t="s">
        <v>99</v>
      </c>
      <c r="T549" t="s">
        <v>882</v>
      </c>
      <c r="U549">
        <v>1</v>
      </c>
    </row>
    <row r="550" spans="1:21" x14ac:dyDescent="0.3">
      <c r="A550" t="s">
        <v>867</v>
      </c>
      <c r="B550" t="s">
        <v>868</v>
      </c>
      <c r="C550" t="s">
        <v>309</v>
      </c>
      <c r="D550" t="s">
        <v>29</v>
      </c>
      <c r="E550" t="s">
        <v>30</v>
      </c>
      <c r="F550" s="6">
        <v>45230</v>
      </c>
      <c r="G550">
        <v>95</v>
      </c>
      <c r="H550">
        <v>93.18</v>
      </c>
      <c r="I550">
        <v>0.98084210526315796</v>
      </c>
      <c r="J550">
        <v>0.98084210526315796</v>
      </c>
      <c r="K550" t="s">
        <v>31</v>
      </c>
      <c r="L550" t="s">
        <v>31</v>
      </c>
      <c r="M550">
        <v>2023</v>
      </c>
      <c r="N550" t="s">
        <v>53</v>
      </c>
      <c r="O550" t="s">
        <v>47</v>
      </c>
      <c r="P550">
        <v>0</v>
      </c>
      <c r="Q550">
        <v>0</v>
      </c>
      <c r="R550">
        <v>0</v>
      </c>
      <c r="S550" t="s">
        <v>99</v>
      </c>
      <c r="T550" t="s">
        <v>883</v>
      </c>
      <c r="U550">
        <v>1</v>
      </c>
    </row>
    <row r="551" spans="1:21" x14ac:dyDescent="0.3">
      <c r="A551" t="s">
        <v>867</v>
      </c>
      <c r="B551" t="s">
        <v>868</v>
      </c>
      <c r="C551" t="s">
        <v>309</v>
      </c>
      <c r="D551" t="s">
        <v>29</v>
      </c>
      <c r="E551" t="s">
        <v>30</v>
      </c>
      <c r="F551" s="6">
        <v>45260</v>
      </c>
      <c r="G551">
        <v>95</v>
      </c>
      <c r="H551">
        <v>97.92</v>
      </c>
      <c r="I551">
        <v>1.030736842105263</v>
      </c>
      <c r="J551">
        <v>1.030736842105263</v>
      </c>
      <c r="K551" t="s">
        <v>31</v>
      </c>
      <c r="L551" t="s">
        <v>31</v>
      </c>
      <c r="M551">
        <v>2023</v>
      </c>
      <c r="N551" t="s">
        <v>55</v>
      </c>
      <c r="O551" t="s">
        <v>47</v>
      </c>
      <c r="P551">
        <v>0</v>
      </c>
      <c r="Q551">
        <v>0</v>
      </c>
      <c r="R551">
        <v>0</v>
      </c>
      <c r="S551" t="s">
        <v>99</v>
      </c>
      <c r="T551" t="s">
        <v>884</v>
      </c>
      <c r="U551">
        <v>1</v>
      </c>
    </row>
    <row r="552" spans="1:21" x14ac:dyDescent="0.3">
      <c r="A552" t="s">
        <v>867</v>
      </c>
      <c r="B552" t="s">
        <v>868</v>
      </c>
      <c r="C552" t="s">
        <v>309</v>
      </c>
      <c r="D552" t="s">
        <v>29</v>
      </c>
      <c r="E552" t="s">
        <v>30</v>
      </c>
      <c r="F552" s="6">
        <v>45291</v>
      </c>
      <c r="G552">
        <v>95</v>
      </c>
      <c r="H552">
        <v>100</v>
      </c>
      <c r="I552">
        <v>1.0526315789473679</v>
      </c>
      <c r="J552">
        <v>1.0526315789473679</v>
      </c>
      <c r="K552" t="s">
        <v>31</v>
      </c>
      <c r="L552" t="s">
        <v>31</v>
      </c>
      <c r="M552">
        <v>2023</v>
      </c>
      <c r="N552" t="s">
        <v>57</v>
      </c>
      <c r="O552" t="s">
        <v>47</v>
      </c>
      <c r="P552">
        <v>0</v>
      </c>
      <c r="Q552">
        <v>0</v>
      </c>
      <c r="R552">
        <v>0</v>
      </c>
      <c r="S552" t="s">
        <v>99</v>
      </c>
      <c r="T552" t="s">
        <v>885</v>
      </c>
      <c r="U552">
        <v>1</v>
      </c>
    </row>
    <row r="553" spans="1:21" x14ac:dyDescent="0.3">
      <c r="A553" t="s">
        <v>867</v>
      </c>
      <c r="B553" t="s">
        <v>868</v>
      </c>
      <c r="C553" t="s">
        <v>309</v>
      </c>
      <c r="D553" t="s">
        <v>29</v>
      </c>
      <c r="E553" t="s">
        <v>30</v>
      </c>
      <c r="F553" s="6">
        <v>45322</v>
      </c>
      <c r="G553">
        <v>95</v>
      </c>
      <c r="I553">
        <v>0</v>
      </c>
      <c r="J553">
        <v>0</v>
      </c>
      <c r="K553" t="s">
        <v>215</v>
      </c>
      <c r="L553" t="s">
        <v>215</v>
      </c>
      <c r="M553">
        <v>2024</v>
      </c>
      <c r="N553" t="s">
        <v>32</v>
      </c>
      <c r="O553" t="s">
        <v>71</v>
      </c>
      <c r="P553">
        <v>0</v>
      </c>
      <c r="Q553">
        <v>0</v>
      </c>
      <c r="R553">
        <v>0</v>
      </c>
      <c r="S553" t="s">
        <v>99</v>
      </c>
      <c r="T553" t="s">
        <v>886</v>
      </c>
      <c r="U553">
        <v>1</v>
      </c>
    </row>
    <row r="554" spans="1:21" x14ac:dyDescent="0.3">
      <c r="A554" t="s">
        <v>867</v>
      </c>
      <c r="B554" t="s">
        <v>868</v>
      </c>
      <c r="C554" t="s">
        <v>309</v>
      </c>
      <c r="D554" t="s">
        <v>29</v>
      </c>
      <c r="E554" t="s">
        <v>30</v>
      </c>
      <c r="F554" s="6">
        <v>45351</v>
      </c>
      <c r="G554">
        <v>95</v>
      </c>
      <c r="I554">
        <v>0</v>
      </c>
      <c r="J554">
        <v>0</v>
      </c>
      <c r="K554" t="s">
        <v>215</v>
      </c>
      <c r="L554" t="s">
        <v>215</v>
      </c>
      <c r="M554">
        <v>2024</v>
      </c>
      <c r="N554" t="s">
        <v>36</v>
      </c>
      <c r="O554" t="s">
        <v>71</v>
      </c>
      <c r="P554">
        <v>0</v>
      </c>
      <c r="Q554">
        <v>0</v>
      </c>
      <c r="R554">
        <v>0</v>
      </c>
      <c r="S554" t="s">
        <v>99</v>
      </c>
      <c r="T554" t="s">
        <v>887</v>
      </c>
      <c r="U554">
        <v>1</v>
      </c>
    </row>
    <row r="555" spans="1:21" x14ac:dyDescent="0.3">
      <c r="A555" t="s">
        <v>867</v>
      </c>
      <c r="B555" t="s">
        <v>868</v>
      </c>
      <c r="C555" t="s">
        <v>309</v>
      </c>
      <c r="D555" t="s">
        <v>29</v>
      </c>
      <c r="E555" t="s">
        <v>30</v>
      </c>
      <c r="F555" s="6">
        <v>45382</v>
      </c>
      <c r="G555">
        <v>95</v>
      </c>
      <c r="I555">
        <v>0</v>
      </c>
      <c r="J555">
        <v>0</v>
      </c>
      <c r="K555" t="s">
        <v>215</v>
      </c>
      <c r="L555" t="s">
        <v>215</v>
      </c>
      <c r="M555">
        <v>2024</v>
      </c>
      <c r="N555" t="s">
        <v>38</v>
      </c>
      <c r="O555" t="s">
        <v>71</v>
      </c>
      <c r="P555">
        <v>0</v>
      </c>
      <c r="Q555">
        <v>0</v>
      </c>
      <c r="R555">
        <v>0</v>
      </c>
      <c r="S555" t="s">
        <v>99</v>
      </c>
      <c r="T555" t="s">
        <v>888</v>
      </c>
      <c r="U555">
        <v>1</v>
      </c>
    </row>
    <row r="556" spans="1:21" x14ac:dyDescent="0.3">
      <c r="A556" t="s">
        <v>867</v>
      </c>
      <c r="B556" t="s">
        <v>868</v>
      </c>
      <c r="C556" t="s">
        <v>309</v>
      </c>
      <c r="D556" t="s">
        <v>29</v>
      </c>
      <c r="E556" t="s">
        <v>30</v>
      </c>
      <c r="F556" s="6">
        <v>45412</v>
      </c>
      <c r="G556">
        <v>95</v>
      </c>
      <c r="H556">
        <v>90</v>
      </c>
      <c r="I556">
        <v>0.94736842105263153</v>
      </c>
      <c r="J556">
        <v>0.94736842105263153</v>
      </c>
      <c r="K556" t="s">
        <v>31</v>
      </c>
      <c r="L556" t="s">
        <v>31</v>
      </c>
      <c r="M556">
        <v>2024</v>
      </c>
      <c r="N556" t="s">
        <v>40</v>
      </c>
      <c r="O556" t="s">
        <v>71</v>
      </c>
      <c r="P556">
        <v>0</v>
      </c>
      <c r="Q556">
        <v>0</v>
      </c>
      <c r="R556">
        <v>0</v>
      </c>
      <c r="S556" t="s">
        <v>99</v>
      </c>
      <c r="T556" t="s">
        <v>889</v>
      </c>
      <c r="U556">
        <v>1</v>
      </c>
    </row>
    <row r="557" spans="1:21" x14ac:dyDescent="0.3">
      <c r="A557" t="s">
        <v>867</v>
      </c>
      <c r="B557" t="s">
        <v>868</v>
      </c>
      <c r="C557" t="s">
        <v>309</v>
      </c>
      <c r="D557" t="s">
        <v>29</v>
      </c>
      <c r="E557" t="s">
        <v>30</v>
      </c>
      <c r="F557" s="6">
        <v>45443</v>
      </c>
      <c r="G557">
        <v>95</v>
      </c>
      <c r="H557">
        <v>83.33</v>
      </c>
      <c r="I557">
        <v>0.87715789473684214</v>
      </c>
      <c r="J557">
        <v>0.87715789473684214</v>
      </c>
      <c r="K557" t="s">
        <v>31</v>
      </c>
      <c r="L557" t="s">
        <v>31</v>
      </c>
      <c r="M557">
        <v>2024</v>
      </c>
      <c r="N557" t="s">
        <v>42</v>
      </c>
      <c r="O557" t="s">
        <v>71</v>
      </c>
      <c r="P557">
        <v>0</v>
      </c>
      <c r="Q557">
        <v>0</v>
      </c>
      <c r="R557">
        <v>0</v>
      </c>
      <c r="S557" t="s">
        <v>99</v>
      </c>
      <c r="T557" t="s">
        <v>890</v>
      </c>
      <c r="U557">
        <v>1</v>
      </c>
    </row>
    <row r="558" spans="1:21" x14ac:dyDescent="0.3">
      <c r="A558" t="s">
        <v>867</v>
      </c>
      <c r="B558" t="s">
        <v>868</v>
      </c>
      <c r="C558" t="s">
        <v>309</v>
      </c>
      <c r="D558" t="s">
        <v>29</v>
      </c>
      <c r="E558" t="s">
        <v>30</v>
      </c>
      <c r="F558" s="6">
        <v>45473</v>
      </c>
      <c r="G558">
        <v>95</v>
      </c>
      <c r="H558">
        <v>87.5</v>
      </c>
      <c r="I558">
        <v>0.92105263157894735</v>
      </c>
      <c r="J558">
        <v>0.92105263157894735</v>
      </c>
      <c r="K558" t="s">
        <v>31</v>
      </c>
      <c r="L558" t="s">
        <v>31</v>
      </c>
      <c r="M558">
        <v>2024</v>
      </c>
      <c r="N558" t="s">
        <v>44</v>
      </c>
      <c r="O558" t="s">
        <v>71</v>
      </c>
      <c r="P558">
        <v>0</v>
      </c>
      <c r="Q558">
        <v>0</v>
      </c>
      <c r="R558">
        <v>0</v>
      </c>
      <c r="S558" t="s">
        <v>99</v>
      </c>
      <c r="T558" t="s">
        <v>891</v>
      </c>
      <c r="U558">
        <v>1</v>
      </c>
    </row>
    <row r="559" spans="1:21" x14ac:dyDescent="0.3">
      <c r="A559" t="s">
        <v>867</v>
      </c>
      <c r="B559" t="s">
        <v>868</v>
      </c>
      <c r="C559" t="s">
        <v>309</v>
      </c>
      <c r="D559" t="s">
        <v>29</v>
      </c>
      <c r="E559" t="s">
        <v>30</v>
      </c>
      <c r="F559" s="6">
        <v>45504</v>
      </c>
      <c r="G559">
        <v>95</v>
      </c>
      <c r="H559">
        <v>90.91</v>
      </c>
      <c r="I559">
        <v>0.95694736842105255</v>
      </c>
      <c r="J559">
        <v>0.95694736842105255</v>
      </c>
      <c r="K559" t="s">
        <v>31</v>
      </c>
      <c r="L559" t="s">
        <v>31</v>
      </c>
      <c r="M559">
        <v>2024</v>
      </c>
      <c r="N559" t="s">
        <v>46</v>
      </c>
      <c r="O559" t="s">
        <v>78</v>
      </c>
      <c r="P559">
        <v>0</v>
      </c>
      <c r="Q559">
        <v>0</v>
      </c>
      <c r="R559">
        <v>0</v>
      </c>
      <c r="S559" t="s">
        <v>99</v>
      </c>
      <c r="T559" t="s">
        <v>892</v>
      </c>
      <c r="U559">
        <v>1</v>
      </c>
    </row>
    <row r="560" spans="1:21" x14ac:dyDescent="0.3">
      <c r="A560" t="s">
        <v>867</v>
      </c>
      <c r="B560" t="s">
        <v>868</v>
      </c>
      <c r="C560" t="s">
        <v>309</v>
      </c>
      <c r="D560" t="s">
        <v>29</v>
      </c>
      <c r="E560" t="s">
        <v>30</v>
      </c>
      <c r="F560" s="6">
        <v>45535</v>
      </c>
      <c r="G560">
        <v>95</v>
      </c>
      <c r="H560">
        <v>92.86</v>
      </c>
      <c r="I560">
        <v>0.97747368421052627</v>
      </c>
      <c r="J560">
        <v>0.97747368421052627</v>
      </c>
      <c r="K560" t="s">
        <v>31</v>
      </c>
      <c r="L560" t="s">
        <v>31</v>
      </c>
      <c r="M560">
        <v>2024</v>
      </c>
      <c r="N560" t="s">
        <v>49</v>
      </c>
      <c r="O560" t="s">
        <v>78</v>
      </c>
      <c r="P560">
        <v>0</v>
      </c>
      <c r="Q560">
        <v>0</v>
      </c>
      <c r="R560">
        <v>0</v>
      </c>
      <c r="S560" t="s">
        <v>99</v>
      </c>
      <c r="T560" t="s">
        <v>893</v>
      </c>
      <c r="U560">
        <v>1</v>
      </c>
    </row>
    <row r="561" spans="1:21" x14ac:dyDescent="0.3">
      <c r="A561" t="s">
        <v>867</v>
      </c>
      <c r="B561" t="s">
        <v>868</v>
      </c>
      <c r="C561" t="s">
        <v>309</v>
      </c>
      <c r="D561" t="s">
        <v>29</v>
      </c>
      <c r="E561" t="s">
        <v>30</v>
      </c>
      <c r="F561" s="6">
        <v>45565</v>
      </c>
      <c r="G561">
        <v>95</v>
      </c>
      <c r="H561">
        <v>93.75</v>
      </c>
      <c r="I561">
        <v>0.98684210526315785</v>
      </c>
      <c r="J561">
        <v>0.98684210526315785</v>
      </c>
      <c r="K561" t="s">
        <v>31</v>
      </c>
      <c r="L561" t="s">
        <v>31</v>
      </c>
      <c r="M561">
        <v>2024</v>
      </c>
      <c r="N561" t="s">
        <v>51</v>
      </c>
      <c r="O561" t="s">
        <v>78</v>
      </c>
      <c r="P561">
        <v>0</v>
      </c>
      <c r="Q561">
        <v>0</v>
      </c>
      <c r="R561">
        <v>0</v>
      </c>
      <c r="S561" t="s">
        <v>99</v>
      </c>
      <c r="T561" t="s">
        <v>894</v>
      </c>
      <c r="U561">
        <v>1</v>
      </c>
    </row>
    <row r="562" spans="1:21" x14ac:dyDescent="0.3">
      <c r="A562" t="s">
        <v>867</v>
      </c>
      <c r="B562" t="s">
        <v>868</v>
      </c>
      <c r="C562" t="s">
        <v>309</v>
      </c>
      <c r="D562" t="s">
        <v>29</v>
      </c>
      <c r="E562" t="s">
        <v>30</v>
      </c>
      <c r="F562" s="6">
        <v>45596</v>
      </c>
      <c r="G562">
        <v>95</v>
      </c>
      <c r="H562">
        <v>94.12</v>
      </c>
      <c r="I562">
        <v>0.99073684210526325</v>
      </c>
      <c r="J562">
        <v>0.99073684210526325</v>
      </c>
      <c r="K562" t="s">
        <v>31</v>
      </c>
      <c r="L562" t="s">
        <v>31</v>
      </c>
      <c r="M562">
        <v>2024</v>
      </c>
      <c r="N562" t="s">
        <v>53</v>
      </c>
      <c r="O562" t="s">
        <v>78</v>
      </c>
      <c r="P562">
        <v>0</v>
      </c>
      <c r="Q562">
        <v>0</v>
      </c>
      <c r="R562">
        <v>0</v>
      </c>
      <c r="S562" t="s">
        <v>99</v>
      </c>
      <c r="T562" t="s">
        <v>895</v>
      </c>
      <c r="U562">
        <v>1</v>
      </c>
    </row>
    <row r="563" spans="1:21" x14ac:dyDescent="0.3">
      <c r="A563" t="s">
        <v>867</v>
      </c>
      <c r="B563" t="s">
        <v>868</v>
      </c>
      <c r="C563" t="s">
        <v>309</v>
      </c>
      <c r="D563" t="s">
        <v>29</v>
      </c>
      <c r="E563" t="s">
        <v>30</v>
      </c>
      <c r="F563" s="6">
        <v>45626</v>
      </c>
      <c r="G563">
        <v>95</v>
      </c>
      <c r="H563">
        <v>100</v>
      </c>
      <c r="I563">
        <v>1.0526315789473679</v>
      </c>
      <c r="J563">
        <v>1.0526315789473679</v>
      </c>
      <c r="K563" t="s">
        <v>31</v>
      </c>
      <c r="L563" t="s">
        <v>31</v>
      </c>
      <c r="M563">
        <v>2024</v>
      </c>
      <c r="N563" t="s">
        <v>55</v>
      </c>
      <c r="O563" t="s">
        <v>78</v>
      </c>
      <c r="P563">
        <v>0</v>
      </c>
      <c r="Q563">
        <v>0</v>
      </c>
      <c r="R563">
        <v>0</v>
      </c>
      <c r="S563" t="s">
        <v>99</v>
      </c>
      <c r="T563" t="s">
        <v>896</v>
      </c>
      <c r="U563">
        <v>1</v>
      </c>
    </row>
    <row r="564" spans="1:21" x14ac:dyDescent="0.3">
      <c r="A564" t="s">
        <v>867</v>
      </c>
      <c r="B564" t="s">
        <v>868</v>
      </c>
      <c r="C564" t="s">
        <v>309</v>
      </c>
      <c r="D564" t="s">
        <v>29</v>
      </c>
      <c r="E564" t="s">
        <v>30</v>
      </c>
      <c r="F564" s="6">
        <v>45657</v>
      </c>
      <c r="G564">
        <v>95</v>
      </c>
      <c r="H564">
        <v>97.37</v>
      </c>
      <c r="I564">
        <v>1.0249473684210531</v>
      </c>
      <c r="J564">
        <v>1.0249473684210531</v>
      </c>
      <c r="K564" t="s">
        <v>31</v>
      </c>
      <c r="L564" t="s">
        <v>31</v>
      </c>
      <c r="M564">
        <v>2024</v>
      </c>
      <c r="N564" t="s">
        <v>57</v>
      </c>
      <c r="O564" t="s">
        <v>78</v>
      </c>
      <c r="P564">
        <v>0</v>
      </c>
      <c r="Q564">
        <v>0</v>
      </c>
      <c r="R564">
        <v>0</v>
      </c>
      <c r="S564" t="s">
        <v>99</v>
      </c>
      <c r="T564" t="s">
        <v>897</v>
      </c>
      <c r="U564">
        <v>1</v>
      </c>
    </row>
    <row r="565" spans="1:21" x14ac:dyDescent="0.3">
      <c r="A565" t="s">
        <v>867</v>
      </c>
      <c r="B565" t="s">
        <v>868</v>
      </c>
      <c r="C565" t="s">
        <v>309</v>
      </c>
      <c r="D565" t="s">
        <v>29</v>
      </c>
      <c r="E565" t="s">
        <v>30</v>
      </c>
      <c r="F565" s="6">
        <v>45688</v>
      </c>
      <c r="G565">
        <v>95</v>
      </c>
      <c r="H565" t="s">
        <v>898</v>
      </c>
      <c r="I565">
        <v>0.84210526315789469</v>
      </c>
      <c r="J565">
        <v>0.84210526315789469</v>
      </c>
      <c r="K565" t="s">
        <v>838</v>
      </c>
      <c r="L565" t="s">
        <v>193</v>
      </c>
      <c r="M565">
        <v>2025</v>
      </c>
      <c r="N565" t="s">
        <v>32</v>
      </c>
      <c r="O565" t="s">
        <v>244</v>
      </c>
      <c r="P565">
        <v>2</v>
      </c>
      <c r="Q565">
        <v>2</v>
      </c>
      <c r="R565">
        <v>0</v>
      </c>
      <c r="S565" t="s">
        <v>104</v>
      </c>
      <c r="T565" t="s">
        <v>899</v>
      </c>
      <c r="U565">
        <v>31</v>
      </c>
    </row>
    <row r="566" spans="1:21" x14ac:dyDescent="0.3">
      <c r="A566" t="s">
        <v>867</v>
      </c>
      <c r="B566" t="s">
        <v>868</v>
      </c>
      <c r="C566" t="s">
        <v>309</v>
      </c>
      <c r="D566" t="s">
        <v>29</v>
      </c>
      <c r="E566" t="s">
        <v>30</v>
      </c>
      <c r="F566" s="6">
        <v>45716</v>
      </c>
      <c r="G566">
        <v>95</v>
      </c>
      <c r="H566" t="s">
        <v>95</v>
      </c>
      <c r="I566">
        <v>1.0526315789473679</v>
      </c>
      <c r="J566">
        <v>1.0526315789473679</v>
      </c>
      <c r="K566" t="s">
        <v>838</v>
      </c>
      <c r="L566" t="s">
        <v>102</v>
      </c>
      <c r="M566">
        <v>2025</v>
      </c>
      <c r="N566" t="s">
        <v>36</v>
      </c>
      <c r="O566" t="s">
        <v>244</v>
      </c>
      <c r="P566">
        <v>2</v>
      </c>
      <c r="Q566">
        <v>2</v>
      </c>
      <c r="R566">
        <v>0</v>
      </c>
      <c r="S566" t="s">
        <v>104</v>
      </c>
      <c r="T566" t="s">
        <v>900</v>
      </c>
      <c r="U566">
        <v>28</v>
      </c>
    </row>
    <row r="567" spans="1:21" x14ac:dyDescent="0.3">
      <c r="A567" t="s">
        <v>867</v>
      </c>
      <c r="B567" t="s">
        <v>868</v>
      </c>
      <c r="C567" t="s">
        <v>309</v>
      </c>
      <c r="D567" t="s">
        <v>29</v>
      </c>
      <c r="E567" t="s">
        <v>30</v>
      </c>
      <c r="F567" s="6">
        <v>45747</v>
      </c>
      <c r="G567">
        <v>95</v>
      </c>
      <c r="H567" t="s">
        <v>901</v>
      </c>
      <c r="I567">
        <v>0.87715789473684214</v>
      </c>
      <c r="J567">
        <v>0.87715789473684214</v>
      </c>
      <c r="K567" t="s">
        <v>838</v>
      </c>
      <c r="L567" t="s">
        <v>902</v>
      </c>
      <c r="M567">
        <v>2025</v>
      </c>
      <c r="N567" t="s">
        <v>38</v>
      </c>
      <c r="O567" t="s">
        <v>244</v>
      </c>
      <c r="P567">
        <v>2</v>
      </c>
      <c r="Q567">
        <v>2</v>
      </c>
      <c r="R567">
        <v>0</v>
      </c>
      <c r="S567" t="s">
        <v>104</v>
      </c>
      <c r="T567" t="s">
        <v>903</v>
      </c>
      <c r="U567">
        <v>31</v>
      </c>
    </row>
    <row r="568" spans="1:21" x14ac:dyDescent="0.3">
      <c r="A568" t="s">
        <v>867</v>
      </c>
      <c r="B568" t="s">
        <v>868</v>
      </c>
      <c r="C568" t="s">
        <v>309</v>
      </c>
      <c r="D568" t="s">
        <v>29</v>
      </c>
      <c r="E568" t="s">
        <v>30</v>
      </c>
      <c r="F568" s="6">
        <v>45777</v>
      </c>
      <c r="G568">
        <v>95</v>
      </c>
      <c r="H568" t="s">
        <v>439</v>
      </c>
      <c r="I568">
        <v>0.93568421052631578</v>
      </c>
      <c r="J568">
        <v>0.93568421052631578</v>
      </c>
      <c r="K568" t="s">
        <v>838</v>
      </c>
      <c r="L568" t="s">
        <v>440</v>
      </c>
      <c r="M568">
        <v>2025</v>
      </c>
      <c r="N568" t="s">
        <v>40</v>
      </c>
      <c r="O568" t="s">
        <v>244</v>
      </c>
      <c r="P568">
        <v>2</v>
      </c>
      <c r="Q568">
        <v>2</v>
      </c>
      <c r="R568">
        <v>0</v>
      </c>
      <c r="S568" t="s">
        <v>104</v>
      </c>
      <c r="T568" t="s">
        <v>904</v>
      </c>
      <c r="U568">
        <v>30</v>
      </c>
    </row>
    <row r="569" spans="1:21" x14ac:dyDescent="0.3">
      <c r="A569" t="s">
        <v>867</v>
      </c>
      <c r="B569" t="s">
        <v>868</v>
      </c>
      <c r="C569" t="s">
        <v>309</v>
      </c>
      <c r="D569" t="s">
        <v>29</v>
      </c>
      <c r="E569" t="s">
        <v>30</v>
      </c>
      <c r="F569" s="6">
        <v>45808</v>
      </c>
      <c r="G569">
        <v>95</v>
      </c>
      <c r="H569" t="s">
        <v>905</v>
      </c>
      <c r="I569">
        <v>1.006842105263158</v>
      </c>
      <c r="J569">
        <v>1.006842105263158</v>
      </c>
      <c r="K569" t="s">
        <v>838</v>
      </c>
      <c r="L569" t="s">
        <v>906</v>
      </c>
      <c r="M569">
        <v>2025</v>
      </c>
      <c r="N569" t="s">
        <v>42</v>
      </c>
      <c r="O569" t="s">
        <v>244</v>
      </c>
      <c r="P569">
        <v>2</v>
      </c>
      <c r="Q569">
        <v>2</v>
      </c>
      <c r="R569">
        <v>0</v>
      </c>
      <c r="S569" t="s">
        <v>104</v>
      </c>
      <c r="T569" t="s">
        <v>907</v>
      </c>
      <c r="U569">
        <v>31</v>
      </c>
    </row>
    <row r="570" spans="1:21" x14ac:dyDescent="0.3">
      <c r="A570" t="s">
        <v>867</v>
      </c>
      <c r="B570" t="s">
        <v>868</v>
      </c>
      <c r="C570" t="s">
        <v>309</v>
      </c>
      <c r="D570" t="s">
        <v>29</v>
      </c>
      <c r="E570" t="s">
        <v>30</v>
      </c>
      <c r="F570" s="6">
        <v>45838</v>
      </c>
      <c r="G570">
        <v>95</v>
      </c>
      <c r="H570" t="s">
        <v>908</v>
      </c>
      <c r="I570">
        <v>0.86126315789473673</v>
      </c>
      <c r="J570">
        <v>0.86126315789473673</v>
      </c>
      <c r="K570" t="s">
        <v>838</v>
      </c>
      <c r="L570" t="s">
        <v>909</v>
      </c>
      <c r="M570">
        <v>2025</v>
      </c>
      <c r="N570" t="s">
        <v>44</v>
      </c>
      <c r="O570" t="s">
        <v>244</v>
      </c>
      <c r="P570">
        <v>2</v>
      </c>
      <c r="Q570">
        <v>2</v>
      </c>
      <c r="R570">
        <v>0</v>
      </c>
      <c r="S570" t="s">
        <v>104</v>
      </c>
      <c r="T570" t="s">
        <v>910</v>
      </c>
      <c r="U570">
        <v>30</v>
      </c>
    </row>
    <row r="571" spans="1:21" x14ac:dyDescent="0.3">
      <c r="A571" t="s">
        <v>867</v>
      </c>
      <c r="B571" t="s">
        <v>868</v>
      </c>
      <c r="C571" t="s">
        <v>309</v>
      </c>
      <c r="D571" t="s">
        <v>29</v>
      </c>
      <c r="E571" t="s">
        <v>30</v>
      </c>
      <c r="F571" s="6">
        <v>45869</v>
      </c>
      <c r="G571">
        <v>95</v>
      </c>
      <c r="H571" t="s">
        <v>911</v>
      </c>
      <c r="I571">
        <v>0.96242105263157907</v>
      </c>
      <c r="J571">
        <v>0.96242105263157907</v>
      </c>
      <c r="K571" t="s">
        <v>838</v>
      </c>
      <c r="L571" t="s">
        <v>912</v>
      </c>
      <c r="M571">
        <v>2025</v>
      </c>
      <c r="N571" t="s">
        <v>46</v>
      </c>
      <c r="O571" t="s">
        <v>103</v>
      </c>
      <c r="P571">
        <v>2</v>
      </c>
      <c r="Q571">
        <v>2</v>
      </c>
      <c r="R571">
        <v>0</v>
      </c>
      <c r="S571" t="s">
        <v>104</v>
      </c>
      <c r="T571" t="s">
        <v>913</v>
      </c>
      <c r="U571">
        <v>31</v>
      </c>
    </row>
    <row r="572" spans="1:21" x14ac:dyDescent="0.3">
      <c r="A572" t="s">
        <v>867</v>
      </c>
      <c r="B572" t="s">
        <v>868</v>
      </c>
      <c r="C572" t="s">
        <v>309</v>
      </c>
      <c r="D572" t="s">
        <v>29</v>
      </c>
      <c r="E572" t="s">
        <v>30</v>
      </c>
      <c r="F572" s="6">
        <v>45900</v>
      </c>
      <c r="G572">
        <v>95</v>
      </c>
      <c r="H572" t="s">
        <v>914</v>
      </c>
      <c r="I572">
        <v>0.90905263157894733</v>
      </c>
      <c r="J572">
        <v>0.90905263157894733</v>
      </c>
      <c r="K572" t="s">
        <v>838</v>
      </c>
      <c r="L572" t="s">
        <v>915</v>
      </c>
      <c r="M572">
        <v>2025</v>
      </c>
      <c r="N572" t="s">
        <v>49</v>
      </c>
      <c r="O572" t="s">
        <v>103</v>
      </c>
      <c r="P572">
        <v>2</v>
      </c>
      <c r="Q572">
        <v>2</v>
      </c>
      <c r="R572">
        <v>0</v>
      </c>
      <c r="S572" t="s">
        <v>104</v>
      </c>
      <c r="T572" t="s">
        <v>916</v>
      </c>
      <c r="U572">
        <v>31</v>
      </c>
    </row>
    <row r="573" spans="1:21" x14ac:dyDescent="0.3">
      <c r="A573" t="s">
        <v>867</v>
      </c>
      <c r="B573" t="s">
        <v>868</v>
      </c>
      <c r="C573" t="s">
        <v>309</v>
      </c>
      <c r="D573" t="s">
        <v>29</v>
      </c>
      <c r="E573" t="s">
        <v>30</v>
      </c>
      <c r="F573" s="6">
        <v>45930</v>
      </c>
      <c r="G573">
        <v>95</v>
      </c>
      <c r="I573">
        <v>0</v>
      </c>
      <c r="J573">
        <v>0</v>
      </c>
      <c r="K573" t="s">
        <v>31</v>
      </c>
      <c r="L573" t="s">
        <v>31</v>
      </c>
      <c r="M573">
        <v>2025</v>
      </c>
      <c r="N573" t="s">
        <v>51</v>
      </c>
      <c r="O573" t="s">
        <v>103</v>
      </c>
      <c r="P573">
        <v>0</v>
      </c>
      <c r="Q573">
        <v>0</v>
      </c>
      <c r="R573">
        <v>0</v>
      </c>
      <c r="S573" t="s">
        <v>99</v>
      </c>
      <c r="T573" t="s">
        <v>917</v>
      </c>
      <c r="U573">
        <v>1</v>
      </c>
    </row>
    <row r="574" spans="1:21" x14ac:dyDescent="0.3">
      <c r="A574" t="s">
        <v>867</v>
      </c>
      <c r="B574" t="s">
        <v>868</v>
      </c>
      <c r="C574" t="s">
        <v>309</v>
      </c>
      <c r="D574" t="s">
        <v>29</v>
      </c>
      <c r="E574" t="s">
        <v>30</v>
      </c>
      <c r="F574" s="6">
        <v>45961</v>
      </c>
      <c r="G574">
        <v>95</v>
      </c>
      <c r="H574" t="s">
        <v>918</v>
      </c>
      <c r="I574">
        <v>1.0337894736842099</v>
      </c>
      <c r="J574">
        <v>1.0337894736842099</v>
      </c>
      <c r="K574" t="s">
        <v>838</v>
      </c>
      <c r="L574" t="s">
        <v>919</v>
      </c>
      <c r="M574">
        <v>2025</v>
      </c>
      <c r="N574" t="s">
        <v>53</v>
      </c>
      <c r="O574" t="s">
        <v>103</v>
      </c>
      <c r="P574">
        <v>2</v>
      </c>
      <c r="Q574">
        <v>2</v>
      </c>
      <c r="R574">
        <v>0</v>
      </c>
      <c r="S574" t="s">
        <v>104</v>
      </c>
      <c r="T574" t="s">
        <v>920</v>
      </c>
      <c r="U574">
        <v>31</v>
      </c>
    </row>
    <row r="575" spans="1:21" x14ac:dyDescent="0.3">
      <c r="A575" t="s">
        <v>867</v>
      </c>
      <c r="B575" t="s">
        <v>868</v>
      </c>
      <c r="C575" t="s">
        <v>309</v>
      </c>
      <c r="D575" t="s">
        <v>29</v>
      </c>
      <c r="E575" t="s">
        <v>30</v>
      </c>
      <c r="F575" s="6">
        <v>45991</v>
      </c>
      <c r="G575">
        <v>95</v>
      </c>
      <c r="H575" t="s">
        <v>921</v>
      </c>
      <c r="I575">
        <v>1.0186315789473681</v>
      </c>
      <c r="J575">
        <v>1.0186315789473681</v>
      </c>
      <c r="K575" t="s">
        <v>838</v>
      </c>
      <c r="L575" t="s">
        <v>922</v>
      </c>
      <c r="M575">
        <v>2025</v>
      </c>
      <c r="N575" t="s">
        <v>55</v>
      </c>
      <c r="O575" t="s">
        <v>103</v>
      </c>
      <c r="P575">
        <v>2</v>
      </c>
      <c r="Q575">
        <v>2</v>
      </c>
      <c r="R575">
        <v>0</v>
      </c>
      <c r="S575" t="s">
        <v>104</v>
      </c>
      <c r="T575" t="s">
        <v>923</v>
      </c>
      <c r="U575">
        <v>30</v>
      </c>
    </row>
    <row r="576" spans="1:21" x14ac:dyDescent="0.3">
      <c r="A576" t="s">
        <v>867</v>
      </c>
      <c r="B576" t="s">
        <v>868</v>
      </c>
      <c r="C576" t="s">
        <v>309</v>
      </c>
      <c r="D576" t="s">
        <v>29</v>
      </c>
      <c r="E576" t="s">
        <v>30</v>
      </c>
      <c r="F576" s="6">
        <v>46022</v>
      </c>
      <c r="G576">
        <v>95</v>
      </c>
      <c r="H576" t="s">
        <v>924</v>
      </c>
      <c r="I576">
        <v>1.036210526315789</v>
      </c>
      <c r="J576">
        <v>1.036210526315789</v>
      </c>
      <c r="K576" t="s">
        <v>838</v>
      </c>
      <c r="L576" t="s">
        <v>925</v>
      </c>
      <c r="M576">
        <v>2025</v>
      </c>
      <c r="N576" t="s">
        <v>57</v>
      </c>
      <c r="O576" t="s">
        <v>103</v>
      </c>
      <c r="P576">
        <v>2</v>
      </c>
      <c r="Q576">
        <v>2</v>
      </c>
      <c r="R576">
        <v>0</v>
      </c>
      <c r="S576" t="s">
        <v>104</v>
      </c>
      <c r="T576" t="s">
        <v>926</v>
      </c>
      <c r="U576">
        <v>31</v>
      </c>
    </row>
    <row r="577" spans="1:21" x14ac:dyDescent="0.3">
      <c r="A577" t="s">
        <v>867</v>
      </c>
      <c r="B577" t="s">
        <v>868</v>
      </c>
      <c r="C577" t="s">
        <v>309</v>
      </c>
      <c r="D577" t="s">
        <v>29</v>
      </c>
      <c r="E577" t="s">
        <v>30</v>
      </c>
      <c r="F577" s="6">
        <v>46053</v>
      </c>
      <c r="G577">
        <v>95</v>
      </c>
      <c r="H577" t="s">
        <v>424</v>
      </c>
      <c r="I577">
        <v>0</v>
      </c>
      <c r="J577">
        <v>0</v>
      </c>
      <c r="K577" t="s">
        <v>838</v>
      </c>
      <c r="M577">
        <v>2026</v>
      </c>
      <c r="N577" t="s">
        <v>32</v>
      </c>
      <c r="O577" t="s">
        <v>408</v>
      </c>
      <c r="P577">
        <v>2</v>
      </c>
      <c r="Q577">
        <v>2</v>
      </c>
      <c r="R577">
        <v>0</v>
      </c>
      <c r="S577" t="s">
        <v>104</v>
      </c>
      <c r="T577" t="s">
        <v>927</v>
      </c>
      <c r="U577">
        <v>31</v>
      </c>
    </row>
    <row r="578" spans="1:21" x14ac:dyDescent="0.3">
      <c r="A578" t="s">
        <v>928</v>
      </c>
      <c r="B578" t="s">
        <v>929</v>
      </c>
      <c r="C578" t="s">
        <v>309</v>
      </c>
      <c r="D578" t="s">
        <v>222</v>
      </c>
      <c r="E578" t="s">
        <v>30</v>
      </c>
      <c r="F578" s="6">
        <v>45107</v>
      </c>
      <c r="G578">
        <v>95</v>
      </c>
      <c r="H578">
        <v>100</v>
      </c>
      <c r="I578">
        <v>1.0526315789473679</v>
      </c>
      <c r="J578">
        <v>1.0526315789473679</v>
      </c>
      <c r="K578" t="s">
        <v>31</v>
      </c>
      <c r="L578" t="s">
        <v>31</v>
      </c>
      <c r="M578">
        <v>2023</v>
      </c>
      <c r="N578" t="s">
        <v>44</v>
      </c>
      <c r="O578" t="s">
        <v>33</v>
      </c>
      <c r="P578">
        <v>0</v>
      </c>
      <c r="Q578">
        <v>0</v>
      </c>
      <c r="R578">
        <v>0</v>
      </c>
      <c r="S578" t="s">
        <v>99</v>
      </c>
      <c r="T578" t="s">
        <v>930</v>
      </c>
      <c r="U578">
        <v>1</v>
      </c>
    </row>
    <row r="579" spans="1:21" x14ac:dyDescent="0.3">
      <c r="A579" t="s">
        <v>928</v>
      </c>
      <c r="B579" t="s">
        <v>929</v>
      </c>
      <c r="C579" t="s">
        <v>309</v>
      </c>
      <c r="D579" t="s">
        <v>222</v>
      </c>
      <c r="E579" t="s">
        <v>30</v>
      </c>
      <c r="F579" s="6">
        <v>45291</v>
      </c>
      <c r="G579">
        <v>95</v>
      </c>
      <c r="H579">
        <v>100</v>
      </c>
      <c r="I579">
        <v>1.0526315789473679</v>
      </c>
      <c r="J579">
        <v>1.0526315789473679</v>
      </c>
      <c r="K579" t="s">
        <v>31</v>
      </c>
      <c r="L579" t="s">
        <v>31</v>
      </c>
      <c r="M579">
        <v>2023</v>
      </c>
      <c r="N579" t="s">
        <v>57</v>
      </c>
      <c r="O579" t="s">
        <v>47</v>
      </c>
      <c r="P579">
        <v>0</v>
      </c>
      <c r="Q579">
        <v>0</v>
      </c>
      <c r="R579">
        <v>0</v>
      </c>
      <c r="S579" t="s">
        <v>99</v>
      </c>
      <c r="T579" t="s">
        <v>931</v>
      </c>
      <c r="U579">
        <v>1</v>
      </c>
    </row>
    <row r="580" spans="1:21" x14ac:dyDescent="0.3">
      <c r="A580" t="s">
        <v>928</v>
      </c>
      <c r="B580" t="s">
        <v>929</v>
      </c>
      <c r="C580" t="s">
        <v>309</v>
      </c>
      <c r="D580" t="s">
        <v>222</v>
      </c>
      <c r="E580" t="s">
        <v>30</v>
      </c>
      <c r="F580" s="6">
        <v>45473</v>
      </c>
      <c r="K580" t="s">
        <v>31</v>
      </c>
      <c r="L580" t="s">
        <v>31</v>
      </c>
      <c r="M580">
        <v>2024</v>
      </c>
      <c r="N580" t="s">
        <v>44</v>
      </c>
      <c r="O580" t="s">
        <v>71</v>
      </c>
      <c r="P580">
        <v>0</v>
      </c>
      <c r="Q580">
        <v>0</v>
      </c>
      <c r="R580">
        <v>0</v>
      </c>
      <c r="S580" t="s">
        <v>99</v>
      </c>
      <c r="T580" t="s">
        <v>932</v>
      </c>
      <c r="U580">
        <v>1</v>
      </c>
    </row>
    <row r="581" spans="1:21" x14ac:dyDescent="0.3">
      <c r="A581" t="s">
        <v>928</v>
      </c>
      <c r="B581" t="s">
        <v>929</v>
      </c>
      <c r="C581" t="s">
        <v>309</v>
      </c>
      <c r="D581" t="s">
        <v>222</v>
      </c>
      <c r="E581" t="s">
        <v>30</v>
      </c>
      <c r="F581" s="6">
        <v>45657</v>
      </c>
      <c r="G581">
        <v>95</v>
      </c>
      <c r="I581">
        <v>0</v>
      </c>
      <c r="J581">
        <v>0</v>
      </c>
      <c r="K581" t="s">
        <v>31</v>
      </c>
      <c r="L581" t="s">
        <v>31</v>
      </c>
      <c r="M581">
        <v>2024</v>
      </c>
      <c r="N581" t="s">
        <v>57</v>
      </c>
      <c r="O581" t="s">
        <v>78</v>
      </c>
      <c r="P581">
        <v>0</v>
      </c>
      <c r="Q581">
        <v>0</v>
      </c>
      <c r="R581">
        <v>0</v>
      </c>
      <c r="S581" t="s">
        <v>99</v>
      </c>
      <c r="T581" t="s">
        <v>933</v>
      </c>
      <c r="U581">
        <v>1</v>
      </c>
    </row>
    <row r="582" spans="1:21" x14ac:dyDescent="0.3">
      <c r="A582" t="s">
        <v>934</v>
      </c>
      <c r="B582" t="s">
        <v>935</v>
      </c>
      <c r="C582" t="s">
        <v>309</v>
      </c>
      <c r="D582" t="s">
        <v>29</v>
      </c>
      <c r="E582" t="s">
        <v>30</v>
      </c>
      <c r="F582" s="6">
        <v>44957</v>
      </c>
      <c r="M582">
        <v>2023</v>
      </c>
      <c r="N582" t="s">
        <v>32</v>
      </c>
      <c r="O582" t="s">
        <v>33</v>
      </c>
      <c r="P582">
        <v>0</v>
      </c>
      <c r="Q582">
        <v>0</v>
      </c>
      <c r="R582">
        <v>0</v>
      </c>
      <c r="S582" t="s">
        <v>99</v>
      </c>
      <c r="T582" t="s">
        <v>936</v>
      </c>
      <c r="U582">
        <v>1</v>
      </c>
    </row>
    <row r="583" spans="1:21" x14ac:dyDescent="0.3">
      <c r="A583" t="s">
        <v>934</v>
      </c>
      <c r="B583" t="s">
        <v>935</v>
      </c>
      <c r="C583" t="s">
        <v>309</v>
      </c>
      <c r="D583" t="s">
        <v>29</v>
      </c>
      <c r="E583" t="s">
        <v>30</v>
      </c>
      <c r="F583" s="6">
        <v>44985</v>
      </c>
      <c r="M583">
        <v>2023</v>
      </c>
      <c r="N583" t="s">
        <v>36</v>
      </c>
      <c r="O583" t="s">
        <v>33</v>
      </c>
      <c r="P583">
        <v>0</v>
      </c>
      <c r="Q583">
        <v>0</v>
      </c>
      <c r="R583">
        <v>0</v>
      </c>
      <c r="S583" t="s">
        <v>99</v>
      </c>
      <c r="T583" t="s">
        <v>937</v>
      </c>
      <c r="U583">
        <v>1</v>
      </c>
    </row>
    <row r="584" spans="1:21" x14ac:dyDescent="0.3">
      <c r="A584" t="s">
        <v>934</v>
      </c>
      <c r="B584" t="s">
        <v>935</v>
      </c>
      <c r="C584" t="s">
        <v>309</v>
      </c>
      <c r="D584" t="s">
        <v>29</v>
      </c>
      <c r="E584" t="s">
        <v>30</v>
      </c>
      <c r="F584" s="6">
        <v>45016</v>
      </c>
      <c r="M584">
        <v>2023</v>
      </c>
      <c r="N584" t="s">
        <v>38</v>
      </c>
      <c r="O584" t="s">
        <v>33</v>
      </c>
      <c r="P584">
        <v>0</v>
      </c>
      <c r="Q584">
        <v>0</v>
      </c>
      <c r="R584">
        <v>0</v>
      </c>
      <c r="S584" t="s">
        <v>99</v>
      </c>
      <c r="T584" t="s">
        <v>938</v>
      </c>
      <c r="U584">
        <v>1</v>
      </c>
    </row>
    <row r="585" spans="1:21" x14ac:dyDescent="0.3">
      <c r="A585" t="s">
        <v>934</v>
      </c>
      <c r="B585" t="s">
        <v>935</v>
      </c>
      <c r="C585" t="s">
        <v>309</v>
      </c>
      <c r="D585" t="s">
        <v>29</v>
      </c>
      <c r="E585" t="s">
        <v>30</v>
      </c>
      <c r="F585" s="6">
        <v>45046</v>
      </c>
      <c r="G585">
        <v>80</v>
      </c>
      <c r="H585">
        <v>70.19</v>
      </c>
      <c r="I585">
        <v>0.87737500000000002</v>
      </c>
      <c r="J585">
        <v>0.87737500000000002</v>
      </c>
      <c r="K585" t="s">
        <v>31</v>
      </c>
      <c r="L585" t="s">
        <v>31</v>
      </c>
      <c r="M585">
        <v>2023</v>
      </c>
      <c r="N585" t="s">
        <v>40</v>
      </c>
      <c r="O585" t="s">
        <v>33</v>
      </c>
      <c r="P585">
        <v>0</v>
      </c>
      <c r="Q585">
        <v>0</v>
      </c>
      <c r="R585">
        <v>0</v>
      </c>
      <c r="S585" t="s">
        <v>99</v>
      </c>
      <c r="T585" t="s">
        <v>939</v>
      </c>
      <c r="U585">
        <v>1</v>
      </c>
    </row>
    <row r="586" spans="1:21" x14ac:dyDescent="0.3">
      <c r="A586" t="s">
        <v>934</v>
      </c>
      <c r="B586" t="s">
        <v>935</v>
      </c>
      <c r="C586" t="s">
        <v>309</v>
      </c>
      <c r="D586" t="s">
        <v>29</v>
      </c>
      <c r="E586" t="s">
        <v>30</v>
      </c>
      <c r="F586" s="6">
        <v>45077</v>
      </c>
      <c r="G586">
        <v>80</v>
      </c>
      <c r="H586">
        <v>91.53</v>
      </c>
      <c r="I586">
        <v>1.1441250000000001</v>
      </c>
      <c r="J586">
        <v>1.1441250000000001</v>
      </c>
      <c r="K586" t="s">
        <v>31</v>
      </c>
      <c r="L586" t="s">
        <v>31</v>
      </c>
      <c r="M586">
        <v>2023</v>
      </c>
      <c r="N586" t="s">
        <v>42</v>
      </c>
      <c r="O586" t="s">
        <v>33</v>
      </c>
      <c r="P586">
        <v>0</v>
      </c>
      <c r="Q586">
        <v>0</v>
      </c>
      <c r="R586">
        <v>0</v>
      </c>
      <c r="S586" t="s">
        <v>99</v>
      </c>
      <c r="T586" t="s">
        <v>940</v>
      </c>
      <c r="U586">
        <v>1</v>
      </c>
    </row>
    <row r="587" spans="1:21" x14ac:dyDescent="0.3">
      <c r="A587" t="s">
        <v>934</v>
      </c>
      <c r="B587" t="s">
        <v>935</v>
      </c>
      <c r="C587" t="s">
        <v>309</v>
      </c>
      <c r="D587" t="s">
        <v>29</v>
      </c>
      <c r="E587" t="s">
        <v>30</v>
      </c>
      <c r="F587" s="6">
        <v>45107</v>
      </c>
      <c r="G587">
        <v>80</v>
      </c>
      <c r="H587">
        <v>88.24</v>
      </c>
      <c r="I587">
        <v>1.103</v>
      </c>
      <c r="J587">
        <v>1.103</v>
      </c>
      <c r="K587" t="s">
        <v>31</v>
      </c>
      <c r="L587" t="s">
        <v>31</v>
      </c>
      <c r="M587">
        <v>2023</v>
      </c>
      <c r="N587" t="s">
        <v>44</v>
      </c>
      <c r="O587" t="s">
        <v>33</v>
      </c>
      <c r="P587">
        <v>0</v>
      </c>
      <c r="Q587">
        <v>0</v>
      </c>
      <c r="R587">
        <v>0</v>
      </c>
      <c r="S587" t="s">
        <v>99</v>
      </c>
      <c r="T587" t="s">
        <v>941</v>
      </c>
      <c r="U587">
        <v>1</v>
      </c>
    </row>
    <row r="588" spans="1:21" x14ac:dyDescent="0.3">
      <c r="A588" t="s">
        <v>934</v>
      </c>
      <c r="B588" t="s">
        <v>935</v>
      </c>
      <c r="C588" t="s">
        <v>309</v>
      </c>
      <c r="D588" t="s">
        <v>29</v>
      </c>
      <c r="E588" t="s">
        <v>30</v>
      </c>
      <c r="F588" s="6">
        <v>45138</v>
      </c>
      <c r="G588">
        <v>80</v>
      </c>
      <c r="H588">
        <v>70.67</v>
      </c>
      <c r="I588">
        <v>0.88337500000000002</v>
      </c>
      <c r="J588">
        <v>0.88337500000000002</v>
      </c>
      <c r="K588" t="s">
        <v>31</v>
      </c>
      <c r="L588" t="s">
        <v>31</v>
      </c>
      <c r="M588">
        <v>2023</v>
      </c>
      <c r="N588" t="s">
        <v>46</v>
      </c>
      <c r="O588" t="s">
        <v>47</v>
      </c>
      <c r="P588">
        <v>0</v>
      </c>
      <c r="Q588">
        <v>0</v>
      </c>
      <c r="R588">
        <v>0</v>
      </c>
      <c r="S588" t="s">
        <v>99</v>
      </c>
      <c r="T588" t="s">
        <v>942</v>
      </c>
      <c r="U588">
        <v>1</v>
      </c>
    </row>
    <row r="589" spans="1:21" x14ac:dyDescent="0.3">
      <c r="A589" t="s">
        <v>934</v>
      </c>
      <c r="B589" t="s">
        <v>935</v>
      </c>
      <c r="C589" t="s">
        <v>309</v>
      </c>
      <c r="D589" t="s">
        <v>29</v>
      </c>
      <c r="E589" t="s">
        <v>30</v>
      </c>
      <c r="F589" s="6">
        <v>45169</v>
      </c>
      <c r="G589">
        <v>80</v>
      </c>
      <c r="H589">
        <v>78.13</v>
      </c>
      <c r="I589">
        <v>0.97662499999999997</v>
      </c>
      <c r="J589">
        <v>0.97662499999999997</v>
      </c>
      <c r="K589" t="s">
        <v>31</v>
      </c>
      <c r="L589" t="s">
        <v>31</v>
      </c>
      <c r="M589">
        <v>2023</v>
      </c>
      <c r="N589" t="s">
        <v>49</v>
      </c>
      <c r="O589" t="s">
        <v>47</v>
      </c>
      <c r="P589">
        <v>0</v>
      </c>
      <c r="Q589">
        <v>0</v>
      </c>
      <c r="R589">
        <v>0</v>
      </c>
      <c r="S589" t="s">
        <v>99</v>
      </c>
      <c r="T589" t="s">
        <v>943</v>
      </c>
      <c r="U589">
        <v>1</v>
      </c>
    </row>
    <row r="590" spans="1:21" x14ac:dyDescent="0.3">
      <c r="A590" t="s">
        <v>934</v>
      </c>
      <c r="B590" t="s">
        <v>935</v>
      </c>
      <c r="C590" t="s">
        <v>309</v>
      </c>
      <c r="D590" t="s">
        <v>29</v>
      </c>
      <c r="E590" t="s">
        <v>30</v>
      </c>
      <c r="F590" s="6">
        <v>45199</v>
      </c>
      <c r="G590">
        <v>80</v>
      </c>
      <c r="H590">
        <v>92.73</v>
      </c>
      <c r="I590">
        <v>1.159125</v>
      </c>
      <c r="J590">
        <v>1.159125</v>
      </c>
      <c r="K590" t="s">
        <v>31</v>
      </c>
      <c r="L590" t="s">
        <v>31</v>
      </c>
      <c r="M590">
        <v>2023</v>
      </c>
      <c r="N590" t="s">
        <v>51</v>
      </c>
      <c r="O590" t="s">
        <v>47</v>
      </c>
      <c r="P590">
        <v>0</v>
      </c>
      <c r="Q590">
        <v>0</v>
      </c>
      <c r="R590">
        <v>0</v>
      </c>
      <c r="S590" t="s">
        <v>99</v>
      </c>
      <c r="T590" t="s">
        <v>944</v>
      </c>
      <c r="U590">
        <v>1</v>
      </c>
    </row>
    <row r="591" spans="1:21" x14ac:dyDescent="0.3">
      <c r="A591" t="s">
        <v>934</v>
      </c>
      <c r="B591" t="s">
        <v>935</v>
      </c>
      <c r="C591" t="s">
        <v>309</v>
      </c>
      <c r="D591" t="s">
        <v>29</v>
      </c>
      <c r="E591" t="s">
        <v>30</v>
      </c>
      <c r="F591" s="6">
        <v>45230</v>
      </c>
      <c r="G591">
        <v>80</v>
      </c>
      <c r="H591">
        <v>70.3</v>
      </c>
      <c r="I591">
        <v>0.87874999999999992</v>
      </c>
      <c r="J591">
        <v>0.87874999999999992</v>
      </c>
      <c r="K591" t="s">
        <v>31</v>
      </c>
      <c r="L591" t="s">
        <v>31</v>
      </c>
      <c r="M591">
        <v>2023</v>
      </c>
      <c r="N591" t="s">
        <v>53</v>
      </c>
      <c r="O591" t="s">
        <v>47</v>
      </c>
      <c r="P591">
        <v>1</v>
      </c>
      <c r="Q591">
        <v>1</v>
      </c>
      <c r="R591">
        <v>0</v>
      </c>
      <c r="S591" t="s">
        <v>99</v>
      </c>
      <c r="T591" t="s">
        <v>945</v>
      </c>
      <c r="U591">
        <v>1</v>
      </c>
    </row>
    <row r="592" spans="1:21" x14ac:dyDescent="0.3">
      <c r="A592" t="s">
        <v>934</v>
      </c>
      <c r="B592" t="s">
        <v>935</v>
      </c>
      <c r="C592" t="s">
        <v>309</v>
      </c>
      <c r="D592" t="s">
        <v>29</v>
      </c>
      <c r="E592" t="s">
        <v>30</v>
      </c>
      <c r="F592" s="6">
        <v>45260</v>
      </c>
      <c r="G592">
        <v>80</v>
      </c>
      <c r="H592">
        <v>87.36</v>
      </c>
      <c r="I592">
        <v>1.0920000000000001</v>
      </c>
      <c r="J592">
        <v>1.0920000000000001</v>
      </c>
      <c r="K592" t="s">
        <v>31</v>
      </c>
      <c r="L592" t="s">
        <v>31</v>
      </c>
      <c r="M592">
        <v>2023</v>
      </c>
      <c r="N592" t="s">
        <v>55</v>
      </c>
      <c r="O592" t="s">
        <v>47</v>
      </c>
      <c r="P592">
        <v>0</v>
      </c>
      <c r="Q592">
        <v>0</v>
      </c>
      <c r="R592">
        <v>0</v>
      </c>
      <c r="S592" t="s">
        <v>99</v>
      </c>
      <c r="T592" t="s">
        <v>946</v>
      </c>
      <c r="U592">
        <v>1</v>
      </c>
    </row>
    <row r="593" spans="1:21" x14ac:dyDescent="0.3">
      <c r="A593" t="s">
        <v>934</v>
      </c>
      <c r="B593" t="s">
        <v>935</v>
      </c>
      <c r="C593" t="s">
        <v>309</v>
      </c>
      <c r="D593" t="s">
        <v>29</v>
      </c>
      <c r="E593" t="s">
        <v>30</v>
      </c>
      <c r="F593" s="6">
        <v>45291</v>
      </c>
      <c r="G593">
        <v>80</v>
      </c>
      <c r="H593">
        <v>83.16</v>
      </c>
      <c r="I593">
        <v>1.0395000000000001</v>
      </c>
      <c r="J593">
        <v>1.0395000000000001</v>
      </c>
      <c r="K593" t="s">
        <v>31</v>
      </c>
      <c r="L593" t="s">
        <v>31</v>
      </c>
      <c r="M593">
        <v>2023</v>
      </c>
      <c r="N593" t="s">
        <v>57</v>
      </c>
      <c r="O593" t="s">
        <v>47</v>
      </c>
      <c r="P593">
        <v>0</v>
      </c>
      <c r="Q593">
        <v>0</v>
      </c>
      <c r="R593">
        <v>0</v>
      </c>
      <c r="S593" t="s">
        <v>99</v>
      </c>
      <c r="T593" t="s">
        <v>947</v>
      </c>
      <c r="U593">
        <v>1</v>
      </c>
    </row>
    <row r="594" spans="1:21" x14ac:dyDescent="0.3">
      <c r="A594" t="s">
        <v>934</v>
      </c>
      <c r="B594" t="s">
        <v>935</v>
      </c>
      <c r="C594" t="s">
        <v>309</v>
      </c>
      <c r="D594" t="s">
        <v>29</v>
      </c>
      <c r="E594" t="s">
        <v>30</v>
      </c>
      <c r="F594" s="6">
        <v>45322</v>
      </c>
      <c r="G594">
        <v>85</v>
      </c>
      <c r="H594">
        <v>83.33</v>
      </c>
      <c r="I594">
        <v>0.98035294117647054</v>
      </c>
      <c r="J594">
        <v>0.98035294117647054</v>
      </c>
      <c r="M594">
        <v>2024</v>
      </c>
      <c r="N594" t="s">
        <v>32</v>
      </c>
      <c r="O594" t="s">
        <v>71</v>
      </c>
      <c r="P594">
        <v>0</v>
      </c>
      <c r="Q594">
        <v>0</v>
      </c>
      <c r="R594">
        <v>0</v>
      </c>
      <c r="S594" t="s">
        <v>99</v>
      </c>
      <c r="T594" t="s">
        <v>948</v>
      </c>
      <c r="U594">
        <v>1</v>
      </c>
    </row>
    <row r="595" spans="1:21" x14ac:dyDescent="0.3">
      <c r="A595" t="s">
        <v>934</v>
      </c>
      <c r="B595" t="s">
        <v>935</v>
      </c>
      <c r="C595" t="s">
        <v>309</v>
      </c>
      <c r="D595" t="s">
        <v>29</v>
      </c>
      <c r="E595" t="s">
        <v>30</v>
      </c>
      <c r="F595" s="6">
        <v>45350</v>
      </c>
      <c r="G595">
        <v>85</v>
      </c>
      <c r="H595">
        <v>80.42</v>
      </c>
      <c r="I595">
        <v>0.94611764705882351</v>
      </c>
      <c r="J595">
        <v>0.94611764705882351</v>
      </c>
      <c r="M595">
        <v>2024</v>
      </c>
      <c r="N595" t="s">
        <v>36</v>
      </c>
      <c r="O595" t="s">
        <v>71</v>
      </c>
      <c r="P595">
        <v>0</v>
      </c>
      <c r="Q595">
        <v>0</v>
      </c>
      <c r="R595">
        <v>0</v>
      </c>
      <c r="S595" t="s">
        <v>99</v>
      </c>
      <c r="T595" t="s">
        <v>949</v>
      </c>
      <c r="U595">
        <v>1</v>
      </c>
    </row>
    <row r="596" spans="1:21" x14ac:dyDescent="0.3">
      <c r="A596" t="s">
        <v>934</v>
      </c>
      <c r="B596" t="s">
        <v>935</v>
      </c>
      <c r="C596" t="s">
        <v>309</v>
      </c>
      <c r="D596" t="s">
        <v>29</v>
      </c>
      <c r="E596" t="s">
        <v>30</v>
      </c>
      <c r="F596" s="6">
        <v>45351</v>
      </c>
      <c r="G596">
        <v>85</v>
      </c>
      <c r="H596">
        <v>80.42</v>
      </c>
      <c r="I596">
        <v>0.94611764705882351</v>
      </c>
      <c r="J596">
        <v>0.94611764705882351</v>
      </c>
      <c r="K596" t="s">
        <v>31</v>
      </c>
      <c r="L596" t="s">
        <v>31</v>
      </c>
      <c r="M596">
        <v>2024</v>
      </c>
      <c r="N596" t="s">
        <v>36</v>
      </c>
      <c r="O596" t="s">
        <v>71</v>
      </c>
      <c r="P596">
        <v>0</v>
      </c>
      <c r="Q596">
        <v>0</v>
      </c>
      <c r="R596">
        <v>0</v>
      </c>
      <c r="S596" t="s">
        <v>99</v>
      </c>
      <c r="T596" t="s">
        <v>950</v>
      </c>
      <c r="U596">
        <v>1</v>
      </c>
    </row>
    <row r="597" spans="1:21" x14ac:dyDescent="0.3">
      <c r="A597" t="s">
        <v>934</v>
      </c>
      <c r="B597" t="s">
        <v>935</v>
      </c>
      <c r="C597" t="s">
        <v>309</v>
      </c>
      <c r="D597" t="s">
        <v>29</v>
      </c>
      <c r="E597" t="s">
        <v>30</v>
      </c>
      <c r="F597" s="6">
        <v>45382</v>
      </c>
      <c r="G597">
        <v>85</v>
      </c>
      <c r="H597">
        <v>84.05</v>
      </c>
      <c r="I597">
        <v>0.98882352941176466</v>
      </c>
      <c r="J597">
        <v>0.98882352941176466</v>
      </c>
      <c r="M597">
        <v>2024</v>
      </c>
      <c r="N597" t="s">
        <v>38</v>
      </c>
      <c r="O597" t="s">
        <v>71</v>
      </c>
      <c r="P597">
        <v>0</v>
      </c>
      <c r="Q597">
        <v>0</v>
      </c>
      <c r="R597">
        <v>0</v>
      </c>
      <c r="S597" t="s">
        <v>99</v>
      </c>
      <c r="T597" t="s">
        <v>951</v>
      </c>
      <c r="U597">
        <v>1</v>
      </c>
    </row>
    <row r="598" spans="1:21" x14ac:dyDescent="0.3">
      <c r="A598" t="s">
        <v>934</v>
      </c>
      <c r="B598" t="s">
        <v>935</v>
      </c>
      <c r="C598" t="s">
        <v>309</v>
      </c>
      <c r="D598" t="s">
        <v>29</v>
      </c>
      <c r="E598" t="s">
        <v>30</v>
      </c>
      <c r="F598" s="6">
        <v>45412</v>
      </c>
      <c r="G598">
        <v>85</v>
      </c>
      <c r="H598">
        <v>85.09</v>
      </c>
      <c r="I598">
        <v>1.001058823529412</v>
      </c>
      <c r="J598">
        <v>1.001058823529412</v>
      </c>
      <c r="K598" t="s">
        <v>31</v>
      </c>
      <c r="L598" t="s">
        <v>31</v>
      </c>
      <c r="M598">
        <v>2024</v>
      </c>
      <c r="N598" t="s">
        <v>40</v>
      </c>
      <c r="O598" t="s">
        <v>71</v>
      </c>
      <c r="P598">
        <v>0</v>
      </c>
      <c r="Q598">
        <v>0</v>
      </c>
      <c r="R598">
        <v>0</v>
      </c>
      <c r="S598" t="s">
        <v>99</v>
      </c>
      <c r="T598" t="s">
        <v>952</v>
      </c>
      <c r="U598">
        <v>1</v>
      </c>
    </row>
    <row r="599" spans="1:21" x14ac:dyDescent="0.3">
      <c r="A599" t="s">
        <v>934</v>
      </c>
      <c r="B599" t="s">
        <v>935</v>
      </c>
      <c r="C599" t="s">
        <v>309</v>
      </c>
      <c r="D599" t="s">
        <v>29</v>
      </c>
      <c r="E599" t="s">
        <v>30</v>
      </c>
      <c r="F599" s="6">
        <v>45443</v>
      </c>
      <c r="G599">
        <v>85</v>
      </c>
      <c r="H599">
        <v>84.08</v>
      </c>
      <c r="I599">
        <v>0.98917647058823532</v>
      </c>
      <c r="J599">
        <v>0.98917647058823532</v>
      </c>
      <c r="K599" t="s">
        <v>31</v>
      </c>
      <c r="L599" t="s">
        <v>31</v>
      </c>
      <c r="M599">
        <v>2024</v>
      </c>
      <c r="N599" t="s">
        <v>42</v>
      </c>
      <c r="O599" t="s">
        <v>71</v>
      </c>
      <c r="P599">
        <v>0</v>
      </c>
      <c r="Q599">
        <v>0</v>
      </c>
      <c r="R599">
        <v>0</v>
      </c>
      <c r="S599" t="s">
        <v>99</v>
      </c>
      <c r="T599" t="s">
        <v>953</v>
      </c>
      <c r="U599">
        <v>1</v>
      </c>
    </row>
    <row r="600" spans="1:21" x14ac:dyDescent="0.3">
      <c r="A600" t="s">
        <v>934</v>
      </c>
      <c r="B600" t="s">
        <v>935</v>
      </c>
      <c r="C600" t="s">
        <v>309</v>
      </c>
      <c r="D600" t="s">
        <v>29</v>
      </c>
      <c r="E600" t="s">
        <v>30</v>
      </c>
      <c r="F600" s="6">
        <v>45473</v>
      </c>
      <c r="G600">
        <v>85</v>
      </c>
      <c r="H600">
        <v>92.5</v>
      </c>
      <c r="I600">
        <v>1.088235294117647</v>
      </c>
      <c r="J600">
        <v>1.088235294117647</v>
      </c>
      <c r="K600" t="s">
        <v>31</v>
      </c>
      <c r="L600" t="s">
        <v>31</v>
      </c>
      <c r="M600">
        <v>2024</v>
      </c>
      <c r="N600" t="s">
        <v>44</v>
      </c>
      <c r="O600" t="s">
        <v>71</v>
      </c>
      <c r="P600">
        <v>0</v>
      </c>
      <c r="Q600">
        <v>0</v>
      </c>
      <c r="R600">
        <v>0</v>
      </c>
      <c r="S600" t="s">
        <v>99</v>
      </c>
      <c r="T600" t="s">
        <v>954</v>
      </c>
      <c r="U600">
        <v>1</v>
      </c>
    </row>
    <row r="601" spans="1:21" x14ac:dyDescent="0.3">
      <c r="A601" t="s">
        <v>934</v>
      </c>
      <c r="B601" t="s">
        <v>935</v>
      </c>
      <c r="C601" t="s">
        <v>309</v>
      </c>
      <c r="D601" t="s">
        <v>29</v>
      </c>
      <c r="E601" t="s">
        <v>30</v>
      </c>
      <c r="F601" s="6">
        <v>45504</v>
      </c>
      <c r="G601">
        <v>85</v>
      </c>
      <c r="H601">
        <v>94.72</v>
      </c>
      <c r="I601">
        <v>1.114352941176471</v>
      </c>
      <c r="J601">
        <v>1.114352941176471</v>
      </c>
      <c r="K601" t="s">
        <v>31</v>
      </c>
      <c r="L601" t="s">
        <v>31</v>
      </c>
      <c r="M601">
        <v>2024</v>
      </c>
      <c r="N601" t="s">
        <v>46</v>
      </c>
      <c r="O601" t="s">
        <v>78</v>
      </c>
      <c r="P601">
        <v>0</v>
      </c>
      <c r="Q601">
        <v>0</v>
      </c>
      <c r="R601">
        <v>0</v>
      </c>
      <c r="S601" t="s">
        <v>99</v>
      </c>
      <c r="T601" t="s">
        <v>955</v>
      </c>
      <c r="U601">
        <v>1</v>
      </c>
    </row>
    <row r="602" spans="1:21" x14ac:dyDescent="0.3">
      <c r="A602" t="s">
        <v>934</v>
      </c>
      <c r="B602" t="s">
        <v>935</v>
      </c>
      <c r="C602" t="s">
        <v>309</v>
      </c>
      <c r="D602" t="s">
        <v>29</v>
      </c>
      <c r="E602" t="s">
        <v>30</v>
      </c>
      <c r="F602" s="6">
        <v>45535</v>
      </c>
      <c r="G602">
        <v>85</v>
      </c>
      <c r="H602">
        <v>92.53</v>
      </c>
      <c r="I602">
        <v>1.0885882352941181</v>
      </c>
      <c r="J602">
        <v>1.0885882352941181</v>
      </c>
      <c r="K602" t="s">
        <v>31</v>
      </c>
      <c r="L602" t="s">
        <v>31</v>
      </c>
      <c r="M602">
        <v>2024</v>
      </c>
      <c r="N602" t="s">
        <v>49</v>
      </c>
      <c r="O602" t="s">
        <v>78</v>
      </c>
      <c r="P602">
        <v>0</v>
      </c>
      <c r="Q602">
        <v>0</v>
      </c>
      <c r="R602">
        <v>0</v>
      </c>
      <c r="S602" t="s">
        <v>99</v>
      </c>
      <c r="T602" t="s">
        <v>956</v>
      </c>
      <c r="U602">
        <v>1</v>
      </c>
    </row>
    <row r="603" spans="1:21" x14ac:dyDescent="0.3">
      <c r="A603" t="s">
        <v>934</v>
      </c>
      <c r="B603" t="s">
        <v>935</v>
      </c>
      <c r="C603" t="s">
        <v>309</v>
      </c>
      <c r="D603" t="s">
        <v>29</v>
      </c>
      <c r="E603" t="s">
        <v>30</v>
      </c>
      <c r="F603" s="6">
        <v>45565</v>
      </c>
      <c r="G603">
        <v>85</v>
      </c>
      <c r="H603">
        <v>94.44</v>
      </c>
      <c r="I603">
        <v>1.1110588235294121</v>
      </c>
      <c r="J603">
        <v>1.1110588235294121</v>
      </c>
      <c r="K603" t="s">
        <v>31</v>
      </c>
      <c r="L603" t="s">
        <v>31</v>
      </c>
      <c r="M603">
        <v>2024</v>
      </c>
      <c r="N603" t="s">
        <v>51</v>
      </c>
      <c r="O603" t="s">
        <v>78</v>
      </c>
      <c r="P603">
        <v>0</v>
      </c>
      <c r="Q603">
        <v>0</v>
      </c>
      <c r="R603">
        <v>0</v>
      </c>
      <c r="S603" t="s">
        <v>99</v>
      </c>
      <c r="T603" t="s">
        <v>957</v>
      </c>
      <c r="U603">
        <v>1</v>
      </c>
    </row>
    <row r="604" spans="1:21" x14ac:dyDescent="0.3">
      <c r="A604" t="s">
        <v>934</v>
      </c>
      <c r="B604" t="s">
        <v>935</v>
      </c>
      <c r="C604" t="s">
        <v>309</v>
      </c>
      <c r="D604" t="s">
        <v>29</v>
      </c>
      <c r="E604" t="s">
        <v>30</v>
      </c>
      <c r="F604" s="6">
        <v>45596</v>
      </c>
      <c r="K604" t="s">
        <v>31</v>
      </c>
      <c r="L604" t="s">
        <v>31</v>
      </c>
      <c r="M604">
        <v>2024</v>
      </c>
      <c r="N604" t="s">
        <v>53</v>
      </c>
      <c r="O604" t="s">
        <v>78</v>
      </c>
      <c r="P604">
        <v>1</v>
      </c>
      <c r="Q604">
        <v>1</v>
      </c>
      <c r="R604">
        <v>0</v>
      </c>
      <c r="S604" t="s">
        <v>99</v>
      </c>
      <c r="T604" t="s">
        <v>958</v>
      </c>
      <c r="U604">
        <v>1</v>
      </c>
    </row>
    <row r="605" spans="1:21" x14ac:dyDescent="0.3">
      <c r="A605" t="s">
        <v>934</v>
      </c>
      <c r="B605" t="s">
        <v>935</v>
      </c>
      <c r="C605" t="s">
        <v>309</v>
      </c>
      <c r="D605" t="s">
        <v>29</v>
      </c>
      <c r="E605" t="s">
        <v>30</v>
      </c>
      <c r="F605" s="6">
        <v>45626</v>
      </c>
      <c r="K605" t="s">
        <v>31</v>
      </c>
      <c r="L605" t="s">
        <v>31</v>
      </c>
      <c r="M605">
        <v>2024</v>
      </c>
      <c r="N605" t="s">
        <v>55</v>
      </c>
      <c r="O605" t="s">
        <v>78</v>
      </c>
      <c r="P605">
        <v>0</v>
      </c>
      <c r="Q605">
        <v>0</v>
      </c>
      <c r="R605">
        <v>0</v>
      </c>
      <c r="S605" t="s">
        <v>99</v>
      </c>
      <c r="T605" t="s">
        <v>959</v>
      </c>
      <c r="U605">
        <v>1</v>
      </c>
    </row>
    <row r="606" spans="1:21" x14ac:dyDescent="0.3">
      <c r="A606" t="s">
        <v>934</v>
      </c>
      <c r="B606" t="s">
        <v>935</v>
      </c>
      <c r="C606" t="s">
        <v>309</v>
      </c>
      <c r="D606" t="s">
        <v>29</v>
      </c>
      <c r="E606" t="s">
        <v>30</v>
      </c>
      <c r="F606" s="6">
        <v>45657</v>
      </c>
      <c r="K606" t="s">
        <v>31</v>
      </c>
      <c r="L606" t="s">
        <v>31</v>
      </c>
      <c r="M606">
        <v>2024</v>
      </c>
      <c r="N606" t="s">
        <v>57</v>
      </c>
      <c r="O606" t="s">
        <v>78</v>
      </c>
      <c r="P606">
        <v>0</v>
      </c>
      <c r="Q606">
        <v>0</v>
      </c>
      <c r="R606">
        <v>0</v>
      </c>
      <c r="S606" t="s">
        <v>99</v>
      </c>
      <c r="T606" t="s">
        <v>960</v>
      </c>
      <c r="U606">
        <v>1</v>
      </c>
    </row>
    <row r="607" spans="1:21" x14ac:dyDescent="0.3">
      <c r="A607" t="s">
        <v>961</v>
      </c>
      <c r="B607" t="s">
        <v>962</v>
      </c>
      <c r="C607" t="s">
        <v>717</v>
      </c>
      <c r="D607" t="s">
        <v>222</v>
      </c>
      <c r="E607" t="s">
        <v>30</v>
      </c>
      <c r="F607" s="6">
        <v>44742</v>
      </c>
      <c r="G607">
        <v>76</v>
      </c>
      <c r="H607">
        <v>91.8</v>
      </c>
      <c r="I607">
        <v>1.2078947368421049</v>
      </c>
      <c r="J607">
        <v>1.2078947368421049</v>
      </c>
      <c r="K607" t="s">
        <v>31</v>
      </c>
      <c r="L607" t="s">
        <v>31</v>
      </c>
      <c r="M607">
        <v>2022</v>
      </c>
      <c r="N607" t="s">
        <v>44</v>
      </c>
      <c r="O607" t="s">
        <v>88</v>
      </c>
      <c r="P607">
        <v>1</v>
      </c>
      <c r="Q607">
        <v>1</v>
      </c>
      <c r="R607">
        <v>0</v>
      </c>
      <c r="S607" t="s">
        <v>99</v>
      </c>
      <c r="T607" t="s">
        <v>963</v>
      </c>
      <c r="U607">
        <v>1</v>
      </c>
    </row>
    <row r="608" spans="1:21" x14ac:dyDescent="0.3">
      <c r="A608" t="s">
        <v>961</v>
      </c>
      <c r="B608" t="s">
        <v>962</v>
      </c>
      <c r="C608" t="s">
        <v>717</v>
      </c>
      <c r="D608" t="s">
        <v>222</v>
      </c>
      <c r="E608" t="s">
        <v>30</v>
      </c>
      <c r="F608" s="6">
        <v>44926</v>
      </c>
      <c r="G608">
        <v>76</v>
      </c>
      <c r="H608">
        <v>92.4</v>
      </c>
      <c r="I608">
        <v>1.215789473684211</v>
      </c>
      <c r="J608">
        <v>1.215789473684211</v>
      </c>
      <c r="K608" t="s">
        <v>31</v>
      </c>
      <c r="L608" t="s">
        <v>31</v>
      </c>
      <c r="M608">
        <v>2022</v>
      </c>
      <c r="N608" t="s">
        <v>57</v>
      </c>
      <c r="O608" t="s">
        <v>90</v>
      </c>
      <c r="P608">
        <v>1</v>
      </c>
      <c r="Q608">
        <v>1</v>
      </c>
      <c r="R608">
        <v>0</v>
      </c>
      <c r="S608" t="s">
        <v>99</v>
      </c>
      <c r="T608" t="s">
        <v>964</v>
      </c>
      <c r="U608">
        <v>1</v>
      </c>
    </row>
    <row r="609" spans="1:21" x14ac:dyDescent="0.3">
      <c r="A609" t="s">
        <v>961</v>
      </c>
      <c r="B609" t="s">
        <v>962</v>
      </c>
      <c r="C609" t="s">
        <v>717</v>
      </c>
      <c r="D609" t="s">
        <v>222</v>
      </c>
      <c r="E609" t="s">
        <v>30</v>
      </c>
      <c r="F609" s="6">
        <v>45107</v>
      </c>
      <c r="G609">
        <v>92</v>
      </c>
      <c r="H609">
        <v>91.9</v>
      </c>
      <c r="I609">
        <v>0.99891304347826093</v>
      </c>
      <c r="J609">
        <v>0.99891304347826093</v>
      </c>
      <c r="K609" t="s">
        <v>31</v>
      </c>
      <c r="L609" t="s">
        <v>31</v>
      </c>
      <c r="M609">
        <v>2023</v>
      </c>
      <c r="N609" t="s">
        <v>44</v>
      </c>
      <c r="O609" t="s">
        <v>33</v>
      </c>
      <c r="P609">
        <v>1</v>
      </c>
      <c r="Q609">
        <v>1</v>
      </c>
      <c r="R609">
        <v>1</v>
      </c>
      <c r="S609" t="s">
        <v>130</v>
      </c>
      <c r="T609" t="s">
        <v>965</v>
      </c>
      <c r="U609">
        <v>1</v>
      </c>
    </row>
    <row r="610" spans="1:21" x14ac:dyDescent="0.3">
      <c r="A610" t="s">
        <v>961</v>
      </c>
      <c r="B610" t="s">
        <v>962</v>
      </c>
      <c r="C610" t="s">
        <v>717</v>
      </c>
      <c r="D610" t="s">
        <v>222</v>
      </c>
      <c r="E610" t="s">
        <v>30</v>
      </c>
      <c r="F610" s="6">
        <v>45291</v>
      </c>
      <c r="G610">
        <v>92</v>
      </c>
      <c r="H610">
        <v>91.3</v>
      </c>
      <c r="I610">
        <v>0.99239130434782608</v>
      </c>
      <c r="J610">
        <v>0.99239130434782608</v>
      </c>
      <c r="K610" t="s">
        <v>31</v>
      </c>
      <c r="L610" t="s">
        <v>31</v>
      </c>
      <c r="M610">
        <v>2023</v>
      </c>
      <c r="N610" t="s">
        <v>57</v>
      </c>
      <c r="O610" t="s">
        <v>47</v>
      </c>
      <c r="P610">
        <v>1</v>
      </c>
      <c r="Q610">
        <v>1</v>
      </c>
      <c r="R610">
        <v>1</v>
      </c>
      <c r="S610" t="s">
        <v>130</v>
      </c>
      <c r="T610" t="s">
        <v>966</v>
      </c>
      <c r="U610">
        <v>1</v>
      </c>
    </row>
    <row r="611" spans="1:21" x14ac:dyDescent="0.3">
      <c r="A611" t="s">
        <v>961</v>
      </c>
      <c r="B611" t="s">
        <v>962</v>
      </c>
      <c r="C611" t="s">
        <v>717</v>
      </c>
      <c r="D611" t="s">
        <v>222</v>
      </c>
      <c r="E611" t="s">
        <v>30</v>
      </c>
      <c r="F611" s="6">
        <v>45473</v>
      </c>
      <c r="G611">
        <v>90</v>
      </c>
      <c r="H611">
        <v>91.7</v>
      </c>
      <c r="I611">
        <v>1.018888888888889</v>
      </c>
      <c r="J611">
        <v>1.018888888888889</v>
      </c>
      <c r="K611" t="s">
        <v>31</v>
      </c>
      <c r="L611" t="s">
        <v>31</v>
      </c>
      <c r="M611">
        <v>2024</v>
      </c>
      <c r="N611" t="s">
        <v>44</v>
      </c>
      <c r="O611" t="s">
        <v>71</v>
      </c>
      <c r="P611">
        <v>1</v>
      </c>
      <c r="Q611">
        <v>1</v>
      </c>
      <c r="R611">
        <v>1</v>
      </c>
      <c r="S611" t="s">
        <v>130</v>
      </c>
      <c r="T611" t="s">
        <v>967</v>
      </c>
      <c r="U611">
        <v>1</v>
      </c>
    </row>
    <row r="612" spans="1:21" x14ac:dyDescent="0.3">
      <c r="A612" t="s">
        <v>961</v>
      </c>
      <c r="B612" t="s">
        <v>962</v>
      </c>
      <c r="C612" t="s">
        <v>717</v>
      </c>
      <c r="D612" t="s">
        <v>222</v>
      </c>
      <c r="E612" t="s">
        <v>30</v>
      </c>
      <c r="F612" s="6">
        <v>45657</v>
      </c>
      <c r="G612">
        <v>90</v>
      </c>
      <c r="H612">
        <v>93.5</v>
      </c>
      <c r="I612">
        <v>1.038888888888889</v>
      </c>
      <c r="J612">
        <v>1.038888888888889</v>
      </c>
      <c r="K612" t="s">
        <v>31</v>
      </c>
      <c r="L612" t="s">
        <v>31</v>
      </c>
      <c r="M612">
        <v>2024</v>
      </c>
      <c r="N612" t="s">
        <v>57</v>
      </c>
      <c r="O612" t="s">
        <v>78</v>
      </c>
      <c r="P612">
        <v>1</v>
      </c>
      <c r="Q612">
        <v>1</v>
      </c>
      <c r="R612">
        <v>0</v>
      </c>
      <c r="S612" t="s">
        <v>130</v>
      </c>
      <c r="T612" t="s">
        <v>968</v>
      </c>
      <c r="U612">
        <v>1</v>
      </c>
    </row>
    <row r="613" spans="1:21" x14ac:dyDescent="0.3">
      <c r="A613" t="s">
        <v>961</v>
      </c>
      <c r="B613" t="s">
        <v>969</v>
      </c>
      <c r="C613" t="s">
        <v>717</v>
      </c>
      <c r="D613" t="s">
        <v>222</v>
      </c>
      <c r="E613" t="s">
        <v>30</v>
      </c>
      <c r="F613" s="6">
        <v>45838</v>
      </c>
      <c r="G613">
        <v>93</v>
      </c>
      <c r="H613" t="s">
        <v>970</v>
      </c>
      <c r="I613">
        <v>1.034516129032258</v>
      </c>
      <c r="J613">
        <v>1.034516129032258</v>
      </c>
      <c r="K613" t="s">
        <v>971</v>
      </c>
      <c r="L613" t="s">
        <v>972</v>
      </c>
      <c r="M613">
        <v>2025</v>
      </c>
      <c r="N613" t="s">
        <v>44</v>
      </c>
      <c r="O613" t="s">
        <v>244</v>
      </c>
      <c r="P613">
        <v>2</v>
      </c>
      <c r="Q613">
        <v>2</v>
      </c>
      <c r="R613">
        <v>1</v>
      </c>
      <c r="S613" t="s">
        <v>130</v>
      </c>
      <c r="T613" t="s">
        <v>973</v>
      </c>
      <c r="U613">
        <v>30</v>
      </c>
    </row>
    <row r="614" spans="1:21" x14ac:dyDescent="0.3">
      <c r="A614" t="s">
        <v>961</v>
      </c>
      <c r="B614" t="s">
        <v>969</v>
      </c>
      <c r="C614" t="s">
        <v>717</v>
      </c>
      <c r="D614" t="s">
        <v>222</v>
      </c>
      <c r="E614" t="s">
        <v>30</v>
      </c>
      <c r="F614" s="6">
        <v>46022</v>
      </c>
      <c r="G614">
        <v>94</v>
      </c>
      <c r="H614" t="s">
        <v>837</v>
      </c>
      <c r="I614">
        <v>1.0106382978723401</v>
      </c>
      <c r="J614">
        <v>1.0106382978723401</v>
      </c>
      <c r="K614" t="s">
        <v>194</v>
      </c>
      <c r="L614" t="s">
        <v>838</v>
      </c>
      <c r="M614">
        <v>2025</v>
      </c>
      <c r="N614" t="s">
        <v>57</v>
      </c>
      <c r="O614" t="s">
        <v>103</v>
      </c>
      <c r="P614">
        <v>2</v>
      </c>
      <c r="Q614">
        <v>2</v>
      </c>
      <c r="R614">
        <v>1</v>
      </c>
      <c r="S614" t="s">
        <v>130</v>
      </c>
      <c r="T614" t="s">
        <v>974</v>
      </c>
      <c r="U614">
        <v>31</v>
      </c>
    </row>
    <row r="615" spans="1:21" x14ac:dyDescent="0.3">
      <c r="A615" t="s">
        <v>975</v>
      </c>
      <c r="B615" t="s">
        <v>976</v>
      </c>
      <c r="C615" t="s">
        <v>717</v>
      </c>
      <c r="D615" t="s">
        <v>222</v>
      </c>
      <c r="E615" t="s">
        <v>30</v>
      </c>
      <c r="F615" s="6">
        <v>44742</v>
      </c>
      <c r="G615">
        <v>73</v>
      </c>
      <c r="H615">
        <v>83.26</v>
      </c>
      <c r="I615">
        <v>1.140547945205479</v>
      </c>
      <c r="J615">
        <v>1.140547945205479</v>
      </c>
      <c r="K615" t="s">
        <v>31</v>
      </c>
      <c r="L615" t="s">
        <v>31</v>
      </c>
      <c r="M615">
        <v>2022</v>
      </c>
      <c r="N615" t="s">
        <v>44</v>
      </c>
      <c r="O615" t="s">
        <v>88</v>
      </c>
      <c r="P615">
        <v>0</v>
      </c>
      <c r="Q615">
        <v>0</v>
      </c>
      <c r="R615">
        <v>0</v>
      </c>
      <c r="S615" t="s">
        <v>130</v>
      </c>
      <c r="T615" t="s">
        <v>977</v>
      </c>
      <c r="U615">
        <v>1</v>
      </c>
    </row>
    <row r="616" spans="1:21" x14ac:dyDescent="0.3">
      <c r="A616" t="s">
        <v>975</v>
      </c>
      <c r="B616" t="s">
        <v>976</v>
      </c>
      <c r="C616" t="s">
        <v>717</v>
      </c>
      <c r="D616" t="s">
        <v>222</v>
      </c>
      <c r="E616" t="s">
        <v>30</v>
      </c>
      <c r="F616" s="6">
        <v>44926</v>
      </c>
      <c r="G616">
        <v>73</v>
      </c>
      <c r="H616">
        <v>83.11</v>
      </c>
      <c r="I616">
        <v>1.138493150684931</v>
      </c>
      <c r="J616">
        <v>1.138493150684931</v>
      </c>
      <c r="K616" t="s">
        <v>31</v>
      </c>
      <c r="L616" t="s">
        <v>31</v>
      </c>
      <c r="M616">
        <v>2022</v>
      </c>
      <c r="N616" t="s">
        <v>57</v>
      </c>
      <c r="O616" t="s">
        <v>90</v>
      </c>
      <c r="P616">
        <v>0</v>
      </c>
      <c r="Q616">
        <v>0</v>
      </c>
      <c r="R616">
        <v>0</v>
      </c>
      <c r="S616" t="s">
        <v>130</v>
      </c>
      <c r="T616" t="s">
        <v>978</v>
      </c>
      <c r="U616">
        <v>1</v>
      </c>
    </row>
    <row r="617" spans="1:21" x14ac:dyDescent="0.3">
      <c r="A617" t="s">
        <v>975</v>
      </c>
      <c r="B617" t="s">
        <v>976</v>
      </c>
      <c r="C617" t="s">
        <v>717</v>
      </c>
      <c r="D617" t="s">
        <v>222</v>
      </c>
      <c r="E617" t="s">
        <v>30</v>
      </c>
      <c r="F617" s="6">
        <v>45107</v>
      </c>
      <c r="G617">
        <v>80</v>
      </c>
      <c r="H617">
        <v>79.180000000000007</v>
      </c>
      <c r="I617">
        <v>0.98975000000000013</v>
      </c>
      <c r="J617">
        <v>0.98975000000000013</v>
      </c>
      <c r="K617" t="s">
        <v>31</v>
      </c>
      <c r="L617" t="s">
        <v>31</v>
      </c>
      <c r="M617">
        <v>2023</v>
      </c>
      <c r="N617" t="s">
        <v>44</v>
      </c>
      <c r="O617" t="s">
        <v>33</v>
      </c>
      <c r="P617">
        <v>0</v>
      </c>
      <c r="Q617">
        <v>0</v>
      </c>
      <c r="R617">
        <v>1</v>
      </c>
      <c r="S617" t="s">
        <v>130</v>
      </c>
      <c r="T617" t="s">
        <v>979</v>
      </c>
      <c r="U617">
        <v>1</v>
      </c>
    </row>
    <row r="618" spans="1:21" x14ac:dyDescent="0.3">
      <c r="A618" t="s">
        <v>975</v>
      </c>
      <c r="B618" t="s">
        <v>976</v>
      </c>
      <c r="C618" t="s">
        <v>717</v>
      </c>
      <c r="D618" t="s">
        <v>222</v>
      </c>
      <c r="E618" t="s">
        <v>30</v>
      </c>
      <c r="F618" s="6">
        <v>45291</v>
      </c>
      <c r="G618">
        <v>80</v>
      </c>
      <c r="H618">
        <v>81.91</v>
      </c>
      <c r="I618">
        <v>1.0238750000000001</v>
      </c>
      <c r="J618">
        <v>1.0238750000000001</v>
      </c>
      <c r="K618" t="s">
        <v>31</v>
      </c>
      <c r="L618" t="s">
        <v>31</v>
      </c>
      <c r="M618">
        <v>2023</v>
      </c>
      <c r="N618" t="s">
        <v>57</v>
      </c>
      <c r="O618" t="s">
        <v>47</v>
      </c>
      <c r="P618">
        <v>0</v>
      </c>
      <c r="Q618">
        <v>0</v>
      </c>
      <c r="R618">
        <v>1</v>
      </c>
      <c r="S618" t="s">
        <v>130</v>
      </c>
      <c r="T618" t="s">
        <v>980</v>
      </c>
      <c r="U618">
        <v>1</v>
      </c>
    </row>
    <row r="619" spans="1:21" x14ac:dyDescent="0.3">
      <c r="A619" t="s">
        <v>975</v>
      </c>
      <c r="B619" t="s">
        <v>976</v>
      </c>
      <c r="C619" t="s">
        <v>717</v>
      </c>
      <c r="D619" t="s">
        <v>222</v>
      </c>
      <c r="E619" t="s">
        <v>30</v>
      </c>
      <c r="F619" s="6">
        <v>45473</v>
      </c>
      <c r="G619">
        <v>81</v>
      </c>
      <c r="H619">
        <v>83.01</v>
      </c>
      <c r="I619">
        <v>1.0248148148148151</v>
      </c>
      <c r="J619">
        <v>1.0248148148148151</v>
      </c>
      <c r="K619" t="s">
        <v>31</v>
      </c>
      <c r="L619" t="s">
        <v>31</v>
      </c>
      <c r="M619">
        <v>2024</v>
      </c>
      <c r="N619" t="s">
        <v>44</v>
      </c>
      <c r="O619" t="s">
        <v>71</v>
      </c>
      <c r="P619">
        <v>0</v>
      </c>
      <c r="Q619">
        <v>0</v>
      </c>
      <c r="R619">
        <v>1</v>
      </c>
      <c r="S619" t="s">
        <v>130</v>
      </c>
      <c r="T619" t="s">
        <v>981</v>
      </c>
      <c r="U619">
        <v>1</v>
      </c>
    </row>
    <row r="620" spans="1:21" x14ac:dyDescent="0.3">
      <c r="A620" t="s">
        <v>975</v>
      </c>
      <c r="B620" t="s">
        <v>976</v>
      </c>
      <c r="C620" t="s">
        <v>717</v>
      </c>
      <c r="D620" t="s">
        <v>222</v>
      </c>
      <c r="E620" t="s">
        <v>30</v>
      </c>
      <c r="F620" s="6">
        <v>45657</v>
      </c>
      <c r="G620">
        <v>81</v>
      </c>
      <c r="H620">
        <v>89</v>
      </c>
      <c r="I620">
        <v>1.098765432098765</v>
      </c>
      <c r="J620">
        <v>1.098765432098765</v>
      </c>
      <c r="K620" t="s">
        <v>31</v>
      </c>
      <c r="L620" t="s">
        <v>31</v>
      </c>
      <c r="M620">
        <v>2024</v>
      </c>
      <c r="N620" t="s">
        <v>57</v>
      </c>
      <c r="O620" t="s">
        <v>78</v>
      </c>
      <c r="P620">
        <v>0</v>
      </c>
      <c r="Q620">
        <v>0</v>
      </c>
      <c r="R620">
        <v>1</v>
      </c>
      <c r="S620" t="s">
        <v>130</v>
      </c>
      <c r="T620" t="s">
        <v>982</v>
      </c>
      <c r="U620">
        <v>1</v>
      </c>
    </row>
    <row r="621" spans="1:21" x14ac:dyDescent="0.3">
      <c r="A621" t="s">
        <v>975</v>
      </c>
      <c r="B621" t="s">
        <v>976</v>
      </c>
      <c r="C621" t="s">
        <v>717</v>
      </c>
      <c r="D621" t="s">
        <v>222</v>
      </c>
      <c r="E621" t="s">
        <v>30</v>
      </c>
      <c r="F621" s="6">
        <v>45838</v>
      </c>
      <c r="G621">
        <v>80</v>
      </c>
      <c r="H621">
        <v>90</v>
      </c>
      <c r="I621">
        <v>1.125</v>
      </c>
      <c r="J621">
        <v>1.125</v>
      </c>
      <c r="K621" t="s">
        <v>31</v>
      </c>
      <c r="L621" t="s">
        <v>31</v>
      </c>
      <c r="M621">
        <v>2025</v>
      </c>
      <c r="N621" t="s">
        <v>44</v>
      </c>
      <c r="O621" t="s">
        <v>244</v>
      </c>
      <c r="P621">
        <v>0</v>
      </c>
      <c r="Q621">
        <v>0</v>
      </c>
      <c r="R621">
        <v>1</v>
      </c>
      <c r="S621" t="s">
        <v>130</v>
      </c>
      <c r="T621" t="s">
        <v>983</v>
      </c>
      <c r="U621">
        <v>1</v>
      </c>
    </row>
    <row r="622" spans="1:21" x14ac:dyDescent="0.3">
      <c r="A622" t="s">
        <v>984</v>
      </c>
      <c r="B622" t="s">
        <v>985</v>
      </c>
      <c r="C622" t="s">
        <v>717</v>
      </c>
      <c r="D622" t="s">
        <v>222</v>
      </c>
      <c r="E622" t="s">
        <v>30</v>
      </c>
      <c r="F622" s="6">
        <v>44742</v>
      </c>
      <c r="G622">
        <v>25</v>
      </c>
      <c r="H622">
        <v>46.11</v>
      </c>
      <c r="I622">
        <v>1.3</v>
      </c>
      <c r="J622">
        <v>1.8444</v>
      </c>
      <c r="K622" t="s">
        <v>31</v>
      </c>
      <c r="L622" t="s">
        <v>31</v>
      </c>
      <c r="M622">
        <v>2022</v>
      </c>
      <c r="N622" t="s">
        <v>44</v>
      </c>
      <c r="O622" t="s">
        <v>88</v>
      </c>
      <c r="P622">
        <v>1</v>
      </c>
      <c r="Q622">
        <v>1</v>
      </c>
      <c r="R622">
        <v>0</v>
      </c>
      <c r="S622" t="s">
        <v>130</v>
      </c>
      <c r="T622" t="s">
        <v>986</v>
      </c>
      <c r="U622">
        <v>1</v>
      </c>
    </row>
    <row r="623" spans="1:21" x14ac:dyDescent="0.3">
      <c r="A623" t="s">
        <v>984</v>
      </c>
      <c r="B623" t="s">
        <v>985</v>
      </c>
      <c r="C623" t="s">
        <v>717</v>
      </c>
      <c r="D623" t="s">
        <v>222</v>
      </c>
      <c r="E623" t="s">
        <v>30</v>
      </c>
      <c r="F623" s="6">
        <v>44926</v>
      </c>
      <c r="G623">
        <v>25</v>
      </c>
      <c r="H623">
        <v>43.56</v>
      </c>
      <c r="I623">
        <v>1.3</v>
      </c>
      <c r="J623">
        <v>1.7423999999999999</v>
      </c>
      <c r="K623" t="s">
        <v>31</v>
      </c>
      <c r="L623" t="s">
        <v>31</v>
      </c>
      <c r="M623">
        <v>2022</v>
      </c>
      <c r="N623" t="s">
        <v>57</v>
      </c>
      <c r="O623" t="s">
        <v>90</v>
      </c>
      <c r="P623">
        <v>1</v>
      </c>
      <c r="Q623">
        <v>1</v>
      </c>
      <c r="R623">
        <v>0</v>
      </c>
      <c r="S623" t="s">
        <v>130</v>
      </c>
      <c r="T623" t="s">
        <v>987</v>
      </c>
      <c r="U623">
        <v>1</v>
      </c>
    </row>
    <row r="624" spans="1:21" x14ac:dyDescent="0.3">
      <c r="A624" t="s">
        <v>984</v>
      </c>
      <c r="B624" t="s">
        <v>985</v>
      </c>
      <c r="C624" t="s">
        <v>717</v>
      </c>
      <c r="D624" t="s">
        <v>222</v>
      </c>
      <c r="E624" t="s">
        <v>30</v>
      </c>
      <c r="F624" s="6">
        <v>45107</v>
      </c>
      <c r="G624">
        <v>50</v>
      </c>
      <c r="H624">
        <v>59.59</v>
      </c>
      <c r="I624">
        <v>1.1918</v>
      </c>
      <c r="J624">
        <v>1.1918</v>
      </c>
      <c r="K624" t="s">
        <v>31</v>
      </c>
      <c r="L624" t="s">
        <v>31</v>
      </c>
      <c r="M624">
        <v>2023</v>
      </c>
      <c r="N624" t="s">
        <v>44</v>
      </c>
      <c r="O624" t="s">
        <v>33</v>
      </c>
      <c r="P624">
        <v>0</v>
      </c>
      <c r="Q624">
        <v>0</v>
      </c>
      <c r="R624">
        <v>1</v>
      </c>
      <c r="S624" t="s">
        <v>130</v>
      </c>
      <c r="T624" t="s">
        <v>988</v>
      </c>
      <c r="U624">
        <v>2</v>
      </c>
    </row>
    <row r="625" spans="1:21" x14ac:dyDescent="0.3">
      <c r="A625" t="s">
        <v>984</v>
      </c>
      <c r="B625" t="s">
        <v>985</v>
      </c>
      <c r="C625" t="s">
        <v>717</v>
      </c>
      <c r="D625" t="s">
        <v>222</v>
      </c>
      <c r="E625" t="s">
        <v>30</v>
      </c>
      <c r="F625" s="6">
        <v>45291</v>
      </c>
      <c r="G625">
        <v>42</v>
      </c>
      <c r="H625">
        <v>53.34</v>
      </c>
      <c r="I625">
        <v>1.27</v>
      </c>
      <c r="J625">
        <v>1.27</v>
      </c>
      <c r="K625" t="s">
        <v>31</v>
      </c>
      <c r="L625" t="s">
        <v>31</v>
      </c>
      <c r="M625">
        <v>2023</v>
      </c>
      <c r="N625" t="s">
        <v>57</v>
      </c>
      <c r="O625" t="s">
        <v>47</v>
      </c>
      <c r="P625">
        <v>0</v>
      </c>
      <c r="Q625">
        <v>0</v>
      </c>
      <c r="R625">
        <v>1</v>
      </c>
      <c r="S625" t="s">
        <v>130</v>
      </c>
      <c r="T625" t="s">
        <v>989</v>
      </c>
      <c r="U625">
        <v>1</v>
      </c>
    </row>
    <row r="626" spans="1:21" x14ac:dyDescent="0.3">
      <c r="A626" t="s">
        <v>984</v>
      </c>
      <c r="B626" t="s">
        <v>985</v>
      </c>
      <c r="C626" t="s">
        <v>717</v>
      </c>
      <c r="D626" t="s">
        <v>222</v>
      </c>
      <c r="E626" t="s">
        <v>30</v>
      </c>
      <c r="F626" s="6">
        <v>45838</v>
      </c>
      <c r="G626">
        <v>50</v>
      </c>
      <c r="H626">
        <v>59.59</v>
      </c>
      <c r="I626">
        <v>1.1918</v>
      </c>
      <c r="J626">
        <v>1.1918</v>
      </c>
      <c r="K626" t="s">
        <v>31</v>
      </c>
      <c r="L626" t="s">
        <v>31</v>
      </c>
      <c r="M626">
        <v>2025</v>
      </c>
      <c r="N626" t="s">
        <v>44</v>
      </c>
      <c r="O626" t="s">
        <v>244</v>
      </c>
      <c r="P626">
        <v>0</v>
      </c>
      <c r="Q626">
        <v>0</v>
      </c>
      <c r="R626">
        <v>1</v>
      </c>
      <c r="S626" t="s">
        <v>130</v>
      </c>
      <c r="T626" t="s">
        <v>990</v>
      </c>
      <c r="U626">
        <v>1</v>
      </c>
    </row>
    <row r="627" spans="1:21" x14ac:dyDescent="0.3">
      <c r="A627" t="s">
        <v>991</v>
      </c>
      <c r="B627" t="s">
        <v>992</v>
      </c>
      <c r="C627" t="s">
        <v>717</v>
      </c>
      <c r="D627" t="s">
        <v>222</v>
      </c>
      <c r="E627" t="s">
        <v>108</v>
      </c>
      <c r="F627" s="6">
        <v>45107</v>
      </c>
      <c r="G627">
        <v>37</v>
      </c>
      <c r="H627">
        <v>34.409999999999997</v>
      </c>
      <c r="I627">
        <v>1.075268817204301</v>
      </c>
      <c r="J627">
        <v>1.075268817204301</v>
      </c>
      <c r="K627" t="s">
        <v>31</v>
      </c>
      <c r="L627" t="s">
        <v>31</v>
      </c>
      <c r="M627">
        <v>2023</v>
      </c>
      <c r="N627" t="s">
        <v>44</v>
      </c>
      <c r="O627" t="s">
        <v>33</v>
      </c>
      <c r="P627">
        <v>0</v>
      </c>
      <c r="Q627">
        <v>0</v>
      </c>
      <c r="R627">
        <v>1</v>
      </c>
      <c r="S627" t="s">
        <v>130</v>
      </c>
      <c r="T627" t="s">
        <v>993</v>
      </c>
      <c r="U627">
        <v>1</v>
      </c>
    </row>
    <row r="628" spans="1:21" x14ac:dyDescent="0.3">
      <c r="A628" t="s">
        <v>991</v>
      </c>
      <c r="B628" t="s">
        <v>992</v>
      </c>
      <c r="C628" t="s">
        <v>717</v>
      </c>
      <c r="D628" t="s">
        <v>222</v>
      </c>
      <c r="E628" t="s">
        <v>108</v>
      </c>
      <c r="F628" s="6">
        <v>45291</v>
      </c>
      <c r="G628">
        <v>37</v>
      </c>
      <c r="H628">
        <v>26.62</v>
      </c>
      <c r="I628">
        <v>1.3</v>
      </c>
      <c r="J628">
        <v>1.389932381667919</v>
      </c>
      <c r="K628" t="s">
        <v>31</v>
      </c>
      <c r="L628" t="s">
        <v>31</v>
      </c>
      <c r="M628">
        <v>2023</v>
      </c>
      <c r="N628" t="s">
        <v>57</v>
      </c>
      <c r="O628" t="s">
        <v>47</v>
      </c>
      <c r="P628">
        <v>0</v>
      </c>
      <c r="Q628">
        <v>0</v>
      </c>
      <c r="R628">
        <v>1</v>
      </c>
      <c r="S628" t="s">
        <v>130</v>
      </c>
      <c r="T628" t="s">
        <v>994</v>
      </c>
      <c r="U628">
        <v>1</v>
      </c>
    </row>
    <row r="629" spans="1:21" x14ac:dyDescent="0.3">
      <c r="A629" t="s">
        <v>995</v>
      </c>
      <c r="B629" t="s">
        <v>996</v>
      </c>
      <c r="C629" t="s">
        <v>251</v>
      </c>
      <c r="D629" t="s">
        <v>233</v>
      </c>
      <c r="E629" t="s">
        <v>30</v>
      </c>
      <c r="F629" s="6">
        <v>45016</v>
      </c>
      <c r="G629">
        <v>90</v>
      </c>
      <c r="H629">
        <v>100</v>
      </c>
      <c r="I629">
        <v>1</v>
      </c>
      <c r="J629">
        <v>1</v>
      </c>
      <c r="K629" t="s">
        <v>31</v>
      </c>
      <c r="L629" t="s">
        <v>31</v>
      </c>
      <c r="M629">
        <v>2023</v>
      </c>
      <c r="N629" t="s">
        <v>38</v>
      </c>
      <c r="O629" t="s">
        <v>33</v>
      </c>
      <c r="P629">
        <v>0</v>
      </c>
      <c r="Q629">
        <v>0</v>
      </c>
      <c r="R629">
        <v>0</v>
      </c>
      <c r="S629" t="s">
        <v>99</v>
      </c>
      <c r="T629" t="s">
        <v>997</v>
      </c>
      <c r="U629">
        <v>1</v>
      </c>
    </row>
    <row r="630" spans="1:21" x14ac:dyDescent="0.3">
      <c r="A630" t="s">
        <v>995</v>
      </c>
      <c r="B630" t="s">
        <v>996</v>
      </c>
      <c r="C630" t="s">
        <v>251</v>
      </c>
      <c r="D630" t="s">
        <v>233</v>
      </c>
      <c r="E630" t="s">
        <v>30</v>
      </c>
      <c r="F630" s="6">
        <v>45107</v>
      </c>
      <c r="G630">
        <v>90</v>
      </c>
      <c r="H630">
        <v>100</v>
      </c>
      <c r="I630">
        <v>1</v>
      </c>
      <c r="J630">
        <v>1</v>
      </c>
      <c r="K630" t="s">
        <v>31</v>
      </c>
      <c r="L630" t="s">
        <v>31</v>
      </c>
      <c r="M630">
        <v>2023</v>
      </c>
      <c r="N630" t="s">
        <v>44</v>
      </c>
      <c r="O630" t="s">
        <v>33</v>
      </c>
      <c r="P630">
        <v>0</v>
      </c>
      <c r="Q630">
        <v>0</v>
      </c>
      <c r="R630">
        <v>0</v>
      </c>
      <c r="S630" t="s">
        <v>99</v>
      </c>
      <c r="T630" t="s">
        <v>998</v>
      </c>
      <c r="U630">
        <v>1</v>
      </c>
    </row>
    <row r="631" spans="1:21" x14ac:dyDescent="0.3">
      <c r="A631" t="s">
        <v>995</v>
      </c>
      <c r="B631" t="s">
        <v>996</v>
      </c>
      <c r="C631" t="s">
        <v>251</v>
      </c>
      <c r="D631" t="s">
        <v>233</v>
      </c>
      <c r="E631" t="s">
        <v>30</v>
      </c>
      <c r="F631" s="6">
        <v>45199</v>
      </c>
      <c r="G631">
        <v>90</v>
      </c>
      <c r="H631">
        <v>100</v>
      </c>
      <c r="I631">
        <v>1</v>
      </c>
      <c r="J631">
        <v>1</v>
      </c>
      <c r="K631" t="s">
        <v>31</v>
      </c>
      <c r="L631" t="s">
        <v>31</v>
      </c>
      <c r="M631">
        <v>2023</v>
      </c>
      <c r="N631" t="s">
        <v>51</v>
      </c>
      <c r="O631" t="s">
        <v>47</v>
      </c>
      <c r="P631">
        <v>0</v>
      </c>
      <c r="Q631">
        <v>0</v>
      </c>
      <c r="R631">
        <v>0</v>
      </c>
      <c r="S631" t="s">
        <v>99</v>
      </c>
      <c r="T631" t="s">
        <v>999</v>
      </c>
      <c r="U631">
        <v>1</v>
      </c>
    </row>
    <row r="632" spans="1:21" x14ac:dyDescent="0.3">
      <c r="A632" t="s">
        <v>995</v>
      </c>
      <c r="B632" t="s">
        <v>996</v>
      </c>
      <c r="C632" t="s">
        <v>251</v>
      </c>
      <c r="D632" t="s">
        <v>233</v>
      </c>
      <c r="E632" t="s">
        <v>30</v>
      </c>
      <c r="F632" s="6">
        <v>45291</v>
      </c>
      <c r="G632">
        <v>90</v>
      </c>
      <c r="H632">
        <v>100</v>
      </c>
      <c r="I632">
        <v>1</v>
      </c>
      <c r="J632">
        <v>1</v>
      </c>
      <c r="K632" t="s">
        <v>31</v>
      </c>
      <c r="L632" t="s">
        <v>31</v>
      </c>
      <c r="M632">
        <v>2023</v>
      </c>
      <c r="N632" t="s">
        <v>57</v>
      </c>
      <c r="O632" t="s">
        <v>47</v>
      </c>
      <c r="P632">
        <v>0</v>
      </c>
      <c r="Q632">
        <v>0</v>
      </c>
      <c r="R632">
        <v>0</v>
      </c>
      <c r="S632" t="s">
        <v>99</v>
      </c>
      <c r="T632" t="s">
        <v>1000</v>
      </c>
      <c r="U632">
        <v>1</v>
      </c>
    </row>
    <row r="633" spans="1:21" x14ac:dyDescent="0.3">
      <c r="A633" t="s">
        <v>995</v>
      </c>
      <c r="B633" t="s">
        <v>996</v>
      </c>
      <c r="C633" t="s">
        <v>251</v>
      </c>
      <c r="D633" t="s">
        <v>233</v>
      </c>
      <c r="E633" t="s">
        <v>30</v>
      </c>
      <c r="F633" s="6">
        <v>45382</v>
      </c>
      <c r="G633">
        <v>95</v>
      </c>
      <c r="H633">
        <v>100</v>
      </c>
      <c r="I633">
        <v>1</v>
      </c>
      <c r="J633">
        <v>1</v>
      </c>
      <c r="K633" t="s">
        <v>31</v>
      </c>
      <c r="L633" t="s">
        <v>31</v>
      </c>
      <c r="M633">
        <v>2024</v>
      </c>
      <c r="N633" t="s">
        <v>38</v>
      </c>
      <c r="O633" t="s">
        <v>71</v>
      </c>
      <c r="P633">
        <v>0</v>
      </c>
      <c r="Q633">
        <v>0</v>
      </c>
      <c r="R633">
        <v>0</v>
      </c>
      <c r="S633" t="s">
        <v>99</v>
      </c>
      <c r="T633" t="s">
        <v>1001</v>
      </c>
      <c r="U633">
        <v>1</v>
      </c>
    </row>
    <row r="634" spans="1:21" x14ac:dyDescent="0.3">
      <c r="A634" t="s">
        <v>995</v>
      </c>
      <c r="B634" t="s">
        <v>996</v>
      </c>
      <c r="C634" t="s">
        <v>251</v>
      </c>
      <c r="D634" t="s">
        <v>233</v>
      </c>
      <c r="E634" t="s">
        <v>30</v>
      </c>
      <c r="F634" s="6">
        <v>45473</v>
      </c>
      <c r="G634">
        <v>95</v>
      </c>
      <c r="H634">
        <v>100</v>
      </c>
      <c r="I634">
        <v>1</v>
      </c>
      <c r="J634">
        <v>1</v>
      </c>
      <c r="K634" t="s">
        <v>31</v>
      </c>
      <c r="L634" t="s">
        <v>31</v>
      </c>
      <c r="M634">
        <v>2024</v>
      </c>
      <c r="N634" t="s">
        <v>44</v>
      </c>
      <c r="O634" t="s">
        <v>71</v>
      </c>
      <c r="P634">
        <v>0</v>
      </c>
      <c r="Q634">
        <v>0</v>
      </c>
      <c r="R634">
        <v>0</v>
      </c>
      <c r="S634" t="s">
        <v>99</v>
      </c>
      <c r="T634" t="s">
        <v>1002</v>
      </c>
      <c r="U634">
        <v>1</v>
      </c>
    </row>
    <row r="635" spans="1:21" x14ac:dyDescent="0.3">
      <c r="A635" t="s">
        <v>995</v>
      </c>
      <c r="B635" t="s">
        <v>996</v>
      </c>
      <c r="C635" t="s">
        <v>251</v>
      </c>
      <c r="D635" t="s">
        <v>233</v>
      </c>
      <c r="E635" t="s">
        <v>30</v>
      </c>
      <c r="F635" s="6">
        <v>45565</v>
      </c>
      <c r="G635">
        <v>95</v>
      </c>
      <c r="H635">
        <v>100</v>
      </c>
      <c r="I635">
        <v>1</v>
      </c>
      <c r="J635">
        <v>1</v>
      </c>
      <c r="K635" t="s">
        <v>31</v>
      </c>
      <c r="L635" t="s">
        <v>31</v>
      </c>
      <c r="M635">
        <v>2024</v>
      </c>
      <c r="N635" t="s">
        <v>51</v>
      </c>
      <c r="O635" t="s">
        <v>78</v>
      </c>
      <c r="P635">
        <v>0</v>
      </c>
      <c r="Q635">
        <v>0</v>
      </c>
      <c r="R635">
        <v>0</v>
      </c>
      <c r="S635" t="s">
        <v>99</v>
      </c>
      <c r="T635" t="s">
        <v>1003</v>
      </c>
      <c r="U635">
        <v>1</v>
      </c>
    </row>
    <row r="636" spans="1:21" x14ac:dyDescent="0.3">
      <c r="A636" t="s">
        <v>995</v>
      </c>
      <c r="B636" t="s">
        <v>996</v>
      </c>
      <c r="C636" t="s">
        <v>251</v>
      </c>
      <c r="D636" t="s">
        <v>233</v>
      </c>
      <c r="E636" t="s">
        <v>30</v>
      </c>
      <c r="F636" s="6">
        <v>45657</v>
      </c>
      <c r="G636">
        <v>95</v>
      </c>
      <c r="H636">
        <v>100</v>
      </c>
      <c r="I636">
        <v>1</v>
      </c>
      <c r="J636">
        <v>1</v>
      </c>
      <c r="K636" t="s">
        <v>31</v>
      </c>
      <c r="L636" t="s">
        <v>31</v>
      </c>
      <c r="M636">
        <v>2024</v>
      </c>
      <c r="N636" t="s">
        <v>57</v>
      </c>
      <c r="O636" t="s">
        <v>78</v>
      </c>
      <c r="P636">
        <v>0</v>
      </c>
      <c r="Q636">
        <v>0</v>
      </c>
      <c r="R636">
        <v>0</v>
      </c>
      <c r="S636" t="s">
        <v>99</v>
      </c>
      <c r="T636" t="s">
        <v>1004</v>
      </c>
      <c r="U636">
        <v>1</v>
      </c>
    </row>
    <row r="637" spans="1:21" x14ac:dyDescent="0.3">
      <c r="A637" t="s">
        <v>995</v>
      </c>
      <c r="B637" t="s">
        <v>996</v>
      </c>
      <c r="C637" t="s">
        <v>251</v>
      </c>
      <c r="D637" t="s">
        <v>233</v>
      </c>
      <c r="E637" t="s">
        <v>30</v>
      </c>
      <c r="F637" s="6">
        <v>45747</v>
      </c>
      <c r="G637">
        <v>97</v>
      </c>
      <c r="H637" t="s">
        <v>95</v>
      </c>
      <c r="I637">
        <v>1.0309278350515461</v>
      </c>
      <c r="J637">
        <v>1.0309278350515461</v>
      </c>
      <c r="K637" t="s">
        <v>1005</v>
      </c>
      <c r="L637" t="s">
        <v>102</v>
      </c>
      <c r="M637">
        <v>2025</v>
      </c>
      <c r="N637" t="s">
        <v>38</v>
      </c>
      <c r="O637" t="s">
        <v>244</v>
      </c>
      <c r="P637">
        <v>2</v>
      </c>
      <c r="Q637">
        <v>2</v>
      </c>
      <c r="R637">
        <v>0</v>
      </c>
      <c r="S637" t="s">
        <v>336</v>
      </c>
      <c r="T637" t="s">
        <v>1006</v>
      </c>
      <c r="U637">
        <v>31</v>
      </c>
    </row>
    <row r="638" spans="1:21" x14ac:dyDescent="0.3">
      <c r="A638" t="s">
        <v>995</v>
      </c>
      <c r="B638" t="s">
        <v>996</v>
      </c>
      <c r="C638" t="s">
        <v>251</v>
      </c>
      <c r="D638" t="s">
        <v>233</v>
      </c>
      <c r="E638" t="s">
        <v>30</v>
      </c>
      <c r="F638" s="6">
        <v>45838</v>
      </c>
      <c r="G638">
        <v>97</v>
      </c>
      <c r="H638" t="s">
        <v>1007</v>
      </c>
      <c r="I638">
        <v>0.99412371134020627</v>
      </c>
      <c r="J638">
        <v>0.99412371134020627</v>
      </c>
      <c r="K638" t="s">
        <v>1005</v>
      </c>
      <c r="L638" t="s">
        <v>1008</v>
      </c>
      <c r="M638">
        <v>2025</v>
      </c>
      <c r="N638" t="s">
        <v>44</v>
      </c>
      <c r="O638" t="s">
        <v>244</v>
      </c>
      <c r="P638">
        <v>2</v>
      </c>
      <c r="Q638">
        <v>2</v>
      </c>
      <c r="R638">
        <v>0</v>
      </c>
      <c r="S638" t="s">
        <v>336</v>
      </c>
      <c r="T638" t="s">
        <v>1009</v>
      </c>
      <c r="U638">
        <v>30</v>
      </c>
    </row>
    <row r="639" spans="1:21" x14ac:dyDescent="0.3">
      <c r="A639" t="s">
        <v>995</v>
      </c>
      <c r="B639" t="s">
        <v>996</v>
      </c>
      <c r="C639" t="s">
        <v>251</v>
      </c>
      <c r="D639" t="s">
        <v>233</v>
      </c>
      <c r="E639" t="s">
        <v>30</v>
      </c>
      <c r="F639" s="6">
        <v>46022</v>
      </c>
      <c r="G639">
        <v>97</v>
      </c>
      <c r="H639" t="s">
        <v>95</v>
      </c>
      <c r="I639">
        <v>1.0309278350515461</v>
      </c>
      <c r="J639">
        <v>1.0309278350515461</v>
      </c>
      <c r="K639" t="s">
        <v>1005</v>
      </c>
      <c r="L639" t="s">
        <v>102</v>
      </c>
      <c r="M639">
        <v>2025</v>
      </c>
      <c r="N639" t="s">
        <v>57</v>
      </c>
      <c r="O639" t="s">
        <v>103</v>
      </c>
      <c r="P639">
        <v>2</v>
      </c>
      <c r="Q639">
        <v>2</v>
      </c>
      <c r="R639">
        <v>0</v>
      </c>
      <c r="S639" t="s">
        <v>336</v>
      </c>
      <c r="T639" t="s">
        <v>1010</v>
      </c>
      <c r="U639">
        <v>31</v>
      </c>
    </row>
    <row r="640" spans="1:21" x14ac:dyDescent="0.3">
      <c r="A640" t="s">
        <v>1011</v>
      </c>
      <c r="B640" t="s">
        <v>1012</v>
      </c>
      <c r="C640" t="s">
        <v>262</v>
      </c>
      <c r="D640" t="s">
        <v>222</v>
      </c>
      <c r="E640" t="s">
        <v>30</v>
      </c>
      <c r="F640" s="6">
        <v>45107</v>
      </c>
      <c r="G640">
        <v>70</v>
      </c>
      <c r="H640">
        <v>87.67</v>
      </c>
      <c r="I640">
        <v>1.252428571428571</v>
      </c>
      <c r="J640">
        <v>1.252428571428571</v>
      </c>
      <c r="K640" t="s">
        <v>31</v>
      </c>
      <c r="L640" t="s">
        <v>31</v>
      </c>
      <c r="M640">
        <v>2023</v>
      </c>
      <c r="N640" t="s">
        <v>44</v>
      </c>
      <c r="O640" t="s">
        <v>33</v>
      </c>
      <c r="P640">
        <v>0</v>
      </c>
      <c r="Q640">
        <v>0</v>
      </c>
      <c r="R640">
        <v>0</v>
      </c>
      <c r="S640" t="s">
        <v>99</v>
      </c>
      <c r="T640" t="s">
        <v>1013</v>
      </c>
      <c r="U640">
        <v>1</v>
      </c>
    </row>
    <row r="641" spans="1:21" x14ac:dyDescent="0.3">
      <c r="A641" t="s">
        <v>1011</v>
      </c>
      <c r="B641" t="s">
        <v>1012</v>
      </c>
      <c r="C641" t="s">
        <v>262</v>
      </c>
      <c r="D641" t="s">
        <v>222</v>
      </c>
      <c r="E641" t="s">
        <v>30</v>
      </c>
      <c r="F641" s="6">
        <v>45291</v>
      </c>
      <c r="G641">
        <v>70</v>
      </c>
      <c r="H641">
        <v>87.67</v>
      </c>
      <c r="I641">
        <v>1.252428571428571</v>
      </c>
      <c r="J641">
        <v>1.252428571428571</v>
      </c>
      <c r="K641" t="s">
        <v>31</v>
      </c>
      <c r="L641" t="s">
        <v>31</v>
      </c>
      <c r="M641">
        <v>2023</v>
      </c>
      <c r="N641" t="s">
        <v>57</v>
      </c>
      <c r="O641" t="s">
        <v>47</v>
      </c>
      <c r="P641">
        <v>0</v>
      </c>
      <c r="Q641">
        <v>0</v>
      </c>
      <c r="R641">
        <v>0</v>
      </c>
      <c r="S641" t="s">
        <v>99</v>
      </c>
      <c r="T641" t="s">
        <v>1014</v>
      </c>
      <c r="U641">
        <v>1</v>
      </c>
    </row>
    <row r="642" spans="1:21" x14ac:dyDescent="0.3">
      <c r="A642" t="s">
        <v>1011</v>
      </c>
      <c r="B642" t="s">
        <v>1012</v>
      </c>
      <c r="C642" t="s">
        <v>262</v>
      </c>
      <c r="D642" t="s">
        <v>222</v>
      </c>
      <c r="E642" t="s">
        <v>30</v>
      </c>
      <c r="F642" s="6">
        <v>45473</v>
      </c>
      <c r="G642">
        <v>80</v>
      </c>
      <c r="H642">
        <v>92.19</v>
      </c>
      <c r="I642">
        <v>1.1523749999999999</v>
      </c>
      <c r="J642">
        <v>1.1523749999999999</v>
      </c>
      <c r="K642" t="s">
        <v>31</v>
      </c>
      <c r="L642" t="s">
        <v>31</v>
      </c>
      <c r="M642">
        <v>2024</v>
      </c>
      <c r="N642" t="s">
        <v>44</v>
      </c>
      <c r="O642" t="s">
        <v>71</v>
      </c>
      <c r="P642">
        <v>0</v>
      </c>
      <c r="Q642">
        <v>0</v>
      </c>
      <c r="R642">
        <v>0</v>
      </c>
      <c r="S642" t="s">
        <v>99</v>
      </c>
      <c r="T642" t="s">
        <v>1015</v>
      </c>
      <c r="U642">
        <v>1</v>
      </c>
    </row>
    <row r="643" spans="1:21" x14ac:dyDescent="0.3">
      <c r="A643" t="s">
        <v>1011</v>
      </c>
      <c r="B643" t="s">
        <v>1012</v>
      </c>
      <c r="C643" t="s">
        <v>262</v>
      </c>
      <c r="D643" t="s">
        <v>222</v>
      </c>
      <c r="E643" t="s">
        <v>30</v>
      </c>
      <c r="F643" s="6">
        <v>45657</v>
      </c>
      <c r="G643">
        <v>80</v>
      </c>
      <c r="H643">
        <v>92.81</v>
      </c>
      <c r="I643">
        <v>1.1601250000000001</v>
      </c>
      <c r="J643">
        <v>1.1601250000000001</v>
      </c>
      <c r="K643" t="s">
        <v>31</v>
      </c>
      <c r="L643" t="s">
        <v>31</v>
      </c>
      <c r="M643">
        <v>2024</v>
      </c>
      <c r="N643" t="s">
        <v>57</v>
      </c>
      <c r="O643" t="s">
        <v>78</v>
      </c>
      <c r="P643">
        <v>0</v>
      </c>
      <c r="Q643">
        <v>0</v>
      </c>
      <c r="R643">
        <v>0</v>
      </c>
      <c r="S643" t="s">
        <v>99</v>
      </c>
      <c r="T643" t="s">
        <v>1016</v>
      </c>
      <c r="U643">
        <v>1</v>
      </c>
    </row>
    <row r="644" spans="1:21" x14ac:dyDescent="0.3">
      <c r="A644" t="s">
        <v>1011</v>
      </c>
      <c r="B644" t="s">
        <v>1012</v>
      </c>
      <c r="C644" t="s">
        <v>262</v>
      </c>
      <c r="D644" t="s">
        <v>222</v>
      </c>
      <c r="E644" t="s">
        <v>30</v>
      </c>
      <c r="F644" s="6">
        <v>45838</v>
      </c>
      <c r="G644">
        <v>80</v>
      </c>
      <c r="H644" t="s">
        <v>1017</v>
      </c>
      <c r="I644">
        <v>1.1512500000000001</v>
      </c>
      <c r="J644">
        <v>1.1512500000000001</v>
      </c>
      <c r="K644" t="s">
        <v>193</v>
      </c>
      <c r="L644" t="s">
        <v>1018</v>
      </c>
      <c r="M644">
        <v>2025</v>
      </c>
      <c r="N644" t="s">
        <v>44</v>
      </c>
      <c r="O644" t="s">
        <v>244</v>
      </c>
      <c r="P644">
        <v>2</v>
      </c>
      <c r="Q644">
        <v>2</v>
      </c>
      <c r="R644">
        <v>0</v>
      </c>
      <c r="S644" t="s">
        <v>104</v>
      </c>
      <c r="T644" t="s">
        <v>1019</v>
      </c>
      <c r="U644">
        <v>30</v>
      </c>
    </row>
    <row r="645" spans="1:21" x14ac:dyDescent="0.3">
      <c r="A645" t="s">
        <v>1011</v>
      </c>
      <c r="B645" t="s">
        <v>1012</v>
      </c>
      <c r="C645" t="s">
        <v>262</v>
      </c>
      <c r="D645" t="s">
        <v>222</v>
      </c>
      <c r="E645" t="s">
        <v>30</v>
      </c>
      <c r="F645" s="6">
        <v>46022</v>
      </c>
      <c r="G645">
        <v>80</v>
      </c>
      <c r="H645" t="s">
        <v>1020</v>
      </c>
      <c r="I645">
        <v>1.161125</v>
      </c>
      <c r="J645">
        <v>1.161125</v>
      </c>
      <c r="K645" t="s">
        <v>193</v>
      </c>
      <c r="L645" t="s">
        <v>1021</v>
      </c>
      <c r="M645">
        <v>2025</v>
      </c>
      <c r="N645" t="s">
        <v>57</v>
      </c>
      <c r="O645" t="s">
        <v>103</v>
      </c>
      <c r="P645">
        <v>2</v>
      </c>
      <c r="Q645">
        <v>2</v>
      </c>
      <c r="R645">
        <v>0</v>
      </c>
      <c r="S645" t="s">
        <v>104</v>
      </c>
      <c r="T645" t="s">
        <v>1022</v>
      </c>
      <c r="U645">
        <v>31</v>
      </c>
    </row>
    <row r="646" spans="1:21" x14ac:dyDescent="0.3">
      <c r="A646" t="s">
        <v>1023</v>
      </c>
      <c r="B646" t="s">
        <v>1024</v>
      </c>
      <c r="C646" t="s">
        <v>262</v>
      </c>
      <c r="D646" t="s">
        <v>29</v>
      </c>
      <c r="E646" t="s">
        <v>30</v>
      </c>
      <c r="F646" s="6">
        <v>44742</v>
      </c>
      <c r="G646">
        <v>33</v>
      </c>
      <c r="H646">
        <v>33</v>
      </c>
      <c r="I646">
        <v>1</v>
      </c>
      <c r="J646">
        <v>1</v>
      </c>
      <c r="K646" t="s">
        <v>31</v>
      </c>
      <c r="L646" t="s">
        <v>31</v>
      </c>
      <c r="M646">
        <v>2022</v>
      </c>
      <c r="N646" t="s">
        <v>44</v>
      </c>
      <c r="O646" t="s">
        <v>88</v>
      </c>
      <c r="P646">
        <v>0</v>
      </c>
      <c r="Q646">
        <v>0</v>
      </c>
      <c r="R646">
        <v>0</v>
      </c>
      <c r="S646" t="s">
        <v>34</v>
      </c>
      <c r="T646" t="s">
        <v>1025</v>
      </c>
      <c r="U646">
        <v>1</v>
      </c>
    </row>
    <row r="647" spans="1:21" x14ac:dyDescent="0.3">
      <c r="A647" t="s">
        <v>1023</v>
      </c>
      <c r="B647" t="s">
        <v>1024</v>
      </c>
      <c r="C647" t="s">
        <v>262</v>
      </c>
      <c r="D647" t="s">
        <v>29</v>
      </c>
      <c r="E647" t="s">
        <v>30</v>
      </c>
      <c r="F647" s="6">
        <v>44926</v>
      </c>
      <c r="G647">
        <v>66</v>
      </c>
      <c r="H647">
        <v>69</v>
      </c>
      <c r="I647">
        <v>1.045454545454545</v>
      </c>
      <c r="J647">
        <v>1.0454545454545501</v>
      </c>
      <c r="K647" t="s">
        <v>31</v>
      </c>
      <c r="L647" t="s">
        <v>31</v>
      </c>
      <c r="M647">
        <v>2022</v>
      </c>
      <c r="N647" t="s">
        <v>57</v>
      </c>
      <c r="O647" t="s">
        <v>90</v>
      </c>
      <c r="P647">
        <v>0</v>
      </c>
      <c r="Q647">
        <v>0</v>
      </c>
      <c r="R647">
        <v>0</v>
      </c>
      <c r="S647" t="s">
        <v>34</v>
      </c>
      <c r="T647" t="s">
        <v>1026</v>
      </c>
      <c r="U647">
        <v>1</v>
      </c>
    </row>
    <row r="648" spans="1:21" x14ac:dyDescent="0.3">
      <c r="A648" t="s">
        <v>1023</v>
      </c>
      <c r="B648" t="s">
        <v>1024</v>
      </c>
      <c r="C648" t="s">
        <v>262</v>
      </c>
      <c r="D648" t="s">
        <v>29</v>
      </c>
      <c r="E648" t="s">
        <v>30</v>
      </c>
      <c r="F648" s="6">
        <v>44957</v>
      </c>
      <c r="G648">
        <v>77</v>
      </c>
      <c r="H648">
        <v>79</v>
      </c>
      <c r="I648">
        <v>1.025974025974026</v>
      </c>
      <c r="J648">
        <v>1.025974025974026</v>
      </c>
      <c r="K648" t="s">
        <v>31</v>
      </c>
      <c r="L648" t="s">
        <v>31</v>
      </c>
      <c r="M648">
        <v>2023</v>
      </c>
      <c r="N648" t="s">
        <v>32</v>
      </c>
      <c r="O648" t="s">
        <v>33</v>
      </c>
      <c r="P648">
        <v>0</v>
      </c>
      <c r="Q648">
        <v>0</v>
      </c>
      <c r="R648">
        <v>0</v>
      </c>
      <c r="S648" t="s">
        <v>34</v>
      </c>
      <c r="T648" t="s">
        <v>1027</v>
      </c>
      <c r="U648">
        <v>1</v>
      </c>
    </row>
    <row r="649" spans="1:21" x14ac:dyDescent="0.3">
      <c r="A649" t="s">
        <v>1023</v>
      </c>
      <c r="B649" t="s">
        <v>1024</v>
      </c>
      <c r="C649" t="s">
        <v>262</v>
      </c>
      <c r="D649" t="s">
        <v>29</v>
      </c>
      <c r="E649" t="s">
        <v>30</v>
      </c>
      <c r="F649" s="6">
        <v>44985</v>
      </c>
      <c r="G649">
        <v>84</v>
      </c>
      <c r="H649">
        <v>82</v>
      </c>
      <c r="I649">
        <v>0.97619047619047616</v>
      </c>
      <c r="J649">
        <v>0.97619047619047616</v>
      </c>
      <c r="K649" t="s">
        <v>31</v>
      </c>
      <c r="L649" t="s">
        <v>31</v>
      </c>
      <c r="M649">
        <v>2023</v>
      </c>
      <c r="N649" t="s">
        <v>36</v>
      </c>
      <c r="O649" t="s">
        <v>33</v>
      </c>
      <c r="P649">
        <v>0</v>
      </c>
      <c r="Q649">
        <v>0</v>
      </c>
      <c r="R649">
        <v>0</v>
      </c>
      <c r="S649" t="s">
        <v>34</v>
      </c>
      <c r="T649" t="s">
        <v>1028</v>
      </c>
      <c r="U649">
        <v>1</v>
      </c>
    </row>
    <row r="650" spans="1:21" x14ac:dyDescent="0.3">
      <c r="A650" t="s">
        <v>1023</v>
      </c>
      <c r="B650" t="s">
        <v>1024</v>
      </c>
      <c r="C650" t="s">
        <v>262</v>
      </c>
      <c r="D650" t="s">
        <v>29</v>
      </c>
      <c r="E650" t="s">
        <v>30</v>
      </c>
      <c r="F650" s="6">
        <v>45016</v>
      </c>
      <c r="G650">
        <v>84</v>
      </c>
      <c r="H650">
        <v>88</v>
      </c>
      <c r="I650">
        <v>1.0476190476190479</v>
      </c>
      <c r="J650">
        <v>1.0476190476190479</v>
      </c>
      <c r="K650" t="s">
        <v>31</v>
      </c>
      <c r="L650" t="s">
        <v>31</v>
      </c>
      <c r="M650">
        <v>2023</v>
      </c>
      <c r="N650" t="s">
        <v>38</v>
      </c>
      <c r="O650" t="s">
        <v>33</v>
      </c>
      <c r="P650">
        <v>0</v>
      </c>
      <c r="Q650">
        <v>0</v>
      </c>
      <c r="R650">
        <v>0</v>
      </c>
      <c r="S650" t="s">
        <v>34</v>
      </c>
      <c r="T650" t="s">
        <v>1029</v>
      </c>
      <c r="U650">
        <v>1</v>
      </c>
    </row>
    <row r="651" spans="1:21" x14ac:dyDescent="0.3">
      <c r="A651" t="s">
        <v>1023</v>
      </c>
      <c r="B651" t="s">
        <v>1024</v>
      </c>
      <c r="C651" t="s">
        <v>262</v>
      </c>
      <c r="D651" t="s">
        <v>29</v>
      </c>
      <c r="E651" t="s">
        <v>30</v>
      </c>
      <c r="F651" s="6">
        <v>45046</v>
      </c>
      <c r="G651">
        <v>91</v>
      </c>
      <c r="H651">
        <v>89</v>
      </c>
      <c r="I651">
        <v>0.97802197802197799</v>
      </c>
      <c r="J651">
        <v>0.97802197802197799</v>
      </c>
      <c r="K651" t="s">
        <v>31</v>
      </c>
      <c r="L651" t="s">
        <v>31</v>
      </c>
      <c r="M651">
        <v>2023</v>
      </c>
      <c r="N651" t="s">
        <v>40</v>
      </c>
      <c r="O651" t="s">
        <v>33</v>
      </c>
      <c r="P651">
        <v>0</v>
      </c>
      <c r="Q651">
        <v>0</v>
      </c>
      <c r="R651">
        <v>0</v>
      </c>
      <c r="S651" t="s">
        <v>34</v>
      </c>
      <c r="T651" t="s">
        <v>1030</v>
      </c>
      <c r="U651">
        <v>1</v>
      </c>
    </row>
    <row r="652" spans="1:21" x14ac:dyDescent="0.3">
      <c r="A652" t="s">
        <v>1023</v>
      </c>
      <c r="B652" t="s">
        <v>1024</v>
      </c>
      <c r="C652" t="s">
        <v>262</v>
      </c>
      <c r="D652" t="s">
        <v>29</v>
      </c>
      <c r="E652" t="s">
        <v>30</v>
      </c>
      <c r="F652" s="6">
        <v>45077</v>
      </c>
      <c r="G652">
        <v>97</v>
      </c>
      <c r="H652">
        <v>91</v>
      </c>
      <c r="I652">
        <v>0.93814432989690721</v>
      </c>
      <c r="J652">
        <v>0.93814432989690721</v>
      </c>
      <c r="K652" t="s">
        <v>31</v>
      </c>
      <c r="L652" t="s">
        <v>31</v>
      </c>
      <c r="M652">
        <v>2023</v>
      </c>
      <c r="N652" t="s">
        <v>42</v>
      </c>
      <c r="O652" t="s">
        <v>33</v>
      </c>
      <c r="P652">
        <v>0</v>
      </c>
      <c r="Q652">
        <v>0</v>
      </c>
      <c r="R652">
        <v>0</v>
      </c>
      <c r="S652" t="s">
        <v>34</v>
      </c>
      <c r="T652" t="s">
        <v>1031</v>
      </c>
      <c r="U652">
        <v>1</v>
      </c>
    </row>
    <row r="653" spans="1:21" x14ac:dyDescent="0.3">
      <c r="A653" t="s">
        <v>1023</v>
      </c>
      <c r="B653" t="s">
        <v>1024</v>
      </c>
      <c r="C653" t="s">
        <v>262</v>
      </c>
      <c r="D653" t="s">
        <v>29</v>
      </c>
      <c r="E653" t="s">
        <v>30</v>
      </c>
      <c r="F653" s="6">
        <v>45107</v>
      </c>
      <c r="G653">
        <v>97</v>
      </c>
      <c r="H653">
        <v>94</v>
      </c>
      <c r="I653">
        <v>0.96907216494845361</v>
      </c>
      <c r="J653">
        <v>0.96907216494845361</v>
      </c>
      <c r="K653" t="s">
        <v>31</v>
      </c>
      <c r="L653" t="s">
        <v>31</v>
      </c>
      <c r="M653">
        <v>2023</v>
      </c>
      <c r="N653" t="s">
        <v>44</v>
      </c>
      <c r="O653" t="s">
        <v>33</v>
      </c>
      <c r="P653">
        <v>0</v>
      </c>
      <c r="Q653">
        <v>0</v>
      </c>
      <c r="R653">
        <v>0</v>
      </c>
      <c r="S653" t="s">
        <v>34</v>
      </c>
      <c r="T653" t="s">
        <v>1032</v>
      </c>
      <c r="U653">
        <v>1</v>
      </c>
    </row>
    <row r="654" spans="1:21" x14ac:dyDescent="0.3">
      <c r="A654" t="s">
        <v>1023</v>
      </c>
      <c r="B654" t="s">
        <v>1024</v>
      </c>
      <c r="C654" t="s">
        <v>262</v>
      </c>
      <c r="D654" t="s">
        <v>29</v>
      </c>
      <c r="E654" t="s">
        <v>30</v>
      </c>
      <c r="F654" s="6">
        <v>45138</v>
      </c>
      <c r="G654">
        <v>100</v>
      </c>
      <c r="H654">
        <v>98</v>
      </c>
      <c r="I654">
        <v>0.98</v>
      </c>
      <c r="J654">
        <v>0.98</v>
      </c>
      <c r="K654" t="s">
        <v>31</v>
      </c>
      <c r="L654" t="s">
        <v>31</v>
      </c>
      <c r="M654">
        <v>2023</v>
      </c>
      <c r="N654" t="s">
        <v>46</v>
      </c>
      <c r="O654" t="s">
        <v>47</v>
      </c>
      <c r="P654">
        <v>0</v>
      </c>
      <c r="Q654">
        <v>0</v>
      </c>
      <c r="R654">
        <v>0</v>
      </c>
      <c r="S654" t="s">
        <v>34</v>
      </c>
      <c r="T654" t="s">
        <v>1033</v>
      </c>
      <c r="U654">
        <v>1</v>
      </c>
    </row>
    <row r="655" spans="1:21" x14ac:dyDescent="0.3">
      <c r="A655" t="s">
        <v>1023</v>
      </c>
      <c r="B655" t="s">
        <v>1024</v>
      </c>
      <c r="C655" t="s">
        <v>262</v>
      </c>
      <c r="D655" t="s">
        <v>29</v>
      </c>
      <c r="E655" t="s">
        <v>30</v>
      </c>
      <c r="F655" s="6">
        <v>45169</v>
      </c>
      <c r="G655">
        <v>100</v>
      </c>
      <c r="H655">
        <v>99</v>
      </c>
      <c r="I655">
        <v>0.99</v>
      </c>
      <c r="J655">
        <v>0.99</v>
      </c>
      <c r="K655" t="s">
        <v>31</v>
      </c>
      <c r="L655" t="s">
        <v>31</v>
      </c>
      <c r="M655">
        <v>2023</v>
      </c>
      <c r="N655" t="s">
        <v>49</v>
      </c>
      <c r="O655" t="s">
        <v>47</v>
      </c>
      <c r="P655">
        <v>0</v>
      </c>
      <c r="Q655">
        <v>0</v>
      </c>
      <c r="R655">
        <v>0</v>
      </c>
      <c r="S655" t="s">
        <v>34</v>
      </c>
      <c r="T655" t="s">
        <v>1034</v>
      </c>
      <c r="U655">
        <v>1</v>
      </c>
    </row>
    <row r="656" spans="1:21" x14ac:dyDescent="0.3">
      <c r="A656" t="s">
        <v>1023</v>
      </c>
      <c r="B656" t="s">
        <v>1024</v>
      </c>
      <c r="C656" t="s">
        <v>262</v>
      </c>
      <c r="D656" t="s">
        <v>29</v>
      </c>
      <c r="E656" t="s">
        <v>30</v>
      </c>
      <c r="F656" s="6">
        <v>45199</v>
      </c>
      <c r="G656">
        <v>100</v>
      </c>
      <c r="H656">
        <v>98</v>
      </c>
      <c r="I656">
        <v>0.98</v>
      </c>
      <c r="J656">
        <v>0.98</v>
      </c>
      <c r="K656" t="s">
        <v>31</v>
      </c>
      <c r="L656" t="s">
        <v>31</v>
      </c>
      <c r="M656">
        <v>2023</v>
      </c>
      <c r="N656" t="s">
        <v>51</v>
      </c>
      <c r="O656" t="s">
        <v>47</v>
      </c>
      <c r="P656">
        <v>0</v>
      </c>
      <c r="Q656">
        <v>0</v>
      </c>
      <c r="R656">
        <v>0</v>
      </c>
      <c r="S656" t="s">
        <v>34</v>
      </c>
      <c r="T656" t="s">
        <v>1035</v>
      </c>
      <c r="U656">
        <v>1</v>
      </c>
    </row>
    <row r="657" spans="1:21" x14ac:dyDescent="0.3">
      <c r="A657" t="s">
        <v>1023</v>
      </c>
      <c r="B657" t="s">
        <v>1024</v>
      </c>
      <c r="C657" t="s">
        <v>262</v>
      </c>
      <c r="D657" t="s">
        <v>29</v>
      </c>
      <c r="E657" t="s">
        <v>30</v>
      </c>
      <c r="F657" s="6">
        <v>45230</v>
      </c>
      <c r="G657">
        <v>100</v>
      </c>
      <c r="H657">
        <v>99</v>
      </c>
      <c r="I657">
        <v>0.99</v>
      </c>
      <c r="J657">
        <v>0.99</v>
      </c>
      <c r="K657" t="s">
        <v>31</v>
      </c>
      <c r="L657" t="s">
        <v>31</v>
      </c>
      <c r="M657">
        <v>2023</v>
      </c>
      <c r="N657" t="s">
        <v>53</v>
      </c>
      <c r="O657" t="s">
        <v>47</v>
      </c>
      <c r="P657">
        <v>0</v>
      </c>
      <c r="Q657">
        <v>0</v>
      </c>
      <c r="R657">
        <v>0</v>
      </c>
      <c r="S657" t="s">
        <v>34</v>
      </c>
      <c r="T657" t="s">
        <v>1036</v>
      </c>
      <c r="U657">
        <v>1</v>
      </c>
    </row>
    <row r="658" spans="1:21" x14ac:dyDescent="0.3">
      <c r="A658" t="s">
        <v>1023</v>
      </c>
      <c r="B658" t="s">
        <v>1024</v>
      </c>
      <c r="C658" t="s">
        <v>262</v>
      </c>
      <c r="D658" t="s">
        <v>29</v>
      </c>
      <c r="E658" t="s">
        <v>30</v>
      </c>
      <c r="F658" s="6">
        <v>45260</v>
      </c>
      <c r="G658">
        <v>100</v>
      </c>
      <c r="H658">
        <v>99</v>
      </c>
      <c r="I658">
        <v>0.99</v>
      </c>
      <c r="J658">
        <v>0.99</v>
      </c>
      <c r="K658" t="s">
        <v>31</v>
      </c>
      <c r="L658" t="s">
        <v>31</v>
      </c>
      <c r="M658">
        <v>2023</v>
      </c>
      <c r="N658" t="s">
        <v>55</v>
      </c>
      <c r="O658" t="s">
        <v>47</v>
      </c>
      <c r="P658">
        <v>0</v>
      </c>
      <c r="Q658">
        <v>0</v>
      </c>
      <c r="R658">
        <v>0</v>
      </c>
      <c r="S658" t="s">
        <v>34</v>
      </c>
      <c r="T658" t="s">
        <v>1037</v>
      </c>
      <c r="U658">
        <v>1</v>
      </c>
    </row>
    <row r="659" spans="1:21" x14ac:dyDescent="0.3">
      <c r="A659" t="s">
        <v>1023</v>
      </c>
      <c r="B659" t="s">
        <v>1024</v>
      </c>
      <c r="C659" t="s">
        <v>262</v>
      </c>
      <c r="D659" t="s">
        <v>29</v>
      </c>
      <c r="E659" t="s">
        <v>30</v>
      </c>
      <c r="F659" s="6">
        <v>45291</v>
      </c>
      <c r="G659">
        <v>100</v>
      </c>
      <c r="H659">
        <v>100</v>
      </c>
      <c r="I659">
        <v>1</v>
      </c>
      <c r="J659">
        <v>1</v>
      </c>
      <c r="K659" t="s">
        <v>31</v>
      </c>
      <c r="L659" t="s">
        <v>31</v>
      </c>
      <c r="M659">
        <v>2023</v>
      </c>
      <c r="N659" t="s">
        <v>57</v>
      </c>
      <c r="O659" t="s">
        <v>47</v>
      </c>
      <c r="P659">
        <v>0</v>
      </c>
      <c r="Q659">
        <v>0</v>
      </c>
      <c r="R659">
        <v>1</v>
      </c>
      <c r="S659" t="s">
        <v>99</v>
      </c>
      <c r="T659" t="s">
        <v>1038</v>
      </c>
      <c r="U659">
        <v>1</v>
      </c>
    </row>
    <row r="660" spans="1:21" x14ac:dyDescent="0.3">
      <c r="A660" t="s">
        <v>1039</v>
      </c>
      <c r="B660" t="s">
        <v>1040</v>
      </c>
      <c r="C660" t="s">
        <v>262</v>
      </c>
      <c r="D660" t="s">
        <v>98</v>
      </c>
      <c r="E660" t="s">
        <v>30</v>
      </c>
      <c r="F660" s="6">
        <v>45291</v>
      </c>
      <c r="H660">
        <v>90</v>
      </c>
      <c r="I660">
        <v>0.9</v>
      </c>
      <c r="K660" t="s">
        <v>1041</v>
      </c>
      <c r="L660" t="s">
        <v>31</v>
      </c>
      <c r="M660">
        <v>2023</v>
      </c>
      <c r="N660" t="s">
        <v>57</v>
      </c>
      <c r="O660" t="s">
        <v>47</v>
      </c>
      <c r="P660">
        <v>0</v>
      </c>
      <c r="Q660">
        <v>0</v>
      </c>
      <c r="R660">
        <v>1</v>
      </c>
      <c r="S660" t="s">
        <v>99</v>
      </c>
      <c r="T660" t="s">
        <v>1042</v>
      </c>
      <c r="U660">
        <v>1</v>
      </c>
    </row>
    <row r="661" spans="1:21" x14ac:dyDescent="0.3">
      <c r="A661" t="s">
        <v>1039</v>
      </c>
      <c r="B661" t="s">
        <v>1040</v>
      </c>
      <c r="C661" t="s">
        <v>262</v>
      </c>
      <c r="D661" t="s">
        <v>98</v>
      </c>
      <c r="E661" t="s">
        <v>30</v>
      </c>
      <c r="F661" s="6">
        <v>45657</v>
      </c>
      <c r="G661">
        <v>80</v>
      </c>
      <c r="H661">
        <v>87.4</v>
      </c>
      <c r="I661">
        <v>1.0925</v>
      </c>
      <c r="J661">
        <v>1.0925</v>
      </c>
      <c r="K661" t="s">
        <v>1041</v>
      </c>
      <c r="L661" t="s">
        <v>31</v>
      </c>
      <c r="M661">
        <v>2024</v>
      </c>
      <c r="N661" t="s">
        <v>57</v>
      </c>
      <c r="O661" t="s">
        <v>78</v>
      </c>
      <c r="P661">
        <v>0</v>
      </c>
      <c r="Q661">
        <v>0</v>
      </c>
      <c r="R661">
        <v>0</v>
      </c>
      <c r="S661" t="s">
        <v>99</v>
      </c>
      <c r="T661" t="s">
        <v>1043</v>
      </c>
      <c r="U661">
        <v>1</v>
      </c>
    </row>
    <row r="662" spans="1:21" x14ac:dyDescent="0.3">
      <c r="A662" t="s">
        <v>1039</v>
      </c>
      <c r="B662" t="s">
        <v>1040</v>
      </c>
      <c r="C662" t="s">
        <v>262</v>
      </c>
      <c r="D662" t="s">
        <v>98</v>
      </c>
      <c r="E662" t="s">
        <v>30</v>
      </c>
      <c r="F662" s="6">
        <v>46022</v>
      </c>
      <c r="G662">
        <v>87</v>
      </c>
      <c r="H662" t="s">
        <v>1044</v>
      </c>
      <c r="I662">
        <v>1.0442528735632179</v>
      </c>
      <c r="J662">
        <v>1.0442528735632179</v>
      </c>
      <c r="K662" t="s">
        <v>1045</v>
      </c>
      <c r="L662" t="s">
        <v>1046</v>
      </c>
      <c r="M662">
        <v>2025</v>
      </c>
      <c r="N662" t="s">
        <v>57</v>
      </c>
      <c r="O662" t="s">
        <v>103</v>
      </c>
      <c r="P662">
        <v>2</v>
      </c>
      <c r="Q662">
        <v>2</v>
      </c>
      <c r="R662">
        <v>1</v>
      </c>
      <c r="S662" t="s">
        <v>104</v>
      </c>
      <c r="T662" t="s">
        <v>1047</v>
      </c>
      <c r="U662">
        <v>31</v>
      </c>
    </row>
    <row r="663" spans="1:21" x14ac:dyDescent="0.3">
      <c r="A663" t="s">
        <v>1048</v>
      </c>
      <c r="B663" t="s">
        <v>1049</v>
      </c>
      <c r="C663" t="s">
        <v>262</v>
      </c>
      <c r="D663" t="s">
        <v>98</v>
      </c>
      <c r="E663" t="s">
        <v>30</v>
      </c>
      <c r="F663" s="6">
        <v>45291</v>
      </c>
      <c r="G663">
        <v>66</v>
      </c>
      <c r="H663">
        <v>64.7</v>
      </c>
      <c r="I663">
        <v>0.98030303030303034</v>
      </c>
      <c r="J663">
        <v>0.98030303030303034</v>
      </c>
      <c r="K663" t="s">
        <v>1041</v>
      </c>
      <c r="L663" t="s">
        <v>31</v>
      </c>
      <c r="M663">
        <v>2023</v>
      </c>
      <c r="N663" t="s">
        <v>57</v>
      </c>
      <c r="O663" t="s">
        <v>47</v>
      </c>
      <c r="P663">
        <v>1</v>
      </c>
      <c r="Q663">
        <v>1</v>
      </c>
      <c r="R663">
        <v>1</v>
      </c>
      <c r="S663" t="s">
        <v>99</v>
      </c>
      <c r="T663" t="s">
        <v>1050</v>
      </c>
      <c r="U663">
        <v>1</v>
      </c>
    </row>
    <row r="664" spans="1:21" x14ac:dyDescent="0.3">
      <c r="A664" t="s">
        <v>1048</v>
      </c>
      <c r="B664" t="s">
        <v>1049</v>
      </c>
      <c r="C664" t="s">
        <v>262</v>
      </c>
      <c r="D664" t="s">
        <v>98</v>
      </c>
      <c r="E664" t="s">
        <v>30</v>
      </c>
      <c r="F664" s="6">
        <v>45657</v>
      </c>
      <c r="G664">
        <v>0</v>
      </c>
      <c r="M664">
        <v>2024</v>
      </c>
      <c r="N664" t="s">
        <v>57</v>
      </c>
      <c r="O664" t="s">
        <v>78</v>
      </c>
      <c r="P664">
        <v>1</v>
      </c>
      <c r="Q664">
        <v>1</v>
      </c>
      <c r="R664">
        <v>0</v>
      </c>
      <c r="S664" t="s">
        <v>99</v>
      </c>
      <c r="T664" t="s">
        <v>1051</v>
      </c>
      <c r="U664">
        <v>1</v>
      </c>
    </row>
    <row r="665" spans="1:21" x14ac:dyDescent="0.3">
      <c r="A665" t="s">
        <v>1048</v>
      </c>
      <c r="B665" t="s">
        <v>1049</v>
      </c>
      <c r="C665" t="s">
        <v>262</v>
      </c>
      <c r="D665" t="s">
        <v>98</v>
      </c>
      <c r="E665" t="s">
        <v>30</v>
      </c>
      <c r="F665" s="6">
        <v>46022</v>
      </c>
      <c r="G665">
        <v>68.7</v>
      </c>
      <c r="H665" t="s">
        <v>1052</v>
      </c>
      <c r="I665">
        <v>1.179039301310044</v>
      </c>
      <c r="J665">
        <v>1.179039301310044</v>
      </c>
      <c r="K665" t="s">
        <v>1053</v>
      </c>
      <c r="L665" t="s">
        <v>1054</v>
      </c>
      <c r="M665">
        <v>2025</v>
      </c>
      <c r="N665" t="s">
        <v>57</v>
      </c>
      <c r="O665" t="s">
        <v>103</v>
      </c>
      <c r="P665">
        <v>2</v>
      </c>
      <c r="Q665">
        <v>2</v>
      </c>
      <c r="R665">
        <v>1</v>
      </c>
      <c r="S665" t="s">
        <v>104</v>
      </c>
      <c r="T665" t="s">
        <v>1055</v>
      </c>
      <c r="U665">
        <v>31</v>
      </c>
    </row>
    <row r="666" spans="1:21" x14ac:dyDescent="0.3">
      <c r="A666" t="s">
        <v>1056</v>
      </c>
      <c r="B666" t="s">
        <v>1057</v>
      </c>
      <c r="C666" t="s">
        <v>225</v>
      </c>
      <c r="D666" t="s">
        <v>222</v>
      </c>
      <c r="E666" t="s">
        <v>30</v>
      </c>
      <c r="F666" s="6">
        <v>44742</v>
      </c>
      <c r="G666">
        <v>113672</v>
      </c>
      <c r="H666">
        <v>119144</v>
      </c>
      <c r="I666">
        <v>1.0481385037652191</v>
      </c>
      <c r="J666">
        <v>1.0481385037652191</v>
      </c>
      <c r="K666" t="s">
        <v>335</v>
      </c>
      <c r="L666" t="s">
        <v>335</v>
      </c>
      <c r="M666">
        <v>2022</v>
      </c>
      <c r="N666" t="s">
        <v>44</v>
      </c>
      <c r="O666" t="s">
        <v>88</v>
      </c>
      <c r="P666">
        <v>0</v>
      </c>
      <c r="Q666">
        <v>0</v>
      </c>
      <c r="R666">
        <v>0</v>
      </c>
      <c r="S666" t="s">
        <v>99</v>
      </c>
      <c r="T666" t="s">
        <v>1058</v>
      </c>
      <c r="U666">
        <v>1</v>
      </c>
    </row>
    <row r="667" spans="1:21" x14ac:dyDescent="0.3">
      <c r="A667" t="s">
        <v>1056</v>
      </c>
      <c r="B667" t="s">
        <v>1057</v>
      </c>
      <c r="C667" t="s">
        <v>225</v>
      </c>
      <c r="D667" t="s">
        <v>222</v>
      </c>
      <c r="E667" t="s">
        <v>30</v>
      </c>
      <c r="F667" s="6">
        <v>44926</v>
      </c>
      <c r="G667">
        <v>224440</v>
      </c>
      <c r="H667">
        <v>240882</v>
      </c>
      <c r="I667">
        <v>1.099035822620251</v>
      </c>
      <c r="J667">
        <v>1.099035822620251</v>
      </c>
      <c r="K667" t="s">
        <v>335</v>
      </c>
      <c r="L667" t="s">
        <v>335</v>
      </c>
      <c r="M667">
        <v>2022</v>
      </c>
      <c r="N667" t="s">
        <v>57</v>
      </c>
      <c r="O667" t="s">
        <v>90</v>
      </c>
      <c r="P667">
        <v>0</v>
      </c>
      <c r="Q667">
        <v>0</v>
      </c>
      <c r="R667">
        <v>0</v>
      </c>
      <c r="S667" t="s">
        <v>99</v>
      </c>
      <c r="T667" t="s">
        <v>1059</v>
      </c>
      <c r="U667">
        <v>1</v>
      </c>
    </row>
    <row r="668" spans="1:21" x14ac:dyDescent="0.3">
      <c r="A668" t="s">
        <v>1056</v>
      </c>
      <c r="B668" t="s">
        <v>1057</v>
      </c>
      <c r="C668" t="s">
        <v>225</v>
      </c>
      <c r="D668" t="s">
        <v>222</v>
      </c>
      <c r="E668" t="s">
        <v>30</v>
      </c>
      <c r="F668" s="6">
        <v>45107</v>
      </c>
      <c r="G668">
        <v>123465.69985999999</v>
      </c>
      <c r="H668">
        <v>129185.069909</v>
      </c>
      <c r="I668">
        <v>1.046323554278519</v>
      </c>
      <c r="J668">
        <v>1.046323554278519</v>
      </c>
      <c r="K668" t="s">
        <v>335</v>
      </c>
      <c r="L668" t="s">
        <v>335</v>
      </c>
      <c r="M668">
        <v>2023</v>
      </c>
      <c r="N668" t="s">
        <v>44</v>
      </c>
      <c r="O668" t="s">
        <v>33</v>
      </c>
      <c r="P668">
        <v>0</v>
      </c>
      <c r="Q668">
        <v>0</v>
      </c>
      <c r="R668">
        <v>1</v>
      </c>
      <c r="S668" t="s">
        <v>336</v>
      </c>
      <c r="T668" t="s">
        <v>1060</v>
      </c>
      <c r="U668">
        <v>1</v>
      </c>
    </row>
    <row r="669" spans="1:21" x14ac:dyDescent="0.3">
      <c r="A669" t="s">
        <v>1056</v>
      </c>
      <c r="B669" t="s">
        <v>1057</v>
      </c>
      <c r="C669" t="s">
        <v>225</v>
      </c>
      <c r="D669" t="s">
        <v>222</v>
      </c>
      <c r="E669" t="s">
        <v>30</v>
      </c>
      <c r="F669" s="6">
        <v>45291</v>
      </c>
      <c r="G669">
        <v>264844.43927600002</v>
      </c>
      <c r="H669">
        <v>273867.05092800001</v>
      </c>
      <c r="I669">
        <v>1.0340675895505489</v>
      </c>
      <c r="J669">
        <v>1.0340675895505489</v>
      </c>
      <c r="K669" t="s">
        <v>335</v>
      </c>
      <c r="L669" t="s">
        <v>335</v>
      </c>
      <c r="M669">
        <v>2023</v>
      </c>
      <c r="N669" t="s">
        <v>57</v>
      </c>
      <c r="O669" t="s">
        <v>47</v>
      </c>
      <c r="P669">
        <v>0</v>
      </c>
      <c r="Q669">
        <v>0</v>
      </c>
      <c r="R669">
        <v>1</v>
      </c>
      <c r="S669" t="s">
        <v>336</v>
      </c>
      <c r="T669" t="s">
        <v>1061</v>
      </c>
      <c r="U669">
        <v>1</v>
      </c>
    </row>
    <row r="670" spans="1:21" x14ac:dyDescent="0.3">
      <c r="A670" t="s">
        <v>1056</v>
      </c>
      <c r="B670" t="s">
        <v>1057</v>
      </c>
      <c r="C670" t="s">
        <v>225</v>
      </c>
      <c r="D670" t="s">
        <v>222</v>
      </c>
      <c r="E670" t="s">
        <v>30</v>
      </c>
      <c r="F670" s="6">
        <v>45473</v>
      </c>
      <c r="G670">
        <v>142872.25833300001</v>
      </c>
      <c r="H670">
        <v>145741.716934</v>
      </c>
      <c r="I670">
        <v>1.0200840851434709</v>
      </c>
      <c r="J670">
        <v>1.0200840851434709</v>
      </c>
      <c r="K670" t="s">
        <v>335</v>
      </c>
      <c r="L670" t="s">
        <v>335</v>
      </c>
      <c r="M670">
        <v>2024</v>
      </c>
      <c r="N670" t="s">
        <v>44</v>
      </c>
      <c r="O670" t="s">
        <v>71</v>
      </c>
      <c r="P670">
        <v>0</v>
      </c>
      <c r="Q670">
        <v>0</v>
      </c>
      <c r="R670">
        <v>1</v>
      </c>
      <c r="S670" t="s">
        <v>336</v>
      </c>
      <c r="T670" t="s">
        <v>1062</v>
      </c>
      <c r="U670">
        <v>1</v>
      </c>
    </row>
    <row r="671" spans="1:21" x14ac:dyDescent="0.3">
      <c r="A671" t="s">
        <v>1056</v>
      </c>
      <c r="B671" t="s">
        <v>1057</v>
      </c>
      <c r="C671" t="s">
        <v>225</v>
      </c>
      <c r="D671" t="s">
        <v>222</v>
      </c>
      <c r="E671" t="s">
        <v>30</v>
      </c>
      <c r="F671" s="6">
        <v>45657</v>
      </c>
      <c r="G671">
        <v>289638.45267000003</v>
      </c>
      <c r="H671">
        <v>297867.12192900002</v>
      </c>
      <c r="I671">
        <v>1.028410140929648</v>
      </c>
      <c r="J671">
        <v>1.028410140929648</v>
      </c>
      <c r="K671" t="s">
        <v>335</v>
      </c>
      <c r="L671" t="s">
        <v>335</v>
      </c>
      <c r="M671">
        <v>2024</v>
      </c>
      <c r="N671" t="s">
        <v>57</v>
      </c>
      <c r="O671" t="s">
        <v>78</v>
      </c>
      <c r="P671">
        <v>0</v>
      </c>
      <c r="Q671">
        <v>0</v>
      </c>
      <c r="R671">
        <v>0</v>
      </c>
      <c r="S671" t="s">
        <v>336</v>
      </c>
      <c r="T671" t="s">
        <v>1063</v>
      </c>
      <c r="U671">
        <v>1</v>
      </c>
    </row>
    <row r="672" spans="1:21" x14ac:dyDescent="0.3">
      <c r="A672" t="s">
        <v>1056</v>
      </c>
      <c r="B672" t="s">
        <v>1057</v>
      </c>
      <c r="C672" t="s">
        <v>225</v>
      </c>
      <c r="D672" t="s">
        <v>222</v>
      </c>
      <c r="E672" t="s">
        <v>30</v>
      </c>
      <c r="F672" s="6">
        <v>45838</v>
      </c>
      <c r="G672">
        <v>95</v>
      </c>
      <c r="H672" t="s">
        <v>1064</v>
      </c>
      <c r="I672">
        <v>1.1765263157894741</v>
      </c>
      <c r="J672">
        <v>1.1765263157894741</v>
      </c>
      <c r="K672" t="s">
        <v>838</v>
      </c>
      <c r="L672" t="s">
        <v>1065</v>
      </c>
      <c r="M672">
        <v>2025</v>
      </c>
      <c r="N672" t="s">
        <v>44</v>
      </c>
      <c r="O672" t="s">
        <v>244</v>
      </c>
      <c r="P672">
        <v>2</v>
      </c>
      <c r="Q672">
        <v>2</v>
      </c>
      <c r="R672">
        <v>1</v>
      </c>
      <c r="S672" t="s">
        <v>336</v>
      </c>
      <c r="T672" t="s">
        <v>1066</v>
      </c>
      <c r="U672">
        <v>30</v>
      </c>
    </row>
    <row r="673" spans="1:21" x14ac:dyDescent="0.3">
      <c r="A673" t="s">
        <v>1056</v>
      </c>
      <c r="B673" t="s">
        <v>1057</v>
      </c>
      <c r="C673" t="s">
        <v>225</v>
      </c>
      <c r="D673" t="s">
        <v>222</v>
      </c>
      <c r="E673" t="s">
        <v>30</v>
      </c>
      <c r="F673" s="6">
        <v>46022</v>
      </c>
      <c r="G673">
        <v>95</v>
      </c>
      <c r="H673" t="s">
        <v>1067</v>
      </c>
      <c r="I673">
        <v>1.1718947368421051</v>
      </c>
      <c r="J673">
        <v>1.1718947368421051</v>
      </c>
      <c r="K673" t="s">
        <v>838</v>
      </c>
      <c r="L673" t="s">
        <v>1068</v>
      </c>
      <c r="M673">
        <v>2025</v>
      </c>
      <c r="N673" t="s">
        <v>57</v>
      </c>
      <c r="O673" t="s">
        <v>103</v>
      </c>
      <c r="P673">
        <v>2</v>
      </c>
      <c r="Q673">
        <v>2</v>
      </c>
      <c r="R673">
        <v>1</v>
      </c>
      <c r="S673" t="s">
        <v>336</v>
      </c>
      <c r="T673" t="s">
        <v>1069</v>
      </c>
      <c r="U673">
        <v>31</v>
      </c>
    </row>
    <row r="674" spans="1:21" x14ac:dyDescent="0.3">
      <c r="A674" t="s">
        <v>1070</v>
      </c>
      <c r="B674" t="s">
        <v>1071</v>
      </c>
      <c r="C674" t="s">
        <v>225</v>
      </c>
      <c r="D674" t="s">
        <v>222</v>
      </c>
      <c r="E674" t="s">
        <v>30</v>
      </c>
      <c r="F674" s="6">
        <v>44742</v>
      </c>
      <c r="G674">
        <v>58804</v>
      </c>
      <c r="H674">
        <v>37101</v>
      </c>
      <c r="I674">
        <v>0.63092646758723891</v>
      </c>
      <c r="J674">
        <v>0.63092646758723891</v>
      </c>
      <c r="K674" t="s">
        <v>335</v>
      </c>
      <c r="L674" t="s">
        <v>335</v>
      </c>
      <c r="M674">
        <v>2022</v>
      </c>
      <c r="N674" t="s">
        <v>44</v>
      </c>
      <c r="O674" t="s">
        <v>88</v>
      </c>
      <c r="P674">
        <v>0</v>
      </c>
      <c r="Q674">
        <v>0</v>
      </c>
      <c r="R674">
        <v>0</v>
      </c>
      <c r="S674" t="s">
        <v>336</v>
      </c>
      <c r="T674" t="s">
        <v>1072</v>
      </c>
      <c r="U674">
        <v>1</v>
      </c>
    </row>
    <row r="675" spans="1:21" x14ac:dyDescent="0.3">
      <c r="A675" t="s">
        <v>1070</v>
      </c>
      <c r="B675" t="s">
        <v>1071</v>
      </c>
      <c r="C675" t="s">
        <v>225</v>
      </c>
      <c r="D675" t="s">
        <v>222</v>
      </c>
      <c r="E675" t="s">
        <v>30</v>
      </c>
      <c r="F675" s="6">
        <v>44925</v>
      </c>
      <c r="G675">
        <v>82987</v>
      </c>
      <c r="H675">
        <v>18386</v>
      </c>
      <c r="I675">
        <v>0.22155277332594259</v>
      </c>
      <c r="J675">
        <v>0.22155277332594259</v>
      </c>
      <c r="K675" t="s">
        <v>335</v>
      </c>
      <c r="L675" t="s">
        <v>335</v>
      </c>
      <c r="M675">
        <v>2022</v>
      </c>
      <c r="N675" t="s">
        <v>57</v>
      </c>
      <c r="O675" t="s">
        <v>90</v>
      </c>
      <c r="P675">
        <v>0</v>
      </c>
      <c r="Q675">
        <v>0</v>
      </c>
      <c r="R675">
        <v>0</v>
      </c>
      <c r="S675" t="s">
        <v>336</v>
      </c>
      <c r="T675" t="s">
        <v>1073</v>
      </c>
      <c r="U675">
        <v>1</v>
      </c>
    </row>
    <row r="676" spans="1:21" x14ac:dyDescent="0.3">
      <c r="A676" t="s">
        <v>1070</v>
      </c>
      <c r="B676" t="s">
        <v>1071</v>
      </c>
      <c r="C676" t="s">
        <v>225</v>
      </c>
      <c r="D676" t="s">
        <v>222</v>
      </c>
      <c r="E676" t="s">
        <v>30</v>
      </c>
      <c r="F676" s="6">
        <v>45107</v>
      </c>
      <c r="G676">
        <v>8772.7956340000001</v>
      </c>
      <c r="H676">
        <v>17085.606216</v>
      </c>
      <c r="I676">
        <v>1.3</v>
      </c>
      <c r="J676">
        <v>1.9475668793403469</v>
      </c>
      <c r="K676" t="s">
        <v>335</v>
      </c>
      <c r="L676" t="s">
        <v>335</v>
      </c>
      <c r="M676">
        <v>2023</v>
      </c>
      <c r="N676" t="s">
        <v>44</v>
      </c>
      <c r="O676" t="s">
        <v>33</v>
      </c>
      <c r="P676">
        <v>0</v>
      </c>
      <c r="Q676">
        <v>0</v>
      </c>
      <c r="R676">
        <v>1</v>
      </c>
      <c r="S676" t="s">
        <v>336</v>
      </c>
      <c r="T676" t="s">
        <v>1074</v>
      </c>
      <c r="U676">
        <v>1</v>
      </c>
    </row>
    <row r="677" spans="1:21" x14ac:dyDescent="0.3">
      <c r="A677" t="s">
        <v>1070</v>
      </c>
      <c r="B677" t="s">
        <v>1071</v>
      </c>
      <c r="C677" t="s">
        <v>225</v>
      </c>
      <c r="D677" t="s">
        <v>222</v>
      </c>
      <c r="E677" t="s">
        <v>30</v>
      </c>
      <c r="F677" s="6">
        <v>45291</v>
      </c>
      <c r="G677">
        <v>86846.60702431656</v>
      </c>
      <c r="H677">
        <v>141016.76289899999</v>
      </c>
      <c r="I677">
        <v>1.3</v>
      </c>
      <c r="J677">
        <v>1.6237452185036549</v>
      </c>
      <c r="K677" t="s">
        <v>335</v>
      </c>
      <c r="L677" t="s">
        <v>335</v>
      </c>
      <c r="M677">
        <v>2023</v>
      </c>
      <c r="N677" t="s">
        <v>57</v>
      </c>
      <c r="O677" t="s">
        <v>47</v>
      </c>
      <c r="P677">
        <v>0</v>
      </c>
      <c r="Q677">
        <v>0</v>
      </c>
      <c r="R677">
        <v>1</v>
      </c>
      <c r="S677" t="s">
        <v>336</v>
      </c>
      <c r="T677" t="s">
        <v>1075</v>
      </c>
      <c r="U677">
        <v>1</v>
      </c>
    </row>
    <row r="678" spans="1:21" x14ac:dyDescent="0.3">
      <c r="A678" t="s">
        <v>1070</v>
      </c>
      <c r="B678" t="s">
        <v>1071</v>
      </c>
      <c r="C678" t="s">
        <v>225</v>
      </c>
      <c r="D678" t="s">
        <v>222</v>
      </c>
      <c r="E678" t="s">
        <v>30</v>
      </c>
      <c r="F678" s="6">
        <v>45473</v>
      </c>
      <c r="G678">
        <v>20714.519157999999</v>
      </c>
      <c r="H678">
        <v>27665.037063</v>
      </c>
      <c r="I678">
        <v>1.3</v>
      </c>
      <c r="J678">
        <v>1.335538462273004</v>
      </c>
      <c r="K678" t="s">
        <v>335</v>
      </c>
      <c r="L678" t="s">
        <v>335</v>
      </c>
      <c r="M678">
        <v>2024</v>
      </c>
      <c r="N678" t="s">
        <v>44</v>
      </c>
      <c r="O678" t="s">
        <v>71</v>
      </c>
      <c r="P678">
        <v>0</v>
      </c>
      <c r="Q678">
        <v>0</v>
      </c>
      <c r="R678">
        <v>1</v>
      </c>
      <c r="S678" t="s">
        <v>336</v>
      </c>
      <c r="T678" t="s">
        <v>1076</v>
      </c>
      <c r="U678">
        <v>1</v>
      </c>
    </row>
    <row r="679" spans="1:21" x14ac:dyDescent="0.3">
      <c r="A679" t="s">
        <v>1070</v>
      </c>
      <c r="B679" t="s">
        <v>1071</v>
      </c>
      <c r="C679" t="s">
        <v>225</v>
      </c>
      <c r="D679" t="s">
        <v>222</v>
      </c>
      <c r="E679" t="s">
        <v>30</v>
      </c>
      <c r="F679" s="6">
        <v>45657</v>
      </c>
      <c r="G679">
        <v>122440.821151</v>
      </c>
      <c r="H679">
        <v>176962.74882400001</v>
      </c>
      <c r="I679">
        <v>1.3</v>
      </c>
      <c r="J679">
        <v>1.4452920779235949</v>
      </c>
      <c r="K679" t="s">
        <v>335</v>
      </c>
      <c r="L679" t="s">
        <v>335</v>
      </c>
      <c r="M679">
        <v>2024</v>
      </c>
      <c r="N679" t="s">
        <v>57</v>
      </c>
      <c r="O679" t="s">
        <v>78</v>
      </c>
      <c r="P679">
        <v>0</v>
      </c>
      <c r="Q679">
        <v>0</v>
      </c>
      <c r="R679">
        <v>0</v>
      </c>
      <c r="S679" t="s">
        <v>336</v>
      </c>
      <c r="T679" t="s">
        <v>1077</v>
      </c>
      <c r="U679">
        <v>1</v>
      </c>
    </row>
    <row r="680" spans="1:21" x14ac:dyDescent="0.3">
      <c r="A680" t="s">
        <v>1070</v>
      </c>
      <c r="B680" t="s">
        <v>1071</v>
      </c>
      <c r="C680" t="s">
        <v>225</v>
      </c>
      <c r="D680" t="s">
        <v>222</v>
      </c>
      <c r="E680" t="s">
        <v>30</v>
      </c>
      <c r="F680" s="6">
        <v>45838</v>
      </c>
      <c r="G680">
        <v>95</v>
      </c>
      <c r="H680" t="s">
        <v>1078</v>
      </c>
      <c r="I680">
        <v>0.91463157894736846</v>
      </c>
      <c r="J680">
        <v>0.91463157894736846</v>
      </c>
      <c r="K680" t="s">
        <v>838</v>
      </c>
      <c r="L680" t="s">
        <v>1079</v>
      </c>
      <c r="M680">
        <v>2025</v>
      </c>
      <c r="N680" t="s">
        <v>44</v>
      </c>
      <c r="O680" t="s">
        <v>244</v>
      </c>
      <c r="P680">
        <v>2</v>
      </c>
      <c r="Q680">
        <v>2</v>
      </c>
      <c r="R680">
        <v>1</v>
      </c>
      <c r="S680" t="s">
        <v>336</v>
      </c>
      <c r="T680" t="s">
        <v>1080</v>
      </c>
      <c r="U680">
        <v>30</v>
      </c>
    </row>
    <row r="681" spans="1:21" x14ac:dyDescent="0.3">
      <c r="A681" t="s">
        <v>1070</v>
      </c>
      <c r="B681" t="s">
        <v>1071</v>
      </c>
      <c r="C681" t="s">
        <v>225</v>
      </c>
      <c r="D681" t="s">
        <v>222</v>
      </c>
      <c r="E681" t="s">
        <v>30</v>
      </c>
      <c r="F681" s="6">
        <v>46022</v>
      </c>
      <c r="G681">
        <v>95</v>
      </c>
      <c r="H681" t="s">
        <v>1081</v>
      </c>
      <c r="I681">
        <v>1.3</v>
      </c>
      <c r="J681">
        <v>1.602526315789474</v>
      </c>
      <c r="K681" t="s">
        <v>838</v>
      </c>
      <c r="L681" t="s">
        <v>1082</v>
      </c>
      <c r="M681">
        <v>2025</v>
      </c>
      <c r="N681" t="s">
        <v>57</v>
      </c>
      <c r="O681" t="s">
        <v>103</v>
      </c>
      <c r="P681">
        <v>2</v>
      </c>
      <c r="Q681">
        <v>2</v>
      </c>
      <c r="R681">
        <v>1</v>
      </c>
      <c r="S681" t="s">
        <v>336</v>
      </c>
      <c r="T681" t="s">
        <v>1083</v>
      </c>
      <c r="U681">
        <v>31</v>
      </c>
    </row>
    <row r="682" spans="1:21" x14ac:dyDescent="0.3">
      <c r="A682" t="s">
        <v>1084</v>
      </c>
      <c r="B682" t="s">
        <v>1085</v>
      </c>
      <c r="C682" t="s">
        <v>225</v>
      </c>
      <c r="D682" t="s">
        <v>222</v>
      </c>
      <c r="E682" t="s">
        <v>30</v>
      </c>
      <c r="F682" s="6">
        <v>44926</v>
      </c>
      <c r="G682">
        <v>2605</v>
      </c>
      <c r="H682">
        <v>2605</v>
      </c>
      <c r="I682">
        <v>1</v>
      </c>
      <c r="J682">
        <v>1</v>
      </c>
      <c r="K682" t="s">
        <v>335</v>
      </c>
      <c r="L682" t="s">
        <v>335</v>
      </c>
      <c r="M682">
        <v>2022</v>
      </c>
      <c r="N682" t="s">
        <v>57</v>
      </c>
      <c r="O682" t="s">
        <v>90</v>
      </c>
      <c r="P682">
        <v>0</v>
      </c>
      <c r="Q682">
        <v>0</v>
      </c>
      <c r="R682">
        <v>1</v>
      </c>
      <c r="S682" t="s">
        <v>336</v>
      </c>
      <c r="T682" t="s">
        <v>1086</v>
      </c>
      <c r="U682">
        <v>1</v>
      </c>
    </row>
    <row r="683" spans="1:21" x14ac:dyDescent="0.3">
      <c r="A683" t="s">
        <v>1084</v>
      </c>
      <c r="B683" t="s">
        <v>1085</v>
      </c>
      <c r="C683" t="s">
        <v>225</v>
      </c>
      <c r="D683" t="s">
        <v>222</v>
      </c>
      <c r="E683" t="s">
        <v>30</v>
      </c>
      <c r="F683" s="6">
        <v>45107</v>
      </c>
      <c r="G683">
        <v>2622.5539939999999</v>
      </c>
      <c r="H683">
        <v>4338.4199079999999</v>
      </c>
      <c r="I683">
        <v>1.3</v>
      </c>
      <c r="J683">
        <v>1.654272864515139</v>
      </c>
      <c r="K683" t="s">
        <v>335</v>
      </c>
      <c r="L683" t="s">
        <v>335</v>
      </c>
      <c r="M683">
        <v>2023</v>
      </c>
      <c r="N683" t="s">
        <v>44</v>
      </c>
      <c r="O683" t="s">
        <v>33</v>
      </c>
      <c r="P683">
        <v>0</v>
      </c>
      <c r="Q683">
        <v>0</v>
      </c>
      <c r="R683">
        <v>1</v>
      </c>
      <c r="S683" t="s">
        <v>336</v>
      </c>
      <c r="T683" t="s">
        <v>1087</v>
      </c>
      <c r="U683">
        <v>1</v>
      </c>
    </row>
    <row r="684" spans="1:21" x14ac:dyDescent="0.3">
      <c r="A684" t="s">
        <v>1084</v>
      </c>
      <c r="B684" t="s">
        <v>1085</v>
      </c>
      <c r="C684" t="s">
        <v>225</v>
      </c>
      <c r="D684" t="s">
        <v>222</v>
      </c>
      <c r="E684" t="s">
        <v>30</v>
      </c>
      <c r="F684" s="6">
        <v>45291</v>
      </c>
      <c r="G684">
        <v>2041.7866710000001</v>
      </c>
      <c r="H684">
        <v>8708.3762700000007</v>
      </c>
      <c r="I684">
        <v>1.3</v>
      </c>
      <c r="J684">
        <v>4.2650764615555667</v>
      </c>
      <c r="K684" t="s">
        <v>335</v>
      </c>
      <c r="L684" t="s">
        <v>335</v>
      </c>
      <c r="M684">
        <v>2023</v>
      </c>
      <c r="N684" t="s">
        <v>57</v>
      </c>
      <c r="O684" t="s">
        <v>47</v>
      </c>
      <c r="P684">
        <v>0</v>
      </c>
      <c r="Q684">
        <v>0</v>
      </c>
      <c r="R684">
        <v>1</v>
      </c>
      <c r="S684" t="s">
        <v>336</v>
      </c>
      <c r="T684" t="s">
        <v>1088</v>
      </c>
      <c r="U684">
        <v>1</v>
      </c>
    </row>
    <row r="685" spans="1:21" x14ac:dyDescent="0.3">
      <c r="A685" t="s">
        <v>1084</v>
      </c>
      <c r="B685" t="s">
        <v>1085</v>
      </c>
      <c r="C685" t="s">
        <v>225</v>
      </c>
      <c r="D685" t="s">
        <v>222</v>
      </c>
      <c r="E685" t="s">
        <v>30</v>
      </c>
      <c r="F685" s="6">
        <v>45473</v>
      </c>
      <c r="G685">
        <v>2039.2370430000001</v>
      </c>
      <c r="H685">
        <v>4385.721681</v>
      </c>
      <c r="I685">
        <v>1.3</v>
      </c>
      <c r="J685">
        <v>2.1506679157553932</v>
      </c>
      <c r="K685" t="s">
        <v>335</v>
      </c>
      <c r="L685" t="s">
        <v>335</v>
      </c>
      <c r="M685">
        <v>2024</v>
      </c>
      <c r="N685" t="s">
        <v>44</v>
      </c>
      <c r="O685" t="s">
        <v>71</v>
      </c>
      <c r="P685">
        <v>0</v>
      </c>
      <c r="Q685">
        <v>0</v>
      </c>
      <c r="R685">
        <v>1</v>
      </c>
      <c r="S685" t="s">
        <v>336</v>
      </c>
      <c r="T685" t="s">
        <v>1089</v>
      </c>
      <c r="U685">
        <v>1</v>
      </c>
    </row>
    <row r="686" spans="1:21" x14ac:dyDescent="0.3">
      <c r="A686" t="s">
        <v>1084</v>
      </c>
      <c r="B686" t="s">
        <v>1085</v>
      </c>
      <c r="C686" t="s">
        <v>225</v>
      </c>
      <c r="D686" t="s">
        <v>222</v>
      </c>
      <c r="E686" t="s">
        <v>30</v>
      </c>
      <c r="F686" s="6">
        <v>45657</v>
      </c>
      <c r="G686">
        <v>2783.219654</v>
      </c>
      <c r="H686">
        <v>5141.1028649999998</v>
      </c>
      <c r="I686">
        <v>1.3</v>
      </c>
      <c r="J686">
        <v>1.847178269818297</v>
      </c>
      <c r="K686" t="s">
        <v>335</v>
      </c>
      <c r="L686" t="s">
        <v>335</v>
      </c>
      <c r="M686">
        <v>2024</v>
      </c>
      <c r="N686" t="s">
        <v>57</v>
      </c>
      <c r="O686" t="s">
        <v>78</v>
      </c>
      <c r="P686">
        <v>0</v>
      </c>
      <c r="Q686">
        <v>0</v>
      </c>
      <c r="R686">
        <v>0</v>
      </c>
      <c r="S686" t="s">
        <v>336</v>
      </c>
      <c r="T686" t="s">
        <v>1090</v>
      </c>
      <c r="U686">
        <v>1</v>
      </c>
    </row>
    <row r="687" spans="1:21" x14ac:dyDescent="0.3">
      <c r="A687" t="s">
        <v>1084</v>
      </c>
      <c r="B687" t="s">
        <v>1085</v>
      </c>
      <c r="C687" t="s">
        <v>225</v>
      </c>
      <c r="D687" t="s">
        <v>222</v>
      </c>
      <c r="E687" t="s">
        <v>30</v>
      </c>
      <c r="F687" s="6">
        <v>45838</v>
      </c>
      <c r="G687">
        <v>95</v>
      </c>
      <c r="H687" t="s">
        <v>1091</v>
      </c>
      <c r="I687">
        <v>1.3</v>
      </c>
      <c r="J687">
        <v>1.961157894736842</v>
      </c>
      <c r="K687" t="s">
        <v>838</v>
      </c>
      <c r="L687" t="s">
        <v>1092</v>
      </c>
      <c r="M687">
        <v>2025</v>
      </c>
      <c r="N687" t="s">
        <v>44</v>
      </c>
      <c r="O687" t="s">
        <v>244</v>
      </c>
      <c r="P687">
        <v>2</v>
      </c>
      <c r="Q687">
        <v>2</v>
      </c>
      <c r="R687">
        <v>1</v>
      </c>
      <c r="S687" t="s">
        <v>336</v>
      </c>
      <c r="T687" t="s">
        <v>1093</v>
      </c>
      <c r="U687">
        <v>30</v>
      </c>
    </row>
    <row r="688" spans="1:21" x14ac:dyDescent="0.3">
      <c r="A688" t="s">
        <v>1084</v>
      </c>
      <c r="B688" t="s">
        <v>1085</v>
      </c>
      <c r="C688" t="s">
        <v>225</v>
      </c>
      <c r="D688" t="s">
        <v>222</v>
      </c>
      <c r="E688" t="s">
        <v>30</v>
      </c>
      <c r="F688" s="6">
        <v>46022</v>
      </c>
      <c r="G688">
        <v>95</v>
      </c>
      <c r="H688" t="s">
        <v>1094</v>
      </c>
      <c r="I688">
        <v>1.2952631578947369</v>
      </c>
      <c r="J688">
        <v>1.2952631578947369</v>
      </c>
      <c r="K688" t="s">
        <v>838</v>
      </c>
      <c r="L688" t="s">
        <v>1095</v>
      </c>
      <c r="M688">
        <v>2025</v>
      </c>
      <c r="N688" t="s">
        <v>57</v>
      </c>
      <c r="O688" t="s">
        <v>103</v>
      </c>
      <c r="P688">
        <v>2</v>
      </c>
      <c r="Q688">
        <v>2</v>
      </c>
      <c r="R688">
        <v>1</v>
      </c>
      <c r="S688" t="s">
        <v>336</v>
      </c>
      <c r="T688" t="s">
        <v>1096</v>
      </c>
      <c r="U688">
        <v>31</v>
      </c>
    </row>
    <row r="689" spans="1:21" x14ac:dyDescent="0.3">
      <c r="A689" t="s">
        <v>1097</v>
      </c>
      <c r="B689" t="s">
        <v>1098</v>
      </c>
      <c r="C689" t="s">
        <v>225</v>
      </c>
      <c r="D689" t="s">
        <v>222</v>
      </c>
      <c r="E689" t="s">
        <v>30</v>
      </c>
      <c r="F689" s="6">
        <v>45107</v>
      </c>
      <c r="G689">
        <v>1302.483921</v>
      </c>
      <c r="H689">
        <v>1606.86814</v>
      </c>
      <c r="I689">
        <v>1.2336951835584311</v>
      </c>
      <c r="J689">
        <v>1.2336951835584311</v>
      </c>
      <c r="K689" t="s">
        <v>335</v>
      </c>
      <c r="L689" t="s">
        <v>335</v>
      </c>
      <c r="M689">
        <v>2023</v>
      </c>
      <c r="N689" t="s">
        <v>44</v>
      </c>
      <c r="O689" t="s">
        <v>33</v>
      </c>
      <c r="P689">
        <v>0</v>
      </c>
      <c r="Q689">
        <v>0</v>
      </c>
      <c r="R689">
        <v>1</v>
      </c>
      <c r="S689" t="s">
        <v>336</v>
      </c>
      <c r="T689" t="s">
        <v>1099</v>
      </c>
      <c r="U689">
        <v>1</v>
      </c>
    </row>
    <row r="690" spans="1:21" x14ac:dyDescent="0.3">
      <c r="A690" t="s">
        <v>1097</v>
      </c>
      <c r="B690" t="s">
        <v>1098</v>
      </c>
      <c r="C690" t="s">
        <v>225</v>
      </c>
      <c r="D690" t="s">
        <v>222</v>
      </c>
      <c r="E690" t="s">
        <v>30</v>
      </c>
      <c r="F690" s="6">
        <v>45291</v>
      </c>
      <c r="G690">
        <v>1302.483921</v>
      </c>
      <c r="H690">
        <v>6000.2702790000003</v>
      </c>
      <c r="I690">
        <v>1.3</v>
      </c>
      <c r="J690">
        <v>4.6067902891217347</v>
      </c>
      <c r="K690" t="s">
        <v>335</v>
      </c>
      <c r="L690" t="s">
        <v>335</v>
      </c>
      <c r="M690">
        <v>2023</v>
      </c>
      <c r="N690" t="s">
        <v>57</v>
      </c>
      <c r="O690" t="s">
        <v>47</v>
      </c>
      <c r="P690">
        <v>0</v>
      </c>
      <c r="Q690">
        <v>0</v>
      </c>
      <c r="R690">
        <v>1</v>
      </c>
      <c r="S690" t="s">
        <v>336</v>
      </c>
      <c r="T690" t="s">
        <v>1100</v>
      </c>
      <c r="U690">
        <v>1</v>
      </c>
    </row>
    <row r="691" spans="1:21" x14ac:dyDescent="0.3">
      <c r="A691" t="s">
        <v>1097</v>
      </c>
      <c r="B691" t="s">
        <v>1098</v>
      </c>
      <c r="C691" t="s">
        <v>225</v>
      </c>
      <c r="D691" t="s">
        <v>98</v>
      </c>
      <c r="E691" t="s">
        <v>30</v>
      </c>
      <c r="F691" s="6">
        <v>45657</v>
      </c>
      <c r="G691">
        <v>1</v>
      </c>
      <c r="H691">
        <v>1.37</v>
      </c>
      <c r="I691">
        <v>1.3</v>
      </c>
      <c r="J691">
        <v>1.37</v>
      </c>
      <c r="K691" t="s">
        <v>335</v>
      </c>
      <c r="L691" t="s">
        <v>335</v>
      </c>
      <c r="M691">
        <v>2024</v>
      </c>
      <c r="N691" t="s">
        <v>57</v>
      </c>
      <c r="O691" t="s">
        <v>78</v>
      </c>
      <c r="P691">
        <v>0</v>
      </c>
      <c r="Q691">
        <v>0</v>
      </c>
      <c r="R691">
        <v>0</v>
      </c>
      <c r="S691" t="s">
        <v>336</v>
      </c>
      <c r="T691" t="s">
        <v>1101</v>
      </c>
      <c r="U691">
        <v>1</v>
      </c>
    </row>
    <row r="692" spans="1:21" x14ac:dyDescent="0.3">
      <c r="A692" t="s">
        <v>1097</v>
      </c>
      <c r="B692" t="s">
        <v>1098</v>
      </c>
      <c r="C692" t="s">
        <v>225</v>
      </c>
      <c r="D692" t="s">
        <v>98</v>
      </c>
      <c r="E692" t="s">
        <v>30</v>
      </c>
      <c r="F692" s="6">
        <v>46022</v>
      </c>
      <c r="G692">
        <v>1</v>
      </c>
      <c r="H692" t="s">
        <v>1102</v>
      </c>
      <c r="I692">
        <v>1.3</v>
      </c>
      <c r="J692">
        <v>2.14</v>
      </c>
      <c r="K692" t="s">
        <v>617</v>
      </c>
      <c r="L692" t="s">
        <v>113</v>
      </c>
      <c r="M692">
        <v>2025</v>
      </c>
      <c r="N692" t="s">
        <v>57</v>
      </c>
      <c r="O692" t="s">
        <v>103</v>
      </c>
      <c r="P692">
        <v>2</v>
      </c>
      <c r="Q692">
        <v>2</v>
      </c>
      <c r="R692">
        <v>1</v>
      </c>
      <c r="S692" t="s">
        <v>336</v>
      </c>
      <c r="T692" t="s">
        <v>1103</v>
      </c>
      <c r="U692">
        <v>31</v>
      </c>
    </row>
    <row r="693" spans="1:21" x14ac:dyDescent="0.3">
      <c r="A693" t="s">
        <v>1104</v>
      </c>
      <c r="B693" t="s">
        <v>1105</v>
      </c>
      <c r="C693" t="s">
        <v>225</v>
      </c>
      <c r="D693" t="s">
        <v>222</v>
      </c>
      <c r="E693" t="s">
        <v>108</v>
      </c>
      <c r="F693" s="6">
        <v>45107</v>
      </c>
      <c r="G693">
        <v>114640.77968199999</v>
      </c>
      <c r="H693">
        <v>116015.126638</v>
      </c>
      <c r="I693">
        <v>1.011988290378103</v>
      </c>
      <c r="J693">
        <v>1.011988290378103</v>
      </c>
      <c r="K693" t="s">
        <v>335</v>
      </c>
      <c r="L693" t="s">
        <v>335</v>
      </c>
      <c r="M693">
        <v>2023</v>
      </c>
      <c r="N693" t="s">
        <v>44</v>
      </c>
      <c r="O693" t="s">
        <v>33</v>
      </c>
      <c r="P693">
        <v>0</v>
      </c>
      <c r="Q693">
        <v>0</v>
      </c>
      <c r="R693">
        <v>1</v>
      </c>
      <c r="S693" t="s">
        <v>336</v>
      </c>
      <c r="T693" t="s">
        <v>1106</v>
      </c>
      <c r="U693">
        <v>1</v>
      </c>
    </row>
    <row r="694" spans="1:21" x14ac:dyDescent="0.3">
      <c r="A694" t="s">
        <v>1104</v>
      </c>
      <c r="B694" t="s">
        <v>1105</v>
      </c>
      <c r="C694" t="s">
        <v>225</v>
      </c>
      <c r="D694" t="s">
        <v>222</v>
      </c>
      <c r="E694" t="s">
        <v>108</v>
      </c>
      <c r="F694" s="6">
        <v>45291</v>
      </c>
      <c r="G694">
        <v>238770.966572</v>
      </c>
      <c r="H694">
        <v>247359.733075</v>
      </c>
      <c r="I694">
        <v>1.035970732230588</v>
      </c>
      <c r="J694">
        <v>1.035970732230588</v>
      </c>
      <c r="K694" t="s">
        <v>335</v>
      </c>
      <c r="L694" t="s">
        <v>335</v>
      </c>
      <c r="M694">
        <v>2023</v>
      </c>
      <c r="N694" t="s">
        <v>57</v>
      </c>
      <c r="O694" t="s">
        <v>47</v>
      </c>
      <c r="P694">
        <v>0</v>
      </c>
      <c r="Q694">
        <v>0</v>
      </c>
      <c r="R694">
        <v>1</v>
      </c>
      <c r="S694" t="s">
        <v>336</v>
      </c>
      <c r="T694" t="s">
        <v>1107</v>
      </c>
      <c r="U694">
        <v>1</v>
      </c>
    </row>
    <row r="695" spans="1:21" x14ac:dyDescent="0.3">
      <c r="A695" t="s">
        <v>1104</v>
      </c>
      <c r="B695" t="s">
        <v>1105</v>
      </c>
      <c r="C695" t="s">
        <v>225</v>
      </c>
      <c r="D695" t="s">
        <v>222</v>
      </c>
      <c r="E695" t="s">
        <v>108</v>
      </c>
      <c r="F695" s="6">
        <v>45473</v>
      </c>
      <c r="G695">
        <v>128735.29679399999</v>
      </c>
      <c r="H695">
        <v>131039.3223</v>
      </c>
      <c r="I695">
        <v>1.017897387611471</v>
      </c>
      <c r="J695">
        <v>1.017897387611471</v>
      </c>
      <c r="K695" t="s">
        <v>335</v>
      </c>
      <c r="L695" t="s">
        <v>335</v>
      </c>
      <c r="M695">
        <v>2024</v>
      </c>
      <c r="N695" t="s">
        <v>44</v>
      </c>
      <c r="O695" t="s">
        <v>71</v>
      </c>
      <c r="P695">
        <v>0</v>
      </c>
      <c r="Q695">
        <v>0</v>
      </c>
      <c r="R695">
        <v>1</v>
      </c>
      <c r="S695" t="s">
        <v>336</v>
      </c>
      <c r="T695" t="s">
        <v>1108</v>
      </c>
      <c r="U695">
        <v>1</v>
      </c>
    </row>
    <row r="696" spans="1:21" x14ac:dyDescent="0.3">
      <c r="A696" t="s">
        <v>1104</v>
      </c>
      <c r="B696" t="s">
        <v>1105</v>
      </c>
      <c r="C696" t="s">
        <v>225</v>
      </c>
      <c r="D696" t="s">
        <v>222</v>
      </c>
      <c r="E696" t="s">
        <v>108</v>
      </c>
      <c r="F696" s="6">
        <v>45657</v>
      </c>
      <c r="G696">
        <v>262628.34438999998</v>
      </c>
      <c r="H696">
        <v>268399.19981700002</v>
      </c>
      <c r="I696">
        <v>1.0219734676407599</v>
      </c>
      <c r="J696">
        <v>1.0219734676407599</v>
      </c>
      <c r="K696" t="s">
        <v>335</v>
      </c>
      <c r="L696" t="s">
        <v>335</v>
      </c>
      <c r="M696">
        <v>2024</v>
      </c>
      <c r="N696" t="s">
        <v>57</v>
      </c>
      <c r="O696" t="s">
        <v>78</v>
      </c>
      <c r="P696">
        <v>0</v>
      </c>
      <c r="Q696">
        <v>0</v>
      </c>
      <c r="R696">
        <v>0</v>
      </c>
      <c r="S696" t="s">
        <v>336</v>
      </c>
      <c r="T696" t="s">
        <v>1109</v>
      </c>
      <c r="U696">
        <v>1</v>
      </c>
    </row>
    <row r="697" spans="1:21" x14ac:dyDescent="0.3">
      <c r="A697" t="s">
        <v>1104</v>
      </c>
      <c r="B697" t="s">
        <v>1105</v>
      </c>
      <c r="C697" t="s">
        <v>225</v>
      </c>
      <c r="D697" t="s">
        <v>222</v>
      </c>
      <c r="E697" t="s">
        <v>108</v>
      </c>
      <c r="F697" s="6">
        <v>45838</v>
      </c>
      <c r="G697">
        <v>100</v>
      </c>
      <c r="H697" t="s">
        <v>1110</v>
      </c>
      <c r="I697">
        <v>0.90171325518485113</v>
      </c>
      <c r="J697">
        <v>0.90171325518485113</v>
      </c>
      <c r="K697" t="s">
        <v>102</v>
      </c>
      <c r="L697" t="s">
        <v>1111</v>
      </c>
      <c r="M697">
        <v>2025</v>
      </c>
      <c r="N697" t="s">
        <v>44</v>
      </c>
      <c r="O697" t="s">
        <v>244</v>
      </c>
      <c r="P697">
        <v>2</v>
      </c>
      <c r="Q697">
        <v>2</v>
      </c>
      <c r="R697">
        <v>1</v>
      </c>
      <c r="S697" t="s">
        <v>336</v>
      </c>
      <c r="T697" t="s">
        <v>1112</v>
      </c>
      <c r="U697">
        <v>30</v>
      </c>
    </row>
    <row r="698" spans="1:21" x14ac:dyDescent="0.3">
      <c r="A698" t="s">
        <v>1104</v>
      </c>
      <c r="B698" t="s">
        <v>1105</v>
      </c>
      <c r="C698" t="s">
        <v>225</v>
      </c>
      <c r="D698" t="s">
        <v>222</v>
      </c>
      <c r="E698" t="s">
        <v>108</v>
      </c>
      <c r="F698" s="6">
        <v>46022</v>
      </c>
      <c r="G698">
        <v>100</v>
      </c>
      <c r="H698" t="s">
        <v>1113</v>
      </c>
      <c r="I698">
        <v>0.90399566082082805</v>
      </c>
      <c r="J698">
        <v>0.90399566082082805</v>
      </c>
      <c r="K698" t="s">
        <v>102</v>
      </c>
      <c r="L698" t="s">
        <v>1114</v>
      </c>
      <c r="M698">
        <v>2025</v>
      </c>
      <c r="N698" t="s">
        <v>57</v>
      </c>
      <c r="O698" t="s">
        <v>103</v>
      </c>
      <c r="P698">
        <v>2</v>
      </c>
      <c r="Q698">
        <v>2</v>
      </c>
      <c r="R698">
        <v>1</v>
      </c>
      <c r="S698" t="s">
        <v>336</v>
      </c>
      <c r="T698" t="s">
        <v>1115</v>
      </c>
      <c r="U698">
        <v>31</v>
      </c>
    </row>
    <row r="699" spans="1:21" x14ac:dyDescent="0.3">
      <c r="A699" t="s">
        <v>1116</v>
      </c>
      <c r="B699" t="s">
        <v>1117</v>
      </c>
      <c r="C699" t="s">
        <v>299</v>
      </c>
      <c r="D699" t="s">
        <v>29</v>
      </c>
      <c r="E699" t="s">
        <v>108</v>
      </c>
      <c r="F699" s="6">
        <v>44957</v>
      </c>
      <c r="H699">
        <v>1019</v>
      </c>
      <c r="K699" t="s">
        <v>1041</v>
      </c>
      <c r="L699" t="s">
        <v>1118</v>
      </c>
      <c r="M699">
        <v>2023</v>
      </c>
      <c r="N699" t="s">
        <v>32</v>
      </c>
      <c r="O699" t="s">
        <v>33</v>
      </c>
      <c r="P699">
        <v>0</v>
      </c>
      <c r="Q699">
        <v>0</v>
      </c>
      <c r="R699">
        <v>0</v>
      </c>
      <c r="S699" t="s">
        <v>336</v>
      </c>
      <c r="T699" t="s">
        <v>1119</v>
      </c>
      <c r="U699">
        <v>1</v>
      </c>
    </row>
    <row r="700" spans="1:21" x14ac:dyDescent="0.3">
      <c r="A700" t="s">
        <v>1116</v>
      </c>
      <c r="B700" t="s">
        <v>1117</v>
      </c>
      <c r="C700" t="s">
        <v>299</v>
      </c>
      <c r="D700" t="s">
        <v>29</v>
      </c>
      <c r="E700" t="s">
        <v>108</v>
      </c>
      <c r="F700" s="6">
        <v>44985</v>
      </c>
      <c r="H700">
        <v>896</v>
      </c>
      <c r="K700" t="s">
        <v>1041</v>
      </c>
      <c r="L700" t="s">
        <v>1118</v>
      </c>
      <c r="M700">
        <v>2023</v>
      </c>
      <c r="N700" t="s">
        <v>36</v>
      </c>
      <c r="O700" t="s">
        <v>33</v>
      </c>
      <c r="P700">
        <v>0</v>
      </c>
      <c r="Q700">
        <v>0</v>
      </c>
      <c r="R700">
        <v>0</v>
      </c>
      <c r="S700" t="s">
        <v>336</v>
      </c>
      <c r="T700" t="s">
        <v>1120</v>
      </c>
      <c r="U700">
        <v>1</v>
      </c>
    </row>
    <row r="701" spans="1:21" x14ac:dyDescent="0.3">
      <c r="A701" t="s">
        <v>1116</v>
      </c>
      <c r="B701" t="s">
        <v>1117</v>
      </c>
      <c r="C701" t="s">
        <v>299</v>
      </c>
      <c r="D701" t="s">
        <v>29</v>
      </c>
      <c r="E701" t="s">
        <v>108</v>
      </c>
      <c r="F701" s="6">
        <v>45016</v>
      </c>
      <c r="H701">
        <v>962</v>
      </c>
      <c r="K701" t="s">
        <v>1041</v>
      </c>
      <c r="L701" t="s">
        <v>1118</v>
      </c>
      <c r="M701">
        <v>2023</v>
      </c>
      <c r="N701" t="s">
        <v>38</v>
      </c>
      <c r="O701" t="s">
        <v>33</v>
      </c>
      <c r="P701">
        <v>0</v>
      </c>
      <c r="Q701">
        <v>0</v>
      </c>
      <c r="R701">
        <v>0</v>
      </c>
      <c r="S701" t="s">
        <v>336</v>
      </c>
      <c r="T701" t="s">
        <v>1121</v>
      </c>
      <c r="U701">
        <v>1</v>
      </c>
    </row>
    <row r="702" spans="1:21" x14ac:dyDescent="0.3">
      <c r="A702" t="s">
        <v>1116</v>
      </c>
      <c r="B702" t="s">
        <v>1117</v>
      </c>
      <c r="C702" t="s">
        <v>299</v>
      </c>
      <c r="D702" t="s">
        <v>29</v>
      </c>
      <c r="E702" t="s">
        <v>108</v>
      </c>
      <c r="F702" s="6">
        <v>45046</v>
      </c>
      <c r="H702">
        <v>957.6</v>
      </c>
      <c r="K702" t="s">
        <v>1041</v>
      </c>
      <c r="L702" t="s">
        <v>1118</v>
      </c>
      <c r="M702">
        <v>2023</v>
      </c>
      <c r="N702" t="s">
        <v>40</v>
      </c>
      <c r="O702" t="s">
        <v>33</v>
      </c>
      <c r="P702">
        <v>0</v>
      </c>
      <c r="Q702">
        <v>0</v>
      </c>
      <c r="R702">
        <v>0</v>
      </c>
      <c r="S702" t="s">
        <v>336</v>
      </c>
      <c r="T702" t="s">
        <v>1122</v>
      </c>
      <c r="U702">
        <v>1</v>
      </c>
    </row>
    <row r="703" spans="1:21" x14ac:dyDescent="0.3">
      <c r="A703" t="s">
        <v>1116</v>
      </c>
      <c r="B703" t="s">
        <v>1117</v>
      </c>
      <c r="C703" t="s">
        <v>299</v>
      </c>
      <c r="D703" t="s">
        <v>29</v>
      </c>
      <c r="E703" t="s">
        <v>108</v>
      </c>
      <c r="F703" s="6">
        <v>45077</v>
      </c>
      <c r="H703">
        <v>1268</v>
      </c>
      <c r="K703" t="s">
        <v>1041</v>
      </c>
      <c r="L703" t="s">
        <v>1118</v>
      </c>
      <c r="M703">
        <v>2023</v>
      </c>
      <c r="N703" t="s">
        <v>42</v>
      </c>
      <c r="O703" t="s">
        <v>33</v>
      </c>
      <c r="P703">
        <v>0</v>
      </c>
      <c r="Q703">
        <v>0</v>
      </c>
      <c r="R703">
        <v>0</v>
      </c>
      <c r="S703" t="s">
        <v>336</v>
      </c>
      <c r="T703" t="s">
        <v>1123</v>
      </c>
      <c r="U703">
        <v>1</v>
      </c>
    </row>
    <row r="704" spans="1:21" x14ac:dyDescent="0.3">
      <c r="A704" t="s">
        <v>1116</v>
      </c>
      <c r="B704" t="s">
        <v>1117</v>
      </c>
      <c r="C704" t="s">
        <v>299</v>
      </c>
      <c r="D704" t="s">
        <v>29</v>
      </c>
      <c r="E704" t="s">
        <v>108</v>
      </c>
      <c r="F704" s="6">
        <v>45107</v>
      </c>
      <c r="H704">
        <v>1457</v>
      </c>
      <c r="K704" t="s">
        <v>1041</v>
      </c>
      <c r="L704" t="s">
        <v>1118</v>
      </c>
      <c r="M704">
        <v>2023</v>
      </c>
      <c r="N704" t="s">
        <v>44</v>
      </c>
      <c r="O704" t="s">
        <v>33</v>
      </c>
      <c r="P704">
        <v>0</v>
      </c>
      <c r="Q704">
        <v>0</v>
      </c>
      <c r="R704">
        <v>0</v>
      </c>
      <c r="S704" t="s">
        <v>336</v>
      </c>
      <c r="T704" t="s">
        <v>1124</v>
      </c>
      <c r="U704">
        <v>1</v>
      </c>
    </row>
    <row r="705" spans="1:21" x14ac:dyDescent="0.3">
      <c r="A705" t="s">
        <v>1116</v>
      </c>
      <c r="B705" t="s">
        <v>1117</v>
      </c>
      <c r="C705" t="s">
        <v>299</v>
      </c>
      <c r="D705" t="s">
        <v>29</v>
      </c>
      <c r="E705" t="s">
        <v>108</v>
      </c>
      <c r="F705" s="6">
        <v>45138</v>
      </c>
      <c r="H705">
        <v>1160</v>
      </c>
      <c r="K705" t="s">
        <v>1041</v>
      </c>
      <c r="L705" t="s">
        <v>1118</v>
      </c>
      <c r="M705">
        <v>2023</v>
      </c>
      <c r="N705" t="s">
        <v>46</v>
      </c>
      <c r="O705" t="s">
        <v>47</v>
      </c>
      <c r="P705">
        <v>0</v>
      </c>
      <c r="Q705">
        <v>0</v>
      </c>
      <c r="R705">
        <v>0</v>
      </c>
      <c r="S705" t="s">
        <v>336</v>
      </c>
      <c r="T705" t="s">
        <v>1125</v>
      </c>
      <c r="U705">
        <v>1</v>
      </c>
    </row>
    <row r="706" spans="1:21" x14ac:dyDescent="0.3">
      <c r="A706" t="s">
        <v>1116</v>
      </c>
      <c r="B706" t="s">
        <v>1117</v>
      </c>
      <c r="C706" t="s">
        <v>299</v>
      </c>
      <c r="D706" t="s">
        <v>29</v>
      </c>
      <c r="E706" t="s">
        <v>108</v>
      </c>
      <c r="F706" s="6">
        <v>45169</v>
      </c>
      <c r="H706">
        <v>1275</v>
      </c>
      <c r="K706" t="s">
        <v>1041</v>
      </c>
      <c r="L706" t="s">
        <v>1118</v>
      </c>
      <c r="M706">
        <v>2023</v>
      </c>
      <c r="N706" t="s">
        <v>49</v>
      </c>
      <c r="O706" t="s">
        <v>47</v>
      </c>
      <c r="P706">
        <v>0</v>
      </c>
      <c r="Q706">
        <v>0</v>
      </c>
      <c r="R706">
        <v>0</v>
      </c>
      <c r="S706" t="s">
        <v>336</v>
      </c>
      <c r="T706" t="s">
        <v>1126</v>
      </c>
      <c r="U706">
        <v>1</v>
      </c>
    </row>
    <row r="707" spans="1:21" x14ac:dyDescent="0.3">
      <c r="A707" t="s">
        <v>1116</v>
      </c>
      <c r="B707" t="s">
        <v>1117</v>
      </c>
      <c r="C707" t="s">
        <v>299</v>
      </c>
      <c r="D707" t="s">
        <v>29</v>
      </c>
      <c r="E707" t="s">
        <v>108</v>
      </c>
      <c r="F707" s="6">
        <v>45199</v>
      </c>
      <c r="H707">
        <v>1453.5</v>
      </c>
      <c r="K707" t="s">
        <v>1041</v>
      </c>
      <c r="L707" t="s">
        <v>1118</v>
      </c>
      <c r="M707">
        <v>2023</v>
      </c>
      <c r="N707" t="s">
        <v>51</v>
      </c>
      <c r="O707" t="s">
        <v>47</v>
      </c>
      <c r="P707">
        <v>0</v>
      </c>
      <c r="Q707">
        <v>0</v>
      </c>
      <c r="R707">
        <v>0</v>
      </c>
      <c r="S707" t="s">
        <v>336</v>
      </c>
      <c r="T707" t="s">
        <v>1127</v>
      </c>
      <c r="U707">
        <v>1</v>
      </c>
    </row>
    <row r="708" spans="1:21" x14ac:dyDescent="0.3">
      <c r="A708" t="s">
        <v>1116</v>
      </c>
      <c r="B708" t="s">
        <v>1117</v>
      </c>
      <c r="C708" t="s">
        <v>299</v>
      </c>
      <c r="D708" t="s">
        <v>29</v>
      </c>
      <c r="E708" t="s">
        <v>108</v>
      </c>
      <c r="F708" s="6">
        <v>45230</v>
      </c>
      <c r="H708">
        <v>1575.9</v>
      </c>
      <c r="K708" t="s">
        <v>1041</v>
      </c>
      <c r="L708" t="s">
        <v>1118</v>
      </c>
      <c r="M708">
        <v>2023</v>
      </c>
      <c r="N708" t="s">
        <v>53</v>
      </c>
      <c r="O708" t="s">
        <v>47</v>
      </c>
      <c r="P708">
        <v>0</v>
      </c>
      <c r="Q708">
        <v>0</v>
      </c>
      <c r="R708">
        <v>0</v>
      </c>
      <c r="S708" t="s">
        <v>336</v>
      </c>
      <c r="T708" t="s">
        <v>1128</v>
      </c>
      <c r="U708">
        <v>1</v>
      </c>
    </row>
    <row r="709" spans="1:21" x14ac:dyDescent="0.3">
      <c r="A709" t="s">
        <v>1116</v>
      </c>
      <c r="B709" t="s">
        <v>1117</v>
      </c>
      <c r="C709" t="s">
        <v>299</v>
      </c>
      <c r="D709" t="s">
        <v>29</v>
      </c>
      <c r="E709" t="s">
        <v>108</v>
      </c>
      <c r="F709" s="6">
        <v>45260</v>
      </c>
      <c r="H709">
        <v>1380</v>
      </c>
      <c r="K709" t="s">
        <v>1041</v>
      </c>
      <c r="L709" t="s">
        <v>1118</v>
      </c>
      <c r="M709">
        <v>2023</v>
      </c>
      <c r="N709" t="s">
        <v>55</v>
      </c>
      <c r="O709" t="s">
        <v>47</v>
      </c>
      <c r="P709">
        <v>0</v>
      </c>
      <c r="Q709">
        <v>0</v>
      </c>
      <c r="R709">
        <v>0</v>
      </c>
      <c r="S709" t="s">
        <v>336</v>
      </c>
      <c r="T709" t="s">
        <v>1129</v>
      </c>
      <c r="U709">
        <v>1</v>
      </c>
    </row>
    <row r="710" spans="1:21" x14ac:dyDescent="0.3">
      <c r="A710" t="s">
        <v>1116</v>
      </c>
      <c r="B710" t="s">
        <v>1117</v>
      </c>
      <c r="C710" t="s">
        <v>299</v>
      </c>
      <c r="D710" t="s">
        <v>29</v>
      </c>
      <c r="E710" t="s">
        <v>108</v>
      </c>
      <c r="F710" s="6">
        <v>45291</v>
      </c>
      <c r="H710">
        <v>1336</v>
      </c>
      <c r="K710" t="s">
        <v>1041</v>
      </c>
      <c r="L710" t="s">
        <v>1118</v>
      </c>
      <c r="M710">
        <v>2023</v>
      </c>
      <c r="N710" t="s">
        <v>57</v>
      </c>
      <c r="O710" t="s">
        <v>47</v>
      </c>
      <c r="P710">
        <v>0</v>
      </c>
      <c r="Q710">
        <v>0</v>
      </c>
      <c r="R710">
        <v>0</v>
      </c>
      <c r="S710" t="s">
        <v>336</v>
      </c>
      <c r="T710" t="s">
        <v>1130</v>
      </c>
      <c r="U710">
        <v>1</v>
      </c>
    </row>
    <row r="711" spans="1:21" x14ac:dyDescent="0.3">
      <c r="A711" t="s">
        <v>1116</v>
      </c>
      <c r="B711" t="s">
        <v>1117</v>
      </c>
      <c r="C711" t="s">
        <v>299</v>
      </c>
      <c r="D711" t="s">
        <v>29</v>
      </c>
      <c r="E711" t="s">
        <v>108</v>
      </c>
      <c r="F711" s="6">
        <v>45322</v>
      </c>
      <c r="G711">
        <v>1700</v>
      </c>
      <c r="H711">
        <v>1326</v>
      </c>
      <c r="I711">
        <v>1.2820512820512819</v>
      </c>
      <c r="J711">
        <v>1.2820512820512819</v>
      </c>
      <c r="K711" t="s">
        <v>1118</v>
      </c>
      <c r="L711" t="s">
        <v>1118</v>
      </c>
      <c r="M711">
        <v>2024</v>
      </c>
      <c r="N711" t="s">
        <v>32</v>
      </c>
      <c r="O711" t="s">
        <v>71</v>
      </c>
      <c r="P711">
        <v>0</v>
      </c>
      <c r="Q711">
        <v>0</v>
      </c>
      <c r="R711">
        <v>0</v>
      </c>
      <c r="S711" t="s">
        <v>336</v>
      </c>
      <c r="T711" t="s">
        <v>1131</v>
      </c>
      <c r="U711">
        <v>1</v>
      </c>
    </row>
    <row r="712" spans="1:21" x14ac:dyDescent="0.3">
      <c r="A712" t="s">
        <v>1116</v>
      </c>
      <c r="B712" t="s">
        <v>1117</v>
      </c>
      <c r="C712" t="s">
        <v>299</v>
      </c>
      <c r="D712" t="s">
        <v>29</v>
      </c>
      <c r="E712" t="s">
        <v>108</v>
      </c>
      <c r="F712" s="6">
        <v>45351</v>
      </c>
      <c r="G712">
        <v>1700</v>
      </c>
      <c r="H712">
        <v>1307</v>
      </c>
      <c r="I712">
        <v>1.3</v>
      </c>
      <c r="J712">
        <v>1.3006885998469779</v>
      </c>
      <c r="K712" t="s">
        <v>1118</v>
      </c>
      <c r="L712" t="s">
        <v>1118</v>
      </c>
      <c r="M712">
        <v>2024</v>
      </c>
      <c r="N712" t="s">
        <v>36</v>
      </c>
      <c r="O712" t="s">
        <v>71</v>
      </c>
      <c r="P712">
        <v>0</v>
      </c>
      <c r="Q712">
        <v>0</v>
      </c>
      <c r="R712">
        <v>0</v>
      </c>
      <c r="S712" t="s">
        <v>336</v>
      </c>
      <c r="T712" t="s">
        <v>1132</v>
      </c>
      <c r="U712">
        <v>1</v>
      </c>
    </row>
    <row r="713" spans="1:21" x14ac:dyDescent="0.3">
      <c r="A713" t="s">
        <v>1116</v>
      </c>
      <c r="B713" t="s">
        <v>1117</v>
      </c>
      <c r="C713" t="s">
        <v>299</v>
      </c>
      <c r="D713" t="s">
        <v>29</v>
      </c>
      <c r="E713" t="s">
        <v>108</v>
      </c>
      <c r="F713" s="6">
        <v>45382</v>
      </c>
      <c r="G713">
        <v>1700</v>
      </c>
      <c r="H713">
        <v>1474.5</v>
      </c>
      <c r="I713">
        <v>1.152933197694133</v>
      </c>
      <c r="J713">
        <v>1.152933197694133</v>
      </c>
      <c r="K713" t="s">
        <v>1118</v>
      </c>
      <c r="L713" t="s">
        <v>1118</v>
      </c>
      <c r="M713">
        <v>2024</v>
      </c>
      <c r="N713" t="s">
        <v>38</v>
      </c>
      <c r="O713" t="s">
        <v>71</v>
      </c>
      <c r="P713">
        <v>0</v>
      </c>
      <c r="Q713">
        <v>0</v>
      </c>
      <c r="R713">
        <v>0</v>
      </c>
      <c r="S713" t="s">
        <v>336</v>
      </c>
      <c r="T713" t="s">
        <v>1133</v>
      </c>
      <c r="U713">
        <v>1</v>
      </c>
    </row>
    <row r="714" spans="1:21" x14ac:dyDescent="0.3">
      <c r="A714" t="s">
        <v>1116</v>
      </c>
      <c r="B714" t="s">
        <v>1117</v>
      </c>
      <c r="C714" t="s">
        <v>299</v>
      </c>
      <c r="D714" t="s">
        <v>29</v>
      </c>
      <c r="E714" t="s">
        <v>108</v>
      </c>
      <c r="F714" s="6">
        <v>45412</v>
      </c>
      <c r="G714">
        <v>1700</v>
      </c>
      <c r="H714">
        <v>1526</v>
      </c>
      <c r="I714">
        <v>1.1140235910878109</v>
      </c>
      <c r="J714">
        <v>1.1140235910878109</v>
      </c>
      <c r="K714" t="s">
        <v>1118</v>
      </c>
      <c r="L714" t="s">
        <v>1118</v>
      </c>
      <c r="M714">
        <v>2024</v>
      </c>
      <c r="N714" t="s">
        <v>40</v>
      </c>
      <c r="O714" t="s">
        <v>71</v>
      </c>
      <c r="P714">
        <v>0</v>
      </c>
      <c r="Q714">
        <v>0</v>
      </c>
      <c r="R714">
        <v>0</v>
      </c>
      <c r="S714" t="s">
        <v>336</v>
      </c>
      <c r="T714" t="s">
        <v>1134</v>
      </c>
      <c r="U714">
        <v>1</v>
      </c>
    </row>
    <row r="715" spans="1:21" x14ac:dyDescent="0.3">
      <c r="A715" t="s">
        <v>1116</v>
      </c>
      <c r="B715" t="s">
        <v>1117</v>
      </c>
      <c r="C715" t="s">
        <v>299</v>
      </c>
      <c r="D715" t="s">
        <v>29</v>
      </c>
      <c r="E715" t="s">
        <v>108</v>
      </c>
      <c r="F715" s="6">
        <v>45443</v>
      </c>
      <c r="G715">
        <v>1700</v>
      </c>
      <c r="H715">
        <v>1517.5</v>
      </c>
      <c r="I715">
        <v>1.1202635914332779</v>
      </c>
      <c r="J715">
        <v>1.1202635914332779</v>
      </c>
      <c r="K715" t="s">
        <v>1118</v>
      </c>
      <c r="L715" t="s">
        <v>1118</v>
      </c>
      <c r="M715">
        <v>2024</v>
      </c>
      <c r="N715" t="s">
        <v>42</v>
      </c>
      <c r="O715" t="s">
        <v>71</v>
      </c>
      <c r="P715">
        <v>0</v>
      </c>
      <c r="Q715">
        <v>0</v>
      </c>
      <c r="R715">
        <v>0</v>
      </c>
      <c r="S715" t="s">
        <v>336</v>
      </c>
      <c r="T715" t="s">
        <v>1135</v>
      </c>
      <c r="U715">
        <v>1</v>
      </c>
    </row>
    <row r="716" spans="1:21" x14ac:dyDescent="0.3">
      <c r="A716" t="s">
        <v>1116</v>
      </c>
      <c r="B716" t="s">
        <v>1117</v>
      </c>
      <c r="C716" t="s">
        <v>299</v>
      </c>
      <c r="D716" t="s">
        <v>29</v>
      </c>
      <c r="E716" t="s">
        <v>108</v>
      </c>
      <c r="F716" s="6">
        <v>45473</v>
      </c>
      <c r="G716">
        <v>1700</v>
      </c>
      <c r="H716">
        <v>1291</v>
      </c>
      <c r="I716">
        <v>1.3</v>
      </c>
      <c r="J716">
        <v>1.3168086754453909</v>
      </c>
      <c r="K716" t="s">
        <v>1118</v>
      </c>
      <c r="L716" t="s">
        <v>1118</v>
      </c>
      <c r="M716">
        <v>2024</v>
      </c>
      <c r="N716" t="s">
        <v>44</v>
      </c>
      <c r="O716" t="s">
        <v>71</v>
      </c>
      <c r="P716">
        <v>0</v>
      </c>
      <c r="Q716">
        <v>0</v>
      </c>
      <c r="R716">
        <v>0</v>
      </c>
      <c r="S716" t="s">
        <v>336</v>
      </c>
      <c r="T716" t="s">
        <v>1136</v>
      </c>
      <c r="U716">
        <v>1</v>
      </c>
    </row>
    <row r="717" spans="1:21" x14ac:dyDescent="0.3">
      <c r="A717" t="s">
        <v>1116</v>
      </c>
      <c r="B717" t="s">
        <v>1117</v>
      </c>
      <c r="C717" t="s">
        <v>299</v>
      </c>
      <c r="D717" t="s">
        <v>29</v>
      </c>
      <c r="E717" t="s">
        <v>108</v>
      </c>
      <c r="F717" s="6">
        <v>45504</v>
      </c>
      <c r="G717">
        <v>1700</v>
      </c>
      <c r="H717">
        <v>1086</v>
      </c>
      <c r="I717">
        <v>1.3</v>
      </c>
      <c r="J717">
        <v>1.565377532228361</v>
      </c>
      <c r="K717" t="s">
        <v>1118</v>
      </c>
      <c r="L717" t="s">
        <v>1118</v>
      </c>
      <c r="M717">
        <v>2024</v>
      </c>
      <c r="N717" t="s">
        <v>46</v>
      </c>
      <c r="O717" t="s">
        <v>78</v>
      </c>
      <c r="P717">
        <v>0</v>
      </c>
      <c r="Q717">
        <v>0</v>
      </c>
      <c r="R717">
        <v>0</v>
      </c>
      <c r="S717" t="s">
        <v>336</v>
      </c>
      <c r="T717" t="s">
        <v>1137</v>
      </c>
      <c r="U717">
        <v>1</v>
      </c>
    </row>
    <row r="718" spans="1:21" x14ac:dyDescent="0.3">
      <c r="A718" t="s">
        <v>1116</v>
      </c>
      <c r="B718" t="s">
        <v>1117</v>
      </c>
      <c r="C718" t="s">
        <v>299</v>
      </c>
      <c r="D718" t="s">
        <v>29</v>
      </c>
      <c r="E718" t="s">
        <v>108</v>
      </c>
      <c r="F718" s="6">
        <v>45535</v>
      </c>
      <c r="G718">
        <v>1700</v>
      </c>
      <c r="H718">
        <v>1281.5</v>
      </c>
      <c r="I718">
        <v>1.3</v>
      </c>
      <c r="J718">
        <v>1.3265704252828721</v>
      </c>
      <c r="K718" t="s">
        <v>1118</v>
      </c>
      <c r="L718" t="s">
        <v>1118</v>
      </c>
      <c r="M718">
        <v>2024</v>
      </c>
      <c r="N718" t="s">
        <v>49</v>
      </c>
      <c r="O718" t="s">
        <v>78</v>
      </c>
      <c r="P718">
        <v>0</v>
      </c>
      <c r="Q718">
        <v>0</v>
      </c>
      <c r="R718">
        <v>0</v>
      </c>
      <c r="S718" t="s">
        <v>336</v>
      </c>
      <c r="T718" t="s">
        <v>1138</v>
      </c>
      <c r="U718">
        <v>1</v>
      </c>
    </row>
    <row r="719" spans="1:21" x14ac:dyDescent="0.3">
      <c r="A719" t="s">
        <v>1116</v>
      </c>
      <c r="B719" t="s">
        <v>1117</v>
      </c>
      <c r="C719" t="s">
        <v>299</v>
      </c>
      <c r="D719" t="s">
        <v>29</v>
      </c>
      <c r="E719" t="s">
        <v>108</v>
      </c>
      <c r="F719" s="6">
        <v>45565</v>
      </c>
      <c r="G719">
        <v>1700</v>
      </c>
      <c r="H719">
        <v>1466</v>
      </c>
      <c r="I719">
        <v>1.159618008185539</v>
      </c>
      <c r="J719">
        <v>1.159618008185539</v>
      </c>
      <c r="K719" t="s">
        <v>1118</v>
      </c>
      <c r="L719" t="s">
        <v>1118</v>
      </c>
      <c r="M719">
        <v>2024</v>
      </c>
      <c r="N719" t="s">
        <v>51</v>
      </c>
      <c r="O719" t="s">
        <v>78</v>
      </c>
      <c r="P719">
        <v>0</v>
      </c>
      <c r="Q719">
        <v>0</v>
      </c>
      <c r="R719">
        <v>0</v>
      </c>
      <c r="S719" t="s">
        <v>336</v>
      </c>
      <c r="T719" t="s">
        <v>1139</v>
      </c>
      <c r="U719">
        <v>1</v>
      </c>
    </row>
    <row r="720" spans="1:21" x14ac:dyDescent="0.3">
      <c r="A720" t="s">
        <v>1116</v>
      </c>
      <c r="B720" t="s">
        <v>1117</v>
      </c>
      <c r="C720" t="s">
        <v>299</v>
      </c>
      <c r="D720" t="s">
        <v>29</v>
      </c>
      <c r="E720" t="s">
        <v>108</v>
      </c>
      <c r="F720" s="6">
        <v>45596</v>
      </c>
      <c r="G720">
        <v>1700</v>
      </c>
      <c r="H720">
        <v>1345</v>
      </c>
      <c r="I720">
        <v>1.2639405204460969</v>
      </c>
      <c r="J720">
        <v>1.2639405204460969</v>
      </c>
      <c r="K720" t="s">
        <v>1118</v>
      </c>
      <c r="L720" t="s">
        <v>1118</v>
      </c>
      <c r="M720">
        <v>2024</v>
      </c>
      <c r="N720" t="s">
        <v>53</v>
      </c>
      <c r="O720" t="s">
        <v>78</v>
      </c>
      <c r="P720">
        <v>0</v>
      </c>
      <c r="Q720">
        <v>0</v>
      </c>
      <c r="R720">
        <v>0</v>
      </c>
      <c r="S720" t="s">
        <v>336</v>
      </c>
      <c r="T720" t="s">
        <v>1140</v>
      </c>
      <c r="U720">
        <v>1</v>
      </c>
    </row>
    <row r="721" spans="1:21" x14ac:dyDescent="0.3">
      <c r="A721" t="s">
        <v>1116</v>
      </c>
      <c r="B721" t="s">
        <v>1117</v>
      </c>
      <c r="C721" t="s">
        <v>299</v>
      </c>
      <c r="D721" t="s">
        <v>29</v>
      </c>
      <c r="E721" t="s">
        <v>108</v>
      </c>
      <c r="F721" s="6">
        <v>45626</v>
      </c>
      <c r="G721">
        <v>1700</v>
      </c>
      <c r="H721">
        <v>1115</v>
      </c>
      <c r="I721">
        <v>1.3</v>
      </c>
      <c r="J721">
        <v>1.524663677130045</v>
      </c>
      <c r="K721" t="s">
        <v>1118</v>
      </c>
      <c r="L721" t="s">
        <v>1118</v>
      </c>
      <c r="M721">
        <v>2024</v>
      </c>
      <c r="N721" t="s">
        <v>55</v>
      </c>
      <c r="O721" t="s">
        <v>78</v>
      </c>
      <c r="P721">
        <v>0</v>
      </c>
      <c r="Q721">
        <v>0</v>
      </c>
      <c r="R721">
        <v>0</v>
      </c>
      <c r="S721" t="s">
        <v>336</v>
      </c>
      <c r="T721" t="s">
        <v>1141</v>
      </c>
      <c r="U721">
        <v>1</v>
      </c>
    </row>
    <row r="722" spans="1:21" x14ac:dyDescent="0.3">
      <c r="A722" t="s">
        <v>1116</v>
      </c>
      <c r="B722" t="s">
        <v>1117</v>
      </c>
      <c r="C722" t="s">
        <v>299</v>
      </c>
      <c r="D722" t="s">
        <v>29</v>
      </c>
      <c r="E722" t="s">
        <v>108</v>
      </c>
      <c r="F722" s="6">
        <v>45657</v>
      </c>
      <c r="G722">
        <v>1700</v>
      </c>
      <c r="H722">
        <v>939</v>
      </c>
      <c r="I722">
        <v>1.3</v>
      </c>
      <c r="J722">
        <v>1.8104366347177849</v>
      </c>
      <c r="K722" t="s">
        <v>1118</v>
      </c>
      <c r="L722" t="s">
        <v>1118</v>
      </c>
      <c r="M722">
        <v>2024</v>
      </c>
      <c r="N722" t="s">
        <v>57</v>
      </c>
      <c r="O722" t="s">
        <v>78</v>
      </c>
      <c r="P722">
        <v>0</v>
      </c>
      <c r="Q722">
        <v>0</v>
      </c>
      <c r="R722">
        <v>0</v>
      </c>
      <c r="S722" t="s">
        <v>336</v>
      </c>
      <c r="T722" t="s">
        <v>1142</v>
      </c>
      <c r="U722">
        <v>1</v>
      </c>
    </row>
    <row r="723" spans="1:21" x14ac:dyDescent="0.3">
      <c r="A723" t="s">
        <v>1116</v>
      </c>
      <c r="B723" t="s">
        <v>1117</v>
      </c>
      <c r="C723" t="s">
        <v>299</v>
      </c>
      <c r="D723" t="s">
        <v>29</v>
      </c>
      <c r="E723" t="s">
        <v>108</v>
      </c>
      <c r="F723" s="6">
        <v>45688</v>
      </c>
      <c r="G723">
        <v>1</v>
      </c>
      <c r="H723" t="s">
        <v>1143</v>
      </c>
      <c r="I723">
        <v>1.25E-3</v>
      </c>
      <c r="J723">
        <v>1.25E-3</v>
      </c>
      <c r="K723" t="s">
        <v>617</v>
      </c>
      <c r="L723" t="s">
        <v>1144</v>
      </c>
      <c r="M723">
        <v>2025</v>
      </c>
      <c r="N723" t="s">
        <v>32</v>
      </c>
      <c r="O723" t="s">
        <v>244</v>
      </c>
      <c r="P723">
        <v>2</v>
      </c>
      <c r="Q723">
        <v>2</v>
      </c>
      <c r="R723">
        <v>0</v>
      </c>
      <c r="S723" t="s">
        <v>336</v>
      </c>
      <c r="T723" t="s">
        <v>1145</v>
      </c>
      <c r="U723">
        <v>31</v>
      </c>
    </row>
    <row r="724" spans="1:21" x14ac:dyDescent="0.3">
      <c r="A724" t="s">
        <v>1116</v>
      </c>
      <c r="B724" t="s">
        <v>1117</v>
      </c>
      <c r="C724" t="s">
        <v>299</v>
      </c>
      <c r="D724" t="s">
        <v>29</v>
      </c>
      <c r="E724" t="s">
        <v>108</v>
      </c>
      <c r="F724" s="6">
        <v>45716</v>
      </c>
      <c r="G724">
        <v>1</v>
      </c>
      <c r="H724" t="s">
        <v>1146</v>
      </c>
      <c r="I724">
        <v>8.9047195013357077E-4</v>
      </c>
      <c r="J724">
        <v>8.9047195013357077E-4</v>
      </c>
      <c r="K724" t="s">
        <v>617</v>
      </c>
      <c r="L724" t="s">
        <v>1147</v>
      </c>
      <c r="M724">
        <v>2025</v>
      </c>
      <c r="N724" t="s">
        <v>36</v>
      </c>
      <c r="O724" t="s">
        <v>244</v>
      </c>
      <c r="P724">
        <v>2</v>
      </c>
      <c r="Q724">
        <v>2</v>
      </c>
      <c r="R724">
        <v>0</v>
      </c>
      <c r="S724" t="s">
        <v>336</v>
      </c>
      <c r="T724" t="s">
        <v>1148</v>
      </c>
      <c r="U724">
        <v>28</v>
      </c>
    </row>
    <row r="725" spans="1:21" x14ac:dyDescent="0.3">
      <c r="A725" t="s">
        <v>1116</v>
      </c>
      <c r="B725" t="s">
        <v>1117</v>
      </c>
      <c r="C725" t="s">
        <v>299</v>
      </c>
      <c r="D725" t="s">
        <v>29</v>
      </c>
      <c r="E725" t="s">
        <v>108</v>
      </c>
      <c r="F725" s="6">
        <v>45747</v>
      </c>
      <c r="G725">
        <v>1</v>
      </c>
      <c r="H725" t="s">
        <v>1149</v>
      </c>
      <c r="I725">
        <v>7.6365024818633069E-4</v>
      </c>
      <c r="J725">
        <v>7.6365024818633069E-4</v>
      </c>
      <c r="K725" t="s">
        <v>617</v>
      </c>
      <c r="L725" t="s">
        <v>1150</v>
      </c>
      <c r="M725">
        <v>2025</v>
      </c>
      <c r="N725" t="s">
        <v>38</v>
      </c>
      <c r="O725" t="s">
        <v>244</v>
      </c>
      <c r="P725">
        <v>2</v>
      </c>
      <c r="Q725">
        <v>2</v>
      </c>
      <c r="R725">
        <v>0</v>
      </c>
      <c r="S725" t="s">
        <v>336</v>
      </c>
      <c r="T725" t="s">
        <v>1151</v>
      </c>
      <c r="U725">
        <v>31</v>
      </c>
    </row>
    <row r="726" spans="1:21" x14ac:dyDescent="0.3">
      <c r="A726" t="s">
        <v>1116</v>
      </c>
      <c r="B726" t="s">
        <v>1117</v>
      </c>
      <c r="C726" t="s">
        <v>299</v>
      </c>
      <c r="D726" t="s">
        <v>29</v>
      </c>
      <c r="E726" t="s">
        <v>108</v>
      </c>
      <c r="F726" s="6">
        <v>45777</v>
      </c>
      <c r="G726">
        <v>1</v>
      </c>
      <c r="H726" t="s">
        <v>1152</v>
      </c>
      <c r="I726">
        <v>7.8678206136900079E-4</v>
      </c>
      <c r="J726">
        <v>7.8678206136900079E-4</v>
      </c>
      <c r="K726" t="s">
        <v>617</v>
      </c>
      <c r="L726" t="s">
        <v>1153</v>
      </c>
      <c r="M726">
        <v>2025</v>
      </c>
      <c r="N726" t="s">
        <v>40</v>
      </c>
      <c r="O726" t="s">
        <v>244</v>
      </c>
      <c r="P726">
        <v>2</v>
      </c>
      <c r="Q726">
        <v>2</v>
      </c>
      <c r="R726">
        <v>0</v>
      </c>
      <c r="S726" t="s">
        <v>336</v>
      </c>
      <c r="T726" t="s">
        <v>1154</v>
      </c>
      <c r="U726">
        <v>30</v>
      </c>
    </row>
    <row r="727" spans="1:21" x14ac:dyDescent="0.3">
      <c r="A727" t="s">
        <v>1116</v>
      </c>
      <c r="B727" t="s">
        <v>1117</v>
      </c>
      <c r="C727" t="s">
        <v>299</v>
      </c>
      <c r="D727" t="s">
        <v>29</v>
      </c>
      <c r="E727" t="s">
        <v>108</v>
      </c>
      <c r="F727" s="6">
        <v>45808</v>
      </c>
      <c r="G727">
        <v>1</v>
      </c>
      <c r="H727" t="s">
        <v>1155</v>
      </c>
      <c r="I727">
        <v>6.9420340159666782E-4</v>
      </c>
      <c r="J727">
        <v>6.9420340159666782E-4</v>
      </c>
      <c r="K727" t="s">
        <v>617</v>
      </c>
      <c r="L727" t="s">
        <v>1156</v>
      </c>
      <c r="M727">
        <v>2025</v>
      </c>
      <c r="N727" t="s">
        <v>42</v>
      </c>
      <c r="O727" t="s">
        <v>244</v>
      </c>
      <c r="P727">
        <v>2</v>
      </c>
      <c r="Q727">
        <v>2</v>
      </c>
      <c r="R727">
        <v>0</v>
      </c>
      <c r="S727" t="s">
        <v>336</v>
      </c>
      <c r="T727" t="s">
        <v>1157</v>
      </c>
      <c r="U727">
        <v>31</v>
      </c>
    </row>
    <row r="728" spans="1:21" x14ac:dyDescent="0.3">
      <c r="A728" t="s">
        <v>1116</v>
      </c>
      <c r="B728" t="s">
        <v>1117</v>
      </c>
      <c r="C728" t="s">
        <v>299</v>
      </c>
      <c r="D728" t="s">
        <v>29</v>
      </c>
      <c r="E728" t="s">
        <v>108</v>
      </c>
      <c r="F728" s="6">
        <v>45838</v>
      </c>
      <c r="G728">
        <v>1</v>
      </c>
      <c r="H728" t="s">
        <v>1158</v>
      </c>
      <c r="I728">
        <v>7.0997515086971955E-4</v>
      </c>
      <c r="J728">
        <v>7.0997515086971955E-4</v>
      </c>
      <c r="K728" t="s">
        <v>617</v>
      </c>
      <c r="L728" t="s">
        <v>1159</v>
      </c>
      <c r="M728">
        <v>2025</v>
      </c>
      <c r="N728" t="s">
        <v>44</v>
      </c>
      <c r="O728" t="s">
        <v>244</v>
      </c>
      <c r="P728">
        <v>2</v>
      </c>
      <c r="Q728">
        <v>2</v>
      </c>
      <c r="R728">
        <v>0</v>
      </c>
      <c r="S728" t="s">
        <v>336</v>
      </c>
      <c r="T728" t="s">
        <v>1160</v>
      </c>
      <c r="U728">
        <v>30</v>
      </c>
    </row>
    <row r="729" spans="1:21" x14ac:dyDescent="0.3">
      <c r="A729" t="s">
        <v>1116</v>
      </c>
      <c r="B729" t="s">
        <v>1117</v>
      </c>
      <c r="C729" t="s">
        <v>299</v>
      </c>
      <c r="D729" t="s">
        <v>29</v>
      </c>
      <c r="E729" t="s">
        <v>108</v>
      </c>
      <c r="F729" s="6">
        <v>45869</v>
      </c>
      <c r="G729">
        <v>1</v>
      </c>
      <c r="H729" t="s">
        <v>1161</v>
      </c>
      <c r="I729">
        <v>9.5831336847149022E-4</v>
      </c>
      <c r="J729">
        <v>9.5831336847149022E-4</v>
      </c>
      <c r="K729" t="s">
        <v>617</v>
      </c>
      <c r="L729" t="s">
        <v>1162</v>
      </c>
      <c r="M729">
        <v>2025</v>
      </c>
      <c r="N729" t="s">
        <v>46</v>
      </c>
      <c r="O729" t="s">
        <v>103</v>
      </c>
      <c r="P729">
        <v>2</v>
      </c>
      <c r="Q729">
        <v>2</v>
      </c>
      <c r="R729">
        <v>0</v>
      </c>
      <c r="S729" t="s">
        <v>336</v>
      </c>
      <c r="T729" t="s">
        <v>1163</v>
      </c>
      <c r="U729">
        <v>31</v>
      </c>
    </row>
    <row r="730" spans="1:21" x14ac:dyDescent="0.3">
      <c r="A730" t="s">
        <v>1116</v>
      </c>
      <c r="B730" t="s">
        <v>1117</v>
      </c>
      <c r="C730" t="s">
        <v>299</v>
      </c>
      <c r="D730" t="s">
        <v>29</v>
      </c>
      <c r="E730" t="s">
        <v>108</v>
      </c>
      <c r="F730" s="6">
        <v>45900</v>
      </c>
      <c r="G730">
        <v>1</v>
      </c>
      <c r="H730" t="s">
        <v>1164</v>
      </c>
      <c r="I730">
        <v>7.9302141157811261E-4</v>
      </c>
      <c r="J730">
        <v>7.9302141157811261E-4</v>
      </c>
      <c r="K730" t="s">
        <v>617</v>
      </c>
      <c r="L730" t="s">
        <v>1165</v>
      </c>
      <c r="M730">
        <v>2025</v>
      </c>
      <c r="N730" t="s">
        <v>49</v>
      </c>
      <c r="O730" t="s">
        <v>103</v>
      </c>
      <c r="P730">
        <v>2</v>
      </c>
      <c r="Q730">
        <v>2</v>
      </c>
      <c r="R730">
        <v>0</v>
      </c>
      <c r="S730" t="s">
        <v>336</v>
      </c>
      <c r="T730" t="s">
        <v>1166</v>
      </c>
      <c r="U730">
        <v>31</v>
      </c>
    </row>
    <row r="731" spans="1:21" x14ac:dyDescent="0.3">
      <c r="A731" t="s">
        <v>1116</v>
      </c>
      <c r="B731" t="s">
        <v>1117</v>
      </c>
      <c r="C731" t="s">
        <v>299</v>
      </c>
      <c r="D731" t="s">
        <v>29</v>
      </c>
      <c r="E731" t="s">
        <v>108</v>
      </c>
      <c r="F731" s="6">
        <v>45961</v>
      </c>
      <c r="G731">
        <v>1</v>
      </c>
      <c r="H731" t="s">
        <v>1167</v>
      </c>
      <c r="I731">
        <v>7.9333597778659263E-4</v>
      </c>
      <c r="J731">
        <v>7.9333597778659263E-4</v>
      </c>
      <c r="K731" t="s">
        <v>617</v>
      </c>
      <c r="L731" t="s">
        <v>1168</v>
      </c>
      <c r="M731">
        <v>2025</v>
      </c>
      <c r="N731" t="s">
        <v>53</v>
      </c>
      <c r="O731" t="s">
        <v>103</v>
      </c>
      <c r="P731">
        <v>2</v>
      </c>
      <c r="Q731">
        <v>2</v>
      </c>
      <c r="R731">
        <v>0</v>
      </c>
      <c r="S731" t="s">
        <v>336</v>
      </c>
      <c r="T731" t="s">
        <v>1169</v>
      </c>
      <c r="U731">
        <v>31</v>
      </c>
    </row>
    <row r="732" spans="1:21" x14ac:dyDescent="0.3">
      <c r="A732" t="s">
        <v>1116</v>
      </c>
      <c r="B732" t="s">
        <v>1117</v>
      </c>
      <c r="C732" t="s">
        <v>299</v>
      </c>
      <c r="D732" t="s">
        <v>29</v>
      </c>
      <c r="E732" t="s">
        <v>108</v>
      </c>
      <c r="F732" s="6">
        <v>45991</v>
      </c>
      <c r="G732">
        <v>1</v>
      </c>
      <c r="H732" t="s">
        <v>1170</v>
      </c>
      <c r="I732">
        <v>8.8809946714031975E-4</v>
      </c>
      <c r="J732">
        <v>8.8809946714031975E-4</v>
      </c>
      <c r="K732" t="s">
        <v>617</v>
      </c>
      <c r="L732" t="s">
        <v>1171</v>
      </c>
      <c r="M732">
        <v>2025</v>
      </c>
      <c r="N732" t="s">
        <v>55</v>
      </c>
      <c r="O732" t="s">
        <v>103</v>
      </c>
      <c r="P732">
        <v>2</v>
      </c>
      <c r="Q732">
        <v>2</v>
      </c>
      <c r="R732">
        <v>0</v>
      </c>
      <c r="S732" t="s">
        <v>336</v>
      </c>
      <c r="T732" t="s">
        <v>1172</v>
      </c>
      <c r="U732">
        <v>30</v>
      </c>
    </row>
    <row r="733" spans="1:21" x14ac:dyDescent="0.3">
      <c r="A733" t="s">
        <v>1116</v>
      </c>
      <c r="B733" t="s">
        <v>1117</v>
      </c>
      <c r="C733" t="s">
        <v>299</v>
      </c>
      <c r="D733" t="s">
        <v>29</v>
      </c>
      <c r="E733" t="s">
        <v>108</v>
      </c>
      <c r="F733" s="6">
        <v>46022</v>
      </c>
      <c r="G733">
        <v>1</v>
      </c>
      <c r="H733" t="s">
        <v>1173</v>
      </c>
      <c r="I733">
        <v>9.4428706326723328E-4</v>
      </c>
      <c r="J733">
        <v>9.4428706326723328E-4</v>
      </c>
      <c r="K733" t="s">
        <v>617</v>
      </c>
      <c r="L733" t="s">
        <v>1174</v>
      </c>
      <c r="M733">
        <v>2025</v>
      </c>
      <c r="N733" t="s">
        <v>57</v>
      </c>
      <c r="O733" t="s">
        <v>103</v>
      </c>
      <c r="P733">
        <v>2</v>
      </c>
      <c r="Q733">
        <v>2</v>
      </c>
      <c r="R733">
        <v>0</v>
      </c>
      <c r="S733" t="s">
        <v>336</v>
      </c>
      <c r="T733" t="s">
        <v>1175</v>
      </c>
      <c r="U733">
        <v>31</v>
      </c>
    </row>
    <row r="734" spans="1:21" x14ac:dyDescent="0.3">
      <c r="A734" t="s">
        <v>1116</v>
      </c>
      <c r="B734" t="s">
        <v>1117</v>
      </c>
      <c r="C734" t="s">
        <v>299</v>
      </c>
      <c r="D734" t="s">
        <v>29</v>
      </c>
      <c r="E734" t="s">
        <v>108</v>
      </c>
      <c r="F734" s="6">
        <v>46053</v>
      </c>
      <c r="G734">
        <v>1</v>
      </c>
      <c r="I734">
        <v>0</v>
      </c>
      <c r="J734">
        <v>0</v>
      </c>
      <c r="K734" t="s">
        <v>617</v>
      </c>
      <c r="M734">
        <v>2026</v>
      </c>
      <c r="N734" t="s">
        <v>32</v>
      </c>
      <c r="O734" t="s">
        <v>408</v>
      </c>
      <c r="P734">
        <v>2</v>
      </c>
      <c r="Q734">
        <v>2</v>
      </c>
      <c r="R734">
        <v>0</v>
      </c>
      <c r="S734" t="s">
        <v>336</v>
      </c>
      <c r="T734" t="s">
        <v>1176</v>
      </c>
      <c r="U734">
        <v>31</v>
      </c>
    </row>
    <row r="735" spans="1:21" x14ac:dyDescent="0.3">
      <c r="A735" t="s">
        <v>1177</v>
      </c>
      <c r="B735" t="s">
        <v>1178</v>
      </c>
      <c r="C735" t="s">
        <v>299</v>
      </c>
      <c r="D735" t="s">
        <v>98</v>
      </c>
      <c r="E735" t="s">
        <v>30</v>
      </c>
      <c r="F735" s="6">
        <v>45291</v>
      </c>
      <c r="K735" t="s">
        <v>1118</v>
      </c>
      <c r="L735" t="s">
        <v>1118</v>
      </c>
      <c r="M735">
        <v>2023</v>
      </c>
      <c r="N735" t="s">
        <v>57</v>
      </c>
      <c r="O735" t="s">
        <v>47</v>
      </c>
      <c r="P735">
        <v>0</v>
      </c>
      <c r="Q735">
        <v>0</v>
      </c>
      <c r="R735">
        <v>0</v>
      </c>
      <c r="S735" t="s">
        <v>336</v>
      </c>
      <c r="T735" t="s">
        <v>1179</v>
      </c>
      <c r="U735">
        <v>1</v>
      </c>
    </row>
    <row r="736" spans="1:21" x14ac:dyDescent="0.3">
      <c r="A736" t="s">
        <v>1180</v>
      </c>
      <c r="B736" t="s">
        <v>1181</v>
      </c>
      <c r="C736" t="s">
        <v>299</v>
      </c>
      <c r="D736" t="s">
        <v>233</v>
      </c>
      <c r="E736" t="s">
        <v>30</v>
      </c>
      <c r="F736" s="6">
        <v>45016</v>
      </c>
      <c r="G736">
        <v>90</v>
      </c>
      <c r="H736">
        <v>100</v>
      </c>
      <c r="I736">
        <v>1.1111111111111109</v>
      </c>
      <c r="J736">
        <v>1.1111111111111109</v>
      </c>
      <c r="K736" t="s">
        <v>1118</v>
      </c>
      <c r="L736" t="s">
        <v>1118</v>
      </c>
      <c r="M736">
        <v>2023</v>
      </c>
      <c r="N736" t="s">
        <v>38</v>
      </c>
      <c r="O736" t="s">
        <v>33</v>
      </c>
      <c r="P736">
        <v>0</v>
      </c>
      <c r="Q736">
        <v>0</v>
      </c>
      <c r="R736">
        <v>0</v>
      </c>
      <c r="S736" t="s">
        <v>336</v>
      </c>
      <c r="T736" t="s">
        <v>1182</v>
      </c>
      <c r="U736">
        <v>1</v>
      </c>
    </row>
    <row r="737" spans="1:21" x14ac:dyDescent="0.3">
      <c r="A737" t="s">
        <v>1180</v>
      </c>
      <c r="B737" t="s">
        <v>1181</v>
      </c>
      <c r="C737" t="s">
        <v>299</v>
      </c>
      <c r="D737" t="s">
        <v>233</v>
      </c>
      <c r="E737" t="s">
        <v>30</v>
      </c>
      <c r="F737" s="6">
        <v>45107</v>
      </c>
      <c r="G737">
        <v>90</v>
      </c>
      <c r="H737">
        <v>93.326250000000002</v>
      </c>
      <c r="I737">
        <v>1.036958333333333</v>
      </c>
      <c r="J737">
        <v>1.036958333333333</v>
      </c>
      <c r="K737" t="s">
        <v>1118</v>
      </c>
      <c r="L737" t="s">
        <v>1118</v>
      </c>
      <c r="M737">
        <v>2023</v>
      </c>
      <c r="N737" t="s">
        <v>44</v>
      </c>
      <c r="O737" t="s">
        <v>33</v>
      </c>
      <c r="P737">
        <v>0</v>
      </c>
      <c r="Q737">
        <v>0</v>
      </c>
      <c r="R737">
        <v>0</v>
      </c>
      <c r="S737" t="s">
        <v>336</v>
      </c>
      <c r="T737" t="s">
        <v>1183</v>
      </c>
      <c r="U737">
        <v>1</v>
      </c>
    </row>
    <row r="738" spans="1:21" x14ac:dyDescent="0.3">
      <c r="A738" t="s">
        <v>1180</v>
      </c>
      <c r="B738" t="s">
        <v>1181</v>
      </c>
      <c r="C738" t="s">
        <v>299</v>
      </c>
      <c r="D738" t="s">
        <v>233</v>
      </c>
      <c r="E738" t="s">
        <v>30</v>
      </c>
      <c r="F738" s="6">
        <v>45199</v>
      </c>
      <c r="G738">
        <v>90</v>
      </c>
      <c r="H738">
        <v>86.4</v>
      </c>
      <c r="I738">
        <v>0.96000000000000008</v>
      </c>
      <c r="J738">
        <v>0.96000000000000008</v>
      </c>
      <c r="K738" t="s">
        <v>1118</v>
      </c>
      <c r="L738" t="s">
        <v>1118</v>
      </c>
      <c r="M738">
        <v>2023</v>
      </c>
      <c r="N738" t="s">
        <v>51</v>
      </c>
      <c r="O738" t="s">
        <v>47</v>
      </c>
      <c r="P738">
        <v>1</v>
      </c>
      <c r="Q738">
        <v>1</v>
      </c>
      <c r="R738">
        <v>0</v>
      </c>
      <c r="S738" t="s">
        <v>336</v>
      </c>
      <c r="T738" t="s">
        <v>1184</v>
      </c>
      <c r="U738">
        <v>1</v>
      </c>
    </row>
    <row r="739" spans="1:21" x14ac:dyDescent="0.3">
      <c r="A739" t="s">
        <v>1180</v>
      </c>
      <c r="B739" t="s">
        <v>1181</v>
      </c>
      <c r="C739" t="s">
        <v>299</v>
      </c>
      <c r="D739" t="s">
        <v>233</v>
      </c>
      <c r="E739" t="s">
        <v>30</v>
      </c>
      <c r="F739" s="6">
        <v>45291</v>
      </c>
      <c r="G739">
        <v>90</v>
      </c>
      <c r="I739">
        <v>0</v>
      </c>
      <c r="J739">
        <v>0</v>
      </c>
      <c r="K739" t="s">
        <v>1118</v>
      </c>
      <c r="L739" t="s">
        <v>1118</v>
      </c>
      <c r="M739">
        <v>2023</v>
      </c>
      <c r="N739" t="s">
        <v>57</v>
      </c>
      <c r="O739" t="s">
        <v>47</v>
      </c>
      <c r="P739">
        <v>0</v>
      </c>
      <c r="Q739">
        <v>0</v>
      </c>
      <c r="R739">
        <v>0</v>
      </c>
      <c r="S739" t="s">
        <v>336</v>
      </c>
      <c r="T739" t="s">
        <v>1185</v>
      </c>
      <c r="U739">
        <v>1</v>
      </c>
    </row>
    <row r="740" spans="1:21" x14ac:dyDescent="0.3">
      <c r="A740" t="s">
        <v>1180</v>
      </c>
      <c r="B740" t="s">
        <v>1181</v>
      </c>
      <c r="C740" t="s">
        <v>299</v>
      </c>
      <c r="D740" t="s">
        <v>233</v>
      </c>
      <c r="E740" t="s">
        <v>30</v>
      </c>
      <c r="F740" s="6">
        <v>45382</v>
      </c>
      <c r="G740">
        <v>90</v>
      </c>
      <c r="H740">
        <v>100</v>
      </c>
      <c r="I740">
        <v>1.1111111111111109</v>
      </c>
      <c r="J740">
        <v>1.1111111111111109</v>
      </c>
      <c r="K740" t="s">
        <v>31</v>
      </c>
      <c r="L740" t="s">
        <v>31</v>
      </c>
      <c r="M740">
        <v>2024</v>
      </c>
      <c r="N740" t="s">
        <v>38</v>
      </c>
      <c r="O740" t="s">
        <v>71</v>
      </c>
      <c r="P740">
        <v>0</v>
      </c>
      <c r="Q740">
        <v>0</v>
      </c>
      <c r="R740">
        <v>0</v>
      </c>
      <c r="S740" t="s">
        <v>336</v>
      </c>
      <c r="T740" t="s">
        <v>1186</v>
      </c>
      <c r="U740">
        <v>1</v>
      </c>
    </row>
    <row r="741" spans="1:21" x14ac:dyDescent="0.3">
      <c r="A741" t="s">
        <v>1180</v>
      </c>
      <c r="B741" t="s">
        <v>1181</v>
      </c>
      <c r="C741" t="s">
        <v>299</v>
      </c>
      <c r="D741" t="s">
        <v>233</v>
      </c>
      <c r="E741" t="s">
        <v>30</v>
      </c>
      <c r="F741" s="6">
        <v>45473</v>
      </c>
      <c r="G741">
        <v>23.26</v>
      </c>
      <c r="H741">
        <v>25.92</v>
      </c>
      <c r="I741">
        <v>1</v>
      </c>
      <c r="J741">
        <v>1</v>
      </c>
      <c r="K741" t="s">
        <v>31</v>
      </c>
      <c r="L741" t="s">
        <v>31</v>
      </c>
      <c r="M741">
        <v>2024</v>
      </c>
      <c r="N741" t="s">
        <v>44</v>
      </c>
      <c r="O741" t="s">
        <v>71</v>
      </c>
      <c r="P741">
        <v>0</v>
      </c>
      <c r="Q741">
        <v>0</v>
      </c>
      <c r="R741">
        <v>0</v>
      </c>
      <c r="S741" t="s">
        <v>336</v>
      </c>
      <c r="T741" t="s">
        <v>1187</v>
      </c>
      <c r="U741">
        <v>1</v>
      </c>
    </row>
    <row r="742" spans="1:21" x14ac:dyDescent="0.3">
      <c r="A742" t="s">
        <v>1180</v>
      </c>
      <c r="B742" t="s">
        <v>1181</v>
      </c>
      <c r="C742" t="s">
        <v>299</v>
      </c>
      <c r="D742" t="s">
        <v>233</v>
      </c>
      <c r="E742" t="s">
        <v>30</v>
      </c>
      <c r="F742" s="6">
        <v>45565</v>
      </c>
      <c r="G742">
        <v>90</v>
      </c>
      <c r="H742">
        <v>97.79</v>
      </c>
      <c r="I742">
        <v>1.0865555555555559</v>
      </c>
      <c r="J742">
        <v>1.0865555555555559</v>
      </c>
      <c r="K742" t="s">
        <v>31</v>
      </c>
      <c r="L742" t="s">
        <v>31</v>
      </c>
      <c r="M742">
        <v>2024</v>
      </c>
      <c r="N742" t="s">
        <v>51</v>
      </c>
      <c r="O742" t="s">
        <v>78</v>
      </c>
      <c r="P742">
        <v>0</v>
      </c>
      <c r="Q742">
        <v>0</v>
      </c>
      <c r="R742">
        <v>0</v>
      </c>
      <c r="S742" t="s">
        <v>336</v>
      </c>
      <c r="T742" t="s">
        <v>1188</v>
      </c>
      <c r="U742">
        <v>1</v>
      </c>
    </row>
    <row r="743" spans="1:21" x14ac:dyDescent="0.3">
      <c r="A743" t="s">
        <v>1180</v>
      </c>
      <c r="B743" t="s">
        <v>1181</v>
      </c>
      <c r="C743" t="s">
        <v>299</v>
      </c>
      <c r="D743" t="s">
        <v>233</v>
      </c>
      <c r="E743" t="s">
        <v>30</v>
      </c>
      <c r="F743" s="6">
        <v>45657</v>
      </c>
      <c r="G743">
        <v>90</v>
      </c>
      <c r="H743">
        <v>100</v>
      </c>
      <c r="I743">
        <v>1.1111111111111109</v>
      </c>
      <c r="J743">
        <v>1.1111111111111109</v>
      </c>
      <c r="K743" t="s">
        <v>31</v>
      </c>
      <c r="L743" t="s">
        <v>31</v>
      </c>
      <c r="M743">
        <v>2024</v>
      </c>
      <c r="N743" t="s">
        <v>57</v>
      </c>
      <c r="O743" t="s">
        <v>78</v>
      </c>
      <c r="P743">
        <v>0</v>
      </c>
      <c r="Q743">
        <v>0</v>
      </c>
      <c r="R743">
        <v>0</v>
      </c>
      <c r="S743" t="s">
        <v>336</v>
      </c>
      <c r="T743" t="s">
        <v>1189</v>
      </c>
      <c r="U743">
        <v>1</v>
      </c>
    </row>
    <row r="744" spans="1:21" x14ac:dyDescent="0.3">
      <c r="A744" t="s">
        <v>1180</v>
      </c>
      <c r="B744" t="s">
        <v>1181</v>
      </c>
      <c r="C744" t="s">
        <v>299</v>
      </c>
      <c r="D744" t="s">
        <v>233</v>
      </c>
      <c r="E744" t="s">
        <v>30</v>
      </c>
      <c r="F744" s="6">
        <v>45747</v>
      </c>
      <c r="G744">
        <v>90</v>
      </c>
      <c r="H744" t="s">
        <v>95</v>
      </c>
      <c r="I744">
        <v>1.1111111111111109</v>
      </c>
      <c r="J744">
        <v>1.1111111111111109</v>
      </c>
      <c r="K744" t="s">
        <v>256</v>
      </c>
      <c r="L744" t="s">
        <v>102</v>
      </c>
      <c r="M744">
        <v>2025</v>
      </c>
      <c r="N744" t="s">
        <v>38</v>
      </c>
      <c r="O744" t="s">
        <v>244</v>
      </c>
      <c r="P744">
        <v>2</v>
      </c>
      <c r="Q744">
        <v>2</v>
      </c>
      <c r="R744">
        <v>0</v>
      </c>
      <c r="S744" t="s">
        <v>336</v>
      </c>
      <c r="T744" t="s">
        <v>1190</v>
      </c>
      <c r="U744">
        <v>31</v>
      </c>
    </row>
    <row r="745" spans="1:21" x14ac:dyDescent="0.3">
      <c r="A745" t="s">
        <v>1180</v>
      </c>
      <c r="B745" t="s">
        <v>1181</v>
      </c>
      <c r="C745" t="s">
        <v>299</v>
      </c>
      <c r="D745" t="s">
        <v>233</v>
      </c>
      <c r="E745" t="s">
        <v>30</v>
      </c>
      <c r="F745" s="6">
        <v>45838</v>
      </c>
      <c r="G745">
        <v>90</v>
      </c>
      <c r="H745" t="s">
        <v>1191</v>
      </c>
      <c r="I745">
        <v>1.051444444444444</v>
      </c>
      <c r="J745">
        <v>1.051444444444444</v>
      </c>
      <c r="K745" t="s">
        <v>256</v>
      </c>
      <c r="L745" t="s">
        <v>1192</v>
      </c>
      <c r="M745">
        <v>2025</v>
      </c>
      <c r="N745" t="s">
        <v>44</v>
      </c>
      <c r="O745" t="s">
        <v>244</v>
      </c>
      <c r="P745">
        <v>2</v>
      </c>
      <c r="Q745">
        <v>2</v>
      </c>
      <c r="R745">
        <v>0</v>
      </c>
      <c r="S745" t="s">
        <v>336</v>
      </c>
      <c r="T745" t="s">
        <v>1193</v>
      </c>
      <c r="U745">
        <v>30</v>
      </c>
    </row>
    <row r="746" spans="1:21" x14ac:dyDescent="0.3">
      <c r="A746" t="s">
        <v>1180</v>
      </c>
      <c r="B746" t="s">
        <v>1181</v>
      </c>
      <c r="C746" t="s">
        <v>299</v>
      </c>
      <c r="D746" t="s">
        <v>233</v>
      </c>
      <c r="E746" t="s">
        <v>30</v>
      </c>
      <c r="F746" s="6">
        <v>46022</v>
      </c>
      <c r="G746">
        <v>90</v>
      </c>
      <c r="I746">
        <v>0</v>
      </c>
      <c r="J746">
        <v>0</v>
      </c>
      <c r="K746" t="s">
        <v>256</v>
      </c>
      <c r="M746">
        <v>2025</v>
      </c>
      <c r="N746" t="s">
        <v>57</v>
      </c>
      <c r="O746" t="s">
        <v>103</v>
      </c>
      <c r="P746">
        <v>2</v>
      </c>
      <c r="Q746">
        <v>2</v>
      </c>
      <c r="R746">
        <v>0</v>
      </c>
      <c r="S746" t="s">
        <v>336</v>
      </c>
      <c r="T746" t="s">
        <v>1194</v>
      </c>
      <c r="U746">
        <v>31</v>
      </c>
    </row>
    <row r="747" spans="1:21" x14ac:dyDescent="0.3">
      <c r="A747" t="s">
        <v>1195</v>
      </c>
      <c r="B747" t="s">
        <v>1196</v>
      </c>
      <c r="C747" t="s">
        <v>299</v>
      </c>
      <c r="D747" t="s">
        <v>29</v>
      </c>
      <c r="E747" t="s">
        <v>108</v>
      </c>
      <c r="F747" s="6">
        <v>44957</v>
      </c>
      <c r="H747">
        <v>1399.55</v>
      </c>
      <c r="K747" t="s">
        <v>1041</v>
      </c>
      <c r="L747" t="s">
        <v>1197</v>
      </c>
      <c r="M747">
        <v>2023</v>
      </c>
      <c r="N747" t="s">
        <v>32</v>
      </c>
      <c r="O747" t="s">
        <v>33</v>
      </c>
      <c r="P747">
        <v>0</v>
      </c>
      <c r="Q747">
        <v>0</v>
      </c>
      <c r="R747">
        <v>0</v>
      </c>
      <c r="S747" t="s">
        <v>336</v>
      </c>
      <c r="T747" t="s">
        <v>1198</v>
      </c>
      <c r="U747">
        <v>1</v>
      </c>
    </row>
    <row r="748" spans="1:21" x14ac:dyDescent="0.3">
      <c r="A748" t="s">
        <v>1195</v>
      </c>
      <c r="B748" t="s">
        <v>1196</v>
      </c>
      <c r="C748" t="s">
        <v>299</v>
      </c>
      <c r="D748" t="s">
        <v>29</v>
      </c>
      <c r="E748" t="s">
        <v>108</v>
      </c>
      <c r="F748" s="6">
        <v>44985</v>
      </c>
      <c r="H748">
        <v>2255.66</v>
      </c>
      <c r="K748" t="s">
        <v>1041</v>
      </c>
      <c r="L748" t="s">
        <v>1197</v>
      </c>
      <c r="M748">
        <v>2023</v>
      </c>
      <c r="N748" t="s">
        <v>36</v>
      </c>
      <c r="O748" t="s">
        <v>33</v>
      </c>
      <c r="P748">
        <v>0</v>
      </c>
      <c r="Q748">
        <v>0</v>
      </c>
      <c r="R748">
        <v>0</v>
      </c>
      <c r="S748" t="s">
        <v>336</v>
      </c>
      <c r="T748" t="s">
        <v>1199</v>
      </c>
      <c r="U748">
        <v>1</v>
      </c>
    </row>
    <row r="749" spans="1:21" x14ac:dyDescent="0.3">
      <c r="A749" t="s">
        <v>1195</v>
      </c>
      <c r="B749" t="s">
        <v>1196</v>
      </c>
      <c r="C749" t="s">
        <v>299</v>
      </c>
      <c r="D749" t="s">
        <v>29</v>
      </c>
      <c r="E749" t="s">
        <v>108</v>
      </c>
      <c r="F749" s="6">
        <v>45016</v>
      </c>
      <c r="H749">
        <v>2757</v>
      </c>
      <c r="K749" t="s">
        <v>1041</v>
      </c>
      <c r="L749" t="s">
        <v>1197</v>
      </c>
      <c r="M749">
        <v>2023</v>
      </c>
      <c r="N749" t="s">
        <v>38</v>
      </c>
      <c r="O749" t="s">
        <v>33</v>
      </c>
      <c r="P749">
        <v>0</v>
      </c>
      <c r="Q749">
        <v>0</v>
      </c>
      <c r="R749">
        <v>0</v>
      </c>
      <c r="S749" t="s">
        <v>336</v>
      </c>
      <c r="T749" t="s">
        <v>1200</v>
      </c>
      <c r="U749">
        <v>1</v>
      </c>
    </row>
    <row r="750" spans="1:21" x14ac:dyDescent="0.3">
      <c r="A750" t="s">
        <v>1195</v>
      </c>
      <c r="B750" t="s">
        <v>1196</v>
      </c>
      <c r="C750" t="s">
        <v>299</v>
      </c>
      <c r="D750" t="s">
        <v>29</v>
      </c>
      <c r="E750" t="s">
        <v>108</v>
      </c>
      <c r="F750" s="6">
        <v>45046</v>
      </c>
      <c r="H750">
        <v>2313.5</v>
      </c>
      <c r="K750" t="s">
        <v>1041</v>
      </c>
      <c r="L750" t="s">
        <v>1197</v>
      </c>
      <c r="M750">
        <v>2023</v>
      </c>
      <c r="N750" t="s">
        <v>40</v>
      </c>
      <c r="O750" t="s">
        <v>33</v>
      </c>
      <c r="P750">
        <v>0</v>
      </c>
      <c r="Q750">
        <v>0</v>
      </c>
      <c r="R750">
        <v>0</v>
      </c>
      <c r="S750" t="s">
        <v>336</v>
      </c>
      <c r="T750" t="s">
        <v>1201</v>
      </c>
      <c r="U750">
        <v>1</v>
      </c>
    </row>
    <row r="751" spans="1:21" x14ac:dyDescent="0.3">
      <c r="A751" t="s">
        <v>1195</v>
      </c>
      <c r="B751" t="s">
        <v>1196</v>
      </c>
      <c r="C751" t="s">
        <v>299</v>
      </c>
      <c r="D751" t="s">
        <v>29</v>
      </c>
      <c r="E751" t="s">
        <v>108</v>
      </c>
      <c r="F751" s="6">
        <v>45077</v>
      </c>
      <c r="H751">
        <v>2632.03</v>
      </c>
      <c r="K751" t="s">
        <v>1041</v>
      </c>
      <c r="L751" t="s">
        <v>1197</v>
      </c>
      <c r="M751">
        <v>2023</v>
      </c>
      <c r="N751" t="s">
        <v>42</v>
      </c>
      <c r="O751" t="s">
        <v>33</v>
      </c>
      <c r="P751">
        <v>0</v>
      </c>
      <c r="Q751">
        <v>0</v>
      </c>
      <c r="R751">
        <v>0</v>
      </c>
      <c r="S751" t="s">
        <v>336</v>
      </c>
      <c r="T751" t="s">
        <v>1202</v>
      </c>
      <c r="U751">
        <v>1</v>
      </c>
    </row>
    <row r="752" spans="1:21" x14ac:dyDescent="0.3">
      <c r="A752" t="s">
        <v>1195</v>
      </c>
      <c r="B752" t="s">
        <v>1196</v>
      </c>
      <c r="C752" t="s">
        <v>299</v>
      </c>
      <c r="D752" t="s">
        <v>29</v>
      </c>
      <c r="E752" t="s">
        <v>108</v>
      </c>
      <c r="F752" s="6">
        <v>45107</v>
      </c>
      <c r="H752">
        <v>2295.5100000000002</v>
      </c>
      <c r="K752" t="s">
        <v>1041</v>
      </c>
      <c r="L752" t="s">
        <v>1197</v>
      </c>
      <c r="M752">
        <v>2023</v>
      </c>
      <c r="N752" t="s">
        <v>44</v>
      </c>
      <c r="O752" t="s">
        <v>33</v>
      </c>
      <c r="P752">
        <v>0</v>
      </c>
      <c r="Q752">
        <v>0</v>
      </c>
      <c r="R752">
        <v>0</v>
      </c>
      <c r="S752" t="s">
        <v>336</v>
      </c>
      <c r="T752" t="s">
        <v>1203</v>
      </c>
      <c r="U752">
        <v>1</v>
      </c>
    </row>
    <row r="753" spans="1:21" x14ac:dyDescent="0.3">
      <c r="A753" t="s">
        <v>1195</v>
      </c>
      <c r="B753" t="s">
        <v>1196</v>
      </c>
      <c r="C753" t="s">
        <v>299</v>
      </c>
      <c r="D753" t="s">
        <v>29</v>
      </c>
      <c r="E753" t="s">
        <v>108</v>
      </c>
      <c r="F753" s="6">
        <v>45138</v>
      </c>
      <c r="H753">
        <v>2157.5</v>
      </c>
      <c r="K753" t="s">
        <v>1041</v>
      </c>
      <c r="L753" t="s">
        <v>1197</v>
      </c>
      <c r="M753">
        <v>2023</v>
      </c>
      <c r="N753" t="s">
        <v>46</v>
      </c>
      <c r="O753" t="s">
        <v>47</v>
      </c>
      <c r="P753">
        <v>0</v>
      </c>
      <c r="Q753">
        <v>0</v>
      </c>
      <c r="R753">
        <v>0</v>
      </c>
      <c r="S753" t="s">
        <v>336</v>
      </c>
      <c r="T753" t="s">
        <v>1204</v>
      </c>
      <c r="U753">
        <v>1</v>
      </c>
    </row>
    <row r="754" spans="1:21" x14ac:dyDescent="0.3">
      <c r="A754" t="s">
        <v>1195</v>
      </c>
      <c r="B754" t="s">
        <v>1196</v>
      </c>
      <c r="C754" t="s">
        <v>299</v>
      </c>
      <c r="D754" t="s">
        <v>29</v>
      </c>
      <c r="E754" t="s">
        <v>108</v>
      </c>
      <c r="F754" s="6">
        <v>45169</v>
      </c>
      <c r="H754">
        <v>6540.08</v>
      </c>
      <c r="K754" t="s">
        <v>1041</v>
      </c>
      <c r="L754" t="s">
        <v>1197</v>
      </c>
      <c r="M754">
        <v>2023</v>
      </c>
      <c r="N754" t="s">
        <v>49</v>
      </c>
      <c r="O754" t="s">
        <v>47</v>
      </c>
      <c r="P754">
        <v>0</v>
      </c>
      <c r="Q754">
        <v>0</v>
      </c>
      <c r="R754">
        <v>0</v>
      </c>
      <c r="S754" t="s">
        <v>336</v>
      </c>
      <c r="T754" t="s">
        <v>1205</v>
      </c>
      <c r="U754">
        <v>1</v>
      </c>
    </row>
    <row r="755" spans="1:21" x14ac:dyDescent="0.3">
      <c r="A755" t="s">
        <v>1195</v>
      </c>
      <c r="B755" t="s">
        <v>1196</v>
      </c>
      <c r="C755" t="s">
        <v>299</v>
      </c>
      <c r="D755" t="s">
        <v>29</v>
      </c>
      <c r="E755" t="s">
        <v>108</v>
      </c>
      <c r="F755" s="6">
        <v>45199</v>
      </c>
      <c r="H755">
        <v>7824.24</v>
      </c>
      <c r="K755" t="s">
        <v>1041</v>
      </c>
      <c r="L755" t="s">
        <v>1197</v>
      </c>
      <c r="M755">
        <v>2023</v>
      </c>
      <c r="N755" t="s">
        <v>51</v>
      </c>
      <c r="O755" t="s">
        <v>47</v>
      </c>
      <c r="P755">
        <v>0</v>
      </c>
      <c r="Q755">
        <v>0</v>
      </c>
      <c r="R755">
        <v>0</v>
      </c>
      <c r="S755" t="s">
        <v>336</v>
      </c>
      <c r="T755" t="s">
        <v>1206</v>
      </c>
      <c r="U755">
        <v>1</v>
      </c>
    </row>
    <row r="756" spans="1:21" x14ac:dyDescent="0.3">
      <c r="A756" t="s">
        <v>1195</v>
      </c>
      <c r="B756" t="s">
        <v>1196</v>
      </c>
      <c r="C756" t="s">
        <v>299</v>
      </c>
      <c r="D756" t="s">
        <v>29</v>
      </c>
      <c r="E756" t="s">
        <v>108</v>
      </c>
      <c r="F756" s="6">
        <v>45230</v>
      </c>
      <c r="H756">
        <v>6165.24</v>
      </c>
      <c r="K756" t="s">
        <v>1041</v>
      </c>
      <c r="L756" t="s">
        <v>1197</v>
      </c>
      <c r="M756">
        <v>2023</v>
      </c>
      <c r="N756" t="s">
        <v>53</v>
      </c>
      <c r="O756" t="s">
        <v>47</v>
      </c>
      <c r="P756">
        <v>0</v>
      </c>
      <c r="Q756">
        <v>0</v>
      </c>
      <c r="R756">
        <v>0</v>
      </c>
      <c r="S756" t="s">
        <v>336</v>
      </c>
      <c r="T756" t="s">
        <v>1207</v>
      </c>
      <c r="U756">
        <v>1</v>
      </c>
    </row>
    <row r="757" spans="1:21" x14ac:dyDescent="0.3">
      <c r="A757" t="s">
        <v>1195</v>
      </c>
      <c r="B757" t="s">
        <v>1196</v>
      </c>
      <c r="C757" t="s">
        <v>299</v>
      </c>
      <c r="D757" t="s">
        <v>29</v>
      </c>
      <c r="E757" t="s">
        <v>108</v>
      </c>
      <c r="F757" s="6">
        <v>45260</v>
      </c>
      <c r="H757">
        <v>6186.4</v>
      </c>
      <c r="K757" t="s">
        <v>1041</v>
      </c>
      <c r="L757" t="s">
        <v>1197</v>
      </c>
      <c r="M757">
        <v>2023</v>
      </c>
      <c r="N757" t="s">
        <v>55</v>
      </c>
      <c r="O757" t="s">
        <v>47</v>
      </c>
      <c r="P757">
        <v>0</v>
      </c>
      <c r="Q757">
        <v>0</v>
      </c>
      <c r="R757">
        <v>0</v>
      </c>
      <c r="S757" t="s">
        <v>336</v>
      </c>
      <c r="T757" t="s">
        <v>1208</v>
      </c>
      <c r="U757">
        <v>1</v>
      </c>
    </row>
    <row r="758" spans="1:21" x14ac:dyDescent="0.3">
      <c r="A758" t="s">
        <v>1195</v>
      </c>
      <c r="B758" t="s">
        <v>1196</v>
      </c>
      <c r="C758" t="s">
        <v>299</v>
      </c>
      <c r="D758" t="s">
        <v>29</v>
      </c>
      <c r="E758" t="s">
        <v>108</v>
      </c>
      <c r="F758" s="6">
        <v>45291</v>
      </c>
      <c r="H758">
        <v>2129.59</v>
      </c>
      <c r="K758" t="s">
        <v>1041</v>
      </c>
      <c r="L758" t="s">
        <v>1197</v>
      </c>
      <c r="M758">
        <v>2023</v>
      </c>
      <c r="N758" t="s">
        <v>57</v>
      </c>
      <c r="O758" t="s">
        <v>47</v>
      </c>
      <c r="P758">
        <v>0</v>
      </c>
      <c r="Q758">
        <v>0</v>
      </c>
      <c r="R758">
        <v>0</v>
      </c>
      <c r="S758" t="s">
        <v>336</v>
      </c>
      <c r="T758" t="s">
        <v>1209</v>
      </c>
      <c r="U758">
        <v>1</v>
      </c>
    </row>
    <row r="759" spans="1:21" x14ac:dyDescent="0.3">
      <c r="A759" t="s">
        <v>1195</v>
      </c>
      <c r="B759" t="s">
        <v>1196</v>
      </c>
      <c r="C759" t="s">
        <v>299</v>
      </c>
      <c r="D759" t="s">
        <v>29</v>
      </c>
      <c r="E759" t="s">
        <v>108</v>
      </c>
      <c r="F759" s="6">
        <v>45322</v>
      </c>
      <c r="G759">
        <v>7500</v>
      </c>
      <c r="H759">
        <v>3375.7</v>
      </c>
      <c r="I759">
        <v>1.3</v>
      </c>
      <c r="J759">
        <v>2.2217614124477891</v>
      </c>
      <c r="K759" t="s">
        <v>1197</v>
      </c>
      <c r="L759" t="s">
        <v>1197</v>
      </c>
      <c r="M759">
        <v>2024</v>
      </c>
      <c r="N759" t="s">
        <v>32</v>
      </c>
      <c r="O759" t="s">
        <v>71</v>
      </c>
      <c r="P759">
        <v>0</v>
      </c>
      <c r="Q759">
        <v>0</v>
      </c>
      <c r="R759">
        <v>0</v>
      </c>
      <c r="S759" t="s">
        <v>336</v>
      </c>
      <c r="T759" t="s">
        <v>1210</v>
      </c>
      <c r="U759">
        <v>1</v>
      </c>
    </row>
    <row r="760" spans="1:21" x14ac:dyDescent="0.3">
      <c r="A760" t="s">
        <v>1195</v>
      </c>
      <c r="B760" t="s">
        <v>1196</v>
      </c>
      <c r="C760" t="s">
        <v>299</v>
      </c>
      <c r="D760" t="s">
        <v>29</v>
      </c>
      <c r="E760" t="s">
        <v>108</v>
      </c>
      <c r="F760" s="6">
        <v>45351</v>
      </c>
      <c r="G760">
        <v>7500</v>
      </c>
      <c r="H760">
        <v>6138.9</v>
      </c>
      <c r="I760">
        <v>0.81851999999999991</v>
      </c>
      <c r="J760">
        <v>0.81851999999999991</v>
      </c>
      <c r="K760" t="s">
        <v>1197</v>
      </c>
      <c r="L760" t="s">
        <v>1197</v>
      </c>
      <c r="M760">
        <v>2024</v>
      </c>
      <c r="N760" t="s">
        <v>36</v>
      </c>
      <c r="O760" t="s">
        <v>71</v>
      </c>
      <c r="P760">
        <v>0</v>
      </c>
      <c r="Q760">
        <v>0</v>
      </c>
      <c r="R760">
        <v>0</v>
      </c>
      <c r="S760" t="s">
        <v>336</v>
      </c>
      <c r="T760" t="s">
        <v>1211</v>
      </c>
      <c r="U760">
        <v>1</v>
      </c>
    </row>
    <row r="761" spans="1:21" x14ac:dyDescent="0.3">
      <c r="A761" t="s">
        <v>1195</v>
      </c>
      <c r="B761" t="s">
        <v>1196</v>
      </c>
      <c r="C761" t="s">
        <v>299</v>
      </c>
      <c r="D761" t="s">
        <v>29</v>
      </c>
      <c r="E761" t="s">
        <v>108</v>
      </c>
      <c r="F761" s="6">
        <v>45382</v>
      </c>
      <c r="G761">
        <v>7500</v>
      </c>
      <c r="H761">
        <v>5548.44</v>
      </c>
      <c r="I761">
        <v>1.3</v>
      </c>
      <c r="J761">
        <v>1.3517312974457689</v>
      </c>
      <c r="K761" t="s">
        <v>1197</v>
      </c>
      <c r="L761" t="s">
        <v>1197</v>
      </c>
      <c r="M761">
        <v>2024</v>
      </c>
      <c r="N761" t="s">
        <v>38</v>
      </c>
      <c r="O761" t="s">
        <v>71</v>
      </c>
      <c r="P761">
        <v>0</v>
      </c>
      <c r="Q761">
        <v>0</v>
      </c>
      <c r="R761">
        <v>0</v>
      </c>
      <c r="S761" t="s">
        <v>336</v>
      </c>
      <c r="T761" t="s">
        <v>1212</v>
      </c>
      <c r="U761">
        <v>1</v>
      </c>
    </row>
    <row r="762" spans="1:21" x14ac:dyDescent="0.3">
      <c r="A762" t="s">
        <v>1195</v>
      </c>
      <c r="B762" t="s">
        <v>1196</v>
      </c>
      <c r="C762" t="s">
        <v>299</v>
      </c>
      <c r="D762" t="s">
        <v>29</v>
      </c>
      <c r="E762" t="s">
        <v>108</v>
      </c>
      <c r="F762" s="6">
        <v>45412</v>
      </c>
      <c r="G762">
        <v>7500</v>
      </c>
      <c r="H762">
        <v>7543.48</v>
      </c>
      <c r="I762">
        <v>0.99423608202049985</v>
      </c>
      <c r="J762">
        <v>0.99423608202049985</v>
      </c>
      <c r="K762" t="s">
        <v>1197</v>
      </c>
      <c r="L762" t="s">
        <v>1197</v>
      </c>
      <c r="M762">
        <v>2024</v>
      </c>
      <c r="N762" t="s">
        <v>40</v>
      </c>
      <c r="O762" t="s">
        <v>71</v>
      </c>
      <c r="P762">
        <v>0</v>
      </c>
      <c r="Q762">
        <v>0</v>
      </c>
      <c r="R762">
        <v>0</v>
      </c>
      <c r="S762" t="s">
        <v>336</v>
      </c>
      <c r="T762" t="s">
        <v>1213</v>
      </c>
      <c r="U762">
        <v>1</v>
      </c>
    </row>
    <row r="763" spans="1:21" x14ac:dyDescent="0.3">
      <c r="A763" t="s">
        <v>1195</v>
      </c>
      <c r="B763" t="s">
        <v>1196</v>
      </c>
      <c r="C763" t="s">
        <v>299</v>
      </c>
      <c r="D763" t="s">
        <v>29</v>
      </c>
      <c r="E763" t="s">
        <v>108</v>
      </c>
      <c r="F763" s="6">
        <v>45443</v>
      </c>
      <c r="G763">
        <v>7500</v>
      </c>
      <c r="H763">
        <v>7006.34</v>
      </c>
      <c r="I763">
        <v>1.070459041382519</v>
      </c>
      <c r="J763">
        <v>1.070459041382519</v>
      </c>
      <c r="K763" t="s">
        <v>1197</v>
      </c>
      <c r="L763" t="s">
        <v>1197</v>
      </c>
      <c r="M763">
        <v>2024</v>
      </c>
      <c r="N763" t="s">
        <v>42</v>
      </c>
      <c r="O763" t="s">
        <v>71</v>
      </c>
      <c r="P763">
        <v>0</v>
      </c>
      <c r="Q763">
        <v>0</v>
      </c>
      <c r="R763">
        <v>0</v>
      </c>
      <c r="S763" t="s">
        <v>336</v>
      </c>
      <c r="T763" t="s">
        <v>1214</v>
      </c>
      <c r="U763">
        <v>1</v>
      </c>
    </row>
    <row r="764" spans="1:21" x14ac:dyDescent="0.3">
      <c r="A764" t="s">
        <v>1195</v>
      </c>
      <c r="B764" t="s">
        <v>1196</v>
      </c>
      <c r="C764" t="s">
        <v>299</v>
      </c>
      <c r="D764" t="s">
        <v>29</v>
      </c>
      <c r="E764" t="s">
        <v>108</v>
      </c>
      <c r="F764" s="6">
        <v>45473</v>
      </c>
      <c r="G764">
        <v>7500</v>
      </c>
      <c r="H764">
        <v>3200.05</v>
      </c>
      <c r="I764">
        <v>1.3</v>
      </c>
      <c r="J764">
        <v>2.3437133794784462</v>
      </c>
      <c r="K764" t="s">
        <v>1197</v>
      </c>
      <c r="L764" t="s">
        <v>1197</v>
      </c>
      <c r="M764">
        <v>2024</v>
      </c>
      <c r="N764" t="s">
        <v>44</v>
      </c>
      <c r="O764" t="s">
        <v>71</v>
      </c>
      <c r="P764">
        <v>0</v>
      </c>
      <c r="Q764">
        <v>0</v>
      </c>
      <c r="R764">
        <v>0</v>
      </c>
      <c r="S764" t="s">
        <v>336</v>
      </c>
      <c r="T764" t="s">
        <v>1215</v>
      </c>
      <c r="U764">
        <v>1</v>
      </c>
    </row>
    <row r="765" spans="1:21" x14ac:dyDescent="0.3">
      <c r="A765" t="s">
        <v>1195</v>
      </c>
      <c r="B765" t="s">
        <v>1196</v>
      </c>
      <c r="C765" t="s">
        <v>299</v>
      </c>
      <c r="D765" t="s">
        <v>29</v>
      </c>
      <c r="E765" t="s">
        <v>108</v>
      </c>
      <c r="F765" s="6">
        <v>45504</v>
      </c>
      <c r="G765">
        <v>7500</v>
      </c>
      <c r="H765">
        <v>3115.22</v>
      </c>
      <c r="I765">
        <v>1.3</v>
      </c>
      <c r="J765">
        <v>2.4075346203478412</v>
      </c>
      <c r="K765" t="s">
        <v>1197</v>
      </c>
      <c r="L765" t="s">
        <v>1197</v>
      </c>
      <c r="M765">
        <v>2024</v>
      </c>
      <c r="N765" t="s">
        <v>46</v>
      </c>
      <c r="O765" t="s">
        <v>78</v>
      </c>
      <c r="P765">
        <v>0</v>
      </c>
      <c r="Q765">
        <v>0</v>
      </c>
      <c r="R765">
        <v>0</v>
      </c>
      <c r="S765" t="s">
        <v>336</v>
      </c>
      <c r="T765" t="s">
        <v>1216</v>
      </c>
      <c r="U765">
        <v>1</v>
      </c>
    </row>
    <row r="766" spans="1:21" x14ac:dyDescent="0.3">
      <c r="A766" t="s">
        <v>1195</v>
      </c>
      <c r="B766" t="s">
        <v>1196</v>
      </c>
      <c r="C766" t="s">
        <v>299</v>
      </c>
      <c r="D766" t="s">
        <v>29</v>
      </c>
      <c r="E766" t="s">
        <v>108</v>
      </c>
      <c r="F766" s="6">
        <v>45535</v>
      </c>
      <c r="G766">
        <v>7500</v>
      </c>
      <c r="H766">
        <v>5957.02</v>
      </c>
      <c r="I766">
        <v>1.2590187711305321</v>
      </c>
      <c r="J766">
        <v>1.2590187711305321</v>
      </c>
      <c r="K766" t="s">
        <v>1197</v>
      </c>
      <c r="L766" t="s">
        <v>1197</v>
      </c>
      <c r="M766">
        <v>2024</v>
      </c>
      <c r="N766" t="s">
        <v>49</v>
      </c>
      <c r="O766" t="s">
        <v>78</v>
      </c>
      <c r="P766">
        <v>0</v>
      </c>
      <c r="Q766">
        <v>0</v>
      </c>
      <c r="R766">
        <v>0</v>
      </c>
      <c r="S766" t="s">
        <v>336</v>
      </c>
      <c r="T766" t="s">
        <v>1217</v>
      </c>
      <c r="U766">
        <v>1</v>
      </c>
    </row>
    <row r="767" spans="1:21" x14ac:dyDescent="0.3">
      <c r="A767" t="s">
        <v>1195</v>
      </c>
      <c r="B767" t="s">
        <v>1196</v>
      </c>
      <c r="C767" t="s">
        <v>299</v>
      </c>
      <c r="D767" t="s">
        <v>29</v>
      </c>
      <c r="E767" t="s">
        <v>108</v>
      </c>
      <c r="F767" s="6">
        <v>45565</v>
      </c>
      <c r="G767">
        <v>7500</v>
      </c>
      <c r="H767">
        <v>6171.74</v>
      </c>
      <c r="I767">
        <v>1.21521645435485</v>
      </c>
      <c r="J767">
        <v>1.21521645435485</v>
      </c>
      <c r="K767" t="s">
        <v>1197</v>
      </c>
      <c r="L767" t="s">
        <v>1197</v>
      </c>
      <c r="M767">
        <v>2024</v>
      </c>
      <c r="N767" t="s">
        <v>51</v>
      </c>
      <c r="O767" t="s">
        <v>78</v>
      </c>
      <c r="P767">
        <v>0</v>
      </c>
      <c r="Q767">
        <v>0</v>
      </c>
      <c r="R767">
        <v>0</v>
      </c>
      <c r="S767" t="s">
        <v>336</v>
      </c>
      <c r="T767" t="s">
        <v>1218</v>
      </c>
      <c r="U767">
        <v>1</v>
      </c>
    </row>
    <row r="768" spans="1:21" x14ac:dyDescent="0.3">
      <c r="A768" t="s">
        <v>1195</v>
      </c>
      <c r="B768" t="s">
        <v>1196</v>
      </c>
      <c r="C768" t="s">
        <v>299</v>
      </c>
      <c r="D768" t="s">
        <v>29</v>
      </c>
      <c r="E768" t="s">
        <v>108</v>
      </c>
      <c r="F768" s="6">
        <v>45596</v>
      </c>
      <c r="G768">
        <v>7500</v>
      </c>
      <c r="H768">
        <v>5988.96</v>
      </c>
      <c r="I768">
        <v>1.2523042398012341</v>
      </c>
      <c r="J768">
        <v>1.2523042398012341</v>
      </c>
      <c r="K768" t="s">
        <v>1197</v>
      </c>
      <c r="L768" t="s">
        <v>1197</v>
      </c>
      <c r="M768">
        <v>2024</v>
      </c>
      <c r="N768" t="s">
        <v>53</v>
      </c>
      <c r="O768" t="s">
        <v>78</v>
      </c>
      <c r="P768">
        <v>0</v>
      </c>
      <c r="Q768">
        <v>0</v>
      </c>
      <c r="R768">
        <v>0</v>
      </c>
      <c r="S768" t="s">
        <v>336</v>
      </c>
      <c r="T768" t="s">
        <v>1219</v>
      </c>
      <c r="U768">
        <v>1</v>
      </c>
    </row>
    <row r="769" spans="1:21" x14ac:dyDescent="0.3">
      <c r="A769" t="s">
        <v>1195</v>
      </c>
      <c r="B769" t="s">
        <v>1196</v>
      </c>
      <c r="C769" t="s">
        <v>299</v>
      </c>
      <c r="D769" t="s">
        <v>29</v>
      </c>
      <c r="E769" t="s">
        <v>108</v>
      </c>
      <c r="F769" s="6">
        <v>45626</v>
      </c>
      <c r="G769">
        <v>7500</v>
      </c>
      <c r="H769">
        <v>4790.7299999999996</v>
      </c>
      <c r="I769">
        <v>1.3</v>
      </c>
      <c r="J769">
        <v>1.5655234170992729</v>
      </c>
      <c r="K769" t="s">
        <v>1197</v>
      </c>
      <c r="L769" t="s">
        <v>1197</v>
      </c>
      <c r="M769">
        <v>2024</v>
      </c>
      <c r="N769" t="s">
        <v>55</v>
      </c>
      <c r="O769" t="s">
        <v>78</v>
      </c>
      <c r="P769">
        <v>0</v>
      </c>
      <c r="Q769">
        <v>0</v>
      </c>
      <c r="R769">
        <v>0</v>
      </c>
      <c r="S769" t="s">
        <v>336</v>
      </c>
      <c r="T769" t="s">
        <v>1220</v>
      </c>
      <c r="U769">
        <v>1</v>
      </c>
    </row>
    <row r="770" spans="1:21" x14ac:dyDescent="0.3">
      <c r="A770" t="s">
        <v>1195</v>
      </c>
      <c r="B770" t="s">
        <v>1196</v>
      </c>
      <c r="C770" t="s">
        <v>299</v>
      </c>
      <c r="D770" t="s">
        <v>29</v>
      </c>
      <c r="E770" t="s">
        <v>108</v>
      </c>
      <c r="F770" s="6">
        <v>45657</v>
      </c>
      <c r="G770">
        <v>7500</v>
      </c>
      <c r="H770">
        <v>1950.12</v>
      </c>
      <c r="I770">
        <v>1.3</v>
      </c>
      <c r="J770">
        <v>3.8459171743277341</v>
      </c>
      <c r="K770" t="s">
        <v>1197</v>
      </c>
      <c r="L770" t="s">
        <v>1197</v>
      </c>
      <c r="M770">
        <v>2024</v>
      </c>
      <c r="N770" t="s">
        <v>57</v>
      </c>
      <c r="O770" t="s">
        <v>78</v>
      </c>
      <c r="P770">
        <v>0</v>
      </c>
      <c r="Q770">
        <v>0</v>
      </c>
      <c r="R770">
        <v>0</v>
      </c>
      <c r="S770" t="s">
        <v>336</v>
      </c>
      <c r="T770" t="s">
        <v>1221</v>
      </c>
      <c r="U770">
        <v>1</v>
      </c>
    </row>
    <row r="771" spans="1:21" x14ac:dyDescent="0.3">
      <c r="A771" t="s">
        <v>1195</v>
      </c>
      <c r="B771" t="s">
        <v>1196</v>
      </c>
      <c r="C771" t="s">
        <v>299</v>
      </c>
      <c r="D771" t="s">
        <v>29</v>
      </c>
      <c r="E771" t="s">
        <v>108</v>
      </c>
      <c r="F771" s="6">
        <v>45688</v>
      </c>
      <c r="G771">
        <v>7500</v>
      </c>
      <c r="H771" t="s">
        <v>1222</v>
      </c>
      <c r="I771">
        <v>1.3</v>
      </c>
      <c r="J771">
        <v>3.6973132856790731</v>
      </c>
      <c r="K771" t="s">
        <v>1223</v>
      </c>
      <c r="L771" t="s">
        <v>1224</v>
      </c>
      <c r="M771">
        <v>2025</v>
      </c>
      <c r="N771" t="s">
        <v>32</v>
      </c>
      <c r="O771" t="s">
        <v>244</v>
      </c>
      <c r="P771">
        <v>2</v>
      </c>
      <c r="Q771">
        <v>2</v>
      </c>
      <c r="R771">
        <v>0</v>
      </c>
      <c r="S771" t="s">
        <v>336</v>
      </c>
      <c r="T771" t="s">
        <v>1225</v>
      </c>
      <c r="U771">
        <v>31</v>
      </c>
    </row>
    <row r="772" spans="1:21" x14ac:dyDescent="0.3">
      <c r="A772" t="s">
        <v>1195</v>
      </c>
      <c r="B772" t="s">
        <v>1196</v>
      </c>
      <c r="C772" t="s">
        <v>299</v>
      </c>
      <c r="D772" t="s">
        <v>29</v>
      </c>
      <c r="E772" t="s">
        <v>108</v>
      </c>
      <c r="F772" s="6">
        <v>45716</v>
      </c>
      <c r="G772">
        <v>7500</v>
      </c>
      <c r="H772" t="s">
        <v>1226</v>
      </c>
      <c r="I772">
        <v>1.3</v>
      </c>
      <c r="J772">
        <v>1.4949679379209579</v>
      </c>
      <c r="K772" t="s">
        <v>1223</v>
      </c>
      <c r="L772" t="s">
        <v>1227</v>
      </c>
      <c r="M772">
        <v>2025</v>
      </c>
      <c r="N772" t="s">
        <v>36</v>
      </c>
      <c r="O772" t="s">
        <v>244</v>
      </c>
      <c r="P772">
        <v>2</v>
      </c>
      <c r="Q772">
        <v>2</v>
      </c>
      <c r="R772">
        <v>0</v>
      </c>
      <c r="S772" t="s">
        <v>336</v>
      </c>
      <c r="T772" t="s">
        <v>1228</v>
      </c>
      <c r="U772">
        <v>28</v>
      </c>
    </row>
    <row r="773" spans="1:21" x14ac:dyDescent="0.3">
      <c r="A773" t="s">
        <v>1195</v>
      </c>
      <c r="B773" t="s">
        <v>1196</v>
      </c>
      <c r="C773" t="s">
        <v>299</v>
      </c>
      <c r="D773" t="s">
        <v>29</v>
      </c>
      <c r="E773" t="s">
        <v>108</v>
      </c>
      <c r="F773" s="6">
        <v>45747</v>
      </c>
      <c r="G773">
        <v>7500</v>
      </c>
      <c r="H773" t="s">
        <v>1229</v>
      </c>
      <c r="I773">
        <v>1.157897012008164</v>
      </c>
      <c r="J773">
        <v>1.157897012008164</v>
      </c>
      <c r="K773" t="s">
        <v>1223</v>
      </c>
      <c r="L773" t="s">
        <v>1230</v>
      </c>
      <c r="M773">
        <v>2025</v>
      </c>
      <c r="N773" t="s">
        <v>38</v>
      </c>
      <c r="O773" t="s">
        <v>244</v>
      </c>
      <c r="P773">
        <v>2</v>
      </c>
      <c r="Q773">
        <v>2</v>
      </c>
      <c r="R773">
        <v>0</v>
      </c>
      <c r="S773" t="s">
        <v>336</v>
      </c>
      <c r="T773" t="s">
        <v>1231</v>
      </c>
      <c r="U773">
        <v>31</v>
      </c>
    </row>
    <row r="774" spans="1:21" x14ac:dyDescent="0.3">
      <c r="A774" t="s">
        <v>1195</v>
      </c>
      <c r="B774" t="s">
        <v>1196</v>
      </c>
      <c r="C774" t="s">
        <v>299</v>
      </c>
      <c r="D774" t="s">
        <v>29</v>
      </c>
      <c r="E774" t="s">
        <v>108</v>
      </c>
      <c r="F774" s="6">
        <v>45777</v>
      </c>
      <c r="G774">
        <v>7500</v>
      </c>
      <c r="H774" t="s">
        <v>1232</v>
      </c>
      <c r="I774">
        <v>1.3</v>
      </c>
      <c r="J774">
        <v>1.411716873592989</v>
      </c>
      <c r="K774" t="s">
        <v>1223</v>
      </c>
      <c r="L774" t="s">
        <v>1233</v>
      </c>
      <c r="M774">
        <v>2025</v>
      </c>
      <c r="N774" t="s">
        <v>40</v>
      </c>
      <c r="O774" t="s">
        <v>244</v>
      </c>
      <c r="P774">
        <v>2</v>
      </c>
      <c r="Q774">
        <v>2</v>
      </c>
      <c r="R774">
        <v>0</v>
      </c>
      <c r="S774" t="s">
        <v>336</v>
      </c>
      <c r="T774" t="s">
        <v>1234</v>
      </c>
      <c r="U774">
        <v>30</v>
      </c>
    </row>
    <row r="775" spans="1:21" x14ac:dyDescent="0.3">
      <c r="A775" t="s">
        <v>1195</v>
      </c>
      <c r="B775" t="s">
        <v>1196</v>
      </c>
      <c r="C775" t="s">
        <v>299</v>
      </c>
      <c r="D775" t="s">
        <v>29</v>
      </c>
      <c r="E775" t="s">
        <v>108</v>
      </c>
      <c r="F775" s="6">
        <v>45808</v>
      </c>
      <c r="G775">
        <v>7500</v>
      </c>
      <c r="H775" t="s">
        <v>1235</v>
      </c>
      <c r="I775">
        <v>1.3</v>
      </c>
      <c r="J775">
        <v>1.3640158080338709</v>
      </c>
      <c r="K775" t="s">
        <v>1223</v>
      </c>
      <c r="L775" t="s">
        <v>1236</v>
      </c>
      <c r="M775">
        <v>2025</v>
      </c>
      <c r="N775" t="s">
        <v>42</v>
      </c>
      <c r="O775" t="s">
        <v>244</v>
      </c>
      <c r="P775">
        <v>2</v>
      </c>
      <c r="Q775">
        <v>2</v>
      </c>
      <c r="R775">
        <v>0</v>
      </c>
      <c r="S775" t="s">
        <v>336</v>
      </c>
      <c r="T775" t="s">
        <v>1237</v>
      </c>
      <c r="U775">
        <v>31</v>
      </c>
    </row>
    <row r="776" spans="1:21" x14ac:dyDescent="0.3">
      <c r="A776" t="s">
        <v>1195</v>
      </c>
      <c r="B776" t="s">
        <v>1196</v>
      </c>
      <c r="C776" t="s">
        <v>299</v>
      </c>
      <c r="D776" t="s">
        <v>29</v>
      </c>
      <c r="E776" t="s">
        <v>108</v>
      </c>
      <c r="F776" s="6">
        <v>45838</v>
      </c>
      <c r="G776">
        <v>7500</v>
      </c>
      <c r="H776" t="s">
        <v>1238</v>
      </c>
      <c r="I776">
        <v>1.3</v>
      </c>
      <c r="J776">
        <v>2.8515375490464461</v>
      </c>
      <c r="K776" t="s">
        <v>1223</v>
      </c>
      <c r="L776" t="s">
        <v>1239</v>
      </c>
      <c r="M776">
        <v>2025</v>
      </c>
      <c r="N776" t="s">
        <v>44</v>
      </c>
      <c r="O776" t="s">
        <v>244</v>
      </c>
      <c r="P776">
        <v>2</v>
      </c>
      <c r="Q776">
        <v>2</v>
      </c>
      <c r="R776">
        <v>0</v>
      </c>
      <c r="S776" t="s">
        <v>336</v>
      </c>
      <c r="T776" t="s">
        <v>1240</v>
      </c>
      <c r="U776">
        <v>30</v>
      </c>
    </row>
    <row r="777" spans="1:21" x14ac:dyDescent="0.3">
      <c r="A777" t="s">
        <v>1195</v>
      </c>
      <c r="B777" t="s">
        <v>1196</v>
      </c>
      <c r="C777" t="s">
        <v>299</v>
      </c>
      <c r="D777" t="s">
        <v>29</v>
      </c>
      <c r="E777" t="s">
        <v>108</v>
      </c>
      <c r="F777" s="6">
        <v>45869</v>
      </c>
      <c r="G777">
        <v>7500</v>
      </c>
      <c r="H777" t="s">
        <v>1241</v>
      </c>
      <c r="I777">
        <v>1.3</v>
      </c>
      <c r="J777">
        <v>3.0520310249127118</v>
      </c>
      <c r="K777" t="s">
        <v>1223</v>
      </c>
      <c r="L777" t="s">
        <v>1242</v>
      </c>
      <c r="M777">
        <v>2025</v>
      </c>
      <c r="N777" t="s">
        <v>46</v>
      </c>
      <c r="O777" t="s">
        <v>103</v>
      </c>
      <c r="P777">
        <v>2</v>
      </c>
      <c r="Q777">
        <v>2</v>
      </c>
      <c r="R777">
        <v>0</v>
      </c>
      <c r="S777" t="s">
        <v>336</v>
      </c>
      <c r="T777" t="s">
        <v>1243</v>
      </c>
      <c r="U777">
        <v>31</v>
      </c>
    </row>
    <row r="778" spans="1:21" x14ac:dyDescent="0.3">
      <c r="A778" t="s">
        <v>1195</v>
      </c>
      <c r="B778" t="s">
        <v>1196</v>
      </c>
      <c r="C778" t="s">
        <v>299</v>
      </c>
      <c r="D778" t="s">
        <v>29</v>
      </c>
      <c r="E778" t="s">
        <v>108</v>
      </c>
      <c r="F778" s="6">
        <v>45900</v>
      </c>
      <c r="G778">
        <v>7500</v>
      </c>
      <c r="H778" t="s">
        <v>1244</v>
      </c>
      <c r="I778">
        <v>1.3</v>
      </c>
      <c r="J778">
        <v>1.464020238615779</v>
      </c>
      <c r="K778" t="s">
        <v>1223</v>
      </c>
      <c r="L778" t="s">
        <v>1245</v>
      </c>
      <c r="M778">
        <v>2025</v>
      </c>
      <c r="N778" t="s">
        <v>49</v>
      </c>
      <c r="O778" t="s">
        <v>103</v>
      </c>
      <c r="P778">
        <v>2</v>
      </c>
      <c r="Q778">
        <v>2</v>
      </c>
      <c r="R778">
        <v>0</v>
      </c>
      <c r="S778" t="s">
        <v>336</v>
      </c>
      <c r="T778" t="s">
        <v>1246</v>
      </c>
      <c r="U778">
        <v>31</v>
      </c>
    </row>
    <row r="779" spans="1:21" x14ac:dyDescent="0.3">
      <c r="A779" t="s">
        <v>1195</v>
      </c>
      <c r="B779" t="s">
        <v>1196</v>
      </c>
      <c r="C779" t="s">
        <v>299</v>
      </c>
      <c r="D779" t="s">
        <v>29</v>
      </c>
      <c r="E779" t="s">
        <v>108</v>
      </c>
      <c r="F779" s="6">
        <v>45961</v>
      </c>
      <c r="G779">
        <v>7500</v>
      </c>
      <c r="H779" t="s">
        <v>1247</v>
      </c>
      <c r="I779">
        <v>1.3</v>
      </c>
      <c r="J779">
        <v>1.8709914009235209</v>
      </c>
      <c r="K779" t="s">
        <v>1223</v>
      </c>
      <c r="L779" t="s">
        <v>1248</v>
      </c>
      <c r="M779">
        <v>2025</v>
      </c>
      <c r="N779" t="s">
        <v>53</v>
      </c>
      <c r="O779" t="s">
        <v>103</v>
      </c>
      <c r="P779">
        <v>2</v>
      </c>
      <c r="Q779">
        <v>2</v>
      </c>
      <c r="R779">
        <v>0</v>
      </c>
      <c r="S779" t="s">
        <v>336</v>
      </c>
      <c r="T779" t="s">
        <v>1249</v>
      </c>
      <c r="U779">
        <v>31</v>
      </c>
    </row>
    <row r="780" spans="1:21" x14ac:dyDescent="0.3">
      <c r="A780" t="s">
        <v>1195</v>
      </c>
      <c r="B780" t="s">
        <v>1196</v>
      </c>
      <c r="C780" t="s">
        <v>299</v>
      </c>
      <c r="D780" t="s">
        <v>29</v>
      </c>
      <c r="E780" t="s">
        <v>108</v>
      </c>
      <c r="F780" s="6">
        <v>45991</v>
      </c>
      <c r="G780">
        <v>7500</v>
      </c>
      <c r="H780" t="s">
        <v>1250</v>
      </c>
      <c r="I780">
        <v>1.3</v>
      </c>
      <c r="J780">
        <v>1.4329521680566299</v>
      </c>
      <c r="K780" t="s">
        <v>1223</v>
      </c>
      <c r="L780" t="s">
        <v>1251</v>
      </c>
      <c r="M780">
        <v>2025</v>
      </c>
      <c r="N780" t="s">
        <v>55</v>
      </c>
      <c r="O780" t="s">
        <v>103</v>
      </c>
      <c r="P780">
        <v>2</v>
      </c>
      <c r="Q780">
        <v>2</v>
      </c>
      <c r="R780">
        <v>0</v>
      </c>
      <c r="S780" t="s">
        <v>336</v>
      </c>
      <c r="T780" t="s">
        <v>1252</v>
      </c>
      <c r="U780">
        <v>30</v>
      </c>
    </row>
    <row r="781" spans="1:21" x14ac:dyDescent="0.3">
      <c r="A781" t="s">
        <v>1195</v>
      </c>
      <c r="B781" t="s">
        <v>1196</v>
      </c>
      <c r="C781" t="s">
        <v>299</v>
      </c>
      <c r="D781" t="s">
        <v>29</v>
      </c>
      <c r="E781" t="s">
        <v>108</v>
      </c>
      <c r="F781" s="6">
        <v>46022</v>
      </c>
      <c r="G781">
        <v>7500</v>
      </c>
      <c r="H781" t="s">
        <v>1253</v>
      </c>
      <c r="I781">
        <v>1.3</v>
      </c>
      <c r="J781">
        <v>3.4569540086838679</v>
      </c>
      <c r="K781" t="s">
        <v>1223</v>
      </c>
      <c r="L781" t="s">
        <v>1254</v>
      </c>
      <c r="M781">
        <v>2025</v>
      </c>
      <c r="N781" t="s">
        <v>57</v>
      </c>
      <c r="O781" t="s">
        <v>103</v>
      </c>
      <c r="P781">
        <v>2</v>
      </c>
      <c r="Q781">
        <v>2</v>
      </c>
      <c r="R781">
        <v>0</v>
      </c>
      <c r="S781" t="s">
        <v>336</v>
      </c>
      <c r="T781" t="s">
        <v>1255</v>
      </c>
      <c r="U781">
        <v>31</v>
      </c>
    </row>
    <row r="782" spans="1:21" x14ac:dyDescent="0.3">
      <c r="A782" t="s">
        <v>1195</v>
      </c>
      <c r="B782" t="s">
        <v>1196</v>
      </c>
      <c r="C782" t="s">
        <v>299</v>
      </c>
      <c r="D782" t="s">
        <v>29</v>
      </c>
      <c r="E782" t="s">
        <v>108</v>
      </c>
      <c r="F782" s="6">
        <v>46053</v>
      </c>
      <c r="G782">
        <v>7500</v>
      </c>
      <c r="I782">
        <v>0</v>
      </c>
      <c r="J782">
        <v>0</v>
      </c>
      <c r="K782" t="s">
        <v>1223</v>
      </c>
      <c r="M782">
        <v>2026</v>
      </c>
      <c r="N782" t="s">
        <v>32</v>
      </c>
      <c r="O782" t="s">
        <v>408</v>
      </c>
      <c r="P782">
        <v>2</v>
      </c>
      <c r="Q782">
        <v>2</v>
      </c>
      <c r="R782">
        <v>0</v>
      </c>
      <c r="S782" t="s">
        <v>336</v>
      </c>
      <c r="T782" t="s">
        <v>1256</v>
      </c>
      <c r="U782">
        <v>31</v>
      </c>
    </row>
    <row r="783" spans="1:21" x14ac:dyDescent="0.3">
      <c r="A783" t="s">
        <v>1257</v>
      </c>
      <c r="B783" t="s">
        <v>1258</v>
      </c>
      <c r="C783" t="s">
        <v>299</v>
      </c>
      <c r="D783" t="s">
        <v>222</v>
      </c>
      <c r="E783" t="s">
        <v>30</v>
      </c>
      <c r="F783" s="6">
        <v>45107</v>
      </c>
      <c r="H783">
        <v>-47.67</v>
      </c>
      <c r="K783" t="s">
        <v>1197</v>
      </c>
      <c r="L783" t="s">
        <v>1197</v>
      </c>
      <c r="M783">
        <v>2023</v>
      </c>
      <c r="N783" t="s">
        <v>44</v>
      </c>
      <c r="O783" t="s">
        <v>33</v>
      </c>
      <c r="P783">
        <v>2</v>
      </c>
      <c r="Q783">
        <v>2</v>
      </c>
      <c r="R783">
        <v>0</v>
      </c>
      <c r="S783" t="s">
        <v>336</v>
      </c>
      <c r="T783" t="s">
        <v>1259</v>
      </c>
      <c r="U783">
        <v>1</v>
      </c>
    </row>
    <row r="784" spans="1:21" x14ac:dyDescent="0.3">
      <c r="A784" t="s">
        <v>1257</v>
      </c>
      <c r="B784" t="s">
        <v>1258</v>
      </c>
      <c r="C784" t="s">
        <v>299</v>
      </c>
      <c r="D784" t="s">
        <v>222</v>
      </c>
      <c r="E784" t="s">
        <v>30</v>
      </c>
      <c r="F784" s="6">
        <v>45291</v>
      </c>
      <c r="G784">
        <v>0</v>
      </c>
      <c r="K784" t="s">
        <v>1197</v>
      </c>
      <c r="L784" t="s">
        <v>1197</v>
      </c>
      <c r="M784">
        <v>2023</v>
      </c>
      <c r="N784" t="s">
        <v>57</v>
      </c>
      <c r="O784" t="s">
        <v>47</v>
      </c>
      <c r="P784">
        <v>0</v>
      </c>
      <c r="Q784">
        <v>0</v>
      </c>
      <c r="R784">
        <v>0</v>
      </c>
      <c r="S784" t="s">
        <v>336</v>
      </c>
      <c r="T784" t="s">
        <v>1260</v>
      </c>
      <c r="U784">
        <v>1</v>
      </c>
    </row>
    <row r="785" spans="1:21" x14ac:dyDescent="0.3">
      <c r="A785" t="s">
        <v>1257</v>
      </c>
      <c r="B785" t="s">
        <v>1258</v>
      </c>
      <c r="C785" t="s">
        <v>299</v>
      </c>
      <c r="D785" t="s">
        <v>222</v>
      </c>
      <c r="E785" t="s">
        <v>30</v>
      </c>
      <c r="F785" s="6">
        <v>45473</v>
      </c>
      <c r="G785">
        <v>1</v>
      </c>
      <c r="H785">
        <v>-5.12</v>
      </c>
      <c r="I785">
        <v>0</v>
      </c>
      <c r="J785">
        <v>0</v>
      </c>
      <c r="K785" t="s">
        <v>31</v>
      </c>
      <c r="L785" t="s">
        <v>31</v>
      </c>
      <c r="M785">
        <v>2024</v>
      </c>
      <c r="N785" t="s">
        <v>44</v>
      </c>
      <c r="O785" t="s">
        <v>71</v>
      </c>
      <c r="P785">
        <v>2</v>
      </c>
      <c r="Q785">
        <v>2</v>
      </c>
      <c r="R785">
        <v>0</v>
      </c>
      <c r="S785" t="s">
        <v>336</v>
      </c>
      <c r="T785" t="s">
        <v>1261</v>
      </c>
      <c r="U785">
        <v>1</v>
      </c>
    </row>
    <row r="786" spans="1:21" x14ac:dyDescent="0.3">
      <c r="A786" t="s">
        <v>1257</v>
      </c>
      <c r="B786" t="s">
        <v>1258</v>
      </c>
      <c r="C786" t="s">
        <v>299</v>
      </c>
      <c r="D786" t="s">
        <v>222</v>
      </c>
      <c r="E786" t="s">
        <v>30</v>
      </c>
      <c r="F786" s="6">
        <v>45657</v>
      </c>
      <c r="G786">
        <v>1</v>
      </c>
      <c r="H786">
        <v>-45.65</v>
      </c>
      <c r="I786">
        <v>-45.65</v>
      </c>
      <c r="J786">
        <v>-45.65</v>
      </c>
      <c r="K786" t="s">
        <v>31</v>
      </c>
      <c r="L786" t="s">
        <v>31</v>
      </c>
      <c r="M786">
        <v>2024</v>
      </c>
      <c r="N786" t="s">
        <v>57</v>
      </c>
      <c r="O786" t="s">
        <v>78</v>
      </c>
      <c r="P786">
        <v>2</v>
      </c>
      <c r="Q786">
        <v>2</v>
      </c>
      <c r="R786">
        <v>0</v>
      </c>
      <c r="S786" t="s">
        <v>336</v>
      </c>
      <c r="T786" t="s">
        <v>1262</v>
      </c>
      <c r="U786">
        <v>1</v>
      </c>
    </row>
    <row r="787" spans="1:21" x14ac:dyDescent="0.3">
      <c r="A787" t="s">
        <v>1257</v>
      </c>
      <c r="B787" t="s">
        <v>1258</v>
      </c>
      <c r="C787" t="s">
        <v>299</v>
      </c>
      <c r="D787" t="s">
        <v>222</v>
      </c>
      <c r="E787" t="s">
        <v>30</v>
      </c>
      <c r="F787" s="6">
        <v>45838</v>
      </c>
      <c r="G787">
        <v>1</v>
      </c>
      <c r="H787" t="s">
        <v>1263</v>
      </c>
      <c r="I787">
        <v>0</v>
      </c>
      <c r="J787">
        <v>-114.55</v>
      </c>
      <c r="K787" t="s">
        <v>617</v>
      </c>
      <c r="L787" t="s">
        <v>1264</v>
      </c>
      <c r="M787">
        <v>2025</v>
      </c>
      <c r="N787" t="s">
        <v>44</v>
      </c>
      <c r="O787" t="s">
        <v>244</v>
      </c>
      <c r="P787">
        <v>2</v>
      </c>
      <c r="Q787">
        <v>2</v>
      </c>
      <c r="R787">
        <v>0</v>
      </c>
      <c r="S787" t="s">
        <v>336</v>
      </c>
      <c r="T787" t="s">
        <v>1265</v>
      </c>
      <c r="U787">
        <v>30</v>
      </c>
    </row>
    <row r="788" spans="1:21" x14ac:dyDescent="0.3">
      <c r="A788" t="s">
        <v>1266</v>
      </c>
      <c r="B788" t="s">
        <v>1267</v>
      </c>
      <c r="C788" t="s">
        <v>299</v>
      </c>
      <c r="D788" t="s">
        <v>98</v>
      </c>
      <c r="E788" t="s">
        <v>30</v>
      </c>
      <c r="F788" s="6">
        <v>45291</v>
      </c>
      <c r="K788" t="s">
        <v>31</v>
      </c>
      <c r="L788" t="s">
        <v>31</v>
      </c>
      <c r="M788">
        <v>2023</v>
      </c>
      <c r="N788" t="s">
        <v>57</v>
      </c>
      <c r="O788" t="s">
        <v>47</v>
      </c>
      <c r="P788">
        <v>0</v>
      </c>
      <c r="Q788">
        <v>0</v>
      </c>
      <c r="R788">
        <v>0</v>
      </c>
      <c r="S788" t="s">
        <v>336</v>
      </c>
      <c r="T788" t="s">
        <v>1268</v>
      </c>
      <c r="U788">
        <v>1</v>
      </c>
    </row>
    <row r="789" spans="1:21" x14ac:dyDescent="0.3">
      <c r="A789" t="s">
        <v>1266</v>
      </c>
      <c r="B789" t="s">
        <v>1267</v>
      </c>
      <c r="C789" t="s">
        <v>299</v>
      </c>
      <c r="D789" t="s">
        <v>98</v>
      </c>
      <c r="E789" t="s">
        <v>30</v>
      </c>
      <c r="F789" s="6">
        <v>45657</v>
      </c>
      <c r="G789">
        <v>100</v>
      </c>
      <c r="H789">
        <v>100</v>
      </c>
      <c r="I789">
        <v>1</v>
      </c>
      <c r="J789">
        <v>1</v>
      </c>
      <c r="M789">
        <v>2024</v>
      </c>
      <c r="N789" t="s">
        <v>57</v>
      </c>
      <c r="O789" t="s">
        <v>78</v>
      </c>
      <c r="P789">
        <v>0</v>
      </c>
      <c r="Q789">
        <v>0</v>
      </c>
      <c r="R789">
        <v>0</v>
      </c>
      <c r="S789" t="s">
        <v>336</v>
      </c>
      <c r="T789" t="s">
        <v>1269</v>
      </c>
      <c r="U789">
        <v>1</v>
      </c>
    </row>
    <row r="790" spans="1:21" x14ac:dyDescent="0.3">
      <c r="A790" t="s">
        <v>1266</v>
      </c>
      <c r="B790" t="s">
        <v>1267</v>
      </c>
      <c r="C790" t="s">
        <v>299</v>
      </c>
      <c r="D790" t="s">
        <v>98</v>
      </c>
      <c r="E790" t="s">
        <v>30</v>
      </c>
      <c r="F790" s="6">
        <v>46022</v>
      </c>
      <c r="G790">
        <v>100</v>
      </c>
      <c r="H790" t="s">
        <v>95</v>
      </c>
      <c r="I790">
        <v>1</v>
      </c>
      <c r="J790">
        <v>1</v>
      </c>
      <c r="K790" t="s">
        <v>102</v>
      </c>
      <c r="L790" t="s">
        <v>102</v>
      </c>
      <c r="M790">
        <v>2025</v>
      </c>
      <c r="N790" t="s">
        <v>57</v>
      </c>
      <c r="O790" t="s">
        <v>103</v>
      </c>
      <c r="P790">
        <v>2</v>
      </c>
      <c r="Q790">
        <v>2</v>
      </c>
      <c r="R790">
        <v>0</v>
      </c>
      <c r="S790" t="s">
        <v>336</v>
      </c>
      <c r="T790" t="s">
        <v>1270</v>
      </c>
      <c r="U790">
        <v>31</v>
      </c>
    </row>
    <row r="791" spans="1:21" x14ac:dyDescent="0.3">
      <c r="A791" t="s">
        <v>1271</v>
      </c>
      <c r="B791" t="s">
        <v>1272</v>
      </c>
      <c r="C791" t="s">
        <v>299</v>
      </c>
      <c r="D791" t="s">
        <v>29</v>
      </c>
      <c r="E791" t="s">
        <v>30</v>
      </c>
      <c r="F791" s="6">
        <v>44957</v>
      </c>
      <c r="G791">
        <v>20</v>
      </c>
      <c r="H791">
        <v>80.27</v>
      </c>
      <c r="I791">
        <v>1.3</v>
      </c>
      <c r="J791">
        <v>4.0134999999999996</v>
      </c>
      <c r="K791" t="s">
        <v>31</v>
      </c>
      <c r="L791" t="s">
        <v>31</v>
      </c>
      <c r="M791">
        <v>2023</v>
      </c>
      <c r="N791" t="s">
        <v>32</v>
      </c>
      <c r="O791" t="s">
        <v>33</v>
      </c>
      <c r="P791">
        <v>0</v>
      </c>
      <c r="Q791">
        <v>0</v>
      </c>
      <c r="R791">
        <v>0</v>
      </c>
      <c r="S791" t="s">
        <v>336</v>
      </c>
      <c r="T791" t="s">
        <v>1273</v>
      </c>
      <c r="U791">
        <v>1</v>
      </c>
    </row>
    <row r="792" spans="1:21" x14ac:dyDescent="0.3">
      <c r="A792" t="s">
        <v>1271</v>
      </c>
      <c r="B792" t="s">
        <v>1272</v>
      </c>
      <c r="C792" t="s">
        <v>299</v>
      </c>
      <c r="D792" t="s">
        <v>29</v>
      </c>
      <c r="E792" t="s">
        <v>30</v>
      </c>
      <c r="F792" s="6">
        <v>44985</v>
      </c>
      <c r="G792">
        <v>20</v>
      </c>
      <c r="H792">
        <v>57.67</v>
      </c>
      <c r="I792">
        <v>1.3</v>
      </c>
      <c r="J792">
        <v>2.8835000000000002</v>
      </c>
      <c r="K792" t="s">
        <v>31</v>
      </c>
      <c r="L792" t="s">
        <v>31</v>
      </c>
      <c r="M792">
        <v>2023</v>
      </c>
      <c r="N792" t="s">
        <v>36</v>
      </c>
      <c r="O792" t="s">
        <v>33</v>
      </c>
      <c r="P792">
        <v>0</v>
      </c>
      <c r="Q792">
        <v>0</v>
      </c>
      <c r="R792">
        <v>0</v>
      </c>
      <c r="S792" t="s">
        <v>336</v>
      </c>
      <c r="T792" t="s">
        <v>1274</v>
      </c>
      <c r="U792">
        <v>1</v>
      </c>
    </row>
    <row r="793" spans="1:21" x14ac:dyDescent="0.3">
      <c r="A793" t="s">
        <v>1271</v>
      </c>
      <c r="B793" t="s">
        <v>1272</v>
      </c>
      <c r="C793" t="s">
        <v>299</v>
      </c>
      <c r="D793" t="s">
        <v>29</v>
      </c>
      <c r="E793" t="s">
        <v>30</v>
      </c>
      <c r="F793" s="6">
        <v>45016</v>
      </c>
      <c r="G793">
        <v>20</v>
      </c>
      <c r="H793">
        <v>53.68</v>
      </c>
      <c r="I793">
        <v>1.3</v>
      </c>
      <c r="J793">
        <v>2.6840000000000002</v>
      </c>
      <c r="K793" t="s">
        <v>31</v>
      </c>
      <c r="L793" t="s">
        <v>31</v>
      </c>
      <c r="M793">
        <v>2023</v>
      </c>
      <c r="N793" t="s">
        <v>38</v>
      </c>
      <c r="O793" t="s">
        <v>33</v>
      </c>
      <c r="P793">
        <v>0</v>
      </c>
      <c r="Q793">
        <v>0</v>
      </c>
      <c r="R793">
        <v>0</v>
      </c>
      <c r="S793" t="s">
        <v>336</v>
      </c>
      <c r="T793" t="s">
        <v>1275</v>
      </c>
      <c r="U793">
        <v>1</v>
      </c>
    </row>
    <row r="794" spans="1:21" x14ac:dyDescent="0.3">
      <c r="A794" t="s">
        <v>1271</v>
      </c>
      <c r="B794" t="s">
        <v>1272</v>
      </c>
      <c r="C794" t="s">
        <v>299</v>
      </c>
      <c r="D794" t="s">
        <v>29</v>
      </c>
      <c r="E794" t="s">
        <v>30</v>
      </c>
      <c r="F794" s="6">
        <v>45046</v>
      </c>
      <c r="G794">
        <v>20</v>
      </c>
      <c r="H794">
        <v>65.3</v>
      </c>
      <c r="I794">
        <v>1.3</v>
      </c>
      <c r="J794">
        <v>3.2650000000000001</v>
      </c>
      <c r="K794" t="s">
        <v>31</v>
      </c>
      <c r="L794" t="s">
        <v>31</v>
      </c>
      <c r="M794">
        <v>2023</v>
      </c>
      <c r="N794" t="s">
        <v>40</v>
      </c>
      <c r="O794" t="s">
        <v>33</v>
      </c>
      <c r="P794">
        <v>1</v>
      </c>
      <c r="Q794">
        <v>1</v>
      </c>
      <c r="R794">
        <v>0</v>
      </c>
      <c r="S794" t="s">
        <v>336</v>
      </c>
      <c r="T794" t="s">
        <v>1276</v>
      </c>
      <c r="U794">
        <v>1</v>
      </c>
    </row>
    <row r="795" spans="1:21" x14ac:dyDescent="0.3">
      <c r="A795" t="s">
        <v>1271</v>
      </c>
      <c r="B795" t="s">
        <v>1272</v>
      </c>
      <c r="C795" t="s">
        <v>299</v>
      </c>
      <c r="D795" t="s">
        <v>29</v>
      </c>
      <c r="E795" t="s">
        <v>30</v>
      </c>
      <c r="F795" s="6">
        <v>45077</v>
      </c>
      <c r="G795">
        <v>20</v>
      </c>
      <c r="H795">
        <v>33.94</v>
      </c>
      <c r="I795">
        <v>1.3</v>
      </c>
      <c r="J795">
        <v>1.6970000000000001</v>
      </c>
      <c r="K795" t="s">
        <v>31</v>
      </c>
      <c r="L795" t="s">
        <v>31</v>
      </c>
      <c r="M795">
        <v>2023</v>
      </c>
      <c r="N795" t="s">
        <v>42</v>
      </c>
      <c r="O795" t="s">
        <v>33</v>
      </c>
      <c r="P795">
        <v>0</v>
      </c>
      <c r="Q795">
        <v>0</v>
      </c>
      <c r="R795">
        <v>0</v>
      </c>
      <c r="S795" t="s">
        <v>336</v>
      </c>
      <c r="T795" t="s">
        <v>1277</v>
      </c>
      <c r="U795">
        <v>1</v>
      </c>
    </row>
    <row r="796" spans="1:21" x14ac:dyDescent="0.3">
      <c r="A796" t="s">
        <v>1271</v>
      </c>
      <c r="B796" t="s">
        <v>1272</v>
      </c>
      <c r="C796" t="s">
        <v>299</v>
      </c>
      <c r="D796" t="s">
        <v>29</v>
      </c>
      <c r="E796" t="s">
        <v>30</v>
      </c>
      <c r="F796" s="6">
        <v>45107</v>
      </c>
      <c r="G796">
        <v>20</v>
      </c>
      <c r="H796">
        <v>31.38</v>
      </c>
      <c r="I796">
        <v>1.3</v>
      </c>
      <c r="J796">
        <v>1.569</v>
      </c>
      <c r="K796" t="s">
        <v>31</v>
      </c>
      <c r="L796" t="s">
        <v>31</v>
      </c>
      <c r="M796">
        <v>2023</v>
      </c>
      <c r="N796" t="s">
        <v>44</v>
      </c>
      <c r="O796" t="s">
        <v>33</v>
      </c>
      <c r="P796">
        <v>0</v>
      </c>
      <c r="Q796">
        <v>0</v>
      </c>
      <c r="R796">
        <v>0</v>
      </c>
      <c r="S796" t="s">
        <v>336</v>
      </c>
      <c r="T796" t="s">
        <v>1278</v>
      </c>
      <c r="U796">
        <v>1</v>
      </c>
    </row>
    <row r="797" spans="1:21" x14ac:dyDescent="0.3">
      <c r="A797" t="s">
        <v>1271</v>
      </c>
      <c r="B797" t="s">
        <v>1272</v>
      </c>
      <c r="C797" t="s">
        <v>299</v>
      </c>
      <c r="D797" t="s">
        <v>29</v>
      </c>
      <c r="E797" t="s">
        <v>30</v>
      </c>
      <c r="F797" s="6">
        <v>45138</v>
      </c>
      <c r="G797">
        <v>20</v>
      </c>
      <c r="H797">
        <v>24.49</v>
      </c>
      <c r="I797">
        <v>1.2244999999999999</v>
      </c>
      <c r="J797">
        <v>1.2244999999999999</v>
      </c>
      <c r="K797" t="s">
        <v>31</v>
      </c>
      <c r="L797" t="s">
        <v>31</v>
      </c>
      <c r="M797">
        <v>2023</v>
      </c>
      <c r="N797" t="s">
        <v>46</v>
      </c>
      <c r="O797" t="s">
        <v>47</v>
      </c>
      <c r="P797">
        <v>0</v>
      </c>
      <c r="Q797">
        <v>0</v>
      </c>
      <c r="R797">
        <v>0</v>
      </c>
      <c r="S797" t="s">
        <v>336</v>
      </c>
      <c r="T797" t="s">
        <v>1279</v>
      </c>
      <c r="U797">
        <v>1</v>
      </c>
    </row>
    <row r="798" spans="1:21" x14ac:dyDescent="0.3">
      <c r="A798" t="s">
        <v>1271</v>
      </c>
      <c r="B798" t="s">
        <v>1272</v>
      </c>
      <c r="C798" t="s">
        <v>299</v>
      </c>
      <c r="D798" t="s">
        <v>29</v>
      </c>
      <c r="E798" t="s">
        <v>30</v>
      </c>
      <c r="F798" s="6">
        <v>45169</v>
      </c>
      <c r="G798">
        <v>20</v>
      </c>
      <c r="H798">
        <v>26.43</v>
      </c>
      <c r="I798">
        <v>1.3</v>
      </c>
      <c r="J798">
        <v>1.3214999999999999</v>
      </c>
      <c r="K798" t="s">
        <v>31</v>
      </c>
      <c r="L798" t="s">
        <v>31</v>
      </c>
      <c r="M798">
        <v>2023</v>
      </c>
      <c r="N798" t="s">
        <v>49</v>
      </c>
      <c r="O798" t="s">
        <v>47</v>
      </c>
      <c r="P798">
        <v>0</v>
      </c>
      <c r="Q798">
        <v>0</v>
      </c>
      <c r="R798">
        <v>0</v>
      </c>
      <c r="S798" t="s">
        <v>336</v>
      </c>
      <c r="T798" t="s">
        <v>1280</v>
      </c>
      <c r="U798">
        <v>1</v>
      </c>
    </row>
    <row r="799" spans="1:21" x14ac:dyDescent="0.3">
      <c r="A799" t="s">
        <v>1271</v>
      </c>
      <c r="B799" t="s">
        <v>1272</v>
      </c>
      <c r="C799" t="s">
        <v>299</v>
      </c>
      <c r="D799" t="s">
        <v>29</v>
      </c>
      <c r="E799" t="s">
        <v>30</v>
      </c>
      <c r="F799" s="6">
        <v>45199</v>
      </c>
      <c r="G799">
        <v>20</v>
      </c>
      <c r="H799">
        <v>24.29</v>
      </c>
      <c r="I799">
        <v>1.2144999999999999</v>
      </c>
      <c r="J799">
        <v>1.2144999999999999</v>
      </c>
      <c r="K799" t="s">
        <v>31</v>
      </c>
      <c r="L799" t="s">
        <v>31</v>
      </c>
      <c r="M799">
        <v>2023</v>
      </c>
      <c r="N799" t="s">
        <v>51</v>
      </c>
      <c r="O799" t="s">
        <v>47</v>
      </c>
      <c r="P799">
        <v>0</v>
      </c>
      <c r="Q799">
        <v>0</v>
      </c>
      <c r="R799">
        <v>0</v>
      </c>
      <c r="S799" t="s">
        <v>336</v>
      </c>
      <c r="T799" t="s">
        <v>1281</v>
      </c>
      <c r="U799">
        <v>1</v>
      </c>
    </row>
    <row r="800" spans="1:21" x14ac:dyDescent="0.3">
      <c r="A800" t="s">
        <v>1271</v>
      </c>
      <c r="B800" t="s">
        <v>1272</v>
      </c>
      <c r="C800" t="s">
        <v>299</v>
      </c>
      <c r="D800" t="s">
        <v>29</v>
      </c>
      <c r="E800" t="s">
        <v>30</v>
      </c>
      <c r="F800" s="6">
        <v>45230</v>
      </c>
      <c r="G800">
        <v>20</v>
      </c>
      <c r="H800">
        <v>16.29</v>
      </c>
      <c r="I800">
        <v>0.8145</v>
      </c>
      <c r="J800">
        <v>0.8145</v>
      </c>
      <c r="K800" t="s">
        <v>31</v>
      </c>
      <c r="L800" t="s">
        <v>31</v>
      </c>
      <c r="M800">
        <v>2023</v>
      </c>
      <c r="N800" t="s">
        <v>53</v>
      </c>
      <c r="O800" t="s">
        <v>47</v>
      </c>
      <c r="P800">
        <v>0</v>
      </c>
      <c r="Q800">
        <v>0</v>
      </c>
      <c r="R800">
        <v>0</v>
      </c>
      <c r="S800" t="s">
        <v>336</v>
      </c>
      <c r="T800" t="s">
        <v>1282</v>
      </c>
      <c r="U800">
        <v>1</v>
      </c>
    </row>
    <row r="801" spans="1:21" x14ac:dyDescent="0.3">
      <c r="A801" t="s">
        <v>1271</v>
      </c>
      <c r="B801" t="s">
        <v>1272</v>
      </c>
      <c r="C801" t="s">
        <v>299</v>
      </c>
      <c r="D801" t="s">
        <v>29</v>
      </c>
      <c r="E801" t="s">
        <v>30</v>
      </c>
      <c r="F801" s="6">
        <v>45260</v>
      </c>
      <c r="G801">
        <v>20</v>
      </c>
      <c r="H801">
        <v>12.74</v>
      </c>
      <c r="I801">
        <v>0.63700000000000001</v>
      </c>
      <c r="J801">
        <v>0.63700000000000001</v>
      </c>
      <c r="K801" t="s">
        <v>31</v>
      </c>
      <c r="L801" t="s">
        <v>31</v>
      </c>
      <c r="M801">
        <v>2023</v>
      </c>
      <c r="N801" t="s">
        <v>55</v>
      </c>
      <c r="O801" t="s">
        <v>47</v>
      </c>
      <c r="P801">
        <v>0</v>
      </c>
      <c r="Q801">
        <v>0</v>
      </c>
      <c r="R801">
        <v>0</v>
      </c>
      <c r="S801" t="s">
        <v>336</v>
      </c>
      <c r="T801" t="s">
        <v>1283</v>
      </c>
      <c r="U801">
        <v>1</v>
      </c>
    </row>
    <row r="802" spans="1:21" x14ac:dyDescent="0.3">
      <c r="A802" t="s">
        <v>1271</v>
      </c>
      <c r="B802" t="s">
        <v>1272</v>
      </c>
      <c r="C802" t="s">
        <v>299</v>
      </c>
      <c r="D802" t="s">
        <v>29</v>
      </c>
      <c r="E802" t="s">
        <v>30</v>
      </c>
      <c r="F802" s="6">
        <v>45291</v>
      </c>
      <c r="G802">
        <v>20</v>
      </c>
      <c r="H802">
        <v>26.54</v>
      </c>
      <c r="I802">
        <v>1.3</v>
      </c>
      <c r="J802">
        <v>1.327</v>
      </c>
      <c r="K802" t="s">
        <v>31</v>
      </c>
      <c r="L802" t="s">
        <v>31</v>
      </c>
      <c r="M802">
        <v>2023</v>
      </c>
      <c r="N802" t="s">
        <v>57</v>
      </c>
      <c r="O802" t="s">
        <v>47</v>
      </c>
      <c r="P802">
        <v>0</v>
      </c>
      <c r="Q802">
        <v>0</v>
      </c>
      <c r="R802">
        <v>0</v>
      </c>
      <c r="S802" t="s">
        <v>336</v>
      </c>
      <c r="T802" t="s">
        <v>1284</v>
      </c>
      <c r="U802">
        <v>1</v>
      </c>
    </row>
    <row r="803" spans="1:21" x14ac:dyDescent="0.3">
      <c r="A803" t="s">
        <v>1271</v>
      </c>
      <c r="B803" t="s">
        <v>1272</v>
      </c>
      <c r="C803" t="s">
        <v>299</v>
      </c>
      <c r="D803" t="s">
        <v>29</v>
      </c>
      <c r="E803" t="s">
        <v>30</v>
      </c>
      <c r="F803" s="6">
        <v>45322</v>
      </c>
      <c r="G803">
        <v>20</v>
      </c>
      <c r="H803">
        <v>53.86</v>
      </c>
      <c r="I803">
        <v>1.3</v>
      </c>
      <c r="J803">
        <v>2.6930000000000001</v>
      </c>
      <c r="K803" t="s">
        <v>31</v>
      </c>
      <c r="L803" t="s">
        <v>31</v>
      </c>
      <c r="M803">
        <v>2024</v>
      </c>
      <c r="N803" t="s">
        <v>32</v>
      </c>
      <c r="O803" t="s">
        <v>71</v>
      </c>
      <c r="P803">
        <v>0</v>
      </c>
      <c r="Q803">
        <v>0</v>
      </c>
      <c r="R803">
        <v>0</v>
      </c>
      <c r="S803" t="s">
        <v>336</v>
      </c>
      <c r="T803" t="s">
        <v>1285</v>
      </c>
      <c r="U803">
        <v>1</v>
      </c>
    </row>
    <row r="804" spans="1:21" x14ac:dyDescent="0.3">
      <c r="A804" t="s">
        <v>1271</v>
      </c>
      <c r="B804" t="s">
        <v>1272</v>
      </c>
      <c r="C804" t="s">
        <v>299</v>
      </c>
      <c r="D804" t="s">
        <v>29</v>
      </c>
      <c r="E804" t="s">
        <v>30</v>
      </c>
      <c r="F804" s="6">
        <v>45351</v>
      </c>
      <c r="G804">
        <v>20</v>
      </c>
      <c r="H804">
        <v>18.72</v>
      </c>
      <c r="I804">
        <v>0.93599999999999994</v>
      </c>
      <c r="J804">
        <v>0.93599999999999994</v>
      </c>
      <c r="K804" t="s">
        <v>31</v>
      </c>
      <c r="L804" t="s">
        <v>31</v>
      </c>
      <c r="M804">
        <v>2024</v>
      </c>
      <c r="N804" t="s">
        <v>36</v>
      </c>
      <c r="O804" t="s">
        <v>71</v>
      </c>
      <c r="P804">
        <v>0</v>
      </c>
      <c r="Q804">
        <v>1</v>
      </c>
      <c r="R804">
        <v>0</v>
      </c>
      <c r="S804" t="s">
        <v>336</v>
      </c>
      <c r="T804" t="s">
        <v>1286</v>
      </c>
      <c r="U804">
        <v>1</v>
      </c>
    </row>
    <row r="805" spans="1:21" x14ac:dyDescent="0.3">
      <c r="A805" t="s">
        <v>1271</v>
      </c>
      <c r="B805" t="s">
        <v>1272</v>
      </c>
      <c r="C805" t="s">
        <v>299</v>
      </c>
      <c r="D805" t="s">
        <v>29</v>
      </c>
      <c r="E805" t="s">
        <v>30</v>
      </c>
      <c r="F805" s="6">
        <v>45382</v>
      </c>
      <c r="G805">
        <v>20</v>
      </c>
      <c r="H805">
        <v>18.39</v>
      </c>
      <c r="I805">
        <v>0.91949999999999998</v>
      </c>
      <c r="J805">
        <v>0.91949999999999998</v>
      </c>
      <c r="K805" t="s">
        <v>31</v>
      </c>
      <c r="L805" t="s">
        <v>31</v>
      </c>
      <c r="M805">
        <v>2024</v>
      </c>
      <c r="N805" t="s">
        <v>38</v>
      </c>
      <c r="O805" t="s">
        <v>71</v>
      </c>
      <c r="P805">
        <v>0</v>
      </c>
      <c r="Q805">
        <v>1</v>
      </c>
      <c r="R805">
        <v>0</v>
      </c>
      <c r="S805" t="s">
        <v>336</v>
      </c>
      <c r="T805" t="s">
        <v>1287</v>
      </c>
      <c r="U805">
        <v>1</v>
      </c>
    </row>
    <row r="806" spans="1:21" x14ac:dyDescent="0.3">
      <c r="A806" t="s">
        <v>1271</v>
      </c>
      <c r="B806" t="s">
        <v>1272</v>
      </c>
      <c r="C806" t="s">
        <v>299</v>
      </c>
      <c r="D806" t="s">
        <v>29</v>
      </c>
      <c r="E806" t="s">
        <v>30</v>
      </c>
      <c r="F806" s="6">
        <v>45412</v>
      </c>
      <c r="G806">
        <v>20</v>
      </c>
      <c r="H806">
        <v>18.600000000000001</v>
      </c>
      <c r="I806">
        <v>0.93</v>
      </c>
      <c r="J806">
        <v>0.93</v>
      </c>
      <c r="K806" t="s">
        <v>31</v>
      </c>
      <c r="L806" t="s">
        <v>31</v>
      </c>
      <c r="M806">
        <v>2024</v>
      </c>
      <c r="N806" t="s">
        <v>40</v>
      </c>
      <c r="O806" t="s">
        <v>71</v>
      </c>
      <c r="P806">
        <v>0</v>
      </c>
      <c r="Q806">
        <v>1</v>
      </c>
      <c r="R806">
        <v>0</v>
      </c>
      <c r="S806" t="s">
        <v>336</v>
      </c>
      <c r="T806" t="s">
        <v>1288</v>
      </c>
      <c r="U806">
        <v>1</v>
      </c>
    </row>
    <row r="807" spans="1:21" x14ac:dyDescent="0.3">
      <c r="A807" t="s">
        <v>1271</v>
      </c>
      <c r="B807" t="s">
        <v>1272</v>
      </c>
      <c r="C807" t="s">
        <v>299</v>
      </c>
      <c r="D807" t="s">
        <v>29</v>
      </c>
      <c r="E807" t="s">
        <v>30</v>
      </c>
      <c r="F807" s="6">
        <v>45443</v>
      </c>
      <c r="G807">
        <v>20</v>
      </c>
      <c r="H807">
        <v>28.11</v>
      </c>
      <c r="I807">
        <v>1.3</v>
      </c>
      <c r="J807">
        <v>1.4055</v>
      </c>
      <c r="K807" t="s">
        <v>31</v>
      </c>
      <c r="L807" t="s">
        <v>31</v>
      </c>
      <c r="M807">
        <v>2024</v>
      </c>
      <c r="N807" t="s">
        <v>42</v>
      </c>
      <c r="O807" t="s">
        <v>71</v>
      </c>
      <c r="P807">
        <v>0</v>
      </c>
      <c r="Q807">
        <v>1</v>
      </c>
      <c r="R807">
        <v>0</v>
      </c>
      <c r="S807" t="s">
        <v>336</v>
      </c>
      <c r="T807" t="s">
        <v>1289</v>
      </c>
      <c r="U807">
        <v>1</v>
      </c>
    </row>
    <row r="808" spans="1:21" x14ac:dyDescent="0.3">
      <c r="A808" t="s">
        <v>1271</v>
      </c>
      <c r="B808" t="s">
        <v>1272</v>
      </c>
      <c r="C808" t="s">
        <v>299</v>
      </c>
      <c r="D808" t="s">
        <v>29</v>
      </c>
      <c r="E808" t="s">
        <v>30</v>
      </c>
      <c r="F808" s="6">
        <v>45473</v>
      </c>
      <c r="G808">
        <v>20</v>
      </c>
      <c r="H808">
        <v>17.23</v>
      </c>
      <c r="I808">
        <v>0.86150000000000004</v>
      </c>
      <c r="J808">
        <v>0.86150000000000004</v>
      </c>
      <c r="K808" t="s">
        <v>31</v>
      </c>
      <c r="L808" t="s">
        <v>31</v>
      </c>
      <c r="M808">
        <v>2024</v>
      </c>
      <c r="N808" t="s">
        <v>44</v>
      </c>
      <c r="O808" t="s">
        <v>71</v>
      </c>
      <c r="P808">
        <v>0</v>
      </c>
      <c r="Q808">
        <v>1</v>
      </c>
      <c r="R808">
        <v>0</v>
      </c>
      <c r="S808" t="s">
        <v>336</v>
      </c>
      <c r="T808" t="s">
        <v>1290</v>
      </c>
      <c r="U808">
        <v>1</v>
      </c>
    </row>
    <row r="809" spans="1:21" x14ac:dyDescent="0.3">
      <c r="A809" t="s">
        <v>1271</v>
      </c>
      <c r="B809" t="s">
        <v>1272</v>
      </c>
      <c r="C809" t="s">
        <v>299</v>
      </c>
      <c r="D809" t="s">
        <v>29</v>
      </c>
      <c r="E809" t="s">
        <v>30</v>
      </c>
      <c r="F809" s="6">
        <v>45504</v>
      </c>
      <c r="G809">
        <v>20</v>
      </c>
      <c r="H809">
        <v>27.77</v>
      </c>
      <c r="I809">
        <v>1.3</v>
      </c>
      <c r="J809">
        <v>1.3885000000000001</v>
      </c>
      <c r="K809" t="s">
        <v>31</v>
      </c>
      <c r="L809" t="s">
        <v>31</v>
      </c>
      <c r="M809">
        <v>2024</v>
      </c>
      <c r="N809" t="s">
        <v>46</v>
      </c>
      <c r="O809" t="s">
        <v>78</v>
      </c>
      <c r="P809">
        <v>0</v>
      </c>
      <c r="Q809">
        <v>1</v>
      </c>
      <c r="R809">
        <v>0</v>
      </c>
      <c r="S809" t="s">
        <v>336</v>
      </c>
      <c r="T809" t="s">
        <v>1291</v>
      </c>
      <c r="U809">
        <v>1</v>
      </c>
    </row>
    <row r="810" spans="1:21" x14ac:dyDescent="0.3">
      <c r="A810" t="s">
        <v>1271</v>
      </c>
      <c r="B810" t="s">
        <v>1272</v>
      </c>
      <c r="C810" t="s">
        <v>299</v>
      </c>
      <c r="D810" t="s">
        <v>29</v>
      </c>
      <c r="E810" t="s">
        <v>30</v>
      </c>
      <c r="F810" s="6">
        <v>45535</v>
      </c>
      <c r="G810">
        <v>20</v>
      </c>
      <c r="H810">
        <v>23.96</v>
      </c>
      <c r="I810">
        <v>1.198</v>
      </c>
      <c r="J810">
        <v>1.198</v>
      </c>
      <c r="K810" t="s">
        <v>31</v>
      </c>
      <c r="L810" t="s">
        <v>31</v>
      </c>
      <c r="M810">
        <v>2024</v>
      </c>
      <c r="N810" t="s">
        <v>49</v>
      </c>
      <c r="O810" t="s">
        <v>78</v>
      </c>
      <c r="P810">
        <v>0</v>
      </c>
      <c r="Q810">
        <v>1</v>
      </c>
      <c r="R810">
        <v>0</v>
      </c>
      <c r="S810" t="s">
        <v>336</v>
      </c>
      <c r="T810" t="s">
        <v>1292</v>
      </c>
      <c r="U810">
        <v>1</v>
      </c>
    </row>
    <row r="811" spans="1:21" x14ac:dyDescent="0.3">
      <c r="A811" t="s">
        <v>1271</v>
      </c>
      <c r="B811" t="s">
        <v>1272</v>
      </c>
      <c r="C811" t="s">
        <v>299</v>
      </c>
      <c r="D811" t="s">
        <v>29</v>
      </c>
      <c r="E811" t="s">
        <v>30</v>
      </c>
      <c r="F811" s="6">
        <v>45565</v>
      </c>
      <c r="G811">
        <v>20</v>
      </c>
      <c r="H811">
        <v>16.13</v>
      </c>
      <c r="I811">
        <v>0.80649999999999999</v>
      </c>
      <c r="J811">
        <v>0.80649999999999999</v>
      </c>
      <c r="K811" t="s">
        <v>31</v>
      </c>
      <c r="L811" t="s">
        <v>31</v>
      </c>
      <c r="M811">
        <v>2024</v>
      </c>
      <c r="N811" t="s">
        <v>51</v>
      </c>
      <c r="O811" t="s">
        <v>78</v>
      </c>
      <c r="P811">
        <v>0</v>
      </c>
      <c r="Q811">
        <v>1</v>
      </c>
      <c r="R811">
        <v>0</v>
      </c>
      <c r="S811" t="s">
        <v>336</v>
      </c>
      <c r="T811" t="s">
        <v>1293</v>
      </c>
      <c r="U811">
        <v>1</v>
      </c>
    </row>
    <row r="812" spans="1:21" x14ac:dyDescent="0.3">
      <c r="A812" t="s">
        <v>1271</v>
      </c>
      <c r="B812" t="s">
        <v>1272</v>
      </c>
      <c r="C812" t="s">
        <v>299</v>
      </c>
      <c r="D812" t="s">
        <v>29</v>
      </c>
      <c r="E812" t="s">
        <v>30</v>
      </c>
      <c r="F812" s="6">
        <v>45596</v>
      </c>
      <c r="G812">
        <v>20</v>
      </c>
      <c r="H812">
        <v>34.47</v>
      </c>
      <c r="I812">
        <v>1.3</v>
      </c>
      <c r="J812">
        <v>1.7235</v>
      </c>
      <c r="K812" t="s">
        <v>31</v>
      </c>
      <c r="L812" t="s">
        <v>31</v>
      </c>
      <c r="M812">
        <v>2024</v>
      </c>
      <c r="N812" t="s">
        <v>53</v>
      </c>
      <c r="O812" t="s">
        <v>78</v>
      </c>
      <c r="P812">
        <v>0</v>
      </c>
      <c r="Q812">
        <v>1</v>
      </c>
      <c r="R812">
        <v>0</v>
      </c>
      <c r="S812" t="s">
        <v>336</v>
      </c>
      <c r="T812" t="s">
        <v>1294</v>
      </c>
      <c r="U812">
        <v>1</v>
      </c>
    </row>
    <row r="813" spans="1:21" x14ac:dyDescent="0.3">
      <c r="A813" t="s">
        <v>1271</v>
      </c>
      <c r="B813" t="s">
        <v>1272</v>
      </c>
      <c r="C813" t="s">
        <v>299</v>
      </c>
      <c r="D813" t="s">
        <v>29</v>
      </c>
      <c r="E813" t="s">
        <v>30</v>
      </c>
      <c r="F813" s="6">
        <v>45626</v>
      </c>
      <c r="G813">
        <v>20</v>
      </c>
      <c r="H813">
        <v>19.612750510884599</v>
      </c>
      <c r="I813">
        <v>0.98063752554422989</v>
      </c>
      <c r="J813">
        <v>0.98063752554422989</v>
      </c>
      <c r="K813" t="s">
        <v>31</v>
      </c>
      <c r="L813" t="s">
        <v>31</v>
      </c>
      <c r="M813">
        <v>2024</v>
      </c>
      <c r="N813" t="s">
        <v>55</v>
      </c>
      <c r="O813" t="s">
        <v>78</v>
      </c>
      <c r="P813">
        <v>0</v>
      </c>
      <c r="Q813">
        <v>1</v>
      </c>
      <c r="R813">
        <v>0</v>
      </c>
      <c r="S813" t="s">
        <v>336</v>
      </c>
      <c r="T813" t="s">
        <v>1295</v>
      </c>
      <c r="U813">
        <v>1</v>
      </c>
    </row>
    <row r="814" spans="1:21" x14ac:dyDescent="0.3">
      <c r="A814" t="s">
        <v>1271</v>
      </c>
      <c r="B814" t="s">
        <v>1272</v>
      </c>
      <c r="C814" t="s">
        <v>299</v>
      </c>
      <c r="D814" t="s">
        <v>29</v>
      </c>
      <c r="E814" t="s">
        <v>30</v>
      </c>
      <c r="F814" s="6">
        <v>45657</v>
      </c>
      <c r="G814">
        <v>20</v>
      </c>
      <c r="H814">
        <v>27.05</v>
      </c>
      <c r="I814">
        <v>1.3</v>
      </c>
      <c r="J814">
        <v>1.3525</v>
      </c>
      <c r="K814" t="s">
        <v>31</v>
      </c>
      <c r="L814" t="s">
        <v>31</v>
      </c>
      <c r="M814">
        <v>2024</v>
      </c>
      <c r="N814" t="s">
        <v>57</v>
      </c>
      <c r="O814" t="s">
        <v>78</v>
      </c>
      <c r="P814">
        <v>0</v>
      </c>
      <c r="Q814">
        <v>1</v>
      </c>
      <c r="R814">
        <v>0</v>
      </c>
      <c r="S814" t="s">
        <v>336</v>
      </c>
      <c r="T814" t="s">
        <v>1296</v>
      </c>
      <c r="U814">
        <v>1</v>
      </c>
    </row>
    <row r="815" spans="1:21" x14ac:dyDescent="0.3">
      <c r="A815" t="s">
        <v>1271</v>
      </c>
      <c r="B815" t="s">
        <v>1272</v>
      </c>
      <c r="C815" t="s">
        <v>299</v>
      </c>
      <c r="D815" t="s">
        <v>29</v>
      </c>
      <c r="E815" t="s">
        <v>30</v>
      </c>
      <c r="F815" s="6">
        <v>45688</v>
      </c>
      <c r="G815">
        <v>20</v>
      </c>
      <c r="H815" t="s">
        <v>1297</v>
      </c>
      <c r="I815">
        <v>1.3</v>
      </c>
      <c r="J815">
        <v>2.0110000000000001</v>
      </c>
      <c r="K815" t="s">
        <v>1298</v>
      </c>
      <c r="L815" t="s">
        <v>1299</v>
      </c>
      <c r="M815">
        <v>2025</v>
      </c>
      <c r="N815" t="s">
        <v>32</v>
      </c>
      <c r="O815" t="s">
        <v>244</v>
      </c>
      <c r="P815">
        <v>2</v>
      </c>
      <c r="Q815">
        <v>2</v>
      </c>
      <c r="R815">
        <v>0</v>
      </c>
      <c r="S815" t="s">
        <v>336</v>
      </c>
      <c r="T815" t="s">
        <v>1300</v>
      </c>
      <c r="U815">
        <v>31</v>
      </c>
    </row>
    <row r="816" spans="1:21" x14ac:dyDescent="0.3">
      <c r="A816" t="s">
        <v>1271</v>
      </c>
      <c r="B816" t="s">
        <v>1272</v>
      </c>
      <c r="C816" t="s">
        <v>299</v>
      </c>
      <c r="D816" t="s">
        <v>29</v>
      </c>
      <c r="E816" t="s">
        <v>30</v>
      </c>
      <c r="F816" s="6">
        <v>45716</v>
      </c>
      <c r="G816">
        <v>20</v>
      </c>
      <c r="H816" t="s">
        <v>1301</v>
      </c>
      <c r="I816">
        <v>1.3</v>
      </c>
      <c r="J816">
        <v>1.3714999999999999</v>
      </c>
      <c r="K816" t="s">
        <v>1298</v>
      </c>
      <c r="L816" t="s">
        <v>1302</v>
      </c>
      <c r="M816">
        <v>2025</v>
      </c>
      <c r="N816" t="s">
        <v>36</v>
      </c>
      <c r="O816" t="s">
        <v>244</v>
      </c>
      <c r="P816">
        <v>2</v>
      </c>
      <c r="Q816">
        <v>2</v>
      </c>
      <c r="R816">
        <v>0</v>
      </c>
      <c r="S816" t="s">
        <v>336</v>
      </c>
      <c r="T816" t="s">
        <v>1303</v>
      </c>
      <c r="U816">
        <v>28</v>
      </c>
    </row>
    <row r="817" spans="1:21" x14ac:dyDescent="0.3">
      <c r="A817" t="s">
        <v>1271</v>
      </c>
      <c r="B817" t="s">
        <v>1272</v>
      </c>
      <c r="C817" t="s">
        <v>299</v>
      </c>
      <c r="D817" t="s">
        <v>29</v>
      </c>
      <c r="E817" t="s">
        <v>30</v>
      </c>
      <c r="F817" s="6">
        <v>45747</v>
      </c>
      <c r="G817">
        <v>20</v>
      </c>
      <c r="H817" t="s">
        <v>1304</v>
      </c>
      <c r="I817">
        <v>1.0105</v>
      </c>
      <c r="J817">
        <v>1.0105</v>
      </c>
      <c r="K817" t="s">
        <v>1298</v>
      </c>
      <c r="L817" t="s">
        <v>1305</v>
      </c>
      <c r="M817">
        <v>2025</v>
      </c>
      <c r="N817" t="s">
        <v>38</v>
      </c>
      <c r="O817" t="s">
        <v>244</v>
      </c>
      <c r="P817">
        <v>2</v>
      </c>
      <c r="Q817">
        <v>2</v>
      </c>
      <c r="R817">
        <v>0</v>
      </c>
      <c r="S817" t="s">
        <v>336</v>
      </c>
      <c r="T817" t="s">
        <v>1306</v>
      </c>
      <c r="U817">
        <v>31</v>
      </c>
    </row>
    <row r="818" spans="1:21" x14ac:dyDescent="0.3">
      <c r="A818" t="s">
        <v>1271</v>
      </c>
      <c r="B818" t="s">
        <v>1272</v>
      </c>
      <c r="C818" t="s">
        <v>299</v>
      </c>
      <c r="D818" t="s">
        <v>29</v>
      </c>
      <c r="E818" t="s">
        <v>30</v>
      </c>
      <c r="F818" s="6">
        <v>45777</v>
      </c>
      <c r="G818">
        <v>20</v>
      </c>
      <c r="H818" t="s">
        <v>1307</v>
      </c>
      <c r="I818">
        <v>1.3</v>
      </c>
      <c r="J818">
        <v>1.3915</v>
      </c>
      <c r="K818" t="s">
        <v>1298</v>
      </c>
      <c r="L818" t="s">
        <v>1308</v>
      </c>
      <c r="M818">
        <v>2025</v>
      </c>
      <c r="N818" t="s">
        <v>40</v>
      </c>
      <c r="O818" t="s">
        <v>244</v>
      </c>
      <c r="P818">
        <v>2</v>
      </c>
      <c r="Q818">
        <v>2</v>
      </c>
      <c r="R818">
        <v>0</v>
      </c>
      <c r="S818" t="s">
        <v>336</v>
      </c>
      <c r="T818" t="s">
        <v>1309</v>
      </c>
      <c r="U818">
        <v>30</v>
      </c>
    </row>
    <row r="819" spans="1:21" x14ac:dyDescent="0.3">
      <c r="A819" t="s">
        <v>1271</v>
      </c>
      <c r="B819" t="s">
        <v>1272</v>
      </c>
      <c r="C819" t="s">
        <v>299</v>
      </c>
      <c r="D819" t="s">
        <v>29</v>
      </c>
      <c r="E819" t="s">
        <v>30</v>
      </c>
      <c r="F819" s="6">
        <v>45808</v>
      </c>
      <c r="G819">
        <v>20</v>
      </c>
      <c r="H819" t="s">
        <v>1310</v>
      </c>
      <c r="I819">
        <v>1.2355</v>
      </c>
      <c r="J819">
        <v>1.2355</v>
      </c>
      <c r="K819" t="s">
        <v>1298</v>
      </c>
      <c r="L819" t="s">
        <v>1311</v>
      </c>
      <c r="M819">
        <v>2025</v>
      </c>
      <c r="N819" t="s">
        <v>42</v>
      </c>
      <c r="O819" t="s">
        <v>244</v>
      </c>
      <c r="P819">
        <v>2</v>
      </c>
      <c r="Q819">
        <v>2</v>
      </c>
      <c r="R819">
        <v>0</v>
      </c>
      <c r="S819" t="s">
        <v>336</v>
      </c>
      <c r="T819" t="s">
        <v>1312</v>
      </c>
      <c r="U819">
        <v>31</v>
      </c>
    </row>
    <row r="820" spans="1:21" x14ac:dyDescent="0.3">
      <c r="A820" t="s">
        <v>1271</v>
      </c>
      <c r="B820" t="s">
        <v>1272</v>
      </c>
      <c r="C820" t="s">
        <v>299</v>
      </c>
      <c r="D820" t="s">
        <v>29</v>
      </c>
      <c r="E820" t="s">
        <v>30</v>
      </c>
      <c r="F820" s="6">
        <v>45838</v>
      </c>
      <c r="G820">
        <v>20</v>
      </c>
      <c r="H820" t="s">
        <v>1313</v>
      </c>
      <c r="I820">
        <v>1.3</v>
      </c>
      <c r="J820">
        <v>1.3065</v>
      </c>
      <c r="K820" t="s">
        <v>1298</v>
      </c>
      <c r="L820" t="s">
        <v>1314</v>
      </c>
      <c r="M820">
        <v>2025</v>
      </c>
      <c r="N820" t="s">
        <v>44</v>
      </c>
      <c r="O820" t="s">
        <v>244</v>
      </c>
      <c r="P820">
        <v>2</v>
      </c>
      <c r="Q820">
        <v>2</v>
      </c>
      <c r="R820">
        <v>0</v>
      </c>
      <c r="S820" t="s">
        <v>336</v>
      </c>
      <c r="T820" t="s">
        <v>1315</v>
      </c>
      <c r="U820">
        <v>30</v>
      </c>
    </row>
    <row r="821" spans="1:21" x14ac:dyDescent="0.3">
      <c r="A821" t="s">
        <v>1271</v>
      </c>
      <c r="B821" t="s">
        <v>1272</v>
      </c>
      <c r="C821" t="s">
        <v>299</v>
      </c>
      <c r="D821" t="s">
        <v>29</v>
      </c>
      <c r="E821" t="s">
        <v>30</v>
      </c>
      <c r="F821" s="6">
        <v>45869</v>
      </c>
      <c r="G821">
        <v>20</v>
      </c>
      <c r="H821" t="s">
        <v>1316</v>
      </c>
      <c r="I821">
        <v>1.2929999999999999</v>
      </c>
      <c r="J821">
        <v>1.2929999999999999</v>
      </c>
      <c r="K821" t="s">
        <v>1298</v>
      </c>
      <c r="L821" t="s">
        <v>1317</v>
      </c>
      <c r="M821">
        <v>2025</v>
      </c>
      <c r="N821" t="s">
        <v>46</v>
      </c>
      <c r="O821" t="s">
        <v>103</v>
      </c>
      <c r="P821">
        <v>2</v>
      </c>
      <c r="Q821">
        <v>2</v>
      </c>
      <c r="R821">
        <v>0</v>
      </c>
      <c r="S821" t="s">
        <v>336</v>
      </c>
      <c r="T821" t="s">
        <v>1318</v>
      </c>
      <c r="U821">
        <v>31</v>
      </c>
    </row>
    <row r="822" spans="1:21" x14ac:dyDescent="0.3">
      <c r="A822" t="s">
        <v>1271</v>
      </c>
      <c r="B822" t="s">
        <v>1272</v>
      </c>
      <c r="C822" t="s">
        <v>299</v>
      </c>
      <c r="D822" t="s">
        <v>29</v>
      </c>
      <c r="E822" t="s">
        <v>30</v>
      </c>
      <c r="F822" s="6">
        <v>45900</v>
      </c>
      <c r="G822">
        <v>20</v>
      </c>
      <c r="H822" t="s">
        <v>1319</v>
      </c>
      <c r="I822">
        <v>0.73</v>
      </c>
      <c r="J822">
        <v>0.73</v>
      </c>
      <c r="K822" t="s">
        <v>1298</v>
      </c>
      <c r="L822" t="s">
        <v>1320</v>
      </c>
      <c r="M822">
        <v>2025</v>
      </c>
      <c r="N822" t="s">
        <v>49</v>
      </c>
      <c r="O822" t="s">
        <v>103</v>
      </c>
      <c r="P822">
        <v>2</v>
      </c>
      <c r="Q822">
        <v>2</v>
      </c>
      <c r="R822">
        <v>0</v>
      </c>
      <c r="S822" t="s">
        <v>336</v>
      </c>
      <c r="T822" t="s">
        <v>1321</v>
      </c>
      <c r="U822">
        <v>31</v>
      </c>
    </row>
    <row r="823" spans="1:21" x14ac:dyDescent="0.3">
      <c r="A823" t="s">
        <v>1271</v>
      </c>
      <c r="B823" t="s">
        <v>1272</v>
      </c>
      <c r="C823" t="s">
        <v>299</v>
      </c>
      <c r="D823" t="s">
        <v>29</v>
      </c>
      <c r="E823" t="s">
        <v>30</v>
      </c>
      <c r="F823" s="6">
        <v>45961</v>
      </c>
      <c r="G823">
        <v>20</v>
      </c>
      <c r="H823" t="s">
        <v>1322</v>
      </c>
      <c r="I823">
        <v>1.1659999999999999</v>
      </c>
      <c r="J823">
        <v>1.1659999999999999</v>
      </c>
      <c r="K823" t="s">
        <v>1298</v>
      </c>
      <c r="L823" t="s">
        <v>1323</v>
      </c>
      <c r="M823">
        <v>2025</v>
      </c>
      <c r="N823" t="s">
        <v>53</v>
      </c>
      <c r="O823" t="s">
        <v>103</v>
      </c>
      <c r="P823">
        <v>2</v>
      </c>
      <c r="Q823">
        <v>2</v>
      </c>
      <c r="R823">
        <v>0</v>
      </c>
      <c r="S823" t="s">
        <v>336</v>
      </c>
      <c r="T823" t="s">
        <v>1324</v>
      </c>
      <c r="U823">
        <v>31</v>
      </c>
    </row>
    <row r="824" spans="1:21" x14ac:dyDescent="0.3">
      <c r="A824" t="s">
        <v>1271</v>
      </c>
      <c r="B824" t="s">
        <v>1272</v>
      </c>
      <c r="C824" t="s">
        <v>299</v>
      </c>
      <c r="D824" t="s">
        <v>29</v>
      </c>
      <c r="E824" t="s">
        <v>30</v>
      </c>
      <c r="F824" s="6">
        <v>45991</v>
      </c>
      <c r="G824">
        <v>20</v>
      </c>
      <c r="H824" t="s">
        <v>1250</v>
      </c>
      <c r="I824">
        <v>1.3</v>
      </c>
      <c r="J824">
        <v>261.69749999999999</v>
      </c>
      <c r="K824" t="s">
        <v>1298</v>
      </c>
      <c r="L824" t="s">
        <v>1251</v>
      </c>
      <c r="M824">
        <v>2025</v>
      </c>
      <c r="N824" t="s">
        <v>55</v>
      </c>
      <c r="O824" t="s">
        <v>103</v>
      </c>
      <c r="P824">
        <v>2</v>
      </c>
      <c r="Q824">
        <v>2</v>
      </c>
      <c r="R824">
        <v>0</v>
      </c>
      <c r="S824" t="s">
        <v>336</v>
      </c>
      <c r="T824" t="s">
        <v>1325</v>
      </c>
      <c r="U824">
        <v>30</v>
      </c>
    </row>
    <row r="825" spans="1:21" x14ac:dyDescent="0.3">
      <c r="A825" t="s">
        <v>1271</v>
      </c>
      <c r="B825" t="s">
        <v>1272</v>
      </c>
      <c r="C825" t="s">
        <v>299</v>
      </c>
      <c r="D825" t="s">
        <v>29</v>
      </c>
      <c r="E825" t="s">
        <v>30</v>
      </c>
      <c r="F825" s="6">
        <v>46022</v>
      </c>
      <c r="G825">
        <v>20</v>
      </c>
      <c r="H825" t="s">
        <v>1253</v>
      </c>
      <c r="I825">
        <v>1.3</v>
      </c>
      <c r="J825">
        <v>108.477</v>
      </c>
      <c r="K825" t="s">
        <v>1298</v>
      </c>
      <c r="L825" t="s">
        <v>1254</v>
      </c>
      <c r="M825">
        <v>2025</v>
      </c>
      <c r="N825" t="s">
        <v>57</v>
      </c>
      <c r="O825" t="s">
        <v>103</v>
      </c>
      <c r="P825">
        <v>2</v>
      </c>
      <c r="Q825">
        <v>2</v>
      </c>
      <c r="R825">
        <v>0</v>
      </c>
      <c r="S825" t="s">
        <v>336</v>
      </c>
      <c r="T825" t="s">
        <v>1326</v>
      </c>
      <c r="U825">
        <v>31</v>
      </c>
    </row>
    <row r="826" spans="1:21" x14ac:dyDescent="0.3">
      <c r="A826" t="s">
        <v>1327</v>
      </c>
      <c r="B826" t="s">
        <v>1328</v>
      </c>
      <c r="C826" t="s">
        <v>299</v>
      </c>
      <c r="D826" t="s">
        <v>29</v>
      </c>
      <c r="E826" t="s">
        <v>108</v>
      </c>
      <c r="F826" s="6">
        <v>44957</v>
      </c>
      <c r="G826">
        <v>172000</v>
      </c>
      <c r="H826">
        <v>120858</v>
      </c>
      <c r="I826">
        <v>1.3</v>
      </c>
      <c r="J826">
        <v>1.42315775538235</v>
      </c>
      <c r="K826" t="s">
        <v>1329</v>
      </c>
      <c r="L826" t="s">
        <v>1329</v>
      </c>
      <c r="M826">
        <v>2023</v>
      </c>
      <c r="N826" t="s">
        <v>32</v>
      </c>
      <c r="O826" t="s">
        <v>33</v>
      </c>
      <c r="P826">
        <v>0</v>
      </c>
      <c r="Q826">
        <v>1</v>
      </c>
      <c r="R826">
        <v>0</v>
      </c>
      <c r="S826" t="s">
        <v>336</v>
      </c>
      <c r="T826" t="s">
        <v>1330</v>
      </c>
      <c r="U826">
        <v>1</v>
      </c>
    </row>
    <row r="827" spans="1:21" x14ac:dyDescent="0.3">
      <c r="A827" t="s">
        <v>1327</v>
      </c>
      <c r="B827" t="s">
        <v>1328</v>
      </c>
      <c r="C827" t="s">
        <v>299</v>
      </c>
      <c r="D827" t="s">
        <v>29</v>
      </c>
      <c r="E827" t="s">
        <v>108</v>
      </c>
      <c r="F827" s="6">
        <v>44985</v>
      </c>
      <c r="G827">
        <v>172000</v>
      </c>
      <c r="H827">
        <v>111868</v>
      </c>
      <c r="I827">
        <v>1.3</v>
      </c>
      <c r="J827">
        <v>1.537526370365073</v>
      </c>
      <c r="K827" t="s">
        <v>1329</v>
      </c>
      <c r="L827" t="s">
        <v>1329</v>
      </c>
      <c r="M827">
        <v>2023</v>
      </c>
      <c r="N827" t="s">
        <v>36</v>
      </c>
      <c r="O827" t="s">
        <v>33</v>
      </c>
      <c r="P827">
        <v>0</v>
      </c>
      <c r="Q827">
        <v>1</v>
      </c>
      <c r="R827">
        <v>0</v>
      </c>
      <c r="S827" t="s">
        <v>336</v>
      </c>
      <c r="T827" t="s">
        <v>1331</v>
      </c>
      <c r="U827">
        <v>1</v>
      </c>
    </row>
    <row r="828" spans="1:21" x14ac:dyDescent="0.3">
      <c r="A828" t="s">
        <v>1327</v>
      </c>
      <c r="B828" t="s">
        <v>1328</v>
      </c>
      <c r="C828" t="s">
        <v>299</v>
      </c>
      <c r="D828" t="s">
        <v>29</v>
      </c>
      <c r="E828" t="s">
        <v>108</v>
      </c>
      <c r="F828" s="6">
        <v>45016</v>
      </c>
      <c r="G828">
        <v>172000</v>
      </c>
      <c r="H828">
        <v>151441.41</v>
      </c>
      <c r="I828">
        <v>1.135752764055749</v>
      </c>
      <c r="J828">
        <v>1.135752764055749</v>
      </c>
      <c r="K828" t="s">
        <v>1329</v>
      </c>
      <c r="L828" t="s">
        <v>1329</v>
      </c>
      <c r="M828">
        <v>2023</v>
      </c>
      <c r="N828" t="s">
        <v>38</v>
      </c>
      <c r="O828" t="s">
        <v>33</v>
      </c>
      <c r="P828">
        <v>0</v>
      </c>
      <c r="Q828">
        <v>1</v>
      </c>
      <c r="R828">
        <v>0</v>
      </c>
      <c r="S828" t="s">
        <v>336</v>
      </c>
      <c r="T828" t="s">
        <v>1332</v>
      </c>
      <c r="U828">
        <v>1</v>
      </c>
    </row>
    <row r="829" spans="1:21" x14ac:dyDescent="0.3">
      <c r="A829" t="s">
        <v>1327</v>
      </c>
      <c r="B829" t="s">
        <v>1328</v>
      </c>
      <c r="C829" t="s">
        <v>299</v>
      </c>
      <c r="D829" t="s">
        <v>29</v>
      </c>
      <c r="E829" t="s">
        <v>108</v>
      </c>
      <c r="F829" s="6">
        <v>45046</v>
      </c>
      <c r="G829">
        <v>172000</v>
      </c>
      <c r="H829">
        <v>137079</v>
      </c>
      <c r="I829">
        <v>1.2547509100591629</v>
      </c>
      <c r="J829">
        <v>1.2547509100591629</v>
      </c>
      <c r="K829" t="s">
        <v>1329</v>
      </c>
      <c r="L829" t="s">
        <v>1329</v>
      </c>
      <c r="M829">
        <v>2023</v>
      </c>
      <c r="N829" t="s">
        <v>40</v>
      </c>
      <c r="O829" t="s">
        <v>33</v>
      </c>
      <c r="P829">
        <v>0</v>
      </c>
      <c r="Q829">
        <v>1</v>
      </c>
      <c r="R829">
        <v>0</v>
      </c>
      <c r="S829" t="s">
        <v>336</v>
      </c>
      <c r="T829" t="s">
        <v>1333</v>
      </c>
      <c r="U829">
        <v>1</v>
      </c>
    </row>
    <row r="830" spans="1:21" x14ac:dyDescent="0.3">
      <c r="A830" t="s">
        <v>1327</v>
      </c>
      <c r="B830" t="s">
        <v>1328</v>
      </c>
      <c r="C830" t="s">
        <v>299</v>
      </c>
      <c r="D830" t="s">
        <v>29</v>
      </c>
      <c r="E830" t="s">
        <v>108</v>
      </c>
      <c r="F830" s="6">
        <v>45077</v>
      </c>
      <c r="G830">
        <v>172000</v>
      </c>
      <c r="H830">
        <v>147309</v>
      </c>
      <c r="I830">
        <v>1.16761365564901</v>
      </c>
      <c r="J830">
        <v>1.16761365564901</v>
      </c>
      <c r="K830" t="s">
        <v>1329</v>
      </c>
      <c r="L830" t="s">
        <v>1329</v>
      </c>
      <c r="M830">
        <v>2023</v>
      </c>
      <c r="N830" t="s">
        <v>42</v>
      </c>
      <c r="O830" t="s">
        <v>33</v>
      </c>
      <c r="P830">
        <v>0</v>
      </c>
      <c r="Q830">
        <v>1</v>
      </c>
      <c r="R830">
        <v>0</v>
      </c>
      <c r="S830" t="s">
        <v>336</v>
      </c>
      <c r="T830" t="s">
        <v>1334</v>
      </c>
      <c r="U830">
        <v>1</v>
      </c>
    </row>
    <row r="831" spans="1:21" x14ac:dyDescent="0.3">
      <c r="A831" t="s">
        <v>1327</v>
      </c>
      <c r="B831" t="s">
        <v>1328</v>
      </c>
      <c r="C831" t="s">
        <v>299</v>
      </c>
      <c r="D831" t="s">
        <v>29</v>
      </c>
      <c r="E831" t="s">
        <v>108</v>
      </c>
      <c r="F831" s="6">
        <v>45107</v>
      </c>
      <c r="G831">
        <v>172000</v>
      </c>
      <c r="H831">
        <v>140491</v>
      </c>
      <c r="I831">
        <v>1.224277711739542</v>
      </c>
      <c r="J831">
        <v>1.224277711739542</v>
      </c>
      <c r="K831" t="s">
        <v>1329</v>
      </c>
      <c r="L831" t="s">
        <v>1329</v>
      </c>
      <c r="M831">
        <v>2023</v>
      </c>
      <c r="N831" t="s">
        <v>44</v>
      </c>
      <c r="O831" t="s">
        <v>33</v>
      </c>
      <c r="P831">
        <v>0</v>
      </c>
      <c r="Q831">
        <v>1</v>
      </c>
      <c r="R831">
        <v>0</v>
      </c>
      <c r="S831" t="s">
        <v>336</v>
      </c>
      <c r="T831" t="s">
        <v>1335</v>
      </c>
      <c r="U831">
        <v>1</v>
      </c>
    </row>
    <row r="832" spans="1:21" x14ac:dyDescent="0.3">
      <c r="A832" t="s">
        <v>1327</v>
      </c>
      <c r="B832" t="s">
        <v>1328</v>
      </c>
      <c r="C832" t="s">
        <v>299</v>
      </c>
      <c r="D832" t="s">
        <v>29</v>
      </c>
      <c r="E832" t="s">
        <v>108</v>
      </c>
      <c r="F832" s="6">
        <v>45138</v>
      </c>
      <c r="G832">
        <v>172000</v>
      </c>
      <c r="H832">
        <v>125486</v>
      </c>
      <c r="I832">
        <v>1.3</v>
      </c>
      <c r="J832">
        <v>1.370670831805938</v>
      </c>
      <c r="K832" t="s">
        <v>1329</v>
      </c>
      <c r="L832" t="s">
        <v>1329</v>
      </c>
      <c r="M832">
        <v>2023</v>
      </c>
      <c r="N832" t="s">
        <v>46</v>
      </c>
      <c r="O832" t="s">
        <v>47</v>
      </c>
      <c r="P832">
        <v>0</v>
      </c>
      <c r="Q832">
        <v>1</v>
      </c>
      <c r="R832">
        <v>0</v>
      </c>
      <c r="S832" t="s">
        <v>336</v>
      </c>
      <c r="T832" t="s">
        <v>1336</v>
      </c>
      <c r="U832">
        <v>1</v>
      </c>
    </row>
    <row r="833" spans="1:21" x14ac:dyDescent="0.3">
      <c r="A833" t="s">
        <v>1327</v>
      </c>
      <c r="B833" t="s">
        <v>1328</v>
      </c>
      <c r="C833" t="s">
        <v>299</v>
      </c>
      <c r="D833" t="s">
        <v>29</v>
      </c>
      <c r="E833" t="s">
        <v>108</v>
      </c>
      <c r="F833" s="6">
        <v>45169</v>
      </c>
      <c r="G833">
        <v>172000</v>
      </c>
      <c r="H833">
        <v>143021.71</v>
      </c>
      <c r="I833">
        <v>1.2026146240315549</v>
      </c>
      <c r="J833">
        <v>1.2026146240315549</v>
      </c>
      <c r="K833" t="s">
        <v>1329</v>
      </c>
      <c r="L833" t="s">
        <v>1329</v>
      </c>
      <c r="M833">
        <v>2023</v>
      </c>
      <c r="N833" t="s">
        <v>49</v>
      </c>
      <c r="O833" t="s">
        <v>47</v>
      </c>
      <c r="P833">
        <v>0</v>
      </c>
      <c r="Q833">
        <v>1</v>
      </c>
      <c r="R833">
        <v>0</v>
      </c>
      <c r="S833" t="s">
        <v>336</v>
      </c>
      <c r="T833" t="s">
        <v>1337</v>
      </c>
      <c r="U833">
        <v>1</v>
      </c>
    </row>
    <row r="834" spans="1:21" x14ac:dyDescent="0.3">
      <c r="A834" t="s">
        <v>1327</v>
      </c>
      <c r="B834" t="s">
        <v>1328</v>
      </c>
      <c r="C834" t="s">
        <v>299</v>
      </c>
      <c r="D834" t="s">
        <v>29</v>
      </c>
      <c r="E834" t="s">
        <v>108</v>
      </c>
      <c r="F834" s="6">
        <v>45199</v>
      </c>
      <c r="G834">
        <v>172000</v>
      </c>
      <c r="H834">
        <v>146746.82999999999</v>
      </c>
      <c r="I834">
        <v>1.172086647459438</v>
      </c>
      <c r="J834">
        <v>1.172086647459438</v>
      </c>
      <c r="K834" t="s">
        <v>1329</v>
      </c>
      <c r="L834" t="s">
        <v>1329</v>
      </c>
      <c r="M834">
        <v>2023</v>
      </c>
      <c r="N834" t="s">
        <v>51</v>
      </c>
      <c r="O834" t="s">
        <v>47</v>
      </c>
      <c r="P834">
        <v>0</v>
      </c>
      <c r="Q834">
        <v>1</v>
      </c>
      <c r="R834">
        <v>0</v>
      </c>
      <c r="S834" t="s">
        <v>336</v>
      </c>
      <c r="T834" t="s">
        <v>1338</v>
      </c>
      <c r="U834">
        <v>1</v>
      </c>
    </row>
    <row r="835" spans="1:21" x14ac:dyDescent="0.3">
      <c r="A835" t="s">
        <v>1327</v>
      </c>
      <c r="B835" t="s">
        <v>1328</v>
      </c>
      <c r="C835" t="s">
        <v>299</v>
      </c>
      <c r="D835" t="s">
        <v>29</v>
      </c>
      <c r="E835" t="s">
        <v>108</v>
      </c>
      <c r="F835" s="6">
        <v>45230</v>
      </c>
      <c r="G835">
        <v>172000</v>
      </c>
      <c r="H835">
        <v>141458.28</v>
      </c>
      <c r="I835">
        <v>1.2159062021678759</v>
      </c>
      <c r="J835">
        <v>1.2159062021678759</v>
      </c>
      <c r="K835" t="s">
        <v>1329</v>
      </c>
      <c r="L835" t="s">
        <v>1329</v>
      </c>
      <c r="M835">
        <v>2023</v>
      </c>
      <c r="N835" t="s">
        <v>53</v>
      </c>
      <c r="O835" t="s">
        <v>47</v>
      </c>
      <c r="P835">
        <v>0</v>
      </c>
      <c r="Q835">
        <v>1</v>
      </c>
      <c r="R835">
        <v>0</v>
      </c>
      <c r="S835" t="s">
        <v>336</v>
      </c>
      <c r="T835" t="s">
        <v>1339</v>
      </c>
      <c r="U835">
        <v>1</v>
      </c>
    </row>
    <row r="836" spans="1:21" x14ac:dyDescent="0.3">
      <c r="A836" t="s">
        <v>1327</v>
      </c>
      <c r="B836" t="s">
        <v>1328</v>
      </c>
      <c r="C836" t="s">
        <v>299</v>
      </c>
      <c r="D836" t="s">
        <v>29</v>
      </c>
      <c r="E836" t="s">
        <v>108</v>
      </c>
      <c r="F836" s="6">
        <v>45260</v>
      </c>
      <c r="G836">
        <v>172000</v>
      </c>
      <c r="H836">
        <v>129770</v>
      </c>
      <c r="I836">
        <v>1.3</v>
      </c>
      <c r="J836">
        <v>1.32542190028512</v>
      </c>
      <c r="K836" t="s">
        <v>1329</v>
      </c>
      <c r="L836" t="s">
        <v>1329</v>
      </c>
      <c r="M836">
        <v>2023</v>
      </c>
      <c r="N836" t="s">
        <v>55</v>
      </c>
      <c r="O836" t="s">
        <v>47</v>
      </c>
      <c r="P836">
        <v>0</v>
      </c>
      <c r="Q836">
        <v>1</v>
      </c>
      <c r="R836">
        <v>0</v>
      </c>
      <c r="S836" t="s">
        <v>336</v>
      </c>
      <c r="T836" t="s">
        <v>1340</v>
      </c>
      <c r="U836">
        <v>1</v>
      </c>
    </row>
    <row r="837" spans="1:21" x14ac:dyDescent="0.3">
      <c r="A837" t="s">
        <v>1327</v>
      </c>
      <c r="B837" t="s">
        <v>1328</v>
      </c>
      <c r="C837" t="s">
        <v>299</v>
      </c>
      <c r="D837" t="s">
        <v>29</v>
      </c>
      <c r="E837" t="s">
        <v>108</v>
      </c>
      <c r="F837" s="6">
        <v>45291</v>
      </c>
      <c r="G837">
        <v>172000</v>
      </c>
      <c r="H837">
        <v>109170</v>
      </c>
      <c r="I837">
        <v>1.3</v>
      </c>
      <c r="J837">
        <v>1.575524411468352</v>
      </c>
      <c r="K837" t="s">
        <v>1329</v>
      </c>
      <c r="L837" t="s">
        <v>1329</v>
      </c>
      <c r="M837">
        <v>2023</v>
      </c>
      <c r="N837" t="s">
        <v>57</v>
      </c>
      <c r="O837" t="s">
        <v>47</v>
      </c>
      <c r="P837">
        <v>0</v>
      </c>
      <c r="Q837">
        <v>1</v>
      </c>
      <c r="R837">
        <v>0</v>
      </c>
      <c r="S837" t="s">
        <v>336</v>
      </c>
      <c r="T837" t="s">
        <v>1341</v>
      </c>
      <c r="U837">
        <v>1</v>
      </c>
    </row>
    <row r="838" spans="1:21" x14ac:dyDescent="0.3">
      <c r="A838" t="s">
        <v>1327</v>
      </c>
      <c r="B838" t="s">
        <v>1328</v>
      </c>
      <c r="C838" t="s">
        <v>299</v>
      </c>
      <c r="D838" t="s">
        <v>29</v>
      </c>
      <c r="E838" t="s">
        <v>108</v>
      </c>
      <c r="F838" s="6">
        <v>45322</v>
      </c>
      <c r="G838">
        <v>172000</v>
      </c>
      <c r="H838">
        <v>117162.05</v>
      </c>
      <c r="I838">
        <v>1.3</v>
      </c>
      <c r="J838">
        <v>1.468052155113367</v>
      </c>
      <c r="K838" t="s">
        <v>1329</v>
      </c>
      <c r="L838" t="s">
        <v>1329</v>
      </c>
      <c r="M838">
        <v>2024</v>
      </c>
      <c r="N838" t="s">
        <v>32</v>
      </c>
      <c r="O838" t="s">
        <v>71</v>
      </c>
      <c r="P838">
        <v>0</v>
      </c>
      <c r="Q838">
        <v>1</v>
      </c>
      <c r="R838">
        <v>0</v>
      </c>
      <c r="S838" t="s">
        <v>336</v>
      </c>
      <c r="T838" t="s">
        <v>1342</v>
      </c>
      <c r="U838">
        <v>1</v>
      </c>
    </row>
    <row r="839" spans="1:21" x14ac:dyDescent="0.3">
      <c r="A839" t="s">
        <v>1327</v>
      </c>
      <c r="B839" t="s">
        <v>1328</v>
      </c>
      <c r="C839" t="s">
        <v>299</v>
      </c>
      <c r="D839" t="s">
        <v>29</v>
      </c>
      <c r="E839" t="s">
        <v>108</v>
      </c>
      <c r="F839" s="6">
        <v>45351</v>
      </c>
      <c r="G839">
        <v>172000</v>
      </c>
      <c r="H839">
        <v>152267.99</v>
      </c>
      <c r="I839">
        <v>1.129587380775172</v>
      </c>
      <c r="J839">
        <v>1.129587380775172</v>
      </c>
      <c r="K839" t="s">
        <v>1329</v>
      </c>
      <c r="L839" t="s">
        <v>1329</v>
      </c>
      <c r="M839">
        <v>2024</v>
      </c>
      <c r="N839" t="s">
        <v>36</v>
      </c>
      <c r="O839" t="s">
        <v>71</v>
      </c>
      <c r="P839">
        <v>0</v>
      </c>
      <c r="Q839">
        <v>1</v>
      </c>
      <c r="R839">
        <v>0</v>
      </c>
      <c r="S839" t="s">
        <v>336</v>
      </c>
      <c r="T839" t="s">
        <v>1343</v>
      </c>
      <c r="U839">
        <v>1</v>
      </c>
    </row>
    <row r="840" spans="1:21" x14ac:dyDescent="0.3">
      <c r="A840" t="s">
        <v>1327</v>
      </c>
      <c r="B840" t="s">
        <v>1328</v>
      </c>
      <c r="C840" t="s">
        <v>299</v>
      </c>
      <c r="D840" t="s">
        <v>29</v>
      </c>
      <c r="E840" t="s">
        <v>108</v>
      </c>
      <c r="F840" s="6">
        <v>45382</v>
      </c>
      <c r="G840">
        <v>172000</v>
      </c>
      <c r="H840">
        <v>162992.73000000001</v>
      </c>
      <c r="I840">
        <v>1.0552617898970089</v>
      </c>
      <c r="J840">
        <v>1.0552617898970089</v>
      </c>
      <c r="K840" t="s">
        <v>1329</v>
      </c>
      <c r="L840" t="s">
        <v>1329</v>
      </c>
      <c r="M840">
        <v>2024</v>
      </c>
      <c r="N840" t="s">
        <v>38</v>
      </c>
      <c r="O840" t="s">
        <v>71</v>
      </c>
      <c r="P840">
        <v>0</v>
      </c>
      <c r="Q840">
        <v>1</v>
      </c>
      <c r="R840">
        <v>0</v>
      </c>
      <c r="S840" t="s">
        <v>336</v>
      </c>
      <c r="T840" t="s">
        <v>1344</v>
      </c>
      <c r="U840">
        <v>1</v>
      </c>
    </row>
    <row r="841" spans="1:21" x14ac:dyDescent="0.3">
      <c r="A841" t="s">
        <v>1327</v>
      </c>
      <c r="B841" t="s">
        <v>1328</v>
      </c>
      <c r="C841" t="s">
        <v>299</v>
      </c>
      <c r="D841" t="s">
        <v>29</v>
      </c>
      <c r="E841" t="s">
        <v>108</v>
      </c>
      <c r="F841" s="6">
        <v>45412</v>
      </c>
      <c r="G841">
        <v>172000</v>
      </c>
      <c r="H841">
        <v>157556.39000000001</v>
      </c>
      <c r="I841">
        <v>1.0916726386025979</v>
      </c>
      <c r="J841">
        <v>1.0916726386025979</v>
      </c>
      <c r="K841" t="s">
        <v>1329</v>
      </c>
      <c r="L841" t="s">
        <v>1329</v>
      </c>
      <c r="M841">
        <v>2024</v>
      </c>
      <c r="N841" t="s">
        <v>40</v>
      </c>
      <c r="O841" t="s">
        <v>71</v>
      </c>
      <c r="P841">
        <v>0</v>
      </c>
      <c r="Q841">
        <v>1</v>
      </c>
      <c r="R841">
        <v>0</v>
      </c>
      <c r="S841" t="s">
        <v>336</v>
      </c>
      <c r="T841" t="s">
        <v>1345</v>
      </c>
      <c r="U841">
        <v>1</v>
      </c>
    </row>
    <row r="842" spans="1:21" x14ac:dyDescent="0.3">
      <c r="A842" t="s">
        <v>1327</v>
      </c>
      <c r="B842" t="s">
        <v>1328</v>
      </c>
      <c r="C842" t="s">
        <v>299</v>
      </c>
      <c r="D842" t="s">
        <v>29</v>
      </c>
      <c r="E842" t="s">
        <v>108</v>
      </c>
      <c r="F842" s="6">
        <v>45443</v>
      </c>
      <c r="G842">
        <v>172000</v>
      </c>
      <c r="H842">
        <v>143612.14000000001</v>
      </c>
      <c r="I842">
        <v>1.19767033622645</v>
      </c>
      <c r="J842">
        <v>1.19767033622645</v>
      </c>
      <c r="K842" t="s">
        <v>1329</v>
      </c>
      <c r="L842" t="s">
        <v>1329</v>
      </c>
      <c r="M842">
        <v>2024</v>
      </c>
      <c r="N842" t="s">
        <v>42</v>
      </c>
      <c r="O842" t="s">
        <v>71</v>
      </c>
      <c r="P842">
        <v>0</v>
      </c>
      <c r="Q842">
        <v>1</v>
      </c>
      <c r="R842">
        <v>0</v>
      </c>
      <c r="S842" t="s">
        <v>336</v>
      </c>
      <c r="T842" t="s">
        <v>1346</v>
      </c>
      <c r="U842">
        <v>1</v>
      </c>
    </row>
    <row r="843" spans="1:21" x14ac:dyDescent="0.3">
      <c r="A843" t="s">
        <v>1327</v>
      </c>
      <c r="B843" t="s">
        <v>1328</v>
      </c>
      <c r="C843" t="s">
        <v>299</v>
      </c>
      <c r="D843" t="s">
        <v>29</v>
      </c>
      <c r="E843" t="s">
        <v>108</v>
      </c>
      <c r="F843" s="6">
        <v>45473</v>
      </c>
      <c r="G843">
        <v>172000</v>
      </c>
      <c r="H843">
        <v>132538.65</v>
      </c>
      <c r="I843">
        <v>1.2977346607951721</v>
      </c>
      <c r="J843">
        <v>1.2977346607951721</v>
      </c>
      <c r="K843" t="s">
        <v>1329</v>
      </c>
      <c r="L843" t="s">
        <v>1329</v>
      </c>
      <c r="M843">
        <v>2024</v>
      </c>
      <c r="N843" t="s">
        <v>44</v>
      </c>
      <c r="O843" t="s">
        <v>71</v>
      </c>
      <c r="P843">
        <v>0</v>
      </c>
      <c r="Q843">
        <v>1</v>
      </c>
      <c r="R843">
        <v>0</v>
      </c>
      <c r="S843" t="s">
        <v>336</v>
      </c>
      <c r="T843" t="s">
        <v>1347</v>
      </c>
      <c r="U843">
        <v>1</v>
      </c>
    </row>
    <row r="844" spans="1:21" x14ac:dyDescent="0.3">
      <c r="A844" t="s">
        <v>1327</v>
      </c>
      <c r="B844" t="s">
        <v>1328</v>
      </c>
      <c r="C844" t="s">
        <v>299</v>
      </c>
      <c r="D844" t="s">
        <v>29</v>
      </c>
      <c r="E844" t="s">
        <v>108</v>
      </c>
      <c r="F844" s="6">
        <v>45504</v>
      </c>
      <c r="G844">
        <v>172000</v>
      </c>
      <c r="H844">
        <v>126157</v>
      </c>
      <c r="I844">
        <v>1.3</v>
      </c>
      <c r="J844">
        <v>1.363380549632601</v>
      </c>
      <c r="K844" t="s">
        <v>1329</v>
      </c>
      <c r="L844" t="s">
        <v>1329</v>
      </c>
      <c r="M844">
        <v>2024</v>
      </c>
      <c r="N844" t="s">
        <v>46</v>
      </c>
      <c r="O844" t="s">
        <v>78</v>
      </c>
      <c r="P844">
        <v>0</v>
      </c>
      <c r="Q844">
        <v>1</v>
      </c>
      <c r="R844">
        <v>0</v>
      </c>
      <c r="S844" t="s">
        <v>336</v>
      </c>
      <c r="T844" t="s">
        <v>1348</v>
      </c>
      <c r="U844">
        <v>1</v>
      </c>
    </row>
    <row r="845" spans="1:21" x14ac:dyDescent="0.3">
      <c r="A845" t="s">
        <v>1327</v>
      </c>
      <c r="B845" t="s">
        <v>1328</v>
      </c>
      <c r="C845" t="s">
        <v>299</v>
      </c>
      <c r="D845" t="s">
        <v>29</v>
      </c>
      <c r="E845" t="s">
        <v>108</v>
      </c>
      <c r="F845" s="6">
        <v>45535</v>
      </c>
      <c r="G845">
        <v>172000</v>
      </c>
      <c r="H845">
        <v>149988.92000000001</v>
      </c>
      <c r="I845">
        <v>1.1467513733681129</v>
      </c>
      <c r="J845">
        <v>1.1467513733681129</v>
      </c>
      <c r="K845" t="s">
        <v>1329</v>
      </c>
      <c r="L845" t="s">
        <v>1329</v>
      </c>
      <c r="M845">
        <v>2024</v>
      </c>
      <c r="N845" t="s">
        <v>49</v>
      </c>
      <c r="O845" t="s">
        <v>78</v>
      </c>
      <c r="P845">
        <v>0</v>
      </c>
      <c r="Q845">
        <v>1</v>
      </c>
      <c r="R845">
        <v>0</v>
      </c>
      <c r="S845" t="s">
        <v>336</v>
      </c>
      <c r="T845" t="s">
        <v>1349</v>
      </c>
      <c r="U845">
        <v>1</v>
      </c>
    </row>
    <row r="846" spans="1:21" x14ac:dyDescent="0.3">
      <c r="A846" t="s">
        <v>1327</v>
      </c>
      <c r="B846" t="s">
        <v>1328</v>
      </c>
      <c r="C846" t="s">
        <v>299</v>
      </c>
      <c r="D846" t="s">
        <v>29</v>
      </c>
      <c r="E846" t="s">
        <v>108</v>
      </c>
      <c r="F846" s="6">
        <v>45565</v>
      </c>
      <c r="G846">
        <v>172000</v>
      </c>
      <c r="H846">
        <v>151469.62</v>
      </c>
      <c r="I846">
        <v>1.1355412392267179</v>
      </c>
      <c r="J846">
        <v>1.1355412392267179</v>
      </c>
      <c r="K846" t="s">
        <v>1329</v>
      </c>
      <c r="L846" t="s">
        <v>1329</v>
      </c>
      <c r="M846">
        <v>2024</v>
      </c>
      <c r="N846" t="s">
        <v>51</v>
      </c>
      <c r="O846" t="s">
        <v>78</v>
      </c>
      <c r="P846">
        <v>0</v>
      </c>
      <c r="Q846">
        <v>1</v>
      </c>
      <c r="R846">
        <v>0</v>
      </c>
      <c r="S846" t="s">
        <v>336</v>
      </c>
      <c r="T846" t="s">
        <v>1350</v>
      </c>
      <c r="U846">
        <v>1</v>
      </c>
    </row>
    <row r="847" spans="1:21" x14ac:dyDescent="0.3">
      <c r="A847" t="s">
        <v>1327</v>
      </c>
      <c r="B847" t="s">
        <v>1328</v>
      </c>
      <c r="C847" t="s">
        <v>299</v>
      </c>
      <c r="D847" t="s">
        <v>29</v>
      </c>
      <c r="E847" t="s">
        <v>108</v>
      </c>
      <c r="F847" s="6">
        <v>45596</v>
      </c>
      <c r="G847">
        <v>172000</v>
      </c>
      <c r="H847">
        <v>152808.49</v>
      </c>
      <c r="I847">
        <v>1.125591909193004</v>
      </c>
      <c r="J847">
        <v>1.125591909193004</v>
      </c>
      <c r="K847" t="s">
        <v>1329</v>
      </c>
      <c r="L847" t="s">
        <v>1329</v>
      </c>
      <c r="M847">
        <v>2024</v>
      </c>
      <c r="N847" t="s">
        <v>53</v>
      </c>
      <c r="O847" t="s">
        <v>78</v>
      </c>
      <c r="P847">
        <v>0</v>
      </c>
      <c r="Q847">
        <v>1</v>
      </c>
      <c r="R847">
        <v>0</v>
      </c>
      <c r="S847" t="s">
        <v>336</v>
      </c>
      <c r="T847" t="s">
        <v>1351</v>
      </c>
      <c r="U847">
        <v>1</v>
      </c>
    </row>
    <row r="848" spans="1:21" x14ac:dyDescent="0.3">
      <c r="A848" t="s">
        <v>1327</v>
      </c>
      <c r="B848" t="s">
        <v>1328</v>
      </c>
      <c r="C848" t="s">
        <v>299</v>
      </c>
      <c r="D848" t="s">
        <v>29</v>
      </c>
      <c r="E848" t="s">
        <v>108</v>
      </c>
      <c r="F848" s="6">
        <v>45626</v>
      </c>
      <c r="G848">
        <v>172000</v>
      </c>
      <c r="H848">
        <v>144203.35999999999</v>
      </c>
      <c r="I848">
        <v>1.1927600022634699</v>
      </c>
      <c r="J848">
        <v>1.1927600022634699</v>
      </c>
      <c r="K848" t="s">
        <v>1329</v>
      </c>
      <c r="L848" t="s">
        <v>1329</v>
      </c>
      <c r="M848">
        <v>2024</v>
      </c>
      <c r="N848" t="s">
        <v>55</v>
      </c>
      <c r="O848" t="s">
        <v>78</v>
      </c>
      <c r="P848">
        <v>0</v>
      </c>
      <c r="Q848">
        <v>1</v>
      </c>
      <c r="R848">
        <v>0</v>
      </c>
      <c r="S848" t="s">
        <v>336</v>
      </c>
      <c r="T848" t="s">
        <v>1352</v>
      </c>
      <c r="U848">
        <v>1</v>
      </c>
    </row>
    <row r="849" spans="1:21" x14ac:dyDescent="0.3">
      <c r="A849" t="s">
        <v>1327</v>
      </c>
      <c r="B849" t="s">
        <v>1328</v>
      </c>
      <c r="C849" t="s">
        <v>299</v>
      </c>
      <c r="D849" t="s">
        <v>29</v>
      </c>
      <c r="E849" t="s">
        <v>108</v>
      </c>
      <c r="F849" s="6">
        <v>45657</v>
      </c>
      <c r="G849">
        <v>172000</v>
      </c>
      <c r="H849">
        <v>123150.55</v>
      </c>
      <c r="I849">
        <v>1.3</v>
      </c>
      <c r="J849">
        <v>1.3966644891151521</v>
      </c>
      <c r="K849" t="s">
        <v>1329</v>
      </c>
      <c r="L849" t="s">
        <v>1329</v>
      </c>
      <c r="M849">
        <v>2024</v>
      </c>
      <c r="N849" t="s">
        <v>57</v>
      </c>
      <c r="O849" t="s">
        <v>78</v>
      </c>
      <c r="P849">
        <v>0</v>
      </c>
      <c r="Q849">
        <v>1</v>
      </c>
      <c r="R849">
        <v>0</v>
      </c>
      <c r="S849" t="s">
        <v>336</v>
      </c>
      <c r="T849" t="s">
        <v>1353</v>
      </c>
      <c r="U849">
        <v>1</v>
      </c>
    </row>
    <row r="850" spans="1:21" x14ac:dyDescent="0.3">
      <c r="A850" t="s">
        <v>1327</v>
      </c>
      <c r="B850" t="s">
        <v>1328</v>
      </c>
      <c r="C850" t="s">
        <v>299</v>
      </c>
      <c r="D850" t="s">
        <v>29</v>
      </c>
      <c r="E850" t="s">
        <v>108</v>
      </c>
      <c r="F850" s="6">
        <v>45688</v>
      </c>
      <c r="G850">
        <v>172000</v>
      </c>
      <c r="H850" t="s">
        <v>1354</v>
      </c>
      <c r="I850">
        <v>1.3</v>
      </c>
      <c r="J850">
        <v>1.51718338080853</v>
      </c>
      <c r="K850" t="s">
        <v>1355</v>
      </c>
      <c r="L850" t="s">
        <v>1356</v>
      </c>
      <c r="M850">
        <v>2025</v>
      </c>
      <c r="N850" t="s">
        <v>32</v>
      </c>
      <c r="O850" t="s">
        <v>244</v>
      </c>
      <c r="P850">
        <v>2</v>
      </c>
      <c r="Q850">
        <v>2</v>
      </c>
      <c r="R850">
        <v>0</v>
      </c>
      <c r="S850" t="s">
        <v>336</v>
      </c>
      <c r="T850" t="s">
        <v>1357</v>
      </c>
      <c r="U850">
        <v>31</v>
      </c>
    </row>
    <row r="851" spans="1:21" x14ac:dyDescent="0.3">
      <c r="A851" t="s">
        <v>1327</v>
      </c>
      <c r="B851" t="s">
        <v>1328</v>
      </c>
      <c r="C851" t="s">
        <v>299</v>
      </c>
      <c r="D851" t="s">
        <v>29</v>
      </c>
      <c r="E851" t="s">
        <v>108</v>
      </c>
      <c r="F851" s="6">
        <v>45716</v>
      </c>
      <c r="G851">
        <v>172000</v>
      </c>
      <c r="H851" t="s">
        <v>1358</v>
      </c>
      <c r="I851">
        <v>1.276311021858384</v>
      </c>
      <c r="J851">
        <v>1.276311021858384</v>
      </c>
      <c r="K851" t="s">
        <v>1355</v>
      </c>
      <c r="L851" t="s">
        <v>1359</v>
      </c>
      <c r="M851">
        <v>2025</v>
      </c>
      <c r="N851" t="s">
        <v>36</v>
      </c>
      <c r="O851" t="s">
        <v>244</v>
      </c>
      <c r="P851">
        <v>2</v>
      </c>
      <c r="Q851">
        <v>2</v>
      </c>
      <c r="R851">
        <v>0</v>
      </c>
      <c r="S851" t="s">
        <v>336</v>
      </c>
      <c r="T851" t="s">
        <v>1360</v>
      </c>
      <c r="U851">
        <v>28</v>
      </c>
    </row>
    <row r="852" spans="1:21" x14ac:dyDescent="0.3">
      <c r="A852" t="s">
        <v>1327</v>
      </c>
      <c r="B852" t="s">
        <v>1328</v>
      </c>
      <c r="C852" t="s">
        <v>299</v>
      </c>
      <c r="D852" t="s">
        <v>29</v>
      </c>
      <c r="E852" t="s">
        <v>108</v>
      </c>
      <c r="F852" s="6">
        <v>45747</v>
      </c>
      <c r="G852">
        <v>172000</v>
      </c>
      <c r="H852" t="s">
        <v>1361</v>
      </c>
      <c r="I852">
        <v>1.101832796360672</v>
      </c>
      <c r="J852">
        <v>1.101832796360672</v>
      </c>
      <c r="K852" t="s">
        <v>1355</v>
      </c>
      <c r="L852" t="s">
        <v>1362</v>
      </c>
      <c r="M852">
        <v>2025</v>
      </c>
      <c r="N852" t="s">
        <v>38</v>
      </c>
      <c r="O852" t="s">
        <v>244</v>
      </c>
      <c r="P852">
        <v>2</v>
      </c>
      <c r="Q852">
        <v>2</v>
      </c>
      <c r="R852">
        <v>0</v>
      </c>
      <c r="S852" t="s">
        <v>336</v>
      </c>
      <c r="T852" t="s">
        <v>1363</v>
      </c>
      <c r="U852">
        <v>31</v>
      </c>
    </row>
    <row r="853" spans="1:21" x14ac:dyDescent="0.3">
      <c r="A853" t="s">
        <v>1327</v>
      </c>
      <c r="B853" t="s">
        <v>1328</v>
      </c>
      <c r="C853" t="s">
        <v>299</v>
      </c>
      <c r="D853" t="s">
        <v>29</v>
      </c>
      <c r="E853" t="s">
        <v>108</v>
      </c>
      <c r="F853" s="6">
        <v>45777</v>
      </c>
      <c r="G853">
        <v>172000</v>
      </c>
      <c r="H853" t="s">
        <v>1364</v>
      </c>
      <c r="I853">
        <v>1.2332414496753239</v>
      </c>
      <c r="J853">
        <v>1.2332414496753239</v>
      </c>
      <c r="K853" t="s">
        <v>1355</v>
      </c>
      <c r="L853" t="s">
        <v>1365</v>
      </c>
      <c r="M853">
        <v>2025</v>
      </c>
      <c r="N853" t="s">
        <v>40</v>
      </c>
      <c r="O853" t="s">
        <v>244</v>
      </c>
      <c r="P853">
        <v>2</v>
      </c>
      <c r="Q853">
        <v>2</v>
      </c>
      <c r="R853">
        <v>0</v>
      </c>
      <c r="S853" t="s">
        <v>336</v>
      </c>
      <c r="T853" t="s">
        <v>1366</v>
      </c>
      <c r="U853">
        <v>30</v>
      </c>
    </row>
    <row r="854" spans="1:21" x14ac:dyDescent="0.3">
      <c r="A854" t="s">
        <v>1327</v>
      </c>
      <c r="B854" t="s">
        <v>1328</v>
      </c>
      <c r="C854" t="s">
        <v>299</v>
      </c>
      <c r="D854" t="s">
        <v>29</v>
      </c>
      <c r="E854" t="s">
        <v>108</v>
      </c>
      <c r="F854" s="6">
        <v>45808</v>
      </c>
      <c r="G854">
        <v>172000</v>
      </c>
      <c r="H854" t="s">
        <v>1367</v>
      </c>
      <c r="I854">
        <v>1.1754444461377529</v>
      </c>
      <c r="J854">
        <v>1.1754444461377529</v>
      </c>
      <c r="K854" t="s">
        <v>1355</v>
      </c>
      <c r="L854" t="s">
        <v>1368</v>
      </c>
      <c r="M854">
        <v>2025</v>
      </c>
      <c r="N854" t="s">
        <v>42</v>
      </c>
      <c r="O854" t="s">
        <v>244</v>
      </c>
      <c r="P854">
        <v>2</v>
      </c>
      <c r="Q854">
        <v>2</v>
      </c>
      <c r="R854">
        <v>0</v>
      </c>
      <c r="S854" t="s">
        <v>336</v>
      </c>
      <c r="T854" t="s">
        <v>1369</v>
      </c>
      <c r="U854">
        <v>31</v>
      </c>
    </row>
    <row r="855" spans="1:21" x14ac:dyDescent="0.3">
      <c r="A855" t="s">
        <v>1327</v>
      </c>
      <c r="B855" t="s">
        <v>1328</v>
      </c>
      <c r="C855" t="s">
        <v>299</v>
      </c>
      <c r="D855" t="s">
        <v>29</v>
      </c>
      <c r="E855" t="s">
        <v>108</v>
      </c>
      <c r="F855" s="6">
        <v>45838</v>
      </c>
      <c r="G855">
        <v>172000</v>
      </c>
      <c r="H855" t="s">
        <v>1370</v>
      </c>
      <c r="I855">
        <v>1.3</v>
      </c>
      <c r="J855">
        <v>1.3177160487395581</v>
      </c>
      <c r="K855" t="s">
        <v>1355</v>
      </c>
      <c r="L855" t="s">
        <v>1371</v>
      </c>
      <c r="M855">
        <v>2025</v>
      </c>
      <c r="N855" t="s">
        <v>44</v>
      </c>
      <c r="O855" t="s">
        <v>244</v>
      </c>
      <c r="P855">
        <v>2</v>
      </c>
      <c r="Q855">
        <v>2</v>
      </c>
      <c r="R855">
        <v>0</v>
      </c>
      <c r="S855" t="s">
        <v>336</v>
      </c>
      <c r="T855" t="s">
        <v>1372</v>
      </c>
      <c r="U855">
        <v>30</v>
      </c>
    </row>
    <row r="856" spans="1:21" x14ac:dyDescent="0.3">
      <c r="A856" t="s">
        <v>1327</v>
      </c>
      <c r="B856" t="s">
        <v>1328</v>
      </c>
      <c r="C856" t="s">
        <v>299</v>
      </c>
      <c r="D856" t="s">
        <v>29</v>
      </c>
      <c r="E856" t="s">
        <v>108</v>
      </c>
      <c r="F856" s="6">
        <v>45869</v>
      </c>
      <c r="G856">
        <v>172000</v>
      </c>
      <c r="H856" t="s">
        <v>1373</v>
      </c>
      <c r="I856">
        <v>1.3</v>
      </c>
      <c r="J856">
        <v>1.3599885824214359</v>
      </c>
      <c r="K856" t="s">
        <v>1355</v>
      </c>
      <c r="L856" t="s">
        <v>1374</v>
      </c>
      <c r="M856">
        <v>2025</v>
      </c>
      <c r="N856" t="s">
        <v>46</v>
      </c>
      <c r="O856" t="s">
        <v>103</v>
      </c>
      <c r="P856">
        <v>2</v>
      </c>
      <c r="Q856">
        <v>2</v>
      </c>
      <c r="R856">
        <v>0</v>
      </c>
      <c r="S856" t="s">
        <v>336</v>
      </c>
      <c r="T856" t="s">
        <v>1375</v>
      </c>
      <c r="U856">
        <v>31</v>
      </c>
    </row>
    <row r="857" spans="1:21" x14ac:dyDescent="0.3">
      <c r="A857" t="s">
        <v>1327</v>
      </c>
      <c r="B857" t="s">
        <v>1328</v>
      </c>
      <c r="C857" t="s">
        <v>299</v>
      </c>
      <c r="D857" t="s">
        <v>29</v>
      </c>
      <c r="E857" t="s">
        <v>108</v>
      </c>
      <c r="F857" s="6">
        <v>45900</v>
      </c>
      <c r="G857">
        <v>172000</v>
      </c>
      <c r="H857" t="s">
        <v>1376</v>
      </c>
      <c r="I857">
        <v>1.206013632722011</v>
      </c>
      <c r="J857">
        <v>1.206013632722011</v>
      </c>
      <c r="K857" t="s">
        <v>1355</v>
      </c>
      <c r="L857" t="s">
        <v>1377</v>
      </c>
      <c r="M857">
        <v>2025</v>
      </c>
      <c r="N857" t="s">
        <v>49</v>
      </c>
      <c r="O857" t="s">
        <v>103</v>
      </c>
      <c r="P857">
        <v>2</v>
      </c>
      <c r="Q857">
        <v>2</v>
      </c>
      <c r="R857">
        <v>0</v>
      </c>
      <c r="S857" t="s">
        <v>336</v>
      </c>
      <c r="T857" t="s">
        <v>1378</v>
      </c>
      <c r="U857">
        <v>31</v>
      </c>
    </row>
    <row r="858" spans="1:21" x14ac:dyDescent="0.3">
      <c r="A858" t="s">
        <v>1327</v>
      </c>
      <c r="B858" t="s">
        <v>1328</v>
      </c>
      <c r="C858" t="s">
        <v>299</v>
      </c>
      <c r="D858" t="s">
        <v>29</v>
      </c>
      <c r="E858" t="s">
        <v>108</v>
      </c>
      <c r="F858" s="6">
        <v>45961</v>
      </c>
      <c r="G858">
        <v>172000</v>
      </c>
      <c r="H858" t="s">
        <v>1379</v>
      </c>
      <c r="I858">
        <v>1.14296536383013</v>
      </c>
      <c r="J858">
        <v>1.14296536383013</v>
      </c>
      <c r="K858" t="s">
        <v>1355</v>
      </c>
      <c r="L858" t="s">
        <v>1380</v>
      </c>
      <c r="M858">
        <v>2025</v>
      </c>
      <c r="N858" t="s">
        <v>53</v>
      </c>
      <c r="O858" t="s">
        <v>103</v>
      </c>
      <c r="P858">
        <v>2</v>
      </c>
      <c r="Q858">
        <v>2</v>
      </c>
      <c r="R858">
        <v>0</v>
      </c>
      <c r="S858" t="s">
        <v>336</v>
      </c>
      <c r="T858" t="s">
        <v>1381</v>
      </c>
      <c r="U858">
        <v>31</v>
      </c>
    </row>
    <row r="859" spans="1:21" x14ac:dyDescent="0.3">
      <c r="A859" t="s">
        <v>1327</v>
      </c>
      <c r="B859" t="s">
        <v>1328</v>
      </c>
      <c r="C859" t="s">
        <v>299</v>
      </c>
      <c r="D859" t="s">
        <v>29</v>
      </c>
      <c r="E859" t="s">
        <v>108</v>
      </c>
      <c r="F859" s="6">
        <v>45991</v>
      </c>
      <c r="G859">
        <v>172000</v>
      </c>
      <c r="H859" t="s">
        <v>1382</v>
      </c>
      <c r="I859">
        <v>1.199276947561267</v>
      </c>
      <c r="J859">
        <v>1.199276947561267</v>
      </c>
      <c r="K859" t="s">
        <v>1355</v>
      </c>
      <c r="L859" t="s">
        <v>1383</v>
      </c>
      <c r="M859">
        <v>2025</v>
      </c>
      <c r="N859" t="s">
        <v>55</v>
      </c>
      <c r="O859" t="s">
        <v>103</v>
      </c>
      <c r="P859">
        <v>2</v>
      </c>
      <c r="Q859">
        <v>2</v>
      </c>
      <c r="R859">
        <v>0</v>
      </c>
      <c r="S859" t="s">
        <v>336</v>
      </c>
      <c r="T859" t="s">
        <v>1384</v>
      </c>
      <c r="U859">
        <v>30</v>
      </c>
    </row>
    <row r="860" spans="1:21" x14ac:dyDescent="0.3">
      <c r="A860" t="s">
        <v>1327</v>
      </c>
      <c r="B860" t="s">
        <v>1328</v>
      </c>
      <c r="C860" t="s">
        <v>299</v>
      </c>
      <c r="D860" t="s">
        <v>29</v>
      </c>
      <c r="E860" t="s">
        <v>108</v>
      </c>
      <c r="F860" s="6">
        <v>46022</v>
      </c>
      <c r="G860">
        <v>172000</v>
      </c>
      <c r="H860" t="s">
        <v>1385</v>
      </c>
      <c r="I860">
        <v>1.3</v>
      </c>
      <c r="J860">
        <v>1.3891127801283221</v>
      </c>
      <c r="K860" t="s">
        <v>1355</v>
      </c>
      <c r="L860" t="s">
        <v>1386</v>
      </c>
      <c r="M860">
        <v>2025</v>
      </c>
      <c r="N860" t="s">
        <v>57</v>
      </c>
      <c r="O860" t="s">
        <v>103</v>
      </c>
      <c r="P860">
        <v>2</v>
      </c>
      <c r="Q860">
        <v>2</v>
      </c>
      <c r="R860">
        <v>0</v>
      </c>
      <c r="S860" t="s">
        <v>336</v>
      </c>
      <c r="T860" t="s">
        <v>1387</v>
      </c>
      <c r="U860">
        <v>31</v>
      </c>
    </row>
    <row r="861" spans="1:21" x14ac:dyDescent="0.3">
      <c r="A861" t="s">
        <v>1327</v>
      </c>
      <c r="B861" t="s">
        <v>1328</v>
      </c>
      <c r="C861" t="s">
        <v>299</v>
      </c>
      <c r="D861" t="s">
        <v>29</v>
      </c>
      <c r="E861" t="s">
        <v>108</v>
      </c>
      <c r="F861" s="6">
        <v>46053</v>
      </c>
      <c r="G861">
        <v>172000</v>
      </c>
      <c r="I861">
        <v>0</v>
      </c>
      <c r="J861">
        <v>0</v>
      </c>
      <c r="K861" t="s">
        <v>1355</v>
      </c>
      <c r="M861">
        <v>2026</v>
      </c>
      <c r="N861" t="s">
        <v>32</v>
      </c>
      <c r="O861" t="s">
        <v>408</v>
      </c>
      <c r="P861">
        <v>2</v>
      </c>
      <c r="Q861">
        <v>2</v>
      </c>
      <c r="R861">
        <v>0</v>
      </c>
      <c r="S861" t="s">
        <v>336</v>
      </c>
      <c r="T861" t="s">
        <v>1388</v>
      </c>
      <c r="U861">
        <v>31</v>
      </c>
    </row>
    <row r="862" spans="1:21" x14ac:dyDescent="0.3">
      <c r="A862" t="s">
        <v>1389</v>
      </c>
      <c r="B862" t="s">
        <v>1390</v>
      </c>
      <c r="C862" t="s">
        <v>299</v>
      </c>
      <c r="D862" t="s">
        <v>222</v>
      </c>
      <c r="E862" t="s">
        <v>30</v>
      </c>
      <c r="F862" s="6">
        <v>45107</v>
      </c>
      <c r="G862">
        <v>1</v>
      </c>
      <c r="H862">
        <v>21.15</v>
      </c>
      <c r="I862">
        <v>1</v>
      </c>
      <c r="J862">
        <v>1</v>
      </c>
      <c r="K862" t="s">
        <v>1329</v>
      </c>
      <c r="L862" t="s">
        <v>1329</v>
      </c>
      <c r="M862">
        <v>2023</v>
      </c>
      <c r="N862" t="s">
        <v>44</v>
      </c>
      <c r="O862" t="s">
        <v>33</v>
      </c>
      <c r="P862">
        <v>0</v>
      </c>
      <c r="Q862">
        <v>0</v>
      </c>
      <c r="R862">
        <v>0</v>
      </c>
      <c r="S862" t="s">
        <v>336</v>
      </c>
      <c r="T862" t="s">
        <v>1391</v>
      </c>
      <c r="U862">
        <v>1</v>
      </c>
    </row>
    <row r="863" spans="1:21" x14ac:dyDescent="0.3">
      <c r="A863" t="s">
        <v>1389</v>
      </c>
      <c r="B863" t="s">
        <v>1390</v>
      </c>
      <c r="C863" t="s">
        <v>299</v>
      </c>
      <c r="D863" t="s">
        <v>222</v>
      </c>
      <c r="E863" t="s">
        <v>30</v>
      </c>
      <c r="F863" s="6">
        <v>45291</v>
      </c>
      <c r="G863">
        <v>1</v>
      </c>
      <c r="H863">
        <v>-5.9</v>
      </c>
      <c r="I863">
        <v>0</v>
      </c>
      <c r="J863">
        <v>0</v>
      </c>
      <c r="K863" t="s">
        <v>1329</v>
      </c>
      <c r="L863" t="s">
        <v>1329</v>
      </c>
      <c r="M863">
        <v>2023</v>
      </c>
      <c r="N863" t="s">
        <v>57</v>
      </c>
      <c r="O863" t="s">
        <v>47</v>
      </c>
      <c r="P863">
        <v>0</v>
      </c>
      <c r="Q863">
        <v>0</v>
      </c>
      <c r="R863">
        <v>0</v>
      </c>
      <c r="S863" t="s">
        <v>336</v>
      </c>
      <c r="T863" t="s">
        <v>1392</v>
      </c>
      <c r="U863">
        <v>1</v>
      </c>
    </row>
    <row r="864" spans="1:21" x14ac:dyDescent="0.3">
      <c r="A864" t="s">
        <v>1389</v>
      </c>
      <c r="B864" t="s">
        <v>1390</v>
      </c>
      <c r="C864" t="s">
        <v>299</v>
      </c>
      <c r="D864" t="s">
        <v>222</v>
      </c>
      <c r="E864" t="s">
        <v>30</v>
      </c>
      <c r="F864" s="6">
        <v>45473</v>
      </c>
      <c r="G864">
        <v>1</v>
      </c>
      <c r="H864">
        <v>14.84</v>
      </c>
      <c r="I864">
        <v>1</v>
      </c>
      <c r="J864">
        <v>1</v>
      </c>
      <c r="K864" t="s">
        <v>31</v>
      </c>
      <c r="L864" t="s">
        <v>31</v>
      </c>
      <c r="M864">
        <v>2024</v>
      </c>
      <c r="N864" t="s">
        <v>44</v>
      </c>
      <c r="O864" t="s">
        <v>71</v>
      </c>
      <c r="P864">
        <v>0</v>
      </c>
      <c r="Q864">
        <v>0</v>
      </c>
      <c r="R864">
        <v>0</v>
      </c>
      <c r="S864" t="s">
        <v>336</v>
      </c>
      <c r="T864" t="s">
        <v>1393</v>
      </c>
      <c r="U864">
        <v>1</v>
      </c>
    </row>
    <row r="865" spans="1:21" x14ac:dyDescent="0.3">
      <c r="A865" t="s">
        <v>1389</v>
      </c>
      <c r="B865" t="s">
        <v>1390</v>
      </c>
      <c r="C865" t="s">
        <v>299</v>
      </c>
      <c r="D865" t="s">
        <v>222</v>
      </c>
      <c r="E865" t="s">
        <v>30</v>
      </c>
      <c r="F865" s="6">
        <v>45657</v>
      </c>
      <c r="G865">
        <v>1</v>
      </c>
      <c r="H865">
        <v>-12.53</v>
      </c>
      <c r="I865">
        <v>-12.53</v>
      </c>
      <c r="J865">
        <v>-12.53</v>
      </c>
      <c r="K865" t="s">
        <v>31</v>
      </c>
      <c r="L865" t="s">
        <v>31</v>
      </c>
      <c r="M865">
        <v>2024</v>
      </c>
      <c r="N865" t="s">
        <v>57</v>
      </c>
      <c r="O865" t="s">
        <v>78</v>
      </c>
      <c r="P865">
        <v>0</v>
      </c>
      <c r="Q865">
        <v>0</v>
      </c>
      <c r="R865">
        <v>0</v>
      </c>
      <c r="S865" t="s">
        <v>336</v>
      </c>
      <c r="T865" t="s">
        <v>1394</v>
      </c>
      <c r="U865">
        <v>1</v>
      </c>
    </row>
    <row r="866" spans="1:21" x14ac:dyDescent="0.3">
      <c r="A866" t="s">
        <v>1389</v>
      </c>
      <c r="B866" t="s">
        <v>1390</v>
      </c>
      <c r="C866" t="s">
        <v>299</v>
      </c>
      <c r="D866" t="s">
        <v>222</v>
      </c>
      <c r="E866" t="s">
        <v>30</v>
      </c>
      <c r="F866" s="6">
        <v>45838</v>
      </c>
      <c r="G866">
        <v>1</v>
      </c>
      <c r="H866" t="s">
        <v>1395</v>
      </c>
      <c r="I866">
        <v>1.3</v>
      </c>
      <c r="J866">
        <v>18.43</v>
      </c>
      <c r="K866" t="s">
        <v>617</v>
      </c>
      <c r="L866" t="s">
        <v>1396</v>
      </c>
      <c r="M866">
        <v>2025</v>
      </c>
      <c r="N866" t="s">
        <v>44</v>
      </c>
      <c r="O866" t="s">
        <v>244</v>
      </c>
      <c r="P866">
        <v>2</v>
      </c>
      <c r="Q866">
        <v>2</v>
      </c>
      <c r="R866">
        <v>0</v>
      </c>
      <c r="S866" t="s">
        <v>336</v>
      </c>
      <c r="T866" t="s">
        <v>1397</v>
      </c>
      <c r="U866">
        <v>30</v>
      </c>
    </row>
    <row r="867" spans="1:21" x14ac:dyDescent="0.3">
      <c r="A867" t="s">
        <v>1389</v>
      </c>
      <c r="B867" t="s">
        <v>1390</v>
      </c>
      <c r="C867" t="s">
        <v>299</v>
      </c>
      <c r="D867" t="s">
        <v>222</v>
      </c>
      <c r="E867" t="s">
        <v>30</v>
      </c>
      <c r="F867" s="6">
        <v>46022</v>
      </c>
      <c r="G867">
        <v>1</v>
      </c>
      <c r="H867" t="s">
        <v>1398</v>
      </c>
      <c r="I867">
        <v>0</v>
      </c>
      <c r="J867">
        <v>-18.28</v>
      </c>
      <c r="K867" t="s">
        <v>617</v>
      </c>
      <c r="L867" t="s">
        <v>1399</v>
      </c>
      <c r="M867">
        <v>2025</v>
      </c>
      <c r="N867" t="s">
        <v>57</v>
      </c>
      <c r="O867" t="s">
        <v>103</v>
      </c>
      <c r="P867">
        <v>2</v>
      </c>
      <c r="Q867">
        <v>2</v>
      </c>
      <c r="R867">
        <v>0</v>
      </c>
      <c r="S867" t="s">
        <v>336</v>
      </c>
      <c r="T867" t="s">
        <v>1400</v>
      </c>
      <c r="U867">
        <v>31</v>
      </c>
    </row>
    <row r="868" spans="1:21" x14ac:dyDescent="0.3">
      <c r="A868" t="s">
        <v>1401</v>
      </c>
      <c r="B868" t="s">
        <v>1402</v>
      </c>
      <c r="C868" t="s">
        <v>299</v>
      </c>
      <c r="D868" t="s">
        <v>222</v>
      </c>
      <c r="E868" t="s">
        <v>30</v>
      </c>
      <c r="F868" s="6">
        <v>45107</v>
      </c>
      <c r="G868">
        <v>1</v>
      </c>
      <c r="H868">
        <v>40.43</v>
      </c>
      <c r="I868">
        <v>1</v>
      </c>
      <c r="J868">
        <v>1</v>
      </c>
      <c r="K868" t="s">
        <v>31</v>
      </c>
      <c r="L868" t="s">
        <v>31</v>
      </c>
      <c r="M868">
        <v>2023</v>
      </c>
      <c r="N868" t="s">
        <v>44</v>
      </c>
      <c r="O868" t="s">
        <v>33</v>
      </c>
      <c r="P868">
        <v>0</v>
      </c>
      <c r="Q868">
        <v>0</v>
      </c>
      <c r="R868">
        <v>0</v>
      </c>
      <c r="S868" t="s">
        <v>336</v>
      </c>
      <c r="T868" t="s">
        <v>1403</v>
      </c>
      <c r="U868">
        <v>1</v>
      </c>
    </row>
    <row r="869" spans="1:21" x14ac:dyDescent="0.3">
      <c r="A869" t="s">
        <v>1401</v>
      </c>
      <c r="B869" t="s">
        <v>1402</v>
      </c>
      <c r="C869" t="s">
        <v>299</v>
      </c>
      <c r="D869" t="s">
        <v>222</v>
      </c>
      <c r="E869" t="s">
        <v>30</v>
      </c>
      <c r="F869" s="6">
        <v>45291</v>
      </c>
      <c r="G869">
        <v>1</v>
      </c>
      <c r="I869">
        <v>0</v>
      </c>
      <c r="J869">
        <v>0</v>
      </c>
      <c r="K869" t="s">
        <v>31</v>
      </c>
      <c r="L869" t="s">
        <v>31</v>
      </c>
      <c r="M869">
        <v>2023</v>
      </c>
      <c r="N869" t="s">
        <v>57</v>
      </c>
      <c r="O869" t="s">
        <v>47</v>
      </c>
      <c r="P869">
        <v>0</v>
      </c>
      <c r="Q869">
        <v>0</v>
      </c>
      <c r="R869">
        <v>0</v>
      </c>
      <c r="S869" t="s">
        <v>336</v>
      </c>
      <c r="T869" t="s">
        <v>1404</v>
      </c>
      <c r="U869">
        <v>1</v>
      </c>
    </row>
    <row r="870" spans="1:21" x14ac:dyDescent="0.3">
      <c r="A870" t="s">
        <v>1401</v>
      </c>
      <c r="B870" t="s">
        <v>1402</v>
      </c>
      <c r="C870" t="s">
        <v>299</v>
      </c>
      <c r="D870" t="s">
        <v>222</v>
      </c>
      <c r="E870" t="s">
        <v>30</v>
      </c>
      <c r="F870" s="6">
        <v>45473</v>
      </c>
      <c r="G870">
        <v>1</v>
      </c>
      <c r="H870">
        <v>3.58</v>
      </c>
      <c r="I870">
        <v>1</v>
      </c>
      <c r="J870">
        <v>1</v>
      </c>
      <c r="K870" t="s">
        <v>31</v>
      </c>
      <c r="L870" t="s">
        <v>31</v>
      </c>
      <c r="M870">
        <v>2024</v>
      </c>
      <c r="N870" t="s">
        <v>44</v>
      </c>
      <c r="O870" t="s">
        <v>71</v>
      </c>
      <c r="P870">
        <v>0</v>
      </c>
      <c r="Q870">
        <v>0</v>
      </c>
      <c r="R870">
        <v>0</v>
      </c>
      <c r="S870" t="s">
        <v>336</v>
      </c>
      <c r="T870" t="s">
        <v>1405</v>
      </c>
      <c r="U870">
        <v>1</v>
      </c>
    </row>
    <row r="871" spans="1:21" x14ac:dyDescent="0.3">
      <c r="A871" t="s">
        <v>1401</v>
      </c>
      <c r="B871" t="s">
        <v>1402</v>
      </c>
      <c r="C871" t="s">
        <v>299</v>
      </c>
      <c r="D871" t="s">
        <v>222</v>
      </c>
      <c r="E871" t="s">
        <v>30</v>
      </c>
      <c r="F871" s="6">
        <v>45657</v>
      </c>
      <c r="G871">
        <v>1</v>
      </c>
      <c r="H871">
        <v>13.05</v>
      </c>
      <c r="I871">
        <v>1.3</v>
      </c>
      <c r="J871">
        <v>13.05</v>
      </c>
      <c r="K871" t="s">
        <v>31</v>
      </c>
      <c r="L871" t="s">
        <v>31</v>
      </c>
      <c r="M871">
        <v>2024</v>
      </c>
      <c r="N871" t="s">
        <v>57</v>
      </c>
      <c r="O871" t="s">
        <v>78</v>
      </c>
      <c r="P871">
        <v>0</v>
      </c>
      <c r="Q871">
        <v>0</v>
      </c>
      <c r="R871">
        <v>0</v>
      </c>
      <c r="S871" t="s">
        <v>336</v>
      </c>
      <c r="T871" t="s">
        <v>1406</v>
      </c>
      <c r="U871">
        <v>1</v>
      </c>
    </row>
    <row r="872" spans="1:21" x14ac:dyDescent="0.3">
      <c r="A872" t="s">
        <v>1401</v>
      </c>
      <c r="B872" t="s">
        <v>1402</v>
      </c>
      <c r="C872" t="s">
        <v>299</v>
      </c>
      <c r="D872" t="s">
        <v>222</v>
      </c>
      <c r="E872" t="s">
        <v>30</v>
      </c>
      <c r="F872" s="6">
        <v>45838</v>
      </c>
      <c r="G872">
        <v>1</v>
      </c>
      <c r="H872" t="s">
        <v>1407</v>
      </c>
      <c r="I872">
        <v>1.3</v>
      </c>
      <c r="J872">
        <v>33.979999999999997</v>
      </c>
      <c r="K872" t="s">
        <v>617</v>
      </c>
      <c r="L872" t="s">
        <v>1408</v>
      </c>
      <c r="M872">
        <v>2025</v>
      </c>
      <c r="N872" t="s">
        <v>44</v>
      </c>
      <c r="O872" t="s">
        <v>244</v>
      </c>
      <c r="P872">
        <v>2</v>
      </c>
      <c r="Q872">
        <v>2</v>
      </c>
      <c r="R872">
        <v>0</v>
      </c>
      <c r="S872" t="s">
        <v>336</v>
      </c>
      <c r="T872" t="s">
        <v>1409</v>
      </c>
      <c r="U872">
        <v>30</v>
      </c>
    </row>
    <row r="873" spans="1:21" x14ac:dyDescent="0.3">
      <c r="A873" t="s">
        <v>1401</v>
      </c>
      <c r="B873" t="s">
        <v>1402</v>
      </c>
      <c r="C873" t="s">
        <v>299</v>
      </c>
      <c r="D873" t="s">
        <v>222</v>
      </c>
      <c r="E873" t="s">
        <v>30</v>
      </c>
      <c r="F873" s="6">
        <v>46022</v>
      </c>
      <c r="G873">
        <v>1</v>
      </c>
      <c r="H873" t="s">
        <v>1410</v>
      </c>
      <c r="I873">
        <v>0</v>
      </c>
      <c r="J873">
        <v>-10.18</v>
      </c>
      <c r="K873" t="s">
        <v>617</v>
      </c>
      <c r="L873" t="s">
        <v>1411</v>
      </c>
      <c r="M873">
        <v>2025</v>
      </c>
      <c r="N873" t="s">
        <v>57</v>
      </c>
      <c r="O873" t="s">
        <v>103</v>
      </c>
      <c r="P873">
        <v>2</v>
      </c>
      <c r="Q873">
        <v>2</v>
      </c>
      <c r="R873">
        <v>0</v>
      </c>
      <c r="S873" t="s">
        <v>336</v>
      </c>
      <c r="T873" t="s">
        <v>1412</v>
      </c>
      <c r="U873">
        <v>31</v>
      </c>
    </row>
    <row r="874" spans="1:21" x14ac:dyDescent="0.3">
      <c r="A874" t="s">
        <v>1413</v>
      </c>
      <c r="B874" t="s">
        <v>1414</v>
      </c>
      <c r="C874" t="s">
        <v>299</v>
      </c>
      <c r="D874" t="s">
        <v>98</v>
      </c>
      <c r="E874" t="s">
        <v>30</v>
      </c>
      <c r="F874" s="6">
        <v>45291</v>
      </c>
      <c r="K874" t="s">
        <v>31</v>
      </c>
      <c r="L874" t="s">
        <v>31</v>
      </c>
      <c r="M874">
        <v>2023</v>
      </c>
      <c r="N874" t="s">
        <v>57</v>
      </c>
      <c r="O874" t="s">
        <v>47</v>
      </c>
      <c r="P874">
        <v>0</v>
      </c>
      <c r="Q874">
        <v>0</v>
      </c>
      <c r="R874">
        <v>0</v>
      </c>
      <c r="S874" t="s">
        <v>336</v>
      </c>
      <c r="T874" t="s">
        <v>1415</v>
      </c>
      <c r="U874">
        <v>1</v>
      </c>
    </row>
    <row r="875" spans="1:21" x14ac:dyDescent="0.3">
      <c r="A875" t="s">
        <v>1413</v>
      </c>
      <c r="B875" t="s">
        <v>1414</v>
      </c>
      <c r="C875" t="s">
        <v>299</v>
      </c>
      <c r="D875" t="s">
        <v>98</v>
      </c>
      <c r="E875" t="s">
        <v>30</v>
      </c>
      <c r="F875" s="6">
        <v>45657</v>
      </c>
      <c r="G875">
        <v>100</v>
      </c>
      <c r="H875">
        <v>33.33</v>
      </c>
      <c r="I875">
        <v>0.33329999999999999</v>
      </c>
      <c r="J875">
        <v>0.33329999999999999</v>
      </c>
      <c r="M875">
        <v>2024</v>
      </c>
      <c r="N875" t="s">
        <v>57</v>
      </c>
      <c r="O875" t="s">
        <v>78</v>
      </c>
      <c r="P875">
        <v>0</v>
      </c>
      <c r="Q875">
        <v>0</v>
      </c>
      <c r="R875">
        <v>0</v>
      </c>
      <c r="S875" t="s">
        <v>336</v>
      </c>
      <c r="T875" t="s">
        <v>1416</v>
      </c>
      <c r="U875">
        <v>1</v>
      </c>
    </row>
    <row r="876" spans="1:21" x14ac:dyDescent="0.3">
      <c r="A876" t="s">
        <v>1413</v>
      </c>
      <c r="B876" t="s">
        <v>1414</v>
      </c>
      <c r="C876" t="s">
        <v>299</v>
      </c>
      <c r="D876" t="s">
        <v>98</v>
      </c>
      <c r="E876" t="s">
        <v>30</v>
      </c>
      <c r="F876" s="6">
        <v>46022</v>
      </c>
      <c r="G876">
        <v>100</v>
      </c>
      <c r="I876">
        <v>0</v>
      </c>
      <c r="J876">
        <v>0</v>
      </c>
      <c r="K876" t="s">
        <v>102</v>
      </c>
      <c r="M876">
        <v>2025</v>
      </c>
      <c r="N876" t="s">
        <v>57</v>
      </c>
      <c r="O876" t="s">
        <v>103</v>
      </c>
      <c r="P876">
        <v>2</v>
      </c>
      <c r="Q876">
        <v>2</v>
      </c>
      <c r="R876">
        <v>0</v>
      </c>
      <c r="S876" t="s">
        <v>336</v>
      </c>
      <c r="T876" t="s">
        <v>1417</v>
      </c>
      <c r="U876">
        <v>31</v>
      </c>
    </row>
    <row r="877" spans="1:21" x14ac:dyDescent="0.3">
      <c r="A877" t="s">
        <v>1418</v>
      </c>
      <c r="B877" t="s">
        <v>1419</v>
      </c>
      <c r="C877" t="s">
        <v>299</v>
      </c>
      <c r="D877" t="s">
        <v>98</v>
      </c>
      <c r="E877" t="s">
        <v>30</v>
      </c>
      <c r="F877" s="6">
        <v>44926</v>
      </c>
      <c r="G877">
        <v>100</v>
      </c>
      <c r="H877">
        <v>93.75</v>
      </c>
      <c r="I877">
        <v>0.9375</v>
      </c>
      <c r="J877">
        <v>0.9375</v>
      </c>
      <c r="K877" t="s">
        <v>31</v>
      </c>
      <c r="L877" t="s">
        <v>31</v>
      </c>
      <c r="M877">
        <v>2022</v>
      </c>
      <c r="N877" t="s">
        <v>57</v>
      </c>
      <c r="O877" t="s">
        <v>90</v>
      </c>
      <c r="P877">
        <v>0</v>
      </c>
      <c r="Q877">
        <v>0</v>
      </c>
      <c r="R877">
        <v>0</v>
      </c>
      <c r="S877" t="s">
        <v>336</v>
      </c>
      <c r="T877" t="s">
        <v>1420</v>
      </c>
      <c r="U877">
        <v>1</v>
      </c>
    </row>
    <row r="878" spans="1:21" x14ac:dyDescent="0.3">
      <c r="A878" t="s">
        <v>1418</v>
      </c>
      <c r="B878" t="s">
        <v>1419</v>
      </c>
      <c r="C878" t="s">
        <v>299</v>
      </c>
      <c r="D878" t="s">
        <v>98</v>
      </c>
      <c r="E878" t="s">
        <v>30</v>
      </c>
      <c r="F878" s="6">
        <v>45291</v>
      </c>
      <c r="K878" t="s">
        <v>31</v>
      </c>
      <c r="L878" t="s">
        <v>31</v>
      </c>
      <c r="M878">
        <v>2023</v>
      </c>
      <c r="N878" t="s">
        <v>57</v>
      </c>
      <c r="O878" t="s">
        <v>47</v>
      </c>
      <c r="P878">
        <v>0</v>
      </c>
      <c r="Q878">
        <v>0</v>
      </c>
      <c r="R878">
        <v>0</v>
      </c>
      <c r="S878" t="s">
        <v>336</v>
      </c>
      <c r="T878" t="s">
        <v>1421</v>
      </c>
      <c r="U878">
        <v>1</v>
      </c>
    </row>
    <row r="879" spans="1:21" x14ac:dyDescent="0.3">
      <c r="A879" t="s">
        <v>1418</v>
      </c>
      <c r="B879" t="s">
        <v>1419</v>
      </c>
      <c r="C879" t="s">
        <v>299</v>
      </c>
      <c r="D879" t="s">
        <v>98</v>
      </c>
      <c r="E879" t="s">
        <v>30</v>
      </c>
      <c r="F879" s="6">
        <v>45657</v>
      </c>
      <c r="G879">
        <v>100</v>
      </c>
      <c r="H879">
        <v>68.75</v>
      </c>
      <c r="I879">
        <v>0.6875</v>
      </c>
      <c r="J879">
        <v>0.6875</v>
      </c>
      <c r="K879" t="s">
        <v>31</v>
      </c>
      <c r="L879" t="s">
        <v>31</v>
      </c>
      <c r="M879">
        <v>2024</v>
      </c>
      <c r="N879" t="s">
        <v>57</v>
      </c>
      <c r="O879" t="s">
        <v>78</v>
      </c>
      <c r="P879">
        <v>0</v>
      </c>
      <c r="Q879">
        <v>0</v>
      </c>
      <c r="R879">
        <v>0</v>
      </c>
      <c r="S879" t="s">
        <v>336</v>
      </c>
      <c r="T879" t="s">
        <v>1422</v>
      </c>
      <c r="U879">
        <v>1</v>
      </c>
    </row>
    <row r="880" spans="1:21" x14ac:dyDescent="0.3">
      <c r="A880" t="s">
        <v>1418</v>
      </c>
      <c r="B880" t="s">
        <v>1419</v>
      </c>
      <c r="C880" t="s">
        <v>299</v>
      </c>
      <c r="D880" t="s">
        <v>98</v>
      </c>
      <c r="E880" t="s">
        <v>30</v>
      </c>
      <c r="F880" s="6">
        <v>46022</v>
      </c>
      <c r="G880">
        <v>90</v>
      </c>
      <c r="I880">
        <v>0</v>
      </c>
      <c r="J880">
        <v>0</v>
      </c>
      <c r="K880" t="s">
        <v>256</v>
      </c>
      <c r="M880">
        <v>2025</v>
      </c>
      <c r="N880" t="s">
        <v>57</v>
      </c>
      <c r="O880" t="s">
        <v>103</v>
      </c>
      <c r="P880">
        <v>2</v>
      </c>
      <c r="Q880">
        <v>2</v>
      </c>
      <c r="R880">
        <v>0</v>
      </c>
      <c r="S880" t="s">
        <v>336</v>
      </c>
      <c r="T880" t="s">
        <v>1423</v>
      </c>
      <c r="U880">
        <v>31</v>
      </c>
    </row>
    <row r="881" spans="1:21" x14ac:dyDescent="0.3">
      <c r="A881" t="s">
        <v>1424</v>
      </c>
      <c r="B881" t="s">
        <v>1425</v>
      </c>
      <c r="C881" t="s">
        <v>299</v>
      </c>
      <c r="D881" t="s">
        <v>98</v>
      </c>
      <c r="E881" t="s">
        <v>30</v>
      </c>
      <c r="F881" s="6">
        <v>45291</v>
      </c>
      <c r="K881" t="s">
        <v>31</v>
      </c>
      <c r="L881" t="s">
        <v>31</v>
      </c>
      <c r="M881">
        <v>2023</v>
      </c>
      <c r="N881" t="s">
        <v>57</v>
      </c>
      <c r="O881" t="s">
        <v>47</v>
      </c>
      <c r="P881">
        <v>0</v>
      </c>
      <c r="Q881">
        <v>0</v>
      </c>
      <c r="R881">
        <v>0</v>
      </c>
      <c r="S881" t="s">
        <v>336</v>
      </c>
      <c r="T881" t="s">
        <v>1426</v>
      </c>
      <c r="U881">
        <v>1</v>
      </c>
    </row>
    <row r="882" spans="1:21" x14ac:dyDescent="0.3">
      <c r="A882" t="s">
        <v>1424</v>
      </c>
      <c r="B882" t="s">
        <v>1425</v>
      </c>
      <c r="C882" t="s">
        <v>299</v>
      </c>
      <c r="D882" t="s">
        <v>98</v>
      </c>
      <c r="E882" t="s">
        <v>30</v>
      </c>
      <c r="F882" s="6">
        <v>45657</v>
      </c>
      <c r="G882">
        <v>100</v>
      </c>
      <c r="H882">
        <v>94.12</v>
      </c>
      <c r="I882">
        <v>0.94120000000000004</v>
      </c>
      <c r="J882">
        <v>0.94120000000000004</v>
      </c>
      <c r="M882">
        <v>2024</v>
      </c>
      <c r="N882" t="s">
        <v>57</v>
      </c>
      <c r="O882" t="s">
        <v>78</v>
      </c>
      <c r="P882">
        <v>0</v>
      </c>
      <c r="Q882">
        <v>0</v>
      </c>
      <c r="R882">
        <v>0</v>
      </c>
      <c r="S882" t="s">
        <v>336</v>
      </c>
      <c r="T882" t="s">
        <v>1427</v>
      </c>
      <c r="U882">
        <v>1</v>
      </c>
    </row>
    <row r="883" spans="1:21" x14ac:dyDescent="0.3">
      <c r="A883" t="s">
        <v>1428</v>
      </c>
      <c r="B883" t="s">
        <v>1429</v>
      </c>
      <c r="C883" t="s">
        <v>299</v>
      </c>
      <c r="D883" t="s">
        <v>98</v>
      </c>
      <c r="E883" t="s">
        <v>30</v>
      </c>
      <c r="F883" s="6">
        <v>44926</v>
      </c>
      <c r="G883">
        <v>100</v>
      </c>
      <c r="H883">
        <v>71.430000000000007</v>
      </c>
      <c r="I883">
        <v>0.71430000000000005</v>
      </c>
      <c r="J883">
        <v>0.71430000000000005</v>
      </c>
      <c r="K883" t="s">
        <v>31</v>
      </c>
      <c r="L883" t="s">
        <v>31</v>
      </c>
      <c r="M883">
        <v>2022</v>
      </c>
      <c r="N883" t="s">
        <v>57</v>
      </c>
      <c r="O883" t="s">
        <v>90</v>
      </c>
      <c r="P883">
        <v>0</v>
      </c>
      <c r="Q883">
        <v>0</v>
      </c>
      <c r="R883">
        <v>0</v>
      </c>
      <c r="S883" t="s">
        <v>336</v>
      </c>
      <c r="T883" t="s">
        <v>1430</v>
      </c>
      <c r="U883">
        <v>1</v>
      </c>
    </row>
    <row r="884" spans="1:21" x14ac:dyDescent="0.3">
      <c r="A884" t="s">
        <v>1428</v>
      </c>
      <c r="B884" t="s">
        <v>1429</v>
      </c>
      <c r="C884" t="s">
        <v>299</v>
      </c>
      <c r="D884" t="s">
        <v>98</v>
      </c>
      <c r="E884" t="s">
        <v>30</v>
      </c>
      <c r="F884" s="6">
        <v>45291</v>
      </c>
      <c r="K884" t="s">
        <v>31</v>
      </c>
      <c r="L884" t="s">
        <v>31</v>
      </c>
      <c r="M884">
        <v>2023</v>
      </c>
      <c r="N884" t="s">
        <v>57</v>
      </c>
      <c r="O884" t="s">
        <v>47</v>
      </c>
      <c r="P884">
        <v>0</v>
      </c>
      <c r="Q884">
        <v>0</v>
      </c>
      <c r="R884">
        <v>0</v>
      </c>
      <c r="S884" t="s">
        <v>336</v>
      </c>
      <c r="T884" t="s">
        <v>1431</v>
      </c>
      <c r="U884">
        <v>1</v>
      </c>
    </row>
    <row r="885" spans="1:21" x14ac:dyDescent="0.3">
      <c r="A885" t="s">
        <v>1428</v>
      </c>
      <c r="B885" t="s">
        <v>1429</v>
      </c>
      <c r="C885" t="s">
        <v>299</v>
      </c>
      <c r="D885" t="s">
        <v>98</v>
      </c>
      <c r="E885" t="s">
        <v>30</v>
      </c>
      <c r="F885" s="6">
        <v>45657</v>
      </c>
      <c r="G885">
        <v>100</v>
      </c>
      <c r="H885">
        <v>100</v>
      </c>
      <c r="I885">
        <v>1</v>
      </c>
      <c r="J885">
        <v>1</v>
      </c>
      <c r="K885" t="s">
        <v>31</v>
      </c>
      <c r="L885" t="s">
        <v>31</v>
      </c>
      <c r="M885">
        <v>2024</v>
      </c>
      <c r="N885" t="s">
        <v>57</v>
      </c>
      <c r="O885" t="s">
        <v>78</v>
      </c>
      <c r="P885">
        <v>0</v>
      </c>
      <c r="Q885">
        <v>0</v>
      </c>
      <c r="R885">
        <v>0</v>
      </c>
      <c r="S885" t="s">
        <v>336</v>
      </c>
      <c r="T885" t="s">
        <v>1432</v>
      </c>
      <c r="U885">
        <v>1</v>
      </c>
    </row>
    <row r="886" spans="1:21" x14ac:dyDescent="0.3">
      <c r="A886" t="s">
        <v>1433</v>
      </c>
      <c r="B886" t="s">
        <v>1434</v>
      </c>
      <c r="C886" t="s">
        <v>299</v>
      </c>
      <c r="D886" t="s">
        <v>29</v>
      </c>
      <c r="E886" t="s">
        <v>30</v>
      </c>
      <c r="F886" s="6">
        <v>44957</v>
      </c>
      <c r="G886">
        <v>6</v>
      </c>
      <c r="H886">
        <v>25</v>
      </c>
      <c r="I886">
        <v>1</v>
      </c>
      <c r="J886">
        <v>1</v>
      </c>
      <c r="K886" t="s">
        <v>118</v>
      </c>
      <c r="L886" t="s">
        <v>118</v>
      </c>
      <c r="M886">
        <v>2023</v>
      </c>
      <c r="N886" t="s">
        <v>32</v>
      </c>
      <c r="O886" t="s">
        <v>33</v>
      </c>
      <c r="P886">
        <v>0</v>
      </c>
      <c r="Q886">
        <v>0</v>
      </c>
      <c r="R886">
        <v>0</v>
      </c>
      <c r="S886" t="s">
        <v>336</v>
      </c>
      <c r="T886" t="s">
        <v>1435</v>
      </c>
      <c r="U886">
        <v>1</v>
      </c>
    </row>
    <row r="887" spans="1:21" x14ac:dyDescent="0.3">
      <c r="A887" t="s">
        <v>1433</v>
      </c>
      <c r="B887" t="s">
        <v>1434</v>
      </c>
      <c r="C887" t="s">
        <v>299</v>
      </c>
      <c r="D887" t="s">
        <v>29</v>
      </c>
      <c r="E887" t="s">
        <v>30</v>
      </c>
      <c r="F887" s="6">
        <v>44985</v>
      </c>
      <c r="G887">
        <v>6</v>
      </c>
      <c r="H887">
        <v>20</v>
      </c>
      <c r="I887">
        <v>1</v>
      </c>
      <c r="J887">
        <v>1</v>
      </c>
      <c r="K887" t="s">
        <v>118</v>
      </c>
      <c r="L887" t="s">
        <v>118</v>
      </c>
      <c r="M887">
        <v>2023</v>
      </c>
      <c r="N887" t="s">
        <v>36</v>
      </c>
      <c r="O887" t="s">
        <v>33</v>
      </c>
      <c r="P887">
        <v>0</v>
      </c>
      <c r="Q887">
        <v>0</v>
      </c>
      <c r="R887">
        <v>0</v>
      </c>
      <c r="S887" t="s">
        <v>336</v>
      </c>
      <c r="T887" t="s">
        <v>1436</v>
      </c>
      <c r="U887">
        <v>1</v>
      </c>
    </row>
    <row r="888" spans="1:21" x14ac:dyDescent="0.3">
      <c r="A888" t="s">
        <v>1433</v>
      </c>
      <c r="B888" t="s">
        <v>1434</v>
      </c>
      <c r="C888" t="s">
        <v>299</v>
      </c>
      <c r="D888" t="s">
        <v>29</v>
      </c>
      <c r="E888" t="s">
        <v>30</v>
      </c>
      <c r="F888" s="6">
        <v>45016</v>
      </c>
      <c r="G888">
        <v>6</v>
      </c>
      <c r="H888">
        <v>19</v>
      </c>
      <c r="I888">
        <v>1</v>
      </c>
      <c r="J888">
        <v>1</v>
      </c>
      <c r="K888" t="s">
        <v>118</v>
      </c>
      <c r="L888" t="s">
        <v>118</v>
      </c>
      <c r="M888">
        <v>2023</v>
      </c>
      <c r="N888" t="s">
        <v>38</v>
      </c>
      <c r="O888" t="s">
        <v>33</v>
      </c>
      <c r="P888">
        <v>0</v>
      </c>
      <c r="Q888">
        <v>0</v>
      </c>
      <c r="R888">
        <v>0</v>
      </c>
      <c r="S888" t="s">
        <v>336</v>
      </c>
      <c r="T888" t="s">
        <v>1437</v>
      </c>
      <c r="U888">
        <v>1</v>
      </c>
    </row>
    <row r="889" spans="1:21" x14ac:dyDescent="0.3">
      <c r="A889" t="s">
        <v>1433</v>
      </c>
      <c r="B889" t="s">
        <v>1434</v>
      </c>
      <c r="C889" t="s">
        <v>299</v>
      </c>
      <c r="D889" t="s">
        <v>29</v>
      </c>
      <c r="E889" t="s">
        <v>30</v>
      </c>
      <c r="F889" s="6">
        <v>45046</v>
      </c>
      <c r="G889">
        <v>6</v>
      </c>
      <c r="H889">
        <v>20</v>
      </c>
      <c r="I889">
        <v>1</v>
      </c>
      <c r="J889">
        <v>1</v>
      </c>
      <c r="K889" t="s">
        <v>118</v>
      </c>
      <c r="L889" t="s">
        <v>118</v>
      </c>
      <c r="M889">
        <v>2023</v>
      </c>
      <c r="N889" t="s">
        <v>40</v>
      </c>
      <c r="O889" t="s">
        <v>33</v>
      </c>
      <c r="P889">
        <v>0</v>
      </c>
      <c r="Q889">
        <v>0</v>
      </c>
      <c r="R889">
        <v>0</v>
      </c>
      <c r="S889" t="s">
        <v>336</v>
      </c>
      <c r="T889" t="s">
        <v>1438</v>
      </c>
      <c r="U889">
        <v>1</v>
      </c>
    </row>
    <row r="890" spans="1:21" x14ac:dyDescent="0.3">
      <c r="A890" t="s">
        <v>1433</v>
      </c>
      <c r="B890" t="s">
        <v>1434</v>
      </c>
      <c r="C890" t="s">
        <v>299</v>
      </c>
      <c r="D890" t="s">
        <v>29</v>
      </c>
      <c r="E890" t="s">
        <v>30</v>
      </c>
      <c r="F890" s="6">
        <v>45077</v>
      </c>
      <c r="G890">
        <v>6</v>
      </c>
      <c r="H890">
        <v>23</v>
      </c>
      <c r="I890">
        <v>1</v>
      </c>
      <c r="J890">
        <v>1</v>
      </c>
      <c r="K890" t="s">
        <v>118</v>
      </c>
      <c r="L890" t="s">
        <v>118</v>
      </c>
      <c r="M890">
        <v>2023</v>
      </c>
      <c r="N890" t="s">
        <v>42</v>
      </c>
      <c r="O890" t="s">
        <v>33</v>
      </c>
      <c r="P890">
        <v>0</v>
      </c>
      <c r="Q890">
        <v>0</v>
      </c>
      <c r="R890">
        <v>0</v>
      </c>
      <c r="S890" t="s">
        <v>336</v>
      </c>
      <c r="T890" t="s">
        <v>1439</v>
      </c>
      <c r="U890">
        <v>1</v>
      </c>
    </row>
    <row r="891" spans="1:21" x14ac:dyDescent="0.3">
      <c r="A891" t="s">
        <v>1433</v>
      </c>
      <c r="B891" t="s">
        <v>1434</v>
      </c>
      <c r="C891" t="s">
        <v>299</v>
      </c>
      <c r="D891" t="s">
        <v>29</v>
      </c>
      <c r="E891" t="s">
        <v>30</v>
      </c>
      <c r="F891" s="6">
        <v>45107</v>
      </c>
      <c r="G891">
        <v>6</v>
      </c>
      <c r="H891">
        <v>19</v>
      </c>
      <c r="I891">
        <v>1</v>
      </c>
      <c r="J891">
        <v>1</v>
      </c>
      <c r="K891" t="s">
        <v>118</v>
      </c>
      <c r="L891" t="s">
        <v>118</v>
      </c>
      <c r="M891">
        <v>2023</v>
      </c>
      <c r="N891" t="s">
        <v>44</v>
      </c>
      <c r="O891" t="s">
        <v>33</v>
      </c>
      <c r="P891">
        <v>0</v>
      </c>
      <c r="Q891">
        <v>0</v>
      </c>
      <c r="R891">
        <v>0</v>
      </c>
      <c r="S891" t="s">
        <v>336</v>
      </c>
      <c r="T891" t="s">
        <v>1440</v>
      </c>
      <c r="U891">
        <v>1</v>
      </c>
    </row>
    <row r="892" spans="1:21" x14ac:dyDescent="0.3">
      <c r="A892" t="s">
        <v>1433</v>
      </c>
      <c r="B892" t="s">
        <v>1434</v>
      </c>
      <c r="C892" t="s">
        <v>299</v>
      </c>
      <c r="D892" t="s">
        <v>29</v>
      </c>
      <c r="E892" t="s">
        <v>30</v>
      </c>
      <c r="F892" s="6">
        <v>45138</v>
      </c>
      <c r="G892">
        <v>6</v>
      </c>
      <c r="H892">
        <v>20</v>
      </c>
      <c r="I892">
        <v>1</v>
      </c>
      <c r="J892">
        <v>1</v>
      </c>
      <c r="K892" t="s">
        <v>118</v>
      </c>
      <c r="L892" t="s">
        <v>118</v>
      </c>
      <c r="M892">
        <v>2023</v>
      </c>
      <c r="N892" t="s">
        <v>46</v>
      </c>
      <c r="O892" t="s">
        <v>47</v>
      </c>
      <c r="P892">
        <v>0</v>
      </c>
      <c r="Q892">
        <v>0</v>
      </c>
      <c r="R892">
        <v>0</v>
      </c>
      <c r="S892" t="s">
        <v>336</v>
      </c>
      <c r="T892" t="s">
        <v>1441</v>
      </c>
      <c r="U892">
        <v>1</v>
      </c>
    </row>
    <row r="893" spans="1:21" x14ac:dyDescent="0.3">
      <c r="A893" t="s">
        <v>1433</v>
      </c>
      <c r="B893" t="s">
        <v>1434</v>
      </c>
      <c r="C893" t="s">
        <v>299</v>
      </c>
      <c r="D893" t="s">
        <v>29</v>
      </c>
      <c r="E893" t="s">
        <v>30</v>
      </c>
      <c r="F893" s="6">
        <v>45169</v>
      </c>
      <c r="G893">
        <v>6</v>
      </c>
      <c r="H893">
        <v>23</v>
      </c>
      <c r="I893">
        <v>1</v>
      </c>
      <c r="J893">
        <v>1</v>
      </c>
      <c r="K893" t="s">
        <v>118</v>
      </c>
      <c r="L893" t="s">
        <v>118</v>
      </c>
      <c r="M893">
        <v>2023</v>
      </c>
      <c r="N893" t="s">
        <v>49</v>
      </c>
      <c r="O893" t="s">
        <v>47</v>
      </c>
      <c r="P893">
        <v>0</v>
      </c>
      <c r="Q893">
        <v>0</v>
      </c>
      <c r="R893">
        <v>0</v>
      </c>
      <c r="S893" t="s">
        <v>336</v>
      </c>
      <c r="T893" t="s">
        <v>1442</v>
      </c>
      <c r="U893">
        <v>1</v>
      </c>
    </row>
    <row r="894" spans="1:21" x14ac:dyDescent="0.3">
      <c r="A894" t="s">
        <v>1433</v>
      </c>
      <c r="B894" t="s">
        <v>1434</v>
      </c>
      <c r="C894" t="s">
        <v>299</v>
      </c>
      <c r="D894" t="s">
        <v>29</v>
      </c>
      <c r="E894" t="s">
        <v>30</v>
      </c>
      <c r="F894" s="6">
        <v>45199</v>
      </c>
      <c r="G894">
        <v>6</v>
      </c>
      <c r="H894">
        <v>21</v>
      </c>
      <c r="I894">
        <v>1</v>
      </c>
      <c r="J894">
        <v>1</v>
      </c>
      <c r="K894" t="s">
        <v>118</v>
      </c>
      <c r="L894" t="s">
        <v>118</v>
      </c>
      <c r="M894">
        <v>2023</v>
      </c>
      <c r="N894" t="s">
        <v>51</v>
      </c>
      <c r="O894" t="s">
        <v>47</v>
      </c>
      <c r="P894">
        <v>0</v>
      </c>
      <c r="Q894">
        <v>0</v>
      </c>
      <c r="R894">
        <v>0</v>
      </c>
      <c r="S894" t="s">
        <v>336</v>
      </c>
      <c r="T894" t="s">
        <v>1443</v>
      </c>
      <c r="U894">
        <v>1</v>
      </c>
    </row>
    <row r="895" spans="1:21" x14ac:dyDescent="0.3">
      <c r="A895" t="s">
        <v>1433</v>
      </c>
      <c r="B895" t="s">
        <v>1434</v>
      </c>
      <c r="C895" t="s">
        <v>299</v>
      </c>
      <c r="D895" t="s">
        <v>29</v>
      </c>
      <c r="E895" t="s">
        <v>30</v>
      </c>
      <c r="F895" s="6">
        <v>45230</v>
      </c>
      <c r="G895">
        <v>6</v>
      </c>
      <c r="H895">
        <v>19</v>
      </c>
      <c r="I895">
        <v>1</v>
      </c>
      <c r="J895">
        <v>1</v>
      </c>
      <c r="K895" t="s">
        <v>118</v>
      </c>
      <c r="L895" t="s">
        <v>118</v>
      </c>
      <c r="M895">
        <v>2023</v>
      </c>
      <c r="N895" t="s">
        <v>53</v>
      </c>
      <c r="O895" t="s">
        <v>47</v>
      </c>
      <c r="P895">
        <v>0</v>
      </c>
      <c r="Q895">
        <v>0</v>
      </c>
      <c r="R895">
        <v>0</v>
      </c>
      <c r="S895" t="s">
        <v>336</v>
      </c>
      <c r="T895" t="s">
        <v>1444</v>
      </c>
      <c r="U895">
        <v>1</v>
      </c>
    </row>
    <row r="896" spans="1:21" x14ac:dyDescent="0.3">
      <c r="A896" t="s">
        <v>1433</v>
      </c>
      <c r="B896" t="s">
        <v>1434</v>
      </c>
      <c r="C896" t="s">
        <v>299</v>
      </c>
      <c r="D896" t="s">
        <v>29</v>
      </c>
      <c r="E896" t="s">
        <v>30</v>
      </c>
      <c r="F896" s="6">
        <v>45260</v>
      </c>
      <c r="G896">
        <v>6</v>
      </c>
      <c r="H896">
        <v>18</v>
      </c>
      <c r="I896">
        <v>1</v>
      </c>
      <c r="J896">
        <v>1</v>
      </c>
      <c r="K896" t="s">
        <v>118</v>
      </c>
      <c r="L896" t="s">
        <v>118</v>
      </c>
      <c r="M896">
        <v>2023</v>
      </c>
      <c r="N896" t="s">
        <v>55</v>
      </c>
      <c r="O896" t="s">
        <v>47</v>
      </c>
      <c r="P896">
        <v>0</v>
      </c>
      <c r="Q896">
        <v>0</v>
      </c>
      <c r="R896">
        <v>0</v>
      </c>
      <c r="S896" t="s">
        <v>336</v>
      </c>
      <c r="T896" t="s">
        <v>1445</v>
      </c>
      <c r="U896">
        <v>1</v>
      </c>
    </row>
    <row r="897" spans="1:21" x14ac:dyDescent="0.3">
      <c r="A897" t="s">
        <v>1433</v>
      </c>
      <c r="B897" t="s">
        <v>1434</v>
      </c>
      <c r="C897" t="s">
        <v>299</v>
      </c>
      <c r="D897" t="s">
        <v>29</v>
      </c>
      <c r="E897" t="s">
        <v>30</v>
      </c>
      <c r="F897" s="6">
        <v>45291</v>
      </c>
      <c r="G897">
        <v>6</v>
      </c>
      <c r="H897">
        <v>18</v>
      </c>
      <c r="I897">
        <v>1</v>
      </c>
      <c r="J897">
        <v>1</v>
      </c>
      <c r="K897" t="s">
        <v>118</v>
      </c>
      <c r="L897" t="s">
        <v>118</v>
      </c>
      <c r="M897">
        <v>2023</v>
      </c>
      <c r="N897" t="s">
        <v>57</v>
      </c>
      <c r="O897" t="s">
        <v>47</v>
      </c>
      <c r="P897">
        <v>0</v>
      </c>
      <c r="Q897">
        <v>0</v>
      </c>
      <c r="R897">
        <v>0</v>
      </c>
      <c r="S897" t="s">
        <v>336</v>
      </c>
      <c r="T897" t="s">
        <v>1446</v>
      </c>
      <c r="U897">
        <v>1</v>
      </c>
    </row>
    <row r="898" spans="1:21" x14ac:dyDescent="0.3">
      <c r="A898" t="s">
        <v>1433</v>
      </c>
      <c r="B898" t="s">
        <v>1434</v>
      </c>
      <c r="C898" t="s">
        <v>299</v>
      </c>
      <c r="D898" t="s">
        <v>29</v>
      </c>
      <c r="E898" t="s">
        <v>30</v>
      </c>
      <c r="F898" s="6">
        <v>45322</v>
      </c>
      <c r="G898">
        <v>6</v>
      </c>
      <c r="H898">
        <v>20</v>
      </c>
      <c r="I898">
        <v>1</v>
      </c>
      <c r="J898">
        <v>1</v>
      </c>
      <c r="K898" t="s">
        <v>118</v>
      </c>
      <c r="L898" t="s">
        <v>118</v>
      </c>
      <c r="M898">
        <v>2024</v>
      </c>
      <c r="N898" t="s">
        <v>32</v>
      </c>
      <c r="O898" t="s">
        <v>71</v>
      </c>
      <c r="P898">
        <v>0</v>
      </c>
      <c r="Q898">
        <v>0</v>
      </c>
      <c r="R898">
        <v>0</v>
      </c>
      <c r="S898" t="s">
        <v>336</v>
      </c>
      <c r="T898" t="s">
        <v>1447</v>
      </c>
      <c r="U898">
        <v>1</v>
      </c>
    </row>
    <row r="899" spans="1:21" x14ac:dyDescent="0.3">
      <c r="A899" t="s">
        <v>1433</v>
      </c>
      <c r="B899" t="s">
        <v>1434</v>
      </c>
      <c r="C899" t="s">
        <v>299</v>
      </c>
      <c r="D899" t="s">
        <v>29</v>
      </c>
      <c r="E899" t="s">
        <v>30</v>
      </c>
      <c r="F899" s="6">
        <v>45351</v>
      </c>
      <c r="G899">
        <v>1</v>
      </c>
      <c r="H899">
        <v>19</v>
      </c>
      <c r="I899">
        <v>1</v>
      </c>
      <c r="J899">
        <v>1</v>
      </c>
      <c r="K899" t="s">
        <v>118</v>
      </c>
      <c r="L899" t="s">
        <v>118</v>
      </c>
      <c r="M899">
        <v>2024</v>
      </c>
      <c r="N899" t="s">
        <v>36</v>
      </c>
      <c r="O899" t="s">
        <v>71</v>
      </c>
      <c r="P899">
        <v>0</v>
      </c>
      <c r="Q899">
        <v>0</v>
      </c>
      <c r="R899">
        <v>0</v>
      </c>
      <c r="S899" t="s">
        <v>336</v>
      </c>
      <c r="T899" t="s">
        <v>1448</v>
      </c>
      <c r="U899">
        <v>1</v>
      </c>
    </row>
    <row r="900" spans="1:21" x14ac:dyDescent="0.3">
      <c r="A900" t="s">
        <v>1433</v>
      </c>
      <c r="B900" t="s">
        <v>1434</v>
      </c>
      <c r="C900" t="s">
        <v>299</v>
      </c>
      <c r="D900" t="s">
        <v>29</v>
      </c>
      <c r="E900" t="s">
        <v>30</v>
      </c>
      <c r="F900" s="6">
        <v>45382</v>
      </c>
      <c r="G900">
        <v>6</v>
      </c>
      <c r="H900">
        <v>23</v>
      </c>
      <c r="I900">
        <v>1</v>
      </c>
      <c r="J900">
        <v>1</v>
      </c>
      <c r="K900" t="s">
        <v>118</v>
      </c>
      <c r="L900" t="s">
        <v>118</v>
      </c>
      <c r="M900">
        <v>2024</v>
      </c>
      <c r="N900" t="s">
        <v>38</v>
      </c>
      <c r="O900" t="s">
        <v>71</v>
      </c>
      <c r="P900">
        <v>0</v>
      </c>
      <c r="Q900">
        <v>0</v>
      </c>
      <c r="R900">
        <v>0</v>
      </c>
      <c r="S900" t="s">
        <v>336</v>
      </c>
      <c r="T900" t="s">
        <v>1449</v>
      </c>
      <c r="U900">
        <v>1</v>
      </c>
    </row>
    <row r="901" spans="1:21" x14ac:dyDescent="0.3">
      <c r="A901" t="s">
        <v>1433</v>
      </c>
      <c r="B901" t="s">
        <v>1434</v>
      </c>
      <c r="C901" t="s">
        <v>299</v>
      </c>
      <c r="D901" t="s">
        <v>29</v>
      </c>
      <c r="E901" t="s">
        <v>30</v>
      </c>
      <c r="F901" s="6">
        <v>45412</v>
      </c>
      <c r="G901">
        <v>6</v>
      </c>
      <c r="H901">
        <v>20</v>
      </c>
      <c r="I901">
        <v>1</v>
      </c>
      <c r="J901">
        <v>1</v>
      </c>
      <c r="K901" t="s">
        <v>118</v>
      </c>
      <c r="L901" t="s">
        <v>118</v>
      </c>
      <c r="M901">
        <v>2024</v>
      </c>
      <c r="N901" t="s">
        <v>40</v>
      </c>
      <c r="O901" t="s">
        <v>71</v>
      </c>
      <c r="P901">
        <v>0</v>
      </c>
      <c r="Q901">
        <v>0</v>
      </c>
      <c r="R901">
        <v>0</v>
      </c>
      <c r="S901" t="s">
        <v>336</v>
      </c>
      <c r="T901" t="s">
        <v>1450</v>
      </c>
      <c r="U901">
        <v>1</v>
      </c>
    </row>
    <row r="902" spans="1:21" x14ac:dyDescent="0.3">
      <c r="A902" t="s">
        <v>1433</v>
      </c>
      <c r="B902" t="s">
        <v>1434</v>
      </c>
      <c r="C902" t="s">
        <v>299</v>
      </c>
      <c r="D902" t="s">
        <v>29</v>
      </c>
      <c r="E902" t="s">
        <v>30</v>
      </c>
      <c r="F902" s="6">
        <v>45443</v>
      </c>
      <c r="G902">
        <v>6</v>
      </c>
      <c r="H902">
        <v>20</v>
      </c>
      <c r="I902">
        <v>1</v>
      </c>
      <c r="J902">
        <v>1</v>
      </c>
      <c r="K902" t="s">
        <v>118</v>
      </c>
      <c r="L902" t="s">
        <v>118</v>
      </c>
      <c r="M902">
        <v>2024</v>
      </c>
      <c r="N902" t="s">
        <v>42</v>
      </c>
      <c r="O902" t="s">
        <v>71</v>
      </c>
      <c r="P902">
        <v>0</v>
      </c>
      <c r="Q902">
        <v>0</v>
      </c>
      <c r="R902">
        <v>0</v>
      </c>
      <c r="S902" t="s">
        <v>336</v>
      </c>
      <c r="T902" t="s">
        <v>1451</v>
      </c>
      <c r="U902">
        <v>1</v>
      </c>
    </row>
    <row r="903" spans="1:21" x14ac:dyDescent="0.3">
      <c r="A903" t="s">
        <v>1433</v>
      </c>
      <c r="B903" t="s">
        <v>1434</v>
      </c>
      <c r="C903" t="s">
        <v>299</v>
      </c>
      <c r="D903" t="s">
        <v>29</v>
      </c>
      <c r="E903" t="s">
        <v>30</v>
      </c>
      <c r="F903" s="6">
        <v>45473</v>
      </c>
      <c r="G903">
        <v>6</v>
      </c>
      <c r="H903">
        <v>21</v>
      </c>
      <c r="I903">
        <v>1</v>
      </c>
      <c r="J903">
        <v>1</v>
      </c>
      <c r="K903" t="s">
        <v>118</v>
      </c>
      <c r="L903" t="s">
        <v>118</v>
      </c>
      <c r="M903">
        <v>2024</v>
      </c>
      <c r="N903" t="s">
        <v>44</v>
      </c>
      <c r="O903" t="s">
        <v>71</v>
      </c>
      <c r="P903">
        <v>0</v>
      </c>
      <c r="Q903">
        <v>0</v>
      </c>
      <c r="R903">
        <v>0</v>
      </c>
      <c r="S903" t="s">
        <v>336</v>
      </c>
      <c r="T903" t="s">
        <v>1452</v>
      </c>
      <c r="U903">
        <v>1</v>
      </c>
    </row>
    <row r="904" spans="1:21" x14ac:dyDescent="0.3">
      <c r="A904" t="s">
        <v>1433</v>
      </c>
      <c r="B904" t="s">
        <v>1434</v>
      </c>
      <c r="C904" t="s">
        <v>299</v>
      </c>
      <c r="D904" t="s">
        <v>29</v>
      </c>
      <c r="E904" t="s">
        <v>30</v>
      </c>
      <c r="F904" s="6">
        <v>45504</v>
      </c>
      <c r="G904">
        <v>6</v>
      </c>
      <c r="H904">
        <v>20</v>
      </c>
      <c r="I904">
        <v>1</v>
      </c>
      <c r="J904">
        <v>1</v>
      </c>
      <c r="K904" t="s">
        <v>118</v>
      </c>
      <c r="L904" t="s">
        <v>118</v>
      </c>
      <c r="M904">
        <v>2024</v>
      </c>
      <c r="N904" t="s">
        <v>46</v>
      </c>
      <c r="O904" t="s">
        <v>78</v>
      </c>
      <c r="P904">
        <v>0</v>
      </c>
      <c r="Q904">
        <v>0</v>
      </c>
      <c r="R904">
        <v>0</v>
      </c>
      <c r="S904" t="s">
        <v>336</v>
      </c>
      <c r="T904" t="s">
        <v>1453</v>
      </c>
      <c r="U904">
        <v>1</v>
      </c>
    </row>
    <row r="905" spans="1:21" x14ac:dyDescent="0.3">
      <c r="A905" t="s">
        <v>1433</v>
      </c>
      <c r="B905" t="s">
        <v>1434</v>
      </c>
      <c r="C905" t="s">
        <v>299</v>
      </c>
      <c r="D905" t="s">
        <v>29</v>
      </c>
      <c r="E905" t="s">
        <v>30</v>
      </c>
      <c r="F905" s="6">
        <v>45535</v>
      </c>
      <c r="G905">
        <v>6</v>
      </c>
      <c r="H905">
        <v>21</v>
      </c>
      <c r="I905">
        <v>1</v>
      </c>
      <c r="J905">
        <v>1</v>
      </c>
      <c r="K905" t="s">
        <v>118</v>
      </c>
      <c r="L905" t="s">
        <v>118</v>
      </c>
      <c r="M905">
        <v>2024</v>
      </c>
      <c r="N905" t="s">
        <v>49</v>
      </c>
      <c r="O905" t="s">
        <v>78</v>
      </c>
      <c r="P905">
        <v>0</v>
      </c>
      <c r="Q905">
        <v>0</v>
      </c>
      <c r="R905">
        <v>0</v>
      </c>
      <c r="S905" t="s">
        <v>336</v>
      </c>
      <c r="T905" t="s">
        <v>1454</v>
      </c>
      <c r="U905">
        <v>1</v>
      </c>
    </row>
    <row r="906" spans="1:21" x14ac:dyDescent="0.3">
      <c r="A906" t="s">
        <v>1433</v>
      </c>
      <c r="B906" t="s">
        <v>1434</v>
      </c>
      <c r="C906" t="s">
        <v>299</v>
      </c>
      <c r="D906" t="s">
        <v>29</v>
      </c>
      <c r="E906" t="s">
        <v>30</v>
      </c>
      <c r="F906" s="6">
        <v>45565</v>
      </c>
      <c r="G906">
        <v>6</v>
      </c>
      <c r="H906">
        <v>22</v>
      </c>
      <c r="I906">
        <v>1</v>
      </c>
      <c r="J906">
        <v>1</v>
      </c>
      <c r="K906" t="s">
        <v>118</v>
      </c>
      <c r="L906" t="s">
        <v>118</v>
      </c>
      <c r="M906">
        <v>2024</v>
      </c>
      <c r="N906" t="s">
        <v>51</v>
      </c>
      <c r="O906" t="s">
        <v>78</v>
      </c>
      <c r="P906">
        <v>0</v>
      </c>
      <c r="Q906">
        <v>0</v>
      </c>
      <c r="R906">
        <v>0</v>
      </c>
      <c r="S906" t="s">
        <v>336</v>
      </c>
      <c r="T906" t="s">
        <v>1455</v>
      </c>
      <c r="U906">
        <v>1</v>
      </c>
    </row>
    <row r="907" spans="1:21" x14ac:dyDescent="0.3">
      <c r="A907" t="s">
        <v>1433</v>
      </c>
      <c r="B907" t="s">
        <v>1434</v>
      </c>
      <c r="C907" t="s">
        <v>299</v>
      </c>
      <c r="D907" t="s">
        <v>29</v>
      </c>
      <c r="E907" t="s">
        <v>30</v>
      </c>
      <c r="F907" s="6">
        <v>45596</v>
      </c>
      <c r="G907">
        <v>6</v>
      </c>
      <c r="H907">
        <v>20</v>
      </c>
      <c r="I907">
        <v>1</v>
      </c>
      <c r="J907">
        <v>1</v>
      </c>
      <c r="K907" t="s">
        <v>118</v>
      </c>
      <c r="L907" t="s">
        <v>118</v>
      </c>
      <c r="M907">
        <v>2024</v>
      </c>
      <c r="N907" t="s">
        <v>53</v>
      </c>
      <c r="O907" t="s">
        <v>78</v>
      </c>
      <c r="P907">
        <v>0</v>
      </c>
      <c r="Q907">
        <v>0</v>
      </c>
      <c r="R907">
        <v>0</v>
      </c>
      <c r="S907" t="s">
        <v>336</v>
      </c>
      <c r="T907" t="s">
        <v>1456</v>
      </c>
      <c r="U907">
        <v>1</v>
      </c>
    </row>
    <row r="908" spans="1:21" x14ac:dyDescent="0.3">
      <c r="A908" t="s">
        <v>1433</v>
      </c>
      <c r="B908" t="s">
        <v>1434</v>
      </c>
      <c r="C908" t="s">
        <v>299</v>
      </c>
      <c r="D908" t="s">
        <v>29</v>
      </c>
      <c r="E908" t="s">
        <v>30</v>
      </c>
      <c r="F908" s="6">
        <v>45626</v>
      </c>
      <c r="G908">
        <v>6</v>
      </c>
      <c r="H908">
        <v>22</v>
      </c>
      <c r="I908">
        <v>1</v>
      </c>
      <c r="J908">
        <v>1</v>
      </c>
      <c r="K908" t="s">
        <v>118</v>
      </c>
      <c r="L908" t="s">
        <v>118</v>
      </c>
      <c r="M908">
        <v>2024</v>
      </c>
      <c r="N908" t="s">
        <v>55</v>
      </c>
      <c r="O908" t="s">
        <v>78</v>
      </c>
      <c r="P908">
        <v>0</v>
      </c>
      <c r="Q908">
        <v>0</v>
      </c>
      <c r="R908">
        <v>0</v>
      </c>
      <c r="S908" t="s">
        <v>336</v>
      </c>
      <c r="T908" t="s">
        <v>1457</v>
      </c>
      <c r="U908">
        <v>1</v>
      </c>
    </row>
    <row r="909" spans="1:21" x14ac:dyDescent="0.3">
      <c r="A909" t="s">
        <v>1433</v>
      </c>
      <c r="B909" t="s">
        <v>1434</v>
      </c>
      <c r="C909" t="s">
        <v>299</v>
      </c>
      <c r="D909" t="s">
        <v>29</v>
      </c>
      <c r="E909" t="s">
        <v>30</v>
      </c>
      <c r="F909" s="6">
        <v>45657</v>
      </c>
      <c r="G909">
        <v>6</v>
      </c>
      <c r="H909">
        <v>18</v>
      </c>
      <c r="I909">
        <v>1</v>
      </c>
      <c r="J909">
        <v>1</v>
      </c>
      <c r="K909" t="s">
        <v>118</v>
      </c>
      <c r="L909" t="s">
        <v>118</v>
      </c>
      <c r="M909">
        <v>2024</v>
      </c>
      <c r="N909" t="s">
        <v>57</v>
      </c>
      <c r="O909" t="s">
        <v>78</v>
      </c>
      <c r="P909">
        <v>0</v>
      </c>
      <c r="Q909">
        <v>0</v>
      </c>
      <c r="R909">
        <v>0</v>
      </c>
      <c r="S909" t="s">
        <v>336</v>
      </c>
      <c r="T909" t="s">
        <v>1458</v>
      </c>
      <c r="U909">
        <v>1</v>
      </c>
    </row>
    <row r="910" spans="1:21" x14ac:dyDescent="0.3">
      <c r="A910" t="s">
        <v>1433</v>
      </c>
      <c r="B910" t="s">
        <v>1434</v>
      </c>
      <c r="C910" t="s">
        <v>299</v>
      </c>
      <c r="D910" t="s">
        <v>29</v>
      </c>
      <c r="E910" t="s">
        <v>30</v>
      </c>
      <c r="F910" s="6">
        <v>45688</v>
      </c>
      <c r="G910">
        <v>1</v>
      </c>
      <c r="H910" t="s">
        <v>1459</v>
      </c>
      <c r="I910">
        <v>1.3</v>
      </c>
      <c r="J910">
        <v>22</v>
      </c>
      <c r="K910" t="s">
        <v>617</v>
      </c>
      <c r="L910" t="s">
        <v>1460</v>
      </c>
      <c r="M910">
        <v>2025</v>
      </c>
      <c r="N910" t="s">
        <v>32</v>
      </c>
      <c r="O910" t="s">
        <v>244</v>
      </c>
      <c r="P910">
        <v>2</v>
      </c>
      <c r="Q910">
        <v>2</v>
      </c>
      <c r="R910">
        <v>0</v>
      </c>
      <c r="S910" t="s">
        <v>336</v>
      </c>
      <c r="T910" t="s">
        <v>1461</v>
      </c>
      <c r="U910">
        <v>31</v>
      </c>
    </row>
    <row r="911" spans="1:21" x14ac:dyDescent="0.3">
      <c r="A911" t="s">
        <v>1433</v>
      </c>
      <c r="B911" t="s">
        <v>1434</v>
      </c>
      <c r="C911" t="s">
        <v>299</v>
      </c>
      <c r="D911" t="s">
        <v>29</v>
      </c>
      <c r="E911" t="s">
        <v>30</v>
      </c>
      <c r="F911" s="6">
        <v>45716</v>
      </c>
      <c r="G911">
        <v>1</v>
      </c>
      <c r="H911" t="s">
        <v>1462</v>
      </c>
      <c r="I911">
        <v>1.3</v>
      </c>
      <c r="J911">
        <v>20</v>
      </c>
      <c r="K911" t="s">
        <v>617</v>
      </c>
      <c r="L911" t="s">
        <v>1298</v>
      </c>
      <c r="M911">
        <v>2025</v>
      </c>
      <c r="N911" t="s">
        <v>36</v>
      </c>
      <c r="O911" t="s">
        <v>244</v>
      </c>
      <c r="P911">
        <v>2</v>
      </c>
      <c r="Q911">
        <v>2</v>
      </c>
      <c r="R911">
        <v>0</v>
      </c>
      <c r="S911" t="s">
        <v>336</v>
      </c>
      <c r="T911" t="s">
        <v>1463</v>
      </c>
      <c r="U911">
        <v>28</v>
      </c>
    </row>
    <row r="912" spans="1:21" x14ac:dyDescent="0.3">
      <c r="A912" t="s">
        <v>1433</v>
      </c>
      <c r="B912" t="s">
        <v>1434</v>
      </c>
      <c r="C912" t="s">
        <v>299</v>
      </c>
      <c r="D912" t="s">
        <v>29</v>
      </c>
      <c r="E912" t="s">
        <v>30</v>
      </c>
      <c r="F912" s="6">
        <v>45747</v>
      </c>
      <c r="G912">
        <v>1</v>
      </c>
      <c r="H912" t="s">
        <v>1464</v>
      </c>
      <c r="I912">
        <v>1.3</v>
      </c>
      <c r="J912">
        <v>21</v>
      </c>
      <c r="K912" t="s">
        <v>617</v>
      </c>
      <c r="L912" t="s">
        <v>1465</v>
      </c>
      <c r="M912">
        <v>2025</v>
      </c>
      <c r="N912" t="s">
        <v>38</v>
      </c>
      <c r="O912" t="s">
        <v>244</v>
      </c>
      <c r="P912">
        <v>2</v>
      </c>
      <c r="Q912">
        <v>2</v>
      </c>
      <c r="R912">
        <v>0</v>
      </c>
      <c r="S912" t="s">
        <v>336</v>
      </c>
      <c r="T912" t="s">
        <v>1466</v>
      </c>
      <c r="U912">
        <v>31</v>
      </c>
    </row>
    <row r="913" spans="1:21" x14ac:dyDescent="0.3">
      <c r="A913" t="s">
        <v>1433</v>
      </c>
      <c r="B913" t="s">
        <v>1434</v>
      </c>
      <c r="C913" t="s">
        <v>299</v>
      </c>
      <c r="D913" t="s">
        <v>29</v>
      </c>
      <c r="E913" t="s">
        <v>30</v>
      </c>
      <c r="F913" s="6">
        <v>45777</v>
      </c>
      <c r="G913">
        <v>1</v>
      </c>
      <c r="H913" t="s">
        <v>1467</v>
      </c>
      <c r="I913">
        <v>1.3</v>
      </c>
      <c r="J913">
        <v>26</v>
      </c>
      <c r="K913" t="s">
        <v>617</v>
      </c>
      <c r="L913" t="s">
        <v>1468</v>
      </c>
      <c r="M913">
        <v>2025</v>
      </c>
      <c r="N913" t="s">
        <v>40</v>
      </c>
      <c r="O913" t="s">
        <v>244</v>
      </c>
      <c r="P913">
        <v>2</v>
      </c>
      <c r="Q913">
        <v>2</v>
      </c>
      <c r="R913">
        <v>0</v>
      </c>
      <c r="S913" t="s">
        <v>336</v>
      </c>
      <c r="T913" t="s">
        <v>1469</v>
      </c>
      <c r="U913">
        <v>30</v>
      </c>
    </row>
    <row r="914" spans="1:21" x14ac:dyDescent="0.3">
      <c r="A914" t="s">
        <v>1433</v>
      </c>
      <c r="B914" t="s">
        <v>1434</v>
      </c>
      <c r="C914" t="s">
        <v>299</v>
      </c>
      <c r="D914" t="s">
        <v>29</v>
      </c>
      <c r="E914" t="s">
        <v>30</v>
      </c>
      <c r="F914" s="6">
        <v>45808</v>
      </c>
      <c r="G914">
        <v>1</v>
      </c>
      <c r="H914" t="s">
        <v>1470</v>
      </c>
      <c r="I914">
        <v>1.3</v>
      </c>
      <c r="J914">
        <v>28</v>
      </c>
      <c r="K914" t="s">
        <v>617</v>
      </c>
      <c r="L914" t="s">
        <v>1471</v>
      </c>
      <c r="M914">
        <v>2025</v>
      </c>
      <c r="N914" t="s">
        <v>42</v>
      </c>
      <c r="O914" t="s">
        <v>244</v>
      </c>
      <c r="P914">
        <v>2</v>
      </c>
      <c r="Q914">
        <v>2</v>
      </c>
      <c r="R914">
        <v>0</v>
      </c>
      <c r="S914" t="s">
        <v>336</v>
      </c>
      <c r="T914" t="s">
        <v>1472</v>
      </c>
      <c r="U914">
        <v>31</v>
      </c>
    </row>
    <row r="915" spans="1:21" x14ac:dyDescent="0.3">
      <c r="A915" t="s">
        <v>1433</v>
      </c>
      <c r="B915" t="s">
        <v>1434</v>
      </c>
      <c r="C915" t="s">
        <v>299</v>
      </c>
      <c r="D915" t="s">
        <v>29</v>
      </c>
      <c r="E915" t="s">
        <v>30</v>
      </c>
      <c r="F915" s="6">
        <v>45838</v>
      </c>
      <c r="G915">
        <v>1</v>
      </c>
      <c r="H915" t="s">
        <v>1467</v>
      </c>
      <c r="I915">
        <v>1.3</v>
      </c>
      <c r="J915">
        <v>26</v>
      </c>
      <c r="K915" t="s">
        <v>617</v>
      </c>
      <c r="L915" t="s">
        <v>1468</v>
      </c>
      <c r="M915">
        <v>2025</v>
      </c>
      <c r="N915" t="s">
        <v>44</v>
      </c>
      <c r="O915" t="s">
        <v>244</v>
      </c>
      <c r="P915">
        <v>2</v>
      </c>
      <c r="Q915">
        <v>2</v>
      </c>
      <c r="R915">
        <v>0</v>
      </c>
      <c r="S915" t="s">
        <v>336</v>
      </c>
      <c r="T915" t="s">
        <v>1473</v>
      </c>
      <c r="U915">
        <v>30</v>
      </c>
    </row>
    <row r="916" spans="1:21" x14ac:dyDescent="0.3">
      <c r="A916" t="s">
        <v>1433</v>
      </c>
      <c r="B916" t="s">
        <v>1434</v>
      </c>
      <c r="C916" t="s">
        <v>299</v>
      </c>
      <c r="D916" t="s">
        <v>29</v>
      </c>
      <c r="E916" t="s">
        <v>30</v>
      </c>
      <c r="F916" s="6">
        <v>45869</v>
      </c>
      <c r="G916">
        <v>1</v>
      </c>
      <c r="H916" t="s">
        <v>1474</v>
      </c>
      <c r="I916">
        <v>1.3</v>
      </c>
      <c r="J916">
        <v>18</v>
      </c>
      <c r="K916" t="s">
        <v>617</v>
      </c>
      <c r="L916" t="s">
        <v>1475</v>
      </c>
      <c r="M916">
        <v>2025</v>
      </c>
      <c r="N916" t="s">
        <v>46</v>
      </c>
      <c r="O916" t="s">
        <v>103</v>
      </c>
      <c r="P916">
        <v>2</v>
      </c>
      <c r="Q916">
        <v>2</v>
      </c>
      <c r="R916">
        <v>0</v>
      </c>
      <c r="S916" t="s">
        <v>336</v>
      </c>
      <c r="T916" t="s">
        <v>1476</v>
      </c>
      <c r="U916">
        <v>31</v>
      </c>
    </row>
    <row r="917" spans="1:21" x14ac:dyDescent="0.3">
      <c r="A917" t="s">
        <v>1433</v>
      </c>
      <c r="B917" t="s">
        <v>1434</v>
      </c>
      <c r="C917" t="s">
        <v>299</v>
      </c>
      <c r="D917" t="s">
        <v>29</v>
      </c>
      <c r="E917" t="s">
        <v>30</v>
      </c>
      <c r="F917" s="6">
        <v>45900</v>
      </c>
      <c r="G917">
        <v>1</v>
      </c>
      <c r="H917" t="s">
        <v>1477</v>
      </c>
      <c r="I917">
        <v>1.3</v>
      </c>
      <c r="J917">
        <v>17</v>
      </c>
      <c r="K917" t="s">
        <v>617</v>
      </c>
      <c r="L917" t="s">
        <v>1478</v>
      </c>
      <c r="M917">
        <v>2025</v>
      </c>
      <c r="N917" t="s">
        <v>49</v>
      </c>
      <c r="O917" t="s">
        <v>103</v>
      </c>
      <c r="P917">
        <v>2</v>
      </c>
      <c r="Q917">
        <v>2</v>
      </c>
      <c r="R917">
        <v>0</v>
      </c>
      <c r="S917" t="s">
        <v>336</v>
      </c>
      <c r="T917" t="s">
        <v>1479</v>
      </c>
      <c r="U917">
        <v>31</v>
      </c>
    </row>
    <row r="918" spans="1:21" x14ac:dyDescent="0.3">
      <c r="A918" t="s">
        <v>1433</v>
      </c>
      <c r="B918" t="s">
        <v>1434</v>
      </c>
      <c r="C918" t="s">
        <v>299</v>
      </c>
      <c r="D918" t="s">
        <v>29</v>
      </c>
      <c r="E918" t="s">
        <v>30</v>
      </c>
      <c r="F918" s="6">
        <v>45991</v>
      </c>
      <c r="G918">
        <v>1</v>
      </c>
      <c r="I918">
        <v>0</v>
      </c>
      <c r="J918">
        <v>0</v>
      </c>
      <c r="K918" t="s">
        <v>617</v>
      </c>
      <c r="M918">
        <v>2025</v>
      </c>
      <c r="N918" t="s">
        <v>55</v>
      </c>
      <c r="O918" t="s">
        <v>103</v>
      </c>
      <c r="P918">
        <v>2</v>
      </c>
      <c r="Q918">
        <v>2</v>
      </c>
      <c r="R918">
        <v>0</v>
      </c>
      <c r="S918" t="s">
        <v>336</v>
      </c>
      <c r="T918" t="s">
        <v>1480</v>
      </c>
      <c r="U918">
        <v>30</v>
      </c>
    </row>
    <row r="919" spans="1:21" x14ac:dyDescent="0.3">
      <c r="A919" t="s">
        <v>1433</v>
      </c>
      <c r="B919" t="s">
        <v>1434</v>
      </c>
      <c r="C919" t="s">
        <v>299</v>
      </c>
      <c r="D919" t="s">
        <v>29</v>
      </c>
      <c r="E919" t="s">
        <v>30</v>
      </c>
      <c r="F919" s="6">
        <v>46022</v>
      </c>
      <c r="G919">
        <v>1</v>
      </c>
      <c r="I919">
        <v>0</v>
      </c>
      <c r="J919">
        <v>0</v>
      </c>
      <c r="K919" t="s">
        <v>617</v>
      </c>
      <c r="M919">
        <v>2025</v>
      </c>
      <c r="N919" t="s">
        <v>57</v>
      </c>
      <c r="O919" t="s">
        <v>103</v>
      </c>
      <c r="P919">
        <v>2</v>
      </c>
      <c r="Q919">
        <v>2</v>
      </c>
      <c r="R919">
        <v>0</v>
      </c>
      <c r="S919" t="s">
        <v>336</v>
      </c>
      <c r="T919" t="s">
        <v>1481</v>
      </c>
      <c r="U919">
        <v>31</v>
      </c>
    </row>
    <row r="920" spans="1:21" x14ac:dyDescent="0.3">
      <c r="A920" t="s">
        <v>1433</v>
      </c>
      <c r="B920" t="s">
        <v>1434</v>
      </c>
      <c r="C920" t="s">
        <v>299</v>
      </c>
      <c r="D920" t="s">
        <v>29</v>
      </c>
      <c r="E920" t="s">
        <v>30</v>
      </c>
      <c r="F920" s="6">
        <v>46053</v>
      </c>
      <c r="G920">
        <v>1</v>
      </c>
      <c r="I920">
        <v>0</v>
      </c>
      <c r="J920">
        <v>0</v>
      </c>
      <c r="K920" t="s">
        <v>617</v>
      </c>
      <c r="M920">
        <v>2026</v>
      </c>
      <c r="N920" t="s">
        <v>32</v>
      </c>
      <c r="O920" t="s">
        <v>408</v>
      </c>
      <c r="P920">
        <v>2</v>
      </c>
      <c r="Q920">
        <v>2</v>
      </c>
      <c r="R920">
        <v>0</v>
      </c>
      <c r="S920" t="s">
        <v>336</v>
      </c>
      <c r="T920" t="s">
        <v>1482</v>
      </c>
      <c r="U920">
        <v>31</v>
      </c>
    </row>
    <row r="921" spans="1:21" x14ac:dyDescent="0.3">
      <c r="A921" t="s">
        <v>1483</v>
      </c>
      <c r="B921" t="s">
        <v>1484</v>
      </c>
      <c r="C921" t="s">
        <v>299</v>
      </c>
      <c r="D921" t="s">
        <v>98</v>
      </c>
      <c r="E921" t="s">
        <v>30</v>
      </c>
      <c r="F921" s="6">
        <v>44926</v>
      </c>
      <c r="H921">
        <v>476.49</v>
      </c>
      <c r="K921" t="s">
        <v>118</v>
      </c>
      <c r="L921" t="s">
        <v>118</v>
      </c>
      <c r="M921">
        <v>2022</v>
      </c>
      <c r="N921" t="s">
        <v>57</v>
      </c>
      <c r="O921" t="s">
        <v>90</v>
      </c>
      <c r="P921">
        <v>0</v>
      </c>
      <c r="Q921">
        <v>0</v>
      </c>
      <c r="R921">
        <v>0</v>
      </c>
      <c r="S921" t="s">
        <v>336</v>
      </c>
      <c r="T921" t="s">
        <v>1485</v>
      </c>
      <c r="U921">
        <v>1</v>
      </c>
    </row>
    <row r="922" spans="1:21" x14ac:dyDescent="0.3">
      <c r="A922" t="s">
        <v>1483</v>
      </c>
      <c r="B922" t="s">
        <v>1484</v>
      </c>
      <c r="C922" t="s">
        <v>299</v>
      </c>
      <c r="D922" t="s">
        <v>98</v>
      </c>
      <c r="E922" t="s">
        <v>30</v>
      </c>
      <c r="F922" s="6">
        <v>45291</v>
      </c>
      <c r="K922" t="s">
        <v>118</v>
      </c>
      <c r="L922" t="s">
        <v>118</v>
      </c>
      <c r="M922">
        <v>2023</v>
      </c>
      <c r="N922" t="s">
        <v>57</v>
      </c>
      <c r="O922" t="s">
        <v>47</v>
      </c>
      <c r="P922">
        <v>0</v>
      </c>
      <c r="Q922">
        <v>0</v>
      </c>
      <c r="R922">
        <v>0</v>
      </c>
      <c r="S922" t="s">
        <v>336</v>
      </c>
      <c r="T922" t="s">
        <v>1486</v>
      </c>
      <c r="U922">
        <v>1</v>
      </c>
    </row>
    <row r="923" spans="1:21" x14ac:dyDescent="0.3">
      <c r="A923" t="s">
        <v>1483</v>
      </c>
      <c r="B923" t="s">
        <v>1484</v>
      </c>
      <c r="C923" t="s">
        <v>299</v>
      </c>
      <c r="D923" t="s">
        <v>98</v>
      </c>
      <c r="E923" t="s">
        <v>30</v>
      </c>
      <c r="F923" s="6">
        <v>45657</v>
      </c>
      <c r="K923" t="s">
        <v>118</v>
      </c>
      <c r="L923" t="s">
        <v>118</v>
      </c>
      <c r="M923">
        <v>2024</v>
      </c>
      <c r="N923" t="s">
        <v>57</v>
      </c>
      <c r="O923" t="s">
        <v>78</v>
      </c>
      <c r="P923">
        <v>0</v>
      </c>
      <c r="Q923">
        <v>0</v>
      </c>
      <c r="R923">
        <v>0</v>
      </c>
      <c r="S923" t="s">
        <v>336</v>
      </c>
      <c r="T923" t="s">
        <v>1487</v>
      </c>
      <c r="U923">
        <v>1</v>
      </c>
    </row>
    <row r="924" spans="1:21" x14ac:dyDescent="0.3">
      <c r="A924" t="s">
        <v>1483</v>
      </c>
      <c r="B924" t="s">
        <v>1484</v>
      </c>
      <c r="C924" t="s">
        <v>299</v>
      </c>
      <c r="D924" t="s">
        <v>98</v>
      </c>
      <c r="E924" t="s">
        <v>30</v>
      </c>
      <c r="F924" s="6">
        <v>46022</v>
      </c>
      <c r="G924">
        <v>2</v>
      </c>
      <c r="I924">
        <v>0</v>
      </c>
      <c r="J924">
        <v>0</v>
      </c>
      <c r="K924" t="s">
        <v>569</v>
      </c>
      <c r="M924">
        <v>2025</v>
      </c>
      <c r="N924" t="s">
        <v>57</v>
      </c>
      <c r="O924" t="s">
        <v>103</v>
      </c>
      <c r="P924">
        <v>2</v>
      </c>
      <c r="Q924">
        <v>2</v>
      </c>
      <c r="R924">
        <v>0</v>
      </c>
      <c r="S924" t="s">
        <v>336</v>
      </c>
      <c r="T924" t="s">
        <v>1488</v>
      </c>
      <c r="U924">
        <v>31</v>
      </c>
    </row>
    <row r="925" spans="1:21" x14ac:dyDescent="0.3">
      <c r="A925" t="s">
        <v>1489</v>
      </c>
      <c r="B925" t="s">
        <v>1490</v>
      </c>
      <c r="C925" t="s">
        <v>299</v>
      </c>
      <c r="D925" t="s">
        <v>98</v>
      </c>
      <c r="E925" t="s">
        <v>108</v>
      </c>
      <c r="F925" s="6">
        <v>44926</v>
      </c>
      <c r="G925">
        <v>0.3</v>
      </c>
      <c r="H925">
        <v>0.1</v>
      </c>
      <c r="I925">
        <v>1</v>
      </c>
      <c r="J925">
        <v>1</v>
      </c>
      <c r="K925" t="s">
        <v>118</v>
      </c>
      <c r="L925" t="s">
        <v>118</v>
      </c>
      <c r="M925">
        <v>2022</v>
      </c>
      <c r="N925" t="s">
        <v>57</v>
      </c>
      <c r="O925" t="s">
        <v>90</v>
      </c>
      <c r="P925">
        <v>0</v>
      </c>
      <c r="Q925">
        <v>0</v>
      </c>
      <c r="R925">
        <v>0</v>
      </c>
      <c r="S925" t="s">
        <v>336</v>
      </c>
      <c r="T925" t="s">
        <v>1491</v>
      </c>
      <c r="U925">
        <v>1</v>
      </c>
    </row>
    <row r="926" spans="1:21" x14ac:dyDescent="0.3">
      <c r="A926" t="s">
        <v>1489</v>
      </c>
      <c r="B926" t="s">
        <v>1490</v>
      </c>
      <c r="C926" t="s">
        <v>299</v>
      </c>
      <c r="D926" t="s">
        <v>98</v>
      </c>
      <c r="E926" t="s">
        <v>108</v>
      </c>
      <c r="F926" s="6">
        <v>45291</v>
      </c>
      <c r="K926" t="s">
        <v>118</v>
      </c>
      <c r="L926" t="s">
        <v>118</v>
      </c>
      <c r="M926">
        <v>2023</v>
      </c>
      <c r="N926" t="s">
        <v>57</v>
      </c>
      <c r="O926" t="s">
        <v>47</v>
      </c>
      <c r="P926">
        <v>0</v>
      </c>
      <c r="Q926">
        <v>0</v>
      </c>
      <c r="R926">
        <v>0</v>
      </c>
      <c r="S926" t="s">
        <v>336</v>
      </c>
      <c r="T926" t="s">
        <v>1492</v>
      </c>
      <c r="U926">
        <v>1</v>
      </c>
    </row>
    <row r="927" spans="1:21" x14ac:dyDescent="0.3">
      <c r="A927" t="s">
        <v>1489</v>
      </c>
      <c r="B927" t="s">
        <v>1490</v>
      </c>
      <c r="C927" t="s">
        <v>299</v>
      </c>
      <c r="D927" t="s">
        <v>98</v>
      </c>
      <c r="E927" t="s">
        <v>108</v>
      </c>
      <c r="F927" s="6">
        <v>45657</v>
      </c>
      <c r="G927">
        <v>0.3</v>
      </c>
      <c r="H927">
        <v>0</v>
      </c>
      <c r="I927">
        <v>0</v>
      </c>
      <c r="J927">
        <v>0</v>
      </c>
      <c r="M927">
        <v>2024</v>
      </c>
      <c r="N927" t="s">
        <v>57</v>
      </c>
      <c r="O927" t="s">
        <v>78</v>
      </c>
      <c r="P927">
        <v>0</v>
      </c>
      <c r="Q927">
        <v>0</v>
      </c>
      <c r="R927">
        <v>0</v>
      </c>
      <c r="S927" t="s">
        <v>336</v>
      </c>
      <c r="T927" t="s">
        <v>1493</v>
      </c>
      <c r="U927">
        <v>1</v>
      </c>
    </row>
    <row r="928" spans="1:21" x14ac:dyDescent="0.3">
      <c r="A928" t="s">
        <v>1489</v>
      </c>
      <c r="B928" t="s">
        <v>1494</v>
      </c>
      <c r="C928" t="s">
        <v>299</v>
      </c>
      <c r="D928" t="s">
        <v>98</v>
      </c>
      <c r="E928" t="s">
        <v>108</v>
      </c>
      <c r="F928" s="6">
        <v>46022</v>
      </c>
      <c r="G928">
        <v>0.3</v>
      </c>
      <c r="I928">
        <v>0</v>
      </c>
      <c r="J928">
        <v>0</v>
      </c>
      <c r="K928" t="s">
        <v>1495</v>
      </c>
      <c r="M928">
        <v>2025</v>
      </c>
      <c r="N928" t="s">
        <v>57</v>
      </c>
      <c r="O928" t="s">
        <v>103</v>
      </c>
      <c r="P928">
        <v>2</v>
      </c>
      <c r="Q928">
        <v>2</v>
      </c>
      <c r="R928">
        <v>0</v>
      </c>
      <c r="S928" t="s">
        <v>336</v>
      </c>
      <c r="T928" t="s">
        <v>1496</v>
      </c>
      <c r="U928">
        <v>31</v>
      </c>
    </row>
    <row r="929" spans="1:21" x14ac:dyDescent="0.3">
      <c r="A929" t="s">
        <v>1497</v>
      </c>
      <c r="B929" t="s">
        <v>1498</v>
      </c>
      <c r="C929" t="s">
        <v>299</v>
      </c>
      <c r="D929" t="s">
        <v>98</v>
      </c>
      <c r="E929" t="s">
        <v>30</v>
      </c>
      <c r="F929" s="6">
        <v>44926</v>
      </c>
      <c r="G929">
        <v>170.99</v>
      </c>
      <c r="H929">
        <v>235</v>
      </c>
      <c r="I929">
        <v>1.3</v>
      </c>
      <c r="J929">
        <v>1.3743493771565589</v>
      </c>
      <c r="K929" t="s">
        <v>1499</v>
      </c>
      <c r="L929" t="s">
        <v>1499</v>
      </c>
      <c r="M929">
        <v>2022</v>
      </c>
      <c r="N929" t="s">
        <v>57</v>
      </c>
      <c r="O929" t="s">
        <v>90</v>
      </c>
      <c r="P929">
        <v>0</v>
      </c>
      <c r="Q929">
        <v>0</v>
      </c>
      <c r="R929">
        <v>1</v>
      </c>
      <c r="S929" t="s">
        <v>336</v>
      </c>
      <c r="T929" t="s">
        <v>1500</v>
      </c>
      <c r="U929">
        <v>1</v>
      </c>
    </row>
    <row r="930" spans="1:21" x14ac:dyDescent="0.3">
      <c r="A930" t="s">
        <v>1497</v>
      </c>
      <c r="B930" t="s">
        <v>1498</v>
      </c>
      <c r="C930" t="s">
        <v>299</v>
      </c>
      <c r="D930" t="s">
        <v>98</v>
      </c>
      <c r="E930" t="s">
        <v>30</v>
      </c>
      <c r="F930" s="6">
        <v>45291</v>
      </c>
      <c r="G930">
        <v>476.48</v>
      </c>
      <c r="H930">
        <v>477</v>
      </c>
      <c r="I930">
        <v>1</v>
      </c>
      <c r="J930">
        <v>1.0011000000000001</v>
      </c>
      <c r="K930" t="s">
        <v>1499</v>
      </c>
      <c r="L930" t="s">
        <v>1499</v>
      </c>
      <c r="M930">
        <v>2023</v>
      </c>
      <c r="N930" t="s">
        <v>57</v>
      </c>
      <c r="O930" t="s">
        <v>47</v>
      </c>
      <c r="P930">
        <v>1</v>
      </c>
      <c r="Q930">
        <v>1</v>
      </c>
      <c r="R930">
        <v>1</v>
      </c>
      <c r="S930" t="s">
        <v>336</v>
      </c>
      <c r="T930" t="s">
        <v>1501</v>
      </c>
      <c r="U930">
        <v>1</v>
      </c>
    </row>
    <row r="931" spans="1:21" x14ac:dyDescent="0.3">
      <c r="A931" t="s">
        <v>1497</v>
      </c>
      <c r="B931" t="s">
        <v>1498</v>
      </c>
      <c r="C931" t="s">
        <v>299</v>
      </c>
      <c r="D931" t="s">
        <v>98</v>
      </c>
      <c r="E931" t="s">
        <v>30</v>
      </c>
      <c r="F931" s="6">
        <v>45657</v>
      </c>
      <c r="G931">
        <v>622.68999999999994</v>
      </c>
      <c r="H931">
        <v>622.68999999999994</v>
      </c>
      <c r="I931">
        <v>1</v>
      </c>
      <c r="J931">
        <v>1</v>
      </c>
      <c r="K931" t="s">
        <v>1499</v>
      </c>
      <c r="L931" t="s">
        <v>1499</v>
      </c>
      <c r="M931">
        <v>2024</v>
      </c>
      <c r="N931" t="s">
        <v>57</v>
      </c>
      <c r="O931" t="s">
        <v>78</v>
      </c>
      <c r="P931">
        <v>1</v>
      </c>
      <c r="Q931">
        <v>1</v>
      </c>
      <c r="R931">
        <v>0</v>
      </c>
      <c r="S931" t="s">
        <v>336</v>
      </c>
      <c r="T931" t="s">
        <v>1502</v>
      </c>
      <c r="U931">
        <v>1</v>
      </c>
    </row>
    <row r="932" spans="1:21" x14ac:dyDescent="0.3">
      <c r="A932" t="s">
        <v>1503</v>
      </c>
      <c r="B932" t="s">
        <v>1504</v>
      </c>
      <c r="C932" t="s">
        <v>299</v>
      </c>
      <c r="D932" t="s">
        <v>222</v>
      </c>
      <c r="E932" t="s">
        <v>30</v>
      </c>
      <c r="F932" s="6">
        <v>45107</v>
      </c>
      <c r="G932">
        <v>15</v>
      </c>
      <c r="H932">
        <v>15</v>
      </c>
      <c r="I932">
        <v>1</v>
      </c>
      <c r="J932">
        <v>1</v>
      </c>
      <c r="K932" t="s">
        <v>31</v>
      </c>
      <c r="L932" t="s">
        <v>31</v>
      </c>
      <c r="M932">
        <v>2023</v>
      </c>
      <c r="N932" t="s">
        <v>44</v>
      </c>
      <c r="O932" t="s">
        <v>33</v>
      </c>
      <c r="P932">
        <v>0</v>
      </c>
      <c r="Q932">
        <v>0</v>
      </c>
      <c r="R932">
        <v>0</v>
      </c>
      <c r="S932" t="s">
        <v>336</v>
      </c>
      <c r="T932" t="s">
        <v>1505</v>
      </c>
      <c r="U932">
        <v>1</v>
      </c>
    </row>
    <row r="933" spans="1:21" x14ac:dyDescent="0.3">
      <c r="A933" t="s">
        <v>1503</v>
      </c>
      <c r="B933" t="s">
        <v>1504</v>
      </c>
      <c r="C933" t="s">
        <v>299</v>
      </c>
      <c r="D933" t="s">
        <v>222</v>
      </c>
      <c r="E933" t="s">
        <v>30</v>
      </c>
      <c r="F933" s="6">
        <v>45291</v>
      </c>
      <c r="G933">
        <v>15</v>
      </c>
      <c r="I933">
        <v>0</v>
      </c>
      <c r="J933">
        <v>0</v>
      </c>
      <c r="K933" t="s">
        <v>31</v>
      </c>
      <c r="L933" t="s">
        <v>31</v>
      </c>
      <c r="M933">
        <v>2023</v>
      </c>
      <c r="N933" t="s">
        <v>57</v>
      </c>
      <c r="O933" t="s">
        <v>47</v>
      </c>
      <c r="P933">
        <v>0</v>
      </c>
      <c r="Q933">
        <v>0</v>
      </c>
      <c r="R933">
        <v>0</v>
      </c>
      <c r="S933" t="s">
        <v>336</v>
      </c>
      <c r="T933" t="s">
        <v>1506</v>
      </c>
      <c r="U933">
        <v>1</v>
      </c>
    </row>
    <row r="934" spans="1:21" x14ac:dyDescent="0.3">
      <c r="A934" t="s">
        <v>1503</v>
      </c>
      <c r="B934" t="s">
        <v>1504</v>
      </c>
      <c r="C934" t="s">
        <v>299</v>
      </c>
      <c r="D934" t="s">
        <v>222</v>
      </c>
      <c r="E934" t="s">
        <v>30</v>
      </c>
      <c r="F934" s="6">
        <v>45473</v>
      </c>
      <c r="G934">
        <v>90</v>
      </c>
      <c r="H934">
        <v>100</v>
      </c>
      <c r="I934">
        <v>1</v>
      </c>
      <c r="J934">
        <v>1.1111111111111109</v>
      </c>
      <c r="K934" t="s">
        <v>31</v>
      </c>
      <c r="L934" t="s">
        <v>31</v>
      </c>
      <c r="M934">
        <v>2024</v>
      </c>
      <c r="N934" t="s">
        <v>44</v>
      </c>
      <c r="O934" t="s">
        <v>71</v>
      </c>
      <c r="P934">
        <v>0</v>
      </c>
      <c r="Q934">
        <v>0</v>
      </c>
      <c r="R934">
        <v>0</v>
      </c>
      <c r="S934" t="s">
        <v>336</v>
      </c>
      <c r="T934" t="s">
        <v>1507</v>
      </c>
      <c r="U934">
        <v>1</v>
      </c>
    </row>
    <row r="935" spans="1:21" x14ac:dyDescent="0.3">
      <c r="A935" t="s">
        <v>1503</v>
      </c>
      <c r="B935" t="s">
        <v>1504</v>
      </c>
      <c r="C935" t="s">
        <v>299</v>
      </c>
      <c r="D935" t="s">
        <v>222</v>
      </c>
      <c r="E935" t="s">
        <v>30</v>
      </c>
      <c r="F935" s="6">
        <v>45657</v>
      </c>
      <c r="G935">
        <v>90</v>
      </c>
      <c r="H935">
        <v>100</v>
      </c>
      <c r="I935">
        <v>1.1111111111111109</v>
      </c>
      <c r="J935">
        <v>1.1111111111111109</v>
      </c>
      <c r="K935" t="s">
        <v>31</v>
      </c>
      <c r="L935" t="s">
        <v>31</v>
      </c>
      <c r="M935">
        <v>2024</v>
      </c>
      <c r="N935" t="s">
        <v>57</v>
      </c>
      <c r="O935" t="s">
        <v>78</v>
      </c>
      <c r="P935">
        <v>0</v>
      </c>
      <c r="Q935">
        <v>0</v>
      </c>
      <c r="R935">
        <v>0</v>
      </c>
      <c r="S935" t="s">
        <v>336</v>
      </c>
      <c r="T935" t="s">
        <v>1508</v>
      </c>
      <c r="U935">
        <v>1</v>
      </c>
    </row>
    <row r="936" spans="1:21" x14ac:dyDescent="0.3">
      <c r="A936" t="s">
        <v>1503</v>
      </c>
      <c r="B936" t="s">
        <v>1504</v>
      </c>
      <c r="C936" t="s">
        <v>299</v>
      </c>
      <c r="D936" t="s">
        <v>222</v>
      </c>
      <c r="E936" t="s">
        <v>30</v>
      </c>
      <c r="F936" s="6">
        <v>45838</v>
      </c>
      <c r="G936">
        <v>90</v>
      </c>
      <c r="H936" t="s">
        <v>95</v>
      </c>
      <c r="I936">
        <v>1.1111111111111109</v>
      </c>
      <c r="J936">
        <v>1.1111111111111109</v>
      </c>
      <c r="K936" t="s">
        <v>256</v>
      </c>
      <c r="L936" t="s">
        <v>102</v>
      </c>
      <c r="M936">
        <v>2025</v>
      </c>
      <c r="N936" t="s">
        <v>44</v>
      </c>
      <c r="O936" t="s">
        <v>244</v>
      </c>
      <c r="P936">
        <v>2</v>
      </c>
      <c r="Q936">
        <v>2</v>
      </c>
      <c r="R936">
        <v>0</v>
      </c>
      <c r="S936" t="s">
        <v>336</v>
      </c>
      <c r="T936" t="s">
        <v>1509</v>
      </c>
      <c r="U936">
        <v>30</v>
      </c>
    </row>
    <row r="937" spans="1:21" x14ac:dyDescent="0.3">
      <c r="A937" t="s">
        <v>1510</v>
      </c>
      <c r="B937" t="s">
        <v>1511</v>
      </c>
      <c r="C937" t="s">
        <v>299</v>
      </c>
      <c r="D937" t="s">
        <v>222</v>
      </c>
      <c r="E937" t="s">
        <v>30</v>
      </c>
      <c r="F937" s="6">
        <v>45107</v>
      </c>
      <c r="G937">
        <v>35</v>
      </c>
      <c r="H937">
        <v>38.235294117647101</v>
      </c>
      <c r="I937">
        <v>1.092436974789917</v>
      </c>
      <c r="J937">
        <v>1.092436974789917</v>
      </c>
      <c r="K937" t="s">
        <v>31</v>
      </c>
      <c r="L937" t="s">
        <v>31</v>
      </c>
      <c r="M937">
        <v>2023</v>
      </c>
      <c r="N937" t="s">
        <v>44</v>
      </c>
      <c r="O937" t="s">
        <v>33</v>
      </c>
      <c r="P937">
        <v>0</v>
      </c>
      <c r="Q937">
        <v>0</v>
      </c>
      <c r="R937">
        <v>0</v>
      </c>
      <c r="S937" t="s">
        <v>336</v>
      </c>
      <c r="T937" t="s">
        <v>1512</v>
      </c>
      <c r="U937">
        <v>1</v>
      </c>
    </row>
    <row r="938" spans="1:21" x14ac:dyDescent="0.3">
      <c r="A938" t="s">
        <v>1510</v>
      </c>
      <c r="B938" t="s">
        <v>1511</v>
      </c>
      <c r="C938" t="s">
        <v>299</v>
      </c>
      <c r="D938" t="s">
        <v>222</v>
      </c>
      <c r="E938" t="s">
        <v>30</v>
      </c>
      <c r="F938" s="6">
        <v>45291</v>
      </c>
      <c r="G938">
        <v>35</v>
      </c>
      <c r="I938">
        <v>0</v>
      </c>
      <c r="J938">
        <v>0</v>
      </c>
      <c r="K938" t="s">
        <v>31</v>
      </c>
      <c r="L938" t="s">
        <v>31</v>
      </c>
      <c r="M938">
        <v>2023</v>
      </c>
      <c r="N938" t="s">
        <v>57</v>
      </c>
      <c r="O938" t="s">
        <v>47</v>
      </c>
      <c r="P938">
        <v>0</v>
      </c>
      <c r="Q938">
        <v>0</v>
      </c>
      <c r="R938">
        <v>0</v>
      </c>
      <c r="S938" t="s">
        <v>336</v>
      </c>
      <c r="T938" t="s">
        <v>1513</v>
      </c>
      <c r="U938">
        <v>1</v>
      </c>
    </row>
    <row r="939" spans="1:21" x14ac:dyDescent="0.3">
      <c r="A939" t="s">
        <v>1510</v>
      </c>
      <c r="B939" t="s">
        <v>1511</v>
      </c>
      <c r="C939" t="s">
        <v>299</v>
      </c>
      <c r="D939" t="s">
        <v>222</v>
      </c>
      <c r="E939" t="s">
        <v>30</v>
      </c>
      <c r="F939" s="6">
        <v>45473</v>
      </c>
      <c r="G939">
        <v>35</v>
      </c>
      <c r="H939">
        <v>95.38</v>
      </c>
      <c r="I939">
        <v>1</v>
      </c>
      <c r="J939">
        <v>1</v>
      </c>
      <c r="K939" t="s">
        <v>31</v>
      </c>
      <c r="L939" t="s">
        <v>31</v>
      </c>
      <c r="M939">
        <v>2024</v>
      </c>
      <c r="N939" t="s">
        <v>44</v>
      </c>
      <c r="O939" t="s">
        <v>71</v>
      </c>
      <c r="P939">
        <v>0</v>
      </c>
      <c r="Q939">
        <v>0</v>
      </c>
      <c r="R939">
        <v>0</v>
      </c>
      <c r="S939" t="s">
        <v>336</v>
      </c>
      <c r="T939" t="s">
        <v>1514</v>
      </c>
      <c r="U939">
        <v>1</v>
      </c>
    </row>
    <row r="940" spans="1:21" x14ac:dyDescent="0.3">
      <c r="A940" t="s">
        <v>1510</v>
      </c>
      <c r="B940" t="s">
        <v>1511</v>
      </c>
      <c r="C940" t="s">
        <v>299</v>
      </c>
      <c r="D940" t="s">
        <v>222</v>
      </c>
      <c r="E940" t="s">
        <v>30</v>
      </c>
      <c r="F940" s="6">
        <v>45657</v>
      </c>
      <c r="G940">
        <v>35</v>
      </c>
      <c r="H940">
        <v>104.19</v>
      </c>
      <c r="I940">
        <v>1.3</v>
      </c>
      <c r="J940">
        <v>2.9768571428571429</v>
      </c>
      <c r="K940" t="s">
        <v>31</v>
      </c>
      <c r="L940" t="s">
        <v>31</v>
      </c>
      <c r="M940">
        <v>2024</v>
      </c>
      <c r="N940" t="s">
        <v>57</v>
      </c>
      <c r="O940" t="s">
        <v>78</v>
      </c>
      <c r="P940">
        <v>0</v>
      </c>
      <c r="Q940">
        <v>0</v>
      </c>
      <c r="R940">
        <v>0</v>
      </c>
      <c r="S940" t="s">
        <v>336</v>
      </c>
      <c r="T940" t="s">
        <v>1515</v>
      </c>
      <c r="U940">
        <v>1</v>
      </c>
    </row>
    <row r="941" spans="1:21" x14ac:dyDescent="0.3">
      <c r="A941" t="s">
        <v>1510</v>
      </c>
      <c r="B941" t="s">
        <v>1511</v>
      </c>
      <c r="C941" t="s">
        <v>299</v>
      </c>
      <c r="D941" t="s">
        <v>222</v>
      </c>
      <c r="E941" t="s">
        <v>30</v>
      </c>
      <c r="F941" s="6">
        <v>45838</v>
      </c>
      <c r="G941">
        <v>35</v>
      </c>
      <c r="H941" t="s">
        <v>95</v>
      </c>
      <c r="I941">
        <v>1.3</v>
      </c>
      <c r="J941">
        <v>2.8571428571428572</v>
      </c>
      <c r="K941" t="s">
        <v>1516</v>
      </c>
      <c r="L941" t="s">
        <v>102</v>
      </c>
      <c r="M941">
        <v>2025</v>
      </c>
      <c r="N941" t="s">
        <v>44</v>
      </c>
      <c r="O941" t="s">
        <v>244</v>
      </c>
      <c r="P941">
        <v>2</v>
      </c>
      <c r="Q941">
        <v>2</v>
      </c>
      <c r="R941">
        <v>0</v>
      </c>
      <c r="S941" t="s">
        <v>336</v>
      </c>
      <c r="T941" t="s">
        <v>1517</v>
      </c>
      <c r="U941">
        <v>30</v>
      </c>
    </row>
    <row r="942" spans="1:21" x14ac:dyDescent="0.3">
      <c r="A942" t="s">
        <v>1518</v>
      </c>
      <c r="B942" t="s">
        <v>1519</v>
      </c>
      <c r="C942" t="s">
        <v>299</v>
      </c>
      <c r="D942" t="s">
        <v>222</v>
      </c>
      <c r="E942" t="s">
        <v>30</v>
      </c>
      <c r="F942" s="6">
        <v>45107</v>
      </c>
      <c r="G942">
        <v>21</v>
      </c>
      <c r="H942">
        <v>21</v>
      </c>
      <c r="I942">
        <v>1</v>
      </c>
      <c r="J942">
        <v>1</v>
      </c>
      <c r="K942" t="s">
        <v>31</v>
      </c>
      <c r="L942" t="s">
        <v>31</v>
      </c>
      <c r="M942">
        <v>2023</v>
      </c>
      <c r="N942" t="s">
        <v>44</v>
      </c>
      <c r="O942" t="s">
        <v>33</v>
      </c>
      <c r="P942">
        <v>0</v>
      </c>
      <c r="Q942">
        <v>0</v>
      </c>
      <c r="R942">
        <v>0</v>
      </c>
      <c r="S942" t="s">
        <v>336</v>
      </c>
      <c r="T942" t="s">
        <v>1520</v>
      </c>
      <c r="U942">
        <v>1</v>
      </c>
    </row>
    <row r="943" spans="1:21" x14ac:dyDescent="0.3">
      <c r="A943" t="s">
        <v>1518</v>
      </c>
      <c r="B943" t="s">
        <v>1519</v>
      </c>
      <c r="C943" t="s">
        <v>299</v>
      </c>
      <c r="D943" t="s">
        <v>222</v>
      </c>
      <c r="E943" t="s">
        <v>30</v>
      </c>
      <c r="F943" s="6">
        <v>45291</v>
      </c>
      <c r="G943">
        <v>21</v>
      </c>
      <c r="I943">
        <v>0</v>
      </c>
      <c r="J943">
        <v>0</v>
      </c>
      <c r="K943" t="s">
        <v>31</v>
      </c>
      <c r="L943" t="s">
        <v>31</v>
      </c>
      <c r="M943">
        <v>2023</v>
      </c>
      <c r="N943" t="s">
        <v>57</v>
      </c>
      <c r="O943" t="s">
        <v>47</v>
      </c>
      <c r="P943">
        <v>0</v>
      </c>
      <c r="Q943">
        <v>0</v>
      </c>
      <c r="R943">
        <v>0</v>
      </c>
      <c r="S943" t="s">
        <v>336</v>
      </c>
      <c r="T943" t="s">
        <v>1521</v>
      </c>
      <c r="U943">
        <v>1</v>
      </c>
    </row>
    <row r="944" spans="1:21" x14ac:dyDescent="0.3">
      <c r="A944" t="s">
        <v>1518</v>
      </c>
      <c r="B944" t="s">
        <v>1519</v>
      </c>
      <c r="C944" t="s">
        <v>299</v>
      </c>
      <c r="D944" t="s">
        <v>222</v>
      </c>
      <c r="E944" t="s">
        <v>30</v>
      </c>
      <c r="F944" s="6">
        <v>45473</v>
      </c>
      <c r="G944">
        <v>90</v>
      </c>
      <c r="H944">
        <v>95.45</v>
      </c>
      <c r="I944">
        <v>1</v>
      </c>
      <c r="J944">
        <v>1</v>
      </c>
      <c r="K944" t="s">
        <v>31</v>
      </c>
      <c r="L944" t="s">
        <v>31</v>
      </c>
      <c r="M944">
        <v>2024</v>
      </c>
      <c r="N944" t="s">
        <v>44</v>
      </c>
      <c r="O944" t="s">
        <v>71</v>
      </c>
      <c r="P944">
        <v>0</v>
      </c>
      <c r="Q944">
        <v>0</v>
      </c>
      <c r="R944">
        <v>0</v>
      </c>
      <c r="S944" t="s">
        <v>336</v>
      </c>
      <c r="T944" t="s">
        <v>1522</v>
      </c>
      <c r="U944">
        <v>1</v>
      </c>
    </row>
    <row r="945" spans="1:21" x14ac:dyDescent="0.3">
      <c r="A945" t="s">
        <v>1518</v>
      </c>
      <c r="B945" t="s">
        <v>1519</v>
      </c>
      <c r="C945" t="s">
        <v>299</v>
      </c>
      <c r="D945" t="s">
        <v>222</v>
      </c>
      <c r="E945" t="s">
        <v>30</v>
      </c>
      <c r="F945" s="6">
        <v>45657</v>
      </c>
      <c r="G945">
        <v>90</v>
      </c>
      <c r="H945">
        <v>100</v>
      </c>
      <c r="I945">
        <v>1.1111111111111109</v>
      </c>
      <c r="J945">
        <v>1.1111111111111109</v>
      </c>
      <c r="K945" t="s">
        <v>31</v>
      </c>
      <c r="L945" t="s">
        <v>31</v>
      </c>
      <c r="M945">
        <v>2024</v>
      </c>
      <c r="N945" t="s">
        <v>57</v>
      </c>
      <c r="O945" t="s">
        <v>78</v>
      </c>
      <c r="P945">
        <v>0</v>
      </c>
      <c r="Q945">
        <v>0</v>
      </c>
      <c r="R945">
        <v>0</v>
      </c>
      <c r="S945" t="s">
        <v>336</v>
      </c>
      <c r="T945" t="s">
        <v>1523</v>
      </c>
      <c r="U945">
        <v>1</v>
      </c>
    </row>
    <row r="946" spans="1:21" x14ac:dyDescent="0.3">
      <c r="A946" t="s">
        <v>1518</v>
      </c>
      <c r="B946" t="s">
        <v>1519</v>
      </c>
      <c r="C946" t="s">
        <v>299</v>
      </c>
      <c r="D946" t="s">
        <v>222</v>
      </c>
      <c r="E946" t="s">
        <v>30</v>
      </c>
      <c r="F946" s="6">
        <v>45838</v>
      </c>
      <c r="G946">
        <v>90</v>
      </c>
      <c r="H946" t="s">
        <v>1524</v>
      </c>
      <c r="I946">
        <v>0.94022222222222229</v>
      </c>
      <c r="J946">
        <v>0.94022222222222229</v>
      </c>
      <c r="K946" t="s">
        <v>256</v>
      </c>
      <c r="L946" t="s">
        <v>1525</v>
      </c>
      <c r="M946">
        <v>2025</v>
      </c>
      <c r="N946" t="s">
        <v>44</v>
      </c>
      <c r="O946" t="s">
        <v>244</v>
      </c>
      <c r="P946">
        <v>2</v>
      </c>
      <c r="Q946">
        <v>2</v>
      </c>
      <c r="R946">
        <v>0</v>
      </c>
      <c r="S946" t="s">
        <v>336</v>
      </c>
      <c r="T946" t="s">
        <v>1526</v>
      </c>
      <c r="U946">
        <v>30</v>
      </c>
    </row>
    <row r="947" spans="1:21" x14ac:dyDescent="0.3">
      <c r="A947" t="s">
        <v>1527</v>
      </c>
      <c r="B947" t="s">
        <v>1528</v>
      </c>
      <c r="C947" t="s">
        <v>299</v>
      </c>
      <c r="D947" t="s">
        <v>233</v>
      </c>
      <c r="E947" t="s">
        <v>30</v>
      </c>
      <c r="F947" s="6">
        <v>45016</v>
      </c>
      <c r="G947">
        <v>20</v>
      </c>
      <c r="H947">
        <v>64.290000000000006</v>
      </c>
      <c r="I947">
        <v>1.3</v>
      </c>
      <c r="J947">
        <v>3.2145000000000001</v>
      </c>
      <c r="K947" t="s">
        <v>31</v>
      </c>
      <c r="L947" t="s">
        <v>31</v>
      </c>
      <c r="M947">
        <v>2023</v>
      </c>
      <c r="N947" t="s">
        <v>38</v>
      </c>
      <c r="O947" t="s">
        <v>33</v>
      </c>
      <c r="P947">
        <v>0</v>
      </c>
      <c r="Q947">
        <v>0</v>
      </c>
      <c r="R947">
        <v>0</v>
      </c>
      <c r="S947" t="s">
        <v>336</v>
      </c>
      <c r="T947" t="s">
        <v>1529</v>
      </c>
      <c r="U947">
        <v>1</v>
      </c>
    </row>
    <row r="948" spans="1:21" x14ac:dyDescent="0.3">
      <c r="A948" t="s">
        <v>1527</v>
      </c>
      <c r="B948" t="s">
        <v>1528</v>
      </c>
      <c r="C948" t="s">
        <v>299</v>
      </c>
      <c r="D948" t="s">
        <v>233</v>
      </c>
      <c r="E948" t="s">
        <v>30</v>
      </c>
      <c r="F948" s="6">
        <v>45107</v>
      </c>
      <c r="G948">
        <v>20</v>
      </c>
      <c r="H948">
        <v>37.700000000000003</v>
      </c>
      <c r="I948">
        <v>1.3</v>
      </c>
      <c r="J948">
        <v>1.885</v>
      </c>
      <c r="K948" t="s">
        <v>31</v>
      </c>
      <c r="L948" t="s">
        <v>31</v>
      </c>
      <c r="M948">
        <v>2023</v>
      </c>
      <c r="N948" t="s">
        <v>44</v>
      </c>
      <c r="O948" t="s">
        <v>33</v>
      </c>
      <c r="P948">
        <v>1</v>
      </c>
      <c r="Q948">
        <v>1</v>
      </c>
      <c r="R948">
        <v>0</v>
      </c>
      <c r="S948" t="s">
        <v>336</v>
      </c>
      <c r="T948" t="s">
        <v>1530</v>
      </c>
      <c r="U948">
        <v>1</v>
      </c>
    </row>
    <row r="949" spans="1:21" x14ac:dyDescent="0.3">
      <c r="A949" t="s">
        <v>1527</v>
      </c>
      <c r="B949" t="s">
        <v>1528</v>
      </c>
      <c r="C949" t="s">
        <v>299</v>
      </c>
      <c r="D949" t="s">
        <v>233</v>
      </c>
      <c r="E949" t="s">
        <v>30</v>
      </c>
      <c r="F949" s="6">
        <v>45199</v>
      </c>
      <c r="G949">
        <v>20</v>
      </c>
      <c r="I949">
        <v>0</v>
      </c>
      <c r="J949">
        <v>0</v>
      </c>
      <c r="K949" t="s">
        <v>31</v>
      </c>
      <c r="L949" t="s">
        <v>31</v>
      </c>
      <c r="M949">
        <v>2023</v>
      </c>
      <c r="N949" t="s">
        <v>51</v>
      </c>
      <c r="O949" t="s">
        <v>47</v>
      </c>
      <c r="P949">
        <v>0</v>
      </c>
      <c r="Q949">
        <v>0</v>
      </c>
      <c r="R949">
        <v>0</v>
      </c>
      <c r="S949" t="s">
        <v>336</v>
      </c>
      <c r="T949" t="s">
        <v>1531</v>
      </c>
      <c r="U949">
        <v>1</v>
      </c>
    </row>
    <row r="950" spans="1:21" x14ac:dyDescent="0.3">
      <c r="A950" t="s">
        <v>1527</v>
      </c>
      <c r="B950" t="s">
        <v>1528</v>
      </c>
      <c r="C950" t="s">
        <v>299</v>
      </c>
      <c r="D950" t="s">
        <v>233</v>
      </c>
      <c r="E950" t="s">
        <v>30</v>
      </c>
      <c r="F950" s="6">
        <v>45291</v>
      </c>
      <c r="G950">
        <v>20</v>
      </c>
      <c r="I950">
        <v>0</v>
      </c>
      <c r="J950">
        <v>0</v>
      </c>
      <c r="K950" t="s">
        <v>31</v>
      </c>
      <c r="L950" t="s">
        <v>31</v>
      </c>
      <c r="M950">
        <v>2023</v>
      </c>
      <c r="N950" t="s">
        <v>57</v>
      </c>
      <c r="O950" t="s">
        <v>47</v>
      </c>
      <c r="P950">
        <v>0</v>
      </c>
      <c r="Q950">
        <v>0</v>
      </c>
      <c r="R950">
        <v>0</v>
      </c>
      <c r="S950" t="s">
        <v>336</v>
      </c>
      <c r="T950" t="s">
        <v>1532</v>
      </c>
      <c r="U950">
        <v>1</v>
      </c>
    </row>
    <row r="951" spans="1:21" x14ac:dyDescent="0.3">
      <c r="A951" t="s">
        <v>1527</v>
      </c>
      <c r="B951" t="s">
        <v>1528</v>
      </c>
      <c r="C951" t="s">
        <v>299</v>
      </c>
      <c r="D951" t="s">
        <v>233</v>
      </c>
      <c r="E951" t="s">
        <v>30</v>
      </c>
      <c r="F951" s="6">
        <v>45382</v>
      </c>
      <c r="G951">
        <v>20</v>
      </c>
      <c r="H951">
        <v>48.35</v>
      </c>
      <c r="I951">
        <v>1.3</v>
      </c>
      <c r="J951">
        <v>2.4175</v>
      </c>
      <c r="M951">
        <v>2024</v>
      </c>
      <c r="N951" t="s">
        <v>38</v>
      </c>
      <c r="O951" t="s">
        <v>71</v>
      </c>
      <c r="P951">
        <v>0</v>
      </c>
      <c r="Q951">
        <v>0</v>
      </c>
      <c r="R951">
        <v>0</v>
      </c>
      <c r="S951" t="s">
        <v>336</v>
      </c>
      <c r="T951" t="s">
        <v>1533</v>
      </c>
      <c r="U951">
        <v>1</v>
      </c>
    </row>
    <row r="952" spans="1:21" x14ac:dyDescent="0.3">
      <c r="A952" t="s">
        <v>1527</v>
      </c>
      <c r="B952" t="s">
        <v>1528</v>
      </c>
      <c r="C952" t="s">
        <v>299</v>
      </c>
      <c r="D952" t="s">
        <v>233</v>
      </c>
      <c r="E952" t="s">
        <v>30</v>
      </c>
      <c r="F952" s="6">
        <v>45473</v>
      </c>
      <c r="G952">
        <v>20</v>
      </c>
      <c r="H952">
        <v>51.44</v>
      </c>
      <c r="I952">
        <v>1</v>
      </c>
      <c r="J952">
        <v>1</v>
      </c>
      <c r="M952">
        <v>2024</v>
      </c>
      <c r="N952" t="s">
        <v>44</v>
      </c>
      <c r="O952" t="s">
        <v>71</v>
      </c>
      <c r="P952">
        <v>0</v>
      </c>
      <c r="Q952">
        <v>0</v>
      </c>
      <c r="R952">
        <v>0</v>
      </c>
      <c r="S952" t="s">
        <v>336</v>
      </c>
      <c r="T952" t="s">
        <v>1534</v>
      </c>
      <c r="U952">
        <v>1</v>
      </c>
    </row>
    <row r="953" spans="1:21" x14ac:dyDescent="0.3">
      <c r="A953" t="s">
        <v>1527</v>
      </c>
      <c r="B953" t="s">
        <v>1528</v>
      </c>
      <c r="C953" t="s">
        <v>299</v>
      </c>
      <c r="D953" t="s">
        <v>233</v>
      </c>
      <c r="E953" t="s">
        <v>30</v>
      </c>
      <c r="F953" s="6">
        <v>45565</v>
      </c>
      <c r="G953">
        <v>20</v>
      </c>
      <c r="I953">
        <v>0</v>
      </c>
      <c r="J953">
        <v>0</v>
      </c>
      <c r="M953">
        <v>2024</v>
      </c>
      <c r="N953" t="s">
        <v>51</v>
      </c>
      <c r="O953" t="s">
        <v>78</v>
      </c>
      <c r="P953">
        <v>0</v>
      </c>
      <c r="Q953">
        <v>0</v>
      </c>
      <c r="R953">
        <v>0</v>
      </c>
      <c r="S953" t="s">
        <v>336</v>
      </c>
      <c r="T953" t="s">
        <v>1535</v>
      </c>
      <c r="U953">
        <v>1</v>
      </c>
    </row>
    <row r="954" spans="1:21" x14ac:dyDescent="0.3">
      <c r="A954" t="s">
        <v>1527</v>
      </c>
      <c r="B954" t="s">
        <v>1528</v>
      </c>
      <c r="C954" t="s">
        <v>299</v>
      </c>
      <c r="D954" t="s">
        <v>233</v>
      </c>
      <c r="E954" t="s">
        <v>30</v>
      </c>
      <c r="F954" s="6">
        <v>45657</v>
      </c>
      <c r="G954">
        <v>20</v>
      </c>
      <c r="H954">
        <v>31.82</v>
      </c>
      <c r="I954">
        <v>1.3</v>
      </c>
      <c r="J954">
        <v>1.591</v>
      </c>
      <c r="M954">
        <v>2024</v>
      </c>
      <c r="N954" t="s">
        <v>57</v>
      </c>
      <c r="O954" t="s">
        <v>78</v>
      </c>
      <c r="P954">
        <v>0</v>
      </c>
      <c r="Q954">
        <v>0</v>
      </c>
      <c r="R954">
        <v>0</v>
      </c>
      <c r="S954" t="s">
        <v>336</v>
      </c>
      <c r="T954" t="s">
        <v>1536</v>
      </c>
      <c r="U954">
        <v>1</v>
      </c>
    </row>
    <row r="955" spans="1:21" x14ac:dyDescent="0.3">
      <c r="A955" t="s">
        <v>1527</v>
      </c>
      <c r="B955" t="s">
        <v>1528</v>
      </c>
      <c r="C955" t="s">
        <v>299</v>
      </c>
      <c r="D955" t="s">
        <v>233</v>
      </c>
      <c r="E955" t="s">
        <v>30</v>
      </c>
      <c r="F955" s="6">
        <v>45747</v>
      </c>
      <c r="G955">
        <v>20</v>
      </c>
      <c r="H955" t="s">
        <v>1537</v>
      </c>
      <c r="I955">
        <v>1.3</v>
      </c>
      <c r="J955">
        <v>1.643</v>
      </c>
      <c r="K955" t="s">
        <v>1298</v>
      </c>
      <c r="L955" t="s">
        <v>1538</v>
      </c>
      <c r="M955">
        <v>2025</v>
      </c>
      <c r="N955" t="s">
        <v>38</v>
      </c>
      <c r="O955" t="s">
        <v>244</v>
      </c>
      <c r="P955">
        <v>2</v>
      </c>
      <c r="Q955">
        <v>2</v>
      </c>
      <c r="R955">
        <v>0</v>
      </c>
      <c r="S955" t="s">
        <v>336</v>
      </c>
      <c r="T955" t="s">
        <v>1539</v>
      </c>
      <c r="U955">
        <v>31</v>
      </c>
    </row>
    <row r="956" spans="1:21" x14ac:dyDescent="0.3">
      <c r="A956" t="s">
        <v>1527</v>
      </c>
      <c r="B956" t="s">
        <v>1528</v>
      </c>
      <c r="C956" t="s">
        <v>299</v>
      </c>
      <c r="D956" t="s">
        <v>233</v>
      </c>
      <c r="E956" t="s">
        <v>30</v>
      </c>
      <c r="F956" s="6">
        <v>45838</v>
      </c>
      <c r="G956">
        <v>20</v>
      </c>
      <c r="H956" t="s">
        <v>1540</v>
      </c>
      <c r="I956">
        <v>0.58850000000000002</v>
      </c>
      <c r="J956">
        <v>0.58850000000000002</v>
      </c>
      <c r="K956" t="s">
        <v>1298</v>
      </c>
      <c r="L956" t="s">
        <v>1541</v>
      </c>
      <c r="M956">
        <v>2025</v>
      </c>
      <c r="N956" t="s">
        <v>44</v>
      </c>
      <c r="O956" t="s">
        <v>244</v>
      </c>
      <c r="P956">
        <v>2</v>
      </c>
      <c r="Q956">
        <v>2</v>
      </c>
      <c r="R956">
        <v>0</v>
      </c>
      <c r="S956" t="s">
        <v>336</v>
      </c>
      <c r="T956" t="s">
        <v>1542</v>
      </c>
      <c r="U956">
        <v>30</v>
      </c>
    </row>
    <row r="957" spans="1:21" x14ac:dyDescent="0.3">
      <c r="A957" t="s">
        <v>1543</v>
      </c>
      <c r="B957" t="s">
        <v>1544</v>
      </c>
      <c r="C957" t="s">
        <v>299</v>
      </c>
      <c r="D957" t="s">
        <v>233</v>
      </c>
      <c r="E957" t="s">
        <v>30</v>
      </c>
      <c r="F957" s="6">
        <v>45016</v>
      </c>
      <c r="G957">
        <v>4000</v>
      </c>
      <c r="H957">
        <v>3692.25</v>
      </c>
      <c r="I957">
        <v>0.92306250000000001</v>
      </c>
      <c r="J957">
        <v>0.92306250000000001</v>
      </c>
      <c r="M957">
        <v>2023</v>
      </c>
      <c r="N957" t="s">
        <v>38</v>
      </c>
      <c r="O957" t="s">
        <v>33</v>
      </c>
      <c r="P957">
        <v>0</v>
      </c>
      <c r="Q957">
        <v>0</v>
      </c>
      <c r="R957">
        <v>0</v>
      </c>
      <c r="S957" t="s">
        <v>336</v>
      </c>
      <c r="T957" t="s">
        <v>1545</v>
      </c>
      <c r="U957">
        <v>1</v>
      </c>
    </row>
    <row r="958" spans="1:21" x14ac:dyDescent="0.3">
      <c r="A958" t="s">
        <v>1543</v>
      </c>
      <c r="B958" t="s">
        <v>1544</v>
      </c>
      <c r="C958" t="s">
        <v>299</v>
      </c>
      <c r="D958" t="s">
        <v>233</v>
      </c>
      <c r="E958" t="s">
        <v>30</v>
      </c>
      <c r="F958" s="6">
        <v>45107</v>
      </c>
      <c r="G958">
        <v>4000</v>
      </c>
      <c r="H958">
        <v>14714.5</v>
      </c>
      <c r="I958">
        <v>1.3</v>
      </c>
      <c r="J958">
        <v>3.6786249999999998</v>
      </c>
      <c r="M958">
        <v>2023</v>
      </c>
      <c r="N958" t="s">
        <v>44</v>
      </c>
      <c r="O958" t="s">
        <v>33</v>
      </c>
      <c r="P958">
        <v>0</v>
      </c>
      <c r="Q958">
        <v>0</v>
      </c>
      <c r="R958">
        <v>0</v>
      </c>
      <c r="S958" t="s">
        <v>336</v>
      </c>
      <c r="T958" t="s">
        <v>1546</v>
      </c>
      <c r="U958">
        <v>1</v>
      </c>
    </row>
    <row r="959" spans="1:21" x14ac:dyDescent="0.3">
      <c r="A959" t="s">
        <v>1543</v>
      </c>
      <c r="B959" t="s">
        <v>1544</v>
      </c>
      <c r="C959" t="s">
        <v>299</v>
      </c>
      <c r="D959" t="s">
        <v>233</v>
      </c>
      <c r="E959" t="s">
        <v>30</v>
      </c>
      <c r="F959" s="6">
        <v>45199</v>
      </c>
      <c r="G959">
        <v>4000</v>
      </c>
      <c r="I959">
        <v>0</v>
      </c>
      <c r="M959">
        <v>2023</v>
      </c>
      <c r="N959" t="s">
        <v>51</v>
      </c>
      <c r="O959" t="s">
        <v>47</v>
      </c>
      <c r="P959">
        <v>0</v>
      </c>
      <c r="Q959">
        <v>0</v>
      </c>
      <c r="R959">
        <v>0</v>
      </c>
      <c r="S959" t="s">
        <v>336</v>
      </c>
      <c r="T959" t="s">
        <v>1547</v>
      </c>
      <c r="U959">
        <v>1</v>
      </c>
    </row>
    <row r="960" spans="1:21" x14ac:dyDescent="0.3">
      <c r="A960" t="s">
        <v>1543</v>
      </c>
      <c r="B960" t="s">
        <v>1544</v>
      </c>
      <c r="C960" t="s">
        <v>299</v>
      </c>
      <c r="D960" t="s">
        <v>233</v>
      </c>
      <c r="E960" t="s">
        <v>30</v>
      </c>
      <c r="F960" s="6">
        <v>45291</v>
      </c>
      <c r="G960">
        <v>4000</v>
      </c>
      <c r="I960">
        <v>0</v>
      </c>
      <c r="J960">
        <v>0</v>
      </c>
      <c r="M960">
        <v>2023</v>
      </c>
      <c r="N960" t="s">
        <v>57</v>
      </c>
      <c r="O960" t="s">
        <v>47</v>
      </c>
      <c r="P960">
        <v>0</v>
      </c>
      <c r="Q960">
        <v>0</v>
      </c>
      <c r="R960">
        <v>0</v>
      </c>
      <c r="S960" t="s">
        <v>336</v>
      </c>
      <c r="T960" t="s">
        <v>1548</v>
      </c>
      <c r="U960">
        <v>1</v>
      </c>
    </row>
    <row r="961" spans="1:21" x14ac:dyDescent="0.3">
      <c r="A961" t="s">
        <v>1543</v>
      </c>
      <c r="B961" t="s">
        <v>1544</v>
      </c>
      <c r="C961" t="s">
        <v>299</v>
      </c>
      <c r="D961" t="s">
        <v>233</v>
      </c>
      <c r="E961" t="s">
        <v>30</v>
      </c>
      <c r="F961" s="6">
        <v>45382</v>
      </c>
      <c r="G961">
        <v>4000</v>
      </c>
      <c r="H961">
        <v>2399.5</v>
      </c>
      <c r="I961">
        <v>0.59987500000000005</v>
      </c>
      <c r="J961">
        <v>0.59987500000000005</v>
      </c>
      <c r="M961">
        <v>2024</v>
      </c>
      <c r="N961" t="s">
        <v>38</v>
      </c>
      <c r="O961" t="s">
        <v>71</v>
      </c>
      <c r="P961">
        <v>0</v>
      </c>
      <c r="Q961">
        <v>0</v>
      </c>
      <c r="R961">
        <v>0</v>
      </c>
      <c r="S961" t="s">
        <v>336</v>
      </c>
      <c r="T961" t="s">
        <v>1549</v>
      </c>
      <c r="U961">
        <v>1</v>
      </c>
    </row>
    <row r="962" spans="1:21" x14ac:dyDescent="0.3">
      <c r="A962" t="s">
        <v>1543</v>
      </c>
      <c r="B962" t="s">
        <v>1544</v>
      </c>
      <c r="C962" t="s">
        <v>299</v>
      </c>
      <c r="D962" t="s">
        <v>233</v>
      </c>
      <c r="E962" t="s">
        <v>30</v>
      </c>
      <c r="F962" s="6">
        <v>45473</v>
      </c>
      <c r="G962">
        <v>4000</v>
      </c>
      <c r="H962">
        <v>2068</v>
      </c>
      <c r="I962">
        <v>0.51700000000000002</v>
      </c>
      <c r="J962">
        <v>0.51700000000000002</v>
      </c>
      <c r="M962">
        <v>2024</v>
      </c>
      <c r="N962" t="s">
        <v>44</v>
      </c>
      <c r="O962" t="s">
        <v>71</v>
      </c>
      <c r="P962">
        <v>0</v>
      </c>
      <c r="Q962">
        <v>0</v>
      </c>
      <c r="R962">
        <v>0</v>
      </c>
      <c r="S962" t="s">
        <v>336</v>
      </c>
      <c r="T962" t="s">
        <v>1550</v>
      </c>
      <c r="U962">
        <v>1</v>
      </c>
    </row>
    <row r="963" spans="1:21" x14ac:dyDescent="0.3">
      <c r="A963" t="s">
        <v>1543</v>
      </c>
      <c r="B963" t="s">
        <v>1544</v>
      </c>
      <c r="C963" t="s">
        <v>299</v>
      </c>
      <c r="D963" t="s">
        <v>233</v>
      </c>
      <c r="E963" t="s">
        <v>30</v>
      </c>
      <c r="F963" s="6">
        <v>45565</v>
      </c>
      <c r="G963">
        <v>4000</v>
      </c>
      <c r="I963">
        <v>0</v>
      </c>
      <c r="J963">
        <v>0</v>
      </c>
      <c r="M963">
        <v>2024</v>
      </c>
      <c r="N963" t="s">
        <v>51</v>
      </c>
      <c r="O963" t="s">
        <v>78</v>
      </c>
      <c r="P963">
        <v>0</v>
      </c>
      <c r="Q963">
        <v>0</v>
      </c>
      <c r="R963">
        <v>0</v>
      </c>
      <c r="S963" t="s">
        <v>336</v>
      </c>
      <c r="T963" t="s">
        <v>1551</v>
      </c>
      <c r="U963">
        <v>1</v>
      </c>
    </row>
    <row r="964" spans="1:21" x14ac:dyDescent="0.3">
      <c r="A964" t="s">
        <v>1543</v>
      </c>
      <c r="B964" t="s">
        <v>1544</v>
      </c>
      <c r="C964" t="s">
        <v>299</v>
      </c>
      <c r="D964" t="s">
        <v>233</v>
      </c>
      <c r="E964" t="s">
        <v>30</v>
      </c>
      <c r="F964" s="6">
        <v>45657</v>
      </c>
      <c r="G964">
        <v>4000</v>
      </c>
      <c r="H964">
        <v>4218</v>
      </c>
      <c r="I964">
        <v>1.0545</v>
      </c>
      <c r="J964">
        <v>1.0545</v>
      </c>
      <c r="M964">
        <v>2024</v>
      </c>
      <c r="N964" t="s">
        <v>57</v>
      </c>
      <c r="O964" t="s">
        <v>78</v>
      </c>
      <c r="P964">
        <v>0</v>
      </c>
      <c r="Q964">
        <v>0</v>
      </c>
      <c r="R964">
        <v>0</v>
      </c>
      <c r="S964" t="s">
        <v>336</v>
      </c>
      <c r="T964" t="s">
        <v>1552</v>
      </c>
      <c r="U964">
        <v>1</v>
      </c>
    </row>
    <row r="965" spans="1:21" x14ac:dyDescent="0.3">
      <c r="A965" t="s">
        <v>1543</v>
      </c>
      <c r="B965" t="s">
        <v>1544</v>
      </c>
      <c r="C965" t="s">
        <v>299</v>
      </c>
      <c r="D965" t="s">
        <v>233</v>
      </c>
      <c r="E965" t="s">
        <v>30</v>
      </c>
      <c r="F965" s="6">
        <v>45747</v>
      </c>
      <c r="G965">
        <v>4000</v>
      </c>
      <c r="H965" t="s">
        <v>1553</v>
      </c>
      <c r="I965">
        <v>1.3</v>
      </c>
      <c r="J965">
        <v>1.778</v>
      </c>
      <c r="K965" t="s">
        <v>1554</v>
      </c>
      <c r="L965" t="s">
        <v>1555</v>
      </c>
      <c r="M965">
        <v>2025</v>
      </c>
      <c r="N965" t="s">
        <v>38</v>
      </c>
      <c r="O965" t="s">
        <v>244</v>
      </c>
      <c r="P965">
        <v>2</v>
      </c>
      <c r="Q965">
        <v>2</v>
      </c>
      <c r="R965">
        <v>0</v>
      </c>
      <c r="S965" t="s">
        <v>336</v>
      </c>
      <c r="T965" t="s">
        <v>1556</v>
      </c>
      <c r="U965">
        <v>31</v>
      </c>
    </row>
    <row r="966" spans="1:21" x14ac:dyDescent="0.3">
      <c r="A966" t="s">
        <v>1543</v>
      </c>
      <c r="B966" t="s">
        <v>1544</v>
      </c>
      <c r="C966" t="s">
        <v>299</v>
      </c>
      <c r="D966" t="s">
        <v>233</v>
      </c>
      <c r="E966" t="s">
        <v>30</v>
      </c>
      <c r="F966" s="6">
        <v>45838</v>
      </c>
      <c r="G966">
        <v>4000</v>
      </c>
      <c r="H966" t="s">
        <v>1557</v>
      </c>
      <c r="I966">
        <v>1.3</v>
      </c>
      <c r="J966">
        <v>3.5106250000000001</v>
      </c>
      <c r="K966" t="s">
        <v>1554</v>
      </c>
      <c r="L966" t="s">
        <v>1558</v>
      </c>
      <c r="M966">
        <v>2025</v>
      </c>
      <c r="N966" t="s">
        <v>44</v>
      </c>
      <c r="O966" t="s">
        <v>244</v>
      </c>
      <c r="P966">
        <v>2</v>
      </c>
      <c r="Q966">
        <v>2</v>
      </c>
      <c r="R966">
        <v>0</v>
      </c>
      <c r="S966" t="s">
        <v>336</v>
      </c>
      <c r="T966" t="s">
        <v>1559</v>
      </c>
      <c r="U966">
        <v>30</v>
      </c>
    </row>
    <row r="967" spans="1:21" x14ac:dyDescent="0.3">
      <c r="A967" t="s">
        <v>1560</v>
      </c>
      <c r="B967" t="s">
        <v>1561</v>
      </c>
      <c r="C967" t="s">
        <v>299</v>
      </c>
      <c r="D967" t="s">
        <v>98</v>
      </c>
      <c r="E967" t="s">
        <v>30</v>
      </c>
      <c r="F967" s="6">
        <v>45291</v>
      </c>
      <c r="M967">
        <v>2023</v>
      </c>
      <c r="N967" t="s">
        <v>57</v>
      </c>
      <c r="O967" t="s">
        <v>47</v>
      </c>
      <c r="P967">
        <v>0</v>
      </c>
      <c r="Q967">
        <v>0</v>
      </c>
      <c r="R967">
        <v>0</v>
      </c>
      <c r="S967" t="s">
        <v>336</v>
      </c>
      <c r="T967" t="s">
        <v>1562</v>
      </c>
      <c r="U967">
        <v>1</v>
      </c>
    </row>
    <row r="968" spans="1:21" x14ac:dyDescent="0.3">
      <c r="A968" t="s">
        <v>1560</v>
      </c>
      <c r="B968" t="s">
        <v>1561</v>
      </c>
      <c r="C968" t="s">
        <v>299</v>
      </c>
      <c r="D968" t="s">
        <v>98</v>
      </c>
      <c r="E968" t="s">
        <v>30</v>
      </c>
      <c r="F968" s="6">
        <v>45657</v>
      </c>
      <c r="G968">
        <v>100</v>
      </c>
      <c r="H968">
        <v>92.01</v>
      </c>
      <c r="I968">
        <v>0.92010000000000003</v>
      </c>
      <c r="J968">
        <v>0.92010000000000003</v>
      </c>
      <c r="M968">
        <v>2024</v>
      </c>
      <c r="N968" t="s">
        <v>57</v>
      </c>
      <c r="O968" t="s">
        <v>78</v>
      </c>
      <c r="P968">
        <v>0</v>
      </c>
      <c r="Q968">
        <v>0</v>
      </c>
      <c r="R968">
        <v>0</v>
      </c>
      <c r="S968" t="s">
        <v>336</v>
      </c>
      <c r="T968" t="s">
        <v>1563</v>
      </c>
      <c r="U968">
        <v>1</v>
      </c>
    </row>
    <row r="969" spans="1:21" x14ac:dyDescent="0.3">
      <c r="A969" t="s">
        <v>1564</v>
      </c>
      <c r="B969" t="s">
        <v>1565</v>
      </c>
      <c r="C969" t="s">
        <v>299</v>
      </c>
      <c r="D969" t="s">
        <v>98</v>
      </c>
      <c r="E969" t="s">
        <v>108</v>
      </c>
      <c r="F969" s="6">
        <v>45291</v>
      </c>
      <c r="M969">
        <v>2023</v>
      </c>
      <c r="N969" t="s">
        <v>57</v>
      </c>
      <c r="O969" t="s">
        <v>47</v>
      </c>
      <c r="P969">
        <v>0</v>
      </c>
      <c r="Q969">
        <v>0</v>
      </c>
      <c r="R969">
        <v>0</v>
      </c>
      <c r="S969" t="s">
        <v>336</v>
      </c>
      <c r="T969" t="s">
        <v>1566</v>
      </c>
      <c r="U969">
        <v>1</v>
      </c>
    </row>
    <row r="970" spans="1:21" x14ac:dyDescent="0.3">
      <c r="A970" t="s">
        <v>1564</v>
      </c>
      <c r="B970" t="s">
        <v>1565</v>
      </c>
      <c r="C970" t="s">
        <v>299</v>
      </c>
      <c r="D970" t="s">
        <v>98</v>
      </c>
      <c r="E970" t="s">
        <v>108</v>
      </c>
      <c r="F970" s="6">
        <v>45657</v>
      </c>
      <c r="G970">
        <v>0</v>
      </c>
      <c r="H970">
        <v>0</v>
      </c>
      <c r="M970">
        <v>2024</v>
      </c>
      <c r="N970" t="s">
        <v>57</v>
      </c>
      <c r="O970" t="s">
        <v>78</v>
      </c>
      <c r="P970">
        <v>0</v>
      </c>
      <c r="Q970">
        <v>0</v>
      </c>
      <c r="R970">
        <v>0</v>
      </c>
      <c r="S970" t="s">
        <v>336</v>
      </c>
      <c r="T970" t="s">
        <v>1567</v>
      </c>
      <c r="U970">
        <v>1</v>
      </c>
    </row>
    <row r="971" spans="1:21" x14ac:dyDescent="0.3">
      <c r="A971" t="s">
        <v>1568</v>
      </c>
      <c r="B971" t="s">
        <v>1569</v>
      </c>
      <c r="C971" t="s">
        <v>299</v>
      </c>
      <c r="D971" t="s">
        <v>233</v>
      </c>
      <c r="E971" t="s">
        <v>30</v>
      </c>
      <c r="F971" s="6">
        <v>45016</v>
      </c>
      <c r="G971">
        <v>90</v>
      </c>
      <c r="H971">
        <v>94.44</v>
      </c>
      <c r="I971">
        <v>1.049333333333333</v>
      </c>
      <c r="J971">
        <v>1.049333333333333</v>
      </c>
      <c r="M971">
        <v>2023</v>
      </c>
      <c r="N971" t="s">
        <v>38</v>
      </c>
      <c r="O971" t="s">
        <v>33</v>
      </c>
      <c r="P971">
        <v>0</v>
      </c>
      <c r="Q971">
        <v>0</v>
      </c>
      <c r="R971">
        <v>0</v>
      </c>
      <c r="S971" t="s">
        <v>336</v>
      </c>
      <c r="T971" t="s">
        <v>1570</v>
      </c>
      <c r="U971">
        <v>1</v>
      </c>
    </row>
    <row r="972" spans="1:21" x14ac:dyDescent="0.3">
      <c r="A972" t="s">
        <v>1568</v>
      </c>
      <c r="B972" t="s">
        <v>1569</v>
      </c>
      <c r="C972" t="s">
        <v>299</v>
      </c>
      <c r="D972" t="s">
        <v>233</v>
      </c>
      <c r="E972" t="s">
        <v>30</v>
      </c>
      <c r="F972" s="6">
        <v>45107</v>
      </c>
      <c r="G972">
        <v>90</v>
      </c>
      <c r="H972">
        <v>92.59</v>
      </c>
      <c r="I972">
        <v>1.028777777777778</v>
      </c>
      <c r="J972">
        <v>1.028777777777778</v>
      </c>
      <c r="M972">
        <v>2023</v>
      </c>
      <c r="N972" t="s">
        <v>44</v>
      </c>
      <c r="O972" t="s">
        <v>33</v>
      </c>
      <c r="P972">
        <v>0</v>
      </c>
      <c r="Q972">
        <v>0</v>
      </c>
      <c r="R972">
        <v>0</v>
      </c>
      <c r="S972" t="s">
        <v>336</v>
      </c>
      <c r="T972" t="s">
        <v>1571</v>
      </c>
      <c r="U972">
        <v>1</v>
      </c>
    </row>
    <row r="973" spans="1:21" x14ac:dyDescent="0.3">
      <c r="A973" t="s">
        <v>1568</v>
      </c>
      <c r="B973" t="s">
        <v>1569</v>
      </c>
      <c r="C973" t="s">
        <v>299</v>
      </c>
      <c r="D973" t="s">
        <v>233</v>
      </c>
      <c r="E973" t="s">
        <v>30</v>
      </c>
      <c r="F973" s="6">
        <v>45199</v>
      </c>
      <c r="G973">
        <v>90</v>
      </c>
      <c r="H973">
        <v>44.4444444444444</v>
      </c>
      <c r="I973">
        <v>0.49382716049382669</v>
      </c>
      <c r="J973">
        <v>0.49382716049382669</v>
      </c>
      <c r="M973">
        <v>2023</v>
      </c>
      <c r="N973" t="s">
        <v>51</v>
      </c>
      <c r="O973" t="s">
        <v>47</v>
      </c>
      <c r="P973">
        <v>0</v>
      </c>
      <c r="Q973">
        <v>0</v>
      </c>
      <c r="R973">
        <v>0</v>
      </c>
      <c r="S973" t="s">
        <v>336</v>
      </c>
      <c r="T973" t="s">
        <v>1572</v>
      </c>
      <c r="U973">
        <v>1</v>
      </c>
    </row>
    <row r="974" spans="1:21" x14ac:dyDescent="0.3">
      <c r="A974" t="s">
        <v>1568</v>
      </c>
      <c r="B974" t="s">
        <v>1569</v>
      </c>
      <c r="C974" t="s">
        <v>299</v>
      </c>
      <c r="D974" t="s">
        <v>233</v>
      </c>
      <c r="E974" t="s">
        <v>30</v>
      </c>
      <c r="F974" s="6">
        <v>45291</v>
      </c>
      <c r="G974">
        <v>90</v>
      </c>
      <c r="I974">
        <v>0</v>
      </c>
      <c r="J974">
        <v>0</v>
      </c>
      <c r="M974">
        <v>2023</v>
      </c>
      <c r="N974" t="s">
        <v>57</v>
      </c>
      <c r="O974" t="s">
        <v>47</v>
      </c>
      <c r="P974">
        <v>0</v>
      </c>
      <c r="Q974">
        <v>0</v>
      </c>
      <c r="R974">
        <v>0</v>
      </c>
      <c r="S974" t="s">
        <v>336</v>
      </c>
      <c r="T974" t="s">
        <v>1573</v>
      </c>
      <c r="U974">
        <v>1</v>
      </c>
    </row>
    <row r="975" spans="1:21" x14ac:dyDescent="0.3">
      <c r="A975" t="s">
        <v>1568</v>
      </c>
      <c r="B975" t="s">
        <v>1569</v>
      </c>
      <c r="C975" t="s">
        <v>299</v>
      </c>
      <c r="D975" t="s">
        <v>233</v>
      </c>
      <c r="E975" t="s">
        <v>30</v>
      </c>
      <c r="F975" s="6">
        <v>45382</v>
      </c>
      <c r="G975">
        <v>90</v>
      </c>
      <c r="H975">
        <v>76.19</v>
      </c>
      <c r="I975">
        <v>0.84655555555555551</v>
      </c>
      <c r="J975">
        <v>0.84655555555555551</v>
      </c>
      <c r="K975" t="s">
        <v>1574</v>
      </c>
      <c r="L975" t="s">
        <v>1574</v>
      </c>
      <c r="M975">
        <v>2024</v>
      </c>
      <c r="N975" t="s">
        <v>38</v>
      </c>
      <c r="O975" t="s">
        <v>71</v>
      </c>
      <c r="P975">
        <v>0</v>
      </c>
      <c r="Q975">
        <v>0</v>
      </c>
      <c r="R975">
        <v>0</v>
      </c>
      <c r="S975" t="s">
        <v>336</v>
      </c>
      <c r="T975" t="s">
        <v>1575</v>
      </c>
      <c r="U975">
        <v>1</v>
      </c>
    </row>
    <row r="976" spans="1:21" x14ac:dyDescent="0.3">
      <c r="A976" t="s">
        <v>1568</v>
      </c>
      <c r="B976" t="s">
        <v>1569</v>
      </c>
      <c r="C976" t="s">
        <v>299</v>
      </c>
      <c r="D976" t="s">
        <v>233</v>
      </c>
      <c r="E976" t="s">
        <v>30</v>
      </c>
      <c r="F976" s="6">
        <v>45473</v>
      </c>
      <c r="K976" t="s">
        <v>1574</v>
      </c>
      <c r="L976" t="s">
        <v>1574</v>
      </c>
      <c r="M976">
        <v>2024</v>
      </c>
      <c r="N976" t="s">
        <v>44</v>
      </c>
      <c r="O976" t="s">
        <v>71</v>
      </c>
      <c r="P976">
        <v>0</v>
      </c>
      <c r="Q976">
        <v>0</v>
      </c>
      <c r="R976">
        <v>0</v>
      </c>
      <c r="S976" t="s">
        <v>336</v>
      </c>
      <c r="T976" t="s">
        <v>1576</v>
      </c>
      <c r="U976">
        <v>1</v>
      </c>
    </row>
    <row r="977" spans="1:21" x14ac:dyDescent="0.3">
      <c r="A977" t="s">
        <v>1568</v>
      </c>
      <c r="B977" t="s">
        <v>1569</v>
      </c>
      <c r="C977" t="s">
        <v>299</v>
      </c>
      <c r="D977" t="s">
        <v>233</v>
      </c>
      <c r="E977" t="s">
        <v>30</v>
      </c>
      <c r="F977" s="6">
        <v>45565</v>
      </c>
      <c r="G977">
        <v>90</v>
      </c>
      <c r="H977">
        <v>84.21</v>
      </c>
      <c r="I977">
        <v>0.93566666666666665</v>
      </c>
      <c r="J977">
        <v>0.93566666666666665</v>
      </c>
      <c r="K977" t="s">
        <v>1574</v>
      </c>
      <c r="L977" t="s">
        <v>1574</v>
      </c>
      <c r="M977">
        <v>2024</v>
      </c>
      <c r="N977" t="s">
        <v>51</v>
      </c>
      <c r="O977" t="s">
        <v>78</v>
      </c>
      <c r="P977">
        <v>0</v>
      </c>
      <c r="Q977">
        <v>0</v>
      </c>
      <c r="R977">
        <v>0</v>
      </c>
      <c r="S977" t="s">
        <v>336</v>
      </c>
      <c r="T977" t="s">
        <v>1577</v>
      </c>
      <c r="U977">
        <v>1</v>
      </c>
    </row>
    <row r="978" spans="1:21" x14ac:dyDescent="0.3">
      <c r="A978" t="s">
        <v>1568</v>
      </c>
      <c r="B978" t="s">
        <v>1569</v>
      </c>
      <c r="C978" t="s">
        <v>299</v>
      </c>
      <c r="D978" t="s">
        <v>233</v>
      </c>
      <c r="E978" t="s">
        <v>30</v>
      </c>
      <c r="F978" s="6">
        <v>45657</v>
      </c>
      <c r="G978">
        <v>90</v>
      </c>
      <c r="H978">
        <v>80</v>
      </c>
      <c r="I978">
        <v>0.88888888888888884</v>
      </c>
      <c r="J978">
        <v>0.88888888888888884</v>
      </c>
      <c r="K978" t="s">
        <v>1574</v>
      </c>
      <c r="L978" t="s">
        <v>1574</v>
      </c>
      <c r="M978">
        <v>2024</v>
      </c>
      <c r="N978" t="s">
        <v>57</v>
      </c>
      <c r="O978" t="s">
        <v>78</v>
      </c>
      <c r="P978">
        <v>0</v>
      </c>
      <c r="Q978">
        <v>0</v>
      </c>
      <c r="R978">
        <v>0</v>
      </c>
      <c r="S978" t="s">
        <v>336</v>
      </c>
      <c r="T978" t="s">
        <v>1578</v>
      </c>
      <c r="U978">
        <v>1</v>
      </c>
    </row>
    <row r="979" spans="1:21" x14ac:dyDescent="0.3">
      <c r="A979" t="s">
        <v>1568</v>
      </c>
      <c r="B979" t="s">
        <v>1569</v>
      </c>
      <c r="C979" t="s">
        <v>299</v>
      </c>
      <c r="D979" t="s">
        <v>233</v>
      </c>
      <c r="E979" t="s">
        <v>30</v>
      </c>
      <c r="F979" s="6">
        <v>45747</v>
      </c>
      <c r="G979">
        <v>90</v>
      </c>
      <c r="H979" t="s">
        <v>1579</v>
      </c>
      <c r="I979">
        <v>1.056888888888889</v>
      </c>
      <c r="J979">
        <v>1.056888888888889</v>
      </c>
      <c r="K979" t="s">
        <v>256</v>
      </c>
      <c r="L979" t="s">
        <v>1580</v>
      </c>
      <c r="M979">
        <v>2025</v>
      </c>
      <c r="N979" t="s">
        <v>38</v>
      </c>
      <c r="O979" t="s">
        <v>244</v>
      </c>
      <c r="P979">
        <v>2</v>
      </c>
      <c r="Q979">
        <v>2</v>
      </c>
      <c r="R979">
        <v>0</v>
      </c>
      <c r="S979" t="s">
        <v>336</v>
      </c>
      <c r="T979" t="s">
        <v>1581</v>
      </c>
      <c r="U979">
        <v>31</v>
      </c>
    </row>
    <row r="980" spans="1:21" x14ac:dyDescent="0.3">
      <c r="A980" t="s">
        <v>1568</v>
      </c>
      <c r="B980" t="s">
        <v>1569</v>
      </c>
      <c r="C980" t="s">
        <v>299</v>
      </c>
      <c r="D980" t="s">
        <v>233</v>
      </c>
      <c r="E980" t="s">
        <v>30</v>
      </c>
      <c r="F980" s="6">
        <v>45838</v>
      </c>
      <c r="G980">
        <v>90</v>
      </c>
      <c r="H980" t="s">
        <v>1582</v>
      </c>
      <c r="I980">
        <v>1.005333333333333</v>
      </c>
      <c r="J980">
        <v>1.005333333333333</v>
      </c>
      <c r="K980" t="s">
        <v>256</v>
      </c>
      <c r="L980" t="s">
        <v>1583</v>
      </c>
      <c r="M980">
        <v>2025</v>
      </c>
      <c r="N980" t="s">
        <v>44</v>
      </c>
      <c r="O980" t="s">
        <v>244</v>
      </c>
      <c r="P980">
        <v>2</v>
      </c>
      <c r="Q980">
        <v>2</v>
      </c>
      <c r="R980">
        <v>0</v>
      </c>
      <c r="S980" t="s">
        <v>336</v>
      </c>
      <c r="T980" t="s">
        <v>1584</v>
      </c>
      <c r="U980">
        <v>30</v>
      </c>
    </row>
    <row r="981" spans="1:21" x14ac:dyDescent="0.3">
      <c r="A981" t="s">
        <v>1585</v>
      </c>
      <c r="B981" t="s">
        <v>1586</v>
      </c>
      <c r="C981" t="s">
        <v>187</v>
      </c>
      <c r="D981" t="s">
        <v>29</v>
      </c>
      <c r="E981" t="s">
        <v>30</v>
      </c>
      <c r="F981" s="6">
        <v>44957</v>
      </c>
      <c r="H981">
        <v>12</v>
      </c>
      <c r="K981" t="s">
        <v>761</v>
      </c>
      <c r="L981" t="s">
        <v>118</v>
      </c>
      <c r="M981">
        <v>2023</v>
      </c>
      <c r="N981" t="s">
        <v>32</v>
      </c>
      <c r="O981" t="s">
        <v>33</v>
      </c>
      <c r="P981">
        <v>0</v>
      </c>
      <c r="Q981">
        <v>0</v>
      </c>
      <c r="R981">
        <v>0</v>
      </c>
      <c r="S981" t="s">
        <v>99</v>
      </c>
      <c r="T981" t="s">
        <v>1587</v>
      </c>
      <c r="U981">
        <v>1</v>
      </c>
    </row>
    <row r="982" spans="1:21" x14ac:dyDescent="0.3">
      <c r="A982" t="s">
        <v>1585</v>
      </c>
      <c r="B982" t="s">
        <v>1586</v>
      </c>
      <c r="C982" t="s">
        <v>187</v>
      </c>
      <c r="D982" t="s">
        <v>29</v>
      </c>
      <c r="E982" t="s">
        <v>30</v>
      </c>
      <c r="F982" s="6">
        <v>44985</v>
      </c>
      <c r="H982">
        <v>18</v>
      </c>
      <c r="K982" t="s">
        <v>761</v>
      </c>
      <c r="L982" t="s">
        <v>118</v>
      </c>
      <c r="M982">
        <v>2023</v>
      </c>
      <c r="N982" t="s">
        <v>36</v>
      </c>
      <c r="O982" t="s">
        <v>33</v>
      </c>
      <c r="P982">
        <v>0</v>
      </c>
      <c r="Q982">
        <v>0</v>
      </c>
      <c r="R982">
        <v>0</v>
      </c>
      <c r="S982" t="s">
        <v>99</v>
      </c>
      <c r="T982" t="s">
        <v>1588</v>
      </c>
      <c r="U982">
        <v>1</v>
      </c>
    </row>
    <row r="983" spans="1:21" x14ac:dyDescent="0.3">
      <c r="A983" t="s">
        <v>1585</v>
      </c>
      <c r="B983" t="s">
        <v>1586</v>
      </c>
      <c r="C983" t="s">
        <v>187</v>
      </c>
      <c r="D983" t="s">
        <v>29</v>
      </c>
      <c r="E983" t="s">
        <v>30</v>
      </c>
      <c r="F983" s="6">
        <v>45016</v>
      </c>
      <c r="H983">
        <v>18</v>
      </c>
      <c r="K983" t="s">
        <v>761</v>
      </c>
      <c r="L983" t="s">
        <v>118</v>
      </c>
      <c r="M983">
        <v>2023</v>
      </c>
      <c r="N983" t="s">
        <v>38</v>
      </c>
      <c r="O983" t="s">
        <v>33</v>
      </c>
      <c r="P983">
        <v>0</v>
      </c>
      <c r="Q983">
        <v>0</v>
      </c>
      <c r="R983">
        <v>0</v>
      </c>
      <c r="S983" t="s">
        <v>99</v>
      </c>
      <c r="T983" t="s">
        <v>1589</v>
      </c>
      <c r="U983">
        <v>1</v>
      </c>
    </row>
    <row r="984" spans="1:21" x14ac:dyDescent="0.3">
      <c r="A984" t="s">
        <v>1585</v>
      </c>
      <c r="B984" t="s">
        <v>1586</v>
      </c>
      <c r="C984" t="s">
        <v>187</v>
      </c>
      <c r="D984" t="s">
        <v>29</v>
      </c>
      <c r="E984" t="s">
        <v>30</v>
      </c>
      <c r="F984" s="6">
        <v>45046</v>
      </c>
      <c r="H984">
        <v>18</v>
      </c>
      <c r="K984" t="s">
        <v>761</v>
      </c>
      <c r="L984" t="s">
        <v>118</v>
      </c>
      <c r="M984">
        <v>2023</v>
      </c>
      <c r="N984" t="s">
        <v>40</v>
      </c>
      <c r="O984" t="s">
        <v>33</v>
      </c>
      <c r="P984">
        <v>0</v>
      </c>
      <c r="Q984">
        <v>0</v>
      </c>
      <c r="R984">
        <v>0</v>
      </c>
      <c r="S984" t="s">
        <v>99</v>
      </c>
      <c r="T984" t="s">
        <v>1590</v>
      </c>
      <c r="U984">
        <v>1</v>
      </c>
    </row>
    <row r="985" spans="1:21" x14ac:dyDescent="0.3">
      <c r="A985" t="s">
        <v>1585</v>
      </c>
      <c r="B985" t="s">
        <v>1586</v>
      </c>
      <c r="C985" t="s">
        <v>187</v>
      </c>
      <c r="D985" t="s">
        <v>29</v>
      </c>
      <c r="E985" t="s">
        <v>30</v>
      </c>
      <c r="F985" s="6">
        <v>45077</v>
      </c>
      <c r="H985">
        <v>19</v>
      </c>
      <c r="K985" t="s">
        <v>761</v>
      </c>
      <c r="L985" t="s">
        <v>118</v>
      </c>
      <c r="M985">
        <v>2023</v>
      </c>
      <c r="N985" t="s">
        <v>42</v>
      </c>
      <c r="O985" t="s">
        <v>33</v>
      </c>
      <c r="P985">
        <v>0</v>
      </c>
      <c r="Q985">
        <v>0</v>
      </c>
      <c r="R985">
        <v>0</v>
      </c>
      <c r="S985" t="s">
        <v>99</v>
      </c>
      <c r="T985" t="s">
        <v>1591</v>
      </c>
      <c r="U985">
        <v>1</v>
      </c>
    </row>
    <row r="986" spans="1:21" x14ac:dyDescent="0.3">
      <c r="A986" t="s">
        <v>1585</v>
      </c>
      <c r="B986" t="s">
        <v>1586</v>
      </c>
      <c r="C986" t="s">
        <v>187</v>
      </c>
      <c r="D986" t="s">
        <v>29</v>
      </c>
      <c r="E986" t="s">
        <v>30</v>
      </c>
      <c r="F986" s="6">
        <v>45107</v>
      </c>
      <c r="H986">
        <v>19</v>
      </c>
      <c r="K986" t="s">
        <v>761</v>
      </c>
      <c r="L986" t="s">
        <v>118</v>
      </c>
      <c r="M986">
        <v>2023</v>
      </c>
      <c r="N986" t="s">
        <v>44</v>
      </c>
      <c r="O986" t="s">
        <v>33</v>
      </c>
      <c r="P986">
        <v>0</v>
      </c>
      <c r="Q986">
        <v>0</v>
      </c>
      <c r="R986">
        <v>0</v>
      </c>
      <c r="S986" t="s">
        <v>99</v>
      </c>
      <c r="T986" t="s">
        <v>1592</v>
      </c>
      <c r="U986">
        <v>1</v>
      </c>
    </row>
    <row r="987" spans="1:21" x14ac:dyDescent="0.3">
      <c r="A987" t="s">
        <v>1585</v>
      </c>
      <c r="B987" t="s">
        <v>1586</v>
      </c>
      <c r="C987" t="s">
        <v>187</v>
      </c>
      <c r="D987" t="s">
        <v>29</v>
      </c>
      <c r="E987" t="s">
        <v>30</v>
      </c>
      <c r="F987" s="6">
        <v>45138</v>
      </c>
      <c r="H987">
        <v>18</v>
      </c>
      <c r="K987" t="s">
        <v>761</v>
      </c>
      <c r="L987" t="s">
        <v>118</v>
      </c>
      <c r="M987">
        <v>2023</v>
      </c>
      <c r="N987" t="s">
        <v>46</v>
      </c>
      <c r="O987" t="s">
        <v>47</v>
      </c>
      <c r="P987">
        <v>0</v>
      </c>
      <c r="Q987">
        <v>0</v>
      </c>
      <c r="R987">
        <v>0</v>
      </c>
      <c r="S987" t="s">
        <v>99</v>
      </c>
      <c r="T987" t="s">
        <v>1593</v>
      </c>
      <c r="U987">
        <v>1</v>
      </c>
    </row>
    <row r="988" spans="1:21" x14ac:dyDescent="0.3">
      <c r="A988" t="s">
        <v>1585</v>
      </c>
      <c r="B988" t="s">
        <v>1586</v>
      </c>
      <c r="C988" t="s">
        <v>187</v>
      </c>
      <c r="D988" t="s">
        <v>29</v>
      </c>
      <c r="E988" t="s">
        <v>30</v>
      </c>
      <c r="F988" s="6">
        <v>45169</v>
      </c>
      <c r="H988">
        <v>27</v>
      </c>
      <c r="K988" t="s">
        <v>761</v>
      </c>
      <c r="L988" t="s">
        <v>118</v>
      </c>
      <c r="M988">
        <v>2023</v>
      </c>
      <c r="N988" t="s">
        <v>49</v>
      </c>
      <c r="O988" t="s">
        <v>47</v>
      </c>
      <c r="P988">
        <v>0</v>
      </c>
      <c r="Q988">
        <v>0</v>
      </c>
      <c r="R988">
        <v>0</v>
      </c>
      <c r="S988" t="s">
        <v>99</v>
      </c>
      <c r="T988" t="s">
        <v>1594</v>
      </c>
      <c r="U988">
        <v>1</v>
      </c>
    </row>
    <row r="989" spans="1:21" x14ac:dyDescent="0.3">
      <c r="A989" t="s">
        <v>1585</v>
      </c>
      <c r="B989" t="s">
        <v>1586</v>
      </c>
      <c r="C989" t="s">
        <v>187</v>
      </c>
      <c r="D989" t="s">
        <v>29</v>
      </c>
      <c r="E989" t="s">
        <v>30</v>
      </c>
      <c r="F989" s="6">
        <v>45199</v>
      </c>
      <c r="H989">
        <v>27</v>
      </c>
      <c r="K989" t="s">
        <v>761</v>
      </c>
      <c r="L989" t="s">
        <v>118</v>
      </c>
      <c r="M989">
        <v>2023</v>
      </c>
      <c r="N989" t="s">
        <v>51</v>
      </c>
      <c r="O989" t="s">
        <v>47</v>
      </c>
      <c r="P989">
        <v>0</v>
      </c>
      <c r="Q989">
        <v>0</v>
      </c>
      <c r="R989">
        <v>0</v>
      </c>
      <c r="S989" t="s">
        <v>99</v>
      </c>
      <c r="T989" t="s">
        <v>1595</v>
      </c>
      <c r="U989">
        <v>1</v>
      </c>
    </row>
    <row r="990" spans="1:21" x14ac:dyDescent="0.3">
      <c r="A990" t="s">
        <v>1585</v>
      </c>
      <c r="B990" t="s">
        <v>1586</v>
      </c>
      <c r="C990" t="s">
        <v>187</v>
      </c>
      <c r="D990" t="s">
        <v>29</v>
      </c>
      <c r="E990" t="s">
        <v>30</v>
      </c>
      <c r="F990" s="6">
        <v>45230</v>
      </c>
      <c r="H990">
        <v>27</v>
      </c>
      <c r="K990" t="s">
        <v>761</v>
      </c>
      <c r="L990" t="s">
        <v>118</v>
      </c>
      <c r="M990">
        <v>2023</v>
      </c>
      <c r="N990" t="s">
        <v>53</v>
      </c>
      <c r="O990" t="s">
        <v>47</v>
      </c>
      <c r="P990">
        <v>0</v>
      </c>
      <c r="Q990">
        <v>0</v>
      </c>
      <c r="R990">
        <v>0</v>
      </c>
      <c r="S990" t="s">
        <v>99</v>
      </c>
      <c r="T990" t="s">
        <v>1596</v>
      </c>
      <c r="U990">
        <v>1</v>
      </c>
    </row>
    <row r="991" spans="1:21" x14ac:dyDescent="0.3">
      <c r="A991" t="s">
        <v>1585</v>
      </c>
      <c r="B991" t="s">
        <v>1586</v>
      </c>
      <c r="C991" t="s">
        <v>187</v>
      </c>
      <c r="D991" t="s">
        <v>29</v>
      </c>
      <c r="E991" t="s">
        <v>30</v>
      </c>
      <c r="F991" s="6">
        <v>45260</v>
      </c>
      <c r="H991">
        <v>27</v>
      </c>
      <c r="K991" t="s">
        <v>761</v>
      </c>
      <c r="L991" t="s">
        <v>118</v>
      </c>
      <c r="M991">
        <v>2023</v>
      </c>
      <c r="N991" t="s">
        <v>55</v>
      </c>
      <c r="O991" t="s">
        <v>47</v>
      </c>
      <c r="P991">
        <v>0</v>
      </c>
      <c r="Q991">
        <v>0</v>
      </c>
      <c r="R991">
        <v>0</v>
      </c>
      <c r="S991" t="s">
        <v>99</v>
      </c>
      <c r="T991" t="s">
        <v>1597</v>
      </c>
      <c r="U991">
        <v>1</v>
      </c>
    </row>
    <row r="992" spans="1:21" x14ac:dyDescent="0.3">
      <c r="A992" t="s">
        <v>1585</v>
      </c>
      <c r="B992" t="s">
        <v>1586</v>
      </c>
      <c r="C992" t="s">
        <v>187</v>
      </c>
      <c r="D992" t="s">
        <v>29</v>
      </c>
      <c r="E992" t="s">
        <v>30</v>
      </c>
      <c r="F992" s="6">
        <v>45291</v>
      </c>
      <c r="H992">
        <v>27</v>
      </c>
      <c r="K992" t="s">
        <v>761</v>
      </c>
      <c r="L992" t="s">
        <v>118</v>
      </c>
      <c r="M992">
        <v>2023</v>
      </c>
      <c r="N992" t="s">
        <v>57</v>
      </c>
      <c r="O992" t="s">
        <v>47</v>
      </c>
      <c r="P992">
        <v>0</v>
      </c>
      <c r="Q992">
        <v>0</v>
      </c>
      <c r="R992">
        <v>0</v>
      </c>
      <c r="S992" t="s">
        <v>99</v>
      </c>
      <c r="T992" t="s">
        <v>1598</v>
      </c>
      <c r="U992">
        <v>1</v>
      </c>
    </row>
    <row r="993" spans="1:21" x14ac:dyDescent="0.3">
      <c r="A993" t="s">
        <v>1585</v>
      </c>
      <c r="B993" t="s">
        <v>1586</v>
      </c>
      <c r="C993" t="s">
        <v>187</v>
      </c>
      <c r="D993" t="s">
        <v>29</v>
      </c>
      <c r="E993" t="s">
        <v>30</v>
      </c>
      <c r="F993" s="6">
        <v>45322</v>
      </c>
      <c r="H993">
        <v>29</v>
      </c>
      <c r="K993" t="s">
        <v>761</v>
      </c>
      <c r="L993" t="s">
        <v>118</v>
      </c>
      <c r="M993">
        <v>2024</v>
      </c>
      <c r="N993" t="s">
        <v>32</v>
      </c>
      <c r="O993" t="s">
        <v>71</v>
      </c>
      <c r="P993">
        <v>0</v>
      </c>
      <c r="Q993">
        <v>0</v>
      </c>
      <c r="R993">
        <v>0</v>
      </c>
      <c r="S993" t="s">
        <v>99</v>
      </c>
      <c r="T993" t="s">
        <v>1599</v>
      </c>
      <c r="U993">
        <v>1</v>
      </c>
    </row>
    <row r="994" spans="1:21" x14ac:dyDescent="0.3">
      <c r="A994" t="s">
        <v>1585</v>
      </c>
      <c r="B994" t="s">
        <v>1586</v>
      </c>
      <c r="C994" t="s">
        <v>187</v>
      </c>
      <c r="D994" t="s">
        <v>29</v>
      </c>
      <c r="E994" t="s">
        <v>30</v>
      </c>
      <c r="F994" s="6">
        <v>45351</v>
      </c>
      <c r="H994">
        <v>29</v>
      </c>
      <c r="K994" t="s">
        <v>761</v>
      </c>
      <c r="L994" t="s">
        <v>118</v>
      </c>
      <c r="M994">
        <v>2024</v>
      </c>
      <c r="N994" t="s">
        <v>36</v>
      </c>
      <c r="O994" t="s">
        <v>71</v>
      </c>
      <c r="P994">
        <v>0</v>
      </c>
      <c r="Q994">
        <v>0</v>
      </c>
      <c r="R994">
        <v>0</v>
      </c>
      <c r="S994" t="s">
        <v>99</v>
      </c>
      <c r="T994" t="s">
        <v>1600</v>
      </c>
      <c r="U994">
        <v>1</v>
      </c>
    </row>
    <row r="995" spans="1:21" x14ac:dyDescent="0.3">
      <c r="A995" t="s">
        <v>1585</v>
      </c>
      <c r="B995" t="s">
        <v>1586</v>
      </c>
      <c r="C995" t="s">
        <v>187</v>
      </c>
      <c r="D995" t="s">
        <v>29</v>
      </c>
      <c r="E995" t="s">
        <v>30</v>
      </c>
      <c r="F995" s="6">
        <v>45382</v>
      </c>
      <c r="H995">
        <v>31</v>
      </c>
      <c r="K995" t="s">
        <v>761</v>
      </c>
      <c r="L995" t="s">
        <v>118</v>
      </c>
      <c r="M995">
        <v>2024</v>
      </c>
      <c r="N995" t="s">
        <v>38</v>
      </c>
      <c r="O995" t="s">
        <v>71</v>
      </c>
      <c r="P995">
        <v>0</v>
      </c>
      <c r="Q995">
        <v>0</v>
      </c>
      <c r="R995">
        <v>0</v>
      </c>
      <c r="S995" t="s">
        <v>99</v>
      </c>
      <c r="T995" t="s">
        <v>1601</v>
      </c>
      <c r="U995">
        <v>1</v>
      </c>
    </row>
    <row r="996" spans="1:21" x14ac:dyDescent="0.3">
      <c r="A996" t="s">
        <v>1585</v>
      </c>
      <c r="B996" t="s">
        <v>1586</v>
      </c>
      <c r="C996" t="s">
        <v>187</v>
      </c>
      <c r="D996" t="s">
        <v>29</v>
      </c>
      <c r="E996" t="s">
        <v>30</v>
      </c>
      <c r="F996" s="6">
        <v>45412</v>
      </c>
      <c r="H996">
        <v>28</v>
      </c>
      <c r="K996" t="s">
        <v>761</v>
      </c>
      <c r="L996" t="s">
        <v>118</v>
      </c>
      <c r="M996">
        <v>2024</v>
      </c>
      <c r="N996" t="s">
        <v>40</v>
      </c>
      <c r="O996" t="s">
        <v>71</v>
      </c>
      <c r="P996">
        <v>0</v>
      </c>
      <c r="Q996">
        <v>0</v>
      </c>
      <c r="R996">
        <v>0</v>
      </c>
      <c r="S996" t="s">
        <v>99</v>
      </c>
      <c r="T996" t="s">
        <v>1602</v>
      </c>
      <c r="U996">
        <v>1</v>
      </c>
    </row>
    <row r="997" spans="1:21" x14ac:dyDescent="0.3">
      <c r="A997" t="s">
        <v>1585</v>
      </c>
      <c r="B997" t="s">
        <v>1586</v>
      </c>
      <c r="C997" t="s">
        <v>187</v>
      </c>
      <c r="D997" t="s">
        <v>29</v>
      </c>
      <c r="E997" t="s">
        <v>30</v>
      </c>
      <c r="F997" s="6">
        <v>45443</v>
      </c>
      <c r="H997">
        <v>29</v>
      </c>
      <c r="K997" t="s">
        <v>761</v>
      </c>
      <c r="L997" t="s">
        <v>118</v>
      </c>
      <c r="M997">
        <v>2024</v>
      </c>
      <c r="N997" t="s">
        <v>42</v>
      </c>
      <c r="O997" t="s">
        <v>71</v>
      </c>
      <c r="P997">
        <v>0</v>
      </c>
      <c r="Q997">
        <v>0</v>
      </c>
      <c r="R997">
        <v>0</v>
      </c>
      <c r="S997" t="s">
        <v>99</v>
      </c>
      <c r="T997" t="s">
        <v>1603</v>
      </c>
      <c r="U997">
        <v>1</v>
      </c>
    </row>
    <row r="998" spans="1:21" x14ac:dyDescent="0.3">
      <c r="A998" t="s">
        <v>1585</v>
      </c>
      <c r="B998" t="s">
        <v>1586</v>
      </c>
      <c r="C998" t="s">
        <v>187</v>
      </c>
      <c r="D998" t="s">
        <v>29</v>
      </c>
      <c r="E998" t="s">
        <v>30</v>
      </c>
      <c r="F998" s="6">
        <v>45473</v>
      </c>
      <c r="H998">
        <v>29</v>
      </c>
      <c r="K998" t="s">
        <v>761</v>
      </c>
      <c r="L998" t="s">
        <v>118</v>
      </c>
      <c r="M998">
        <v>2024</v>
      </c>
      <c r="N998" t="s">
        <v>44</v>
      </c>
      <c r="O998" t="s">
        <v>71</v>
      </c>
      <c r="P998">
        <v>0</v>
      </c>
      <c r="Q998">
        <v>0</v>
      </c>
      <c r="R998">
        <v>0</v>
      </c>
      <c r="S998" t="s">
        <v>99</v>
      </c>
      <c r="T998" t="s">
        <v>1604</v>
      </c>
      <c r="U998">
        <v>1</v>
      </c>
    </row>
    <row r="999" spans="1:21" x14ac:dyDescent="0.3">
      <c r="A999" t="s">
        <v>1585</v>
      </c>
      <c r="B999" t="s">
        <v>1586</v>
      </c>
      <c r="C999" t="s">
        <v>187</v>
      </c>
      <c r="D999" t="s">
        <v>29</v>
      </c>
      <c r="E999" t="s">
        <v>30</v>
      </c>
      <c r="F999" s="6">
        <v>45504</v>
      </c>
      <c r="H999">
        <v>30</v>
      </c>
      <c r="K999" t="s">
        <v>761</v>
      </c>
      <c r="L999" t="s">
        <v>118</v>
      </c>
      <c r="M999">
        <v>2024</v>
      </c>
      <c r="N999" t="s">
        <v>46</v>
      </c>
      <c r="O999" t="s">
        <v>78</v>
      </c>
      <c r="P999">
        <v>0</v>
      </c>
      <c r="Q999">
        <v>0</v>
      </c>
      <c r="R999">
        <v>0</v>
      </c>
      <c r="S999" t="s">
        <v>99</v>
      </c>
      <c r="T999" t="s">
        <v>1605</v>
      </c>
      <c r="U999">
        <v>1</v>
      </c>
    </row>
    <row r="1000" spans="1:21" x14ac:dyDescent="0.3">
      <c r="A1000" t="s">
        <v>1585</v>
      </c>
      <c r="B1000" t="s">
        <v>1586</v>
      </c>
      <c r="C1000" t="s">
        <v>187</v>
      </c>
      <c r="D1000" t="s">
        <v>29</v>
      </c>
      <c r="E1000" t="s">
        <v>30</v>
      </c>
      <c r="F1000" s="6">
        <v>45535</v>
      </c>
      <c r="H1000">
        <v>30</v>
      </c>
      <c r="K1000" t="s">
        <v>761</v>
      </c>
      <c r="L1000" t="s">
        <v>118</v>
      </c>
      <c r="M1000">
        <v>2024</v>
      </c>
      <c r="N1000" t="s">
        <v>49</v>
      </c>
      <c r="O1000" t="s">
        <v>78</v>
      </c>
      <c r="P1000">
        <v>0</v>
      </c>
      <c r="Q1000">
        <v>0</v>
      </c>
      <c r="R1000">
        <v>0</v>
      </c>
      <c r="S1000" t="s">
        <v>99</v>
      </c>
      <c r="T1000" t="s">
        <v>1606</v>
      </c>
      <c r="U1000">
        <v>1</v>
      </c>
    </row>
    <row r="1001" spans="1:21" x14ac:dyDescent="0.3">
      <c r="A1001" t="s">
        <v>1585</v>
      </c>
      <c r="B1001" t="s">
        <v>1586</v>
      </c>
      <c r="C1001" t="s">
        <v>187</v>
      </c>
      <c r="D1001" t="s">
        <v>29</v>
      </c>
      <c r="E1001" t="s">
        <v>30</v>
      </c>
      <c r="F1001" s="6">
        <v>45565</v>
      </c>
      <c r="H1001">
        <v>30</v>
      </c>
      <c r="K1001" t="s">
        <v>761</v>
      </c>
      <c r="L1001" t="s">
        <v>118</v>
      </c>
      <c r="M1001">
        <v>2024</v>
      </c>
      <c r="N1001" t="s">
        <v>51</v>
      </c>
      <c r="O1001" t="s">
        <v>78</v>
      </c>
      <c r="P1001">
        <v>0</v>
      </c>
      <c r="Q1001">
        <v>0</v>
      </c>
      <c r="R1001">
        <v>0</v>
      </c>
      <c r="S1001" t="s">
        <v>99</v>
      </c>
      <c r="T1001" t="s">
        <v>1607</v>
      </c>
      <c r="U1001">
        <v>1</v>
      </c>
    </row>
    <row r="1002" spans="1:21" x14ac:dyDescent="0.3">
      <c r="A1002" t="s">
        <v>1585</v>
      </c>
      <c r="B1002" t="s">
        <v>1586</v>
      </c>
      <c r="C1002" t="s">
        <v>187</v>
      </c>
      <c r="D1002" t="s">
        <v>29</v>
      </c>
      <c r="E1002" t="s">
        <v>30</v>
      </c>
      <c r="F1002" s="6">
        <v>45596</v>
      </c>
      <c r="H1002">
        <v>29</v>
      </c>
      <c r="K1002" t="s">
        <v>761</v>
      </c>
      <c r="L1002" t="s">
        <v>118</v>
      </c>
      <c r="M1002">
        <v>2024</v>
      </c>
      <c r="N1002" t="s">
        <v>53</v>
      </c>
      <c r="O1002" t="s">
        <v>78</v>
      </c>
      <c r="P1002">
        <v>0</v>
      </c>
      <c r="Q1002">
        <v>0</v>
      </c>
      <c r="R1002">
        <v>0</v>
      </c>
      <c r="S1002" t="s">
        <v>99</v>
      </c>
      <c r="T1002" t="s">
        <v>1608</v>
      </c>
      <c r="U1002">
        <v>1</v>
      </c>
    </row>
    <row r="1003" spans="1:21" x14ac:dyDescent="0.3">
      <c r="A1003" t="s">
        <v>1585</v>
      </c>
      <c r="B1003" t="s">
        <v>1586</v>
      </c>
      <c r="C1003" t="s">
        <v>187</v>
      </c>
      <c r="D1003" t="s">
        <v>29</v>
      </c>
      <c r="E1003" t="s">
        <v>30</v>
      </c>
      <c r="F1003" s="6">
        <v>45626</v>
      </c>
      <c r="H1003">
        <v>32</v>
      </c>
      <c r="K1003" t="s">
        <v>761</v>
      </c>
      <c r="L1003" t="s">
        <v>118</v>
      </c>
      <c r="M1003">
        <v>2024</v>
      </c>
      <c r="N1003" t="s">
        <v>55</v>
      </c>
      <c r="O1003" t="s">
        <v>78</v>
      </c>
      <c r="P1003">
        <v>0</v>
      </c>
      <c r="Q1003">
        <v>0</v>
      </c>
      <c r="R1003">
        <v>0</v>
      </c>
      <c r="S1003" t="s">
        <v>99</v>
      </c>
      <c r="T1003" t="s">
        <v>1609</v>
      </c>
      <c r="U1003">
        <v>1</v>
      </c>
    </row>
    <row r="1004" spans="1:21" x14ac:dyDescent="0.3">
      <c r="A1004" t="s">
        <v>1585</v>
      </c>
      <c r="B1004" t="s">
        <v>1586</v>
      </c>
      <c r="C1004" t="s">
        <v>187</v>
      </c>
      <c r="D1004" t="s">
        <v>29</v>
      </c>
      <c r="E1004" t="s">
        <v>30</v>
      </c>
      <c r="F1004" s="6">
        <v>45657</v>
      </c>
      <c r="H1004">
        <v>32</v>
      </c>
      <c r="K1004" t="s">
        <v>761</v>
      </c>
      <c r="L1004" t="s">
        <v>118</v>
      </c>
      <c r="M1004">
        <v>2024</v>
      </c>
      <c r="N1004" t="s">
        <v>57</v>
      </c>
      <c r="O1004" t="s">
        <v>78</v>
      </c>
      <c r="P1004">
        <v>0</v>
      </c>
      <c r="Q1004">
        <v>0</v>
      </c>
      <c r="R1004">
        <v>0</v>
      </c>
      <c r="S1004" t="s">
        <v>99</v>
      </c>
      <c r="T1004" t="s">
        <v>1610</v>
      </c>
      <c r="U1004">
        <v>1</v>
      </c>
    </row>
    <row r="1005" spans="1:21" x14ac:dyDescent="0.3">
      <c r="A1005" t="s">
        <v>1585</v>
      </c>
      <c r="B1005" t="s">
        <v>1611</v>
      </c>
      <c r="C1005" t="s">
        <v>187</v>
      </c>
      <c r="D1005" t="s">
        <v>29</v>
      </c>
      <c r="E1005" t="s">
        <v>30</v>
      </c>
      <c r="F1005" s="6">
        <v>45688</v>
      </c>
      <c r="H1005" t="s">
        <v>1612</v>
      </c>
      <c r="I1005">
        <v>0</v>
      </c>
      <c r="J1005">
        <v>0</v>
      </c>
      <c r="L1005" t="s">
        <v>1613</v>
      </c>
      <c r="M1005">
        <v>2025</v>
      </c>
      <c r="N1005" t="s">
        <v>32</v>
      </c>
      <c r="O1005" t="s">
        <v>244</v>
      </c>
      <c r="P1005">
        <v>2</v>
      </c>
      <c r="Q1005">
        <v>2</v>
      </c>
      <c r="R1005">
        <v>0</v>
      </c>
      <c r="S1005" t="s">
        <v>104</v>
      </c>
      <c r="T1005" t="s">
        <v>1614</v>
      </c>
      <c r="U1005">
        <v>31</v>
      </c>
    </row>
    <row r="1006" spans="1:21" x14ac:dyDescent="0.3">
      <c r="A1006" t="s">
        <v>1585</v>
      </c>
      <c r="B1006" t="s">
        <v>1611</v>
      </c>
      <c r="C1006" t="s">
        <v>187</v>
      </c>
      <c r="D1006" t="s">
        <v>29</v>
      </c>
      <c r="E1006" t="s">
        <v>30</v>
      </c>
      <c r="F1006" s="6">
        <v>45716</v>
      </c>
      <c r="H1006" t="s">
        <v>121</v>
      </c>
      <c r="I1006">
        <v>0</v>
      </c>
      <c r="J1006">
        <v>0</v>
      </c>
      <c r="L1006" t="s">
        <v>122</v>
      </c>
      <c r="M1006">
        <v>2025</v>
      </c>
      <c r="N1006" t="s">
        <v>36</v>
      </c>
      <c r="O1006" t="s">
        <v>244</v>
      </c>
      <c r="P1006">
        <v>2</v>
      </c>
      <c r="Q1006">
        <v>2</v>
      </c>
      <c r="R1006">
        <v>0</v>
      </c>
      <c r="S1006" t="s">
        <v>104</v>
      </c>
      <c r="T1006" t="s">
        <v>1615</v>
      </c>
      <c r="U1006">
        <v>28</v>
      </c>
    </row>
    <row r="1007" spans="1:21" x14ac:dyDescent="0.3">
      <c r="A1007" t="s">
        <v>1585</v>
      </c>
      <c r="B1007" t="s">
        <v>1611</v>
      </c>
      <c r="C1007" t="s">
        <v>187</v>
      </c>
      <c r="D1007" t="s">
        <v>29</v>
      </c>
      <c r="E1007" t="s">
        <v>30</v>
      </c>
      <c r="F1007" s="6">
        <v>45747</v>
      </c>
      <c r="H1007" t="s">
        <v>1616</v>
      </c>
      <c r="I1007">
        <v>0</v>
      </c>
      <c r="J1007">
        <v>0</v>
      </c>
      <c r="L1007" t="s">
        <v>1617</v>
      </c>
      <c r="M1007">
        <v>2025</v>
      </c>
      <c r="N1007" t="s">
        <v>38</v>
      </c>
      <c r="O1007" t="s">
        <v>244</v>
      </c>
      <c r="P1007">
        <v>2</v>
      </c>
      <c r="Q1007">
        <v>2</v>
      </c>
      <c r="R1007">
        <v>0</v>
      </c>
      <c r="S1007" t="s">
        <v>104</v>
      </c>
      <c r="T1007" t="s">
        <v>1618</v>
      </c>
      <c r="U1007">
        <v>31</v>
      </c>
    </row>
    <row r="1008" spans="1:21" x14ac:dyDescent="0.3">
      <c r="A1008" t="s">
        <v>1585</v>
      </c>
      <c r="B1008" t="s">
        <v>1611</v>
      </c>
      <c r="C1008" t="s">
        <v>187</v>
      </c>
      <c r="D1008" t="s">
        <v>29</v>
      </c>
      <c r="E1008" t="s">
        <v>30</v>
      </c>
      <c r="F1008" s="6">
        <v>45777</v>
      </c>
      <c r="H1008" t="s">
        <v>1619</v>
      </c>
      <c r="I1008">
        <v>0</v>
      </c>
      <c r="J1008">
        <v>0</v>
      </c>
      <c r="L1008" t="s">
        <v>1620</v>
      </c>
      <c r="M1008">
        <v>2025</v>
      </c>
      <c r="N1008" t="s">
        <v>40</v>
      </c>
      <c r="O1008" t="s">
        <v>244</v>
      </c>
      <c r="P1008">
        <v>2</v>
      </c>
      <c r="Q1008">
        <v>2</v>
      </c>
      <c r="R1008">
        <v>0</v>
      </c>
      <c r="S1008" t="s">
        <v>104</v>
      </c>
      <c r="T1008" t="s">
        <v>1621</v>
      </c>
      <c r="U1008">
        <v>30</v>
      </c>
    </row>
    <row r="1009" spans="1:21" x14ac:dyDescent="0.3">
      <c r="A1009" t="s">
        <v>1585</v>
      </c>
      <c r="B1009" t="s">
        <v>1611</v>
      </c>
      <c r="C1009" t="s">
        <v>187</v>
      </c>
      <c r="D1009" t="s">
        <v>29</v>
      </c>
      <c r="E1009" t="s">
        <v>30</v>
      </c>
      <c r="F1009" s="6">
        <v>45808</v>
      </c>
      <c r="H1009" t="s">
        <v>1616</v>
      </c>
      <c r="I1009">
        <v>0</v>
      </c>
      <c r="J1009">
        <v>0</v>
      </c>
      <c r="L1009" t="s">
        <v>1617</v>
      </c>
      <c r="M1009">
        <v>2025</v>
      </c>
      <c r="N1009" t="s">
        <v>42</v>
      </c>
      <c r="O1009" t="s">
        <v>244</v>
      </c>
      <c r="P1009">
        <v>2</v>
      </c>
      <c r="Q1009">
        <v>2</v>
      </c>
      <c r="R1009">
        <v>0</v>
      </c>
      <c r="S1009" t="s">
        <v>104</v>
      </c>
      <c r="T1009" t="s">
        <v>1622</v>
      </c>
      <c r="U1009">
        <v>31</v>
      </c>
    </row>
    <row r="1010" spans="1:21" x14ac:dyDescent="0.3">
      <c r="A1010" t="s">
        <v>1585</v>
      </c>
      <c r="B1010" t="s">
        <v>1611</v>
      </c>
      <c r="C1010" t="s">
        <v>187</v>
      </c>
      <c r="D1010" t="s">
        <v>29</v>
      </c>
      <c r="E1010" t="s">
        <v>30</v>
      </c>
      <c r="F1010" s="6">
        <v>45838</v>
      </c>
      <c r="H1010" t="s">
        <v>1623</v>
      </c>
      <c r="I1010">
        <v>0</v>
      </c>
      <c r="J1010">
        <v>0</v>
      </c>
      <c r="L1010" t="s">
        <v>1624</v>
      </c>
      <c r="M1010">
        <v>2025</v>
      </c>
      <c r="N1010" t="s">
        <v>44</v>
      </c>
      <c r="O1010" t="s">
        <v>244</v>
      </c>
      <c r="P1010">
        <v>2</v>
      </c>
      <c r="Q1010">
        <v>2</v>
      </c>
      <c r="R1010">
        <v>0</v>
      </c>
      <c r="S1010" t="s">
        <v>104</v>
      </c>
      <c r="T1010" t="s">
        <v>1625</v>
      </c>
      <c r="U1010">
        <v>30</v>
      </c>
    </row>
    <row r="1011" spans="1:21" x14ac:dyDescent="0.3">
      <c r="A1011" t="s">
        <v>1585</v>
      </c>
      <c r="B1011" t="s">
        <v>1611</v>
      </c>
      <c r="C1011" t="s">
        <v>187</v>
      </c>
      <c r="D1011" t="s">
        <v>29</v>
      </c>
      <c r="E1011" t="s">
        <v>30</v>
      </c>
      <c r="F1011" s="6">
        <v>45869</v>
      </c>
      <c r="H1011" t="s">
        <v>1616</v>
      </c>
      <c r="I1011">
        <v>0</v>
      </c>
      <c r="J1011">
        <v>0</v>
      </c>
      <c r="L1011" t="s">
        <v>1617</v>
      </c>
      <c r="M1011">
        <v>2025</v>
      </c>
      <c r="N1011" t="s">
        <v>46</v>
      </c>
      <c r="O1011" t="s">
        <v>103</v>
      </c>
      <c r="P1011">
        <v>2</v>
      </c>
      <c r="Q1011">
        <v>2</v>
      </c>
      <c r="R1011">
        <v>0</v>
      </c>
      <c r="S1011" t="s">
        <v>104</v>
      </c>
      <c r="T1011" t="s">
        <v>1626</v>
      </c>
      <c r="U1011">
        <v>31</v>
      </c>
    </row>
    <row r="1012" spans="1:21" x14ac:dyDescent="0.3">
      <c r="A1012" t="s">
        <v>1585</v>
      </c>
      <c r="B1012" t="s">
        <v>1611</v>
      </c>
      <c r="C1012" t="s">
        <v>187</v>
      </c>
      <c r="D1012" t="s">
        <v>29</v>
      </c>
      <c r="E1012" t="s">
        <v>30</v>
      </c>
      <c r="F1012" s="6">
        <v>45900</v>
      </c>
      <c r="H1012" t="s">
        <v>1623</v>
      </c>
      <c r="I1012">
        <v>0</v>
      </c>
      <c r="J1012">
        <v>0</v>
      </c>
      <c r="L1012" t="s">
        <v>1624</v>
      </c>
      <c r="M1012">
        <v>2025</v>
      </c>
      <c r="N1012" t="s">
        <v>49</v>
      </c>
      <c r="O1012" t="s">
        <v>103</v>
      </c>
      <c r="P1012">
        <v>2</v>
      </c>
      <c r="Q1012">
        <v>2</v>
      </c>
      <c r="R1012">
        <v>0</v>
      </c>
      <c r="S1012" t="s">
        <v>104</v>
      </c>
      <c r="T1012" t="s">
        <v>1627</v>
      </c>
      <c r="U1012">
        <v>31</v>
      </c>
    </row>
    <row r="1013" spans="1:21" x14ac:dyDescent="0.3">
      <c r="A1013" t="s">
        <v>1585</v>
      </c>
      <c r="B1013" t="s">
        <v>1611</v>
      </c>
      <c r="C1013" t="s">
        <v>187</v>
      </c>
      <c r="D1013" t="s">
        <v>29</v>
      </c>
      <c r="E1013" t="s">
        <v>30</v>
      </c>
      <c r="F1013" s="6">
        <v>45961</v>
      </c>
      <c r="H1013" t="s">
        <v>1628</v>
      </c>
      <c r="I1013">
        <v>0</v>
      </c>
      <c r="J1013">
        <v>0</v>
      </c>
      <c r="L1013" t="s">
        <v>1629</v>
      </c>
      <c r="M1013">
        <v>2025</v>
      </c>
      <c r="N1013" t="s">
        <v>53</v>
      </c>
      <c r="O1013" t="s">
        <v>103</v>
      </c>
      <c r="P1013">
        <v>2</v>
      </c>
      <c r="Q1013">
        <v>2</v>
      </c>
      <c r="R1013">
        <v>0</v>
      </c>
      <c r="S1013" t="s">
        <v>104</v>
      </c>
      <c r="T1013" t="s">
        <v>1630</v>
      </c>
      <c r="U1013">
        <v>31</v>
      </c>
    </row>
    <row r="1014" spans="1:21" x14ac:dyDescent="0.3">
      <c r="A1014" t="s">
        <v>1631</v>
      </c>
      <c r="B1014" t="s">
        <v>1632</v>
      </c>
      <c r="C1014" t="s">
        <v>187</v>
      </c>
      <c r="D1014" t="s">
        <v>233</v>
      </c>
      <c r="E1014" t="s">
        <v>30</v>
      </c>
      <c r="F1014" s="6">
        <v>45016</v>
      </c>
      <c r="G1014">
        <v>100</v>
      </c>
      <c r="H1014">
        <v>40</v>
      </c>
      <c r="I1014">
        <v>0.4</v>
      </c>
      <c r="J1014">
        <v>0.4</v>
      </c>
      <c r="K1014" t="s">
        <v>31</v>
      </c>
      <c r="L1014" t="s">
        <v>31</v>
      </c>
      <c r="M1014">
        <v>2023</v>
      </c>
      <c r="N1014" t="s">
        <v>38</v>
      </c>
      <c r="O1014" t="s">
        <v>33</v>
      </c>
      <c r="P1014">
        <v>0</v>
      </c>
      <c r="Q1014">
        <v>0</v>
      </c>
      <c r="R1014">
        <v>0</v>
      </c>
      <c r="S1014" t="s">
        <v>99</v>
      </c>
      <c r="T1014" t="s">
        <v>1633</v>
      </c>
      <c r="U1014">
        <v>1</v>
      </c>
    </row>
    <row r="1015" spans="1:21" x14ac:dyDescent="0.3">
      <c r="A1015" t="s">
        <v>1631</v>
      </c>
      <c r="B1015" t="s">
        <v>1632</v>
      </c>
      <c r="C1015" t="s">
        <v>187</v>
      </c>
      <c r="D1015" t="s">
        <v>233</v>
      </c>
      <c r="E1015" t="s">
        <v>30</v>
      </c>
      <c r="F1015" s="6">
        <v>45107</v>
      </c>
      <c r="G1015">
        <v>100</v>
      </c>
      <c r="H1015">
        <v>60</v>
      </c>
      <c r="I1015">
        <v>0.6</v>
      </c>
      <c r="J1015">
        <v>0.6</v>
      </c>
      <c r="K1015" t="s">
        <v>31</v>
      </c>
      <c r="L1015" t="s">
        <v>31</v>
      </c>
      <c r="M1015">
        <v>2023</v>
      </c>
      <c r="N1015" t="s">
        <v>44</v>
      </c>
      <c r="O1015" t="s">
        <v>33</v>
      </c>
      <c r="P1015">
        <v>0</v>
      </c>
      <c r="Q1015">
        <v>0</v>
      </c>
      <c r="R1015">
        <v>0</v>
      </c>
      <c r="S1015" t="s">
        <v>99</v>
      </c>
      <c r="T1015" t="s">
        <v>1634</v>
      </c>
      <c r="U1015">
        <v>1</v>
      </c>
    </row>
    <row r="1016" spans="1:21" x14ac:dyDescent="0.3">
      <c r="A1016" t="s">
        <v>1631</v>
      </c>
      <c r="B1016" t="s">
        <v>1632</v>
      </c>
      <c r="C1016" t="s">
        <v>187</v>
      </c>
      <c r="D1016" t="s">
        <v>233</v>
      </c>
      <c r="E1016" t="s">
        <v>30</v>
      </c>
      <c r="F1016" s="6">
        <v>45199</v>
      </c>
      <c r="G1016">
        <v>100</v>
      </c>
      <c r="H1016">
        <v>80</v>
      </c>
      <c r="I1016">
        <v>0.8</v>
      </c>
      <c r="J1016">
        <v>0.8</v>
      </c>
      <c r="K1016" t="s">
        <v>31</v>
      </c>
      <c r="L1016" t="s">
        <v>31</v>
      </c>
      <c r="M1016">
        <v>2023</v>
      </c>
      <c r="N1016" t="s">
        <v>51</v>
      </c>
      <c r="O1016" t="s">
        <v>47</v>
      </c>
      <c r="P1016">
        <v>0</v>
      </c>
      <c r="Q1016">
        <v>0</v>
      </c>
      <c r="R1016">
        <v>0</v>
      </c>
      <c r="S1016" t="s">
        <v>99</v>
      </c>
      <c r="T1016" t="s">
        <v>1635</v>
      </c>
      <c r="U1016">
        <v>1</v>
      </c>
    </row>
    <row r="1017" spans="1:21" x14ac:dyDescent="0.3">
      <c r="A1017" t="s">
        <v>1631</v>
      </c>
      <c r="B1017" t="s">
        <v>1632</v>
      </c>
      <c r="C1017" t="s">
        <v>187</v>
      </c>
      <c r="D1017" t="s">
        <v>233</v>
      </c>
      <c r="E1017" t="s">
        <v>30</v>
      </c>
      <c r="F1017" s="6">
        <v>45291</v>
      </c>
      <c r="G1017">
        <v>100</v>
      </c>
      <c r="H1017">
        <v>80</v>
      </c>
      <c r="I1017">
        <v>0.8</v>
      </c>
      <c r="J1017">
        <v>0.8</v>
      </c>
      <c r="K1017" t="s">
        <v>31</v>
      </c>
      <c r="L1017" t="s">
        <v>31</v>
      </c>
      <c r="M1017">
        <v>2023</v>
      </c>
      <c r="N1017" t="s">
        <v>57</v>
      </c>
      <c r="O1017" t="s">
        <v>47</v>
      </c>
      <c r="P1017">
        <v>0</v>
      </c>
      <c r="Q1017">
        <v>0</v>
      </c>
      <c r="R1017">
        <v>0</v>
      </c>
      <c r="S1017" t="s">
        <v>99</v>
      </c>
      <c r="T1017" t="s">
        <v>1636</v>
      </c>
      <c r="U1017">
        <v>1</v>
      </c>
    </row>
    <row r="1018" spans="1:21" x14ac:dyDescent="0.3">
      <c r="A1018" t="s">
        <v>1631</v>
      </c>
      <c r="B1018" t="s">
        <v>1632</v>
      </c>
      <c r="C1018" t="s">
        <v>187</v>
      </c>
      <c r="D1018" t="s">
        <v>233</v>
      </c>
      <c r="E1018" t="s">
        <v>30</v>
      </c>
      <c r="F1018" s="6">
        <v>45382</v>
      </c>
      <c r="G1018">
        <v>100</v>
      </c>
      <c r="H1018">
        <v>91.67</v>
      </c>
      <c r="I1018">
        <v>0.91670000000000007</v>
      </c>
      <c r="J1018">
        <v>0.91670000000000007</v>
      </c>
      <c r="K1018" t="s">
        <v>31</v>
      </c>
      <c r="L1018" t="s">
        <v>31</v>
      </c>
      <c r="M1018">
        <v>2024</v>
      </c>
      <c r="N1018" t="s">
        <v>38</v>
      </c>
      <c r="O1018" t="s">
        <v>71</v>
      </c>
      <c r="P1018">
        <v>0</v>
      </c>
      <c r="Q1018">
        <v>0</v>
      </c>
      <c r="R1018">
        <v>0</v>
      </c>
      <c r="S1018" t="s">
        <v>99</v>
      </c>
      <c r="T1018" t="s">
        <v>1637</v>
      </c>
      <c r="U1018">
        <v>1</v>
      </c>
    </row>
    <row r="1019" spans="1:21" x14ac:dyDescent="0.3">
      <c r="A1019" t="s">
        <v>1631</v>
      </c>
      <c r="B1019" t="s">
        <v>1632</v>
      </c>
      <c r="C1019" t="s">
        <v>187</v>
      </c>
      <c r="D1019" t="s">
        <v>233</v>
      </c>
      <c r="E1019" t="s">
        <v>30</v>
      </c>
      <c r="F1019" s="6">
        <v>45473</v>
      </c>
      <c r="G1019">
        <v>100</v>
      </c>
      <c r="H1019">
        <v>100</v>
      </c>
      <c r="I1019">
        <v>1</v>
      </c>
      <c r="J1019">
        <v>1</v>
      </c>
      <c r="K1019" t="s">
        <v>31</v>
      </c>
      <c r="L1019" t="s">
        <v>31</v>
      </c>
      <c r="M1019">
        <v>2024</v>
      </c>
      <c r="N1019" t="s">
        <v>44</v>
      </c>
      <c r="O1019" t="s">
        <v>71</v>
      </c>
      <c r="P1019">
        <v>0</v>
      </c>
      <c r="Q1019">
        <v>0</v>
      </c>
      <c r="R1019">
        <v>0</v>
      </c>
      <c r="S1019" t="s">
        <v>99</v>
      </c>
      <c r="T1019" t="s">
        <v>1638</v>
      </c>
      <c r="U1019">
        <v>1</v>
      </c>
    </row>
    <row r="1020" spans="1:21" x14ac:dyDescent="0.3">
      <c r="A1020" t="s">
        <v>1631</v>
      </c>
      <c r="B1020" t="s">
        <v>1632</v>
      </c>
      <c r="C1020" t="s">
        <v>187</v>
      </c>
      <c r="D1020" t="s">
        <v>233</v>
      </c>
      <c r="E1020" t="s">
        <v>30</v>
      </c>
      <c r="F1020" s="6">
        <v>45565</v>
      </c>
      <c r="G1020">
        <v>100</v>
      </c>
      <c r="H1020">
        <v>100</v>
      </c>
      <c r="I1020">
        <v>1</v>
      </c>
      <c r="J1020">
        <v>1</v>
      </c>
      <c r="K1020" t="s">
        <v>31</v>
      </c>
      <c r="L1020" t="s">
        <v>31</v>
      </c>
      <c r="M1020">
        <v>2024</v>
      </c>
      <c r="N1020" t="s">
        <v>51</v>
      </c>
      <c r="O1020" t="s">
        <v>78</v>
      </c>
      <c r="P1020">
        <v>0</v>
      </c>
      <c r="Q1020">
        <v>0</v>
      </c>
      <c r="R1020">
        <v>0</v>
      </c>
      <c r="S1020" t="s">
        <v>99</v>
      </c>
      <c r="T1020" t="s">
        <v>1639</v>
      </c>
      <c r="U1020">
        <v>1</v>
      </c>
    </row>
    <row r="1021" spans="1:21" x14ac:dyDescent="0.3">
      <c r="A1021" t="s">
        <v>1631</v>
      </c>
      <c r="B1021" t="s">
        <v>1632</v>
      </c>
      <c r="C1021" t="s">
        <v>187</v>
      </c>
      <c r="D1021" t="s">
        <v>233</v>
      </c>
      <c r="E1021" t="s">
        <v>30</v>
      </c>
      <c r="F1021" s="6">
        <v>45657</v>
      </c>
      <c r="G1021">
        <v>100</v>
      </c>
      <c r="H1021">
        <v>100</v>
      </c>
      <c r="I1021">
        <v>1</v>
      </c>
      <c r="J1021">
        <v>1</v>
      </c>
      <c r="K1021" t="s">
        <v>31</v>
      </c>
      <c r="L1021" t="s">
        <v>31</v>
      </c>
      <c r="M1021">
        <v>2024</v>
      </c>
      <c r="N1021" t="s">
        <v>57</v>
      </c>
      <c r="O1021" t="s">
        <v>78</v>
      </c>
      <c r="P1021">
        <v>0</v>
      </c>
      <c r="Q1021">
        <v>0</v>
      </c>
      <c r="R1021">
        <v>0</v>
      </c>
      <c r="S1021" t="s">
        <v>99</v>
      </c>
      <c r="T1021" t="s">
        <v>1640</v>
      </c>
      <c r="U1021">
        <v>1</v>
      </c>
    </row>
    <row r="1022" spans="1:21" x14ac:dyDescent="0.3">
      <c r="A1022" t="s">
        <v>1631</v>
      </c>
      <c r="B1022" t="s">
        <v>1632</v>
      </c>
      <c r="C1022" t="s">
        <v>187</v>
      </c>
      <c r="D1022" t="s">
        <v>233</v>
      </c>
      <c r="E1022" t="s">
        <v>30</v>
      </c>
      <c r="F1022" s="6">
        <v>45747</v>
      </c>
      <c r="G1022">
        <v>100</v>
      </c>
      <c r="H1022" t="s">
        <v>95</v>
      </c>
      <c r="I1022">
        <v>1</v>
      </c>
      <c r="J1022">
        <v>1</v>
      </c>
      <c r="K1022" t="s">
        <v>102</v>
      </c>
      <c r="L1022" t="s">
        <v>102</v>
      </c>
      <c r="M1022">
        <v>2025</v>
      </c>
      <c r="N1022" t="s">
        <v>38</v>
      </c>
      <c r="O1022" t="s">
        <v>244</v>
      </c>
      <c r="P1022">
        <v>2</v>
      </c>
      <c r="Q1022">
        <v>2</v>
      </c>
      <c r="R1022">
        <v>0</v>
      </c>
      <c r="S1022" t="s">
        <v>104</v>
      </c>
      <c r="T1022" t="s">
        <v>1641</v>
      </c>
      <c r="U1022">
        <v>31</v>
      </c>
    </row>
    <row r="1023" spans="1:21" x14ac:dyDescent="0.3">
      <c r="A1023" t="s">
        <v>1631</v>
      </c>
      <c r="B1023" t="s">
        <v>1632</v>
      </c>
      <c r="C1023" t="s">
        <v>187</v>
      </c>
      <c r="D1023" t="s">
        <v>233</v>
      </c>
      <c r="E1023" t="s">
        <v>30</v>
      </c>
      <c r="F1023" s="6">
        <v>45838</v>
      </c>
      <c r="G1023">
        <v>100</v>
      </c>
      <c r="H1023" t="s">
        <v>95</v>
      </c>
      <c r="I1023">
        <v>1</v>
      </c>
      <c r="J1023">
        <v>1</v>
      </c>
      <c r="K1023" t="s">
        <v>102</v>
      </c>
      <c r="L1023" t="s">
        <v>102</v>
      </c>
      <c r="M1023">
        <v>2025</v>
      </c>
      <c r="N1023" t="s">
        <v>44</v>
      </c>
      <c r="O1023" t="s">
        <v>244</v>
      </c>
      <c r="P1023">
        <v>2</v>
      </c>
      <c r="Q1023">
        <v>2</v>
      </c>
      <c r="R1023">
        <v>0</v>
      </c>
      <c r="S1023" t="s">
        <v>104</v>
      </c>
      <c r="T1023" t="s">
        <v>1642</v>
      </c>
      <c r="U1023">
        <v>30</v>
      </c>
    </row>
    <row r="1024" spans="1:21" x14ac:dyDescent="0.3">
      <c r="A1024" t="s">
        <v>1643</v>
      </c>
      <c r="B1024" t="s">
        <v>1644</v>
      </c>
      <c r="C1024" t="s">
        <v>187</v>
      </c>
      <c r="D1024" t="s">
        <v>29</v>
      </c>
      <c r="E1024" t="s">
        <v>30</v>
      </c>
      <c r="F1024" s="6">
        <v>44957</v>
      </c>
      <c r="G1024">
        <v>80</v>
      </c>
      <c r="H1024">
        <v>100</v>
      </c>
      <c r="I1024">
        <v>1.25</v>
      </c>
      <c r="J1024">
        <v>1.25</v>
      </c>
      <c r="K1024" t="s">
        <v>31</v>
      </c>
      <c r="L1024" t="s">
        <v>31</v>
      </c>
      <c r="M1024">
        <v>2023</v>
      </c>
      <c r="N1024" t="s">
        <v>32</v>
      </c>
      <c r="O1024" t="s">
        <v>33</v>
      </c>
      <c r="P1024">
        <v>0</v>
      </c>
      <c r="Q1024">
        <v>0</v>
      </c>
      <c r="R1024">
        <v>0</v>
      </c>
      <c r="S1024" t="s">
        <v>99</v>
      </c>
      <c r="T1024" t="s">
        <v>1645</v>
      </c>
      <c r="U1024">
        <v>1</v>
      </c>
    </row>
    <row r="1025" spans="1:21" x14ac:dyDescent="0.3">
      <c r="A1025" t="s">
        <v>1643</v>
      </c>
      <c r="B1025" t="s">
        <v>1644</v>
      </c>
      <c r="C1025" t="s">
        <v>187</v>
      </c>
      <c r="D1025" t="s">
        <v>29</v>
      </c>
      <c r="E1025" t="s">
        <v>30</v>
      </c>
      <c r="F1025" s="6">
        <v>44985</v>
      </c>
      <c r="G1025">
        <v>80</v>
      </c>
      <c r="H1025">
        <v>100</v>
      </c>
      <c r="I1025">
        <v>1.25</v>
      </c>
      <c r="J1025">
        <v>1.25</v>
      </c>
      <c r="K1025" t="s">
        <v>31</v>
      </c>
      <c r="L1025" t="s">
        <v>31</v>
      </c>
      <c r="M1025">
        <v>2023</v>
      </c>
      <c r="N1025" t="s">
        <v>36</v>
      </c>
      <c r="O1025" t="s">
        <v>33</v>
      </c>
      <c r="P1025">
        <v>0</v>
      </c>
      <c r="Q1025">
        <v>0</v>
      </c>
      <c r="R1025">
        <v>0</v>
      </c>
      <c r="S1025" t="s">
        <v>99</v>
      </c>
      <c r="T1025" t="s">
        <v>1646</v>
      </c>
      <c r="U1025">
        <v>1</v>
      </c>
    </row>
    <row r="1026" spans="1:21" x14ac:dyDescent="0.3">
      <c r="A1026" t="s">
        <v>1643</v>
      </c>
      <c r="B1026" t="s">
        <v>1644</v>
      </c>
      <c r="C1026" t="s">
        <v>187</v>
      </c>
      <c r="D1026" t="s">
        <v>29</v>
      </c>
      <c r="E1026" t="s">
        <v>30</v>
      </c>
      <c r="F1026" s="6">
        <v>45016</v>
      </c>
      <c r="G1026">
        <v>80</v>
      </c>
      <c r="H1026">
        <v>100</v>
      </c>
      <c r="I1026">
        <v>1.25</v>
      </c>
      <c r="J1026">
        <v>1.25</v>
      </c>
      <c r="K1026" t="s">
        <v>31</v>
      </c>
      <c r="L1026" t="s">
        <v>31</v>
      </c>
      <c r="M1026">
        <v>2023</v>
      </c>
      <c r="N1026" t="s">
        <v>38</v>
      </c>
      <c r="O1026" t="s">
        <v>33</v>
      </c>
      <c r="P1026">
        <v>0</v>
      </c>
      <c r="Q1026">
        <v>0</v>
      </c>
      <c r="R1026">
        <v>0</v>
      </c>
      <c r="S1026" t="s">
        <v>99</v>
      </c>
      <c r="T1026" t="s">
        <v>1647</v>
      </c>
      <c r="U1026">
        <v>1</v>
      </c>
    </row>
    <row r="1027" spans="1:21" x14ac:dyDescent="0.3">
      <c r="A1027" t="s">
        <v>1643</v>
      </c>
      <c r="B1027" t="s">
        <v>1644</v>
      </c>
      <c r="C1027" t="s">
        <v>187</v>
      </c>
      <c r="D1027" t="s">
        <v>29</v>
      </c>
      <c r="E1027" t="s">
        <v>30</v>
      </c>
      <c r="F1027" s="6">
        <v>45046</v>
      </c>
      <c r="G1027">
        <v>80</v>
      </c>
      <c r="H1027">
        <v>81.819999999999993</v>
      </c>
      <c r="I1027">
        <v>1.02275</v>
      </c>
      <c r="J1027">
        <v>1.02275</v>
      </c>
      <c r="K1027" t="s">
        <v>31</v>
      </c>
      <c r="L1027" t="s">
        <v>31</v>
      </c>
      <c r="M1027">
        <v>2023</v>
      </c>
      <c r="N1027" t="s">
        <v>40</v>
      </c>
      <c r="O1027" t="s">
        <v>33</v>
      </c>
      <c r="P1027">
        <v>0</v>
      </c>
      <c r="Q1027">
        <v>0</v>
      </c>
      <c r="R1027">
        <v>0</v>
      </c>
      <c r="S1027" t="s">
        <v>99</v>
      </c>
      <c r="T1027" t="s">
        <v>1648</v>
      </c>
      <c r="U1027">
        <v>1</v>
      </c>
    </row>
    <row r="1028" spans="1:21" x14ac:dyDescent="0.3">
      <c r="A1028" t="s">
        <v>1643</v>
      </c>
      <c r="B1028" t="s">
        <v>1644</v>
      </c>
      <c r="C1028" t="s">
        <v>187</v>
      </c>
      <c r="D1028" t="s">
        <v>29</v>
      </c>
      <c r="E1028" t="s">
        <v>30</v>
      </c>
      <c r="F1028" s="6">
        <v>45077</v>
      </c>
      <c r="G1028">
        <v>80</v>
      </c>
      <c r="H1028">
        <v>83.33</v>
      </c>
      <c r="I1028">
        <v>1.041625</v>
      </c>
      <c r="J1028">
        <v>1.041625</v>
      </c>
      <c r="K1028" t="s">
        <v>31</v>
      </c>
      <c r="L1028" t="s">
        <v>31</v>
      </c>
      <c r="M1028">
        <v>2023</v>
      </c>
      <c r="N1028" t="s">
        <v>42</v>
      </c>
      <c r="O1028" t="s">
        <v>33</v>
      </c>
      <c r="P1028">
        <v>0</v>
      </c>
      <c r="Q1028">
        <v>0</v>
      </c>
      <c r="R1028">
        <v>0</v>
      </c>
      <c r="S1028" t="s">
        <v>99</v>
      </c>
      <c r="T1028" t="s">
        <v>1649</v>
      </c>
      <c r="U1028">
        <v>1</v>
      </c>
    </row>
    <row r="1029" spans="1:21" x14ac:dyDescent="0.3">
      <c r="A1029" t="s">
        <v>1643</v>
      </c>
      <c r="B1029" t="s">
        <v>1644</v>
      </c>
      <c r="C1029" t="s">
        <v>187</v>
      </c>
      <c r="D1029" t="s">
        <v>29</v>
      </c>
      <c r="E1029" t="s">
        <v>30</v>
      </c>
      <c r="F1029" s="6">
        <v>45107</v>
      </c>
      <c r="G1029">
        <v>80</v>
      </c>
      <c r="H1029">
        <v>100</v>
      </c>
      <c r="I1029">
        <v>1.25</v>
      </c>
      <c r="J1029">
        <v>1.25</v>
      </c>
      <c r="K1029" t="s">
        <v>31</v>
      </c>
      <c r="L1029" t="s">
        <v>31</v>
      </c>
      <c r="M1029">
        <v>2023</v>
      </c>
      <c r="N1029" t="s">
        <v>44</v>
      </c>
      <c r="O1029" t="s">
        <v>33</v>
      </c>
      <c r="P1029">
        <v>0</v>
      </c>
      <c r="Q1029">
        <v>0</v>
      </c>
      <c r="R1029">
        <v>0</v>
      </c>
      <c r="S1029" t="s">
        <v>99</v>
      </c>
      <c r="T1029" t="s">
        <v>1650</v>
      </c>
      <c r="U1029">
        <v>1</v>
      </c>
    </row>
    <row r="1030" spans="1:21" x14ac:dyDescent="0.3">
      <c r="A1030" t="s">
        <v>1643</v>
      </c>
      <c r="B1030" t="s">
        <v>1644</v>
      </c>
      <c r="C1030" t="s">
        <v>187</v>
      </c>
      <c r="D1030" t="s">
        <v>29</v>
      </c>
      <c r="E1030" t="s">
        <v>30</v>
      </c>
      <c r="F1030" s="6">
        <v>45138</v>
      </c>
      <c r="G1030">
        <v>80</v>
      </c>
      <c r="H1030">
        <v>91.67</v>
      </c>
      <c r="I1030">
        <v>1.145875</v>
      </c>
      <c r="J1030">
        <v>1.145875</v>
      </c>
      <c r="K1030" t="s">
        <v>31</v>
      </c>
      <c r="L1030" t="s">
        <v>31</v>
      </c>
      <c r="M1030">
        <v>2023</v>
      </c>
      <c r="N1030" t="s">
        <v>46</v>
      </c>
      <c r="O1030" t="s">
        <v>47</v>
      </c>
      <c r="P1030">
        <v>0</v>
      </c>
      <c r="Q1030">
        <v>0</v>
      </c>
      <c r="R1030">
        <v>0</v>
      </c>
      <c r="S1030" t="s">
        <v>99</v>
      </c>
      <c r="T1030" t="s">
        <v>1651</v>
      </c>
      <c r="U1030">
        <v>1</v>
      </c>
    </row>
    <row r="1031" spans="1:21" x14ac:dyDescent="0.3">
      <c r="A1031" t="s">
        <v>1643</v>
      </c>
      <c r="B1031" t="s">
        <v>1644</v>
      </c>
      <c r="C1031" t="s">
        <v>187</v>
      </c>
      <c r="D1031" t="s">
        <v>29</v>
      </c>
      <c r="E1031" t="s">
        <v>30</v>
      </c>
      <c r="F1031" s="6">
        <v>45169</v>
      </c>
      <c r="G1031">
        <v>80</v>
      </c>
      <c r="H1031">
        <v>91.67</v>
      </c>
      <c r="I1031">
        <v>1.145875</v>
      </c>
      <c r="J1031">
        <v>1.145875</v>
      </c>
      <c r="K1031" t="s">
        <v>31</v>
      </c>
      <c r="L1031" t="s">
        <v>31</v>
      </c>
      <c r="M1031">
        <v>2023</v>
      </c>
      <c r="N1031" t="s">
        <v>49</v>
      </c>
      <c r="O1031" t="s">
        <v>47</v>
      </c>
      <c r="P1031">
        <v>0</v>
      </c>
      <c r="Q1031">
        <v>0</v>
      </c>
      <c r="R1031">
        <v>0</v>
      </c>
      <c r="S1031" t="s">
        <v>99</v>
      </c>
      <c r="T1031" t="s">
        <v>1652</v>
      </c>
      <c r="U1031">
        <v>1</v>
      </c>
    </row>
    <row r="1032" spans="1:21" x14ac:dyDescent="0.3">
      <c r="A1032" t="s">
        <v>1643</v>
      </c>
      <c r="B1032" t="s">
        <v>1644</v>
      </c>
      <c r="C1032" t="s">
        <v>187</v>
      </c>
      <c r="D1032" t="s">
        <v>29</v>
      </c>
      <c r="E1032" t="s">
        <v>30</v>
      </c>
      <c r="F1032" s="6">
        <v>45199</v>
      </c>
      <c r="G1032">
        <v>80</v>
      </c>
      <c r="H1032">
        <v>91.67</v>
      </c>
      <c r="I1032">
        <v>1.145875</v>
      </c>
      <c r="J1032">
        <v>1.145875</v>
      </c>
      <c r="K1032" t="s">
        <v>31</v>
      </c>
      <c r="L1032" t="s">
        <v>31</v>
      </c>
      <c r="M1032">
        <v>2023</v>
      </c>
      <c r="N1032" t="s">
        <v>51</v>
      </c>
      <c r="O1032" t="s">
        <v>47</v>
      </c>
      <c r="P1032">
        <v>0</v>
      </c>
      <c r="Q1032">
        <v>0</v>
      </c>
      <c r="R1032">
        <v>0</v>
      </c>
      <c r="S1032" t="s">
        <v>99</v>
      </c>
      <c r="T1032" t="s">
        <v>1653</v>
      </c>
      <c r="U1032">
        <v>1</v>
      </c>
    </row>
    <row r="1033" spans="1:21" x14ac:dyDescent="0.3">
      <c r="A1033" t="s">
        <v>1643</v>
      </c>
      <c r="B1033" t="s">
        <v>1644</v>
      </c>
      <c r="C1033" t="s">
        <v>187</v>
      </c>
      <c r="D1033" t="s">
        <v>29</v>
      </c>
      <c r="E1033" t="s">
        <v>30</v>
      </c>
      <c r="F1033" s="6">
        <v>45230</v>
      </c>
      <c r="G1033">
        <v>80</v>
      </c>
      <c r="H1033">
        <v>88.89</v>
      </c>
      <c r="I1033">
        <v>1.1111249999999999</v>
      </c>
      <c r="J1033">
        <v>1.1111249999999999</v>
      </c>
      <c r="K1033" t="s">
        <v>31</v>
      </c>
      <c r="L1033" t="s">
        <v>31</v>
      </c>
      <c r="M1033">
        <v>2023</v>
      </c>
      <c r="N1033" t="s">
        <v>53</v>
      </c>
      <c r="O1033" t="s">
        <v>47</v>
      </c>
      <c r="P1033">
        <v>0</v>
      </c>
      <c r="Q1033">
        <v>0</v>
      </c>
      <c r="R1033">
        <v>0</v>
      </c>
      <c r="S1033" t="s">
        <v>99</v>
      </c>
      <c r="T1033" t="s">
        <v>1654</v>
      </c>
      <c r="U1033">
        <v>1</v>
      </c>
    </row>
    <row r="1034" spans="1:21" x14ac:dyDescent="0.3">
      <c r="A1034" t="s">
        <v>1643</v>
      </c>
      <c r="B1034" t="s">
        <v>1644</v>
      </c>
      <c r="C1034" t="s">
        <v>187</v>
      </c>
      <c r="D1034" t="s">
        <v>29</v>
      </c>
      <c r="E1034" t="s">
        <v>30</v>
      </c>
      <c r="F1034" s="6">
        <v>45260</v>
      </c>
      <c r="G1034">
        <v>80</v>
      </c>
      <c r="H1034">
        <v>87.5</v>
      </c>
      <c r="I1034">
        <v>1.09375</v>
      </c>
      <c r="J1034">
        <v>1.09375</v>
      </c>
      <c r="K1034" t="s">
        <v>31</v>
      </c>
      <c r="L1034" t="s">
        <v>31</v>
      </c>
      <c r="M1034">
        <v>2023</v>
      </c>
      <c r="N1034" t="s">
        <v>55</v>
      </c>
      <c r="O1034" t="s">
        <v>47</v>
      </c>
      <c r="P1034">
        <v>0</v>
      </c>
      <c r="Q1034">
        <v>0</v>
      </c>
      <c r="R1034">
        <v>0</v>
      </c>
      <c r="S1034" t="s">
        <v>99</v>
      </c>
      <c r="T1034" t="s">
        <v>1655</v>
      </c>
      <c r="U1034">
        <v>1</v>
      </c>
    </row>
    <row r="1035" spans="1:21" x14ac:dyDescent="0.3">
      <c r="A1035" t="s">
        <v>1643</v>
      </c>
      <c r="B1035" t="s">
        <v>1644</v>
      </c>
      <c r="C1035" t="s">
        <v>187</v>
      </c>
      <c r="D1035" t="s">
        <v>29</v>
      </c>
      <c r="E1035" t="s">
        <v>30</v>
      </c>
      <c r="F1035" s="6">
        <v>45291</v>
      </c>
      <c r="G1035">
        <v>80</v>
      </c>
      <c r="H1035">
        <v>85.71</v>
      </c>
      <c r="I1035">
        <v>1.071375</v>
      </c>
      <c r="J1035">
        <v>1.071375</v>
      </c>
      <c r="K1035" t="s">
        <v>31</v>
      </c>
      <c r="L1035" t="s">
        <v>31</v>
      </c>
      <c r="M1035">
        <v>2023</v>
      </c>
      <c r="N1035" t="s">
        <v>57</v>
      </c>
      <c r="O1035" t="s">
        <v>47</v>
      </c>
      <c r="P1035">
        <v>0</v>
      </c>
      <c r="Q1035">
        <v>0</v>
      </c>
      <c r="R1035">
        <v>0</v>
      </c>
      <c r="S1035" t="s">
        <v>99</v>
      </c>
      <c r="T1035" t="s">
        <v>1656</v>
      </c>
      <c r="U1035">
        <v>1</v>
      </c>
    </row>
    <row r="1036" spans="1:21" x14ac:dyDescent="0.3">
      <c r="A1036" t="s">
        <v>1643</v>
      </c>
      <c r="B1036" t="s">
        <v>1644</v>
      </c>
      <c r="C1036" t="s">
        <v>187</v>
      </c>
      <c r="D1036" t="s">
        <v>29</v>
      </c>
      <c r="E1036" t="s">
        <v>30</v>
      </c>
      <c r="F1036" s="6">
        <v>45322</v>
      </c>
      <c r="G1036">
        <v>80</v>
      </c>
      <c r="H1036">
        <v>88.89</v>
      </c>
      <c r="I1036">
        <v>1.1111249999999999</v>
      </c>
      <c r="J1036">
        <v>1.1111249999999999</v>
      </c>
      <c r="K1036" t="s">
        <v>31</v>
      </c>
      <c r="L1036" t="s">
        <v>31</v>
      </c>
      <c r="M1036">
        <v>2024</v>
      </c>
      <c r="N1036" t="s">
        <v>32</v>
      </c>
      <c r="O1036" t="s">
        <v>71</v>
      </c>
      <c r="P1036">
        <v>0</v>
      </c>
      <c r="Q1036">
        <v>0</v>
      </c>
      <c r="R1036">
        <v>0</v>
      </c>
      <c r="S1036" t="s">
        <v>99</v>
      </c>
      <c r="T1036" t="s">
        <v>1657</v>
      </c>
      <c r="U1036">
        <v>1</v>
      </c>
    </row>
    <row r="1037" spans="1:21" x14ac:dyDescent="0.3">
      <c r="A1037" t="s">
        <v>1643</v>
      </c>
      <c r="B1037" t="s">
        <v>1644</v>
      </c>
      <c r="C1037" t="s">
        <v>187</v>
      </c>
      <c r="D1037" t="s">
        <v>29</v>
      </c>
      <c r="E1037" t="s">
        <v>30</v>
      </c>
      <c r="F1037" s="6">
        <v>45351</v>
      </c>
      <c r="G1037">
        <v>80</v>
      </c>
      <c r="H1037">
        <v>90.91</v>
      </c>
      <c r="I1037">
        <v>1.1363749999999999</v>
      </c>
      <c r="J1037">
        <v>1.1363749999999999</v>
      </c>
      <c r="K1037" t="s">
        <v>31</v>
      </c>
      <c r="L1037" t="s">
        <v>31</v>
      </c>
      <c r="M1037">
        <v>2024</v>
      </c>
      <c r="N1037" t="s">
        <v>36</v>
      </c>
      <c r="O1037" t="s">
        <v>71</v>
      </c>
      <c r="P1037">
        <v>0</v>
      </c>
      <c r="Q1037">
        <v>0</v>
      </c>
      <c r="R1037">
        <v>0</v>
      </c>
      <c r="S1037" t="s">
        <v>99</v>
      </c>
      <c r="T1037" t="s">
        <v>1658</v>
      </c>
      <c r="U1037">
        <v>1</v>
      </c>
    </row>
    <row r="1038" spans="1:21" x14ac:dyDescent="0.3">
      <c r="A1038" t="s">
        <v>1643</v>
      </c>
      <c r="B1038" t="s">
        <v>1644</v>
      </c>
      <c r="C1038" t="s">
        <v>187</v>
      </c>
      <c r="D1038" t="s">
        <v>29</v>
      </c>
      <c r="E1038" t="s">
        <v>30</v>
      </c>
      <c r="F1038" s="6">
        <v>45382</v>
      </c>
      <c r="G1038">
        <v>80</v>
      </c>
      <c r="H1038">
        <v>80</v>
      </c>
      <c r="I1038">
        <v>1</v>
      </c>
      <c r="J1038">
        <v>1</v>
      </c>
      <c r="K1038" t="s">
        <v>31</v>
      </c>
      <c r="L1038" t="s">
        <v>31</v>
      </c>
      <c r="M1038">
        <v>2024</v>
      </c>
      <c r="N1038" t="s">
        <v>38</v>
      </c>
      <c r="O1038" t="s">
        <v>71</v>
      </c>
      <c r="P1038">
        <v>0</v>
      </c>
      <c r="Q1038">
        <v>0</v>
      </c>
      <c r="R1038">
        <v>0</v>
      </c>
      <c r="S1038" t="s">
        <v>99</v>
      </c>
      <c r="T1038" t="s">
        <v>1659</v>
      </c>
      <c r="U1038">
        <v>1</v>
      </c>
    </row>
    <row r="1039" spans="1:21" x14ac:dyDescent="0.3">
      <c r="A1039" t="s">
        <v>1643</v>
      </c>
      <c r="B1039" t="s">
        <v>1644</v>
      </c>
      <c r="C1039" t="s">
        <v>187</v>
      </c>
      <c r="D1039" t="s">
        <v>29</v>
      </c>
      <c r="E1039" t="s">
        <v>30</v>
      </c>
      <c r="F1039" s="6">
        <v>45412</v>
      </c>
      <c r="G1039">
        <v>80</v>
      </c>
      <c r="H1039">
        <v>100</v>
      </c>
      <c r="I1039">
        <v>1.25</v>
      </c>
      <c r="J1039">
        <v>1.25</v>
      </c>
      <c r="K1039" t="s">
        <v>31</v>
      </c>
      <c r="L1039" t="s">
        <v>31</v>
      </c>
      <c r="M1039">
        <v>2024</v>
      </c>
      <c r="N1039" t="s">
        <v>40</v>
      </c>
      <c r="O1039" t="s">
        <v>71</v>
      </c>
      <c r="P1039">
        <v>0</v>
      </c>
      <c r="Q1039">
        <v>0</v>
      </c>
      <c r="R1039">
        <v>0</v>
      </c>
      <c r="S1039" t="s">
        <v>99</v>
      </c>
      <c r="T1039" t="s">
        <v>1660</v>
      </c>
      <c r="U1039">
        <v>1</v>
      </c>
    </row>
    <row r="1040" spans="1:21" x14ac:dyDescent="0.3">
      <c r="A1040" t="s">
        <v>1643</v>
      </c>
      <c r="B1040" t="s">
        <v>1644</v>
      </c>
      <c r="C1040" t="s">
        <v>187</v>
      </c>
      <c r="D1040" t="s">
        <v>29</v>
      </c>
      <c r="E1040" t="s">
        <v>30</v>
      </c>
      <c r="F1040" s="6">
        <v>45443</v>
      </c>
      <c r="G1040">
        <v>80</v>
      </c>
      <c r="H1040">
        <v>85.71</v>
      </c>
      <c r="I1040">
        <v>1.071375</v>
      </c>
      <c r="J1040">
        <v>1.071375</v>
      </c>
      <c r="K1040" t="s">
        <v>31</v>
      </c>
      <c r="L1040" t="s">
        <v>31</v>
      </c>
      <c r="M1040">
        <v>2024</v>
      </c>
      <c r="N1040" t="s">
        <v>42</v>
      </c>
      <c r="O1040" t="s">
        <v>71</v>
      </c>
      <c r="P1040">
        <v>0</v>
      </c>
      <c r="Q1040">
        <v>0</v>
      </c>
      <c r="R1040">
        <v>0</v>
      </c>
      <c r="S1040" t="s">
        <v>99</v>
      </c>
      <c r="T1040" t="s">
        <v>1661</v>
      </c>
      <c r="U1040">
        <v>1</v>
      </c>
    </row>
    <row r="1041" spans="1:21" x14ac:dyDescent="0.3">
      <c r="A1041" t="s">
        <v>1643</v>
      </c>
      <c r="B1041" t="s">
        <v>1644</v>
      </c>
      <c r="C1041" t="s">
        <v>187</v>
      </c>
      <c r="D1041" t="s">
        <v>29</v>
      </c>
      <c r="E1041" t="s">
        <v>30</v>
      </c>
      <c r="F1041" s="6">
        <v>45473</v>
      </c>
      <c r="G1041">
        <v>80</v>
      </c>
      <c r="H1041">
        <v>85.71</v>
      </c>
      <c r="I1041">
        <v>1.071375</v>
      </c>
      <c r="J1041">
        <v>1.071375</v>
      </c>
      <c r="K1041" t="s">
        <v>31</v>
      </c>
      <c r="L1041" t="s">
        <v>31</v>
      </c>
      <c r="M1041">
        <v>2024</v>
      </c>
      <c r="N1041" t="s">
        <v>44</v>
      </c>
      <c r="O1041" t="s">
        <v>71</v>
      </c>
      <c r="P1041">
        <v>0</v>
      </c>
      <c r="Q1041">
        <v>0</v>
      </c>
      <c r="R1041">
        <v>0</v>
      </c>
      <c r="S1041" t="s">
        <v>99</v>
      </c>
      <c r="T1041" t="s">
        <v>1662</v>
      </c>
      <c r="U1041">
        <v>1</v>
      </c>
    </row>
    <row r="1042" spans="1:21" x14ac:dyDescent="0.3">
      <c r="A1042" t="s">
        <v>1643</v>
      </c>
      <c r="B1042" t="s">
        <v>1644</v>
      </c>
      <c r="C1042" t="s">
        <v>187</v>
      </c>
      <c r="D1042" t="s">
        <v>29</v>
      </c>
      <c r="E1042" t="s">
        <v>30</v>
      </c>
      <c r="F1042" s="6">
        <v>45504</v>
      </c>
      <c r="G1042">
        <v>80</v>
      </c>
      <c r="H1042">
        <v>85.71</v>
      </c>
      <c r="I1042">
        <v>1.071375</v>
      </c>
      <c r="J1042">
        <v>1.071375</v>
      </c>
      <c r="K1042" t="s">
        <v>31</v>
      </c>
      <c r="L1042" t="s">
        <v>31</v>
      </c>
      <c r="M1042">
        <v>2024</v>
      </c>
      <c r="N1042" t="s">
        <v>46</v>
      </c>
      <c r="O1042" t="s">
        <v>78</v>
      </c>
      <c r="P1042">
        <v>0</v>
      </c>
      <c r="Q1042">
        <v>0</v>
      </c>
      <c r="R1042">
        <v>0</v>
      </c>
      <c r="S1042" t="s">
        <v>99</v>
      </c>
      <c r="T1042" t="s">
        <v>1663</v>
      </c>
      <c r="U1042">
        <v>1</v>
      </c>
    </row>
    <row r="1043" spans="1:21" x14ac:dyDescent="0.3">
      <c r="A1043" t="s">
        <v>1643</v>
      </c>
      <c r="B1043" t="s">
        <v>1644</v>
      </c>
      <c r="C1043" t="s">
        <v>187</v>
      </c>
      <c r="D1043" t="s">
        <v>29</v>
      </c>
      <c r="E1043" t="s">
        <v>30</v>
      </c>
      <c r="F1043" s="6">
        <v>45535</v>
      </c>
      <c r="G1043">
        <v>80</v>
      </c>
      <c r="H1043">
        <v>80</v>
      </c>
      <c r="I1043">
        <v>1</v>
      </c>
      <c r="J1043">
        <v>1</v>
      </c>
      <c r="K1043" t="s">
        <v>31</v>
      </c>
      <c r="L1043" t="s">
        <v>31</v>
      </c>
      <c r="M1043">
        <v>2024</v>
      </c>
      <c r="N1043" t="s">
        <v>49</v>
      </c>
      <c r="O1043" t="s">
        <v>78</v>
      </c>
      <c r="P1043">
        <v>0</v>
      </c>
      <c r="Q1043">
        <v>0</v>
      </c>
      <c r="R1043">
        <v>0</v>
      </c>
      <c r="S1043" t="s">
        <v>99</v>
      </c>
      <c r="T1043" t="s">
        <v>1664</v>
      </c>
      <c r="U1043">
        <v>1</v>
      </c>
    </row>
    <row r="1044" spans="1:21" x14ac:dyDescent="0.3">
      <c r="A1044" t="s">
        <v>1643</v>
      </c>
      <c r="B1044" t="s">
        <v>1644</v>
      </c>
      <c r="C1044" t="s">
        <v>187</v>
      </c>
      <c r="D1044" t="s">
        <v>29</v>
      </c>
      <c r="E1044" t="s">
        <v>30</v>
      </c>
      <c r="F1044" s="6">
        <v>45565</v>
      </c>
      <c r="G1044">
        <v>80</v>
      </c>
      <c r="H1044">
        <v>84.62</v>
      </c>
      <c r="I1044">
        <v>1.05775</v>
      </c>
      <c r="J1044">
        <v>1.05775</v>
      </c>
      <c r="K1044" t="s">
        <v>31</v>
      </c>
      <c r="L1044" t="s">
        <v>31</v>
      </c>
      <c r="M1044">
        <v>2024</v>
      </c>
      <c r="N1044" t="s">
        <v>51</v>
      </c>
      <c r="O1044" t="s">
        <v>78</v>
      </c>
      <c r="P1044">
        <v>0</v>
      </c>
      <c r="Q1044">
        <v>0</v>
      </c>
      <c r="R1044">
        <v>0</v>
      </c>
      <c r="S1044" t="s">
        <v>99</v>
      </c>
      <c r="T1044" t="s">
        <v>1665</v>
      </c>
      <c r="U1044">
        <v>1</v>
      </c>
    </row>
    <row r="1045" spans="1:21" x14ac:dyDescent="0.3">
      <c r="A1045" t="s">
        <v>1643</v>
      </c>
      <c r="B1045" t="s">
        <v>1644</v>
      </c>
      <c r="C1045" t="s">
        <v>187</v>
      </c>
      <c r="D1045" t="s">
        <v>29</v>
      </c>
      <c r="E1045" t="s">
        <v>30</v>
      </c>
      <c r="F1045" s="6">
        <v>45596</v>
      </c>
      <c r="G1045">
        <v>80</v>
      </c>
      <c r="H1045">
        <v>85.71</v>
      </c>
      <c r="I1045">
        <v>1.071375</v>
      </c>
      <c r="J1045">
        <v>1.071375</v>
      </c>
      <c r="K1045" t="s">
        <v>31</v>
      </c>
      <c r="L1045" t="s">
        <v>31</v>
      </c>
      <c r="M1045">
        <v>2024</v>
      </c>
      <c r="N1045" t="s">
        <v>53</v>
      </c>
      <c r="O1045" t="s">
        <v>78</v>
      </c>
      <c r="P1045">
        <v>0</v>
      </c>
      <c r="Q1045">
        <v>0</v>
      </c>
      <c r="R1045">
        <v>0</v>
      </c>
      <c r="S1045" t="s">
        <v>99</v>
      </c>
      <c r="T1045" t="s">
        <v>1666</v>
      </c>
      <c r="U1045">
        <v>1</v>
      </c>
    </row>
    <row r="1046" spans="1:21" x14ac:dyDescent="0.3">
      <c r="A1046" t="s">
        <v>1643</v>
      </c>
      <c r="B1046" t="s">
        <v>1644</v>
      </c>
      <c r="C1046" t="s">
        <v>187</v>
      </c>
      <c r="D1046" t="s">
        <v>29</v>
      </c>
      <c r="E1046" t="s">
        <v>30</v>
      </c>
      <c r="F1046" s="6">
        <v>45626</v>
      </c>
      <c r="G1046">
        <v>80</v>
      </c>
      <c r="H1046">
        <v>100</v>
      </c>
      <c r="I1046">
        <v>1.25</v>
      </c>
      <c r="J1046">
        <v>1.25</v>
      </c>
      <c r="K1046" t="s">
        <v>31</v>
      </c>
      <c r="L1046" t="s">
        <v>31</v>
      </c>
      <c r="M1046">
        <v>2024</v>
      </c>
      <c r="N1046" t="s">
        <v>55</v>
      </c>
      <c r="O1046" t="s">
        <v>78</v>
      </c>
      <c r="P1046">
        <v>0</v>
      </c>
      <c r="Q1046">
        <v>0</v>
      </c>
      <c r="R1046">
        <v>0</v>
      </c>
      <c r="S1046" t="s">
        <v>99</v>
      </c>
      <c r="T1046" t="s">
        <v>1667</v>
      </c>
      <c r="U1046">
        <v>1</v>
      </c>
    </row>
    <row r="1047" spans="1:21" x14ac:dyDescent="0.3">
      <c r="A1047" t="s">
        <v>1643</v>
      </c>
      <c r="B1047" t="s">
        <v>1644</v>
      </c>
      <c r="C1047" t="s">
        <v>187</v>
      </c>
      <c r="D1047" t="s">
        <v>29</v>
      </c>
      <c r="E1047" t="s">
        <v>30</v>
      </c>
      <c r="F1047" s="6">
        <v>45657</v>
      </c>
      <c r="G1047">
        <v>80</v>
      </c>
      <c r="H1047">
        <v>100</v>
      </c>
      <c r="I1047">
        <v>1.25</v>
      </c>
      <c r="J1047">
        <v>1.25</v>
      </c>
      <c r="K1047" t="s">
        <v>31</v>
      </c>
      <c r="L1047" t="s">
        <v>31</v>
      </c>
      <c r="M1047">
        <v>2024</v>
      </c>
      <c r="N1047" t="s">
        <v>57</v>
      </c>
      <c r="O1047" t="s">
        <v>78</v>
      </c>
      <c r="P1047">
        <v>0</v>
      </c>
      <c r="Q1047">
        <v>0</v>
      </c>
      <c r="R1047">
        <v>0</v>
      </c>
      <c r="S1047" t="s">
        <v>99</v>
      </c>
      <c r="T1047" t="s">
        <v>1668</v>
      </c>
      <c r="U1047">
        <v>1</v>
      </c>
    </row>
    <row r="1048" spans="1:21" x14ac:dyDescent="0.3">
      <c r="A1048" t="s">
        <v>1643</v>
      </c>
      <c r="B1048" t="s">
        <v>1644</v>
      </c>
      <c r="C1048" t="s">
        <v>187</v>
      </c>
      <c r="D1048" t="s">
        <v>29</v>
      </c>
      <c r="E1048" t="s">
        <v>30</v>
      </c>
      <c r="F1048" s="6">
        <v>45688</v>
      </c>
      <c r="G1048">
        <v>80</v>
      </c>
      <c r="H1048" t="s">
        <v>95</v>
      </c>
      <c r="I1048">
        <v>1.25</v>
      </c>
      <c r="J1048">
        <v>1.25</v>
      </c>
      <c r="K1048" t="s">
        <v>193</v>
      </c>
      <c r="L1048" t="s">
        <v>102</v>
      </c>
      <c r="M1048">
        <v>2025</v>
      </c>
      <c r="N1048" t="s">
        <v>32</v>
      </c>
      <c r="O1048" t="s">
        <v>244</v>
      </c>
      <c r="P1048">
        <v>2</v>
      </c>
      <c r="Q1048">
        <v>2</v>
      </c>
      <c r="R1048">
        <v>0</v>
      </c>
      <c r="S1048" t="s">
        <v>104</v>
      </c>
      <c r="T1048" t="s">
        <v>1669</v>
      </c>
      <c r="U1048">
        <v>31</v>
      </c>
    </row>
    <row r="1049" spans="1:21" x14ac:dyDescent="0.3">
      <c r="A1049" t="s">
        <v>1643</v>
      </c>
      <c r="B1049" t="s">
        <v>1644</v>
      </c>
      <c r="C1049" t="s">
        <v>187</v>
      </c>
      <c r="D1049" t="s">
        <v>29</v>
      </c>
      <c r="E1049" t="s">
        <v>30</v>
      </c>
      <c r="F1049" s="6">
        <v>45716</v>
      </c>
      <c r="G1049">
        <v>80</v>
      </c>
      <c r="H1049" t="s">
        <v>95</v>
      </c>
      <c r="I1049">
        <v>1.25</v>
      </c>
      <c r="J1049">
        <v>1.25</v>
      </c>
      <c r="K1049" t="s">
        <v>193</v>
      </c>
      <c r="L1049" t="s">
        <v>102</v>
      </c>
      <c r="M1049">
        <v>2025</v>
      </c>
      <c r="N1049" t="s">
        <v>36</v>
      </c>
      <c r="O1049" t="s">
        <v>244</v>
      </c>
      <c r="P1049">
        <v>2</v>
      </c>
      <c r="Q1049">
        <v>2</v>
      </c>
      <c r="R1049">
        <v>0</v>
      </c>
      <c r="S1049" t="s">
        <v>104</v>
      </c>
      <c r="T1049" t="s">
        <v>1670</v>
      </c>
      <c r="U1049">
        <v>28</v>
      </c>
    </row>
    <row r="1050" spans="1:21" x14ac:dyDescent="0.3">
      <c r="A1050" t="s">
        <v>1643</v>
      </c>
      <c r="B1050" t="s">
        <v>1644</v>
      </c>
      <c r="C1050" t="s">
        <v>187</v>
      </c>
      <c r="D1050" t="s">
        <v>29</v>
      </c>
      <c r="E1050" t="s">
        <v>30</v>
      </c>
      <c r="F1050" s="6">
        <v>45747</v>
      </c>
      <c r="G1050">
        <v>80</v>
      </c>
      <c r="H1050" t="s">
        <v>95</v>
      </c>
      <c r="I1050">
        <v>1.25</v>
      </c>
      <c r="J1050">
        <v>1.25</v>
      </c>
      <c r="K1050" t="s">
        <v>193</v>
      </c>
      <c r="L1050" t="s">
        <v>102</v>
      </c>
      <c r="M1050">
        <v>2025</v>
      </c>
      <c r="N1050" t="s">
        <v>38</v>
      </c>
      <c r="O1050" t="s">
        <v>244</v>
      </c>
      <c r="P1050">
        <v>2</v>
      </c>
      <c r="Q1050">
        <v>2</v>
      </c>
      <c r="R1050">
        <v>0</v>
      </c>
      <c r="S1050" t="s">
        <v>104</v>
      </c>
      <c r="T1050" t="s">
        <v>1671</v>
      </c>
      <c r="U1050">
        <v>31</v>
      </c>
    </row>
    <row r="1051" spans="1:21" x14ac:dyDescent="0.3">
      <c r="A1051" t="s">
        <v>1643</v>
      </c>
      <c r="B1051" t="s">
        <v>1644</v>
      </c>
      <c r="C1051" t="s">
        <v>187</v>
      </c>
      <c r="D1051" t="s">
        <v>29</v>
      </c>
      <c r="E1051" t="s">
        <v>30</v>
      </c>
      <c r="F1051" s="6">
        <v>45777</v>
      </c>
      <c r="G1051">
        <v>80</v>
      </c>
      <c r="H1051" t="s">
        <v>95</v>
      </c>
      <c r="I1051">
        <v>1.25</v>
      </c>
      <c r="J1051">
        <v>1.25</v>
      </c>
      <c r="K1051" t="s">
        <v>193</v>
      </c>
      <c r="L1051" t="s">
        <v>102</v>
      </c>
      <c r="M1051">
        <v>2025</v>
      </c>
      <c r="N1051" t="s">
        <v>40</v>
      </c>
      <c r="O1051" t="s">
        <v>244</v>
      </c>
      <c r="P1051">
        <v>2</v>
      </c>
      <c r="Q1051">
        <v>2</v>
      </c>
      <c r="R1051">
        <v>0</v>
      </c>
      <c r="S1051" t="s">
        <v>104</v>
      </c>
      <c r="T1051" t="s">
        <v>1672</v>
      </c>
      <c r="U1051">
        <v>30</v>
      </c>
    </row>
    <row r="1052" spans="1:21" x14ac:dyDescent="0.3">
      <c r="A1052" t="s">
        <v>1643</v>
      </c>
      <c r="B1052" t="s">
        <v>1644</v>
      </c>
      <c r="C1052" t="s">
        <v>187</v>
      </c>
      <c r="D1052" t="s">
        <v>29</v>
      </c>
      <c r="E1052" t="s">
        <v>30</v>
      </c>
      <c r="F1052" s="6">
        <v>45808</v>
      </c>
      <c r="G1052">
        <v>80</v>
      </c>
      <c r="H1052" t="s">
        <v>95</v>
      </c>
      <c r="I1052">
        <v>1.25</v>
      </c>
      <c r="J1052">
        <v>1.25</v>
      </c>
      <c r="K1052" t="s">
        <v>193</v>
      </c>
      <c r="L1052" t="s">
        <v>102</v>
      </c>
      <c r="M1052">
        <v>2025</v>
      </c>
      <c r="N1052" t="s">
        <v>42</v>
      </c>
      <c r="O1052" t="s">
        <v>244</v>
      </c>
      <c r="P1052">
        <v>2</v>
      </c>
      <c r="Q1052">
        <v>2</v>
      </c>
      <c r="R1052">
        <v>0</v>
      </c>
      <c r="S1052" t="s">
        <v>104</v>
      </c>
      <c r="T1052" t="s">
        <v>1673</v>
      </c>
      <c r="U1052">
        <v>31</v>
      </c>
    </row>
    <row r="1053" spans="1:21" x14ac:dyDescent="0.3">
      <c r="A1053" t="s">
        <v>1643</v>
      </c>
      <c r="B1053" t="s">
        <v>1644</v>
      </c>
      <c r="C1053" t="s">
        <v>187</v>
      </c>
      <c r="D1053" t="s">
        <v>29</v>
      </c>
      <c r="E1053" t="s">
        <v>30</v>
      </c>
      <c r="F1053" s="6">
        <v>45838</v>
      </c>
      <c r="G1053">
        <v>80</v>
      </c>
      <c r="H1053" t="s">
        <v>95</v>
      </c>
      <c r="I1053">
        <v>1.25</v>
      </c>
      <c r="J1053">
        <v>1.25</v>
      </c>
      <c r="K1053" t="s">
        <v>193</v>
      </c>
      <c r="L1053" t="s">
        <v>102</v>
      </c>
      <c r="M1053">
        <v>2025</v>
      </c>
      <c r="N1053" t="s">
        <v>44</v>
      </c>
      <c r="O1053" t="s">
        <v>244</v>
      </c>
      <c r="P1053">
        <v>2</v>
      </c>
      <c r="Q1053">
        <v>2</v>
      </c>
      <c r="R1053">
        <v>0</v>
      </c>
      <c r="S1053" t="s">
        <v>104</v>
      </c>
      <c r="T1053" t="s">
        <v>1674</v>
      </c>
      <c r="U1053">
        <v>30</v>
      </c>
    </row>
    <row r="1054" spans="1:21" x14ac:dyDescent="0.3">
      <c r="A1054" t="s">
        <v>1643</v>
      </c>
      <c r="B1054" t="s">
        <v>1644</v>
      </c>
      <c r="C1054" t="s">
        <v>187</v>
      </c>
      <c r="D1054" t="s">
        <v>29</v>
      </c>
      <c r="E1054" t="s">
        <v>30</v>
      </c>
      <c r="F1054" s="6">
        <v>45869</v>
      </c>
      <c r="G1054">
        <v>80</v>
      </c>
      <c r="H1054" t="s">
        <v>95</v>
      </c>
      <c r="I1054">
        <v>1.25</v>
      </c>
      <c r="J1054">
        <v>1.25</v>
      </c>
      <c r="K1054" t="s">
        <v>193</v>
      </c>
      <c r="L1054" t="s">
        <v>102</v>
      </c>
      <c r="M1054">
        <v>2025</v>
      </c>
      <c r="N1054" t="s">
        <v>46</v>
      </c>
      <c r="O1054" t="s">
        <v>103</v>
      </c>
      <c r="P1054">
        <v>2</v>
      </c>
      <c r="Q1054">
        <v>2</v>
      </c>
      <c r="R1054">
        <v>0</v>
      </c>
      <c r="S1054" t="s">
        <v>104</v>
      </c>
      <c r="T1054" t="s">
        <v>1675</v>
      </c>
      <c r="U1054">
        <v>31</v>
      </c>
    </row>
    <row r="1055" spans="1:21" x14ac:dyDescent="0.3">
      <c r="A1055" t="s">
        <v>1643</v>
      </c>
      <c r="B1055" t="s">
        <v>1644</v>
      </c>
      <c r="C1055" t="s">
        <v>187</v>
      </c>
      <c r="D1055" t="s">
        <v>29</v>
      </c>
      <c r="E1055" t="s">
        <v>30</v>
      </c>
      <c r="F1055" s="6">
        <v>45900</v>
      </c>
      <c r="G1055">
        <v>80</v>
      </c>
      <c r="H1055" t="s">
        <v>95</v>
      </c>
      <c r="I1055">
        <v>1.25</v>
      </c>
      <c r="J1055">
        <v>1.25</v>
      </c>
      <c r="K1055" t="s">
        <v>193</v>
      </c>
      <c r="L1055" t="s">
        <v>102</v>
      </c>
      <c r="M1055">
        <v>2025</v>
      </c>
      <c r="N1055" t="s">
        <v>49</v>
      </c>
      <c r="O1055" t="s">
        <v>103</v>
      </c>
      <c r="P1055">
        <v>2</v>
      </c>
      <c r="Q1055">
        <v>2</v>
      </c>
      <c r="R1055">
        <v>0</v>
      </c>
      <c r="S1055" t="s">
        <v>104</v>
      </c>
      <c r="T1055" t="s">
        <v>1676</v>
      </c>
      <c r="U1055">
        <v>31</v>
      </c>
    </row>
    <row r="1056" spans="1:21" x14ac:dyDescent="0.3">
      <c r="A1056" t="s">
        <v>1677</v>
      </c>
      <c r="B1056" t="s">
        <v>1678</v>
      </c>
      <c r="C1056" t="s">
        <v>187</v>
      </c>
      <c r="D1056" t="s">
        <v>29</v>
      </c>
      <c r="E1056" t="s">
        <v>30</v>
      </c>
      <c r="F1056" s="6">
        <v>44957</v>
      </c>
      <c r="G1056">
        <v>95</v>
      </c>
      <c r="H1056">
        <v>100.966183574879</v>
      </c>
      <c r="I1056">
        <v>1.0628019323671469</v>
      </c>
      <c r="J1056">
        <v>1.0628019323671469</v>
      </c>
      <c r="K1056" t="s">
        <v>31</v>
      </c>
      <c r="L1056" t="s">
        <v>31</v>
      </c>
      <c r="M1056">
        <v>2023</v>
      </c>
      <c r="N1056" t="s">
        <v>32</v>
      </c>
      <c r="O1056" t="s">
        <v>33</v>
      </c>
      <c r="P1056">
        <v>0</v>
      </c>
      <c r="Q1056">
        <v>0</v>
      </c>
      <c r="R1056">
        <v>0</v>
      </c>
      <c r="S1056" t="s">
        <v>99</v>
      </c>
      <c r="T1056" t="s">
        <v>1679</v>
      </c>
      <c r="U1056">
        <v>1</v>
      </c>
    </row>
    <row r="1057" spans="1:21" x14ac:dyDescent="0.3">
      <c r="A1057" t="s">
        <v>1677</v>
      </c>
      <c r="B1057" t="s">
        <v>1678</v>
      </c>
      <c r="C1057" t="s">
        <v>187</v>
      </c>
      <c r="D1057" t="s">
        <v>29</v>
      </c>
      <c r="E1057" t="s">
        <v>30</v>
      </c>
      <c r="F1057" s="6">
        <v>44985</v>
      </c>
      <c r="G1057">
        <v>95</v>
      </c>
      <c r="H1057">
        <v>88.275862068965495</v>
      </c>
      <c r="I1057">
        <v>0.92921960072595255</v>
      </c>
      <c r="J1057">
        <v>0.92921960072595255</v>
      </c>
      <c r="K1057" t="s">
        <v>31</v>
      </c>
      <c r="L1057" t="s">
        <v>31</v>
      </c>
      <c r="M1057">
        <v>2023</v>
      </c>
      <c r="N1057" t="s">
        <v>36</v>
      </c>
      <c r="O1057" t="s">
        <v>33</v>
      </c>
      <c r="P1057">
        <v>0</v>
      </c>
      <c r="Q1057">
        <v>0</v>
      </c>
      <c r="R1057">
        <v>0</v>
      </c>
      <c r="S1057" t="s">
        <v>99</v>
      </c>
      <c r="T1057" t="s">
        <v>1680</v>
      </c>
      <c r="U1057">
        <v>1</v>
      </c>
    </row>
    <row r="1058" spans="1:21" x14ac:dyDescent="0.3">
      <c r="A1058" t="s">
        <v>1677</v>
      </c>
      <c r="B1058" t="s">
        <v>1678</v>
      </c>
      <c r="C1058" t="s">
        <v>187</v>
      </c>
      <c r="D1058" t="s">
        <v>29</v>
      </c>
      <c r="E1058" t="s">
        <v>30</v>
      </c>
      <c r="F1058" s="6">
        <v>45016</v>
      </c>
      <c r="G1058">
        <v>95</v>
      </c>
      <c r="H1058">
        <v>112.671232876712</v>
      </c>
      <c r="I1058">
        <v>1.1860129776496</v>
      </c>
      <c r="J1058">
        <v>1.1860129776496</v>
      </c>
      <c r="K1058" t="s">
        <v>31</v>
      </c>
      <c r="L1058" t="s">
        <v>31</v>
      </c>
      <c r="M1058">
        <v>2023</v>
      </c>
      <c r="N1058" t="s">
        <v>38</v>
      </c>
      <c r="O1058" t="s">
        <v>33</v>
      </c>
      <c r="P1058">
        <v>0</v>
      </c>
      <c r="Q1058">
        <v>0</v>
      </c>
      <c r="R1058">
        <v>0</v>
      </c>
      <c r="S1058" t="s">
        <v>99</v>
      </c>
      <c r="T1058" t="s">
        <v>1681</v>
      </c>
      <c r="U1058">
        <v>1</v>
      </c>
    </row>
    <row r="1059" spans="1:21" x14ac:dyDescent="0.3">
      <c r="A1059" t="s">
        <v>1677</v>
      </c>
      <c r="B1059" t="s">
        <v>1678</v>
      </c>
      <c r="C1059" t="s">
        <v>187</v>
      </c>
      <c r="D1059" t="s">
        <v>29</v>
      </c>
      <c r="E1059" t="s">
        <v>30</v>
      </c>
      <c r="F1059" s="6">
        <v>45046</v>
      </c>
      <c r="G1059">
        <v>95</v>
      </c>
      <c r="H1059">
        <v>94.904458598726094</v>
      </c>
      <c r="I1059">
        <v>0.99899430103922204</v>
      </c>
      <c r="J1059">
        <v>0.99899430103922204</v>
      </c>
      <c r="K1059" t="s">
        <v>31</v>
      </c>
      <c r="L1059" t="s">
        <v>31</v>
      </c>
      <c r="M1059">
        <v>2023</v>
      </c>
      <c r="N1059" t="s">
        <v>40</v>
      </c>
      <c r="O1059" t="s">
        <v>33</v>
      </c>
      <c r="P1059">
        <v>0</v>
      </c>
      <c r="Q1059">
        <v>0</v>
      </c>
      <c r="R1059">
        <v>0</v>
      </c>
      <c r="S1059" t="s">
        <v>99</v>
      </c>
      <c r="T1059" t="s">
        <v>1682</v>
      </c>
      <c r="U1059">
        <v>1</v>
      </c>
    </row>
    <row r="1060" spans="1:21" x14ac:dyDescent="0.3">
      <c r="A1060" t="s">
        <v>1677</v>
      </c>
      <c r="B1060" t="s">
        <v>1678</v>
      </c>
      <c r="C1060" t="s">
        <v>187</v>
      </c>
      <c r="D1060" t="s">
        <v>29</v>
      </c>
      <c r="E1060" t="s">
        <v>30</v>
      </c>
      <c r="F1060" s="6">
        <v>45077</v>
      </c>
      <c r="G1060">
        <v>95</v>
      </c>
      <c r="H1060">
        <v>94.391025641025607</v>
      </c>
      <c r="I1060">
        <v>0.99358974358974328</v>
      </c>
      <c r="J1060">
        <v>0.99358974358974328</v>
      </c>
      <c r="K1060" t="s">
        <v>31</v>
      </c>
      <c r="L1060" t="s">
        <v>31</v>
      </c>
      <c r="M1060">
        <v>2023</v>
      </c>
      <c r="N1060" t="s">
        <v>42</v>
      </c>
      <c r="O1060" t="s">
        <v>33</v>
      </c>
      <c r="P1060">
        <v>0</v>
      </c>
      <c r="Q1060">
        <v>0</v>
      </c>
      <c r="R1060">
        <v>0</v>
      </c>
      <c r="S1060" t="s">
        <v>99</v>
      </c>
      <c r="T1060" t="s">
        <v>1683</v>
      </c>
      <c r="U1060">
        <v>1</v>
      </c>
    </row>
    <row r="1061" spans="1:21" x14ac:dyDescent="0.3">
      <c r="A1061" t="s">
        <v>1677</v>
      </c>
      <c r="B1061" t="s">
        <v>1678</v>
      </c>
      <c r="C1061" t="s">
        <v>187</v>
      </c>
      <c r="D1061" t="s">
        <v>29</v>
      </c>
      <c r="E1061" t="s">
        <v>30</v>
      </c>
      <c r="F1061" s="6">
        <v>45107</v>
      </c>
      <c r="G1061">
        <v>95</v>
      </c>
      <c r="H1061">
        <v>94.854881266490807</v>
      </c>
      <c r="I1061">
        <v>0.99847243438411371</v>
      </c>
      <c r="J1061">
        <v>0.99847243438411371</v>
      </c>
      <c r="K1061" t="s">
        <v>31</v>
      </c>
      <c r="L1061" t="s">
        <v>31</v>
      </c>
      <c r="M1061">
        <v>2023</v>
      </c>
      <c r="N1061" t="s">
        <v>44</v>
      </c>
      <c r="O1061" t="s">
        <v>33</v>
      </c>
      <c r="P1061">
        <v>0</v>
      </c>
      <c r="Q1061">
        <v>0</v>
      </c>
      <c r="R1061">
        <v>0</v>
      </c>
      <c r="S1061" t="s">
        <v>99</v>
      </c>
      <c r="T1061" t="s">
        <v>1684</v>
      </c>
      <c r="U1061">
        <v>1</v>
      </c>
    </row>
    <row r="1062" spans="1:21" x14ac:dyDescent="0.3">
      <c r="A1062" t="s">
        <v>1677</v>
      </c>
      <c r="B1062" t="s">
        <v>1678</v>
      </c>
      <c r="C1062" t="s">
        <v>187</v>
      </c>
      <c r="D1062" t="s">
        <v>29</v>
      </c>
      <c r="E1062" t="s">
        <v>30</v>
      </c>
      <c r="F1062" s="6">
        <v>45138</v>
      </c>
      <c r="G1062">
        <v>95</v>
      </c>
      <c r="H1062">
        <v>91.89</v>
      </c>
      <c r="I1062">
        <v>0.96726315789473682</v>
      </c>
      <c r="J1062">
        <v>0.96726315789473682</v>
      </c>
      <c r="K1062" t="s">
        <v>31</v>
      </c>
      <c r="L1062" t="s">
        <v>31</v>
      </c>
      <c r="M1062">
        <v>2023</v>
      </c>
      <c r="N1062" t="s">
        <v>46</v>
      </c>
      <c r="O1062" t="s">
        <v>47</v>
      </c>
      <c r="P1062">
        <v>0</v>
      </c>
      <c r="Q1062">
        <v>0</v>
      </c>
      <c r="R1062">
        <v>0</v>
      </c>
      <c r="S1062" t="s">
        <v>99</v>
      </c>
      <c r="T1062" t="s">
        <v>1685</v>
      </c>
      <c r="U1062">
        <v>1</v>
      </c>
    </row>
    <row r="1063" spans="1:21" x14ac:dyDescent="0.3">
      <c r="A1063" t="s">
        <v>1677</v>
      </c>
      <c r="B1063" t="s">
        <v>1678</v>
      </c>
      <c r="C1063" t="s">
        <v>187</v>
      </c>
      <c r="D1063" t="s">
        <v>29</v>
      </c>
      <c r="E1063" t="s">
        <v>30</v>
      </c>
      <c r="F1063" s="6">
        <v>45169</v>
      </c>
      <c r="G1063">
        <v>95</v>
      </c>
      <c r="H1063">
        <v>95.49</v>
      </c>
      <c r="I1063">
        <v>1.005157894736842</v>
      </c>
      <c r="J1063">
        <v>1.005157894736842</v>
      </c>
      <c r="K1063" t="s">
        <v>31</v>
      </c>
      <c r="L1063" t="s">
        <v>31</v>
      </c>
      <c r="M1063">
        <v>2023</v>
      </c>
      <c r="N1063" t="s">
        <v>49</v>
      </c>
      <c r="O1063" t="s">
        <v>47</v>
      </c>
      <c r="P1063">
        <v>0</v>
      </c>
      <c r="Q1063">
        <v>0</v>
      </c>
      <c r="R1063">
        <v>0</v>
      </c>
      <c r="S1063" t="s">
        <v>99</v>
      </c>
      <c r="T1063" t="s">
        <v>1686</v>
      </c>
      <c r="U1063">
        <v>1</v>
      </c>
    </row>
    <row r="1064" spans="1:21" x14ac:dyDescent="0.3">
      <c r="A1064" t="s">
        <v>1677</v>
      </c>
      <c r="B1064" t="s">
        <v>1678</v>
      </c>
      <c r="C1064" t="s">
        <v>187</v>
      </c>
      <c r="D1064" t="s">
        <v>29</v>
      </c>
      <c r="E1064" t="s">
        <v>30</v>
      </c>
      <c r="F1064" s="6">
        <v>45199</v>
      </c>
      <c r="G1064">
        <v>95</v>
      </c>
      <c r="H1064">
        <v>97.21</v>
      </c>
      <c r="I1064">
        <v>1.0232631578947371</v>
      </c>
      <c r="J1064">
        <v>1.0232631578947371</v>
      </c>
      <c r="K1064" t="s">
        <v>31</v>
      </c>
      <c r="L1064" t="s">
        <v>31</v>
      </c>
      <c r="M1064">
        <v>2023</v>
      </c>
      <c r="N1064" t="s">
        <v>51</v>
      </c>
      <c r="O1064" t="s">
        <v>47</v>
      </c>
      <c r="P1064">
        <v>0</v>
      </c>
      <c r="Q1064">
        <v>0</v>
      </c>
      <c r="R1064">
        <v>0</v>
      </c>
      <c r="S1064" t="s">
        <v>99</v>
      </c>
      <c r="T1064" t="s">
        <v>1687</v>
      </c>
      <c r="U1064">
        <v>1</v>
      </c>
    </row>
    <row r="1065" spans="1:21" x14ac:dyDescent="0.3">
      <c r="A1065" t="s">
        <v>1677</v>
      </c>
      <c r="B1065" t="s">
        <v>1678</v>
      </c>
      <c r="C1065" t="s">
        <v>187</v>
      </c>
      <c r="D1065" t="s">
        <v>29</v>
      </c>
      <c r="E1065" t="s">
        <v>30</v>
      </c>
      <c r="F1065" s="6">
        <v>45230</v>
      </c>
      <c r="G1065">
        <v>95</v>
      </c>
      <c r="H1065">
        <v>94.14</v>
      </c>
      <c r="I1065">
        <v>0.99094736842105269</v>
      </c>
      <c r="J1065">
        <v>0.99094736842105269</v>
      </c>
      <c r="K1065" t="s">
        <v>31</v>
      </c>
      <c r="L1065" t="s">
        <v>31</v>
      </c>
      <c r="M1065">
        <v>2023</v>
      </c>
      <c r="N1065" t="s">
        <v>53</v>
      </c>
      <c r="O1065" t="s">
        <v>47</v>
      </c>
      <c r="P1065">
        <v>0</v>
      </c>
      <c r="Q1065">
        <v>0</v>
      </c>
      <c r="R1065">
        <v>0</v>
      </c>
      <c r="S1065" t="s">
        <v>99</v>
      </c>
      <c r="T1065" t="s">
        <v>1688</v>
      </c>
      <c r="U1065">
        <v>1</v>
      </c>
    </row>
    <row r="1066" spans="1:21" x14ac:dyDescent="0.3">
      <c r="A1066" t="s">
        <v>1677</v>
      </c>
      <c r="B1066" t="s">
        <v>1678</v>
      </c>
      <c r="C1066" t="s">
        <v>187</v>
      </c>
      <c r="D1066" t="s">
        <v>29</v>
      </c>
      <c r="E1066" t="s">
        <v>30</v>
      </c>
      <c r="F1066" s="6">
        <v>45260</v>
      </c>
      <c r="G1066">
        <v>95</v>
      </c>
      <c r="H1066">
        <v>92.75</v>
      </c>
      <c r="I1066">
        <v>0.97631578947368425</v>
      </c>
      <c r="J1066">
        <v>0.97631578947368425</v>
      </c>
      <c r="K1066" t="s">
        <v>31</v>
      </c>
      <c r="L1066" t="s">
        <v>31</v>
      </c>
      <c r="M1066">
        <v>2023</v>
      </c>
      <c r="N1066" t="s">
        <v>55</v>
      </c>
      <c r="O1066" t="s">
        <v>47</v>
      </c>
      <c r="P1066">
        <v>0</v>
      </c>
      <c r="Q1066">
        <v>0</v>
      </c>
      <c r="R1066">
        <v>0</v>
      </c>
      <c r="S1066" t="s">
        <v>99</v>
      </c>
      <c r="T1066" t="s">
        <v>1689</v>
      </c>
      <c r="U1066">
        <v>1</v>
      </c>
    </row>
    <row r="1067" spans="1:21" x14ac:dyDescent="0.3">
      <c r="A1067" t="s">
        <v>1677</v>
      </c>
      <c r="B1067" t="s">
        <v>1678</v>
      </c>
      <c r="C1067" t="s">
        <v>187</v>
      </c>
      <c r="D1067" t="s">
        <v>29</v>
      </c>
      <c r="E1067" t="s">
        <v>30</v>
      </c>
      <c r="F1067" s="6">
        <v>45291</v>
      </c>
      <c r="G1067">
        <v>95</v>
      </c>
      <c r="H1067">
        <v>95.36</v>
      </c>
      <c r="I1067">
        <v>1.003789473684211</v>
      </c>
      <c r="J1067">
        <v>1.003789473684211</v>
      </c>
      <c r="K1067" t="s">
        <v>31</v>
      </c>
      <c r="L1067" t="s">
        <v>31</v>
      </c>
      <c r="M1067">
        <v>2023</v>
      </c>
      <c r="N1067" t="s">
        <v>57</v>
      </c>
      <c r="O1067" t="s">
        <v>47</v>
      </c>
      <c r="P1067">
        <v>0</v>
      </c>
      <c r="Q1067">
        <v>0</v>
      </c>
      <c r="R1067">
        <v>0</v>
      </c>
      <c r="S1067" t="s">
        <v>99</v>
      </c>
      <c r="T1067" t="s">
        <v>1690</v>
      </c>
      <c r="U1067">
        <v>1</v>
      </c>
    </row>
    <row r="1068" spans="1:21" x14ac:dyDescent="0.3">
      <c r="A1068" t="s">
        <v>1691</v>
      </c>
      <c r="B1068" t="s">
        <v>1692</v>
      </c>
      <c r="C1068" t="s">
        <v>187</v>
      </c>
      <c r="D1068" t="s">
        <v>29</v>
      </c>
      <c r="E1068" t="s">
        <v>108</v>
      </c>
      <c r="F1068" s="6">
        <v>44957</v>
      </c>
      <c r="G1068">
        <v>0</v>
      </c>
      <c r="H1068">
        <v>0</v>
      </c>
      <c r="K1068" t="s">
        <v>31</v>
      </c>
      <c r="L1068" t="s">
        <v>31</v>
      </c>
      <c r="M1068">
        <v>2023</v>
      </c>
      <c r="N1068" t="s">
        <v>32</v>
      </c>
      <c r="O1068" t="s">
        <v>33</v>
      </c>
      <c r="P1068">
        <v>0</v>
      </c>
      <c r="Q1068">
        <v>0</v>
      </c>
      <c r="R1068">
        <v>0</v>
      </c>
      <c r="S1068" t="s">
        <v>99</v>
      </c>
      <c r="T1068" t="s">
        <v>1693</v>
      </c>
      <c r="U1068">
        <v>1</v>
      </c>
    </row>
    <row r="1069" spans="1:21" x14ac:dyDescent="0.3">
      <c r="A1069" t="s">
        <v>1691</v>
      </c>
      <c r="B1069" t="s">
        <v>1692</v>
      </c>
      <c r="C1069" t="s">
        <v>187</v>
      </c>
      <c r="D1069" t="s">
        <v>29</v>
      </c>
      <c r="E1069" t="s">
        <v>108</v>
      </c>
      <c r="F1069" s="6">
        <v>44985</v>
      </c>
      <c r="G1069">
        <v>0</v>
      </c>
      <c r="H1069">
        <v>0</v>
      </c>
      <c r="K1069" t="s">
        <v>31</v>
      </c>
      <c r="L1069" t="s">
        <v>31</v>
      </c>
      <c r="M1069">
        <v>2023</v>
      </c>
      <c r="N1069" t="s">
        <v>36</v>
      </c>
      <c r="O1069" t="s">
        <v>33</v>
      </c>
      <c r="P1069">
        <v>0</v>
      </c>
      <c r="Q1069">
        <v>0</v>
      </c>
      <c r="R1069">
        <v>0</v>
      </c>
      <c r="S1069" t="s">
        <v>99</v>
      </c>
      <c r="T1069" t="s">
        <v>1694</v>
      </c>
      <c r="U1069">
        <v>1</v>
      </c>
    </row>
    <row r="1070" spans="1:21" x14ac:dyDescent="0.3">
      <c r="A1070" t="s">
        <v>1691</v>
      </c>
      <c r="B1070" t="s">
        <v>1692</v>
      </c>
      <c r="C1070" t="s">
        <v>187</v>
      </c>
      <c r="D1070" t="s">
        <v>29</v>
      </c>
      <c r="E1070" t="s">
        <v>108</v>
      </c>
      <c r="F1070" s="6">
        <v>45016</v>
      </c>
      <c r="G1070">
        <v>0</v>
      </c>
      <c r="H1070">
        <v>0</v>
      </c>
      <c r="K1070" t="s">
        <v>31</v>
      </c>
      <c r="L1070" t="s">
        <v>31</v>
      </c>
      <c r="M1070">
        <v>2023</v>
      </c>
      <c r="N1070" t="s">
        <v>38</v>
      </c>
      <c r="O1070" t="s">
        <v>33</v>
      </c>
      <c r="P1070">
        <v>0</v>
      </c>
      <c r="Q1070">
        <v>0</v>
      </c>
      <c r="R1070">
        <v>0</v>
      </c>
      <c r="S1070" t="s">
        <v>99</v>
      </c>
      <c r="T1070" t="s">
        <v>1695</v>
      </c>
      <c r="U1070">
        <v>1</v>
      </c>
    </row>
    <row r="1071" spans="1:21" x14ac:dyDescent="0.3">
      <c r="A1071" t="s">
        <v>1691</v>
      </c>
      <c r="B1071" t="s">
        <v>1692</v>
      </c>
      <c r="C1071" t="s">
        <v>187</v>
      </c>
      <c r="D1071" t="s">
        <v>29</v>
      </c>
      <c r="E1071" t="s">
        <v>108</v>
      </c>
      <c r="F1071" s="6">
        <v>45046</v>
      </c>
      <c r="G1071">
        <v>0</v>
      </c>
      <c r="H1071">
        <v>0</v>
      </c>
      <c r="K1071" t="s">
        <v>31</v>
      </c>
      <c r="L1071" t="s">
        <v>31</v>
      </c>
      <c r="M1071">
        <v>2023</v>
      </c>
      <c r="N1071" t="s">
        <v>40</v>
      </c>
      <c r="O1071" t="s">
        <v>33</v>
      </c>
      <c r="P1071">
        <v>0</v>
      </c>
      <c r="Q1071">
        <v>0</v>
      </c>
      <c r="R1071">
        <v>0</v>
      </c>
      <c r="S1071" t="s">
        <v>99</v>
      </c>
      <c r="T1071" t="s">
        <v>1696</v>
      </c>
      <c r="U1071">
        <v>1</v>
      </c>
    </row>
    <row r="1072" spans="1:21" x14ac:dyDescent="0.3">
      <c r="A1072" t="s">
        <v>1691</v>
      </c>
      <c r="B1072" t="s">
        <v>1692</v>
      </c>
      <c r="C1072" t="s">
        <v>187</v>
      </c>
      <c r="D1072" t="s">
        <v>29</v>
      </c>
      <c r="E1072" t="s">
        <v>108</v>
      </c>
      <c r="F1072" s="6">
        <v>45077</v>
      </c>
      <c r="G1072">
        <v>0</v>
      </c>
      <c r="H1072">
        <v>0</v>
      </c>
      <c r="K1072" t="s">
        <v>31</v>
      </c>
      <c r="L1072" t="s">
        <v>31</v>
      </c>
      <c r="M1072">
        <v>2023</v>
      </c>
      <c r="N1072" t="s">
        <v>42</v>
      </c>
      <c r="O1072" t="s">
        <v>33</v>
      </c>
      <c r="P1072">
        <v>0</v>
      </c>
      <c r="Q1072">
        <v>0</v>
      </c>
      <c r="R1072">
        <v>0</v>
      </c>
      <c r="S1072" t="s">
        <v>99</v>
      </c>
      <c r="T1072" t="s">
        <v>1697</v>
      </c>
      <c r="U1072">
        <v>1</v>
      </c>
    </row>
    <row r="1073" spans="1:21" x14ac:dyDescent="0.3">
      <c r="A1073" t="s">
        <v>1691</v>
      </c>
      <c r="B1073" t="s">
        <v>1692</v>
      </c>
      <c r="C1073" t="s">
        <v>187</v>
      </c>
      <c r="D1073" t="s">
        <v>29</v>
      </c>
      <c r="E1073" t="s">
        <v>108</v>
      </c>
      <c r="F1073" s="6">
        <v>45107</v>
      </c>
      <c r="G1073">
        <v>0</v>
      </c>
      <c r="H1073">
        <v>8.3333333333333304</v>
      </c>
      <c r="I1073">
        <v>0</v>
      </c>
      <c r="J1073">
        <v>0</v>
      </c>
      <c r="K1073" t="s">
        <v>31</v>
      </c>
      <c r="L1073" t="s">
        <v>31</v>
      </c>
      <c r="M1073">
        <v>2023</v>
      </c>
      <c r="N1073" t="s">
        <v>44</v>
      </c>
      <c r="O1073" t="s">
        <v>33</v>
      </c>
      <c r="P1073">
        <v>0</v>
      </c>
      <c r="Q1073">
        <v>0</v>
      </c>
      <c r="R1073">
        <v>0</v>
      </c>
      <c r="S1073" t="s">
        <v>99</v>
      </c>
      <c r="T1073" t="s">
        <v>1698</v>
      </c>
      <c r="U1073">
        <v>1</v>
      </c>
    </row>
    <row r="1074" spans="1:21" x14ac:dyDescent="0.3">
      <c r="A1074" t="s">
        <v>1691</v>
      </c>
      <c r="B1074" t="s">
        <v>1692</v>
      </c>
      <c r="C1074" t="s">
        <v>187</v>
      </c>
      <c r="D1074" t="s">
        <v>29</v>
      </c>
      <c r="E1074" t="s">
        <v>108</v>
      </c>
      <c r="F1074" s="6">
        <v>45138</v>
      </c>
      <c r="G1074">
        <v>0</v>
      </c>
      <c r="H1074">
        <v>16.666666666666998</v>
      </c>
      <c r="I1074">
        <v>0</v>
      </c>
      <c r="J1074">
        <v>0</v>
      </c>
      <c r="K1074" t="s">
        <v>31</v>
      </c>
      <c r="L1074" t="s">
        <v>31</v>
      </c>
      <c r="M1074">
        <v>2023</v>
      </c>
      <c r="N1074" t="s">
        <v>46</v>
      </c>
      <c r="O1074" t="s">
        <v>47</v>
      </c>
      <c r="P1074">
        <v>0</v>
      </c>
      <c r="Q1074">
        <v>0</v>
      </c>
      <c r="R1074">
        <v>0</v>
      </c>
      <c r="S1074" t="s">
        <v>99</v>
      </c>
      <c r="T1074" t="s">
        <v>1699</v>
      </c>
      <c r="U1074">
        <v>1</v>
      </c>
    </row>
    <row r="1075" spans="1:21" x14ac:dyDescent="0.3">
      <c r="A1075" t="s">
        <v>1691</v>
      </c>
      <c r="B1075" t="s">
        <v>1692</v>
      </c>
      <c r="C1075" t="s">
        <v>187</v>
      </c>
      <c r="D1075" t="s">
        <v>29</v>
      </c>
      <c r="E1075" t="s">
        <v>108</v>
      </c>
      <c r="F1075" s="6">
        <v>45169</v>
      </c>
      <c r="G1075">
        <v>0</v>
      </c>
      <c r="H1075">
        <v>9.09</v>
      </c>
      <c r="I1075">
        <v>0</v>
      </c>
      <c r="J1075">
        <v>0</v>
      </c>
      <c r="K1075" t="s">
        <v>31</v>
      </c>
      <c r="L1075" t="s">
        <v>31</v>
      </c>
      <c r="M1075">
        <v>2023</v>
      </c>
      <c r="N1075" t="s">
        <v>49</v>
      </c>
      <c r="O1075" t="s">
        <v>47</v>
      </c>
      <c r="P1075">
        <v>1</v>
      </c>
      <c r="Q1075">
        <v>1</v>
      </c>
      <c r="R1075">
        <v>0</v>
      </c>
      <c r="S1075" t="s">
        <v>99</v>
      </c>
      <c r="T1075" t="s">
        <v>1700</v>
      </c>
      <c r="U1075">
        <v>1</v>
      </c>
    </row>
    <row r="1076" spans="1:21" x14ac:dyDescent="0.3">
      <c r="A1076" t="s">
        <v>1691</v>
      </c>
      <c r="B1076" t="s">
        <v>1692</v>
      </c>
      <c r="C1076" t="s">
        <v>187</v>
      </c>
      <c r="D1076" t="s">
        <v>29</v>
      </c>
      <c r="E1076" t="s">
        <v>108</v>
      </c>
      <c r="F1076" s="6">
        <v>45199</v>
      </c>
      <c r="G1076">
        <v>0</v>
      </c>
      <c r="H1076">
        <v>0</v>
      </c>
      <c r="K1076" t="s">
        <v>31</v>
      </c>
      <c r="L1076" t="s">
        <v>31</v>
      </c>
      <c r="M1076">
        <v>2023</v>
      </c>
      <c r="N1076" t="s">
        <v>51</v>
      </c>
      <c r="O1076" t="s">
        <v>47</v>
      </c>
      <c r="P1076">
        <v>0</v>
      </c>
      <c r="Q1076">
        <v>0</v>
      </c>
      <c r="R1076">
        <v>0</v>
      </c>
      <c r="S1076" t="s">
        <v>99</v>
      </c>
      <c r="T1076" t="s">
        <v>1701</v>
      </c>
      <c r="U1076">
        <v>1</v>
      </c>
    </row>
    <row r="1077" spans="1:21" x14ac:dyDescent="0.3">
      <c r="A1077" t="s">
        <v>1691</v>
      </c>
      <c r="B1077" t="s">
        <v>1692</v>
      </c>
      <c r="C1077" t="s">
        <v>187</v>
      </c>
      <c r="D1077" t="s">
        <v>29</v>
      </c>
      <c r="E1077" t="s">
        <v>108</v>
      </c>
      <c r="F1077" s="6">
        <v>45230</v>
      </c>
      <c r="G1077">
        <v>0</v>
      </c>
      <c r="H1077">
        <v>11.11</v>
      </c>
      <c r="I1077">
        <v>0</v>
      </c>
      <c r="J1077">
        <v>0</v>
      </c>
      <c r="K1077" t="s">
        <v>31</v>
      </c>
      <c r="L1077" t="s">
        <v>31</v>
      </c>
      <c r="M1077">
        <v>2023</v>
      </c>
      <c r="N1077" t="s">
        <v>53</v>
      </c>
      <c r="O1077" t="s">
        <v>47</v>
      </c>
      <c r="P1077">
        <v>0</v>
      </c>
      <c r="Q1077">
        <v>0</v>
      </c>
      <c r="R1077">
        <v>0</v>
      </c>
      <c r="S1077" t="s">
        <v>99</v>
      </c>
      <c r="T1077" t="s">
        <v>1702</v>
      </c>
      <c r="U1077">
        <v>1</v>
      </c>
    </row>
    <row r="1078" spans="1:21" x14ac:dyDescent="0.3">
      <c r="A1078" t="s">
        <v>1691</v>
      </c>
      <c r="B1078" t="s">
        <v>1692</v>
      </c>
      <c r="C1078" t="s">
        <v>187</v>
      </c>
      <c r="D1078" t="s">
        <v>29</v>
      </c>
      <c r="E1078" t="s">
        <v>108</v>
      </c>
      <c r="F1078" s="6">
        <v>45260</v>
      </c>
      <c r="G1078">
        <v>0</v>
      </c>
      <c r="H1078">
        <v>0</v>
      </c>
      <c r="K1078" t="s">
        <v>31</v>
      </c>
      <c r="L1078" t="s">
        <v>31</v>
      </c>
      <c r="M1078">
        <v>2023</v>
      </c>
      <c r="N1078" t="s">
        <v>55</v>
      </c>
      <c r="O1078" t="s">
        <v>47</v>
      </c>
      <c r="P1078">
        <v>0</v>
      </c>
      <c r="Q1078">
        <v>0</v>
      </c>
      <c r="R1078">
        <v>0</v>
      </c>
      <c r="S1078" t="s">
        <v>99</v>
      </c>
      <c r="T1078" t="s">
        <v>1703</v>
      </c>
      <c r="U1078">
        <v>1</v>
      </c>
    </row>
    <row r="1079" spans="1:21" x14ac:dyDescent="0.3">
      <c r="A1079" t="s">
        <v>1691</v>
      </c>
      <c r="B1079" t="s">
        <v>1692</v>
      </c>
      <c r="C1079" t="s">
        <v>187</v>
      </c>
      <c r="D1079" t="s">
        <v>29</v>
      </c>
      <c r="E1079" t="s">
        <v>108</v>
      </c>
      <c r="F1079" s="6">
        <v>45291</v>
      </c>
      <c r="G1079">
        <v>0</v>
      </c>
      <c r="H1079">
        <v>14.29</v>
      </c>
      <c r="I1079">
        <v>0</v>
      </c>
      <c r="J1079">
        <v>0</v>
      </c>
      <c r="K1079" t="s">
        <v>31</v>
      </c>
      <c r="L1079" t="s">
        <v>31</v>
      </c>
      <c r="M1079">
        <v>2023</v>
      </c>
      <c r="N1079" t="s">
        <v>57</v>
      </c>
      <c r="O1079" t="s">
        <v>47</v>
      </c>
      <c r="P1079">
        <v>0</v>
      </c>
      <c r="Q1079">
        <v>0</v>
      </c>
      <c r="R1079">
        <v>0</v>
      </c>
      <c r="S1079" t="s">
        <v>99</v>
      </c>
      <c r="T1079" t="s">
        <v>1704</v>
      </c>
      <c r="U1079">
        <v>1</v>
      </c>
    </row>
    <row r="1080" spans="1:21" x14ac:dyDescent="0.3">
      <c r="A1080" t="s">
        <v>1691</v>
      </c>
      <c r="B1080" t="s">
        <v>1692</v>
      </c>
      <c r="C1080" t="s">
        <v>187</v>
      </c>
      <c r="D1080" t="s">
        <v>29</v>
      </c>
      <c r="E1080" t="s">
        <v>108</v>
      </c>
      <c r="F1080" s="6">
        <v>45473</v>
      </c>
      <c r="G1080">
        <v>20</v>
      </c>
      <c r="H1080">
        <v>14.29</v>
      </c>
      <c r="I1080">
        <v>0.71449999999999991</v>
      </c>
      <c r="J1080">
        <v>0.71449999999999991</v>
      </c>
      <c r="K1080" t="s">
        <v>31</v>
      </c>
      <c r="L1080" t="s">
        <v>31</v>
      </c>
      <c r="M1080">
        <v>2024</v>
      </c>
      <c r="N1080" t="s">
        <v>44</v>
      </c>
      <c r="O1080" t="s">
        <v>71</v>
      </c>
      <c r="P1080">
        <v>0</v>
      </c>
      <c r="Q1080">
        <v>0</v>
      </c>
      <c r="R1080">
        <v>0</v>
      </c>
      <c r="S1080" t="s">
        <v>99</v>
      </c>
      <c r="T1080" t="s">
        <v>1705</v>
      </c>
      <c r="U1080">
        <v>1</v>
      </c>
    </row>
    <row r="1081" spans="1:21" x14ac:dyDescent="0.3">
      <c r="A1081" t="s">
        <v>1706</v>
      </c>
      <c r="B1081" t="s">
        <v>1707</v>
      </c>
      <c r="C1081" t="s">
        <v>299</v>
      </c>
      <c r="D1081" t="s">
        <v>98</v>
      </c>
      <c r="E1081" t="s">
        <v>108</v>
      </c>
      <c r="F1081" s="6">
        <v>45291</v>
      </c>
      <c r="K1081" t="s">
        <v>31</v>
      </c>
      <c r="L1081" t="s">
        <v>31</v>
      </c>
      <c r="M1081">
        <v>2023</v>
      </c>
      <c r="N1081" t="s">
        <v>57</v>
      </c>
      <c r="O1081" t="s">
        <v>47</v>
      </c>
      <c r="P1081">
        <v>0</v>
      </c>
      <c r="Q1081">
        <v>0</v>
      </c>
      <c r="R1081">
        <v>0</v>
      </c>
      <c r="S1081" t="s">
        <v>336</v>
      </c>
      <c r="T1081" t="s">
        <v>1708</v>
      </c>
      <c r="U1081">
        <v>1</v>
      </c>
    </row>
    <row r="1082" spans="1:21" x14ac:dyDescent="0.3">
      <c r="A1082" t="s">
        <v>1706</v>
      </c>
      <c r="B1082" t="s">
        <v>1707</v>
      </c>
      <c r="C1082" t="s">
        <v>299</v>
      </c>
      <c r="D1082" t="s">
        <v>98</v>
      </c>
      <c r="E1082" t="s">
        <v>108</v>
      </c>
      <c r="F1082" s="6">
        <v>45657</v>
      </c>
      <c r="G1082">
        <v>25</v>
      </c>
      <c r="H1082">
        <v>25</v>
      </c>
      <c r="I1082">
        <v>1</v>
      </c>
      <c r="J1082">
        <v>1</v>
      </c>
      <c r="M1082">
        <v>2024</v>
      </c>
      <c r="N1082" t="s">
        <v>57</v>
      </c>
      <c r="O1082" t="s">
        <v>78</v>
      </c>
      <c r="P1082">
        <v>0</v>
      </c>
      <c r="Q1082">
        <v>0</v>
      </c>
      <c r="R1082">
        <v>0</v>
      </c>
      <c r="S1082" t="s">
        <v>336</v>
      </c>
      <c r="T1082" t="s">
        <v>1709</v>
      </c>
      <c r="U1082">
        <v>1</v>
      </c>
    </row>
    <row r="1083" spans="1:21" x14ac:dyDescent="0.3">
      <c r="A1083" t="s">
        <v>1710</v>
      </c>
      <c r="B1083" t="s">
        <v>1711</v>
      </c>
      <c r="C1083" t="s">
        <v>730</v>
      </c>
      <c r="D1083" t="s">
        <v>222</v>
      </c>
      <c r="E1083" t="s">
        <v>30</v>
      </c>
      <c r="F1083" s="6">
        <v>44742</v>
      </c>
      <c r="G1083">
        <v>88.5</v>
      </c>
      <c r="H1083">
        <v>87</v>
      </c>
      <c r="I1083">
        <v>0.98305084745762716</v>
      </c>
      <c r="J1083">
        <v>0.98305084745762716</v>
      </c>
      <c r="K1083" t="s">
        <v>31</v>
      </c>
      <c r="L1083" t="s">
        <v>31</v>
      </c>
      <c r="M1083">
        <v>2022</v>
      </c>
      <c r="N1083" t="s">
        <v>44</v>
      </c>
      <c r="O1083" t="s">
        <v>88</v>
      </c>
      <c r="P1083">
        <v>0</v>
      </c>
      <c r="Q1083">
        <v>0</v>
      </c>
      <c r="R1083">
        <v>0</v>
      </c>
      <c r="S1083" t="s">
        <v>336</v>
      </c>
      <c r="T1083" t="s">
        <v>1712</v>
      </c>
      <c r="U1083">
        <v>1</v>
      </c>
    </row>
    <row r="1084" spans="1:21" x14ac:dyDescent="0.3">
      <c r="A1084" t="s">
        <v>1710</v>
      </c>
      <c r="B1084" t="s">
        <v>1711</v>
      </c>
      <c r="C1084" t="s">
        <v>730</v>
      </c>
      <c r="D1084" t="s">
        <v>222</v>
      </c>
      <c r="E1084" t="s">
        <v>30</v>
      </c>
      <c r="F1084" s="6">
        <v>44926</v>
      </c>
      <c r="G1084">
        <v>88.5</v>
      </c>
      <c r="H1084">
        <v>85.9</v>
      </c>
      <c r="I1084">
        <v>0.97062146892655377</v>
      </c>
      <c r="J1084">
        <v>0.97062146892655377</v>
      </c>
      <c r="K1084" t="s">
        <v>31</v>
      </c>
      <c r="L1084" t="s">
        <v>31</v>
      </c>
      <c r="M1084">
        <v>2022</v>
      </c>
      <c r="N1084" t="s">
        <v>57</v>
      </c>
      <c r="O1084" t="s">
        <v>90</v>
      </c>
      <c r="P1084">
        <v>0</v>
      </c>
      <c r="Q1084">
        <v>0</v>
      </c>
      <c r="R1084">
        <v>0</v>
      </c>
      <c r="S1084" t="s">
        <v>336</v>
      </c>
      <c r="T1084" t="s">
        <v>1713</v>
      </c>
      <c r="U1084">
        <v>1</v>
      </c>
    </row>
    <row r="1085" spans="1:21" x14ac:dyDescent="0.3">
      <c r="A1085" t="s">
        <v>1710</v>
      </c>
      <c r="B1085" t="s">
        <v>1711</v>
      </c>
      <c r="C1085" t="s">
        <v>730</v>
      </c>
      <c r="D1085" t="s">
        <v>222</v>
      </c>
      <c r="E1085" t="s">
        <v>30</v>
      </c>
      <c r="F1085" s="6">
        <v>45107</v>
      </c>
      <c r="G1085">
        <v>87</v>
      </c>
      <c r="H1085">
        <v>85.115048706751793</v>
      </c>
      <c r="I1085">
        <v>0.97833389318105513</v>
      </c>
      <c r="J1085">
        <v>0.97833389318105513</v>
      </c>
      <c r="K1085" t="s">
        <v>31</v>
      </c>
      <c r="L1085" t="s">
        <v>31</v>
      </c>
      <c r="M1085">
        <v>2023</v>
      </c>
      <c r="N1085" t="s">
        <v>44</v>
      </c>
      <c r="O1085" t="s">
        <v>33</v>
      </c>
      <c r="P1085">
        <v>0</v>
      </c>
      <c r="Q1085">
        <v>0</v>
      </c>
      <c r="R1085">
        <v>1</v>
      </c>
      <c r="S1085" t="s">
        <v>130</v>
      </c>
      <c r="T1085" t="s">
        <v>1714</v>
      </c>
      <c r="U1085">
        <v>1</v>
      </c>
    </row>
    <row r="1086" spans="1:21" x14ac:dyDescent="0.3">
      <c r="A1086" t="s">
        <v>1710</v>
      </c>
      <c r="B1086" t="s">
        <v>1711</v>
      </c>
      <c r="C1086" t="s">
        <v>730</v>
      </c>
      <c r="D1086" t="s">
        <v>222</v>
      </c>
      <c r="E1086" t="s">
        <v>30</v>
      </c>
      <c r="F1086" s="6">
        <v>45291</v>
      </c>
      <c r="G1086">
        <v>87</v>
      </c>
      <c r="H1086">
        <v>85.38</v>
      </c>
      <c r="I1086">
        <v>0.9813793103448275</v>
      </c>
      <c r="J1086">
        <v>0.9813793103448275</v>
      </c>
      <c r="K1086" t="s">
        <v>31</v>
      </c>
      <c r="L1086" t="s">
        <v>31</v>
      </c>
      <c r="M1086">
        <v>2023</v>
      </c>
      <c r="N1086" t="s">
        <v>57</v>
      </c>
      <c r="O1086" t="s">
        <v>47</v>
      </c>
      <c r="P1086">
        <v>0</v>
      </c>
      <c r="Q1086">
        <v>0</v>
      </c>
      <c r="R1086">
        <v>1</v>
      </c>
      <c r="S1086" t="s">
        <v>130</v>
      </c>
      <c r="T1086" t="s">
        <v>1715</v>
      </c>
      <c r="U1086">
        <v>1</v>
      </c>
    </row>
    <row r="1087" spans="1:21" x14ac:dyDescent="0.3">
      <c r="A1087" t="s">
        <v>1710</v>
      </c>
      <c r="B1087" t="s">
        <v>1711</v>
      </c>
      <c r="C1087" t="s">
        <v>730</v>
      </c>
      <c r="D1087" t="s">
        <v>222</v>
      </c>
      <c r="E1087" t="s">
        <v>30</v>
      </c>
      <c r="F1087" s="6">
        <v>45473</v>
      </c>
      <c r="G1087">
        <v>85</v>
      </c>
      <c r="H1087">
        <v>85.13</v>
      </c>
      <c r="I1087">
        <v>1.001529411764706</v>
      </c>
      <c r="J1087">
        <v>1.001529411764706</v>
      </c>
      <c r="K1087" t="s">
        <v>31</v>
      </c>
      <c r="L1087" t="s">
        <v>31</v>
      </c>
      <c r="M1087">
        <v>2024</v>
      </c>
      <c r="N1087" t="s">
        <v>44</v>
      </c>
      <c r="O1087" t="s">
        <v>71</v>
      </c>
      <c r="P1087">
        <v>0</v>
      </c>
      <c r="Q1087">
        <v>0</v>
      </c>
      <c r="R1087">
        <v>1</v>
      </c>
      <c r="S1087" t="s">
        <v>130</v>
      </c>
      <c r="T1087" t="s">
        <v>1716</v>
      </c>
      <c r="U1087">
        <v>1</v>
      </c>
    </row>
    <row r="1088" spans="1:21" x14ac:dyDescent="0.3">
      <c r="A1088" t="s">
        <v>1710</v>
      </c>
      <c r="B1088" t="s">
        <v>1711</v>
      </c>
      <c r="C1088" t="s">
        <v>730</v>
      </c>
      <c r="D1088" t="s">
        <v>222</v>
      </c>
      <c r="E1088" t="s">
        <v>30</v>
      </c>
      <c r="F1088" s="6">
        <v>45657</v>
      </c>
      <c r="G1088">
        <v>85</v>
      </c>
      <c r="H1088">
        <v>85.19</v>
      </c>
      <c r="I1088">
        <v>1.0022352941176469</v>
      </c>
      <c r="J1088">
        <v>1.0022352941176469</v>
      </c>
      <c r="K1088" t="s">
        <v>31</v>
      </c>
      <c r="L1088" t="s">
        <v>31</v>
      </c>
      <c r="M1088">
        <v>2024</v>
      </c>
      <c r="N1088" t="s">
        <v>57</v>
      </c>
      <c r="O1088" t="s">
        <v>78</v>
      </c>
      <c r="P1088">
        <v>0</v>
      </c>
      <c r="Q1088">
        <v>0</v>
      </c>
      <c r="R1088">
        <v>0</v>
      </c>
      <c r="S1088" t="s">
        <v>130</v>
      </c>
      <c r="T1088" t="s">
        <v>1717</v>
      </c>
      <c r="U1088">
        <v>1</v>
      </c>
    </row>
    <row r="1089" spans="1:21" x14ac:dyDescent="0.3">
      <c r="A1089" t="s">
        <v>1710</v>
      </c>
      <c r="B1089" t="s">
        <v>1718</v>
      </c>
      <c r="C1089" t="s">
        <v>730</v>
      </c>
      <c r="D1089" t="s">
        <v>222</v>
      </c>
      <c r="E1089" t="s">
        <v>30</v>
      </c>
      <c r="F1089" s="6">
        <v>45838</v>
      </c>
      <c r="G1089">
        <v>100</v>
      </c>
      <c r="H1089" t="s">
        <v>1719</v>
      </c>
      <c r="I1089">
        <v>1.0093000000000001</v>
      </c>
      <c r="J1089">
        <v>1.0093000000000001</v>
      </c>
      <c r="K1089" t="s">
        <v>102</v>
      </c>
      <c r="L1089" t="s">
        <v>1720</v>
      </c>
      <c r="M1089">
        <v>2025</v>
      </c>
      <c r="N1089" t="s">
        <v>44</v>
      </c>
      <c r="O1089" t="s">
        <v>244</v>
      </c>
      <c r="P1089">
        <v>2</v>
      </c>
      <c r="Q1089">
        <v>2</v>
      </c>
      <c r="R1089">
        <v>1</v>
      </c>
      <c r="S1089" t="s">
        <v>130</v>
      </c>
      <c r="T1089" t="s">
        <v>1721</v>
      </c>
      <c r="U1089">
        <v>30</v>
      </c>
    </row>
    <row r="1090" spans="1:21" x14ac:dyDescent="0.3">
      <c r="A1090" t="s">
        <v>1710</v>
      </c>
      <c r="B1090" t="s">
        <v>1718</v>
      </c>
      <c r="C1090" t="s">
        <v>730</v>
      </c>
      <c r="D1090" t="s">
        <v>222</v>
      </c>
      <c r="E1090" t="s">
        <v>30</v>
      </c>
      <c r="F1090" s="6">
        <v>46022</v>
      </c>
      <c r="G1090">
        <v>100</v>
      </c>
      <c r="H1090" t="s">
        <v>1722</v>
      </c>
      <c r="I1090">
        <v>1.0012000000000001</v>
      </c>
      <c r="J1090">
        <v>1.0012000000000001</v>
      </c>
      <c r="K1090" t="s">
        <v>102</v>
      </c>
      <c r="L1090" t="s">
        <v>1723</v>
      </c>
      <c r="M1090">
        <v>2025</v>
      </c>
      <c r="N1090" t="s">
        <v>57</v>
      </c>
      <c r="O1090" t="s">
        <v>103</v>
      </c>
      <c r="P1090">
        <v>2</v>
      </c>
      <c r="Q1090">
        <v>2</v>
      </c>
      <c r="R1090">
        <v>1</v>
      </c>
      <c r="S1090" t="s">
        <v>130</v>
      </c>
      <c r="T1090" t="s">
        <v>1724</v>
      </c>
      <c r="U1090">
        <v>31</v>
      </c>
    </row>
    <row r="1091" spans="1:21" x14ac:dyDescent="0.3">
      <c r="A1091" t="s">
        <v>1725</v>
      </c>
      <c r="B1091" t="s">
        <v>1726</v>
      </c>
      <c r="C1091" t="s">
        <v>150</v>
      </c>
      <c r="D1091" t="s">
        <v>222</v>
      </c>
      <c r="E1091" t="s">
        <v>30</v>
      </c>
      <c r="F1091" s="6">
        <v>45291</v>
      </c>
      <c r="G1091">
        <v>85</v>
      </c>
      <c r="H1091">
        <v>61.4</v>
      </c>
      <c r="I1091">
        <v>0.72235294117647053</v>
      </c>
      <c r="J1091">
        <v>0.72235294117647053</v>
      </c>
      <c r="K1091" t="s">
        <v>31</v>
      </c>
      <c r="L1091" t="s">
        <v>31</v>
      </c>
      <c r="M1091">
        <v>2023</v>
      </c>
      <c r="N1091" t="s">
        <v>57</v>
      </c>
      <c r="O1091" t="s">
        <v>47</v>
      </c>
      <c r="P1091">
        <v>0</v>
      </c>
      <c r="Q1091">
        <v>0</v>
      </c>
      <c r="R1091">
        <v>0</v>
      </c>
      <c r="S1091" t="s">
        <v>130</v>
      </c>
      <c r="T1091" t="s">
        <v>1727</v>
      </c>
      <c r="U1091">
        <v>1</v>
      </c>
    </row>
    <row r="1092" spans="1:21" x14ac:dyDescent="0.3">
      <c r="A1092" t="s">
        <v>1725</v>
      </c>
      <c r="B1092" t="s">
        <v>1728</v>
      </c>
      <c r="C1092" t="s">
        <v>150</v>
      </c>
      <c r="D1092" t="s">
        <v>222</v>
      </c>
      <c r="E1092" t="s">
        <v>30</v>
      </c>
      <c r="F1092" s="6">
        <v>45473</v>
      </c>
      <c r="G1092">
        <v>67.5</v>
      </c>
      <c r="H1092">
        <v>92.5</v>
      </c>
      <c r="I1092">
        <v>1.3</v>
      </c>
      <c r="J1092">
        <v>1.37037037037037</v>
      </c>
      <c r="K1092" t="s">
        <v>31</v>
      </c>
      <c r="L1092" t="s">
        <v>31</v>
      </c>
      <c r="M1092">
        <v>2024</v>
      </c>
      <c r="N1092" t="s">
        <v>44</v>
      </c>
      <c r="O1092" t="s">
        <v>71</v>
      </c>
      <c r="P1092">
        <v>0</v>
      </c>
      <c r="Q1092">
        <v>0</v>
      </c>
      <c r="R1092">
        <v>0</v>
      </c>
      <c r="S1092" t="s">
        <v>130</v>
      </c>
      <c r="T1092" t="s">
        <v>1729</v>
      </c>
      <c r="U1092">
        <v>1</v>
      </c>
    </row>
    <row r="1093" spans="1:21" x14ac:dyDescent="0.3">
      <c r="A1093" t="s">
        <v>1725</v>
      </c>
      <c r="B1093" t="s">
        <v>1728</v>
      </c>
      <c r="C1093" t="s">
        <v>150</v>
      </c>
      <c r="D1093" t="s">
        <v>222</v>
      </c>
      <c r="E1093" t="s">
        <v>30</v>
      </c>
      <c r="F1093" s="6">
        <v>45657</v>
      </c>
      <c r="G1093">
        <v>67.5</v>
      </c>
      <c r="H1093">
        <v>94.4</v>
      </c>
      <c r="I1093">
        <v>1.3</v>
      </c>
      <c r="J1093">
        <v>1.3985185185185181</v>
      </c>
      <c r="K1093" t="s">
        <v>31</v>
      </c>
      <c r="L1093" t="s">
        <v>31</v>
      </c>
      <c r="M1093">
        <v>2024</v>
      </c>
      <c r="N1093" t="s">
        <v>57</v>
      </c>
      <c r="O1093" t="s">
        <v>78</v>
      </c>
      <c r="P1093">
        <v>0</v>
      </c>
      <c r="Q1093">
        <v>0</v>
      </c>
      <c r="R1093">
        <v>0</v>
      </c>
      <c r="S1093" t="s">
        <v>130</v>
      </c>
      <c r="T1093" t="s">
        <v>1730</v>
      </c>
      <c r="U1093">
        <v>1</v>
      </c>
    </row>
    <row r="1094" spans="1:21" x14ac:dyDescent="0.3">
      <c r="A1094" t="s">
        <v>1725</v>
      </c>
      <c r="B1094" t="s">
        <v>1728</v>
      </c>
      <c r="C1094" t="s">
        <v>150</v>
      </c>
      <c r="D1094" t="s">
        <v>222</v>
      </c>
      <c r="E1094" t="s">
        <v>30</v>
      </c>
      <c r="F1094" s="6">
        <v>45838</v>
      </c>
      <c r="G1094">
        <v>90</v>
      </c>
      <c r="H1094" t="s">
        <v>1731</v>
      </c>
      <c r="I1094">
        <v>1.0011111111111111</v>
      </c>
      <c r="J1094">
        <v>1.0011111111111111</v>
      </c>
      <c r="K1094" t="s">
        <v>256</v>
      </c>
      <c r="L1094" t="s">
        <v>1732</v>
      </c>
      <c r="M1094">
        <v>2025</v>
      </c>
      <c r="N1094" t="s">
        <v>44</v>
      </c>
      <c r="O1094" t="s">
        <v>244</v>
      </c>
      <c r="P1094">
        <v>2</v>
      </c>
      <c r="Q1094">
        <v>2</v>
      </c>
      <c r="R1094">
        <v>0</v>
      </c>
      <c r="S1094" t="s">
        <v>130</v>
      </c>
      <c r="T1094" t="s">
        <v>1733</v>
      </c>
      <c r="U1094">
        <v>30</v>
      </c>
    </row>
    <row r="1095" spans="1:21" x14ac:dyDescent="0.3">
      <c r="A1095" t="s">
        <v>1725</v>
      </c>
      <c r="B1095" t="s">
        <v>1728</v>
      </c>
      <c r="C1095" t="s">
        <v>150</v>
      </c>
      <c r="D1095" t="s">
        <v>222</v>
      </c>
      <c r="E1095" t="s">
        <v>30</v>
      </c>
      <c r="F1095" s="6">
        <v>46022</v>
      </c>
      <c r="G1095">
        <v>90</v>
      </c>
      <c r="H1095" t="s">
        <v>242</v>
      </c>
      <c r="I1095">
        <v>1.03</v>
      </c>
      <c r="J1095">
        <v>1.03</v>
      </c>
      <c r="K1095" t="s">
        <v>256</v>
      </c>
      <c r="L1095" t="s">
        <v>243</v>
      </c>
      <c r="M1095">
        <v>2025</v>
      </c>
      <c r="N1095" t="s">
        <v>57</v>
      </c>
      <c r="O1095" t="s">
        <v>103</v>
      </c>
      <c r="P1095">
        <v>2</v>
      </c>
      <c r="Q1095">
        <v>2</v>
      </c>
      <c r="R1095">
        <v>0</v>
      </c>
      <c r="S1095" t="s">
        <v>130</v>
      </c>
      <c r="T1095" t="s">
        <v>1734</v>
      </c>
      <c r="U1095">
        <v>31</v>
      </c>
    </row>
    <row r="1096" spans="1:21" x14ac:dyDescent="0.3">
      <c r="A1096" t="s">
        <v>1735</v>
      </c>
      <c r="B1096" t="s">
        <v>1736</v>
      </c>
      <c r="C1096" t="s">
        <v>150</v>
      </c>
      <c r="D1096" t="s">
        <v>29</v>
      </c>
      <c r="E1096" t="s">
        <v>30</v>
      </c>
      <c r="F1096" s="6">
        <v>44957</v>
      </c>
      <c r="H1096">
        <v>75.640237656218005</v>
      </c>
      <c r="K1096" t="s">
        <v>1041</v>
      </c>
      <c r="L1096" t="s">
        <v>31</v>
      </c>
      <c r="M1096">
        <v>2023</v>
      </c>
      <c r="N1096" t="s">
        <v>32</v>
      </c>
      <c r="O1096" t="s">
        <v>33</v>
      </c>
      <c r="P1096">
        <v>0</v>
      </c>
      <c r="Q1096">
        <v>0</v>
      </c>
      <c r="R1096">
        <v>0</v>
      </c>
      <c r="S1096" t="s">
        <v>99</v>
      </c>
      <c r="T1096" t="s">
        <v>1737</v>
      </c>
      <c r="U1096">
        <v>1</v>
      </c>
    </row>
    <row r="1097" spans="1:21" x14ac:dyDescent="0.3">
      <c r="A1097" t="s">
        <v>1735</v>
      </c>
      <c r="B1097" t="s">
        <v>1736</v>
      </c>
      <c r="C1097" t="s">
        <v>150</v>
      </c>
      <c r="D1097" t="s">
        <v>29</v>
      </c>
      <c r="E1097" t="s">
        <v>30</v>
      </c>
      <c r="F1097" s="6">
        <v>44985</v>
      </c>
      <c r="H1097">
        <v>71.287128712871294</v>
      </c>
      <c r="K1097" t="s">
        <v>1041</v>
      </c>
      <c r="L1097" t="s">
        <v>31</v>
      </c>
      <c r="M1097">
        <v>2023</v>
      </c>
      <c r="N1097" t="s">
        <v>36</v>
      </c>
      <c r="O1097" t="s">
        <v>33</v>
      </c>
      <c r="P1097">
        <v>0</v>
      </c>
      <c r="Q1097">
        <v>0</v>
      </c>
      <c r="R1097">
        <v>0</v>
      </c>
      <c r="S1097" t="s">
        <v>99</v>
      </c>
      <c r="T1097" t="s">
        <v>1738</v>
      </c>
      <c r="U1097">
        <v>1</v>
      </c>
    </row>
    <row r="1098" spans="1:21" x14ac:dyDescent="0.3">
      <c r="A1098" t="s">
        <v>1735</v>
      </c>
      <c r="B1098" t="s">
        <v>1736</v>
      </c>
      <c r="C1098" t="s">
        <v>150</v>
      </c>
      <c r="D1098" t="s">
        <v>29</v>
      </c>
      <c r="E1098" t="s">
        <v>30</v>
      </c>
      <c r="F1098" s="6">
        <v>45016</v>
      </c>
      <c r="H1098">
        <v>71.017316017316006</v>
      </c>
      <c r="K1098" t="s">
        <v>1041</v>
      </c>
      <c r="L1098" t="s">
        <v>31</v>
      </c>
      <c r="M1098">
        <v>2023</v>
      </c>
      <c r="N1098" t="s">
        <v>38</v>
      </c>
      <c r="O1098" t="s">
        <v>33</v>
      </c>
      <c r="P1098">
        <v>0</v>
      </c>
      <c r="Q1098">
        <v>0</v>
      </c>
      <c r="R1098">
        <v>0</v>
      </c>
      <c r="S1098" t="s">
        <v>99</v>
      </c>
      <c r="T1098" t="s">
        <v>1739</v>
      </c>
      <c r="U1098">
        <v>1</v>
      </c>
    </row>
    <row r="1099" spans="1:21" x14ac:dyDescent="0.3">
      <c r="A1099" t="s">
        <v>1735</v>
      </c>
      <c r="B1099" t="s">
        <v>1736</v>
      </c>
      <c r="C1099" t="s">
        <v>150</v>
      </c>
      <c r="D1099" t="s">
        <v>29</v>
      </c>
      <c r="E1099" t="s">
        <v>30</v>
      </c>
      <c r="F1099" s="6">
        <v>45046</v>
      </c>
      <c r="H1099">
        <v>74.075723830735001</v>
      </c>
      <c r="K1099" t="s">
        <v>1041</v>
      </c>
      <c r="L1099" t="s">
        <v>31</v>
      </c>
      <c r="M1099">
        <v>2023</v>
      </c>
      <c r="N1099" t="s">
        <v>40</v>
      </c>
      <c r="O1099" t="s">
        <v>33</v>
      </c>
      <c r="P1099">
        <v>0</v>
      </c>
      <c r="Q1099">
        <v>0</v>
      </c>
      <c r="R1099">
        <v>0</v>
      </c>
      <c r="S1099" t="s">
        <v>99</v>
      </c>
      <c r="T1099" t="s">
        <v>1740</v>
      </c>
      <c r="U1099">
        <v>1</v>
      </c>
    </row>
    <row r="1100" spans="1:21" x14ac:dyDescent="0.3">
      <c r="A1100" t="s">
        <v>1735</v>
      </c>
      <c r="B1100" t="s">
        <v>1736</v>
      </c>
      <c r="C1100" t="s">
        <v>150</v>
      </c>
      <c r="D1100" t="s">
        <v>29</v>
      </c>
      <c r="E1100" t="s">
        <v>30</v>
      </c>
      <c r="F1100" s="6">
        <v>45077</v>
      </c>
      <c r="H1100">
        <v>70.167903162827002</v>
      </c>
      <c r="K1100" t="s">
        <v>1041</v>
      </c>
      <c r="L1100" t="s">
        <v>31</v>
      </c>
      <c r="M1100">
        <v>2023</v>
      </c>
      <c r="N1100" t="s">
        <v>42</v>
      </c>
      <c r="O1100" t="s">
        <v>33</v>
      </c>
      <c r="P1100">
        <v>0</v>
      </c>
      <c r="Q1100">
        <v>0</v>
      </c>
      <c r="R1100">
        <v>0</v>
      </c>
      <c r="S1100" t="s">
        <v>99</v>
      </c>
      <c r="T1100" t="s">
        <v>1741</v>
      </c>
      <c r="U1100">
        <v>1</v>
      </c>
    </row>
    <row r="1101" spans="1:21" x14ac:dyDescent="0.3">
      <c r="A1101" t="s">
        <v>1735</v>
      </c>
      <c r="B1101" t="s">
        <v>1736</v>
      </c>
      <c r="C1101" t="s">
        <v>150</v>
      </c>
      <c r="D1101" t="s">
        <v>29</v>
      </c>
      <c r="E1101" t="s">
        <v>30</v>
      </c>
      <c r="F1101" s="6">
        <v>45107</v>
      </c>
      <c r="H1101">
        <v>61.082385384350196</v>
      </c>
      <c r="K1101" t="s">
        <v>1041</v>
      </c>
      <c r="L1101" t="s">
        <v>31</v>
      </c>
      <c r="M1101">
        <v>2023</v>
      </c>
      <c r="N1101" t="s">
        <v>44</v>
      </c>
      <c r="O1101" t="s">
        <v>33</v>
      </c>
      <c r="P1101">
        <v>0</v>
      </c>
      <c r="Q1101">
        <v>0</v>
      </c>
      <c r="R1101">
        <v>0</v>
      </c>
      <c r="S1101" t="s">
        <v>99</v>
      </c>
      <c r="T1101" t="s">
        <v>1742</v>
      </c>
      <c r="U1101">
        <v>1</v>
      </c>
    </row>
    <row r="1102" spans="1:21" x14ac:dyDescent="0.3">
      <c r="A1102" t="s">
        <v>1735</v>
      </c>
      <c r="B1102" t="s">
        <v>1736</v>
      </c>
      <c r="C1102" t="s">
        <v>150</v>
      </c>
      <c r="D1102" t="s">
        <v>29</v>
      </c>
      <c r="E1102" t="s">
        <v>30</v>
      </c>
      <c r="F1102" s="6">
        <v>45138</v>
      </c>
      <c r="H1102">
        <v>75.552362134003999</v>
      </c>
      <c r="K1102" t="s">
        <v>1041</v>
      </c>
      <c r="L1102" t="s">
        <v>31</v>
      </c>
      <c r="M1102">
        <v>2023</v>
      </c>
      <c r="N1102" t="s">
        <v>46</v>
      </c>
      <c r="O1102" t="s">
        <v>47</v>
      </c>
      <c r="P1102">
        <v>0</v>
      </c>
      <c r="Q1102">
        <v>0</v>
      </c>
      <c r="R1102">
        <v>0</v>
      </c>
      <c r="S1102" t="s">
        <v>99</v>
      </c>
      <c r="T1102" t="s">
        <v>1743</v>
      </c>
      <c r="U1102">
        <v>1</v>
      </c>
    </row>
    <row r="1103" spans="1:21" x14ac:dyDescent="0.3">
      <c r="A1103" t="s">
        <v>1735</v>
      </c>
      <c r="B1103" t="s">
        <v>1736</v>
      </c>
      <c r="C1103" t="s">
        <v>150</v>
      </c>
      <c r="D1103" t="s">
        <v>29</v>
      </c>
      <c r="E1103" t="s">
        <v>30</v>
      </c>
      <c r="F1103" s="6">
        <v>45169</v>
      </c>
      <c r="H1103">
        <v>70.64</v>
      </c>
      <c r="K1103" t="s">
        <v>1041</v>
      </c>
      <c r="L1103" t="s">
        <v>31</v>
      </c>
      <c r="M1103">
        <v>2023</v>
      </c>
      <c r="N1103" t="s">
        <v>49</v>
      </c>
      <c r="O1103" t="s">
        <v>47</v>
      </c>
      <c r="P1103">
        <v>0</v>
      </c>
      <c r="Q1103">
        <v>0</v>
      </c>
      <c r="R1103">
        <v>0</v>
      </c>
      <c r="S1103" t="s">
        <v>99</v>
      </c>
      <c r="T1103" t="s">
        <v>1744</v>
      </c>
      <c r="U1103">
        <v>1</v>
      </c>
    </row>
    <row r="1104" spans="1:21" x14ac:dyDescent="0.3">
      <c r="A1104" t="s">
        <v>1735</v>
      </c>
      <c r="B1104" t="s">
        <v>1736</v>
      </c>
      <c r="C1104" t="s">
        <v>150</v>
      </c>
      <c r="D1104" t="s">
        <v>29</v>
      </c>
      <c r="E1104" t="s">
        <v>30</v>
      </c>
      <c r="F1104" s="6">
        <v>45199</v>
      </c>
      <c r="H1104">
        <v>67.14</v>
      </c>
      <c r="K1104" t="s">
        <v>1041</v>
      </c>
      <c r="L1104" t="s">
        <v>31</v>
      </c>
      <c r="M1104">
        <v>2023</v>
      </c>
      <c r="N1104" t="s">
        <v>51</v>
      </c>
      <c r="O1104" t="s">
        <v>47</v>
      </c>
      <c r="P1104">
        <v>0</v>
      </c>
      <c r="Q1104">
        <v>0</v>
      </c>
      <c r="R1104">
        <v>0</v>
      </c>
      <c r="S1104" t="s">
        <v>99</v>
      </c>
      <c r="T1104" t="s">
        <v>1745</v>
      </c>
      <c r="U1104">
        <v>1</v>
      </c>
    </row>
    <row r="1105" spans="1:21" x14ac:dyDescent="0.3">
      <c r="A1105" t="s">
        <v>1735</v>
      </c>
      <c r="B1105" t="s">
        <v>1736</v>
      </c>
      <c r="C1105" t="s">
        <v>150</v>
      </c>
      <c r="D1105" t="s">
        <v>29</v>
      </c>
      <c r="E1105" t="s">
        <v>30</v>
      </c>
      <c r="F1105" s="6">
        <v>45230</v>
      </c>
      <c r="H1105">
        <v>65.849999999999994</v>
      </c>
      <c r="K1105" t="s">
        <v>1041</v>
      </c>
      <c r="L1105" t="s">
        <v>31</v>
      </c>
      <c r="M1105">
        <v>2023</v>
      </c>
      <c r="N1105" t="s">
        <v>53</v>
      </c>
      <c r="O1105" t="s">
        <v>47</v>
      </c>
      <c r="P1105">
        <v>0</v>
      </c>
      <c r="Q1105">
        <v>0</v>
      </c>
      <c r="R1105">
        <v>0</v>
      </c>
      <c r="S1105" t="s">
        <v>99</v>
      </c>
      <c r="T1105" t="s">
        <v>1746</v>
      </c>
      <c r="U1105">
        <v>1</v>
      </c>
    </row>
    <row r="1106" spans="1:21" x14ac:dyDescent="0.3">
      <c r="A1106" t="s">
        <v>1735</v>
      </c>
      <c r="B1106" t="s">
        <v>1736</v>
      </c>
      <c r="C1106" t="s">
        <v>150</v>
      </c>
      <c r="D1106" t="s">
        <v>29</v>
      </c>
      <c r="E1106" t="s">
        <v>30</v>
      </c>
      <c r="F1106" s="6">
        <v>45260</v>
      </c>
      <c r="H1106">
        <v>65.47</v>
      </c>
      <c r="K1106" t="s">
        <v>1041</v>
      </c>
      <c r="L1106" t="s">
        <v>31</v>
      </c>
      <c r="M1106">
        <v>2023</v>
      </c>
      <c r="N1106" t="s">
        <v>55</v>
      </c>
      <c r="O1106" t="s">
        <v>47</v>
      </c>
      <c r="P1106">
        <v>0</v>
      </c>
      <c r="Q1106">
        <v>0</v>
      </c>
      <c r="R1106">
        <v>0</v>
      </c>
      <c r="S1106" t="s">
        <v>99</v>
      </c>
      <c r="T1106" t="s">
        <v>1747</v>
      </c>
      <c r="U1106">
        <v>1</v>
      </c>
    </row>
    <row r="1107" spans="1:21" x14ac:dyDescent="0.3">
      <c r="A1107" t="s">
        <v>1735</v>
      </c>
      <c r="B1107" t="s">
        <v>1736</v>
      </c>
      <c r="C1107" t="s">
        <v>150</v>
      </c>
      <c r="D1107" t="s">
        <v>29</v>
      </c>
      <c r="E1107" t="s">
        <v>30</v>
      </c>
      <c r="F1107" s="6">
        <v>45291</v>
      </c>
      <c r="H1107">
        <v>69.86</v>
      </c>
      <c r="K1107" t="s">
        <v>1041</v>
      </c>
      <c r="L1107" t="s">
        <v>31</v>
      </c>
      <c r="M1107">
        <v>2023</v>
      </c>
      <c r="N1107" t="s">
        <v>57</v>
      </c>
      <c r="O1107" t="s">
        <v>47</v>
      </c>
      <c r="P1107">
        <v>0</v>
      </c>
      <c r="Q1107">
        <v>0</v>
      </c>
      <c r="R1107">
        <v>0</v>
      </c>
      <c r="S1107" t="s">
        <v>99</v>
      </c>
      <c r="T1107" t="s">
        <v>1748</v>
      </c>
      <c r="U1107">
        <v>1</v>
      </c>
    </row>
    <row r="1108" spans="1:21" x14ac:dyDescent="0.3">
      <c r="A1108" t="s">
        <v>1749</v>
      </c>
      <c r="B1108" t="s">
        <v>1750</v>
      </c>
      <c r="C1108" t="s">
        <v>28</v>
      </c>
      <c r="D1108" t="s">
        <v>222</v>
      </c>
      <c r="E1108" t="s">
        <v>30</v>
      </c>
      <c r="F1108" s="6">
        <v>45107</v>
      </c>
      <c r="G1108">
        <v>27</v>
      </c>
      <c r="H1108">
        <v>27</v>
      </c>
      <c r="I1108">
        <v>1</v>
      </c>
      <c r="J1108">
        <v>1</v>
      </c>
      <c r="K1108" t="s">
        <v>1041</v>
      </c>
      <c r="L1108" t="s">
        <v>31</v>
      </c>
      <c r="M1108">
        <v>2023</v>
      </c>
      <c r="N1108" t="s">
        <v>44</v>
      </c>
      <c r="O1108" t="s">
        <v>33</v>
      </c>
      <c r="P1108">
        <v>0</v>
      </c>
      <c r="Q1108">
        <v>0</v>
      </c>
      <c r="R1108">
        <v>1</v>
      </c>
      <c r="S1108" t="s">
        <v>34</v>
      </c>
      <c r="T1108" t="s">
        <v>1751</v>
      </c>
      <c r="U1108">
        <v>1</v>
      </c>
    </row>
    <row r="1109" spans="1:21" x14ac:dyDescent="0.3">
      <c r="A1109" t="s">
        <v>1749</v>
      </c>
      <c r="B1109" t="s">
        <v>1750</v>
      </c>
      <c r="C1109" t="s">
        <v>28</v>
      </c>
      <c r="D1109" t="s">
        <v>222</v>
      </c>
      <c r="E1109" t="s">
        <v>30</v>
      </c>
      <c r="F1109" s="6">
        <v>45291</v>
      </c>
      <c r="G1109">
        <v>17</v>
      </c>
      <c r="H1109">
        <v>17</v>
      </c>
      <c r="I1109">
        <v>1</v>
      </c>
      <c r="J1109">
        <v>1</v>
      </c>
      <c r="K1109" t="s">
        <v>1041</v>
      </c>
      <c r="L1109" t="s">
        <v>31</v>
      </c>
      <c r="M1109">
        <v>2023</v>
      </c>
      <c r="N1109" t="s">
        <v>57</v>
      </c>
      <c r="O1109" t="s">
        <v>47</v>
      </c>
      <c r="P1109">
        <v>0</v>
      </c>
      <c r="Q1109">
        <v>0</v>
      </c>
      <c r="R1109">
        <v>1</v>
      </c>
      <c r="S1109" t="s">
        <v>34</v>
      </c>
      <c r="T1109" t="s">
        <v>1752</v>
      </c>
      <c r="U1109">
        <v>1</v>
      </c>
    </row>
    <row r="1110" spans="1:21" x14ac:dyDescent="0.3">
      <c r="A1110" t="s">
        <v>1753</v>
      </c>
      <c r="B1110" t="s">
        <v>1754</v>
      </c>
      <c r="C1110" t="s">
        <v>28</v>
      </c>
      <c r="D1110" t="s">
        <v>222</v>
      </c>
      <c r="E1110" t="s">
        <v>30</v>
      </c>
      <c r="F1110" s="6">
        <v>45107</v>
      </c>
      <c r="G1110">
        <v>72</v>
      </c>
      <c r="H1110">
        <v>72</v>
      </c>
      <c r="I1110">
        <v>1</v>
      </c>
      <c r="J1110">
        <v>1</v>
      </c>
      <c r="K1110" t="s">
        <v>1041</v>
      </c>
      <c r="L1110" t="s">
        <v>31</v>
      </c>
      <c r="M1110">
        <v>2023</v>
      </c>
      <c r="N1110" t="s">
        <v>44</v>
      </c>
      <c r="O1110" t="s">
        <v>33</v>
      </c>
      <c r="P1110">
        <v>0</v>
      </c>
      <c r="Q1110">
        <v>0</v>
      </c>
      <c r="R1110">
        <v>1</v>
      </c>
      <c r="S1110" t="s">
        <v>34</v>
      </c>
      <c r="T1110" t="s">
        <v>1755</v>
      </c>
      <c r="U1110">
        <v>1</v>
      </c>
    </row>
    <row r="1111" spans="1:21" x14ac:dyDescent="0.3">
      <c r="A1111" t="s">
        <v>1753</v>
      </c>
      <c r="B1111" t="s">
        <v>1754</v>
      </c>
      <c r="C1111" t="s">
        <v>28</v>
      </c>
      <c r="D1111" t="s">
        <v>222</v>
      </c>
      <c r="E1111" t="s">
        <v>30</v>
      </c>
      <c r="F1111" s="6">
        <v>45291</v>
      </c>
      <c r="G1111">
        <v>26</v>
      </c>
      <c r="H1111">
        <v>26</v>
      </c>
      <c r="I1111">
        <v>1</v>
      </c>
      <c r="J1111">
        <v>1</v>
      </c>
      <c r="K1111" t="s">
        <v>1041</v>
      </c>
      <c r="L1111" t="s">
        <v>31</v>
      </c>
      <c r="M1111">
        <v>2023</v>
      </c>
      <c r="N1111" t="s">
        <v>57</v>
      </c>
      <c r="O1111" t="s">
        <v>47</v>
      </c>
      <c r="P1111">
        <v>0</v>
      </c>
      <c r="Q1111">
        <v>0</v>
      </c>
      <c r="R1111">
        <v>1</v>
      </c>
      <c r="S1111" t="s">
        <v>34</v>
      </c>
      <c r="T1111" t="s">
        <v>1756</v>
      </c>
      <c r="U1111">
        <v>1</v>
      </c>
    </row>
    <row r="1112" spans="1:21" x14ac:dyDescent="0.3">
      <c r="A1112" t="s">
        <v>1757</v>
      </c>
      <c r="B1112" t="s">
        <v>1758</v>
      </c>
      <c r="C1112" t="s">
        <v>138</v>
      </c>
      <c r="D1112" t="s">
        <v>233</v>
      </c>
      <c r="E1112" t="s">
        <v>30</v>
      </c>
      <c r="F1112" s="6">
        <v>45107</v>
      </c>
      <c r="G1112">
        <v>100</v>
      </c>
      <c r="H1112">
        <v>93.877551020408006</v>
      </c>
      <c r="I1112">
        <v>0.93877551020408001</v>
      </c>
      <c r="J1112">
        <v>0.93877551020408001</v>
      </c>
      <c r="K1112" t="s">
        <v>31</v>
      </c>
      <c r="L1112" t="s">
        <v>31</v>
      </c>
      <c r="M1112">
        <v>2023</v>
      </c>
      <c r="N1112" t="s">
        <v>44</v>
      </c>
      <c r="O1112" t="s">
        <v>33</v>
      </c>
      <c r="P1112">
        <v>0</v>
      </c>
      <c r="Q1112">
        <v>0</v>
      </c>
      <c r="R1112">
        <v>0</v>
      </c>
      <c r="S1112" t="s">
        <v>99</v>
      </c>
      <c r="T1112" t="s">
        <v>1759</v>
      </c>
      <c r="U1112">
        <v>1</v>
      </c>
    </row>
    <row r="1113" spans="1:21" x14ac:dyDescent="0.3">
      <c r="A1113" t="s">
        <v>1757</v>
      </c>
      <c r="B1113" t="s">
        <v>1758</v>
      </c>
      <c r="C1113" t="s">
        <v>138</v>
      </c>
      <c r="D1113" t="s">
        <v>233</v>
      </c>
      <c r="E1113" t="s">
        <v>30</v>
      </c>
      <c r="F1113" s="6">
        <v>45199</v>
      </c>
      <c r="G1113">
        <v>100</v>
      </c>
      <c r="H1113">
        <v>100</v>
      </c>
      <c r="I1113">
        <v>1</v>
      </c>
      <c r="J1113">
        <v>1</v>
      </c>
      <c r="K1113" t="s">
        <v>31</v>
      </c>
      <c r="L1113" t="s">
        <v>31</v>
      </c>
      <c r="M1113">
        <v>2023</v>
      </c>
      <c r="N1113" t="s">
        <v>51</v>
      </c>
      <c r="O1113" t="s">
        <v>47</v>
      </c>
      <c r="P1113">
        <v>0</v>
      </c>
      <c r="Q1113">
        <v>0</v>
      </c>
      <c r="R1113">
        <v>0</v>
      </c>
      <c r="S1113" t="s">
        <v>99</v>
      </c>
      <c r="T1113" t="s">
        <v>1760</v>
      </c>
      <c r="U1113">
        <v>1</v>
      </c>
    </row>
    <row r="1114" spans="1:21" x14ac:dyDescent="0.3">
      <c r="A1114" t="s">
        <v>1757</v>
      </c>
      <c r="B1114" t="s">
        <v>1758</v>
      </c>
      <c r="C1114" t="s">
        <v>138</v>
      </c>
      <c r="D1114" t="s">
        <v>233</v>
      </c>
      <c r="E1114" t="s">
        <v>30</v>
      </c>
      <c r="F1114" s="6">
        <v>45291</v>
      </c>
      <c r="G1114">
        <v>100</v>
      </c>
      <c r="H1114">
        <v>100</v>
      </c>
      <c r="I1114">
        <v>1</v>
      </c>
      <c r="J1114">
        <v>1</v>
      </c>
      <c r="K1114" t="s">
        <v>31</v>
      </c>
      <c r="L1114" t="s">
        <v>31</v>
      </c>
      <c r="M1114">
        <v>2023</v>
      </c>
      <c r="N1114" t="s">
        <v>57</v>
      </c>
      <c r="O1114" t="s">
        <v>47</v>
      </c>
      <c r="P1114">
        <v>0</v>
      </c>
      <c r="Q1114">
        <v>0</v>
      </c>
      <c r="R1114">
        <v>0</v>
      </c>
      <c r="S1114" t="s">
        <v>99</v>
      </c>
      <c r="T1114" t="s">
        <v>1761</v>
      </c>
      <c r="U1114">
        <v>1</v>
      </c>
    </row>
    <row r="1115" spans="1:21" x14ac:dyDescent="0.3">
      <c r="A1115" t="s">
        <v>1757</v>
      </c>
      <c r="B1115" t="s">
        <v>1758</v>
      </c>
      <c r="C1115" t="s">
        <v>138</v>
      </c>
      <c r="D1115" t="s">
        <v>233</v>
      </c>
      <c r="E1115" t="s">
        <v>30</v>
      </c>
      <c r="F1115" s="6">
        <v>45473</v>
      </c>
      <c r="G1115">
        <v>100</v>
      </c>
      <c r="H1115">
        <v>92.45</v>
      </c>
      <c r="I1115">
        <v>92.45</v>
      </c>
      <c r="J1115">
        <v>0.92449999999999999</v>
      </c>
      <c r="K1115" t="s">
        <v>31</v>
      </c>
      <c r="L1115" t="s">
        <v>31</v>
      </c>
      <c r="M1115">
        <v>2024</v>
      </c>
      <c r="N1115" t="s">
        <v>44</v>
      </c>
      <c r="O1115" t="s">
        <v>71</v>
      </c>
      <c r="P1115">
        <v>0</v>
      </c>
      <c r="Q1115">
        <v>0</v>
      </c>
      <c r="R1115">
        <v>0</v>
      </c>
      <c r="S1115" t="s">
        <v>99</v>
      </c>
      <c r="T1115" t="s">
        <v>1762</v>
      </c>
      <c r="U1115">
        <v>1</v>
      </c>
    </row>
    <row r="1116" spans="1:21" x14ac:dyDescent="0.3">
      <c r="A1116" t="s">
        <v>1757</v>
      </c>
      <c r="B1116" t="s">
        <v>1758</v>
      </c>
      <c r="C1116" t="s">
        <v>138</v>
      </c>
      <c r="D1116" t="s">
        <v>233</v>
      </c>
      <c r="E1116" t="s">
        <v>30</v>
      </c>
      <c r="F1116" s="6">
        <v>45565</v>
      </c>
      <c r="G1116">
        <v>100</v>
      </c>
      <c r="H1116">
        <v>96.23</v>
      </c>
      <c r="I1116">
        <v>0.96230000000000004</v>
      </c>
      <c r="J1116">
        <v>0.96230000000000004</v>
      </c>
      <c r="K1116" t="s">
        <v>31</v>
      </c>
      <c r="L1116" t="s">
        <v>31</v>
      </c>
      <c r="M1116">
        <v>2024</v>
      </c>
      <c r="N1116" t="s">
        <v>51</v>
      </c>
      <c r="O1116" t="s">
        <v>78</v>
      </c>
      <c r="P1116">
        <v>0</v>
      </c>
      <c r="Q1116">
        <v>0</v>
      </c>
      <c r="R1116">
        <v>0</v>
      </c>
      <c r="S1116" t="s">
        <v>99</v>
      </c>
      <c r="T1116" t="s">
        <v>1763</v>
      </c>
      <c r="U1116">
        <v>1</v>
      </c>
    </row>
    <row r="1117" spans="1:21" x14ac:dyDescent="0.3">
      <c r="A1117" t="s">
        <v>1757</v>
      </c>
      <c r="B1117" t="s">
        <v>1758</v>
      </c>
      <c r="C1117" t="s">
        <v>138</v>
      </c>
      <c r="D1117" t="s">
        <v>233</v>
      </c>
      <c r="E1117" t="s">
        <v>30</v>
      </c>
      <c r="F1117" s="6">
        <v>45657</v>
      </c>
      <c r="G1117">
        <v>100</v>
      </c>
      <c r="H1117">
        <v>96.23</v>
      </c>
      <c r="I1117">
        <v>0.96230000000000004</v>
      </c>
      <c r="J1117">
        <v>0.96230000000000004</v>
      </c>
      <c r="K1117" t="s">
        <v>31</v>
      </c>
      <c r="L1117" t="s">
        <v>31</v>
      </c>
      <c r="M1117">
        <v>2024</v>
      </c>
      <c r="N1117" t="s">
        <v>57</v>
      </c>
      <c r="O1117" t="s">
        <v>78</v>
      </c>
      <c r="P1117">
        <v>0</v>
      </c>
      <c r="Q1117">
        <v>0</v>
      </c>
      <c r="R1117">
        <v>0</v>
      </c>
      <c r="S1117" t="s">
        <v>99</v>
      </c>
      <c r="T1117" t="s">
        <v>1764</v>
      </c>
      <c r="U1117">
        <v>1</v>
      </c>
    </row>
    <row r="1118" spans="1:21" x14ac:dyDescent="0.3">
      <c r="A1118" t="s">
        <v>1757</v>
      </c>
      <c r="B1118" t="s">
        <v>1765</v>
      </c>
      <c r="C1118" t="s">
        <v>138</v>
      </c>
      <c r="D1118" t="s">
        <v>233</v>
      </c>
      <c r="E1118" t="s">
        <v>30</v>
      </c>
      <c r="F1118" s="6">
        <v>45747</v>
      </c>
      <c r="G1118">
        <v>100</v>
      </c>
      <c r="H1118" t="s">
        <v>424</v>
      </c>
      <c r="I1118">
        <v>0</v>
      </c>
      <c r="J1118">
        <v>0</v>
      </c>
      <c r="K1118" t="s">
        <v>102</v>
      </c>
      <c r="M1118">
        <v>2025</v>
      </c>
      <c r="N1118" t="s">
        <v>38</v>
      </c>
      <c r="O1118" t="s">
        <v>244</v>
      </c>
      <c r="P1118">
        <v>2</v>
      </c>
      <c r="Q1118">
        <v>2</v>
      </c>
      <c r="R1118">
        <v>0</v>
      </c>
      <c r="S1118" t="s">
        <v>104</v>
      </c>
      <c r="T1118" t="s">
        <v>1766</v>
      </c>
      <c r="U1118">
        <v>31</v>
      </c>
    </row>
    <row r="1119" spans="1:21" x14ac:dyDescent="0.3">
      <c r="A1119" t="s">
        <v>1757</v>
      </c>
      <c r="B1119" t="s">
        <v>1765</v>
      </c>
      <c r="C1119" t="s">
        <v>138</v>
      </c>
      <c r="D1119" t="s">
        <v>233</v>
      </c>
      <c r="E1119" t="s">
        <v>30</v>
      </c>
      <c r="F1119" s="6">
        <v>45838</v>
      </c>
      <c r="G1119">
        <v>100</v>
      </c>
      <c r="H1119" t="s">
        <v>1767</v>
      </c>
      <c r="I1119">
        <v>0.8234999999999999</v>
      </c>
      <c r="J1119">
        <v>0.8234999999999999</v>
      </c>
      <c r="K1119" t="s">
        <v>102</v>
      </c>
      <c r="L1119" t="s">
        <v>1768</v>
      </c>
      <c r="M1119">
        <v>2025</v>
      </c>
      <c r="N1119" t="s">
        <v>44</v>
      </c>
      <c r="O1119" t="s">
        <v>244</v>
      </c>
      <c r="P1119">
        <v>2</v>
      </c>
      <c r="Q1119">
        <v>2</v>
      </c>
      <c r="R1119">
        <v>0</v>
      </c>
      <c r="S1119" t="s">
        <v>104</v>
      </c>
      <c r="T1119" t="s">
        <v>1769</v>
      </c>
      <c r="U1119">
        <v>30</v>
      </c>
    </row>
    <row r="1120" spans="1:21" x14ac:dyDescent="0.3">
      <c r="A1120" t="s">
        <v>1757</v>
      </c>
      <c r="B1120" t="s">
        <v>1765</v>
      </c>
      <c r="C1120" t="s">
        <v>138</v>
      </c>
      <c r="D1120" t="s">
        <v>233</v>
      </c>
      <c r="E1120" t="s">
        <v>30</v>
      </c>
      <c r="F1120" s="6">
        <v>46022</v>
      </c>
      <c r="G1120">
        <v>100</v>
      </c>
      <c r="H1120" t="s">
        <v>95</v>
      </c>
      <c r="I1120">
        <v>1</v>
      </c>
      <c r="J1120">
        <v>1</v>
      </c>
      <c r="K1120" t="s">
        <v>102</v>
      </c>
      <c r="L1120" t="s">
        <v>102</v>
      </c>
      <c r="M1120">
        <v>2025</v>
      </c>
      <c r="N1120" t="s">
        <v>57</v>
      </c>
      <c r="O1120" t="s">
        <v>103</v>
      </c>
      <c r="P1120">
        <v>2</v>
      </c>
      <c r="Q1120">
        <v>2</v>
      </c>
      <c r="R1120">
        <v>0</v>
      </c>
      <c r="S1120" t="s">
        <v>104</v>
      </c>
      <c r="T1120" t="s">
        <v>1770</v>
      </c>
      <c r="U1120">
        <v>31</v>
      </c>
    </row>
    <row r="1121" spans="1:21" x14ac:dyDescent="0.3">
      <c r="A1121" t="s">
        <v>1771</v>
      </c>
      <c r="B1121" t="s">
        <v>1772</v>
      </c>
      <c r="C1121" t="s">
        <v>730</v>
      </c>
      <c r="D1121" t="s">
        <v>222</v>
      </c>
      <c r="E1121" t="s">
        <v>30</v>
      </c>
      <c r="F1121" s="6">
        <v>45107</v>
      </c>
      <c r="G1121">
        <v>68</v>
      </c>
      <c r="H1121">
        <v>67.19</v>
      </c>
      <c r="I1121">
        <v>0.9880882352941176</v>
      </c>
      <c r="J1121">
        <v>0.9880882352941176</v>
      </c>
      <c r="K1121" t="s">
        <v>31</v>
      </c>
      <c r="L1121" t="s">
        <v>31</v>
      </c>
      <c r="M1121">
        <v>2023</v>
      </c>
      <c r="N1121" t="s">
        <v>44</v>
      </c>
      <c r="O1121" t="s">
        <v>33</v>
      </c>
      <c r="P1121">
        <v>0</v>
      </c>
      <c r="Q1121">
        <v>0</v>
      </c>
      <c r="R1121">
        <v>0</v>
      </c>
      <c r="S1121" t="s">
        <v>130</v>
      </c>
      <c r="T1121" t="s">
        <v>1773</v>
      </c>
      <c r="U1121">
        <v>1</v>
      </c>
    </row>
    <row r="1122" spans="1:21" x14ac:dyDescent="0.3">
      <c r="A1122" t="s">
        <v>1771</v>
      </c>
      <c r="B1122" t="s">
        <v>1772</v>
      </c>
      <c r="C1122" t="s">
        <v>730</v>
      </c>
      <c r="D1122" t="s">
        <v>222</v>
      </c>
      <c r="E1122" t="s">
        <v>30</v>
      </c>
      <c r="F1122" s="6">
        <v>45291</v>
      </c>
      <c r="G1122">
        <v>68</v>
      </c>
      <c r="H1122">
        <v>74.739999999999995</v>
      </c>
      <c r="I1122">
        <v>1.099117647058824</v>
      </c>
      <c r="J1122">
        <v>1.099117647058824</v>
      </c>
      <c r="K1122" t="s">
        <v>31</v>
      </c>
      <c r="L1122" t="s">
        <v>31</v>
      </c>
      <c r="M1122">
        <v>2023</v>
      </c>
      <c r="N1122" t="s">
        <v>57</v>
      </c>
      <c r="O1122" t="s">
        <v>47</v>
      </c>
      <c r="P1122">
        <v>0</v>
      </c>
      <c r="Q1122">
        <v>0</v>
      </c>
      <c r="R1122">
        <v>0</v>
      </c>
      <c r="S1122" t="s">
        <v>130</v>
      </c>
      <c r="T1122" t="s">
        <v>1774</v>
      </c>
      <c r="U1122">
        <v>1</v>
      </c>
    </row>
    <row r="1123" spans="1:21" x14ac:dyDescent="0.3">
      <c r="A1123" t="s">
        <v>1771</v>
      </c>
      <c r="B1123" t="s">
        <v>1772</v>
      </c>
      <c r="C1123" t="s">
        <v>730</v>
      </c>
      <c r="D1123" t="s">
        <v>222</v>
      </c>
      <c r="E1123" t="s">
        <v>30</v>
      </c>
      <c r="F1123" s="6">
        <v>45473</v>
      </c>
      <c r="G1123">
        <v>68.5</v>
      </c>
      <c r="H1123">
        <v>71.56</v>
      </c>
      <c r="I1123">
        <v>1.0446715328467151</v>
      </c>
      <c r="J1123">
        <v>1.0446715328467151</v>
      </c>
      <c r="K1123" t="s">
        <v>31</v>
      </c>
      <c r="L1123" t="s">
        <v>31</v>
      </c>
      <c r="M1123">
        <v>2024</v>
      </c>
      <c r="N1123" t="s">
        <v>44</v>
      </c>
      <c r="O1123" t="s">
        <v>71</v>
      </c>
      <c r="P1123">
        <v>2</v>
      </c>
      <c r="Q1123">
        <v>2</v>
      </c>
      <c r="R1123">
        <v>0</v>
      </c>
      <c r="S1123" t="s">
        <v>130</v>
      </c>
      <c r="T1123" t="s">
        <v>1775</v>
      </c>
      <c r="U1123">
        <v>1</v>
      </c>
    </row>
    <row r="1124" spans="1:21" x14ac:dyDescent="0.3">
      <c r="A1124" t="s">
        <v>1771</v>
      </c>
      <c r="B1124" t="s">
        <v>1772</v>
      </c>
      <c r="C1124" t="s">
        <v>730</v>
      </c>
      <c r="D1124" t="s">
        <v>222</v>
      </c>
      <c r="E1124" t="s">
        <v>30</v>
      </c>
      <c r="F1124" s="6">
        <v>45657</v>
      </c>
      <c r="G1124">
        <v>72.900000000000006</v>
      </c>
      <c r="H1124">
        <v>72.53</v>
      </c>
      <c r="I1124">
        <v>0.99492455418381343</v>
      </c>
      <c r="J1124">
        <v>0.99492455418381343</v>
      </c>
      <c r="K1124" t="s">
        <v>31</v>
      </c>
      <c r="L1124" t="s">
        <v>31</v>
      </c>
      <c r="M1124">
        <v>2024</v>
      </c>
      <c r="N1124" t="s">
        <v>57</v>
      </c>
      <c r="O1124" t="s">
        <v>78</v>
      </c>
      <c r="P1124">
        <v>2</v>
      </c>
      <c r="Q1124">
        <v>2</v>
      </c>
      <c r="R1124">
        <v>0</v>
      </c>
      <c r="S1124" t="s">
        <v>130</v>
      </c>
      <c r="T1124" t="s">
        <v>1776</v>
      </c>
      <c r="U1124">
        <v>1</v>
      </c>
    </row>
    <row r="1125" spans="1:21" x14ac:dyDescent="0.3">
      <c r="A1125" t="s">
        <v>1771</v>
      </c>
      <c r="B1125" t="s">
        <v>1777</v>
      </c>
      <c r="C1125" t="s">
        <v>730</v>
      </c>
      <c r="D1125" t="s">
        <v>222</v>
      </c>
      <c r="E1125" t="s">
        <v>30</v>
      </c>
      <c r="F1125" s="6">
        <v>45838</v>
      </c>
      <c r="G1125">
        <v>100</v>
      </c>
      <c r="H1125" t="s">
        <v>1778</v>
      </c>
      <c r="I1125">
        <v>0.99580000000000002</v>
      </c>
      <c r="J1125">
        <v>0.99580000000000002</v>
      </c>
      <c r="K1125" t="s">
        <v>102</v>
      </c>
      <c r="L1125" t="s">
        <v>1779</v>
      </c>
      <c r="M1125">
        <v>2025</v>
      </c>
      <c r="N1125" t="s">
        <v>44</v>
      </c>
      <c r="O1125" t="s">
        <v>244</v>
      </c>
      <c r="P1125">
        <v>2</v>
      </c>
      <c r="Q1125">
        <v>2</v>
      </c>
      <c r="R1125">
        <v>0</v>
      </c>
      <c r="S1125" t="s">
        <v>130</v>
      </c>
      <c r="T1125" t="s">
        <v>1780</v>
      </c>
      <c r="U1125">
        <v>30</v>
      </c>
    </row>
    <row r="1126" spans="1:21" x14ac:dyDescent="0.3">
      <c r="A1126" t="s">
        <v>1771</v>
      </c>
      <c r="B1126" t="s">
        <v>1777</v>
      </c>
      <c r="C1126" t="s">
        <v>730</v>
      </c>
      <c r="D1126" t="s">
        <v>222</v>
      </c>
      <c r="E1126" t="s">
        <v>30</v>
      </c>
      <c r="F1126" s="6">
        <v>46022</v>
      </c>
      <c r="G1126">
        <v>100</v>
      </c>
      <c r="H1126" t="s">
        <v>1781</v>
      </c>
      <c r="I1126">
        <v>0.99870000000000003</v>
      </c>
      <c r="J1126">
        <v>0.99870000000000003</v>
      </c>
      <c r="K1126" t="s">
        <v>102</v>
      </c>
      <c r="L1126" t="s">
        <v>1782</v>
      </c>
      <c r="M1126">
        <v>2025</v>
      </c>
      <c r="N1126" t="s">
        <v>57</v>
      </c>
      <c r="O1126" t="s">
        <v>103</v>
      </c>
      <c r="P1126">
        <v>2</v>
      </c>
      <c r="Q1126">
        <v>2</v>
      </c>
      <c r="R1126">
        <v>0</v>
      </c>
      <c r="S1126" t="s">
        <v>130</v>
      </c>
      <c r="T1126" t="s">
        <v>1783</v>
      </c>
      <c r="U1126">
        <v>31</v>
      </c>
    </row>
    <row r="1127" spans="1:21" x14ac:dyDescent="0.3">
      <c r="A1127" t="s">
        <v>1784</v>
      </c>
      <c r="B1127" t="s">
        <v>1785</v>
      </c>
      <c r="C1127" t="s">
        <v>283</v>
      </c>
      <c r="D1127" t="s">
        <v>284</v>
      </c>
      <c r="E1127" t="s">
        <v>108</v>
      </c>
      <c r="F1127" s="6">
        <v>44985</v>
      </c>
      <c r="M1127">
        <v>2023</v>
      </c>
      <c r="N1127" t="s">
        <v>36</v>
      </c>
      <c r="O1127" t="s">
        <v>33</v>
      </c>
      <c r="P1127">
        <v>0</v>
      </c>
      <c r="Q1127">
        <v>0</v>
      </c>
      <c r="R1127">
        <v>0</v>
      </c>
      <c r="S1127" t="s">
        <v>99</v>
      </c>
      <c r="T1127" t="s">
        <v>1786</v>
      </c>
      <c r="U1127">
        <v>1</v>
      </c>
    </row>
    <row r="1128" spans="1:21" x14ac:dyDescent="0.3">
      <c r="A1128" t="s">
        <v>1784</v>
      </c>
      <c r="B1128" t="s">
        <v>1785</v>
      </c>
      <c r="C1128" t="s">
        <v>283</v>
      </c>
      <c r="D1128" t="s">
        <v>284</v>
      </c>
      <c r="E1128" t="s">
        <v>108</v>
      </c>
      <c r="F1128" s="6">
        <v>45046</v>
      </c>
      <c r="G1128">
        <v>8</v>
      </c>
      <c r="H1128">
        <v>8</v>
      </c>
      <c r="I1128">
        <v>1</v>
      </c>
      <c r="J1128">
        <v>1</v>
      </c>
      <c r="M1128">
        <v>2023</v>
      </c>
      <c r="N1128" t="s">
        <v>40</v>
      </c>
      <c r="O1128" t="s">
        <v>33</v>
      </c>
      <c r="P1128">
        <v>0</v>
      </c>
      <c r="Q1128">
        <v>0</v>
      </c>
      <c r="R1128">
        <v>0</v>
      </c>
      <c r="S1128" t="s">
        <v>99</v>
      </c>
      <c r="T1128" t="s">
        <v>1787</v>
      </c>
      <c r="U1128">
        <v>1</v>
      </c>
    </row>
    <row r="1129" spans="1:21" x14ac:dyDescent="0.3">
      <c r="A1129" t="s">
        <v>1784</v>
      </c>
      <c r="B1129" t="s">
        <v>1785</v>
      </c>
      <c r="C1129" t="s">
        <v>283</v>
      </c>
      <c r="D1129" t="s">
        <v>284</v>
      </c>
      <c r="E1129" t="s">
        <v>108</v>
      </c>
      <c r="F1129" s="6">
        <v>45107</v>
      </c>
      <c r="G1129">
        <v>8</v>
      </c>
      <c r="H1129">
        <v>4.5</v>
      </c>
      <c r="I1129">
        <v>1.3</v>
      </c>
      <c r="J1129">
        <v>1.7777777777777779</v>
      </c>
      <c r="M1129">
        <v>2023</v>
      </c>
      <c r="N1129" t="s">
        <v>44</v>
      </c>
      <c r="O1129" t="s">
        <v>33</v>
      </c>
      <c r="P1129">
        <v>1</v>
      </c>
      <c r="Q1129">
        <v>1</v>
      </c>
      <c r="R1129">
        <v>0</v>
      </c>
      <c r="S1129" t="s">
        <v>99</v>
      </c>
      <c r="T1129" t="s">
        <v>1788</v>
      </c>
      <c r="U1129">
        <v>1</v>
      </c>
    </row>
    <row r="1130" spans="1:21" x14ac:dyDescent="0.3">
      <c r="A1130" t="s">
        <v>1784</v>
      </c>
      <c r="B1130" t="s">
        <v>1785</v>
      </c>
      <c r="C1130" t="s">
        <v>283</v>
      </c>
      <c r="D1130" t="s">
        <v>284</v>
      </c>
      <c r="E1130" t="s">
        <v>108</v>
      </c>
      <c r="F1130" s="6">
        <v>45169</v>
      </c>
      <c r="G1130">
        <v>8</v>
      </c>
      <c r="H1130">
        <v>4.5</v>
      </c>
      <c r="I1130">
        <v>1.3</v>
      </c>
      <c r="J1130">
        <v>1.7777777777777779</v>
      </c>
      <c r="M1130">
        <v>2023</v>
      </c>
      <c r="N1130" t="s">
        <v>49</v>
      </c>
      <c r="O1130" t="s">
        <v>47</v>
      </c>
      <c r="P1130">
        <v>1</v>
      </c>
      <c r="Q1130">
        <v>1</v>
      </c>
      <c r="R1130">
        <v>0</v>
      </c>
      <c r="S1130" t="s">
        <v>99</v>
      </c>
      <c r="T1130" t="s">
        <v>1789</v>
      </c>
      <c r="U1130">
        <v>1</v>
      </c>
    </row>
    <row r="1131" spans="1:21" x14ac:dyDescent="0.3">
      <c r="A1131" t="s">
        <v>1784</v>
      </c>
      <c r="B1131" t="s">
        <v>1785</v>
      </c>
      <c r="C1131" t="s">
        <v>283</v>
      </c>
      <c r="D1131" t="s">
        <v>284</v>
      </c>
      <c r="E1131" t="s">
        <v>108</v>
      </c>
      <c r="F1131" s="6">
        <v>45230</v>
      </c>
      <c r="G1131">
        <v>8</v>
      </c>
      <c r="H1131">
        <v>5.8</v>
      </c>
      <c r="I1131">
        <v>1.3</v>
      </c>
      <c r="J1131">
        <v>1.3793103448275861</v>
      </c>
      <c r="M1131">
        <v>2023</v>
      </c>
      <c r="N1131" t="s">
        <v>53</v>
      </c>
      <c r="O1131" t="s">
        <v>47</v>
      </c>
      <c r="P1131">
        <v>1</v>
      </c>
      <c r="Q1131">
        <v>1</v>
      </c>
      <c r="R1131">
        <v>0</v>
      </c>
      <c r="S1131" t="s">
        <v>99</v>
      </c>
      <c r="T1131" t="s">
        <v>1790</v>
      </c>
      <c r="U1131">
        <v>1</v>
      </c>
    </row>
    <row r="1132" spans="1:21" x14ac:dyDescent="0.3">
      <c r="A1132" t="s">
        <v>1784</v>
      </c>
      <c r="B1132" t="s">
        <v>1785</v>
      </c>
      <c r="C1132" t="s">
        <v>283</v>
      </c>
      <c r="D1132" t="s">
        <v>284</v>
      </c>
      <c r="E1132" t="s">
        <v>108</v>
      </c>
      <c r="F1132" s="6">
        <v>45291</v>
      </c>
      <c r="G1132">
        <v>8</v>
      </c>
      <c r="H1132">
        <v>5</v>
      </c>
      <c r="I1132">
        <v>1.3</v>
      </c>
      <c r="J1132">
        <v>1.6</v>
      </c>
      <c r="M1132">
        <v>2023</v>
      </c>
      <c r="N1132" t="s">
        <v>57</v>
      </c>
      <c r="O1132" t="s">
        <v>47</v>
      </c>
      <c r="P1132">
        <v>0</v>
      </c>
      <c r="Q1132">
        <v>0</v>
      </c>
      <c r="R1132">
        <v>0</v>
      </c>
      <c r="S1132" t="s">
        <v>99</v>
      </c>
      <c r="T1132" t="s">
        <v>1791</v>
      </c>
      <c r="U1132">
        <v>1</v>
      </c>
    </row>
    <row r="1133" spans="1:21" x14ac:dyDescent="0.3">
      <c r="A1133" t="s">
        <v>1792</v>
      </c>
      <c r="B1133" t="s">
        <v>1793</v>
      </c>
      <c r="C1133" t="s">
        <v>129</v>
      </c>
      <c r="D1133" t="s">
        <v>1794</v>
      </c>
      <c r="E1133" t="s">
        <v>30</v>
      </c>
      <c r="F1133" s="6">
        <v>45107</v>
      </c>
      <c r="G1133">
        <v>55</v>
      </c>
      <c r="H1133">
        <v>55</v>
      </c>
      <c r="I1133">
        <v>1</v>
      </c>
      <c r="J1133">
        <v>1</v>
      </c>
      <c r="K1133" t="s">
        <v>31</v>
      </c>
      <c r="L1133" t="s">
        <v>31</v>
      </c>
      <c r="M1133">
        <v>2023</v>
      </c>
      <c r="N1133" t="s">
        <v>44</v>
      </c>
      <c r="O1133" t="s">
        <v>33</v>
      </c>
      <c r="P1133">
        <v>0</v>
      </c>
      <c r="Q1133">
        <v>0</v>
      </c>
      <c r="R1133">
        <v>0</v>
      </c>
      <c r="S1133" t="s">
        <v>99</v>
      </c>
      <c r="T1133" t="s">
        <v>1795</v>
      </c>
      <c r="U1133">
        <v>1</v>
      </c>
    </row>
    <row r="1134" spans="1:21" x14ac:dyDescent="0.3">
      <c r="A1134" t="s">
        <v>1792</v>
      </c>
      <c r="B1134" t="s">
        <v>1793</v>
      </c>
      <c r="C1134" t="s">
        <v>129</v>
      </c>
      <c r="D1134" t="s">
        <v>233</v>
      </c>
      <c r="E1134" t="s">
        <v>30</v>
      </c>
      <c r="F1134" s="6">
        <v>45199</v>
      </c>
      <c r="G1134">
        <v>55</v>
      </c>
      <c r="H1134">
        <v>54</v>
      </c>
      <c r="I1134">
        <v>0.98181818181818181</v>
      </c>
      <c r="J1134">
        <v>0.98181818181818181</v>
      </c>
      <c r="K1134" t="s">
        <v>31</v>
      </c>
      <c r="L1134" t="s">
        <v>31</v>
      </c>
      <c r="M1134">
        <v>2023</v>
      </c>
      <c r="N1134" t="s">
        <v>51</v>
      </c>
      <c r="O1134" t="s">
        <v>47</v>
      </c>
      <c r="P1134">
        <v>0</v>
      </c>
      <c r="Q1134">
        <v>0</v>
      </c>
      <c r="R1134">
        <v>0</v>
      </c>
      <c r="S1134" t="s">
        <v>99</v>
      </c>
      <c r="T1134" t="s">
        <v>1796</v>
      </c>
      <c r="U1134">
        <v>1</v>
      </c>
    </row>
    <row r="1135" spans="1:21" x14ac:dyDescent="0.3">
      <c r="A1135" t="s">
        <v>1792</v>
      </c>
      <c r="B1135" t="s">
        <v>1793</v>
      </c>
      <c r="C1135" t="s">
        <v>129</v>
      </c>
      <c r="D1135" t="s">
        <v>233</v>
      </c>
      <c r="E1135" t="s">
        <v>30</v>
      </c>
      <c r="F1135" s="6">
        <v>45291</v>
      </c>
      <c r="G1135">
        <v>55</v>
      </c>
      <c r="H1135">
        <v>55</v>
      </c>
      <c r="I1135">
        <v>1</v>
      </c>
      <c r="J1135">
        <v>1</v>
      </c>
      <c r="K1135" t="s">
        <v>31</v>
      </c>
      <c r="L1135" t="s">
        <v>31</v>
      </c>
      <c r="M1135">
        <v>2023</v>
      </c>
      <c r="N1135" t="s">
        <v>57</v>
      </c>
      <c r="O1135" t="s">
        <v>47</v>
      </c>
      <c r="P1135">
        <v>0</v>
      </c>
      <c r="Q1135">
        <v>0</v>
      </c>
      <c r="R1135">
        <v>0</v>
      </c>
      <c r="S1135" t="s">
        <v>99</v>
      </c>
      <c r="T1135" t="s">
        <v>1797</v>
      </c>
      <c r="U1135">
        <v>1</v>
      </c>
    </row>
    <row r="1136" spans="1:21" x14ac:dyDescent="0.3">
      <c r="A1136" t="s">
        <v>1792</v>
      </c>
      <c r="B1136" t="s">
        <v>1793</v>
      </c>
      <c r="C1136" t="s">
        <v>129</v>
      </c>
      <c r="D1136" t="s">
        <v>233</v>
      </c>
      <c r="E1136" t="s">
        <v>30</v>
      </c>
      <c r="F1136" s="6">
        <v>45382</v>
      </c>
      <c r="G1136">
        <v>73</v>
      </c>
      <c r="H1136">
        <v>73</v>
      </c>
      <c r="I1136">
        <v>1</v>
      </c>
      <c r="J1136">
        <v>1</v>
      </c>
      <c r="K1136" t="s">
        <v>31</v>
      </c>
      <c r="L1136" t="s">
        <v>31</v>
      </c>
      <c r="M1136">
        <v>2024</v>
      </c>
      <c r="N1136" t="s">
        <v>38</v>
      </c>
      <c r="O1136" t="s">
        <v>71</v>
      </c>
      <c r="P1136">
        <v>0</v>
      </c>
      <c r="Q1136">
        <v>0</v>
      </c>
      <c r="R1136">
        <v>0</v>
      </c>
      <c r="S1136" t="s">
        <v>99</v>
      </c>
      <c r="T1136" t="s">
        <v>1798</v>
      </c>
      <c r="U1136">
        <v>1</v>
      </c>
    </row>
    <row r="1137" spans="1:21" x14ac:dyDescent="0.3">
      <c r="A1137" t="s">
        <v>1792</v>
      </c>
      <c r="B1137" t="s">
        <v>1793</v>
      </c>
      <c r="C1137" t="s">
        <v>129</v>
      </c>
      <c r="D1137" t="s">
        <v>233</v>
      </c>
      <c r="E1137" t="s">
        <v>30</v>
      </c>
      <c r="F1137" s="6">
        <v>45473</v>
      </c>
      <c r="G1137">
        <v>73</v>
      </c>
      <c r="H1137">
        <v>73</v>
      </c>
      <c r="I1137">
        <v>1</v>
      </c>
      <c r="J1137">
        <v>1</v>
      </c>
      <c r="K1137" t="s">
        <v>31</v>
      </c>
      <c r="L1137" t="s">
        <v>31</v>
      </c>
      <c r="M1137">
        <v>2024</v>
      </c>
      <c r="N1137" t="s">
        <v>44</v>
      </c>
      <c r="O1137" t="s">
        <v>71</v>
      </c>
      <c r="P1137">
        <v>0</v>
      </c>
      <c r="Q1137">
        <v>0</v>
      </c>
      <c r="R1137">
        <v>0</v>
      </c>
      <c r="S1137" t="s">
        <v>99</v>
      </c>
      <c r="T1137" t="s">
        <v>1799</v>
      </c>
      <c r="U1137">
        <v>1</v>
      </c>
    </row>
    <row r="1138" spans="1:21" x14ac:dyDescent="0.3">
      <c r="A1138" t="s">
        <v>1792</v>
      </c>
      <c r="B1138" t="s">
        <v>1793</v>
      </c>
      <c r="C1138" t="s">
        <v>129</v>
      </c>
      <c r="D1138" t="s">
        <v>233</v>
      </c>
      <c r="E1138" t="s">
        <v>30</v>
      </c>
      <c r="F1138" s="6">
        <v>45565</v>
      </c>
      <c r="G1138">
        <v>73</v>
      </c>
      <c r="H1138">
        <v>73</v>
      </c>
      <c r="I1138">
        <v>1</v>
      </c>
      <c r="J1138">
        <v>1</v>
      </c>
      <c r="K1138" t="s">
        <v>31</v>
      </c>
      <c r="L1138" t="s">
        <v>31</v>
      </c>
      <c r="M1138">
        <v>2024</v>
      </c>
      <c r="N1138" t="s">
        <v>51</v>
      </c>
      <c r="O1138" t="s">
        <v>78</v>
      </c>
      <c r="P1138">
        <v>0</v>
      </c>
      <c r="Q1138">
        <v>0</v>
      </c>
      <c r="R1138">
        <v>0</v>
      </c>
      <c r="S1138" t="s">
        <v>99</v>
      </c>
      <c r="T1138" t="s">
        <v>1800</v>
      </c>
      <c r="U1138">
        <v>1</v>
      </c>
    </row>
    <row r="1139" spans="1:21" x14ac:dyDescent="0.3">
      <c r="A1139" t="s">
        <v>1792</v>
      </c>
      <c r="B1139" t="s">
        <v>1793</v>
      </c>
      <c r="C1139" t="s">
        <v>129</v>
      </c>
      <c r="D1139" t="s">
        <v>233</v>
      </c>
      <c r="E1139" t="s">
        <v>30</v>
      </c>
      <c r="F1139" s="6">
        <v>45657</v>
      </c>
      <c r="G1139">
        <v>73</v>
      </c>
      <c r="H1139">
        <v>73</v>
      </c>
      <c r="I1139">
        <v>1</v>
      </c>
      <c r="J1139">
        <v>1</v>
      </c>
      <c r="K1139" t="s">
        <v>31</v>
      </c>
      <c r="L1139" t="s">
        <v>31</v>
      </c>
      <c r="M1139">
        <v>2024</v>
      </c>
      <c r="N1139" t="s">
        <v>57</v>
      </c>
      <c r="O1139" t="s">
        <v>78</v>
      </c>
      <c r="P1139">
        <v>0</v>
      </c>
      <c r="Q1139">
        <v>0</v>
      </c>
      <c r="R1139">
        <v>0</v>
      </c>
      <c r="S1139" t="s">
        <v>99</v>
      </c>
      <c r="T1139" t="s">
        <v>1801</v>
      </c>
      <c r="U1139">
        <v>1</v>
      </c>
    </row>
    <row r="1140" spans="1:21" x14ac:dyDescent="0.3">
      <c r="A1140" t="s">
        <v>1792</v>
      </c>
      <c r="B1140" t="s">
        <v>1793</v>
      </c>
      <c r="C1140" t="s">
        <v>129</v>
      </c>
      <c r="D1140" t="s">
        <v>233</v>
      </c>
      <c r="E1140" t="s">
        <v>30</v>
      </c>
      <c r="F1140" s="6">
        <v>45747</v>
      </c>
      <c r="G1140">
        <v>100</v>
      </c>
      <c r="H1140" t="s">
        <v>95</v>
      </c>
      <c r="I1140">
        <v>1</v>
      </c>
      <c r="J1140">
        <v>1</v>
      </c>
      <c r="K1140" t="s">
        <v>102</v>
      </c>
      <c r="L1140" t="s">
        <v>102</v>
      </c>
      <c r="M1140">
        <v>2025</v>
      </c>
      <c r="N1140" t="s">
        <v>38</v>
      </c>
      <c r="O1140" t="s">
        <v>244</v>
      </c>
      <c r="P1140">
        <v>2</v>
      </c>
      <c r="Q1140">
        <v>2</v>
      </c>
      <c r="R1140">
        <v>0</v>
      </c>
      <c r="S1140" t="s">
        <v>104</v>
      </c>
      <c r="T1140" t="s">
        <v>1802</v>
      </c>
      <c r="U1140">
        <v>31</v>
      </c>
    </row>
    <row r="1141" spans="1:21" x14ac:dyDescent="0.3">
      <c r="A1141" t="s">
        <v>1792</v>
      </c>
      <c r="B1141" t="s">
        <v>1793</v>
      </c>
      <c r="C1141" t="s">
        <v>129</v>
      </c>
      <c r="D1141" t="s">
        <v>233</v>
      </c>
      <c r="E1141" t="s">
        <v>30</v>
      </c>
      <c r="F1141" s="6">
        <v>45838</v>
      </c>
      <c r="G1141">
        <v>100</v>
      </c>
      <c r="H1141" t="s">
        <v>95</v>
      </c>
      <c r="I1141">
        <v>1</v>
      </c>
      <c r="J1141">
        <v>1</v>
      </c>
      <c r="K1141" t="s">
        <v>102</v>
      </c>
      <c r="L1141" t="s">
        <v>102</v>
      </c>
      <c r="M1141">
        <v>2025</v>
      </c>
      <c r="N1141" t="s">
        <v>44</v>
      </c>
      <c r="O1141" t="s">
        <v>244</v>
      </c>
      <c r="P1141">
        <v>2</v>
      </c>
      <c r="Q1141">
        <v>2</v>
      </c>
      <c r="R1141">
        <v>0</v>
      </c>
      <c r="S1141" t="s">
        <v>104</v>
      </c>
      <c r="T1141" t="s">
        <v>1803</v>
      </c>
      <c r="U1141">
        <v>30</v>
      </c>
    </row>
    <row r="1142" spans="1:21" x14ac:dyDescent="0.3">
      <c r="A1142" t="s">
        <v>1804</v>
      </c>
      <c r="B1142" t="s">
        <v>1805</v>
      </c>
      <c r="C1142" t="s">
        <v>842</v>
      </c>
      <c r="D1142" t="s">
        <v>98</v>
      </c>
      <c r="E1142" t="s">
        <v>30</v>
      </c>
      <c r="F1142" s="6">
        <v>45291</v>
      </c>
      <c r="G1142">
        <v>16</v>
      </c>
      <c r="H1142">
        <v>18</v>
      </c>
      <c r="I1142">
        <v>1.125</v>
      </c>
      <c r="J1142">
        <v>1.125</v>
      </c>
      <c r="K1142" t="s">
        <v>31</v>
      </c>
      <c r="L1142" t="s">
        <v>31</v>
      </c>
      <c r="M1142">
        <v>2023</v>
      </c>
      <c r="N1142" t="s">
        <v>57</v>
      </c>
      <c r="O1142" t="s">
        <v>47</v>
      </c>
      <c r="P1142">
        <v>0</v>
      </c>
      <c r="Q1142">
        <v>0</v>
      </c>
      <c r="R1142">
        <v>0</v>
      </c>
      <c r="S1142" t="s">
        <v>99</v>
      </c>
      <c r="T1142" t="s">
        <v>1806</v>
      </c>
      <c r="U1142">
        <v>1</v>
      </c>
    </row>
    <row r="1143" spans="1:21" x14ac:dyDescent="0.3">
      <c r="A1143" t="s">
        <v>1804</v>
      </c>
      <c r="B1143" t="s">
        <v>1805</v>
      </c>
      <c r="C1143" t="s">
        <v>842</v>
      </c>
      <c r="D1143" t="s">
        <v>98</v>
      </c>
      <c r="E1143" t="s">
        <v>30</v>
      </c>
      <c r="F1143" s="6">
        <v>45657</v>
      </c>
      <c r="G1143">
        <v>100</v>
      </c>
      <c r="H1143">
        <v>-5</v>
      </c>
      <c r="I1143">
        <v>-0.05</v>
      </c>
      <c r="J1143">
        <v>-0.05</v>
      </c>
      <c r="M1143">
        <v>2024</v>
      </c>
      <c r="N1143" t="s">
        <v>57</v>
      </c>
      <c r="O1143" t="s">
        <v>78</v>
      </c>
      <c r="P1143">
        <v>0</v>
      </c>
      <c r="Q1143">
        <v>0</v>
      </c>
      <c r="R1143">
        <v>0</v>
      </c>
      <c r="S1143" t="s">
        <v>99</v>
      </c>
      <c r="T1143" t="s">
        <v>1807</v>
      </c>
      <c r="U1143">
        <v>1</v>
      </c>
    </row>
    <row r="1144" spans="1:21" x14ac:dyDescent="0.3">
      <c r="A1144" t="s">
        <v>1804</v>
      </c>
      <c r="B1144" t="s">
        <v>1808</v>
      </c>
      <c r="C1144" t="s">
        <v>842</v>
      </c>
      <c r="D1144" t="s">
        <v>98</v>
      </c>
      <c r="E1144" t="s">
        <v>30</v>
      </c>
      <c r="F1144" s="6">
        <v>46022</v>
      </c>
      <c r="G1144">
        <v>100</v>
      </c>
      <c r="I1144">
        <v>0</v>
      </c>
      <c r="J1144">
        <v>0</v>
      </c>
      <c r="K1144" t="s">
        <v>102</v>
      </c>
      <c r="M1144">
        <v>2025</v>
      </c>
      <c r="N1144" t="s">
        <v>57</v>
      </c>
      <c r="O1144" t="s">
        <v>103</v>
      </c>
      <c r="P1144">
        <v>2</v>
      </c>
      <c r="Q1144">
        <v>2</v>
      </c>
      <c r="R1144">
        <v>0</v>
      </c>
      <c r="S1144" t="s">
        <v>104</v>
      </c>
      <c r="T1144" t="s">
        <v>1809</v>
      </c>
      <c r="U1144">
        <v>31</v>
      </c>
    </row>
    <row r="1145" spans="1:21" x14ac:dyDescent="0.3">
      <c r="A1145" t="s">
        <v>1810</v>
      </c>
      <c r="B1145" t="s">
        <v>1811</v>
      </c>
      <c r="C1145" t="s">
        <v>842</v>
      </c>
      <c r="D1145" t="s">
        <v>222</v>
      </c>
      <c r="E1145" t="s">
        <v>30</v>
      </c>
      <c r="F1145" s="6">
        <v>45107</v>
      </c>
      <c r="G1145">
        <v>17</v>
      </c>
      <c r="H1145">
        <v>21</v>
      </c>
      <c r="I1145">
        <v>1.2352941176470591</v>
      </c>
      <c r="J1145">
        <v>1.2352941176470591</v>
      </c>
      <c r="K1145" t="s">
        <v>118</v>
      </c>
      <c r="L1145" t="s">
        <v>118</v>
      </c>
      <c r="M1145">
        <v>2023</v>
      </c>
      <c r="N1145" t="s">
        <v>44</v>
      </c>
      <c r="O1145" t="s">
        <v>33</v>
      </c>
      <c r="P1145">
        <v>0</v>
      </c>
      <c r="Q1145">
        <v>0</v>
      </c>
      <c r="R1145">
        <v>0</v>
      </c>
      <c r="S1145" t="s">
        <v>99</v>
      </c>
      <c r="T1145" t="s">
        <v>1812</v>
      </c>
      <c r="U1145">
        <v>1</v>
      </c>
    </row>
    <row r="1146" spans="1:21" x14ac:dyDescent="0.3">
      <c r="A1146" t="s">
        <v>1810</v>
      </c>
      <c r="B1146" t="s">
        <v>1811</v>
      </c>
      <c r="C1146" t="s">
        <v>842</v>
      </c>
      <c r="D1146" t="s">
        <v>222</v>
      </c>
      <c r="E1146" t="s">
        <v>30</v>
      </c>
      <c r="F1146" s="6">
        <v>45291</v>
      </c>
      <c r="G1146">
        <v>17</v>
      </c>
      <c r="H1146">
        <v>21</v>
      </c>
      <c r="I1146">
        <v>1.2352941176470591</v>
      </c>
      <c r="J1146">
        <v>1.2352941176470591</v>
      </c>
      <c r="K1146" t="s">
        <v>118</v>
      </c>
      <c r="L1146" t="s">
        <v>118</v>
      </c>
      <c r="M1146">
        <v>2023</v>
      </c>
      <c r="N1146" t="s">
        <v>57</v>
      </c>
      <c r="O1146" t="s">
        <v>47</v>
      </c>
      <c r="P1146">
        <v>0</v>
      </c>
      <c r="Q1146">
        <v>0</v>
      </c>
      <c r="R1146">
        <v>0</v>
      </c>
      <c r="S1146" t="s">
        <v>99</v>
      </c>
      <c r="T1146" t="s">
        <v>1813</v>
      </c>
      <c r="U1146">
        <v>1</v>
      </c>
    </row>
    <row r="1147" spans="1:21" x14ac:dyDescent="0.3">
      <c r="A1147" t="s">
        <v>1810</v>
      </c>
      <c r="B1147" t="s">
        <v>1811</v>
      </c>
      <c r="C1147" t="s">
        <v>842</v>
      </c>
      <c r="D1147" t="s">
        <v>222</v>
      </c>
      <c r="E1147" t="s">
        <v>30</v>
      </c>
      <c r="F1147" s="6">
        <v>45473</v>
      </c>
      <c r="G1147">
        <v>17</v>
      </c>
      <c r="H1147">
        <v>20</v>
      </c>
      <c r="I1147">
        <v>1.1764705882352939</v>
      </c>
      <c r="J1147">
        <v>1.1765000000000001</v>
      </c>
      <c r="K1147" t="s">
        <v>118</v>
      </c>
      <c r="L1147" t="s">
        <v>118</v>
      </c>
      <c r="M1147">
        <v>2024</v>
      </c>
      <c r="N1147" t="s">
        <v>44</v>
      </c>
      <c r="O1147" t="s">
        <v>71</v>
      </c>
      <c r="P1147">
        <v>0</v>
      </c>
      <c r="Q1147">
        <v>0</v>
      </c>
      <c r="R1147">
        <v>0</v>
      </c>
      <c r="S1147" t="s">
        <v>99</v>
      </c>
      <c r="T1147" t="s">
        <v>1814</v>
      </c>
      <c r="U1147">
        <v>1</v>
      </c>
    </row>
    <row r="1148" spans="1:21" x14ac:dyDescent="0.3">
      <c r="A1148" t="s">
        <v>1810</v>
      </c>
      <c r="B1148" t="s">
        <v>1811</v>
      </c>
      <c r="C1148" t="s">
        <v>842</v>
      </c>
      <c r="D1148" t="s">
        <v>222</v>
      </c>
      <c r="E1148" t="s">
        <v>30</v>
      </c>
      <c r="F1148" s="6">
        <v>45657</v>
      </c>
      <c r="G1148">
        <v>17</v>
      </c>
      <c r="H1148">
        <v>26</v>
      </c>
      <c r="I1148">
        <v>1.529411764705882</v>
      </c>
      <c r="J1148">
        <v>1.529411764705882</v>
      </c>
      <c r="K1148" t="s">
        <v>118</v>
      </c>
      <c r="L1148" t="s">
        <v>118</v>
      </c>
      <c r="M1148">
        <v>2024</v>
      </c>
      <c r="N1148" t="s">
        <v>57</v>
      </c>
      <c r="O1148" t="s">
        <v>78</v>
      </c>
      <c r="P1148">
        <v>0</v>
      </c>
      <c r="Q1148">
        <v>0</v>
      </c>
      <c r="R1148">
        <v>0</v>
      </c>
      <c r="S1148" t="s">
        <v>99</v>
      </c>
      <c r="T1148" t="s">
        <v>1815</v>
      </c>
      <c r="U1148">
        <v>1</v>
      </c>
    </row>
    <row r="1149" spans="1:21" x14ac:dyDescent="0.3">
      <c r="A1149" t="s">
        <v>1810</v>
      </c>
      <c r="B1149" t="s">
        <v>1811</v>
      </c>
      <c r="C1149" t="s">
        <v>842</v>
      </c>
      <c r="D1149" t="s">
        <v>222</v>
      </c>
      <c r="E1149" t="s">
        <v>30</v>
      </c>
      <c r="F1149" s="6">
        <v>45838</v>
      </c>
      <c r="G1149">
        <v>100</v>
      </c>
      <c r="H1149" t="s">
        <v>95</v>
      </c>
      <c r="I1149">
        <v>1</v>
      </c>
      <c r="J1149">
        <v>1</v>
      </c>
      <c r="K1149" t="s">
        <v>102</v>
      </c>
      <c r="L1149" t="s">
        <v>102</v>
      </c>
      <c r="M1149">
        <v>2025</v>
      </c>
      <c r="N1149" t="s">
        <v>44</v>
      </c>
      <c r="O1149" t="s">
        <v>244</v>
      </c>
      <c r="P1149">
        <v>2</v>
      </c>
      <c r="Q1149">
        <v>2</v>
      </c>
      <c r="R1149">
        <v>0</v>
      </c>
      <c r="S1149" t="s">
        <v>104</v>
      </c>
      <c r="T1149" t="s">
        <v>1816</v>
      </c>
      <c r="U1149">
        <v>30</v>
      </c>
    </row>
    <row r="1150" spans="1:21" x14ac:dyDescent="0.3">
      <c r="A1150" t="s">
        <v>1817</v>
      </c>
      <c r="B1150" t="s">
        <v>1818</v>
      </c>
      <c r="C1150" t="s">
        <v>842</v>
      </c>
      <c r="D1150" t="s">
        <v>222</v>
      </c>
      <c r="E1150" t="s">
        <v>30</v>
      </c>
      <c r="F1150" s="6">
        <v>45107</v>
      </c>
      <c r="G1150">
        <v>18</v>
      </c>
      <c r="H1150">
        <v>15</v>
      </c>
      <c r="I1150">
        <v>0.83333333333333337</v>
      </c>
      <c r="J1150">
        <v>0.83333333333333337</v>
      </c>
      <c r="K1150" t="s">
        <v>118</v>
      </c>
      <c r="L1150" t="s">
        <v>118</v>
      </c>
      <c r="M1150">
        <v>2023</v>
      </c>
      <c r="N1150" t="s">
        <v>44</v>
      </c>
      <c r="O1150" t="s">
        <v>33</v>
      </c>
      <c r="P1150">
        <v>0</v>
      </c>
      <c r="Q1150">
        <v>0</v>
      </c>
      <c r="R1150">
        <v>0</v>
      </c>
      <c r="S1150" t="s">
        <v>99</v>
      </c>
      <c r="T1150" t="s">
        <v>1819</v>
      </c>
      <c r="U1150">
        <v>1</v>
      </c>
    </row>
    <row r="1151" spans="1:21" x14ac:dyDescent="0.3">
      <c r="A1151" t="s">
        <v>1817</v>
      </c>
      <c r="B1151" t="s">
        <v>1818</v>
      </c>
      <c r="C1151" t="s">
        <v>842</v>
      </c>
      <c r="D1151" t="s">
        <v>222</v>
      </c>
      <c r="E1151" t="s">
        <v>30</v>
      </c>
      <c r="F1151" s="6">
        <v>45291</v>
      </c>
      <c r="G1151">
        <v>24</v>
      </c>
      <c r="H1151">
        <v>24</v>
      </c>
      <c r="I1151">
        <v>1</v>
      </c>
      <c r="J1151">
        <v>1</v>
      </c>
      <c r="K1151" t="s">
        <v>118</v>
      </c>
      <c r="L1151" t="s">
        <v>118</v>
      </c>
      <c r="M1151">
        <v>2023</v>
      </c>
      <c r="N1151" t="s">
        <v>57</v>
      </c>
      <c r="O1151" t="s">
        <v>47</v>
      </c>
      <c r="P1151">
        <v>0</v>
      </c>
      <c r="Q1151">
        <v>0</v>
      </c>
      <c r="R1151">
        <v>0</v>
      </c>
      <c r="S1151" t="s">
        <v>99</v>
      </c>
      <c r="T1151" t="s">
        <v>1820</v>
      </c>
      <c r="U1151">
        <v>1</v>
      </c>
    </row>
    <row r="1152" spans="1:21" x14ac:dyDescent="0.3">
      <c r="A1152" t="s">
        <v>1821</v>
      </c>
      <c r="B1152" t="s">
        <v>1822</v>
      </c>
      <c r="C1152" t="s">
        <v>138</v>
      </c>
      <c r="D1152" t="s">
        <v>233</v>
      </c>
      <c r="E1152" t="s">
        <v>30</v>
      </c>
      <c r="F1152" s="6">
        <v>45107</v>
      </c>
      <c r="G1152">
        <v>100</v>
      </c>
      <c r="H1152">
        <v>60.526315789473998</v>
      </c>
      <c r="I1152">
        <v>0.60526315789473994</v>
      </c>
      <c r="J1152">
        <v>0.60526315789473994</v>
      </c>
      <c r="K1152" t="s">
        <v>31</v>
      </c>
      <c r="L1152" t="s">
        <v>31</v>
      </c>
      <c r="M1152">
        <v>2023</v>
      </c>
      <c r="N1152" t="s">
        <v>44</v>
      </c>
      <c r="O1152" t="s">
        <v>33</v>
      </c>
      <c r="P1152">
        <v>0</v>
      </c>
      <c r="Q1152">
        <v>0</v>
      </c>
      <c r="R1152">
        <v>0</v>
      </c>
      <c r="S1152" t="s">
        <v>99</v>
      </c>
      <c r="T1152" t="s">
        <v>1823</v>
      </c>
      <c r="U1152">
        <v>1</v>
      </c>
    </row>
    <row r="1153" spans="1:21" x14ac:dyDescent="0.3">
      <c r="A1153" t="s">
        <v>1821</v>
      </c>
      <c r="B1153" t="s">
        <v>1822</v>
      </c>
      <c r="C1153" t="s">
        <v>138</v>
      </c>
      <c r="D1153" t="s">
        <v>233</v>
      </c>
      <c r="E1153" t="s">
        <v>30</v>
      </c>
      <c r="F1153" s="6">
        <v>45199</v>
      </c>
      <c r="G1153">
        <v>100</v>
      </c>
      <c r="H1153">
        <v>68.75</v>
      </c>
      <c r="I1153">
        <v>0.6875</v>
      </c>
      <c r="J1153">
        <v>0.6875</v>
      </c>
      <c r="K1153" t="s">
        <v>31</v>
      </c>
      <c r="L1153" t="s">
        <v>31</v>
      </c>
      <c r="M1153">
        <v>2023</v>
      </c>
      <c r="N1153" t="s">
        <v>51</v>
      </c>
      <c r="O1153" t="s">
        <v>47</v>
      </c>
      <c r="P1153">
        <v>0</v>
      </c>
      <c r="Q1153">
        <v>0</v>
      </c>
      <c r="R1153">
        <v>0</v>
      </c>
      <c r="S1153" t="s">
        <v>99</v>
      </c>
      <c r="T1153" t="s">
        <v>1824</v>
      </c>
      <c r="U1153">
        <v>1</v>
      </c>
    </row>
    <row r="1154" spans="1:21" x14ac:dyDescent="0.3">
      <c r="A1154" t="s">
        <v>1821</v>
      </c>
      <c r="B1154" t="s">
        <v>1822</v>
      </c>
      <c r="C1154" t="s">
        <v>138</v>
      </c>
      <c r="D1154" t="s">
        <v>233</v>
      </c>
      <c r="E1154" t="s">
        <v>30</v>
      </c>
      <c r="F1154" s="6">
        <v>45291</v>
      </c>
      <c r="G1154">
        <v>100</v>
      </c>
      <c r="I1154">
        <v>0</v>
      </c>
      <c r="J1154">
        <v>0</v>
      </c>
      <c r="K1154" t="s">
        <v>31</v>
      </c>
      <c r="L1154" t="s">
        <v>31</v>
      </c>
      <c r="M1154">
        <v>2023</v>
      </c>
      <c r="N1154" t="s">
        <v>57</v>
      </c>
      <c r="O1154" t="s">
        <v>47</v>
      </c>
      <c r="P1154">
        <v>0</v>
      </c>
      <c r="Q1154">
        <v>0</v>
      </c>
      <c r="R1154">
        <v>0</v>
      </c>
      <c r="S1154" t="s">
        <v>99</v>
      </c>
      <c r="T1154" t="s">
        <v>1825</v>
      </c>
      <c r="U1154">
        <v>1</v>
      </c>
    </row>
    <row r="1155" spans="1:21" x14ac:dyDescent="0.3">
      <c r="A1155" t="s">
        <v>1821</v>
      </c>
      <c r="B1155" t="s">
        <v>1822</v>
      </c>
      <c r="C1155" t="s">
        <v>138</v>
      </c>
      <c r="D1155" t="s">
        <v>233</v>
      </c>
      <c r="E1155" t="s">
        <v>30</v>
      </c>
      <c r="F1155" s="6">
        <v>45382</v>
      </c>
      <c r="G1155">
        <v>90</v>
      </c>
      <c r="I1155">
        <v>0</v>
      </c>
      <c r="J1155">
        <v>0</v>
      </c>
      <c r="K1155" t="s">
        <v>31</v>
      </c>
      <c r="L1155" t="s">
        <v>31</v>
      </c>
      <c r="M1155">
        <v>2024</v>
      </c>
      <c r="N1155" t="s">
        <v>38</v>
      </c>
      <c r="O1155" t="s">
        <v>71</v>
      </c>
      <c r="P1155">
        <v>0</v>
      </c>
      <c r="Q1155">
        <v>0</v>
      </c>
      <c r="R1155">
        <v>0</v>
      </c>
      <c r="S1155" t="s">
        <v>99</v>
      </c>
      <c r="T1155" t="s">
        <v>1826</v>
      </c>
      <c r="U1155">
        <v>1</v>
      </c>
    </row>
    <row r="1156" spans="1:21" x14ac:dyDescent="0.3">
      <c r="A1156" t="s">
        <v>1821</v>
      </c>
      <c r="B1156" t="s">
        <v>1822</v>
      </c>
      <c r="C1156" t="s">
        <v>138</v>
      </c>
      <c r="D1156" t="s">
        <v>233</v>
      </c>
      <c r="E1156" t="s">
        <v>30</v>
      </c>
      <c r="F1156" s="6">
        <v>45473</v>
      </c>
      <c r="G1156">
        <v>90</v>
      </c>
      <c r="H1156">
        <v>34.69</v>
      </c>
      <c r="I1156">
        <v>0.38544444444444442</v>
      </c>
      <c r="J1156">
        <v>0.38544444444444442</v>
      </c>
      <c r="K1156" t="s">
        <v>31</v>
      </c>
      <c r="L1156" t="s">
        <v>31</v>
      </c>
      <c r="M1156">
        <v>2024</v>
      </c>
      <c r="N1156" t="s">
        <v>44</v>
      </c>
      <c r="O1156" t="s">
        <v>71</v>
      </c>
      <c r="P1156">
        <v>0</v>
      </c>
      <c r="Q1156">
        <v>0</v>
      </c>
      <c r="R1156">
        <v>0</v>
      </c>
      <c r="S1156" t="s">
        <v>99</v>
      </c>
      <c r="T1156" t="s">
        <v>1827</v>
      </c>
      <c r="U1156">
        <v>1</v>
      </c>
    </row>
    <row r="1157" spans="1:21" x14ac:dyDescent="0.3">
      <c r="A1157" t="s">
        <v>1821</v>
      </c>
      <c r="B1157" t="s">
        <v>1822</v>
      </c>
      <c r="C1157" t="s">
        <v>138</v>
      </c>
      <c r="D1157" t="s">
        <v>233</v>
      </c>
      <c r="E1157" t="s">
        <v>30</v>
      </c>
      <c r="F1157" s="6">
        <v>45565</v>
      </c>
      <c r="G1157">
        <v>90</v>
      </c>
      <c r="H1157">
        <v>83.33</v>
      </c>
      <c r="I1157">
        <v>0.92588888888888887</v>
      </c>
      <c r="J1157">
        <v>0.92588888888888887</v>
      </c>
      <c r="K1157" t="s">
        <v>31</v>
      </c>
      <c r="L1157" t="s">
        <v>31</v>
      </c>
      <c r="M1157">
        <v>2024</v>
      </c>
      <c r="N1157" t="s">
        <v>51</v>
      </c>
      <c r="O1157" t="s">
        <v>78</v>
      </c>
      <c r="P1157">
        <v>0</v>
      </c>
      <c r="Q1157">
        <v>0</v>
      </c>
      <c r="R1157">
        <v>0</v>
      </c>
      <c r="S1157" t="s">
        <v>99</v>
      </c>
      <c r="T1157" t="s">
        <v>1828</v>
      </c>
      <c r="U1157">
        <v>1</v>
      </c>
    </row>
    <row r="1158" spans="1:21" x14ac:dyDescent="0.3">
      <c r="A1158" t="s">
        <v>1821</v>
      </c>
      <c r="B1158" t="s">
        <v>1822</v>
      </c>
      <c r="C1158" t="s">
        <v>138</v>
      </c>
      <c r="D1158" t="s">
        <v>233</v>
      </c>
      <c r="E1158" t="s">
        <v>30</v>
      </c>
      <c r="F1158" s="6">
        <v>45657</v>
      </c>
      <c r="G1158">
        <v>90</v>
      </c>
      <c r="H1158">
        <v>78.430000000000007</v>
      </c>
      <c r="I1158">
        <v>0.87144444444444447</v>
      </c>
      <c r="J1158">
        <v>0.87144444444444447</v>
      </c>
      <c r="K1158" t="s">
        <v>31</v>
      </c>
      <c r="L1158" t="s">
        <v>31</v>
      </c>
      <c r="M1158">
        <v>2024</v>
      </c>
      <c r="N1158" t="s">
        <v>57</v>
      </c>
      <c r="O1158" t="s">
        <v>78</v>
      </c>
      <c r="P1158">
        <v>0</v>
      </c>
      <c r="Q1158">
        <v>0</v>
      </c>
      <c r="R1158">
        <v>0</v>
      </c>
      <c r="S1158" t="s">
        <v>99</v>
      </c>
      <c r="T1158" t="s">
        <v>1829</v>
      </c>
      <c r="U1158">
        <v>1</v>
      </c>
    </row>
    <row r="1159" spans="1:21" x14ac:dyDescent="0.3">
      <c r="A1159" t="s">
        <v>1830</v>
      </c>
      <c r="B1159" t="s">
        <v>1831</v>
      </c>
      <c r="C1159" t="s">
        <v>1832</v>
      </c>
      <c r="D1159" t="s">
        <v>222</v>
      </c>
      <c r="E1159" t="s">
        <v>108</v>
      </c>
      <c r="F1159" s="6">
        <v>45107</v>
      </c>
      <c r="G1159">
        <v>3</v>
      </c>
      <c r="H1159">
        <v>2.8</v>
      </c>
      <c r="I1159">
        <v>1.071428571428571</v>
      </c>
      <c r="J1159">
        <v>1.071428571428571</v>
      </c>
      <c r="K1159" t="s">
        <v>109</v>
      </c>
      <c r="L1159" t="s">
        <v>109</v>
      </c>
      <c r="M1159">
        <v>2023</v>
      </c>
      <c r="N1159" t="s">
        <v>44</v>
      </c>
      <c r="O1159" t="s">
        <v>33</v>
      </c>
      <c r="P1159">
        <v>0</v>
      </c>
      <c r="Q1159">
        <v>1</v>
      </c>
      <c r="R1159">
        <v>0</v>
      </c>
      <c r="S1159" t="s">
        <v>130</v>
      </c>
      <c r="T1159" t="s">
        <v>1833</v>
      </c>
      <c r="U1159">
        <v>1</v>
      </c>
    </row>
    <row r="1160" spans="1:21" x14ac:dyDescent="0.3">
      <c r="A1160" t="s">
        <v>1830</v>
      </c>
      <c r="B1160" t="s">
        <v>1831</v>
      </c>
      <c r="C1160" t="s">
        <v>1832</v>
      </c>
      <c r="D1160" t="s">
        <v>222</v>
      </c>
      <c r="E1160" t="s">
        <v>108</v>
      </c>
      <c r="F1160" s="6">
        <v>45291</v>
      </c>
      <c r="G1160">
        <v>3</v>
      </c>
      <c r="H1160">
        <v>2.9</v>
      </c>
      <c r="I1160">
        <v>1.0344827586206899</v>
      </c>
      <c r="J1160">
        <v>1.0344827586206899</v>
      </c>
      <c r="K1160" t="s">
        <v>109</v>
      </c>
      <c r="L1160" t="s">
        <v>109</v>
      </c>
      <c r="M1160">
        <v>2023</v>
      </c>
      <c r="N1160" t="s">
        <v>57</v>
      </c>
      <c r="O1160" t="s">
        <v>47</v>
      </c>
      <c r="P1160">
        <v>0</v>
      </c>
      <c r="Q1160">
        <v>1</v>
      </c>
      <c r="R1160">
        <v>0</v>
      </c>
      <c r="S1160" t="s">
        <v>130</v>
      </c>
      <c r="T1160" t="s">
        <v>1834</v>
      </c>
      <c r="U1160">
        <v>1</v>
      </c>
    </row>
    <row r="1161" spans="1:21" x14ac:dyDescent="0.3">
      <c r="A1161" t="s">
        <v>1830</v>
      </c>
      <c r="B1161" t="s">
        <v>1831</v>
      </c>
      <c r="C1161" t="s">
        <v>1832</v>
      </c>
      <c r="D1161" t="s">
        <v>222</v>
      </c>
      <c r="E1161" t="s">
        <v>108</v>
      </c>
      <c r="F1161" s="6">
        <v>45473</v>
      </c>
      <c r="G1161">
        <v>2.8</v>
      </c>
      <c r="H1161">
        <v>2.5099999999999998</v>
      </c>
      <c r="I1161">
        <v>1.115537848605578</v>
      </c>
      <c r="J1161">
        <v>1.115537848605578</v>
      </c>
      <c r="K1161" t="s">
        <v>109</v>
      </c>
      <c r="L1161" t="s">
        <v>109</v>
      </c>
      <c r="M1161">
        <v>2024</v>
      </c>
      <c r="N1161" t="s">
        <v>44</v>
      </c>
      <c r="O1161" t="s">
        <v>71</v>
      </c>
      <c r="P1161">
        <v>1</v>
      </c>
      <c r="Q1161">
        <v>1</v>
      </c>
      <c r="R1161">
        <v>0</v>
      </c>
      <c r="S1161" t="s">
        <v>130</v>
      </c>
      <c r="T1161" t="s">
        <v>1835</v>
      </c>
      <c r="U1161">
        <v>1</v>
      </c>
    </row>
    <row r="1162" spans="1:21" x14ac:dyDescent="0.3">
      <c r="A1162" t="s">
        <v>1830</v>
      </c>
      <c r="B1162" t="s">
        <v>1831</v>
      </c>
      <c r="C1162" t="s">
        <v>1832</v>
      </c>
      <c r="D1162" t="s">
        <v>222</v>
      </c>
      <c r="E1162" t="s">
        <v>108</v>
      </c>
      <c r="F1162" s="6">
        <v>45657</v>
      </c>
      <c r="G1162">
        <v>2.8</v>
      </c>
      <c r="H1162">
        <v>2.1</v>
      </c>
      <c r="I1162">
        <v>1.3</v>
      </c>
      <c r="J1162">
        <v>1.333333333333333</v>
      </c>
      <c r="K1162" t="s">
        <v>109</v>
      </c>
      <c r="L1162" t="s">
        <v>109</v>
      </c>
      <c r="M1162">
        <v>2024</v>
      </c>
      <c r="N1162" t="s">
        <v>57</v>
      </c>
      <c r="O1162" t="s">
        <v>78</v>
      </c>
      <c r="P1162">
        <v>1</v>
      </c>
      <c r="Q1162">
        <v>1</v>
      </c>
      <c r="R1162">
        <v>0</v>
      </c>
      <c r="S1162" t="s">
        <v>130</v>
      </c>
      <c r="T1162" t="s">
        <v>1836</v>
      </c>
      <c r="U1162">
        <v>1</v>
      </c>
    </row>
    <row r="1163" spans="1:21" x14ac:dyDescent="0.3">
      <c r="A1163" t="s">
        <v>1830</v>
      </c>
      <c r="B1163" t="s">
        <v>1831</v>
      </c>
      <c r="C1163" t="s">
        <v>1832</v>
      </c>
      <c r="D1163" t="s">
        <v>222</v>
      </c>
      <c r="E1163" t="s">
        <v>108</v>
      </c>
      <c r="F1163" s="6">
        <v>45838</v>
      </c>
      <c r="G1163">
        <v>2.2000000000000002</v>
      </c>
      <c r="H1163" t="s">
        <v>1837</v>
      </c>
      <c r="I1163">
        <v>1.1578947368421051</v>
      </c>
      <c r="J1163">
        <v>1.1578947368421051</v>
      </c>
      <c r="K1163" t="s">
        <v>1838</v>
      </c>
      <c r="L1163" t="s">
        <v>542</v>
      </c>
      <c r="M1163">
        <v>2025</v>
      </c>
      <c r="N1163" t="s">
        <v>44</v>
      </c>
      <c r="O1163" t="s">
        <v>244</v>
      </c>
      <c r="P1163">
        <v>2</v>
      </c>
      <c r="Q1163">
        <v>2</v>
      </c>
      <c r="R1163">
        <v>0</v>
      </c>
      <c r="S1163" t="s">
        <v>130</v>
      </c>
      <c r="T1163" t="s">
        <v>1839</v>
      </c>
      <c r="U1163">
        <v>30</v>
      </c>
    </row>
    <row r="1164" spans="1:21" x14ac:dyDescent="0.3">
      <c r="A1164" t="s">
        <v>1830</v>
      </c>
      <c r="B1164" t="s">
        <v>1831</v>
      </c>
      <c r="C1164" t="s">
        <v>1832</v>
      </c>
      <c r="D1164" t="s">
        <v>222</v>
      </c>
      <c r="E1164" t="s">
        <v>108</v>
      </c>
      <c r="F1164" s="6">
        <v>46022</v>
      </c>
      <c r="G1164">
        <v>2.1</v>
      </c>
      <c r="H1164" t="s">
        <v>1837</v>
      </c>
      <c r="I1164">
        <v>1.1052631578947369</v>
      </c>
      <c r="J1164">
        <v>1.1052631578947369</v>
      </c>
      <c r="K1164" t="s">
        <v>1840</v>
      </c>
      <c r="L1164" t="s">
        <v>542</v>
      </c>
      <c r="M1164">
        <v>2025</v>
      </c>
      <c r="N1164" t="s">
        <v>57</v>
      </c>
      <c r="O1164" t="s">
        <v>103</v>
      </c>
      <c r="P1164">
        <v>2</v>
      </c>
      <c r="Q1164">
        <v>2</v>
      </c>
      <c r="R1164">
        <v>0</v>
      </c>
      <c r="S1164" t="s">
        <v>130</v>
      </c>
      <c r="T1164" t="s">
        <v>1841</v>
      </c>
      <c r="U1164">
        <v>31</v>
      </c>
    </row>
    <row r="1165" spans="1:21" x14ac:dyDescent="0.3">
      <c r="A1165" t="s">
        <v>1842</v>
      </c>
      <c r="B1165" t="s">
        <v>1843</v>
      </c>
      <c r="C1165" t="s">
        <v>717</v>
      </c>
      <c r="D1165" t="s">
        <v>222</v>
      </c>
      <c r="E1165" t="s">
        <v>108</v>
      </c>
      <c r="F1165" s="6">
        <v>45107</v>
      </c>
      <c r="G1165">
        <v>3</v>
      </c>
      <c r="H1165">
        <v>1.98</v>
      </c>
      <c r="I1165">
        <v>1.3</v>
      </c>
      <c r="J1165">
        <v>1.5151515151515149</v>
      </c>
      <c r="K1165" t="s">
        <v>109</v>
      </c>
      <c r="L1165" t="s">
        <v>109</v>
      </c>
      <c r="M1165">
        <v>2023</v>
      </c>
      <c r="N1165" t="s">
        <v>44</v>
      </c>
      <c r="O1165" t="s">
        <v>33</v>
      </c>
      <c r="P1165">
        <v>2</v>
      </c>
      <c r="Q1165">
        <v>2</v>
      </c>
      <c r="R1165">
        <v>0</v>
      </c>
      <c r="S1165" t="s">
        <v>130</v>
      </c>
      <c r="T1165" t="s">
        <v>1844</v>
      </c>
      <c r="U1165">
        <v>1</v>
      </c>
    </row>
    <row r="1166" spans="1:21" x14ac:dyDescent="0.3">
      <c r="A1166" t="s">
        <v>1842</v>
      </c>
      <c r="B1166" t="s">
        <v>1843</v>
      </c>
      <c r="C1166" t="s">
        <v>717</v>
      </c>
      <c r="D1166" t="s">
        <v>222</v>
      </c>
      <c r="E1166" t="s">
        <v>108</v>
      </c>
      <c r="F1166" s="6">
        <v>45291</v>
      </c>
      <c r="G1166">
        <v>3</v>
      </c>
      <c r="H1166">
        <v>1.98</v>
      </c>
      <c r="I1166">
        <v>1.3</v>
      </c>
      <c r="J1166">
        <v>1.5151515151515149</v>
      </c>
      <c r="K1166" t="s">
        <v>109</v>
      </c>
      <c r="L1166" t="s">
        <v>109</v>
      </c>
      <c r="M1166">
        <v>2023</v>
      </c>
      <c r="N1166" t="s">
        <v>57</v>
      </c>
      <c r="O1166" t="s">
        <v>47</v>
      </c>
      <c r="P1166">
        <v>0</v>
      </c>
      <c r="Q1166">
        <v>0</v>
      </c>
      <c r="R1166">
        <v>0</v>
      </c>
      <c r="S1166" t="s">
        <v>130</v>
      </c>
      <c r="T1166" t="s">
        <v>1845</v>
      </c>
      <c r="U1166">
        <v>1</v>
      </c>
    </row>
    <row r="1167" spans="1:21" x14ac:dyDescent="0.3">
      <c r="A1167" t="s">
        <v>1842</v>
      </c>
      <c r="B1167" t="s">
        <v>1843</v>
      </c>
      <c r="C1167" t="s">
        <v>717</v>
      </c>
      <c r="D1167" t="s">
        <v>222</v>
      </c>
      <c r="E1167" t="s">
        <v>108</v>
      </c>
      <c r="F1167" s="6">
        <v>45473</v>
      </c>
      <c r="G1167">
        <v>3</v>
      </c>
      <c r="H1167">
        <v>2.2000000000000002</v>
      </c>
      <c r="I1167">
        <v>1.3</v>
      </c>
      <c r="J1167">
        <v>1.363636363636364</v>
      </c>
      <c r="K1167" t="s">
        <v>109</v>
      </c>
      <c r="L1167" t="s">
        <v>109</v>
      </c>
      <c r="M1167">
        <v>2024</v>
      </c>
      <c r="N1167" t="s">
        <v>44</v>
      </c>
      <c r="O1167" t="s">
        <v>71</v>
      </c>
      <c r="P1167">
        <v>1</v>
      </c>
      <c r="Q1167">
        <v>1</v>
      </c>
      <c r="R1167">
        <v>0</v>
      </c>
      <c r="S1167" t="s">
        <v>130</v>
      </c>
      <c r="T1167" t="s">
        <v>1846</v>
      </c>
      <c r="U1167">
        <v>1</v>
      </c>
    </row>
    <row r="1168" spans="1:21" x14ac:dyDescent="0.3">
      <c r="A1168" t="s">
        <v>1842</v>
      </c>
      <c r="B1168" t="s">
        <v>1843</v>
      </c>
      <c r="C1168" t="s">
        <v>717</v>
      </c>
      <c r="D1168" t="s">
        <v>222</v>
      </c>
      <c r="E1168" t="s">
        <v>108</v>
      </c>
      <c r="F1168" s="6">
        <v>45657</v>
      </c>
      <c r="G1168">
        <v>3</v>
      </c>
      <c r="H1168">
        <v>2.2000000000000002</v>
      </c>
      <c r="I1168">
        <v>1.3</v>
      </c>
      <c r="J1168">
        <v>1.363636363636364</v>
      </c>
      <c r="K1168" t="s">
        <v>109</v>
      </c>
      <c r="L1168" t="s">
        <v>109</v>
      </c>
      <c r="M1168">
        <v>2024</v>
      </c>
      <c r="N1168" t="s">
        <v>57</v>
      </c>
      <c r="O1168" t="s">
        <v>78</v>
      </c>
      <c r="P1168">
        <v>1</v>
      </c>
      <c r="Q1168">
        <v>1</v>
      </c>
      <c r="R1168">
        <v>0</v>
      </c>
      <c r="S1168" t="s">
        <v>130</v>
      </c>
      <c r="T1168" t="s">
        <v>1847</v>
      </c>
      <c r="U1168">
        <v>1</v>
      </c>
    </row>
    <row r="1169" spans="1:21" x14ac:dyDescent="0.3">
      <c r="A1169" t="s">
        <v>1842</v>
      </c>
      <c r="B1169" t="s">
        <v>1843</v>
      </c>
      <c r="C1169" t="s">
        <v>717</v>
      </c>
      <c r="D1169" t="s">
        <v>222</v>
      </c>
      <c r="E1169" t="s">
        <v>108</v>
      </c>
      <c r="F1169" s="6">
        <v>45838</v>
      </c>
      <c r="G1169">
        <v>3</v>
      </c>
      <c r="H1169" t="s">
        <v>1848</v>
      </c>
      <c r="I1169">
        <v>1.3</v>
      </c>
      <c r="J1169">
        <v>1.304347826086957</v>
      </c>
      <c r="K1169" t="s">
        <v>1849</v>
      </c>
      <c r="L1169" t="s">
        <v>1850</v>
      </c>
      <c r="M1169">
        <v>2025</v>
      </c>
      <c r="N1169" t="s">
        <v>44</v>
      </c>
      <c r="O1169" t="s">
        <v>244</v>
      </c>
      <c r="P1169">
        <v>2</v>
      </c>
      <c r="Q1169">
        <v>2</v>
      </c>
      <c r="R1169">
        <v>0</v>
      </c>
      <c r="S1169" t="s">
        <v>130</v>
      </c>
      <c r="T1169" t="s">
        <v>1851</v>
      </c>
      <c r="U1169">
        <v>30</v>
      </c>
    </row>
    <row r="1170" spans="1:21" x14ac:dyDescent="0.3">
      <c r="A1170" t="s">
        <v>1842</v>
      </c>
      <c r="B1170" t="s">
        <v>1843</v>
      </c>
      <c r="C1170" t="s">
        <v>717</v>
      </c>
      <c r="D1170" t="s">
        <v>222</v>
      </c>
      <c r="E1170" t="s">
        <v>108</v>
      </c>
      <c r="F1170" s="6">
        <v>46022</v>
      </c>
      <c r="G1170">
        <v>3</v>
      </c>
      <c r="H1170" t="s">
        <v>1852</v>
      </c>
      <c r="I1170">
        <v>1.3</v>
      </c>
      <c r="J1170">
        <v>1.428571428571429</v>
      </c>
      <c r="K1170" t="s">
        <v>1849</v>
      </c>
      <c r="L1170" t="s">
        <v>1840</v>
      </c>
      <c r="M1170">
        <v>2025</v>
      </c>
      <c r="N1170" t="s">
        <v>57</v>
      </c>
      <c r="O1170" t="s">
        <v>103</v>
      </c>
      <c r="P1170">
        <v>2</v>
      </c>
      <c r="Q1170">
        <v>2</v>
      </c>
      <c r="R1170">
        <v>0</v>
      </c>
      <c r="S1170" t="s">
        <v>130</v>
      </c>
      <c r="T1170" t="s">
        <v>1853</v>
      </c>
      <c r="U1170">
        <v>31</v>
      </c>
    </row>
    <row r="1171" spans="1:21" x14ac:dyDescent="0.3">
      <c r="A1171" t="s">
        <v>1854</v>
      </c>
      <c r="B1171" t="s">
        <v>1855</v>
      </c>
      <c r="C1171" t="s">
        <v>184</v>
      </c>
      <c r="D1171" t="s">
        <v>222</v>
      </c>
      <c r="E1171" t="s">
        <v>108</v>
      </c>
      <c r="F1171" s="6">
        <v>45107</v>
      </c>
      <c r="G1171">
        <v>20</v>
      </c>
      <c r="H1171">
        <v>0</v>
      </c>
      <c r="I1171">
        <v>1</v>
      </c>
      <c r="J1171">
        <v>1</v>
      </c>
      <c r="K1171" t="s">
        <v>31</v>
      </c>
      <c r="L1171" t="s">
        <v>31</v>
      </c>
      <c r="M1171">
        <v>2023</v>
      </c>
      <c r="N1171" t="s">
        <v>44</v>
      </c>
      <c r="O1171" t="s">
        <v>33</v>
      </c>
      <c r="P1171">
        <v>0</v>
      </c>
      <c r="Q1171">
        <v>0</v>
      </c>
      <c r="R1171">
        <v>0</v>
      </c>
      <c r="S1171" t="s">
        <v>336</v>
      </c>
      <c r="T1171" t="s">
        <v>1856</v>
      </c>
      <c r="U1171">
        <v>1</v>
      </c>
    </row>
    <row r="1172" spans="1:21" x14ac:dyDescent="0.3">
      <c r="A1172" t="s">
        <v>1854</v>
      </c>
      <c r="B1172" t="s">
        <v>1855</v>
      </c>
      <c r="C1172" t="s">
        <v>184</v>
      </c>
      <c r="D1172" t="s">
        <v>222</v>
      </c>
      <c r="E1172" t="s">
        <v>108</v>
      </c>
      <c r="F1172" s="6">
        <v>45291</v>
      </c>
      <c r="G1172">
        <v>20</v>
      </c>
      <c r="H1172">
        <v>11</v>
      </c>
      <c r="I1172">
        <v>1</v>
      </c>
      <c r="J1172">
        <v>1</v>
      </c>
      <c r="K1172" t="s">
        <v>31</v>
      </c>
      <c r="L1172" t="s">
        <v>31</v>
      </c>
      <c r="M1172">
        <v>2023</v>
      </c>
      <c r="N1172" t="s">
        <v>57</v>
      </c>
      <c r="O1172" t="s">
        <v>47</v>
      </c>
      <c r="P1172">
        <v>0</v>
      </c>
      <c r="Q1172">
        <v>0</v>
      </c>
      <c r="R1172">
        <v>0</v>
      </c>
      <c r="S1172" t="s">
        <v>336</v>
      </c>
      <c r="T1172" t="s">
        <v>1857</v>
      </c>
      <c r="U1172">
        <v>1</v>
      </c>
    </row>
    <row r="1173" spans="1:21" x14ac:dyDescent="0.3">
      <c r="A1173" t="s">
        <v>1854</v>
      </c>
      <c r="B1173" t="s">
        <v>1858</v>
      </c>
      <c r="C1173" t="s">
        <v>184</v>
      </c>
      <c r="D1173" t="s">
        <v>222</v>
      </c>
      <c r="E1173" t="s">
        <v>108</v>
      </c>
      <c r="F1173" s="6">
        <v>45473</v>
      </c>
      <c r="G1173">
        <v>20</v>
      </c>
      <c r="H1173">
        <v>0</v>
      </c>
      <c r="I1173">
        <v>1</v>
      </c>
      <c r="J1173">
        <v>1</v>
      </c>
      <c r="K1173" t="s">
        <v>31</v>
      </c>
      <c r="L1173" t="s">
        <v>31</v>
      </c>
      <c r="M1173">
        <v>2024</v>
      </c>
      <c r="N1173" t="s">
        <v>44</v>
      </c>
      <c r="O1173" t="s">
        <v>71</v>
      </c>
      <c r="P1173">
        <v>0</v>
      </c>
      <c r="Q1173">
        <v>0</v>
      </c>
      <c r="R1173">
        <v>0</v>
      </c>
      <c r="S1173" t="s">
        <v>336</v>
      </c>
      <c r="T1173" t="s">
        <v>1859</v>
      </c>
      <c r="U1173">
        <v>1</v>
      </c>
    </row>
    <row r="1174" spans="1:21" x14ac:dyDescent="0.3">
      <c r="A1174" t="s">
        <v>1854</v>
      </c>
      <c r="B1174" t="s">
        <v>1858</v>
      </c>
      <c r="C1174" t="s">
        <v>184</v>
      </c>
      <c r="D1174" t="s">
        <v>222</v>
      </c>
      <c r="E1174" t="s">
        <v>108</v>
      </c>
      <c r="F1174" s="6">
        <v>45657</v>
      </c>
      <c r="G1174">
        <v>20</v>
      </c>
      <c r="H1174">
        <v>0</v>
      </c>
      <c r="I1174">
        <v>1</v>
      </c>
      <c r="J1174">
        <v>1</v>
      </c>
      <c r="K1174" t="s">
        <v>31</v>
      </c>
      <c r="L1174" t="s">
        <v>31</v>
      </c>
      <c r="M1174">
        <v>2024</v>
      </c>
      <c r="N1174" t="s">
        <v>57</v>
      </c>
      <c r="O1174" t="s">
        <v>78</v>
      </c>
      <c r="P1174">
        <v>0</v>
      </c>
      <c r="Q1174">
        <v>0</v>
      </c>
      <c r="R1174">
        <v>0</v>
      </c>
      <c r="S1174" t="s">
        <v>336</v>
      </c>
      <c r="T1174" t="s">
        <v>1860</v>
      </c>
      <c r="U1174">
        <v>1</v>
      </c>
    </row>
    <row r="1175" spans="1:21" x14ac:dyDescent="0.3">
      <c r="A1175" t="s">
        <v>1854</v>
      </c>
      <c r="B1175" t="s">
        <v>1858</v>
      </c>
      <c r="C1175" t="s">
        <v>184</v>
      </c>
      <c r="D1175" t="s">
        <v>222</v>
      </c>
      <c r="E1175" t="s">
        <v>108</v>
      </c>
      <c r="F1175" s="6">
        <v>45838</v>
      </c>
      <c r="G1175">
        <v>10</v>
      </c>
      <c r="H1175" t="s">
        <v>121</v>
      </c>
      <c r="I1175">
        <v>0</v>
      </c>
      <c r="J1175">
        <v>0</v>
      </c>
      <c r="K1175" t="s">
        <v>1861</v>
      </c>
      <c r="L1175" t="s">
        <v>122</v>
      </c>
      <c r="M1175">
        <v>2025</v>
      </c>
      <c r="N1175" t="s">
        <v>44</v>
      </c>
      <c r="O1175" t="s">
        <v>244</v>
      </c>
      <c r="P1175">
        <v>2</v>
      </c>
      <c r="Q1175">
        <v>2</v>
      </c>
      <c r="R1175">
        <v>0</v>
      </c>
      <c r="S1175" t="s">
        <v>336</v>
      </c>
      <c r="T1175" t="s">
        <v>1862</v>
      </c>
      <c r="U1175">
        <v>30</v>
      </c>
    </row>
    <row r="1176" spans="1:21" x14ac:dyDescent="0.3">
      <c r="A1176" t="s">
        <v>1854</v>
      </c>
      <c r="B1176" t="s">
        <v>1858</v>
      </c>
      <c r="C1176" t="s">
        <v>184</v>
      </c>
      <c r="D1176" t="s">
        <v>222</v>
      </c>
      <c r="E1176" t="s">
        <v>108</v>
      </c>
      <c r="F1176" s="6">
        <v>46022</v>
      </c>
      <c r="H1176" t="s">
        <v>121</v>
      </c>
      <c r="I1176">
        <v>0</v>
      </c>
      <c r="J1176">
        <v>0</v>
      </c>
      <c r="L1176" t="s">
        <v>122</v>
      </c>
      <c r="M1176">
        <v>2025</v>
      </c>
      <c r="N1176" t="s">
        <v>57</v>
      </c>
      <c r="O1176" t="s">
        <v>103</v>
      </c>
      <c r="P1176">
        <v>2</v>
      </c>
      <c r="Q1176">
        <v>2</v>
      </c>
      <c r="R1176">
        <v>0</v>
      </c>
      <c r="S1176" t="s">
        <v>336</v>
      </c>
      <c r="T1176" t="s">
        <v>1863</v>
      </c>
      <c r="U1176">
        <v>31</v>
      </c>
    </row>
    <row r="1177" spans="1:21" x14ac:dyDescent="0.3">
      <c r="A1177" t="s">
        <v>1864</v>
      </c>
      <c r="B1177" t="s">
        <v>1865</v>
      </c>
      <c r="C1177" t="s">
        <v>184</v>
      </c>
      <c r="D1177" t="s">
        <v>233</v>
      </c>
      <c r="E1177" t="s">
        <v>30</v>
      </c>
      <c r="F1177" s="6">
        <v>45016</v>
      </c>
      <c r="G1177">
        <v>100</v>
      </c>
      <c r="H1177">
        <v>100</v>
      </c>
      <c r="I1177">
        <v>1</v>
      </c>
      <c r="J1177">
        <v>1</v>
      </c>
      <c r="K1177" t="s">
        <v>31</v>
      </c>
      <c r="L1177" t="s">
        <v>31</v>
      </c>
      <c r="M1177">
        <v>2023</v>
      </c>
      <c r="N1177" t="s">
        <v>38</v>
      </c>
      <c r="O1177" t="s">
        <v>33</v>
      </c>
      <c r="P1177">
        <v>0</v>
      </c>
      <c r="Q1177">
        <v>0</v>
      </c>
      <c r="R1177">
        <v>0</v>
      </c>
      <c r="S1177" t="s">
        <v>99</v>
      </c>
      <c r="T1177" t="s">
        <v>1866</v>
      </c>
      <c r="U1177">
        <v>1</v>
      </c>
    </row>
    <row r="1178" spans="1:21" x14ac:dyDescent="0.3">
      <c r="A1178" t="s">
        <v>1864</v>
      </c>
      <c r="B1178" t="s">
        <v>1865</v>
      </c>
      <c r="C1178" t="s">
        <v>184</v>
      </c>
      <c r="D1178" t="s">
        <v>233</v>
      </c>
      <c r="E1178" t="s">
        <v>30</v>
      </c>
      <c r="F1178" s="6">
        <v>45107</v>
      </c>
      <c r="G1178">
        <v>100</v>
      </c>
      <c r="H1178">
        <v>100</v>
      </c>
      <c r="I1178">
        <v>1</v>
      </c>
      <c r="J1178">
        <v>1</v>
      </c>
      <c r="K1178" t="s">
        <v>31</v>
      </c>
      <c r="L1178" t="s">
        <v>31</v>
      </c>
      <c r="M1178">
        <v>2023</v>
      </c>
      <c r="N1178" t="s">
        <v>44</v>
      </c>
      <c r="O1178" t="s">
        <v>33</v>
      </c>
      <c r="P1178">
        <v>0</v>
      </c>
      <c r="Q1178">
        <v>0</v>
      </c>
      <c r="R1178">
        <v>0</v>
      </c>
      <c r="S1178" t="s">
        <v>99</v>
      </c>
      <c r="T1178" t="s">
        <v>1867</v>
      </c>
      <c r="U1178">
        <v>1</v>
      </c>
    </row>
    <row r="1179" spans="1:21" x14ac:dyDescent="0.3">
      <c r="A1179" t="s">
        <v>1864</v>
      </c>
      <c r="B1179" t="s">
        <v>1865</v>
      </c>
      <c r="C1179" t="s">
        <v>184</v>
      </c>
      <c r="D1179" t="s">
        <v>233</v>
      </c>
      <c r="E1179" t="s">
        <v>30</v>
      </c>
      <c r="F1179" s="6">
        <v>45199</v>
      </c>
      <c r="G1179">
        <v>100</v>
      </c>
      <c r="H1179">
        <v>100</v>
      </c>
      <c r="I1179">
        <v>1</v>
      </c>
      <c r="J1179">
        <v>1</v>
      </c>
      <c r="K1179" t="s">
        <v>31</v>
      </c>
      <c r="L1179" t="s">
        <v>31</v>
      </c>
      <c r="M1179">
        <v>2023</v>
      </c>
      <c r="N1179" t="s">
        <v>51</v>
      </c>
      <c r="O1179" t="s">
        <v>47</v>
      </c>
      <c r="P1179">
        <v>0</v>
      </c>
      <c r="Q1179">
        <v>0</v>
      </c>
      <c r="R1179">
        <v>0</v>
      </c>
      <c r="S1179" t="s">
        <v>99</v>
      </c>
      <c r="T1179" t="s">
        <v>1868</v>
      </c>
      <c r="U1179">
        <v>1</v>
      </c>
    </row>
    <row r="1180" spans="1:21" x14ac:dyDescent="0.3">
      <c r="A1180" t="s">
        <v>1864</v>
      </c>
      <c r="B1180" t="s">
        <v>1865</v>
      </c>
      <c r="C1180" t="s">
        <v>184</v>
      </c>
      <c r="D1180" t="s">
        <v>233</v>
      </c>
      <c r="E1180" t="s">
        <v>30</v>
      </c>
      <c r="F1180" s="6">
        <v>45291</v>
      </c>
      <c r="G1180">
        <v>100</v>
      </c>
      <c r="H1180">
        <v>100</v>
      </c>
      <c r="I1180">
        <v>1</v>
      </c>
      <c r="J1180">
        <v>1</v>
      </c>
      <c r="K1180" t="s">
        <v>31</v>
      </c>
      <c r="L1180" t="s">
        <v>31</v>
      </c>
      <c r="M1180">
        <v>2023</v>
      </c>
      <c r="N1180" t="s">
        <v>57</v>
      </c>
      <c r="O1180" t="s">
        <v>47</v>
      </c>
      <c r="P1180">
        <v>0</v>
      </c>
      <c r="Q1180">
        <v>0</v>
      </c>
      <c r="R1180">
        <v>0</v>
      </c>
      <c r="S1180" t="s">
        <v>99</v>
      </c>
      <c r="T1180" t="s">
        <v>1869</v>
      </c>
      <c r="U1180">
        <v>1</v>
      </c>
    </row>
    <row r="1181" spans="1:21" x14ac:dyDescent="0.3">
      <c r="A1181" t="s">
        <v>1864</v>
      </c>
      <c r="B1181" t="s">
        <v>1865</v>
      </c>
      <c r="C1181" t="s">
        <v>184</v>
      </c>
      <c r="D1181" t="s">
        <v>233</v>
      </c>
      <c r="E1181" t="s">
        <v>30</v>
      </c>
      <c r="F1181" s="6">
        <v>45382</v>
      </c>
      <c r="G1181">
        <v>100</v>
      </c>
      <c r="H1181">
        <v>100</v>
      </c>
      <c r="I1181">
        <v>1</v>
      </c>
      <c r="J1181">
        <v>1</v>
      </c>
      <c r="K1181" t="s">
        <v>31</v>
      </c>
      <c r="L1181" t="s">
        <v>31</v>
      </c>
      <c r="M1181">
        <v>2024</v>
      </c>
      <c r="N1181" t="s">
        <v>38</v>
      </c>
      <c r="O1181" t="s">
        <v>71</v>
      </c>
      <c r="P1181">
        <v>0</v>
      </c>
      <c r="Q1181">
        <v>0</v>
      </c>
      <c r="R1181">
        <v>0</v>
      </c>
      <c r="S1181" t="s">
        <v>99</v>
      </c>
      <c r="T1181" t="s">
        <v>1870</v>
      </c>
      <c r="U1181">
        <v>1</v>
      </c>
    </row>
    <row r="1182" spans="1:21" x14ac:dyDescent="0.3">
      <c r="A1182" t="s">
        <v>1864</v>
      </c>
      <c r="B1182" t="s">
        <v>1865</v>
      </c>
      <c r="C1182" t="s">
        <v>184</v>
      </c>
      <c r="D1182" t="s">
        <v>233</v>
      </c>
      <c r="E1182" t="s">
        <v>30</v>
      </c>
      <c r="F1182" s="6">
        <v>45473</v>
      </c>
      <c r="G1182">
        <v>100</v>
      </c>
      <c r="H1182">
        <v>100</v>
      </c>
      <c r="I1182">
        <v>1</v>
      </c>
      <c r="J1182">
        <v>1</v>
      </c>
      <c r="K1182" t="s">
        <v>31</v>
      </c>
      <c r="L1182" t="s">
        <v>31</v>
      </c>
      <c r="M1182">
        <v>2024</v>
      </c>
      <c r="N1182" t="s">
        <v>44</v>
      </c>
      <c r="O1182" t="s">
        <v>71</v>
      </c>
      <c r="P1182">
        <v>0</v>
      </c>
      <c r="Q1182">
        <v>0</v>
      </c>
      <c r="R1182">
        <v>0</v>
      </c>
      <c r="S1182" t="s">
        <v>99</v>
      </c>
      <c r="T1182" t="s">
        <v>1871</v>
      </c>
      <c r="U1182">
        <v>1</v>
      </c>
    </row>
    <row r="1183" spans="1:21" x14ac:dyDescent="0.3">
      <c r="A1183" t="s">
        <v>1864</v>
      </c>
      <c r="B1183" t="s">
        <v>1865</v>
      </c>
      <c r="C1183" t="s">
        <v>184</v>
      </c>
      <c r="D1183" t="s">
        <v>233</v>
      </c>
      <c r="E1183" t="s">
        <v>30</v>
      </c>
      <c r="F1183" s="6">
        <v>45565</v>
      </c>
      <c r="G1183">
        <v>100</v>
      </c>
      <c r="H1183">
        <v>100</v>
      </c>
      <c r="I1183">
        <v>1</v>
      </c>
      <c r="J1183">
        <v>1</v>
      </c>
      <c r="K1183" t="s">
        <v>31</v>
      </c>
      <c r="L1183" t="s">
        <v>31</v>
      </c>
      <c r="M1183">
        <v>2024</v>
      </c>
      <c r="N1183" t="s">
        <v>51</v>
      </c>
      <c r="O1183" t="s">
        <v>78</v>
      </c>
      <c r="P1183">
        <v>0</v>
      </c>
      <c r="Q1183">
        <v>0</v>
      </c>
      <c r="R1183">
        <v>0</v>
      </c>
      <c r="S1183" t="s">
        <v>99</v>
      </c>
      <c r="T1183" t="s">
        <v>1872</v>
      </c>
      <c r="U1183">
        <v>1</v>
      </c>
    </row>
    <row r="1184" spans="1:21" x14ac:dyDescent="0.3">
      <c r="A1184" t="s">
        <v>1864</v>
      </c>
      <c r="B1184" t="s">
        <v>1865</v>
      </c>
      <c r="C1184" t="s">
        <v>184</v>
      </c>
      <c r="D1184" t="s">
        <v>233</v>
      </c>
      <c r="E1184" t="s">
        <v>30</v>
      </c>
      <c r="F1184" s="6">
        <v>45657</v>
      </c>
      <c r="G1184">
        <v>100</v>
      </c>
      <c r="H1184">
        <v>100</v>
      </c>
      <c r="I1184">
        <v>1</v>
      </c>
      <c r="J1184">
        <v>1</v>
      </c>
      <c r="K1184" t="s">
        <v>31</v>
      </c>
      <c r="L1184" t="s">
        <v>31</v>
      </c>
      <c r="M1184">
        <v>2024</v>
      </c>
      <c r="N1184" t="s">
        <v>57</v>
      </c>
      <c r="O1184" t="s">
        <v>78</v>
      </c>
      <c r="P1184">
        <v>0</v>
      </c>
      <c r="Q1184">
        <v>0</v>
      </c>
      <c r="R1184">
        <v>0</v>
      </c>
      <c r="S1184" t="s">
        <v>99</v>
      </c>
      <c r="T1184" t="s">
        <v>1873</v>
      </c>
      <c r="U1184">
        <v>1</v>
      </c>
    </row>
    <row r="1185" spans="1:21" x14ac:dyDescent="0.3">
      <c r="A1185" t="s">
        <v>1864</v>
      </c>
      <c r="B1185" t="s">
        <v>1865</v>
      </c>
      <c r="C1185" t="s">
        <v>184</v>
      </c>
      <c r="D1185" t="s">
        <v>233</v>
      </c>
      <c r="E1185" t="s">
        <v>30</v>
      </c>
      <c r="F1185" s="6">
        <v>45747</v>
      </c>
      <c r="G1185">
        <v>100</v>
      </c>
      <c r="H1185" t="s">
        <v>95</v>
      </c>
      <c r="I1185">
        <v>1</v>
      </c>
      <c r="J1185">
        <v>1</v>
      </c>
      <c r="K1185" t="s">
        <v>102</v>
      </c>
      <c r="L1185" t="s">
        <v>102</v>
      </c>
      <c r="M1185">
        <v>2025</v>
      </c>
      <c r="N1185" t="s">
        <v>38</v>
      </c>
      <c r="O1185" t="s">
        <v>244</v>
      </c>
      <c r="P1185">
        <v>2</v>
      </c>
      <c r="Q1185">
        <v>2</v>
      </c>
      <c r="R1185">
        <v>0</v>
      </c>
      <c r="S1185" t="s">
        <v>104</v>
      </c>
      <c r="T1185" t="s">
        <v>1874</v>
      </c>
      <c r="U1185">
        <v>31</v>
      </c>
    </row>
    <row r="1186" spans="1:21" x14ac:dyDescent="0.3">
      <c r="A1186" t="s">
        <v>1864</v>
      </c>
      <c r="B1186" t="s">
        <v>1865</v>
      </c>
      <c r="C1186" t="s">
        <v>184</v>
      </c>
      <c r="D1186" t="s">
        <v>233</v>
      </c>
      <c r="E1186" t="s">
        <v>30</v>
      </c>
      <c r="F1186" s="6">
        <v>45838</v>
      </c>
      <c r="G1186">
        <v>100</v>
      </c>
      <c r="H1186" t="s">
        <v>95</v>
      </c>
      <c r="I1186">
        <v>1</v>
      </c>
      <c r="J1186">
        <v>1</v>
      </c>
      <c r="K1186" t="s">
        <v>102</v>
      </c>
      <c r="L1186" t="s">
        <v>102</v>
      </c>
      <c r="M1186">
        <v>2025</v>
      </c>
      <c r="N1186" t="s">
        <v>44</v>
      </c>
      <c r="O1186" t="s">
        <v>244</v>
      </c>
      <c r="P1186">
        <v>2</v>
      </c>
      <c r="Q1186">
        <v>2</v>
      </c>
      <c r="R1186">
        <v>0</v>
      </c>
      <c r="S1186" t="s">
        <v>104</v>
      </c>
      <c r="T1186" t="s">
        <v>1875</v>
      </c>
      <c r="U1186">
        <v>30</v>
      </c>
    </row>
    <row r="1187" spans="1:21" x14ac:dyDescent="0.3">
      <c r="A1187" t="s">
        <v>1864</v>
      </c>
      <c r="B1187" t="s">
        <v>1865</v>
      </c>
      <c r="C1187" t="s">
        <v>184</v>
      </c>
      <c r="D1187" t="s">
        <v>233</v>
      </c>
      <c r="E1187" t="s">
        <v>30</v>
      </c>
      <c r="F1187" s="6">
        <v>46022</v>
      </c>
      <c r="G1187">
        <v>100</v>
      </c>
      <c r="H1187" t="s">
        <v>95</v>
      </c>
      <c r="I1187">
        <v>1</v>
      </c>
      <c r="J1187">
        <v>1</v>
      </c>
      <c r="K1187" t="s">
        <v>102</v>
      </c>
      <c r="L1187" t="s">
        <v>102</v>
      </c>
      <c r="M1187">
        <v>2025</v>
      </c>
      <c r="N1187" t="s">
        <v>57</v>
      </c>
      <c r="O1187" t="s">
        <v>103</v>
      </c>
      <c r="P1187">
        <v>2</v>
      </c>
      <c r="Q1187">
        <v>2</v>
      </c>
      <c r="R1187">
        <v>0</v>
      </c>
      <c r="S1187" t="s">
        <v>104</v>
      </c>
      <c r="T1187" t="s">
        <v>1876</v>
      </c>
      <c r="U1187">
        <v>31</v>
      </c>
    </row>
    <row r="1188" spans="1:21" x14ac:dyDescent="0.3">
      <c r="A1188" t="s">
        <v>1877</v>
      </c>
      <c r="B1188" t="s">
        <v>1878</v>
      </c>
      <c r="C1188" t="s">
        <v>184</v>
      </c>
      <c r="D1188" t="s">
        <v>222</v>
      </c>
      <c r="E1188" t="s">
        <v>30</v>
      </c>
      <c r="F1188" s="6">
        <v>45107</v>
      </c>
      <c r="G1188">
        <v>100</v>
      </c>
      <c r="H1188">
        <v>100</v>
      </c>
      <c r="I1188">
        <v>1</v>
      </c>
      <c r="J1188">
        <v>1</v>
      </c>
      <c r="K1188" t="s">
        <v>31</v>
      </c>
      <c r="L1188" t="s">
        <v>31</v>
      </c>
      <c r="M1188">
        <v>2023</v>
      </c>
      <c r="N1188" t="s">
        <v>44</v>
      </c>
      <c r="O1188" t="s">
        <v>33</v>
      </c>
      <c r="P1188">
        <v>0</v>
      </c>
      <c r="Q1188">
        <v>0</v>
      </c>
      <c r="R1188">
        <v>0</v>
      </c>
      <c r="S1188" t="s">
        <v>99</v>
      </c>
      <c r="T1188" t="s">
        <v>1879</v>
      </c>
      <c r="U1188">
        <v>1</v>
      </c>
    </row>
    <row r="1189" spans="1:21" x14ac:dyDescent="0.3">
      <c r="A1189" t="s">
        <v>1877</v>
      </c>
      <c r="B1189" t="s">
        <v>1878</v>
      </c>
      <c r="C1189" t="s">
        <v>184</v>
      </c>
      <c r="D1189" t="s">
        <v>222</v>
      </c>
      <c r="E1189" t="s">
        <v>30</v>
      </c>
      <c r="F1189" s="6">
        <v>45291</v>
      </c>
      <c r="G1189">
        <v>100</v>
      </c>
      <c r="H1189">
        <v>100</v>
      </c>
      <c r="I1189">
        <v>1</v>
      </c>
      <c r="J1189">
        <v>1</v>
      </c>
      <c r="K1189" t="s">
        <v>31</v>
      </c>
      <c r="L1189" t="s">
        <v>31</v>
      </c>
      <c r="M1189">
        <v>2023</v>
      </c>
      <c r="N1189" t="s">
        <v>57</v>
      </c>
      <c r="O1189" t="s">
        <v>47</v>
      </c>
      <c r="P1189">
        <v>0</v>
      </c>
      <c r="Q1189">
        <v>0</v>
      </c>
      <c r="R1189">
        <v>0</v>
      </c>
      <c r="S1189" t="s">
        <v>99</v>
      </c>
      <c r="T1189" t="s">
        <v>1880</v>
      </c>
      <c r="U1189">
        <v>1</v>
      </c>
    </row>
    <row r="1190" spans="1:21" x14ac:dyDescent="0.3">
      <c r="A1190" t="s">
        <v>1877</v>
      </c>
      <c r="B1190" t="s">
        <v>1881</v>
      </c>
      <c r="C1190" t="s">
        <v>184</v>
      </c>
      <c r="D1190" t="s">
        <v>222</v>
      </c>
      <c r="E1190" t="s">
        <v>30</v>
      </c>
      <c r="F1190" s="6">
        <v>45473</v>
      </c>
      <c r="G1190">
        <v>100</v>
      </c>
      <c r="H1190">
        <v>100</v>
      </c>
      <c r="I1190">
        <v>1</v>
      </c>
      <c r="J1190">
        <v>1</v>
      </c>
      <c r="K1190" t="s">
        <v>31</v>
      </c>
      <c r="L1190" t="s">
        <v>31</v>
      </c>
      <c r="M1190">
        <v>2024</v>
      </c>
      <c r="N1190" t="s">
        <v>44</v>
      </c>
      <c r="O1190" t="s">
        <v>71</v>
      </c>
      <c r="P1190">
        <v>0</v>
      </c>
      <c r="Q1190">
        <v>0</v>
      </c>
      <c r="R1190">
        <v>0</v>
      </c>
      <c r="S1190" t="s">
        <v>99</v>
      </c>
      <c r="T1190" t="s">
        <v>1882</v>
      </c>
      <c r="U1190">
        <v>1</v>
      </c>
    </row>
    <row r="1191" spans="1:21" x14ac:dyDescent="0.3">
      <c r="A1191" t="s">
        <v>1877</v>
      </c>
      <c r="B1191" t="s">
        <v>1881</v>
      </c>
      <c r="C1191" t="s">
        <v>184</v>
      </c>
      <c r="D1191" t="s">
        <v>222</v>
      </c>
      <c r="E1191" t="s">
        <v>30</v>
      </c>
      <c r="F1191" s="6">
        <v>45657</v>
      </c>
      <c r="G1191">
        <v>100</v>
      </c>
      <c r="H1191">
        <v>100</v>
      </c>
      <c r="I1191">
        <v>1</v>
      </c>
      <c r="J1191">
        <v>1</v>
      </c>
      <c r="K1191" t="s">
        <v>31</v>
      </c>
      <c r="L1191" t="s">
        <v>31</v>
      </c>
      <c r="M1191">
        <v>2024</v>
      </c>
      <c r="N1191" t="s">
        <v>57</v>
      </c>
      <c r="O1191" t="s">
        <v>78</v>
      </c>
      <c r="P1191">
        <v>0</v>
      </c>
      <c r="Q1191">
        <v>0</v>
      </c>
      <c r="R1191">
        <v>0</v>
      </c>
      <c r="S1191" t="s">
        <v>99</v>
      </c>
      <c r="T1191" t="s">
        <v>1883</v>
      </c>
      <c r="U1191">
        <v>1</v>
      </c>
    </row>
    <row r="1192" spans="1:21" x14ac:dyDescent="0.3">
      <c r="A1192" t="s">
        <v>1884</v>
      </c>
      <c r="B1192" t="s">
        <v>1885</v>
      </c>
      <c r="C1192" t="s">
        <v>184</v>
      </c>
      <c r="D1192" t="s">
        <v>222</v>
      </c>
      <c r="E1192" t="s">
        <v>30</v>
      </c>
      <c r="F1192" s="6">
        <v>45107</v>
      </c>
      <c r="G1192">
        <v>100</v>
      </c>
      <c r="H1192">
        <v>80</v>
      </c>
      <c r="I1192">
        <v>0.8</v>
      </c>
      <c r="J1192">
        <v>0.8</v>
      </c>
      <c r="K1192" t="s">
        <v>31</v>
      </c>
      <c r="L1192" t="s">
        <v>31</v>
      </c>
      <c r="M1192">
        <v>2023</v>
      </c>
      <c r="N1192" t="s">
        <v>44</v>
      </c>
      <c r="O1192" t="s">
        <v>33</v>
      </c>
      <c r="P1192">
        <v>0</v>
      </c>
      <c r="Q1192">
        <v>0</v>
      </c>
      <c r="R1192">
        <v>0</v>
      </c>
      <c r="S1192" t="s">
        <v>99</v>
      </c>
      <c r="T1192" t="s">
        <v>1886</v>
      </c>
      <c r="U1192">
        <v>1</v>
      </c>
    </row>
    <row r="1193" spans="1:21" x14ac:dyDescent="0.3">
      <c r="A1193" t="s">
        <v>1884</v>
      </c>
      <c r="B1193" t="s">
        <v>1885</v>
      </c>
      <c r="C1193" t="s">
        <v>184</v>
      </c>
      <c r="D1193" t="s">
        <v>222</v>
      </c>
      <c r="E1193" t="s">
        <v>30</v>
      </c>
      <c r="F1193" s="6">
        <v>45291</v>
      </c>
      <c r="G1193">
        <v>100</v>
      </c>
      <c r="H1193">
        <v>97.13</v>
      </c>
      <c r="I1193">
        <v>0.97129999999999994</v>
      </c>
      <c r="J1193">
        <v>0.97129999999999994</v>
      </c>
      <c r="K1193" t="s">
        <v>31</v>
      </c>
      <c r="L1193" t="s">
        <v>31</v>
      </c>
      <c r="M1193">
        <v>2023</v>
      </c>
      <c r="N1193" t="s">
        <v>57</v>
      </c>
      <c r="O1193" t="s">
        <v>47</v>
      </c>
      <c r="P1193">
        <v>0</v>
      </c>
      <c r="Q1193">
        <v>0</v>
      </c>
      <c r="R1193">
        <v>0</v>
      </c>
      <c r="S1193" t="s">
        <v>99</v>
      </c>
      <c r="T1193" t="s">
        <v>1887</v>
      </c>
      <c r="U1193">
        <v>1</v>
      </c>
    </row>
    <row r="1194" spans="1:21" x14ac:dyDescent="0.3">
      <c r="A1194" t="s">
        <v>1884</v>
      </c>
      <c r="B1194" t="s">
        <v>1888</v>
      </c>
      <c r="C1194" t="s">
        <v>184</v>
      </c>
      <c r="D1194" t="s">
        <v>222</v>
      </c>
      <c r="E1194" t="s">
        <v>30</v>
      </c>
      <c r="F1194" s="6">
        <v>45473</v>
      </c>
      <c r="G1194">
        <v>95</v>
      </c>
      <c r="H1194">
        <v>100</v>
      </c>
      <c r="I1194">
        <v>1.0526315789473679</v>
      </c>
      <c r="J1194">
        <v>1.0526315789473679</v>
      </c>
      <c r="K1194" t="s">
        <v>31</v>
      </c>
      <c r="L1194" t="s">
        <v>31</v>
      </c>
      <c r="M1194">
        <v>2024</v>
      </c>
      <c r="N1194" t="s">
        <v>44</v>
      </c>
      <c r="O1194" t="s">
        <v>71</v>
      </c>
      <c r="P1194">
        <v>0</v>
      </c>
      <c r="Q1194">
        <v>0</v>
      </c>
      <c r="R1194">
        <v>0</v>
      </c>
      <c r="S1194" t="s">
        <v>99</v>
      </c>
      <c r="T1194" t="s">
        <v>1889</v>
      </c>
      <c r="U1194">
        <v>1</v>
      </c>
    </row>
    <row r="1195" spans="1:21" x14ac:dyDescent="0.3">
      <c r="A1195" t="s">
        <v>1884</v>
      </c>
      <c r="B1195" t="s">
        <v>1888</v>
      </c>
      <c r="C1195" t="s">
        <v>184</v>
      </c>
      <c r="D1195" t="s">
        <v>222</v>
      </c>
      <c r="E1195" t="s">
        <v>30</v>
      </c>
      <c r="F1195" s="6">
        <v>45657</v>
      </c>
      <c r="G1195">
        <v>95</v>
      </c>
      <c r="H1195">
        <v>100</v>
      </c>
      <c r="I1195">
        <v>1.0526315789473679</v>
      </c>
      <c r="J1195">
        <v>1.0526315789473679</v>
      </c>
      <c r="K1195" t="s">
        <v>31</v>
      </c>
      <c r="L1195" t="s">
        <v>31</v>
      </c>
      <c r="M1195">
        <v>2024</v>
      </c>
      <c r="N1195" t="s">
        <v>57</v>
      </c>
      <c r="O1195" t="s">
        <v>78</v>
      </c>
      <c r="P1195">
        <v>0</v>
      </c>
      <c r="Q1195">
        <v>0</v>
      </c>
      <c r="R1195">
        <v>0</v>
      </c>
      <c r="S1195" t="s">
        <v>99</v>
      </c>
      <c r="T1195" t="s">
        <v>1890</v>
      </c>
      <c r="U1195">
        <v>1</v>
      </c>
    </row>
    <row r="1196" spans="1:21" x14ac:dyDescent="0.3">
      <c r="A1196" t="s">
        <v>1884</v>
      </c>
      <c r="B1196" t="s">
        <v>1888</v>
      </c>
      <c r="C1196" t="s">
        <v>184</v>
      </c>
      <c r="D1196" t="s">
        <v>233</v>
      </c>
      <c r="E1196" t="s">
        <v>30</v>
      </c>
      <c r="F1196" s="6">
        <v>45747</v>
      </c>
      <c r="G1196">
        <v>95</v>
      </c>
      <c r="H1196" t="s">
        <v>424</v>
      </c>
      <c r="I1196">
        <v>0</v>
      </c>
      <c r="J1196">
        <v>0</v>
      </c>
      <c r="K1196" t="s">
        <v>838</v>
      </c>
      <c r="M1196">
        <v>2025</v>
      </c>
      <c r="N1196" t="s">
        <v>38</v>
      </c>
      <c r="O1196" t="s">
        <v>244</v>
      </c>
      <c r="P1196">
        <v>2</v>
      </c>
      <c r="Q1196">
        <v>2</v>
      </c>
      <c r="R1196">
        <v>0</v>
      </c>
      <c r="S1196" t="s">
        <v>104</v>
      </c>
      <c r="T1196" t="s">
        <v>1891</v>
      </c>
      <c r="U1196">
        <v>31</v>
      </c>
    </row>
    <row r="1197" spans="1:21" x14ac:dyDescent="0.3">
      <c r="A1197" t="s">
        <v>1884</v>
      </c>
      <c r="B1197" t="s">
        <v>1888</v>
      </c>
      <c r="C1197" t="s">
        <v>184</v>
      </c>
      <c r="D1197" t="s">
        <v>233</v>
      </c>
      <c r="E1197" t="s">
        <v>30</v>
      </c>
      <c r="F1197" s="6">
        <v>45838</v>
      </c>
      <c r="G1197">
        <v>95</v>
      </c>
      <c r="H1197" t="s">
        <v>95</v>
      </c>
      <c r="I1197">
        <v>1.0526315789473679</v>
      </c>
      <c r="J1197">
        <v>1.0526315789473679</v>
      </c>
      <c r="K1197" t="s">
        <v>838</v>
      </c>
      <c r="L1197" t="s">
        <v>102</v>
      </c>
      <c r="M1197">
        <v>2025</v>
      </c>
      <c r="N1197" t="s">
        <v>44</v>
      </c>
      <c r="O1197" t="s">
        <v>244</v>
      </c>
      <c r="P1197">
        <v>2</v>
      </c>
      <c r="Q1197">
        <v>2</v>
      </c>
      <c r="R1197">
        <v>0</v>
      </c>
      <c r="S1197" t="s">
        <v>104</v>
      </c>
      <c r="T1197" t="s">
        <v>1892</v>
      </c>
      <c r="U1197">
        <v>30</v>
      </c>
    </row>
    <row r="1198" spans="1:21" x14ac:dyDescent="0.3">
      <c r="A1198" t="s">
        <v>1893</v>
      </c>
      <c r="B1198" t="s">
        <v>1894</v>
      </c>
      <c r="C1198" t="s">
        <v>184</v>
      </c>
      <c r="D1198" t="s">
        <v>222</v>
      </c>
      <c r="E1198" t="s">
        <v>30</v>
      </c>
      <c r="F1198" s="6">
        <v>45107</v>
      </c>
      <c r="G1198">
        <v>95</v>
      </c>
      <c r="H1198">
        <v>89.91</v>
      </c>
      <c r="I1198">
        <v>0.94642105263157894</v>
      </c>
      <c r="J1198">
        <v>0.94642105263157894</v>
      </c>
      <c r="K1198" t="s">
        <v>31</v>
      </c>
      <c r="L1198" t="s">
        <v>31</v>
      </c>
      <c r="M1198">
        <v>2023</v>
      </c>
      <c r="N1198" t="s">
        <v>44</v>
      </c>
      <c r="O1198" t="s">
        <v>33</v>
      </c>
      <c r="P1198">
        <v>0</v>
      </c>
      <c r="Q1198">
        <v>0</v>
      </c>
      <c r="R1198">
        <v>0</v>
      </c>
      <c r="S1198" t="s">
        <v>99</v>
      </c>
      <c r="T1198" t="s">
        <v>1895</v>
      </c>
      <c r="U1198">
        <v>1</v>
      </c>
    </row>
    <row r="1199" spans="1:21" x14ac:dyDescent="0.3">
      <c r="A1199" t="s">
        <v>1893</v>
      </c>
      <c r="B1199" t="s">
        <v>1894</v>
      </c>
      <c r="C1199" t="s">
        <v>184</v>
      </c>
      <c r="D1199" t="s">
        <v>222</v>
      </c>
      <c r="E1199" t="s">
        <v>30</v>
      </c>
      <c r="F1199" s="6">
        <v>45291</v>
      </c>
      <c r="G1199">
        <v>95</v>
      </c>
      <c r="H1199">
        <v>97.07</v>
      </c>
      <c r="I1199">
        <v>1.0217894736842099</v>
      </c>
      <c r="J1199">
        <v>1.0217894736842099</v>
      </c>
      <c r="K1199" t="s">
        <v>31</v>
      </c>
      <c r="L1199" t="s">
        <v>31</v>
      </c>
      <c r="M1199">
        <v>2023</v>
      </c>
      <c r="N1199" t="s">
        <v>57</v>
      </c>
      <c r="O1199" t="s">
        <v>47</v>
      </c>
      <c r="P1199">
        <v>0</v>
      </c>
      <c r="Q1199">
        <v>0</v>
      </c>
      <c r="R1199">
        <v>0</v>
      </c>
      <c r="S1199" t="s">
        <v>99</v>
      </c>
      <c r="T1199" t="s">
        <v>1896</v>
      </c>
      <c r="U1199">
        <v>1</v>
      </c>
    </row>
    <row r="1200" spans="1:21" x14ac:dyDescent="0.3">
      <c r="A1200" t="s">
        <v>1893</v>
      </c>
      <c r="B1200" t="s">
        <v>1894</v>
      </c>
      <c r="C1200" t="s">
        <v>184</v>
      </c>
      <c r="D1200" t="s">
        <v>222</v>
      </c>
      <c r="E1200" t="s">
        <v>30</v>
      </c>
      <c r="F1200" s="6">
        <v>45473</v>
      </c>
      <c r="G1200">
        <v>95</v>
      </c>
      <c r="H1200">
        <v>95.02</v>
      </c>
      <c r="I1200">
        <v>1.000210526315789</v>
      </c>
      <c r="J1200">
        <v>1.000210526315789</v>
      </c>
      <c r="K1200" t="s">
        <v>31</v>
      </c>
      <c r="L1200" t="s">
        <v>31</v>
      </c>
      <c r="M1200">
        <v>2024</v>
      </c>
      <c r="N1200" t="s">
        <v>44</v>
      </c>
      <c r="O1200" t="s">
        <v>71</v>
      </c>
      <c r="P1200">
        <v>0</v>
      </c>
      <c r="Q1200">
        <v>0</v>
      </c>
      <c r="R1200">
        <v>0</v>
      </c>
      <c r="S1200" t="s">
        <v>99</v>
      </c>
      <c r="T1200" t="s">
        <v>1897</v>
      </c>
      <c r="U1200">
        <v>1</v>
      </c>
    </row>
    <row r="1201" spans="1:21" x14ac:dyDescent="0.3">
      <c r="A1201" t="s">
        <v>1893</v>
      </c>
      <c r="B1201" t="s">
        <v>1894</v>
      </c>
      <c r="C1201" t="s">
        <v>184</v>
      </c>
      <c r="D1201" t="s">
        <v>222</v>
      </c>
      <c r="E1201" t="s">
        <v>30</v>
      </c>
      <c r="F1201" s="6">
        <v>45657</v>
      </c>
      <c r="G1201">
        <v>95</v>
      </c>
      <c r="H1201">
        <v>81.93</v>
      </c>
      <c r="I1201">
        <v>0.86242105263157898</v>
      </c>
      <c r="J1201">
        <v>0.86242105263157898</v>
      </c>
      <c r="K1201" t="s">
        <v>31</v>
      </c>
      <c r="L1201" t="s">
        <v>31</v>
      </c>
      <c r="M1201">
        <v>2024</v>
      </c>
      <c r="N1201" t="s">
        <v>57</v>
      </c>
      <c r="O1201" t="s">
        <v>78</v>
      </c>
      <c r="P1201">
        <v>0</v>
      </c>
      <c r="Q1201">
        <v>0</v>
      </c>
      <c r="R1201">
        <v>0</v>
      </c>
      <c r="S1201" t="s">
        <v>99</v>
      </c>
      <c r="T1201" t="s">
        <v>1898</v>
      </c>
      <c r="U1201">
        <v>1</v>
      </c>
    </row>
    <row r="1202" spans="1:21" x14ac:dyDescent="0.3">
      <c r="A1202" t="s">
        <v>1893</v>
      </c>
      <c r="B1202" t="s">
        <v>1894</v>
      </c>
      <c r="C1202" t="s">
        <v>184</v>
      </c>
      <c r="D1202" t="s">
        <v>233</v>
      </c>
      <c r="E1202" t="s">
        <v>30</v>
      </c>
      <c r="F1202" s="6">
        <v>45747</v>
      </c>
      <c r="G1202">
        <v>95</v>
      </c>
      <c r="H1202" t="s">
        <v>424</v>
      </c>
      <c r="I1202">
        <v>0</v>
      </c>
      <c r="J1202">
        <v>0</v>
      </c>
      <c r="K1202" t="s">
        <v>838</v>
      </c>
      <c r="M1202">
        <v>2025</v>
      </c>
      <c r="N1202" t="s">
        <v>38</v>
      </c>
      <c r="O1202" t="s">
        <v>244</v>
      </c>
      <c r="P1202">
        <v>2</v>
      </c>
      <c r="Q1202">
        <v>2</v>
      </c>
      <c r="R1202">
        <v>0</v>
      </c>
      <c r="S1202" t="s">
        <v>104</v>
      </c>
      <c r="T1202" t="s">
        <v>1899</v>
      </c>
      <c r="U1202">
        <v>31</v>
      </c>
    </row>
    <row r="1203" spans="1:21" x14ac:dyDescent="0.3">
      <c r="A1203" t="s">
        <v>1893</v>
      </c>
      <c r="B1203" t="s">
        <v>1894</v>
      </c>
      <c r="C1203" t="s">
        <v>184</v>
      </c>
      <c r="D1203" t="s">
        <v>233</v>
      </c>
      <c r="E1203" t="s">
        <v>30</v>
      </c>
      <c r="F1203" s="6">
        <v>45838</v>
      </c>
      <c r="G1203">
        <v>95</v>
      </c>
      <c r="H1203" t="s">
        <v>1900</v>
      </c>
      <c r="I1203">
        <v>0.55947368421052635</v>
      </c>
      <c r="J1203">
        <v>0.55947368421052635</v>
      </c>
      <c r="K1203" t="s">
        <v>838</v>
      </c>
      <c r="L1203" t="s">
        <v>1901</v>
      </c>
      <c r="M1203">
        <v>2025</v>
      </c>
      <c r="N1203" t="s">
        <v>44</v>
      </c>
      <c r="O1203" t="s">
        <v>244</v>
      </c>
      <c r="P1203">
        <v>2</v>
      </c>
      <c r="Q1203">
        <v>2</v>
      </c>
      <c r="R1203">
        <v>0</v>
      </c>
      <c r="S1203" t="s">
        <v>104</v>
      </c>
      <c r="T1203" t="s">
        <v>1902</v>
      </c>
      <c r="U1203">
        <v>30</v>
      </c>
    </row>
    <row r="1204" spans="1:21" x14ac:dyDescent="0.3">
      <c r="A1204" t="s">
        <v>1903</v>
      </c>
      <c r="B1204" t="s">
        <v>1904</v>
      </c>
      <c r="C1204" t="s">
        <v>150</v>
      </c>
      <c r="D1204" t="s">
        <v>98</v>
      </c>
      <c r="E1204" t="s">
        <v>30</v>
      </c>
      <c r="F1204" s="6">
        <v>45291</v>
      </c>
      <c r="K1204" t="s">
        <v>31</v>
      </c>
      <c r="L1204" t="s">
        <v>31</v>
      </c>
      <c r="M1204">
        <v>2023</v>
      </c>
      <c r="N1204" t="s">
        <v>57</v>
      </c>
      <c r="O1204" t="s">
        <v>47</v>
      </c>
      <c r="P1204">
        <v>0</v>
      </c>
      <c r="Q1204">
        <v>0</v>
      </c>
      <c r="R1204">
        <v>0</v>
      </c>
      <c r="S1204" t="s">
        <v>130</v>
      </c>
      <c r="T1204" t="s">
        <v>1905</v>
      </c>
      <c r="U1204">
        <v>1</v>
      </c>
    </row>
    <row r="1205" spans="1:21" x14ac:dyDescent="0.3">
      <c r="A1205" t="s">
        <v>1906</v>
      </c>
      <c r="B1205" t="s">
        <v>1907</v>
      </c>
      <c r="C1205" t="s">
        <v>133</v>
      </c>
      <c r="D1205" t="s">
        <v>222</v>
      </c>
      <c r="E1205" t="s">
        <v>30</v>
      </c>
      <c r="F1205" s="6">
        <v>45107</v>
      </c>
      <c r="G1205">
        <v>0</v>
      </c>
      <c r="H1205">
        <v>680</v>
      </c>
      <c r="K1205" t="s">
        <v>31</v>
      </c>
      <c r="L1205" t="s">
        <v>31</v>
      </c>
      <c r="M1205">
        <v>2023</v>
      </c>
      <c r="N1205" t="s">
        <v>44</v>
      </c>
      <c r="O1205" t="s">
        <v>33</v>
      </c>
      <c r="P1205">
        <v>0</v>
      </c>
      <c r="Q1205">
        <v>0</v>
      </c>
      <c r="R1205">
        <v>0</v>
      </c>
      <c r="S1205" t="s">
        <v>99</v>
      </c>
      <c r="T1205" t="s">
        <v>1908</v>
      </c>
      <c r="U1205">
        <v>1</v>
      </c>
    </row>
    <row r="1206" spans="1:21" x14ac:dyDescent="0.3">
      <c r="A1206" t="s">
        <v>1906</v>
      </c>
      <c r="B1206" t="s">
        <v>1907</v>
      </c>
      <c r="C1206" t="s">
        <v>133</v>
      </c>
      <c r="D1206" t="s">
        <v>222</v>
      </c>
      <c r="E1206" t="s">
        <v>30</v>
      </c>
      <c r="F1206" s="6">
        <v>45291</v>
      </c>
      <c r="G1206">
        <v>0</v>
      </c>
      <c r="H1206">
        <v>1524</v>
      </c>
      <c r="K1206" t="s">
        <v>31</v>
      </c>
      <c r="L1206" t="s">
        <v>31</v>
      </c>
      <c r="M1206">
        <v>2023</v>
      </c>
      <c r="N1206" t="s">
        <v>57</v>
      </c>
      <c r="O1206" t="s">
        <v>47</v>
      </c>
      <c r="P1206">
        <v>0</v>
      </c>
      <c r="Q1206">
        <v>0</v>
      </c>
      <c r="R1206">
        <v>0</v>
      </c>
      <c r="S1206" t="s">
        <v>99</v>
      </c>
      <c r="T1206" t="s">
        <v>1909</v>
      </c>
      <c r="U1206">
        <v>1</v>
      </c>
    </row>
    <row r="1207" spans="1:21" x14ac:dyDescent="0.3">
      <c r="A1207" t="s">
        <v>1906</v>
      </c>
      <c r="B1207" t="s">
        <v>1907</v>
      </c>
      <c r="C1207" t="s">
        <v>133</v>
      </c>
      <c r="D1207" t="s">
        <v>222</v>
      </c>
      <c r="E1207" t="s">
        <v>30</v>
      </c>
      <c r="F1207" s="6">
        <v>45473</v>
      </c>
      <c r="G1207">
        <v>0</v>
      </c>
      <c r="H1207">
        <v>760</v>
      </c>
      <c r="K1207">
        <v>0</v>
      </c>
      <c r="L1207" t="s">
        <v>118</v>
      </c>
      <c r="M1207">
        <v>2024</v>
      </c>
      <c r="N1207" t="s">
        <v>44</v>
      </c>
      <c r="O1207" t="s">
        <v>71</v>
      </c>
      <c r="P1207">
        <v>0</v>
      </c>
      <c r="Q1207">
        <v>0</v>
      </c>
      <c r="R1207">
        <v>0</v>
      </c>
      <c r="S1207" t="s">
        <v>99</v>
      </c>
      <c r="T1207" t="s">
        <v>1910</v>
      </c>
      <c r="U1207">
        <v>1</v>
      </c>
    </row>
    <row r="1208" spans="1:21" x14ac:dyDescent="0.3">
      <c r="A1208" t="s">
        <v>1906</v>
      </c>
      <c r="B1208" t="s">
        <v>1907</v>
      </c>
      <c r="C1208" t="s">
        <v>133</v>
      </c>
      <c r="D1208" t="s">
        <v>222</v>
      </c>
      <c r="E1208" t="s">
        <v>30</v>
      </c>
      <c r="F1208" s="6">
        <v>45657</v>
      </c>
      <c r="G1208">
        <v>0</v>
      </c>
      <c r="H1208">
        <v>1005</v>
      </c>
      <c r="K1208">
        <v>0</v>
      </c>
      <c r="L1208" t="s">
        <v>118</v>
      </c>
      <c r="M1208">
        <v>2024</v>
      </c>
      <c r="N1208" t="s">
        <v>57</v>
      </c>
      <c r="O1208" t="s">
        <v>78</v>
      </c>
      <c r="P1208">
        <v>0</v>
      </c>
      <c r="Q1208">
        <v>0</v>
      </c>
      <c r="R1208">
        <v>0</v>
      </c>
      <c r="S1208" t="s">
        <v>99</v>
      </c>
      <c r="T1208" t="s">
        <v>1911</v>
      </c>
      <c r="U1208">
        <v>1</v>
      </c>
    </row>
    <row r="1209" spans="1:21" x14ac:dyDescent="0.3">
      <c r="A1209" t="s">
        <v>1906</v>
      </c>
      <c r="B1209" t="s">
        <v>1912</v>
      </c>
      <c r="C1209" t="s">
        <v>133</v>
      </c>
      <c r="D1209" t="s">
        <v>222</v>
      </c>
      <c r="E1209" t="s">
        <v>30</v>
      </c>
      <c r="F1209" s="6">
        <v>45838</v>
      </c>
      <c r="H1209" t="s">
        <v>1913</v>
      </c>
      <c r="I1209">
        <v>0</v>
      </c>
      <c r="J1209">
        <v>0</v>
      </c>
      <c r="L1209" t="s">
        <v>1914</v>
      </c>
      <c r="M1209">
        <v>2025</v>
      </c>
      <c r="N1209" t="s">
        <v>44</v>
      </c>
      <c r="O1209" t="s">
        <v>244</v>
      </c>
      <c r="P1209">
        <v>2</v>
      </c>
      <c r="Q1209">
        <v>2</v>
      </c>
      <c r="R1209">
        <v>0</v>
      </c>
      <c r="S1209" t="s">
        <v>130</v>
      </c>
      <c r="T1209" t="s">
        <v>1915</v>
      </c>
      <c r="U1209">
        <v>30</v>
      </c>
    </row>
    <row r="1210" spans="1:21" x14ac:dyDescent="0.3">
      <c r="A1210" t="s">
        <v>1906</v>
      </c>
      <c r="B1210" t="s">
        <v>1912</v>
      </c>
      <c r="C1210" t="s">
        <v>133</v>
      </c>
      <c r="D1210" t="s">
        <v>222</v>
      </c>
      <c r="E1210" t="s">
        <v>30</v>
      </c>
      <c r="F1210" s="6">
        <v>46022</v>
      </c>
      <c r="H1210" t="s">
        <v>1916</v>
      </c>
      <c r="I1210">
        <v>0</v>
      </c>
      <c r="J1210">
        <v>0</v>
      </c>
      <c r="L1210" t="s">
        <v>1917</v>
      </c>
      <c r="M1210">
        <v>2025</v>
      </c>
      <c r="N1210" t="s">
        <v>57</v>
      </c>
      <c r="O1210" t="s">
        <v>103</v>
      </c>
      <c r="P1210">
        <v>2</v>
      </c>
      <c r="Q1210">
        <v>2</v>
      </c>
      <c r="R1210">
        <v>0</v>
      </c>
      <c r="S1210" t="s">
        <v>130</v>
      </c>
      <c r="T1210" t="s">
        <v>1918</v>
      </c>
      <c r="U1210">
        <v>31</v>
      </c>
    </row>
    <row r="1211" spans="1:21" x14ac:dyDescent="0.3">
      <c r="A1211" t="s">
        <v>1919</v>
      </c>
      <c r="B1211" t="s">
        <v>1920</v>
      </c>
      <c r="C1211" t="s">
        <v>133</v>
      </c>
      <c r="D1211" t="s">
        <v>222</v>
      </c>
      <c r="E1211" t="s">
        <v>30</v>
      </c>
      <c r="F1211" s="6">
        <v>45107</v>
      </c>
      <c r="G1211">
        <v>0</v>
      </c>
      <c r="H1211">
        <v>0.4</v>
      </c>
      <c r="K1211" t="s">
        <v>109</v>
      </c>
      <c r="L1211" t="s">
        <v>109</v>
      </c>
      <c r="M1211">
        <v>2023</v>
      </c>
      <c r="N1211" t="s">
        <v>44</v>
      </c>
      <c r="O1211" t="s">
        <v>33</v>
      </c>
      <c r="P1211">
        <v>2</v>
      </c>
      <c r="Q1211">
        <v>2</v>
      </c>
      <c r="R1211">
        <v>0</v>
      </c>
      <c r="S1211" t="s">
        <v>99</v>
      </c>
      <c r="T1211" t="s">
        <v>1921</v>
      </c>
      <c r="U1211">
        <v>1</v>
      </c>
    </row>
    <row r="1212" spans="1:21" x14ac:dyDescent="0.3">
      <c r="A1212" t="s">
        <v>1919</v>
      </c>
      <c r="B1212" t="s">
        <v>1920</v>
      </c>
      <c r="C1212" t="s">
        <v>133</v>
      </c>
      <c r="D1212" t="s">
        <v>222</v>
      </c>
      <c r="E1212" t="s">
        <v>30</v>
      </c>
      <c r="F1212" s="6">
        <v>45291</v>
      </c>
      <c r="G1212">
        <v>0</v>
      </c>
      <c r="H1212">
        <v>1.28</v>
      </c>
      <c r="K1212" t="s">
        <v>109</v>
      </c>
      <c r="L1212" t="s">
        <v>109</v>
      </c>
      <c r="M1212">
        <v>2023</v>
      </c>
      <c r="N1212" t="s">
        <v>57</v>
      </c>
      <c r="O1212" t="s">
        <v>47</v>
      </c>
      <c r="P1212">
        <v>0</v>
      </c>
      <c r="Q1212">
        <v>0</v>
      </c>
      <c r="R1212">
        <v>0</v>
      </c>
      <c r="S1212" t="s">
        <v>99</v>
      </c>
      <c r="T1212" t="s">
        <v>1922</v>
      </c>
      <c r="U1212">
        <v>1</v>
      </c>
    </row>
    <row r="1213" spans="1:21" x14ac:dyDescent="0.3">
      <c r="A1213" t="s">
        <v>1919</v>
      </c>
      <c r="B1213" t="s">
        <v>1920</v>
      </c>
      <c r="C1213" t="s">
        <v>133</v>
      </c>
      <c r="D1213" t="s">
        <v>222</v>
      </c>
      <c r="E1213" t="s">
        <v>30</v>
      </c>
      <c r="F1213" s="6">
        <v>45473</v>
      </c>
      <c r="G1213">
        <v>0</v>
      </c>
      <c r="H1213">
        <v>3</v>
      </c>
      <c r="K1213" t="s">
        <v>109</v>
      </c>
      <c r="L1213" t="s">
        <v>109</v>
      </c>
      <c r="M1213">
        <v>2024</v>
      </c>
      <c r="N1213" t="s">
        <v>44</v>
      </c>
      <c r="O1213" t="s">
        <v>71</v>
      </c>
      <c r="P1213">
        <v>2</v>
      </c>
      <c r="Q1213">
        <v>2</v>
      </c>
      <c r="R1213">
        <v>0</v>
      </c>
      <c r="S1213" t="s">
        <v>99</v>
      </c>
      <c r="T1213" t="s">
        <v>1923</v>
      </c>
      <c r="U1213">
        <v>1</v>
      </c>
    </row>
    <row r="1214" spans="1:21" x14ac:dyDescent="0.3">
      <c r="A1214" t="s">
        <v>1919</v>
      </c>
      <c r="B1214" t="s">
        <v>1920</v>
      </c>
      <c r="C1214" t="s">
        <v>133</v>
      </c>
      <c r="D1214" t="s">
        <v>222</v>
      </c>
      <c r="E1214" t="s">
        <v>30</v>
      </c>
      <c r="F1214" s="6">
        <v>45657</v>
      </c>
      <c r="K1214" t="s">
        <v>109</v>
      </c>
      <c r="L1214" t="s">
        <v>109</v>
      </c>
      <c r="M1214">
        <v>2024</v>
      </c>
      <c r="N1214" t="s">
        <v>57</v>
      </c>
      <c r="O1214" t="s">
        <v>78</v>
      </c>
      <c r="P1214">
        <v>2</v>
      </c>
      <c r="Q1214">
        <v>2</v>
      </c>
      <c r="R1214">
        <v>0</v>
      </c>
      <c r="S1214" t="s">
        <v>99</v>
      </c>
      <c r="T1214" t="s">
        <v>1924</v>
      </c>
      <c r="U1214">
        <v>1</v>
      </c>
    </row>
    <row r="1215" spans="1:21" x14ac:dyDescent="0.3">
      <c r="A1215" t="s">
        <v>1919</v>
      </c>
      <c r="B1215" t="s">
        <v>1925</v>
      </c>
      <c r="C1215" t="s">
        <v>133</v>
      </c>
      <c r="D1215" t="s">
        <v>222</v>
      </c>
      <c r="E1215" t="s">
        <v>30</v>
      </c>
      <c r="F1215" s="6">
        <v>45838</v>
      </c>
      <c r="H1215" t="s">
        <v>1926</v>
      </c>
      <c r="I1215">
        <v>0</v>
      </c>
      <c r="J1215">
        <v>0</v>
      </c>
      <c r="L1215" t="s">
        <v>1927</v>
      </c>
      <c r="M1215">
        <v>2025</v>
      </c>
      <c r="N1215" t="s">
        <v>44</v>
      </c>
      <c r="O1215" t="s">
        <v>244</v>
      </c>
      <c r="P1215">
        <v>2</v>
      </c>
      <c r="Q1215">
        <v>2</v>
      </c>
      <c r="R1215">
        <v>0</v>
      </c>
      <c r="S1215" t="s">
        <v>130</v>
      </c>
      <c r="T1215" t="s">
        <v>1928</v>
      </c>
      <c r="U1215">
        <v>30</v>
      </c>
    </row>
    <row r="1216" spans="1:21" x14ac:dyDescent="0.3">
      <c r="A1216" t="s">
        <v>1919</v>
      </c>
      <c r="B1216" t="s">
        <v>1925</v>
      </c>
      <c r="C1216" t="s">
        <v>133</v>
      </c>
      <c r="D1216" t="s">
        <v>222</v>
      </c>
      <c r="E1216" t="s">
        <v>30</v>
      </c>
      <c r="F1216" s="6">
        <v>46022</v>
      </c>
      <c r="H1216" t="s">
        <v>1929</v>
      </c>
      <c r="I1216">
        <v>0</v>
      </c>
      <c r="J1216">
        <v>0</v>
      </c>
      <c r="L1216" t="s">
        <v>1930</v>
      </c>
      <c r="M1216">
        <v>2025</v>
      </c>
      <c r="N1216" t="s">
        <v>57</v>
      </c>
      <c r="O1216" t="s">
        <v>103</v>
      </c>
      <c r="P1216">
        <v>2</v>
      </c>
      <c r="Q1216">
        <v>2</v>
      </c>
      <c r="R1216">
        <v>0</v>
      </c>
      <c r="S1216" t="s">
        <v>130</v>
      </c>
      <c r="T1216" t="s">
        <v>1931</v>
      </c>
      <c r="U1216">
        <v>31</v>
      </c>
    </row>
    <row r="1217" spans="1:21" x14ac:dyDescent="0.3">
      <c r="A1217" t="s">
        <v>1932</v>
      </c>
      <c r="B1217" t="s">
        <v>1933</v>
      </c>
      <c r="C1217" t="s">
        <v>133</v>
      </c>
      <c r="D1217" t="s">
        <v>222</v>
      </c>
      <c r="E1217" t="s">
        <v>30</v>
      </c>
      <c r="F1217" s="6">
        <v>45107</v>
      </c>
      <c r="G1217">
        <v>0</v>
      </c>
      <c r="H1217">
        <v>6.55</v>
      </c>
      <c r="K1217" t="s">
        <v>109</v>
      </c>
      <c r="L1217" t="s">
        <v>109</v>
      </c>
      <c r="M1217">
        <v>2023</v>
      </c>
      <c r="N1217" t="s">
        <v>44</v>
      </c>
      <c r="O1217" t="s">
        <v>33</v>
      </c>
      <c r="P1217">
        <v>0</v>
      </c>
      <c r="Q1217">
        <v>0</v>
      </c>
      <c r="R1217">
        <v>0</v>
      </c>
      <c r="S1217" t="s">
        <v>99</v>
      </c>
      <c r="T1217" t="s">
        <v>1934</v>
      </c>
      <c r="U1217">
        <v>1</v>
      </c>
    </row>
    <row r="1218" spans="1:21" x14ac:dyDescent="0.3">
      <c r="A1218" t="s">
        <v>1932</v>
      </c>
      <c r="B1218" t="s">
        <v>1933</v>
      </c>
      <c r="C1218" t="s">
        <v>133</v>
      </c>
      <c r="D1218" t="s">
        <v>222</v>
      </c>
      <c r="E1218" t="s">
        <v>30</v>
      </c>
      <c r="F1218" s="6">
        <v>45291</v>
      </c>
      <c r="G1218">
        <v>0</v>
      </c>
      <c r="H1218">
        <v>3.83</v>
      </c>
      <c r="K1218" t="s">
        <v>109</v>
      </c>
      <c r="L1218" t="s">
        <v>109</v>
      </c>
      <c r="M1218">
        <v>2023</v>
      </c>
      <c r="N1218" t="s">
        <v>57</v>
      </c>
      <c r="O1218" t="s">
        <v>47</v>
      </c>
      <c r="P1218">
        <v>0</v>
      </c>
      <c r="Q1218">
        <v>0</v>
      </c>
      <c r="R1218">
        <v>0</v>
      </c>
      <c r="S1218" t="s">
        <v>99</v>
      </c>
      <c r="T1218" t="s">
        <v>1935</v>
      </c>
      <c r="U1218">
        <v>1</v>
      </c>
    </row>
    <row r="1219" spans="1:21" x14ac:dyDescent="0.3">
      <c r="A1219" t="s">
        <v>1932</v>
      </c>
      <c r="B1219" t="s">
        <v>1933</v>
      </c>
      <c r="C1219" t="s">
        <v>133</v>
      </c>
      <c r="D1219" t="s">
        <v>222</v>
      </c>
      <c r="E1219" t="s">
        <v>30</v>
      </c>
      <c r="F1219" s="6">
        <v>45473</v>
      </c>
      <c r="G1219">
        <v>0</v>
      </c>
      <c r="H1219">
        <v>4.88</v>
      </c>
      <c r="K1219">
        <v>0</v>
      </c>
      <c r="L1219" t="s">
        <v>118</v>
      </c>
      <c r="M1219">
        <v>2024</v>
      </c>
      <c r="N1219" t="s">
        <v>44</v>
      </c>
      <c r="O1219" t="s">
        <v>71</v>
      </c>
      <c r="P1219">
        <v>1</v>
      </c>
      <c r="Q1219">
        <v>1</v>
      </c>
      <c r="R1219">
        <v>0</v>
      </c>
      <c r="S1219" t="s">
        <v>99</v>
      </c>
      <c r="T1219" t="s">
        <v>1936</v>
      </c>
      <c r="U1219">
        <v>1</v>
      </c>
    </row>
    <row r="1220" spans="1:21" x14ac:dyDescent="0.3">
      <c r="A1220" t="s">
        <v>1932</v>
      </c>
      <c r="B1220" t="s">
        <v>1933</v>
      </c>
      <c r="C1220" t="s">
        <v>133</v>
      </c>
      <c r="D1220" t="s">
        <v>222</v>
      </c>
      <c r="E1220" t="s">
        <v>30</v>
      </c>
      <c r="F1220" s="6">
        <v>45657</v>
      </c>
      <c r="G1220">
        <v>0</v>
      </c>
      <c r="H1220">
        <v>4.57</v>
      </c>
      <c r="K1220">
        <v>0</v>
      </c>
      <c r="L1220" t="s">
        <v>118</v>
      </c>
      <c r="M1220">
        <v>2024</v>
      </c>
      <c r="N1220" t="s">
        <v>57</v>
      </c>
      <c r="O1220" t="s">
        <v>78</v>
      </c>
      <c r="P1220">
        <v>1</v>
      </c>
      <c r="Q1220">
        <v>1</v>
      </c>
      <c r="R1220">
        <v>0</v>
      </c>
      <c r="S1220" t="s">
        <v>99</v>
      </c>
      <c r="T1220" t="s">
        <v>1937</v>
      </c>
      <c r="U1220">
        <v>1</v>
      </c>
    </row>
    <row r="1221" spans="1:21" x14ac:dyDescent="0.3">
      <c r="A1221" t="s">
        <v>1932</v>
      </c>
      <c r="B1221" t="s">
        <v>1938</v>
      </c>
      <c r="C1221" t="s">
        <v>133</v>
      </c>
      <c r="D1221" t="s">
        <v>222</v>
      </c>
      <c r="E1221" t="s">
        <v>30</v>
      </c>
      <c r="F1221" s="6">
        <v>45838</v>
      </c>
      <c r="H1221" t="s">
        <v>1939</v>
      </c>
      <c r="I1221">
        <v>0</v>
      </c>
      <c r="J1221">
        <v>0</v>
      </c>
      <c r="L1221" t="s">
        <v>1940</v>
      </c>
      <c r="M1221">
        <v>2025</v>
      </c>
      <c r="N1221" t="s">
        <v>44</v>
      </c>
      <c r="O1221" t="s">
        <v>244</v>
      </c>
      <c r="P1221">
        <v>2</v>
      </c>
      <c r="Q1221">
        <v>2</v>
      </c>
      <c r="R1221">
        <v>0</v>
      </c>
      <c r="S1221" t="s">
        <v>130</v>
      </c>
      <c r="T1221" t="s">
        <v>1941</v>
      </c>
      <c r="U1221">
        <v>30</v>
      </c>
    </row>
    <row r="1222" spans="1:21" x14ac:dyDescent="0.3">
      <c r="A1222" t="s">
        <v>1932</v>
      </c>
      <c r="B1222" t="s">
        <v>1938</v>
      </c>
      <c r="C1222" t="s">
        <v>133</v>
      </c>
      <c r="D1222" t="s">
        <v>222</v>
      </c>
      <c r="E1222" t="s">
        <v>30</v>
      </c>
      <c r="F1222" s="6">
        <v>46022</v>
      </c>
      <c r="H1222" t="s">
        <v>1942</v>
      </c>
      <c r="I1222">
        <v>0</v>
      </c>
      <c r="J1222">
        <v>0</v>
      </c>
      <c r="L1222" t="s">
        <v>1943</v>
      </c>
      <c r="M1222">
        <v>2025</v>
      </c>
      <c r="N1222" t="s">
        <v>57</v>
      </c>
      <c r="O1222" t="s">
        <v>103</v>
      </c>
      <c r="P1222">
        <v>2</v>
      </c>
      <c r="Q1222">
        <v>2</v>
      </c>
      <c r="R1222">
        <v>0</v>
      </c>
      <c r="S1222" t="s">
        <v>130</v>
      </c>
      <c r="T1222" t="s">
        <v>1944</v>
      </c>
      <c r="U1222">
        <v>31</v>
      </c>
    </row>
    <row r="1223" spans="1:21" x14ac:dyDescent="0.3">
      <c r="A1223" t="s">
        <v>1945</v>
      </c>
      <c r="B1223" t="s">
        <v>1946</v>
      </c>
      <c r="C1223" t="s">
        <v>133</v>
      </c>
      <c r="D1223" t="s">
        <v>222</v>
      </c>
      <c r="E1223" t="s">
        <v>30</v>
      </c>
      <c r="F1223" s="6">
        <v>45107</v>
      </c>
      <c r="G1223">
        <v>0</v>
      </c>
      <c r="H1223">
        <v>63.29</v>
      </c>
      <c r="K1223">
        <v>0</v>
      </c>
      <c r="L1223" t="s">
        <v>118</v>
      </c>
      <c r="M1223">
        <v>2023</v>
      </c>
      <c r="N1223" t="s">
        <v>44</v>
      </c>
      <c r="O1223" t="s">
        <v>33</v>
      </c>
      <c r="P1223">
        <v>0</v>
      </c>
      <c r="Q1223">
        <v>0</v>
      </c>
      <c r="R1223">
        <v>0</v>
      </c>
      <c r="S1223" t="s">
        <v>99</v>
      </c>
      <c r="T1223" t="s">
        <v>1947</v>
      </c>
      <c r="U1223">
        <v>1</v>
      </c>
    </row>
    <row r="1224" spans="1:21" x14ac:dyDescent="0.3">
      <c r="A1224" t="s">
        <v>1945</v>
      </c>
      <c r="B1224" t="s">
        <v>1946</v>
      </c>
      <c r="C1224" t="s">
        <v>133</v>
      </c>
      <c r="D1224" t="s">
        <v>222</v>
      </c>
      <c r="E1224" t="s">
        <v>30</v>
      </c>
      <c r="F1224" s="6">
        <v>45291</v>
      </c>
      <c r="G1224">
        <v>0</v>
      </c>
      <c r="H1224">
        <v>16.170000000000002</v>
      </c>
      <c r="K1224">
        <v>0</v>
      </c>
      <c r="L1224" t="s">
        <v>118</v>
      </c>
      <c r="M1224">
        <v>2023</v>
      </c>
      <c r="N1224" t="s">
        <v>57</v>
      </c>
      <c r="O1224" t="s">
        <v>47</v>
      </c>
      <c r="P1224">
        <v>0</v>
      </c>
      <c r="Q1224">
        <v>0</v>
      </c>
      <c r="R1224">
        <v>0</v>
      </c>
      <c r="S1224" t="s">
        <v>99</v>
      </c>
      <c r="T1224" t="s">
        <v>1948</v>
      </c>
      <c r="U1224">
        <v>1</v>
      </c>
    </row>
    <row r="1225" spans="1:21" x14ac:dyDescent="0.3">
      <c r="A1225" t="s">
        <v>1945</v>
      </c>
      <c r="B1225" t="s">
        <v>1946</v>
      </c>
      <c r="C1225" t="s">
        <v>133</v>
      </c>
      <c r="D1225" t="s">
        <v>222</v>
      </c>
      <c r="E1225" t="s">
        <v>30</v>
      </c>
      <c r="F1225" s="6">
        <v>45473</v>
      </c>
      <c r="G1225">
        <v>0</v>
      </c>
      <c r="H1225">
        <v>19.39</v>
      </c>
      <c r="K1225">
        <v>0</v>
      </c>
      <c r="L1225" t="s">
        <v>118</v>
      </c>
      <c r="M1225">
        <v>2024</v>
      </c>
      <c r="N1225" t="s">
        <v>44</v>
      </c>
      <c r="O1225" t="s">
        <v>71</v>
      </c>
      <c r="P1225">
        <v>1</v>
      </c>
      <c r="Q1225">
        <v>1</v>
      </c>
      <c r="R1225">
        <v>0</v>
      </c>
      <c r="S1225" t="s">
        <v>99</v>
      </c>
      <c r="T1225" t="s">
        <v>1949</v>
      </c>
      <c r="U1225">
        <v>1</v>
      </c>
    </row>
    <row r="1226" spans="1:21" x14ac:dyDescent="0.3">
      <c r="A1226" t="s">
        <v>1945</v>
      </c>
      <c r="B1226" t="s">
        <v>1946</v>
      </c>
      <c r="C1226" t="s">
        <v>133</v>
      </c>
      <c r="D1226" t="s">
        <v>222</v>
      </c>
      <c r="E1226" t="s">
        <v>30</v>
      </c>
      <c r="F1226" s="6">
        <v>45657</v>
      </c>
      <c r="K1226">
        <v>0</v>
      </c>
      <c r="L1226" t="s">
        <v>118</v>
      </c>
      <c r="M1226">
        <v>2024</v>
      </c>
      <c r="N1226" t="s">
        <v>57</v>
      </c>
      <c r="O1226" t="s">
        <v>78</v>
      </c>
      <c r="P1226">
        <v>1</v>
      </c>
      <c r="Q1226">
        <v>1</v>
      </c>
      <c r="R1226">
        <v>0</v>
      </c>
      <c r="S1226" t="s">
        <v>99</v>
      </c>
      <c r="T1226" t="s">
        <v>1950</v>
      </c>
      <c r="U1226">
        <v>1</v>
      </c>
    </row>
    <row r="1227" spans="1:21" x14ac:dyDescent="0.3">
      <c r="A1227" t="s">
        <v>1945</v>
      </c>
      <c r="B1227" t="s">
        <v>1951</v>
      </c>
      <c r="C1227" t="s">
        <v>133</v>
      </c>
      <c r="D1227" t="s">
        <v>222</v>
      </c>
      <c r="E1227" t="s">
        <v>30</v>
      </c>
      <c r="F1227" s="6">
        <v>45838</v>
      </c>
      <c r="H1227" t="s">
        <v>1952</v>
      </c>
      <c r="I1227">
        <v>0</v>
      </c>
      <c r="J1227">
        <v>0</v>
      </c>
      <c r="L1227" t="s">
        <v>1953</v>
      </c>
      <c r="M1227">
        <v>2025</v>
      </c>
      <c r="N1227" t="s">
        <v>44</v>
      </c>
      <c r="O1227" t="s">
        <v>244</v>
      </c>
      <c r="P1227">
        <v>2</v>
      </c>
      <c r="Q1227">
        <v>2</v>
      </c>
      <c r="R1227">
        <v>0</v>
      </c>
      <c r="S1227" t="s">
        <v>130</v>
      </c>
      <c r="T1227" t="s">
        <v>1954</v>
      </c>
      <c r="U1227">
        <v>30</v>
      </c>
    </row>
    <row r="1228" spans="1:21" x14ac:dyDescent="0.3">
      <c r="A1228" t="s">
        <v>1945</v>
      </c>
      <c r="B1228" t="s">
        <v>1951</v>
      </c>
      <c r="C1228" t="s">
        <v>133</v>
      </c>
      <c r="D1228" t="s">
        <v>222</v>
      </c>
      <c r="E1228" t="s">
        <v>30</v>
      </c>
      <c r="F1228" s="6">
        <v>46022</v>
      </c>
      <c r="H1228" t="s">
        <v>1955</v>
      </c>
      <c r="I1228">
        <v>0</v>
      </c>
      <c r="J1228">
        <v>0</v>
      </c>
      <c r="L1228" t="s">
        <v>1956</v>
      </c>
      <c r="M1228">
        <v>2025</v>
      </c>
      <c r="N1228" t="s">
        <v>57</v>
      </c>
      <c r="O1228" t="s">
        <v>103</v>
      </c>
      <c r="P1228">
        <v>2</v>
      </c>
      <c r="Q1228">
        <v>2</v>
      </c>
      <c r="R1228">
        <v>0</v>
      </c>
      <c r="S1228" t="s">
        <v>130</v>
      </c>
      <c r="T1228" t="s">
        <v>1957</v>
      </c>
      <c r="U1228">
        <v>31</v>
      </c>
    </row>
    <row r="1229" spans="1:21" x14ac:dyDescent="0.3">
      <c r="A1229" t="s">
        <v>1958</v>
      </c>
      <c r="B1229" t="s">
        <v>1959</v>
      </c>
      <c r="C1229" t="s">
        <v>97</v>
      </c>
      <c r="D1229" t="s">
        <v>98</v>
      </c>
      <c r="E1229" t="s">
        <v>108</v>
      </c>
      <c r="F1229" s="6">
        <v>45291</v>
      </c>
      <c r="G1229">
        <v>1E-8</v>
      </c>
      <c r="H1229">
        <v>1E-8</v>
      </c>
      <c r="I1229">
        <v>1</v>
      </c>
      <c r="J1229">
        <v>1</v>
      </c>
      <c r="K1229">
        <v>0</v>
      </c>
      <c r="L1229" t="s">
        <v>118</v>
      </c>
      <c r="M1229">
        <v>2023</v>
      </c>
      <c r="N1229" t="s">
        <v>57</v>
      </c>
      <c r="O1229" t="s">
        <v>47</v>
      </c>
      <c r="P1229">
        <v>0</v>
      </c>
      <c r="Q1229">
        <v>0</v>
      </c>
      <c r="R1229">
        <v>0</v>
      </c>
      <c r="S1229" t="s">
        <v>99</v>
      </c>
      <c r="T1229" t="s">
        <v>1960</v>
      </c>
      <c r="U1229">
        <v>1</v>
      </c>
    </row>
    <row r="1230" spans="1:21" x14ac:dyDescent="0.3">
      <c r="A1230" t="s">
        <v>1958</v>
      </c>
      <c r="B1230" t="s">
        <v>1959</v>
      </c>
      <c r="C1230" t="s">
        <v>97</v>
      </c>
      <c r="D1230" t="s">
        <v>98</v>
      </c>
      <c r="E1230" t="s">
        <v>108</v>
      </c>
      <c r="F1230" s="6">
        <v>45657</v>
      </c>
      <c r="G1230">
        <v>0</v>
      </c>
      <c r="H1230">
        <v>0</v>
      </c>
      <c r="M1230">
        <v>2024</v>
      </c>
      <c r="N1230" t="s">
        <v>57</v>
      </c>
      <c r="O1230" t="s">
        <v>78</v>
      </c>
      <c r="P1230">
        <v>0</v>
      </c>
      <c r="Q1230">
        <v>0</v>
      </c>
      <c r="R1230">
        <v>0</v>
      </c>
      <c r="S1230" t="s">
        <v>99</v>
      </c>
      <c r="T1230" t="s">
        <v>1961</v>
      </c>
      <c r="U1230">
        <v>1</v>
      </c>
    </row>
    <row r="1231" spans="1:21" x14ac:dyDescent="0.3">
      <c r="A1231" t="s">
        <v>1958</v>
      </c>
      <c r="B1231" t="s">
        <v>1959</v>
      </c>
      <c r="C1231" t="s">
        <v>97</v>
      </c>
      <c r="D1231" t="s">
        <v>98</v>
      </c>
      <c r="E1231" t="s">
        <v>108</v>
      </c>
      <c r="F1231" s="6">
        <v>46022</v>
      </c>
      <c r="G1231">
        <v>0</v>
      </c>
      <c r="H1231" t="s">
        <v>121</v>
      </c>
      <c r="I1231">
        <v>0</v>
      </c>
      <c r="J1231">
        <v>0</v>
      </c>
      <c r="K1231" t="s">
        <v>122</v>
      </c>
      <c r="L1231" t="s">
        <v>122</v>
      </c>
      <c r="M1231">
        <v>2025</v>
      </c>
      <c r="N1231" t="s">
        <v>57</v>
      </c>
      <c r="O1231" t="s">
        <v>103</v>
      </c>
      <c r="P1231">
        <v>2</v>
      </c>
      <c r="Q1231">
        <v>2</v>
      </c>
      <c r="R1231">
        <v>0</v>
      </c>
      <c r="S1231" t="s">
        <v>104</v>
      </c>
      <c r="T1231" t="s">
        <v>1962</v>
      </c>
      <c r="U1231">
        <v>31</v>
      </c>
    </row>
    <row r="1232" spans="1:21" x14ac:dyDescent="0.3">
      <c r="A1232" t="s">
        <v>1963</v>
      </c>
      <c r="B1232" t="s">
        <v>1964</v>
      </c>
      <c r="C1232" t="s">
        <v>87</v>
      </c>
      <c r="D1232" t="s">
        <v>222</v>
      </c>
      <c r="E1232" t="s">
        <v>30</v>
      </c>
      <c r="F1232" s="6">
        <v>45107</v>
      </c>
      <c r="G1232">
        <v>3</v>
      </c>
      <c r="H1232">
        <v>3</v>
      </c>
      <c r="I1232">
        <v>1</v>
      </c>
      <c r="J1232">
        <v>1</v>
      </c>
      <c r="K1232" t="s">
        <v>118</v>
      </c>
      <c r="L1232" t="s">
        <v>118</v>
      </c>
      <c r="M1232">
        <v>2023</v>
      </c>
      <c r="N1232" t="s">
        <v>44</v>
      </c>
      <c r="O1232" t="s">
        <v>33</v>
      </c>
      <c r="P1232">
        <v>0</v>
      </c>
      <c r="Q1232">
        <v>0</v>
      </c>
      <c r="R1232">
        <v>0</v>
      </c>
      <c r="S1232" t="s">
        <v>34</v>
      </c>
      <c r="T1232" t="s">
        <v>1965</v>
      </c>
      <c r="U1232">
        <v>1</v>
      </c>
    </row>
    <row r="1233" spans="1:21" x14ac:dyDescent="0.3">
      <c r="A1233" t="s">
        <v>1963</v>
      </c>
      <c r="B1233" t="s">
        <v>1964</v>
      </c>
      <c r="C1233" t="s">
        <v>87</v>
      </c>
      <c r="D1233" t="s">
        <v>222</v>
      </c>
      <c r="E1233" t="s">
        <v>30</v>
      </c>
      <c r="F1233" s="6">
        <v>45291</v>
      </c>
      <c r="G1233">
        <v>2</v>
      </c>
      <c r="H1233">
        <v>2</v>
      </c>
      <c r="I1233">
        <v>1</v>
      </c>
      <c r="J1233">
        <v>1</v>
      </c>
      <c r="K1233" t="s">
        <v>118</v>
      </c>
      <c r="L1233" t="s">
        <v>118</v>
      </c>
      <c r="M1233">
        <v>2023</v>
      </c>
      <c r="N1233" t="s">
        <v>57</v>
      </c>
      <c r="O1233" t="s">
        <v>47</v>
      </c>
      <c r="P1233">
        <v>0</v>
      </c>
      <c r="Q1233">
        <v>0</v>
      </c>
      <c r="R1233">
        <v>0</v>
      </c>
      <c r="S1233" t="s">
        <v>34</v>
      </c>
      <c r="T1233" t="s">
        <v>1966</v>
      </c>
      <c r="U1233">
        <v>1</v>
      </c>
    </row>
    <row r="1234" spans="1:21" x14ac:dyDescent="0.3">
      <c r="A1234" t="s">
        <v>1963</v>
      </c>
      <c r="B1234" t="s">
        <v>1964</v>
      </c>
      <c r="C1234" t="s">
        <v>87</v>
      </c>
      <c r="D1234" t="s">
        <v>222</v>
      </c>
      <c r="E1234" t="s">
        <v>30</v>
      </c>
      <c r="F1234" s="6">
        <v>45473</v>
      </c>
      <c r="G1234">
        <v>3</v>
      </c>
      <c r="H1234">
        <v>3</v>
      </c>
      <c r="I1234">
        <v>1</v>
      </c>
      <c r="J1234">
        <v>1</v>
      </c>
      <c r="K1234" t="s">
        <v>118</v>
      </c>
      <c r="L1234" t="s">
        <v>118</v>
      </c>
      <c r="M1234">
        <v>2024</v>
      </c>
      <c r="N1234" t="s">
        <v>44</v>
      </c>
      <c r="O1234" t="s">
        <v>71</v>
      </c>
      <c r="P1234">
        <v>0</v>
      </c>
      <c r="Q1234">
        <v>0</v>
      </c>
      <c r="R1234">
        <v>0</v>
      </c>
      <c r="S1234" t="s">
        <v>34</v>
      </c>
      <c r="T1234" t="s">
        <v>1967</v>
      </c>
      <c r="U1234">
        <v>1</v>
      </c>
    </row>
    <row r="1235" spans="1:21" x14ac:dyDescent="0.3">
      <c r="A1235" t="s">
        <v>1963</v>
      </c>
      <c r="B1235" t="s">
        <v>1964</v>
      </c>
      <c r="C1235" t="s">
        <v>87</v>
      </c>
      <c r="D1235" t="s">
        <v>222</v>
      </c>
      <c r="E1235" t="s">
        <v>30</v>
      </c>
      <c r="F1235" s="6">
        <v>45657</v>
      </c>
      <c r="G1235">
        <v>3</v>
      </c>
      <c r="H1235">
        <v>3</v>
      </c>
      <c r="I1235">
        <v>1</v>
      </c>
      <c r="J1235">
        <v>1</v>
      </c>
      <c r="K1235" t="s">
        <v>118</v>
      </c>
      <c r="L1235" t="s">
        <v>118</v>
      </c>
      <c r="M1235">
        <v>2024</v>
      </c>
      <c r="N1235" t="s">
        <v>57</v>
      </c>
      <c r="O1235" t="s">
        <v>78</v>
      </c>
      <c r="P1235">
        <v>0</v>
      </c>
      <c r="Q1235">
        <v>0</v>
      </c>
      <c r="R1235">
        <v>0</v>
      </c>
      <c r="S1235" t="s">
        <v>34</v>
      </c>
      <c r="T1235" t="s">
        <v>1968</v>
      </c>
      <c r="U1235">
        <v>1</v>
      </c>
    </row>
    <row r="1236" spans="1:21" x14ac:dyDescent="0.3">
      <c r="A1236" t="s">
        <v>1963</v>
      </c>
      <c r="B1236" t="s">
        <v>1964</v>
      </c>
      <c r="C1236" t="s">
        <v>87</v>
      </c>
      <c r="D1236" t="s">
        <v>222</v>
      </c>
      <c r="E1236" t="s">
        <v>30</v>
      </c>
      <c r="F1236" s="6">
        <v>45838</v>
      </c>
      <c r="G1236">
        <v>100</v>
      </c>
      <c r="H1236" t="s">
        <v>826</v>
      </c>
      <c r="I1236">
        <v>1.3</v>
      </c>
      <c r="J1236">
        <v>1.5</v>
      </c>
      <c r="K1236" t="s">
        <v>102</v>
      </c>
      <c r="L1236" t="s">
        <v>1969</v>
      </c>
      <c r="M1236">
        <v>2025</v>
      </c>
      <c r="N1236" t="s">
        <v>44</v>
      </c>
      <c r="O1236" t="s">
        <v>244</v>
      </c>
      <c r="P1236">
        <v>2</v>
      </c>
      <c r="Q1236">
        <v>2</v>
      </c>
      <c r="R1236">
        <v>0</v>
      </c>
      <c r="S1236" t="s">
        <v>34</v>
      </c>
      <c r="T1236" t="s">
        <v>1970</v>
      </c>
      <c r="U1236">
        <v>30</v>
      </c>
    </row>
    <row r="1237" spans="1:21" x14ac:dyDescent="0.3">
      <c r="A1237" t="s">
        <v>1963</v>
      </c>
      <c r="B1237" t="s">
        <v>1964</v>
      </c>
      <c r="C1237" t="s">
        <v>87</v>
      </c>
      <c r="D1237" t="s">
        <v>222</v>
      </c>
      <c r="E1237" t="s">
        <v>30</v>
      </c>
      <c r="F1237" s="6">
        <v>46022</v>
      </c>
      <c r="G1237">
        <v>100</v>
      </c>
      <c r="H1237" t="s">
        <v>95</v>
      </c>
      <c r="I1237">
        <v>1</v>
      </c>
      <c r="J1237">
        <v>1</v>
      </c>
      <c r="K1237" t="s">
        <v>102</v>
      </c>
      <c r="L1237" t="s">
        <v>102</v>
      </c>
      <c r="M1237">
        <v>2025</v>
      </c>
      <c r="N1237" t="s">
        <v>57</v>
      </c>
      <c r="O1237" t="s">
        <v>103</v>
      </c>
      <c r="P1237">
        <v>2</v>
      </c>
      <c r="Q1237">
        <v>2</v>
      </c>
      <c r="R1237">
        <v>0</v>
      </c>
      <c r="S1237" t="s">
        <v>34</v>
      </c>
      <c r="T1237" t="s">
        <v>1971</v>
      </c>
      <c r="U1237">
        <v>31</v>
      </c>
    </row>
    <row r="1238" spans="1:21" x14ac:dyDescent="0.3">
      <c r="A1238" t="s">
        <v>1972</v>
      </c>
      <c r="B1238" t="s">
        <v>1973</v>
      </c>
      <c r="C1238" t="s">
        <v>1832</v>
      </c>
      <c r="D1238" t="s">
        <v>222</v>
      </c>
      <c r="E1238" t="s">
        <v>30</v>
      </c>
      <c r="F1238" s="6">
        <v>44742</v>
      </c>
      <c r="G1238">
        <v>39623</v>
      </c>
      <c r="H1238">
        <v>40000</v>
      </c>
      <c r="I1238">
        <v>1.0095146758196001</v>
      </c>
      <c r="J1238">
        <v>1.0095146758196001</v>
      </c>
      <c r="K1238" t="s">
        <v>118</v>
      </c>
      <c r="L1238" t="s">
        <v>118</v>
      </c>
      <c r="M1238">
        <v>2022</v>
      </c>
      <c r="N1238" t="s">
        <v>44</v>
      </c>
      <c r="O1238" t="s">
        <v>88</v>
      </c>
      <c r="P1238">
        <v>0</v>
      </c>
      <c r="Q1238">
        <v>0</v>
      </c>
      <c r="R1238">
        <v>1</v>
      </c>
      <c r="S1238" t="s">
        <v>718</v>
      </c>
      <c r="T1238" t="s">
        <v>1974</v>
      </c>
      <c r="U1238">
        <v>1</v>
      </c>
    </row>
    <row r="1239" spans="1:21" x14ac:dyDescent="0.3">
      <c r="A1239" t="s">
        <v>1972</v>
      </c>
      <c r="B1239" t="s">
        <v>1973</v>
      </c>
      <c r="C1239" t="s">
        <v>1832</v>
      </c>
      <c r="D1239" t="s">
        <v>222</v>
      </c>
      <c r="E1239" t="s">
        <v>30</v>
      </c>
      <c r="F1239" s="6">
        <v>44926</v>
      </c>
      <c r="G1239">
        <v>39817</v>
      </c>
      <c r="H1239">
        <v>40663</v>
      </c>
      <c r="I1239">
        <v>1.0212472059672999</v>
      </c>
      <c r="J1239">
        <v>1.0212472059672999</v>
      </c>
      <c r="K1239" t="s">
        <v>118</v>
      </c>
      <c r="L1239" t="s">
        <v>118</v>
      </c>
      <c r="M1239">
        <v>2022</v>
      </c>
      <c r="N1239" t="s">
        <v>57</v>
      </c>
      <c r="O1239" t="s">
        <v>90</v>
      </c>
      <c r="P1239">
        <v>0</v>
      </c>
      <c r="Q1239">
        <v>0</v>
      </c>
      <c r="R1239">
        <v>1</v>
      </c>
      <c r="S1239" t="s">
        <v>718</v>
      </c>
      <c r="T1239" t="s">
        <v>1975</v>
      </c>
      <c r="U1239">
        <v>1</v>
      </c>
    </row>
    <row r="1240" spans="1:21" x14ac:dyDescent="0.3">
      <c r="A1240" t="s">
        <v>1972</v>
      </c>
      <c r="B1240" t="s">
        <v>1973</v>
      </c>
      <c r="C1240" t="s">
        <v>1832</v>
      </c>
      <c r="D1240" t="s">
        <v>222</v>
      </c>
      <c r="E1240" t="s">
        <v>30</v>
      </c>
      <c r="F1240" s="6">
        <v>45107</v>
      </c>
      <c r="G1240">
        <v>40047</v>
      </c>
      <c r="H1240">
        <v>39091</v>
      </c>
      <c r="I1240">
        <v>0.97612804954178845</v>
      </c>
      <c r="J1240">
        <v>0.97612804954178845</v>
      </c>
      <c r="K1240" t="s">
        <v>118</v>
      </c>
      <c r="L1240" t="s">
        <v>118</v>
      </c>
      <c r="M1240">
        <v>2023</v>
      </c>
      <c r="N1240" t="s">
        <v>44</v>
      </c>
      <c r="O1240" t="s">
        <v>33</v>
      </c>
      <c r="P1240">
        <v>0</v>
      </c>
      <c r="Q1240">
        <v>0</v>
      </c>
      <c r="R1240">
        <v>1</v>
      </c>
      <c r="S1240" t="s">
        <v>718</v>
      </c>
      <c r="T1240" t="s">
        <v>1976</v>
      </c>
      <c r="U1240">
        <v>1</v>
      </c>
    </row>
    <row r="1241" spans="1:21" x14ac:dyDescent="0.3">
      <c r="A1241" t="s">
        <v>1972</v>
      </c>
      <c r="B1241" t="s">
        <v>1973</v>
      </c>
      <c r="C1241" t="s">
        <v>1832</v>
      </c>
      <c r="D1241" t="s">
        <v>222</v>
      </c>
      <c r="E1241" t="s">
        <v>30</v>
      </c>
      <c r="F1241" s="6">
        <v>45291</v>
      </c>
      <c r="G1241">
        <v>42012</v>
      </c>
      <c r="H1241">
        <v>40771</v>
      </c>
      <c r="I1241">
        <v>0.97046082071789008</v>
      </c>
      <c r="J1241">
        <v>0.97046082071789008</v>
      </c>
      <c r="K1241" t="s">
        <v>118</v>
      </c>
      <c r="L1241" t="s">
        <v>118</v>
      </c>
      <c r="M1241">
        <v>2023</v>
      </c>
      <c r="N1241" t="s">
        <v>57</v>
      </c>
      <c r="O1241" t="s">
        <v>47</v>
      </c>
      <c r="P1241">
        <v>0</v>
      </c>
      <c r="Q1241">
        <v>0</v>
      </c>
      <c r="R1241">
        <v>1</v>
      </c>
      <c r="S1241" t="s">
        <v>718</v>
      </c>
      <c r="T1241" t="s">
        <v>1977</v>
      </c>
      <c r="U1241">
        <v>1</v>
      </c>
    </row>
    <row r="1242" spans="1:21" x14ac:dyDescent="0.3">
      <c r="A1242" t="s">
        <v>1972</v>
      </c>
      <c r="B1242" t="s">
        <v>1973</v>
      </c>
      <c r="C1242" t="s">
        <v>1832</v>
      </c>
      <c r="D1242" t="s">
        <v>222</v>
      </c>
      <c r="E1242" t="s">
        <v>30</v>
      </c>
      <c r="F1242" s="6">
        <v>45473</v>
      </c>
      <c r="G1242">
        <v>38813</v>
      </c>
      <c r="H1242">
        <v>39598</v>
      </c>
      <c r="I1242">
        <v>1.020225182284286</v>
      </c>
      <c r="J1242">
        <v>1.020225182284286</v>
      </c>
      <c r="K1242" t="s">
        <v>118</v>
      </c>
      <c r="L1242" t="s">
        <v>118</v>
      </c>
      <c r="M1242">
        <v>2024</v>
      </c>
      <c r="N1242" t="s">
        <v>44</v>
      </c>
      <c r="O1242" t="s">
        <v>71</v>
      </c>
      <c r="P1242">
        <v>0</v>
      </c>
      <c r="Q1242">
        <v>0</v>
      </c>
      <c r="R1242">
        <v>1</v>
      </c>
      <c r="S1242" t="s">
        <v>718</v>
      </c>
      <c r="T1242" t="s">
        <v>1978</v>
      </c>
      <c r="U1242">
        <v>1</v>
      </c>
    </row>
    <row r="1243" spans="1:21" x14ac:dyDescent="0.3">
      <c r="A1243" t="s">
        <v>1972</v>
      </c>
      <c r="B1243" t="s">
        <v>1973</v>
      </c>
      <c r="C1243" t="s">
        <v>1832</v>
      </c>
      <c r="D1243" t="s">
        <v>222</v>
      </c>
      <c r="E1243" t="s">
        <v>30</v>
      </c>
      <c r="F1243" s="6">
        <v>45657</v>
      </c>
      <c r="G1243">
        <v>40441</v>
      </c>
      <c r="H1243">
        <v>41436</v>
      </c>
      <c r="I1243">
        <v>1.024603743725427</v>
      </c>
      <c r="J1243">
        <v>1.024603743725427</v>
      </c>
      <c r="K1243" t="s">
        <v>118</v>
      </c>
      <c r="L1243" t="s">
        <v>118</v>
      </c>
      <c r="M1243">
        <v>2024</v>
      </c>
      <c r="N1243" t="s">
        <v>57</v>
      </c>
      <c r="O1243" t="s">
        <v>78</v>
      </c>
      <c r="P1243">
        <v>0</v>
      </c>
      <c r="Q1243">
        <v>0</v>
      </c>
      <c r="R1243">
        <v>1</v>
      </c>
      <c r="S1243" t="s">
        <v>718</v>
      </c>
      <c r="T1243" t="s">
        <v>1979</v>
      </c>
      <c r="U1243">
        <v>1</v>
      </c>
    </row>
    <row r="1244" spans="1:21" x14ac:dyDescent="0.3">
      <c r="A1244" t="s">
        <v>1972</v>
      </c>
      <c r="B1244" t="s">
        <v>1973</v>
      </c>
      <c r="C1244" t="s">
        <v>1832</v>
      </c>
      <c r="D1244" t="s">
        <v>222</v>
      </c>
      <c r="E1244" t="s">
        <v>30</v>
      </c>
      <c r="F1244" s="6">
        <v>45838</v>
      </c>
      <c r="G1244">
        <v>100</v>
      </c>
      <c r="H1244" t="s">
        <v>1980</v>
      </c>
      <c r="I1244">
        <v>1.0580000000000001</v>
      </c>
      <c r="J1244">
        <v>1.0580000000000001</v>
      </c>
      <c r="K1244" t="s">
        <v>102</v>
      </c>
      <c r="L1244" t="s">
        <v>1981</v>
      </c>
      <c r="M1244">
        <v>2025</v>
      </c>
      <c r="N1244" t="s">
        <v>44</v>
      </c>
      <c r="O1244" t="s">
        <v>244</v>
      </c>
      <c r="P1244">
        <v>2</v>
      </c>
      <c r="Q1244">
        <v>2</v>
      </c>
      <c r="R1244">
        <v>1</v>
      </c>
      <c r="S1244" t="s">
        <v>718</v>
      </c>
      <c r="T1244" t="s">
        <v>1982</v>
      </c>
      <c r="U1244">
        <v>30</v>
      </c>
    </row>
    <row r="1245" spans="1:21" x14ac:dyDescent="0.3">
      <c r="A1245" t="s">
        <v>1972</v>
      </c>
      <c r="B1245" t="s">
        <v>1973</v>
      </c>
      <c r="C1245" t="s">
        <v>1832</v>
      </c>
      <c r="D1245" t="s">
        <v>222</v>
      </c>
      <c r="E1245" t="s">
        <v>30</v>
      </c>
      <c r="F1245" s="6">
        <v>46022</v>
      </c>
      <c r="G1245">
        <v>100</v>
      </c>
      <c r="H1245" t="s">
        <v>1983</v>
      </c>
      <c r="I1245">
        <v>1.0203</v>
      </c>
      <c r="J1245">
        <v>1.0203</v>
      </c>
      <c r="K1245" t="s">
        <v>102</v>
      </c>
      <c r="L1245" t="s">
        <v>1984</v>
      </c>
      <c r="M1245">
        <v>2025</v>
      </c>
      <c r="N1245" t="s">
        <v>57</v>
      </c>
      <c r="O1245" t="s">
        <v>103</v>
      </c>
      <c r="P1245">
        <v>2</v>
      </c>
      <c r="Q1245">
        <v>2</v>
      </c>
      <c r="R1245">
        <v>1</v>
      </c>
      <c r="S1245" t="s">
        <v>718</v>
      </c>
      <c r="T1245" t="s">
        <v>1985</v>
      </c>
      <c r="U1245">
        <v>31</v>
      </c>
    </row>
    <row r="1246" spans="1:21" x14ac:dyDescent="0.3">
      <c r="A1246" t="s">
        <v>1986</v>
      </c>
      <c r="B1246" t="s">
        <v>1987</v>
      </c>
      <c r="C1246" t="s">
        <v>1988</v>
      </c>
      <c r="D1246" t="s">
        <v>222</v>
      </c>
      <c r="E1246" t="s">
        <v>30</v>
      </c>
      <c r="F1246" s="6">
        <v>45473</v>
      </c>
      <c r="G1246">
        <v>80</v>
      </c>
      <c r="H1246">
        <v>83</v>
      </c>
      <c r="I1246">
        <v>1.0375000000000001</v>
      </c>
      <c r="J1246">
        <v>1.0375000000000001</v>
      </c>
      <c r="K1246" t="s">
        <v>31</v>
      </c>
      <c r="L1246" t="s">
        <v>31</v>
      </c>
      <c r="M1246">
        <v>2024</v>
      </c>
      <c r="N1246" t="s">
        <v>44</v>
      </c>
      <c r="O1246" t="s">
        <v>71</v>
      </c>
      <c r="P1246">
        <v>0</v>
      </c>
      <c r="Q1246">
        <v>0</v>
      </c>
      <c r="R1246">
        <v>0</v>
      </c>
      <c r="S1246" t="s">
        <v>130</v>
      </c>
      <c r="T1246" t="s">
        <v>1989</v>
      </c>
      <c r="U1246">
        <v>1</v>
      </c>
    </row>
    <row r="1247" spans="1:21" x14ac:dyDescent="0.3">
      <c r="A1247" t="s">
        <v>1986</v>
      </c>
      <c r="B1247" t="s">
        <v>1987</v>
      </c>
      <c r="C1247" t="s">
        <v>1988</v>
      </c>
      <c r="D1247" t="s">
        <v>222</v>
      </c>
      <c r="E1247" t="s">
        <v>30</v>
      </c>
      <c r="F1247" s="6">
        <v>45657</v>
      </c>
      <c r="G1247">
        <v>80</v>
      </c>
      <c r="H1247">
        <v>87.67</v>
      </c>
      <c r="I1247">
        <v>1.0958749999999999</v>
      </c>
      <c r="J1247">
        <v>1.0958749999999999</v>
      </c>
      <c r="K1247" t="s">
        <v>31</v>
      </c>
      <c r="L1247" t="s">
        <v>31</v>
      </c>
      <c r="M1247">
        <v>2024</v>
      </c>
      <c r="N1247" t="s">
        <v>57</v>
      </c>
      <c r="O1247" t="s">
        <v>78</v>
      </c>
      <c r="P1247">
        <v>0</v>
      </c>
      <c r="Q1247">
        <v>0</v>
      </c>
      <c r="R1247">
        <v>0</v>
      </c>
      <c r="S1247" t="s">
        <v>130</v>
      </c>
      <c r="T1247" t="s">
        <v>1990</v>
      </c>
      <c r="U1247">
        <v>1</v>
      </c>
    </row>
    <row r="1248" spans="1:21" x14ac:dyDescent="0.3">
      <c r="A1248" t="s">
        <v>1986</v>
      </c>
      <c r="B1248" t="s">
        <v>1987</v>
      </c>
      <c r="C1248" t="s">
        <v>1988</v>
      </c>
      <c r="D1248" t="s">
        <v>222</v>
      </c>
      <c r="E1248" t="s">
        <v>30</v>
      </c>
      <c r="F1248" s="6">
        <v>45838</v>
      </c>
      <c r="G1248">
        <v>80</v>
      </c>
      <c r="H1248" t="s">
        <v>255</v>
      </c>
      <c r="I1248">
        <v>1.125</v>
      </c>
      <c r="J1248">
        <v>1.125</v>
      </c>
      <c r="K1248" t="s">
        <v>193</v>
      </c>
      <c r="L1248" t="s">
        <v>256</v>
      </c>
      <c r="M1248">
        <v>2025</v>
      </c>
      <c r="N1248" t="s">
        <v>44</v>
      </c>
      <c r="O1248" t="s">
        <v>244</v>
      </c>
      <c r="P1248">
        <v>2</v>
      </c>
      <c r="Q1248">
        <v>2</v>
      </c>
      <c r="R1248">
        <v>0</v>
      </c>
      <c r="S1248" t="s">
        <v>130</v>
      </c>
      <c r="T1248" t="s">
        <v>1991</v>
      </c>
      <c r="U1248">
        <v>30</v>
      </c>
    </row>
    <row r="1249" spans="1:21" x14ac:dyDescent="0.3">
      <c r="A1249" t="s">
        <v>1986</v>
      </c>
      <c r="B1249" t="s">
        <v>1987</v>
      </c>
      <c r="C1249" t="s">
        <v>1988</v>
      </c>
      <c r="D1249" t="s">
        <v>222</v>
      </c>
      <c r="E1249" t="s">
        <v>30</v>
      </c>
      <c r="F1249" s="6">
        <v>46022</v>
      </c>
      <c r="G1249">
        <v>80</v>
      </c>
      <c r="H1249" t="s">
        <v>1992</v>
      </c>
      <c r="I1249">
        <v>1.145875</v>
      </c>
      <c r="J1249">
        <v>1.145875</v>
      </c>
      <c r="K1249" t="s">
        <v>193</v>
      </c>
      <c r="L1249" t="s">
        <v>1993</v>
      </c>
      <c r="M1249">
        <v>2025</v>
      </c>
      <c r="N1249" t="s">
        <v>57</v>
      </c>
      <c r="O1249" t="s">
        <v>103</v>
      </c>
      <c r="P1249">
        <v>2</v>
      </c>
      <c r="Q1249">
        <v>2</v>
      </c>
      <c r="R1249">
        <v>0</v>
      </c>
      <c r="S1249" t="s">
        <v>130</v>
      </c>
      <c r="T1249" t="s">
        <v>1994</v>
      </c>
      <c r="U1249">
        <v>31</v>
      </c>
    </row>
    <row r="1250" spans="1:21" x14ac:dyDescent="0.3">
      <c r="A1250" t="s">
        <v>1995</v>
      </c>
      <c r="B1250" t="s">
        <v>1996</v>
      </c>
      <c r="C1250" t="s">
        <v>1997</v>
      </c>
      <c r="D1250" t="s">
        <v>222</v>
      </c>
      <c r="E1250" t="s">
        <v>108</v>
      </c>
      <c r="F1250" s="6">
        <v>44742</v>
      </c>
      <c r="G1250">
        <v>93</v>
      </c>
      <c r="H1250">
        <v>106</v>
      </c>
      <c r="I1250">
        <v>0.87735849056603776</v>
      </c>
      <c r="J1250">
        <v>0.87735849056603776</v>
      </c>
      <c r="M1250">
        <v>2022</v>
      </c>
      <c r="N1250" t="s">
        <v>44</v>
      </c>
      <c r="O1250" t="s">
        <v>88</v>
      </c>
      <c r="P1250">
        <v>0</v>
      </c>
      <c r="Q1250">
        <v>0</v>
      </c>
      <c r="R1250">
        <v>0</v>
      </c>
      <c r="S1250" t="s">
        <v>130</v>
      </c>
      <c r="T1250" t="s">
        <v>1998</v>
      </c>
      <c r="U1250">
        <v>1</v>
      </c>
    </row>
    <row r="1251" spans="1:21" x14ac:dyDescent="0.3">
      <c r="A1251" t="s">
        <v>1995</v>
      </c>
      <c r="B1251" t="s">
        <v>1996</v>
      </c>
      <c r="C1251" t="s">
        <v>1997</v>
      </c>
      <c r="D1251" t="s">
        <v>222</v>
      </c>
      <c r="E1251" t="s">
        <v>108</v>
      </c>
      <c r="F1251" s="6">
        <v>44926</v>
      </c>
      <c r="G1251">
        <v>88</v>
      </c>
      <c r="H1251">
        <v>88</v>
      </c>
      <c r="I1251">
        <v>1</v>
      </c>
      <c r="J1251">
        <v>1</v>
      </c>
      <c r="M1251">
        <v>2022</v>
      </c>
      <c r="N1251" t="s">
        <v>57</v>
      </c>
      <c r="O1251" t="s">
        <v>90</v>
      </c>
      <c r="P1251">
        <v>0</v>
      </c>
      <c r="Q1251">
        <v>0</v>
      </c>
      <c r="R1251">
        <v>0</v>
      </c>
      <c r="S1251" t="s">
        <v>130</v>
      </c>
      <c r="T1251" t="s">
        <v>1999</v>
      </c>
      <c r="U1251">
        <v>1</v>
      </c>
    </row>
    <row r="1252" spans="1:21" x14ac:dyDescent="0.3">
      <c r="A1252" t="s">
        <v>1995</v>
      </c>
      <c r="B1252" t="s">
        <v>1996</v>
      </c>
      <c r="C1252" t="s">
        <v>1997</v>
      </c>
      <c r="D1252" t="s">
        <v>222</v>
      </c>
      <c r="E1252" t="s">
        <v>108</v>
      </c>
      <c r="F1252" s="6">
        <v>45107</v>
      </c>
      <c r="G1252">
        <v>85</v>
      </c>
      <c r="H1252">
        <v>89.99</v>
      </c>
      <c r="I1252">
        <v>0.94454939437715302</v>
      </c>
      <c r="J1252">
        <v>0.94454939437715302</v>
      </c>
      <c r="M1252">
        <v>2023</v>
      </c>
      <c r="N1252" t="s">
        <v>44</v>
      </c>
      <c r="O1252" t="s">
        <v>33</v>
      </c>
      <c r="P1252">
        <v>0</v>
      </c>
      <c r="Q1252">
        <v>0</v>
      </c>
      <c r="R1252">
        <v>1</v>
      </c>
      <c r="S1252" t="s">
        <v>34</v>
      </c>
      <c r="T1252" t="s">
        <v>2000</v>
      </c>
      <c r="U1252">
        <v>1</v>
      </c>
    </row>
    <row r="1253" spans="1:21" x14ac:dyDescent="0.3">
      <c r="A1253" t="s">
        <v>1995</v>
      </c>
      <c r="B1253" t="s">
        <v>1996</v>
      </c>
      <c r="C1253" t="s">
        <v>1997</v>
      </c>
      <c r="D1253" t="s">
        <v>222</v>
      </c>
      <c r="E1253" t="s">
        <v>108</v>
      </c>
      <c r="F1253" s="6">
        <v>45291</v>
      </c>
      <c r="G1253">
        <v>85</v>
      </c>
      <c r="H1253">
        <v>84.5</v>
      </c>
      <c r="I1253">
        <v>1.0059171597633141</v>
      </c>
      <c r="J1253">
        <v>1.0059171597633141</v>
      </c>
      <c r="M1253">
        <v>2023</v>
      </c>
      <c r="N1253" t="s">
        <v>57</v>
      </c>
      <c r="O1253" t="s">
        <v>47</v>
      </c>
      <c r="P1253">
        <v>1</v>
      </c>
      <c r="Q1253">
        <v>1</v>
      </c>
      <c r="R1253">
        <v>1</v>
      </c>
      <c r="S1253" t="s">
        <v>34</v>
      </c>
      <c r="T1253" t="s">
        <v>2001</v>
      </c>
      <c r="U1253">
        <v>1</v>
      </c>
    </row>
    <row r="1254" spans="1:21" x14ac:dyDescent="0.3">
      <c r="A1254" t="s">
        <v>1995</v>
      </c>
      <c r="B1254" t="s">
        <v>1996</v>
      </c>
      <c r="C1254" t="s">
        <v>1997</v>
      </c>
      <c r="D1254" t="s">
        <v>222</v>
      </c>
      <c r="E1254" t="s">
        <v>108</v>
      </c>
      <c r="F1254" s="6">
        <v>45473</v>
      </c>
      <c r="G1254">
        <v>75</v>
      </c>
      <c r="H1254">
        <v>83.65</v>
      </c>
      <c r="I1254">
        <v>0.89659294680215174</v>
      </c>
      <c r="J1254">
        <v>0.89659294680215174</v>
      </c>
      <c r="K1254" t="s">
        <v>109</v>
      </c>
      <c r="L1254" t="s">
        <v>109</v>
      </c>
      <c r="M1254">
        <v>2024</v>
      </c>
      <c r="N1254" t="s">
        <v>44</v>
      </c>
      <c r="O1254" t="s">
        <v>71</v>
      </c>
      <c r="P1254">
        <v>0</v>
      </c>
      <c r="Q1254">
        <v>0</v>
      </c>
      <c r="R1254">
        <v>1</v>
      </c>
      <c r="S1254" t="s">
        <v>34</v>
      </c>
      <c r="T1254" t="s">
        <v>2002</v>
      </c>
      <c r="U1254">
        <v>1</v>
      </c>
    </row>
    <row r="1255" spans="1:21" x14ac:dyDescent="0.3">
      <c r="A1255" t="s">
        <v>1995</v>
      </c>
      <c r="B1255" t="s">
        <v>1996</v>
      </c>
      <c r="C1255" t="s">
        <v>1997</v>
      </c>
      <c r="D1255" t="s">
        <v>222</v>
      </c>
      <c r="E1255" t="s">
        <v>108</v>
      </c>
      <c r="F1255" s="6">
        <v>45657</v>
      </c>
      <c r="G1255">
        <v>75</v>
      </c>
      <c r="H1255">
        <v>82.68</v>
      </c>
      <c r="I1255">
        <v>1.1024</v>
      </c>
      <c r="J1255">
        <v>1.1024</v>
      </c>
      <c r="K1255" t="s">
        <v>109</v>
      </c>
      <c r="L1255" t="s">
        <v>109</v>
      </c>
      <c r="M1255">
        <v>2024</v>
      </c>
      <c r="N1255" t="s">
        <v>57</v>
      </c>
      <c r="O1255" t="s">
        <v>78</v>
      </c>
      <c r="P1255">
        <v>0</v>
      </c>
      <c r="Q1255">
        <v>0</v>
      </c>
      <c r="R1255">
        <v>0</v>
      </c>
      <c r="S1255" t="s">
        <v>34</v>
      </c>
      <c r="T1255" t="s">
        <v>2003</v>
      </c>
      <c r="U1255">
        <v>1</v>
      </c>
    </row>
    <row r="1256" spans="1:21" x14ac:dyDescent="0.3">
      <c r="A1256" t="s">
        <v>1995</v>
      </c>
      <c r="B1256" t="s">
        <v>1996</v>
      </c>
      <c r="C1256" t="s">
        <v>1997</v>
      </c>
      <c r="D1256" t="s">
        <v>222</v>
      </c>
      <c r="E1256" t="s">
        <v>108</v>
      </c>
      <c r="F1256" s="6">
        <v>45838</v>
      </c>
      <c r="G1256">
        <v>81</v>
      </c>
      <c r="H1256" t="s">
        <v>2004</v>
      </c>
      <c r="I1256">
        <v>0.96222380612972191</v>
      </c>
      <c r="J1256">
        <v>0.96222380612972191</v>
      </c>
      <c r="K1256" t="s">
        <v>1054</v>
      </c>
      <c r="L1256" t="s">
        <v>2005</v>
      </c>
      <c r="M1256">
        <v>2025</v>
      </c>
      <c r="N1256" t="s">
        <v>44</v>
      </c>
      <c r="O1256" t="s">
        <v>244</v>
      </c>
      <c r="P1256">
        <v>2</v>
      </c>
      <c r="Q1256">
        <v>2</v>
      </c>
      <c r="R1256">
        <v>1</v>
      </c>
      <c r="S1256" t="s">
        <v>34</v>
      </c>
      <c r="T1256" t="s">
        <v>2006</v>
      </c>
      <c r="U1256">
        <v>30</v>
      </c>
    </row>
    <row r="1257" spans="1:21" x14ac:dyDescent="0.3">
      <c r="A1257" t="s">
        <v>1995</v>
      </c>
      <c r="B1257" t="s">
        <v>1996</v>
      </c>
      <c r="C1257" t="s">
        <v>1997</v>
      </c>
      <c r="D1257" t="s">
        <v>222</v>
      </c>
      <c r="E1257" t="s">
        <v>108</v>
      </c>
      <c r="F1257" s="6">
        <v>46022</v>
      </c>
      <c r="G1257">
        <v>81</v>
      </c>
      <c r="H1257" t="s">
        <v>2007</v>
      </c>
      <c r="I1257">
        <v>0.97814273638449456</v>
      </c>
      <c r="J1257">
        <v>0.97814273638449456</v>
      </c>
      <c r="K1257" t="s">
        <v>1054</v>
      </c>
      <c r="L1257" t="s">
        <v>2008</v>
      </c>
      <c r="M1257">
        <v>2025</v>
      </c>
      <c r="N1257" t="s">
        <v>57</v>
      </c>
      <c r="O1257" t="s">
        <v>103</v>
      </c>
      <c r="P1257">
        <v>2</v>
      </c>
      <c r="Q1257">
        <v>2</v>
      </c>
      <c r="R1257">
        <v>1</v>
      </c>
      <c r="S1257" t="s">
        <v>34</v>
      </c>
      <c r="T1257" t="s">
        <v>2009</v>
      </c>
      <c r="U1257">
        <v>31</v>
      </c>
    </row>
    <row r="1258" spans="1:21" x14ac:dyDescent="0.3">
      <c r="A1258" t="s">
        <v>2010</v>
      </c>
      <c r="B1258" t="s">
        <v>2011</v>
      </c>
      <c r="C1258" t="s">
        <v>1997</v>
      </c>
      <c r="D1258" t="s">
        <v>222</v>
      </c>
      <c r="E1258" t="s">
        <v>108</v>
      </c>
      <c r="F1258" s="6">
        <v>45107</v>
      </c>
      <c r="G1258">
        <v>85</v>
      </c>
      <c r="H1258">
        <v>76.48</v>
      </c>
      <c r="I1258">
        <v>1.1114016736401671</v>
      </c>
      <c r="J1258">
        <v>1.1114016736401671</v>
      </c>
      <c r="K1258" t="s">
        <v>109</v>
      </c>
      <c r="L1258" t="s">
        <v>109</v>
      </c>
      <c r="M1258">
        <v>2023</v>
      </c>
      <c r="N1258" t="s">
        <v>44</v>
      </c>
      <c r="O1258" t="s">
        <v>33</v>
      </c>
      <c r="P1258">
        <v>0</v>
      </c>
      <c r="Q1258">
        <v>0</v>
      </c>
      <c r="R1258">
        <v>0</v>
      </c>
      <c r="S1258" t="s">
        <v>34</v>
      </c>
      <c r="T1258" t="s">
        <v>2012</v>
      </c>
      <c r="U1258">
        <v>1</v>
      </c>
    </row>
    <row r="1259" spans="1:21" x14ac:dyDescent="0.3">
      <c r="A1259" t="s">
        <v>2010</v>
      </c>
      <c r="B1259" t="s">
        <v>2011</v>
      </c>
      <c r="C1259" t="s">
        <v>1997</v>
      </c>
      <c r="D1259" t="s">
        <v>222</v>
      </c>
      <c r="E1259" t="s">
        <v>108</v>
      </c>
      <c r="F1259" s="6">
        <v>45291</v>
      </c>
      <c r="G1259">
        <v>85</v>
      </c>
      <c r="H1259">
        <v>73.290000000000006</v>
      </c>
      <c r="I1259">
        <v>1.1597762314094691</v>
      </c>
      <c r="J1259">
        <v>1.1597762314094691</v>
      </c>
      <c r="K1259" t="s">
        <v>109</v>
      </c>
      <c r="L1259" t="s">
        <v>109</v>
      </c>
      <c r="M1259">
        <v>2023</v>
      </c>
      <c r="N1259" t="s">
        <v>57</v>
      </c>
      <c r="O1259" t="s">
        <v>47</v>
      </c>
      <c r="P1259">
        <v>0</v>
      </c>
      <c r="Q1259">
        <v>0</v>
      </c>
      <c r="R1259">
        <v>0</v>
      </c>
      <c r="S1259" t="s">
        <v>34</v>
      </c>
      <c r="T1259" t="s">
        <v>2013</v>
      </c>
      <c r="U1259">
        <v>1</v>
      </c>
    </row>
    <row r="1260" spans="1:21" x14ac:dyDescent="0.3">
      <c r="A1260" t="s">
        <v>2010</v>
      </c>
      <c r="B1260" t="s">
        <v>2011</v>
      </c>
      <c r="C1260" t="s">
        <v>1997</v>
      </c>
      <c r="D1260" t="s">
        <v>222</v>
      </c>
      <c r="E1260" t="s">
        <v>108</v>
      </c>
      <c r="F1260" s="6">
        <v>45473</v>
      </c>
      <c r="G1260">
        <v>73</v>
      </c>
      <c r="H1260">
        <v>71.180000000000007</v>
      </c>
      <c r="I1260">
        <v>1.0255689800505761</v>
      </c>
      <c r="J1260">
        <v>1.0255689800505761</v>
      </c>
      <c r="K1260" t="s">
        <v>109</v>
      </c>
      <c r="L1260" t="s">
        <v>109</v>
      </c>
      <c r="M1260">
        <v>2024</v>
      </c>
      <c r="N1260" t="s">
        <v>44</v>
      </c>
      <c r="O1260" t="s">
        <v>71</v>
      </c>
      <c r="P1260">
        <v>0</v>
      </c>
      <c r="Q1260">
        <v>0</v>
      </c>
      <c r="R1260">
        <v>0</v>
      </c>
      <c r="S1260" t="s">
        <v>34</v>
      </c>
      <c r="T1260" t="s">
        <v>2014</v>
      </c>
      <c r="U1260">
        <v>1</v>
      </c>
    </row>
    <row r="1261" spans="1:21" x14ac:dyDescent="0.3">
      <c r="A1261" t="s">
        <v>2010</v>
      </c>
      <c r="B1261" t="s">
        <v>2011</v>
      </c>
      <c r="C1261" t="s">
        <v>1997</v>
      </c>
      <c r="D1261" t="s">
        <v>222</v>
      </c>
      <c r="E1261" t="s">
        <v>108</v>
      </c>
      <c r="F1261" s="6">
        <v>45657</v>
      </c>
      <c r="G1261">
        <v>73</v>
      </c>
      <c r="H1261">
        <v>71.239999999999995</v>
      </c>
      <c r="I1261">
        <v>1.0247052217855139</v>
      </c>
      <c r="J1261">
        <v>1.0247052217855139</v>
      </c>
      <c r="K1261" t="s">
        <v>109</v>
      </c>
      <c r="L1261" t="s">
        <v>109</v>
      </c>
      <c r="M1261">
        <v>2024</v>
      </c>
      <c r="N1261" t="s">
        <v>57</v>
      </c>
      <c r="O1261" t="s">
        <v>78</v>
      </c>
      <c r="P1261">
        <v>0</v>
      </c>
      <c r="Q1261">
        <v>0</v>
      </c>
      <c r="R1261">
        <v>0</v>
      </c>
      <c r="S1261" t="s">
        <v>34</v>
      </c>
      <c r="T1261" t="s">
        <v>2015</v>
      </c>
      <c r="U1261">
        <v>1</v>
      </c>
    </row>
    <row r="1262" spans="1:21" x14ac:dyDescent="0.3">
      <c r="A1262" t="s">
        <v>2010</v>
      </c>
      <c r="B1262" t="s">
        <v>2016</v>
      </c>
      <c r="C1262" t="s">
        <v>1997</v>
      </c>
      <c r="D1262" t="s">
        <v>222</v>
      </c>
      <c r="E1262" t="s">
        <v>108</v>
      </c>
      <c r="F1262" s="6">
        <v>45838</v>
      </c>
      <c r="G1262">
        <v>71</v>
      </c>
      <c r="H1262" t="s">
        <v>2017</v>
      </c>
      <c r="I1262">
        <v>1.0232021905173661</v>
      </c>
      <c r="J1262">
        <v>1.0232021905173661</v>
      </c>
      <c r="K1262" t="s">
        <v>2018</v>
      </c>
      <c r="L1262" t="s">
        <v>2019</v>
      </c>
      <c r="M1262">
        <v>2025</v>
      </c>
      <c r="N1262" t="s">
        <v>44</v>
      </c>
      <c r="O1262" t="s">
        <v>244</v>
      </c>
      <c r="P1262">
        <v>2</v>
      </c>
      <c r="Q1262">
        <v>2</v>
      </c>
      <c r="R1262">
        <v>1</v>
      </c>
      <c r="S1262" t="s">
        <v>34</v>
      </c>
      <c r="T1262" t="s">
        <v>2020</v>
      </c>
      <c r="U1262">
        <v>30</v>
      </c>
    </row>
    <row r="1263" spans="1:21" x14ac:dyDescent="0.3">
      <c r="A1263" t="s">
        <v>2010</v>
      </c>
      <c r="B1263" t="s">
        <v>2016</v>
      </c>
      <c r="C1263" t="s">
        <v>1997</v>
      </c>
      <c r="D1263" t="s">
        <v>222</v>
      </c>
      <c r="E1263" t="s">
        <v>108</v>
      </c>
      <c r="F1263" s="6">
        <v>46022</v>
      </c>
      <c r="G1263">
        <v>71</v>
      </c>
      <c r="H1263" t="s">
        <v>2021</v>
      </c>
      <c r="I1263">
        <v>1.0380116959064329</v>
      </c>
      <c r="J1263">
        <v>1.0380116959064329</v>
      </c>
      <c r="K1263" t="s">
        <v>2018</v>
      </c>
      <c r="L1263" t="s">
        <v>2022</v>
      </c>
      <c r="M1263">
        <v>2025</v>
      </c>
      <c r="N1263" t="s">
        <v>57</v>
      </c>
      <c r="O1263" t="s">
        <v>103</v>
      </c>
      <c r="P1263">
        <v>2</v>
      </c>
      <c r="Q1263">
        <v>2</v>
      </c>
      <c r="R1263">
        <v>1</v>
      </c>
      <c r="S1263" t="s">
        <v>34</v>
      </c>
      <c r="T1263" t="s">
        <v>2023</v>
      </c>
      <c r="U1263">
        <v>31</v>
      </c>
    </row>
    <row r="1264" spans="1:21" x14ac:dyDescent="0.3">
      <c r="A1264" t="s">
        <v>2024</v>
      </c>
      <c r="B1264" t="s">
        <v>2025</v>
      </c>
      <c r="C1264" t="s">
        <v>1997</v>
      </c>
      <c r="D1264" t="s">
        <v>222</v>
      </c>
      <c r="E1264" t="s">
        <v>30</v>
      </c>
      <c r="F1264" s="6">
        <v>45107</v>
      </c>
      <c r="H1264">
        <v>1015</v>
      </c>
      <c r="K1264" t="s">
        <v>109</v>
      </c>
      <c r="L1264" t="s">
        <v>109</v>
      </c>
      <c r="M1264">
        <v>2023</v>
      </c>
      <c r="N1264" t="s">
        <v>44</v>
      </c>
      <c r="O1264" t="s">
        <v>33</v>
      </c>
      <c r="P1264">
        <v>0</v>
      </c>
      <c r="Q1264">
        <v>0</v>
      </c>
      <c r="R1264">
        <v>0</v>
      </c>
      <c r="S1264" t="s">
        <v>34</v>
      </c>
      <c r="T1264" t="s">
        <v>2026</v>
      </c>
      <c r="U1264">
        <v>1</v>
      </c>
    </row>
    <row r="1265" spans="1:21" x14ac:dyDescent="0.3">
      <c r="A1265" t="s">
        <v>2024</v>
      </c>
      <c r="B1265" t="s">
        <v>2025</v>
      </c>
      <c r="C1265" t="s">
        <v>1997</v>
      </c>
      <c r="D1265" t="s">
        <v>222</v>
      </c>
      <c r="E1265" t="s">
        <v>30</v>
      </c>
      <c r="F1265" s="6">
        <v>45291</v>
      </c>
      <c r="G1265">
        <v>0</v>
      </c>
      <c r="H1265">
        <v>1017</v>
      </c>
      <c r="K1265" t="s">
        <v>109</v>
      </c>
      <c r="L1265" t="s">
        <v>109</v>
      </c>
      <c r="M1265">
        <v>2023</v>
      </c>
      <c r="N1265" t="s">
        <v>57</v>
      </c>
      <c r="O1265" t="s">
        <v>47</v>
      </c>
      <c r="P1265">
        <v>0</v>
      </c>
      <c r="Q1265">
        <v>0</v>
      </c>
      <c r="R1265">
        <v>0</v>
      </c>
      <c r="S1265" t="s">
        <v>34</v>
      </c>
      <c r="T1265" t="s">
        <v>2027</v>
      </c>
      <c r="U1265">
        <v>1</v>
      </c>
    </row>
    <row r="1266" spans="1:21" x14ac:dyDescent="0.3">
      <c r="A1266" t="s">
        <v>2024</v>
      </c>
      <c r="B1266" t="s">
        <v>2025</v>
      </c>
      <c r="C1266" t="s">
        <v>1997</v>
      </c>
      <c r="D1266" t="s">
        <v>222</v>
      </c>
      <c r="E1266" t="s">
        <v>30</v>
      </c>
      <c r="F1266" s="6">
        <v>45473</v>
      </c>
      <c r="G1266">
        <v>0</v>
      </c>
      <c r="H1266">
        <v>1074</v>
      </c>
      <c r="K1266">
        <v>0</v>
      </c>
      <c r="L1266" t="s">
        <v>118</v>
      </c>
      <c r="M1266">
        <v>2024</v>
      </c>
      <c r="N1266" t="s">
        <v>44</v>
      </c>
      <c r="O1266" t="s">
        <v>71</v>
      </c>
      <c r="P1266">
        <v>0</v>
      </c>
      <c r="Q1266">
        <v>0</v>
      </c>
      <c r="R1266">
        <v>0</v>
      </c>
      <c r="S1266" t="s">
        <v>34</v>
      </c>
      <c r="T1266" t="s">
        <v>2028</v>
      </c>
      <c r="U1266">
        <v>1</v>
      </c>
    </row>
    <row r="1267" spans="1:21" x14ac:dyDescent="0.3">
      <c r="A1267" t="s">
        <v>2024</v>
      </c>
      <c r="B1267" t="s">
        <v>2025</v>
      </c>
      <c r="C1267" t="s">
        <v>1997</v>
      </c>
      <c r="D1267" t="s">
        <v>222</v>
      </c>
      <c r="E1267" t="s">
        <v>30</v>
      </c>
      <c r="F1267" s="6">
        <v>45657</v>
      </c>
      <c r="G1267">
        <v>0</v>
      </c>
      <c r="H1267">
        <v>1013</v>
      </c>
      <c r="K1267">
        <v>0</v>
      </c>
      <c r="L1267" t="s">
        <v>118</v>
      </c>
      <c r="M1267">
        <v>2024</v>
      </c>
      <c r="N1267" t="s">
        <v>57</v>
      </c>
      <c r="O1267" t="s">
        <v>78</v>
      </c>
      <c r="P1267">
        <v>0</v>
      </c>
      <c r="Q1267">
        <v>0</v>
      </c>
      <c r="R1267">
        <v>0</v>
      </c>
      <c r="S1267" t="s">
        <v>34</v>
      </c>
      <c r="T1267" t="s">
        <v>2029</v>
      </c>
      <c r="U1267">
        <v>1</v>
      </c>
    </row>
    <row r="1268" spans="1:21" x14ac:dyDescent="0.3">
      <c r="A1268" t="s">
        <v>2024</v>
      </c>
      <c r="B1268" t="s">
        <v>2030</v>
      </c>
      <c r="C1268" t="s">
        <v>1997</v>
      </c>
      <c r="D1268" t="s">
        <v>222</v>
      </c>
      <c r="E1268" t="s">
        <v>30</v>
      </c>
      <c r="F1268" s="6">
        <v>45838</v>
      </c>
      <c r="H1268" t="s">
        <v>2031</v>
      </c>
      <c r="I1268">
        <v>0</v>
      </c>
      <c r="J1268">
        <v>0</v>
      </c>
      <c r="L1268" t="s">
        <v>2032</v>
      </c>
      <c r="M1268">
        <v>2025</v>
      </c>
      <c r="N1268" t="s">
        <v>44</v>
      </c>
      <c r="O1268" t="s">
        <v>244</v>
      </c>
      <c r="P1268">
        <v>2</v>
      </c>
      <c r="Q1268">
        <v>2</v>
      </c>
      <c r="R1268">
        <v>0</v>
      </c>
      <c r="S1268" t="s">
        <v>34</v>
      </c>
      <c r="T1268" t="s">
        <v>2033</v>
      </c>
      <c r="U1268">
        <v>30</v>
      </c>
    </row>
    <row r="1269" spans="1:21" x14ac:dyDescent="0.3">
      <c r="A1269" t="s">
        <v>2024</v>
      </c>
      <c r="B1269" t="s">
        <v>2030</v>
      </c>
      <c r="C1269" t="s">
        <v>1997</v>
      </c>
      <c r="D1269" t="s">
        <v>222</v>
      </c>
      <c r="E1269" t="s">
        <v>30</v>
      </c>
      <c r="F1269" s="6">
        <v>46022</v>
      </c>
      <c r="H1269" t="s">
        <v>2034</v>
      </c>
      <c r="I1269">
        <v>0</v>
      </c>
      <c r="J1269">
        <v>0</v>
      </c>
      <c r="L1269" t="s">
        <v>2035</v>
      </c>
      <c r="M1269">
        <v>2025</v>
      </c>
      <c r="N1269" t="s">
        <v>57</v>
      </c>
      <c r="O1269" t="s">
        <v>103</v>
      </c>
      <c r="P1269">
        <v>2</v>
      </c>
      <c r="Q1269">
        <v>2</v>
      </c>
      <c r="R1269">
        <v>0</v>
      </c>
      <c r="S1269" t="s">
        <v>34</v>
      </c>
      <c r="T1269" t="s">
        <v>2036</v>
      </c>
      <c r="U1269">
        <v>31</v>
      </c>
    </row>
    <row r="1270" spans="1:21" x14ac:dyDescent="0.3">
      <c r="A1270" t="s">
        <v>2037</v>
      </c>
      <c r="B1270" t="s">
        <v>2038</v>
      </c>
      <c r="C1270" t="s">
        <v>1997</v>
      </c>
      <c r="D1270" t="s">
        <v>222</v>
      </c>
      <c r="E1270" t="s">
        <v>30</v>
      </c>
      <c r="F1270" s="6">
        <v>45107</v>
      </c>
      <c r="H1270">
        <v>572</v>
      </c>
      <c r="M1270">
        <v>2023</v>
      </c>
      <c r="N1270" t="s">
        <v>44</v>
      </c>
      <c r="O1270" t="s">
        <v>33</v>
      </c>
      <c r="P1270">
        <v>0</v>
      </c>
      <c r="Q1270">
        <v>0</v>
      </c>
      <c r="R1270">
        <v>0</v>
      </c>
      <c r="S1270" t="s">
        <v>34</v>
      </c>
      <c r="T1270" t="s">
        <v>2039</v>
      </c>
      <c r="U1270">
        <v>1</v>
      </c>
    </row>
    <row r="1271" spans="1:21" x14ac:dyDescent="0.3">
      <c r="A1271" t="s">
        <v>2037</v>
      </c>
      <c r="B1271" t="s">
        <v>2038</v>
      </c>
      <c r="C1271" t="s">
        <v>1997</v>
      </c>
      <c r="D1271" t="s">
        <v>222</v>
      </c>
      <c r="E1271" t="s">
        <v>30</v>
      </c>
      <c r="F1271" s="6">
        <v>45291</v>
      </c>
      <c r="G1271">
        <v>0</v>
      </c>
      <c r="M1271">
        <v>2023</v>
      </c>
      <c r="N1271" t="s">
        <v>57</v>
      </c>
      <c r="O1271" t="s">
        <v>47</v>
      </c>
      <c r="P1271">
        <v>0</v>
      </c>
      <c r="Q1271">
        <v>0</v>
      </c>
      <c r="R1271">
        <v>0</v>
      </c>
      <c r="S1271" t="s">
        <v>34</v>
      </c>
      <c r="T1271" t="s">
        <v>2040</v>
      </c>
      <c r="U1271">
        <v>1</v>
      </c>
    </row>
    <row r="1272" spans="1:21" x14ac:dyDescent="0.3">
      <c r="A1272" t="s">
        <v>2041</v>
      </c>
      <c r="B1272" t="s">
        <v>2042</v>
      </c>
      <c r="C1272" t="s">
        <v>1997</v>
      </c>
      <c r="D1272" t="s">
        <v>222</v>
      </c>
      <c r="E1272" t="s">
        <v>30</v>
      </c>
      <c r="F1272" s="6">
        <v>45107</v>
      </c>
      <c r="H1272">
        <v>203</v>
      </c>
      <c r="M1272">
        <v>2023</v>
      </c>
      <c r="N1272" t="s">
        <v>44</v>
      </c>
      <c r="O1272" t="s">
        <v>33</v>
      </c>
      <c r="P1272">
        <v>0</v>
      </c>
      <c r="Q1272">
        <v>0</v>
      </c>
      <c r="R1272">
        <v>0</v>
      </c>
      <c r="S1272" t="s">
        <v>34</v>
      </c>
      <c r="T1272" t="s">
        <v>2043</v>
      </c>
      <c r="U1272">
        <v>1</v>
      </c>
    </row>
    <row r="1273" spans="1:21" x14ac:dyDescent="0.3">
      <c r="A1273" t="s">
        <v>2041</v>
      </c>
      <c r="B1273" t="s">
        <v>2042</v>
      </c>
      <c r="C1273" t="s">
        <v>1997</v>
      </c>
      <c r="D1273" t="s">
        <v>222</v>
      </c>
      <c r="E1273" t="s">
        <v>30</v>
      </c>
      <c r="F1273" s="6">
        <v>45291</v>
      </c>
      <c r="G1273">
        <v>0</v>
      </c>
      <c r="H1273">
        <v>186</v>
      </c>
      <c r="M1273">
        <v>2023</v>
      </c>
      <c r="N1273" t="s">
        <v>57</v>
      </c>
      <c r="O1273" t="s">
        <v>47</v>
      </c>
      <c r="P1273">
        <v>0</v>
      </c>
      <c r="Q1273">
        <v>0</v>
      </c>
      <c r="R1273">
        <v>0</v>
      </c>
      <c r="S1273" t="s">
        <v>34</v>
      </c>
      <c r="T1273" t="s">
        <v>2044</v>
      </c>
      <c r="U1273">
        <v>1</v>
      </c>
    </row>
    <row r="1274" spans="1:21" x14ac:dyDescent="0.3">
      <c r="A1274" t="s">
        <v>2045</v>
      </c>
      <c r="B1274" t="s">
        <v>2046</v>
      </c>
      <c r="C1274" t="s">
        <v>1997</v>
      </c>
      <c r="D1274" t="s">
        <v>222</v>
      </c>
      <c r="E1274" t="s">
        <v>30</v>
      </c>
      <c r="F1274" s="6">
        <v>45107</v>
      </c>
      <c r="H1274">
        <v>240</v>
      </c>
      <c r="M1274">
        <v>2023</v>
      </c>
      <c r="N1274" t="s">
        <v>44</v>
      </c>
      <c r="O1274" t="s">
        <v>33</v>
      </c>
      <c r="P1274">
        <v>0</v>
      </c>
      <c r="Q1274">
        <v>0</v>
      </c>
      <c r="R1274">
        <v>0</v>
      </c>
      <c r="S1274" t="s">
        <v>34</v>
      </c>
      <c r="T1274" t="s">
        <v>2047</v>
      </c>
      <c r="U1274">
        <v>1</v>
      </c>
    </row>
    <row r="1275" spans="1:21" x14ac:dyDescent="0.3">
      <c r="A1275" t="s">
        <v>2045</v>
      </c>
      <c r="B1275" t="s">
        <v>2046</v>
      </c>
      <c r="C1275" t="s">
        <v>1997</v>
      </c>
      <c r="D1275" t="s">
        <v>222</v>
      </c>
      <c r="E1275" t="s">
        <v>30</v>
      </c>
      <c r="F1275" s="6">
        <v>45291</v>
      </c>
      <c r="H1275">
        <v>223</v>
      </c>
      <c r="M1275">
        <v>2023</v>
      </c>
      <c r="N1275" t="s">
        <v>57</v>
      </c>
      <c r="O1275" t="s">
        <v>47</v>
      </c>
      <c r="P1275">
        <v>0</v>
      </c>
      <c r="Q1275">
        <v>0</v>
      </c>
      <c r="R1275">
        <v>0</v>
      </c>
      <c r="S1275" t="s">
        <v>34</v>
      </c>
      <c r="T1275" t="s">
        <v>2048</v>
      </c>
      <c r="U1275">
        <v>1</v>
      </c>
    </row>
    <row r="1276" spans="1:21" x14ac:dyDescent="0.3">
      <c r="A1276" t="s">
        <v>2049</v>
      </c>
      <c r="B1276" t="s">
        <v>2050</v>
      </c>
      <c r="C1276" t="s">
        <v>1997</v>
      </c>
      <c r="D1276" t="s">
        <v>222</v>
      </c>
      <c r="E1276" t="s">
        <v>30</v>
      </c>
      <c r="F1276" s="6">
        <v>45107</v>
      </c>
      <c r="G1276">
        <v>96</v>
      </c>
      <c r="H1276">
        <v>96.06</v>
      </c>
      <c r="I1276">
        <v>1.0006250000000001</v>
      </c>
      <c r="J1276">
        <v>1.0006250000000001</v>
      </c>
      <c r="K1276" t="s">
        <v>31</v>
      </c>
      <c r="L1276" t="s">
        <v>31</v>
      </c>
      <c r="M1276">
        <v>2023</v>
      </c>
      <c r="N1276" t="s">
        <v>44</v>
      </c>
      <c r="O1276" t="s">
        <v>33</v>
      </c>
      <c r="P1276">
        <v>0</v>
      </c>
      <c r="Q1276">
        <v>0</v>
      </c>
      <c r="R1276">
        <v>0</v>
      </c>
      <c r="S1276" t="s">
        <v>34</v>
      </c>
      <c r="T1276" t="s">
        <v>2051</v>
      </c>
      <c r="U1276">
        <v>1</v>
      </c>
    </row>
    <row r="1277" spans="1:21" x14ac:dyDescent="0.3">
      <c r="A1277" t="s">
        <v>2049</v>
      </c>
      <c r="B1277" t="s">
        <v>2050</v>
      </c>
      <c r="C1277" t="s">
        <v>1997</v>
      </c>
      <c r="D1277" t="s">
        <v>222</v>
      </c>
      <c r="E1277" t="s">
        <v>30</v>
      </c>
      <c r="F1277" s="6">
        <v>45291</v>
      </c>
      <c r="G1277">
        <v>96</v>
      </c>
      <c r="H1277">
        <v>96.56</v>
      </c>
      <c r="I1277">
        <v>1.0058333333333329</v>
      </c>
      <c r="J1277">
        <v>1.0058333333333329</v>
      </c>
      <c r="K1277" t="s">
        <v>31</v>
      </c>
      <c r="L1277" t="s">
        <v>31</v>
      </c>
      <c r="M1277">
        <v>2023</v>
      </c>
      <c r="N1277" t="s">
        <v>57</v>
      </c>
      <c r="O1277" t="s">
        <v>47</v>
      </c>
      <c r="P1277">
        <v>0</v>
      </c>
      <c r="Q1277">
        <v>0</v>
      </c>
      <c r="R1277">
        <v>0</v>
      </c>
      <c r="S1277" t="s">
        <v>34</v>
      </c>
      <c r="T1277" t="s">
        <v>2052</v>
      </c>
      <c r="U1277">
        <v>1</v>
      </c>
    </row>
    <row r="1278" spans="1:21" x14ac:dyDescent="0.3">
      <c r="A1278" t="s">
        <v>2049</v>
      </c>
      <c r="B1278" t="s">
        <v>2050</v>
      </c>
      <c r="C1278" t="s">
        <v>1997</v>
      </c>
      <c r="D1278" t="s">
        <v>222</v>
      </c>
      <c r="E1278" t="s">
        <v>30</v>
      </c>
      <c r="F1278" s="6">
        <v>45473</v>
      </c>
      <c r="G1278">
        <v>97</v>
      </c>
      <c r="H1278">
        <v>97.02</v>
      </c>
      <c r="I1278">
        <v>1.0002061855670099</v>
      </c>
      <c r="J1278">
        <v>1.0002061855670099</v>
      </c>
      <c r="K1278" t="s">
        <v>31</v>
      </c>
      <c r="L1278" t="s">
        <v>31</v>
      </c>
      <c r="M1278">
        <v>2024</v>
      </c>
      <c r="N1278" t="s">
        <v>44</v>
      </c>
      <c r="O1278" t="s">
        <v>71</v>
      </c>
      <c r="P1278">
        <v>0</v>
      </c>
      <c r="Q1278">
        <v>0</v>
      </c>
      <c r="R1278">
        <v>0</v>
      </c>
      <c r="S1278" t="s">
        <v>34</v>
      </c>
      <c r="T1278" t="s">
        <v>2053</v>
      </c>
      <c r="U1278">
        <v>1</v>
      </c>
    </row>
    <row r="1279" spans="1:21" x14ac:dyDescent="0.3">
      <c r="A1279" t="s">
        <v>2049</v>
      </c>
      <c r="B1279" t="s">
        <v>2050</v>
      </c>
      <c r="C1279" t="s">
        <v>1997</v>
      </c>
      <c r="D1279" t="s">
        <v>222</v>
      </c>
      <c r="E1279" t="s">
        <v>30</v>
      </c>
      <c r="F1279" s="6">
        <v>45657</v>
      </c>
      <c r="G1279">
        <v>97</v>
      </c>
      <c r="H1279">
        <v>96.84</v>
      </c>
      <c r="I1279">
        <v>0.99835051546391751</v>
      </c>
      <c r="J1279">
        <v>0.99835051546391751</v>
      </c>
      <c r="K1279" t="s">
        <v>31</v>
      </c>
      <c r="L1279" t="s">
        <v>31</v>
      </c>
      <c r="M1279">
        <v>2024</v>
      </c>
      <c r="N1279" t="s">
        <v>57</v>
      </c>
      <c r="O1279" t="s">
        <v>78</v>
      </c>
      <c r="P1279">
        <v>0</v>
      </c>
      <c r="Q1279">
        <v>0</v>
      </c>
      <c r="R1279">
        <v>0</v>
      </c>
      <c r="S1279" t="s">
        <v>34</v>
      </c>
      <c r="T1279" t="s">
        <v>2054</v>
      </c>
      <c r="U1279">
        <v>1</v>
      </c>
    </row>
    <row r="1280" spans="1:21" x14ac:dyDescent="0.3">
      <c r="A1280" t="s">
        <v>2049</v>
      </c>
      <c r="B1280" t="s">
        <v>2050</v>
      </c>
      <c r="C1280" t="s">
        <v>1997</v>
      </c>
      <c r="D1280" t="s">
        <v>222</v>
      </c>
      <c r="E1280" t="s">
        <v>30</v>
      </c>
      <c r="F1280" s="6">
        <v>45838</v>
      </c>
      <c r="G1280">
        <v>97</v>
      </c>
      <c r="H1280" t="s">
        <v>2055</v>
      </c>
      <c r="I1280">
        <v>1.004226804123711</v>
      </c>
      <c r="J1280">
        <v>1.004226804123711</v>
      </c>
      <c r="K1280" t="s">
        <v>1005</v>
      </c>
      <c r="L1280" t="s">
        <v>2056</v>
      </c>
      <c r="M1280">
        <v>2025</v>
      </c>
      <c r="N1280" t="s">
        <v>44</v>
      </c>
      <c r="O1280" t="s">
        <v>244</v>
      </c>
      <c r="P1280">
        <v>2</v>
      </c>
      <c r="Q1280">
        <v>2</v>
      </c>
      <c r="R1280">
        <v>0</v>
      </c>
      <c r="S1280" t="s">
        <v>34</v>
      </c>
      <c r="T1280" t="s">
        <v>2057</v>
      </c>
      <c r="U1280">
        <v>30</v>
      </c>
    </row>
    <row r="1281" spans="1:21" x14ac:dyDescent="0.3">
      <c r="A1281" t="s">
        <v>2049</v>
      </c>
      <c r="B1281" t="s">
        <v>2050</v>
      </c>
      <c r="C1281" t="s">
        <v>1997</v>
      </c>
      <c r="D1281" t="s">
        <v>222</v>
      </c>
      <c r="E1281" t="s">
        <v>30</v>
      </c>
      <c r="F1281" s="6">
        <v>46022</v>
      </c>
      <c r="G1281">
        <v>97</v>
      </c>
      <c r="H1281" t="s">
        <v>2058</v>
      </c>
      <c r="I1281">
        <v>1.005773195876289</v>
      </c>
      <c r="J1281">
        <v>1.005773195876289</v>
      </c>
      <c r="K1281" t="s">
        <v>1005</v>
      </c>
      <c r="L1281" t="s">
        <v>2059</v>
      </c>
      <c r="M1281">
        <v>2025</v>
      </c>
      <c r="N1281" t="s">
        <v>57</v>
      </c>
      <c r="O1281" t="s">
        <v>103</v>
      </c>
      <c r="P1281">
        <v>2</v>
      </c>
      <c r="Q1281">
        <v>2</v>
      </c>
      <c r="R1281">
        <v>0</v>
      </c>
      <c r="S1281" t="s">
        <v>34</v>
      </c>
      <c r="T1281" t="s">
        <v>2060</v>
      </c>
      <c r="U1281">
        <v>31</v>
      </c>
    </row>
    <row r="1282" spans="1:21" x14ac:dyDescent="0.3">
      <c r="A1282" t="s">
        <v>2061</v>
      </c>
      <c r="B1282" t="s">
        <v>2062</v>
      </c>
      <c r="C1282" t="s">
        <v>1997</v>
      </c>
      <c r="D1282" t="s">
        <v>222</v>
      </c>
      <c r="E1282" t="s">
        <v>30</v>
      </c>
      <c r="F1282" s="6">
        <v>45107</v>
      </c>
      <c r="G1282">
        <v>4.5</v>
      </c>
      <c r="H1282">
        <v>4.6100000000000003</v>
      </c>
      <c r="I1282">
        <v>1.024444444444444</v>
      </c>
      <c r="J1282">
        <v>1.024444444444444</v>
      </c>
      <c r="K1282" t="s">
        <v>31</v>
      </c>
      <c r="L1282" t="s">
        <v>31</v>
      </c>
      <c r="M1282">
        <v>2023</v>
      </c>
      <c r="N1282" t="s">
        <v>44</v>
      </c>
      <c r="O1282" t="s">
        <v>33</v>
      </c>
      <c r="P1282">
        <v>2</v>
      </c>
      <c r="Q1282">
        <v>2</v>
      </c>
      <c r="R1282">
        <v>0</v>
      </c>
      <c r="S1282" t="s">
        <v>34</v>
      </c>
      <c r="T1282" t="s">
        <v>2063</v>
      </c>
      <c r="U1282">
        <v>1</v>
      </c>
    </row>
    <row r="1283" spans="1:21" x14ac:dyDescent="0.3">
      <c r="A1283" t="s">
        <v>2061</v>
      </c>
      <c r="B1283" t="s">
        <v>2062</v>
      </c>
      <c r="C1283" t="s">
        <v>1997</v>
      </c>
      <c r="D1283" t="s">
        <v>222</v>
      </c>
      <c r="E1283" t="s">
        <v>30</v>
      </c>
      <c r="F1283" s="6">
        <v>45291</v>
      </c>
      <c r="G1283">
        <v>4.5</v>
      </c>
      <c r="H1283">
        <v>4.51</v>
      </c>
      <c r="I1283">
        <v>1.0022222222222219</v>
      </c>
      <c r="J1283">
        <v>1.0022222222222219</v>
      </c>
      <c r="K1283" t="s">
        <v>31</v>
      </c>
      <c r="L1283" t="s">
        <v>31</v>
      </c>
      <c r="M1283">
        <v>2023</v>
      </c>
      <c r="N1283" t="s">
        <v>57</v>
      </c>
      <c r="O1283" t="s">
        <v>47</v>
      </c>
      <c r="P1283">
        <v>0</v>
      </c>
      <c r="Q1283">
        <v>0</v>
      </c>
      <c r="R1283">
        <v>0</v>
      </c>
      <c r="S1283" t="s">
        <v>34</v>
      </c>
      <c r="T1283" t="s">
        <v>2064</v>
      </c>
      <c r="U1283">
        <v>1</v>
      </c>
    </row>
    <row r="1284" spans="1:21" x14ac:dyDescent="0.3">
      <c r="A1284" t="s">
        <v>2061</v>
      </c>
      <c r="B1284" t="s">
        <v>2062</v>
      </c>
      <c r="C1284" t="s">
        <v>1997</v>
      </c>
      <c r="D1284" t="s">
        <v>222</v>
      </c>
      <c r="E1284" t="s">
        <v>30</v>
      </c>
      <c r="F1284" s="6">
        <v>45473</v>
      </c>
      <c r="G1284">
        <v>4.5</v>
      </c>
      <c r="H1284">
        <v>4.57</v>
      </c>
      <c r="I1284">
        <v>1</v>
      </c>
      <c r="J1284">
        <v>1.015555555555556</v>
      </c>
      <c r="K1284" t="s">
        <v>109</v>
      </c>
      <c r="L1284" t="s">
        <v>109</v>
      </c>
      <c r="M1284">
        <v>2024</v>
      </c>
      <c r="N1284" t="s">
        <v>44</v>
      </c>
      <c r="O1284" t="s">
        <v>71</v>
      </c>
      <c r="P1284">
        <v>2</v>
      </c>
      <c r="Q1284">
        <v>2</v>
      </c>
      <c r="R1284">
        <v>0</v>
      </c>
      <c r="S1284" t="s">
        <v>34</v>
      </c>
      <c r="T1284" t="s">
        <v>2065</v>
      </c>
      <c r="U1284">
        <v>1</v>
      </c>
    </row>
    <row r="1285" spans="1:21" x14ac:dyDescent="0.3">
      <c r="A1285" t="s">
        <v>2061</v>
      </c>
      <c r="B1285" t="s">
        <v>2062</v>
      </c>
      <c r="C1285" t="s">
        <v>1997</v>
      </c>
      <c r="D1285" t="s">
        <v>222</v>
      </c>
      <c r="E1285" t="s">
        <v>30</v>
      </c>
      <c r="F1285" s="6">
        <v>45657</v>
      </c>
      <c r="G1285">
        <v>4.5</v>
      </c>
      <c r="H1285">
        <v>4.6399999999999997</v>
      </c>
      <c r="I1285">
        <v>1.0311111111111111</v>
      </c>
      <c r="J1285">
        <v>1.0311111111111111</v>
      </c>
      <c r="K1285" t="s">
        <v>109</v>
      </c>
      <c r="L1285" t="s">
        <v>109</v>
      </c>
      <c r="M1285">
        <v>2024</v>
      </c>
      <c r="N1285" t="s">
        <v>57</v>
      </c>
      <c r="O1285" t="s">
        <v>78</v>
      </c>
      <c r="P1285">
        <v>2</v>
      </c>
      <c r="Q1285">
        <v>2</v>
      </c>
      <c r="R1285">
        <v>0</v>
      </c>
      <c r="S1285" t="s">
        <v>34</v>
      </c>
      <c r="T1285" t="s">
        <v>2066</v>
      </c>
      <c r="U1285">
        <v>1</v>
      </c>
    </row>
    <row r="1286" spans="1:21" x14ac:dyDescent="0.3">
      <c r="A1286" t="s">
        <v>2061</v>
      </c>
      <c r="B1286" t="s">
        <v>2062</v>
      </c>
      <c r="C1286" t="s">
        <v>1997</v>
      </c>
      <c r="D1286" t="s">
        <v>222</v>
      </c>
      <c r="E1286" t="s">
        <v>30</v>
      </c>
      <c r="F1286" s="6">
        <v>45838</v>
      </c>
      <c r="G1286">
        <v>4.5999999999999996</v>
      </c>
      <c r="H1286" t="s">
        <v>2067</v>
      </c>
      <c r="I1286">
        <v>1.0130434782608699</v>
      </c>
      <c r="J1286">
        <v>1.0130434782608699</v>
      </c>
      <c r="K1286" t="s">
        <v>2068</v>
      </c>
      <c r="L1286" t="s">
        <v>2069</v>
      </c>
      <c r="M1286">
        <v>2025</v>
      </c>
      <c r="N1286" t="s">
        <v>44</v>
      </c>
      <c r="O1286" t="s">
        <v>244</v>
      </c>
      <c r="P1286">
        <v>2</v>
      </c>
      <c r="Q1286">
        <v>2</v>
      </c>
      <c r="R1286">
        <v>0</v>
      </c>
      <c r="S1286" t="s">
        <v>34</v>
      </c>
      <c r="T1286" t="s">
        <v>2070</v>
      </c>
      <c r="U1286">
        <v>30</v>
      </c>
    </row>
    <row r="1287" spans="1:21" x14ac:dyDescent="0.3">
      <c r="A1287" t="s">
        <v>2061</v>
      </c>
      <c r="B1287" t="s">
        <v>2062</v>
      </c>
      <c r="C1287" t="s">
        <v>1997</v>
      </c>
      <c r="D1287" t="s">
        <v>222</v>
      </c>
      <c r="E1287" t="s">
        <v>30</v>
      </c>
      <c r="F1287" s="6">
        <v>46022</v>
      </c>
      <c r="G1287">
        <v>4.5999999999999996</v>
      </c>
      <c r="H1287" t="s">
        <v>2071</v>
      </c>
      <c r="I1287">
        <v>1.0152173913043481</v>
      </c>
      <c r="J1287">
        <v>1.0152173913043481</v>
      </c>
      <c r="K1287" t="s">
        <v>2068</v>
      </c>
      <c r="L1287" t="s">
        <v>2072</v>
      </c>
      <c r="M1287">
        <v>2025</v>
      </c>
      <c r="N1287" t="s">
        <v>57</v>
      </c>
      <c r="O1287" t="s">
        <v>103</v>
      </c>
      <c r="P1287">
        <v>2</v>
      </c>
      <c r="Q1287">
        <v>2</v>
      </c>
      <c r="R1287">
        <v>0</v>
      </c>
      <c r="S1287" t="s">
        <v>34</v>
      </c>
      <c r="T1287" t="s">
        <v>2073</v>
      </c>
      <c r="U1287">
        <v>31</v>
      </c>
    </row>
    <row r="1288" spans="1:21" x14ac:dyDescent="0.3">
      <c r="A1288" t="s">
        <v>2074</v>
      </c>
      <c r="B1288" t="s">
        <v>2075</v>
      </c>
      <c r="C1288" t="s">
        <v>1997</v>
      </c>
      <c r="D1288" t="s">
        <v>222</v>
      </c>
      <c r="E1288" t="s">
        <v>30</v>
      </c>
      <c r="F1288" s="6">
        <v>45107</v>
      </c>
      <c r="H1288">
        <v>15047</v>
      </c>
      <c r="K1288" t="s">
        <v>109</v>
      </c>
      <c r="L1288" t="s">
        <v>109</v>
      </c>
      <c r="M1288">
        <v>2023</v>
      </c>
      <c r="N1288" t="s">
        <v>44</v>
      </c>
      <c r="O1288" t="s">
        <v>33</v>
      </c>
      <c r="P1288">
        <v>0</v>
      </c>
      <c r="Q1288">
        <v>0</v>
      </c>
      <c r="R1288">
        <v>0</v>
      </c>
      <c r="S1288" t="s">
        <v>34</v>
      </c>
      <c r="T1288" t="s">
        <v>2076</v>
      </c>
      <c r="U1288">
        <v>1</v>
      </c>
    </row>
    <row r="1289" spans="1:21" x14ac:dyDescent="0.3">
      <c r="A1289" t="s">
        <v>2074</v>
      </c>
      <c r="B1289" t="s">
        <v>2075</v>
      </c>
      <c r="C1289" t="s">
        <v>1997</v>
      </c>
      <c r="D1289" t="s">
        <v>222</v>
      </c>
      <c r="E1289" t="s">
        <v>30</v>
      </c>
      <c r="F1289" s="6">
        <v>45291</v>
      </c>
      <c r="H1289">
        <v>16281</v>
      </c>
      <c r="K1289" t="s">
        <v>109</v>
      </c>
      <c r="L1289" t="s">
        <v>109</v>
      </c>
      <c r="M1289">
        <v>2023</v>
      </c>
      <c r="N1289" t="s">
        <v>57</v>
      </c>
      <c r="O1289" t="s">
        <v>47</v>
      </c>
      <c r="P1289">
        <v>0</v>
      </c>
      <c r="Q1289">
        <v>0</v>
      </c>
      <c r="R1289">
        <v>0</v>
      </c>
      <c r="S1289" t="s">
        <v>34</v>
      </c>
      <c r="T1289" t="s">
        <v>2077</v>
      </c>
      <c r="U1289">
        <v>1</v>
      </c>
    </row>
    <row r="1290" spans="1:21" x14ac:dyDescent="0.3">
      <c r="A1290" t="s">
        <v>2078</v>
      </c>
      <c r="B1290" t="s">
        <v>2079</v>
      </c>
      <c r="C1290" t="s">
        <v>1997</v>
      </c>
      <c r="D1290" t="s">
        <v>222</v>
      </c>
      <c r="E1290" t="s">
        <v>30</v>
      </c>
      <c r="F1290" s="6">
        <v>45107</v>
      </c>
      <c r="G1290">
        <v>100</v>
      </c>
      <c r="H1290">
        <v>100</v>
      </c>
      <c r="I1290">
        <v>1</v>
      </c>
      <c r="J1290">
        <v>1</v>
      </c>
      <c r="K1290" t="s">
        <v>31</v>
      </c>
      <c r="L1290" t="s">
        <v>31</v>
      </c>
      <c r="M1290">
        <v>2023</v>
      </c>
      <c r="N1290" t="s">
        <v>44</v>
      </c>
      <c r="O1290" t="s">
        <v>33</v>
      </c>
      <c r="P1290">
        <v>0</v>
      </c>
      <c r="Q1290">
        <v>0</v>
      </c>
      <c r="R1290">
        <v>0</v>
      </c>
      <c r="S1290" t="s">
        <v>99</v>
      </c>
      <c r="T1290" t="s">
        <v>2080</v>
      </c>
      <c r="U1290">
        <v>1</v>
      </c>
    </row>
    <row r="1291" spans="1:21" x14ac:dyDescent="0.3">
      <c r="A1291" t="s">
        <v>2078</v>
      </c>
      <c r="B1291" t="s">
        <v>2079</v>
      </c>
      <c r="C1291" t="s">
        <v>1997</v>
      </c>
      <c r="D1291" t="s">
        <v>222</v>
      </c>
      <c r="E1291" t="s">
        <v>30</v>
      </c>
      <c r="F1291" s="6">
        <v>45291</v>
      </c>
      <c r="G1291">
        <v>100</v>
      </c>
      <c r="H1291">
        <v>100</v>
      </c>
      <c r="I1291">
        <v>1</v>
      </c>
      <c r="J1291">
        <v>1</v>
      </c>
      <c r="K1291" t="s">
        <v>31</v>
      </c>
      <c r="L1291" t="s">
        <v>31</v>
      </c>
      <c r="M1291">
        <v>2023</v>
      </c>
      <c r="N1291" t="s">
        <v>57</v>
      </c>
      <c r="O1291" t="s">
        <v>47</v>
      </c>
      <c r="P1291">
        <v>0</v>
      </c>
      <c r="Q1291">
        <v>0</v>
      </c>
      <c r="R1291">
        <v>0</v>
      </c>
      <c r="S1291" t="s">
        <v>99</v>
      </c>
      <c r="T1291" t="s">
        <v>2081</v>
      </c>
      <c r="U1291">
        <v>1</v>
      </c>
    </row>
    <row r="1292" spans="1:21" x14ac:dyDescent="0.3">
      <c r="A1292" t="s">
        <v>2078</v>
      </c>
      <c r="B1292" t="s">
        <v>2079</v>
      </c>
      <c r="C1292" t="s">
        <v>1997</v>
      </c>
      <c r="D1292" t="s">
        <v>222</v>
      </c>
      <c r="E1292" t="s">
        <v>30</v>
      </c>
      <c r="F1292" s="6">
        <v>45473</v>
      </c>
      <c r="G1292">
        <v>100</v>
      </c>
      <c r="H1292">
        <v>100</v>
      </c>
      <c r="I1292">
        <v>1</v>
      </c>
      <c r="J1292">
        <v>1</v>
      </c>
      <c r="K1292" t="s">
        <v>31</v>
      </c>
      <c r="L1292" t="s">
        <v>31</v>
      </c>
      <c r="M1292">
        <v>2024</v>
      </c>
      <c r="N1292" t="s">
        <v>44</v>
      </c>
      <c r="O1292" t="s">
        <v>71</v>
      </c>
      <c r="P1292">
        <v>0</v>
      </c>
      <c r="Q1292">
        <v>0</v>
      </c>
      <c r="R1292">
        <v>0</v>
      </c>
      <c r="S1292" t="s">
        <v>99</v>
      </c>
      <c r="T1292" t="s">
        <v>2082</v>
      </c>
      <c r="U1292">
        <v>1</v>
      </c>
    </row>
    <row r="1293" spans="1:21" x14ac:dyDescent="0.3">
      <c r="A1293" t="s">
        <v>2078</v>
      </c>
      <c r="B1293" t="s">
        <v>2079</v>
      </c>
      <c r="C1293" t="s">
        <v>1997</v>
      </c>
      <c r="D1293" t="s">
        <v>222</v>
      </c>
      <c r="E1293" t="s">
        <v>30</v>
      </c>
      <c r="F1293" s="6">
        <v>45657</v>
      </c>
      <c r="G1293">
        <v>100</v>
      </c>
      <c r="H1293">
        <v>100</v>
      </c>
      <c r="I1293">
        <v>1</v>
      </c>
      <c r="J1293">
        <v>1</v>
      </c>
      <c r="K1293" t="s">
        <v>31</v>
      </c>
      <c r="L1293" t="s">
        <v>31</v>
      </c>
      <c r="M1293">
        <v>2024</v>
      </c>
      <c r="N1293" t="s">
        <v>57</v>
      </c>
      <c r="O1293" t="s">
        <v>78</v>
      </c>
      <c r="P1293">
        <v>0</v>
      </c>
      <c r="Q1293">
        <v>0</v>
      </c>
      <c r="R1293">
        <v>0</v>
      </c>
      <c r="S1293" t="s">
        <v>99</v>
      </c>
      <c r="T1293" t="s">
        <v>2083</v>
      </c>
      <c r="U1293">
        <v>1</v>
      </c>
    </row>
    <row r="1294" spans="1:21" x14ac:dyDescent="0.3">
      <c r="A1294" t="s">
        <v>2078</v>
      </c>
      <c r="B1294" t="s">
        <v>2079</v>
      </c>
      <c r="C1294" t="s">
        <v>1997</v>
      </c>
      <c r="D1294" t="s">
        <v>222</v>
      </c>
      <c r="E1294" t="s">
        <v>30</v>
      </c>
      <c r="F1294" s="6">
        <v>45838</v>
      </c>
      <c r="G1294">
        <v>100</v>
      </c>
      <c r="H1294" t="s">
        <v>95</v>
      </c>
      <c r="I1294">
        <v>1</v>
      </c>
      <c r="J1294">
        <v>1</v>
      </c>
      <c r="K1294" t="s">
        <v>102</v>
      </c>
      <c r="L1294" t="s">
        <v>102</v>
      </c>
      <c r="M1294">
        <v>2025</v>
      </c>
      <c r="N1294" t="s">
        <v>44</v>
      </c>
      <c r="O1294" t="s">
        <v>244</v>
      </c>
      <c r="P1294">
        <v>2</v>
      </c>
      <c r="Q1294">
        <v>2</v>
      </c>
      <c r="R1294">
        <v>0</v>
      </c>
      <c r="S1294" t="s">
        <v>104</v>
      </c>
      <c r="T1294" t="s">
        <v>2084</v>
      </c>
      <c r="U1294">
        <v>30</v>
      </c>
    </row>
    <row r="1295" spans="1:21" x14ac:dyDescent="0.3">
      <c r="A1295" t="s">
        <v>2078</v>
      </c>
      <c r="B1295" t="s">
        <v>2079</v>
      </c>
      <c r="C1295" t="s">
        <v>1997</v>
      </c>
      <c r="D1295" t="s">
        <v>222</v>
      </c>
      <c r="E1295" t="s">
        <v>30</v>
      </c>
      <c r="F1295" s="6">
        <v>46022</v>
      </c>
      <c r="G1295">
        <v>100</v>
      </c>
      <c r="H1295" t="s">
        <v>95</v>
      </c>
      <c r="I1295">
        <v>1</v>
      </c>
      <c r="J1295">
        <v>1</v>
      </c>
      <c r="K1295" t="s">
        <v>102</v>
      </c>
      <c r="L1295" t="s">
        <v>102</v>
      </c>
      <c r="M1295">
        <v>2025</v>
      </c>
      <c r="N1295" t="s">
        <v>57</v>
      </c>
      <c r="O1295" t="s">
        <v>103</v>
      </c>
      <c r="P1295">
        <v>2</v>
      </c>
      <c r="Q1295">
        <v>2</v>
      </c>
      <c r="R1295">
        <v>0</v>
      </c>
      <c r="S1295" t="s">
        <v>104</v>
      </c>
      <c r="T1295" t="s">
        <v>2085</v>
      </c>
      <c r="U1295">
        <v>31</v>
      </c>
    </row>
    <row r="1296" spans="1:21" x14ac:dyDescent="0.3">
      <c r="A1296" t="s">
        <v>2086</v>
      </c>
      <c r="B1296" t="s">
        <v>2087</v>
      </c>
      <c r="C1296" t="s">
        <v>1997</v>
      </c>
      <c r="D1296" t="s">
        <v>222</v>
      </c>
      <c r="E1296" t="s">
        <v>30</v>
      </c>
      <c r="F1296" s="6">
        <v>45107</v>
      </c>
      <c r="H1296">
        <v>1015</v>
      </c>
      <c r="K1296" t="s">
        <v>31</v>
      </c>
      <c r="L1296" t="s">
        <v>31</v>
      </c>
      <c r="M1296">
        <v>2023</v>
      </c>
      <c r="N1296" t="s">
        <v>44</v>
      </c>
      <c r="O1296" t="s">
        <v>33</v>
      </c>
      <c r="P1296">
        <v>0</v>
      </c>
      <c r="Q1296">
        <v>0</v>
      </c>
      <c r="R1296">
        <v>0</v>
      </c>
      <c r="S1296" t="s">
        <v>99</v>
      </c>
      <c r="T1296" t="s">
        <v>2088</v>
      </c>
      <c r="U1296">
        <v>1</v>
      </c>
    </row>
    <row r="1297" spans="1:21" x14ac:dyDescent="0.3">
      <c r="A1297" t="s">
        <v>2086</v>
      </c>
      <c r="B1297" t="s">
        <v>2087</v>
      </c>
      <c r="C1297" t="s">
        <v>1997</v>
      </c>
      <c r="D1297" t="s">
        <v>222</v>
      </c>
      <c r="E1297" t="s">
        <v>30</v>
      </c>
      <c r="F1297" s="6">
        <v>45291</v>
      </c>
      <c r="H1297">
        <v>1017</v>
      </c>
      <c r="K1297" t="s">
        <v>31</v>
      </c>
      <c r="L1297" t="s">
        <v>31</v>
      </c>
      <c r="M1297">
        <v>2023</v>
      </c>
      <c r="N1297" t="s">
        <v>57</v>
      </c>
      <c r="O1297" t="s">
        <v>47</v>
      </c>
      <c r="P1297">
        <v>0</v>
      </c>
      <c r="Q1297">
        <v>0</v>
      </c>
      <c r="R1297">
        <v>0</v>
      </c>
      <c r="S1297" t="s">
        <v>99</v>
      </c>
      <c r="T1297" t="s">
        <v>2089</v>
      </c>
      <c r="U1297">
        <v>1</v>
      </c>
    </row>
    <row r="1298" spans="1:21" x14ac:dyDescent="0.3">
      <c r="A1298" t="s">
        <v>2086</v>
      </c>
      <c r="B1298" t="s">
        <v>2087</v>
      </c>
      <c r="C1298" t="s">
        <v>1997</v>
      </c>
      <c r="D1298" t="s">
        <v>222</v>
      </c>
      <c r="E1298" t="s">
        <v>30</v>
      </c>
      <c r="F1298" s="6">
        <v>45473</v>
      </c>
      <c r="G1298">
        <v>0</v>
      </c>
      <c r="H1298">
        <v>1074</v>
      </c>
      <c r="K1298">
        <v>0</v>
      </c>
      <c r="L1298" t="s">
        <v>118</v>
      </c>
      <c r="M1298">
        <v>2024</v>
      </c>
      <c r="N1298" t="s">
        <v>44</v>
      </c>
      <c r="O1298" t="s">
        <v>71</v>
      </c>
      <c r="P1298">
        <v>0</v>
      </c>
      <c r="Q1298">
        <v>0</v>
      </c>
      <c r="R1298">
        <v>0</v>
      </c>
      <c r="S1298" t="s">
        <v>99</v>
      </c>
      <c r="T1298" t="s">
        <v>2090</v>
      </c>
      <c r="U1298">
        <v>1</v>
      </c>
    </row>
    <row r="1299" spans="1:21" x14ac:dyDescent="0.3">
      <c r="A1299" t="s">
        <v>2086</v>
      </c>
      <c r="B1299" t="s">
        <v>2087</v>
      </c>
      <c r="C1299" t="s">
        <v>1997</v>
      </c>
      <c r="D1299" t="s">
        <v>222</v>
      </c>
      <c r="E1299" t="s">
        <v>30</v>
      </c>
      <c r="F1299" s="6">
        <v>45657</v>
      </c>
      <c r="G1299">
        <v>0</v>
      </c>
      <c r="H1299">
        <v>1013</v>
      </c>
      <c r="K1299">
        <v>0</v>
      </c>
      <c r="L1299" t="s">
        <v>118</v>
      </c>
      <c r="M1299">
        <v>2024</v>
      </c>
      <c r="N1299" t="s">
        <v>57</v>
      </c>
      <c r="O1299" t="s">
        <v>78</v>
      </c>
      <c r="P1299">
        <v>0</v>
      </c>
      <c r="Q1299">
        <v>0</v>
      </c>
      <c r="R1299">
        <v>0</v>
      </c>
      <c r="S1299" t="s">
        <v>99</v>
      </c>
      <c r="T1299" t="s">
        <v>2091</v>
      </c>
      <c r="U1299">
        <v>1</v>
      </c>
    </row>
    <row r="1300" spans="1:21" x14ac:dyDescent="0.3">
      <c r="A1300" t="s">
        <v>2086</v>
      </c>
      <c r="B1300" t="s">
        <v>2092</v>
      </c>
      <c r="C1300" t="s">
        <v>1997</v>
      </c>
      <c r="D1300" t="s">
        <v>222</v>
      </c>
      <c r="E1300" t="s">
        <v>30</v>
      </c>
      <c r="F1300" s="6">
        <v>45838</v>
      </c>
      <c r="H1300" t="s">
        <v>2031</v>
      </c>
      <c r="I1300">
        <v>0</v>
      </c>
      <c r="J1300">
        <v>0</v>
      </c>
      <c r="L1300" t="s">
        <v>2032</v>
      </c>
      <c r="M1300">
        <v>2025</v>
      </c>
      <c r="N1300" t="s">
        <v>44</v>
      </c>
      <c r="O1300" t="s">
        <v>244</v>
      </c>
      <c r="P1300">
        <v>2</v>
      </c>
      <c r="Q1300">
        <v>2</v>
      </c>
      <c r="R1300">
        <v>0</v>
      </c>
      <c r="S1300" t="s">
        <v>104</v>
      </c>
      <c r="T1300" t="s">
        <v>2093</v>
      </c>
      <c r="U1300">
        <v>30</v>
      </c>
    </row>
    <row r="1301" spans="1:21" x14ac:dyDescent="0.3">
      <c r="A1301" t="s">
        <v>2086</v>
      </c>
      <c r="B1301" t="s">
        <v>2092</v>
      </c>
      <c r="C1301" t="s">
        <v>1997</v>
      </c>
      <c r="D1301" t="s">
        <v>222</v>
      </c>
      <c r="E1301" t="s">
        <v>30</v>
      </c>
      <c r="F1301" s="6">
        <v>46022</v>
      </c>
      <c r="H1301" t="s">
        <v>2034</v>
      </c>
      <c r="I1301">
        <v>0</v>
      </c>
      <c r="J1301">
        <v>0</v>
      </c>
      <c r="L1301" t="s">
        <v>2035</v>
      </c>
      <c r="M1301">
        <v>2025</v>
      </c>
      <c r="N1301" t="s">
        <v>57</v>
      </c>
      <c r="O1301" t="s">
        <v>103</v>
      </c>
      <c r="P1301">
        <v>2</v>
      </c>
      <c r="Q1301">
        <v>2</v>
      </c>
      <c r="R1301">
        <v>0</v>
      </c>
      <c r="S1301" t="s">
        <v>104</v>
      </c>
      <c r="T1301" t="s">
        <v>2094</v>
      </c>
      <c r="U1301">
        <v>31</v>
      </c>
    </row>
    <row r="1302" spans="1:21" x14ac:dyDescent="0.3">
      <c r="A1302" t="s">
        <v>2095</v>
      </c>
      <c r="B1302" t="s">
        <v>2096</v>
      </c>
      <c r="C1302" t="s">
        <v>1997</v>
      </c>
      <c r="D1302" t="s">
        <v>222</v>
      </c>
      <c r="E1302" t="s">
        <v>30</v>
      </c>
      <c r="F1302" s="6">
        <v>45107</v>
      </c>
      <c r="G1302">
        <v>16</v>
      </c>
      <c r="H1302">
        <v>18</v>
      </c>
      <c r="I1302">
        <v>1.125</v>
      </c>
      <c r="J1302">
        <v>1.125</v>
      </c>
      <c r="K1302">
        <v>0</v>
      </c>
      <c r="L1302" t="s">
        <v>118</v>
      </c>
      <c r="M1302">
        <v>2023</v>
      </c>
      <c r="N1302" t="s">
        <v>44</v>
      </c>
      <c r="O1302" t="s">
        <v>33</v>
      </c>
      <c r="P1302">
        <v>0</v>
      </c>
      <c r="Q1302">
        <v>0</v>
      </c>
      <c r="R1302">
        <v>0</v>
      </c>
      <c r="S1302" t="s">
        <v>99</v>
      </c>
      <c r="T1302" t="s">
        <v>2097</v>
      </c>
      <c r="U1302">
        <v>1</v>
      </c>
    </row>
    <row r="1303" spans="1:21" x14ac:dyDescent="0.3">
      <c r="A1303" t="s">
        <v>2095</v>
      </c>
      <c r="B1303" t="s">
        <v>2096</v>
      </c>
      <c r="C1303" t="s">
        <v>1997</v>
      </c>
      <c r="D1303" t="s">
        <v>222</v>
      </c>
      <c r="E1303" t="s">
        <v>30</v>
      </c>
      <c r="F1303" s="6">
        <v>45291</v>
      </c>
      <c r="G1303">
        <v>16</v>
      </c>
      <c r="H1303">
        <v>18</v>
      </c>
      <c r="I1303">
        <v>1.125</v>
      </c>
      <c r="J1303">
        <v>1.125</v>
      </c>
      <c r="K1303">
        <v>0</v>
      </c>
      <c r="L1303" t="s">
        <v>118</v>
      </c>
      <c r="M1303">
        <v>2023</v>
      </c>
      <c r="N1303" t="s">
        <v>57</v>
      </c>
      <c r="O1303" t="s">
        <v>47</v>
      </c>
      <c r="P1303">
        <v>0</v>
      </c>
      <c r="Q1303">
        <v>0</v>
      </c>
      <c r="R1303">
        <v>0</v>
      </c>
      <c r="S1303" t="s">
        <v>99</v>
      </c>
      <c r="T1303" t="s">
        <v>2098</v>
      </c>
      <c r="U1303">
        <v>1</v>
      </c>
    </row>
    <row r="1304" spans="1:21" x14ac:dyDescent="0.3">
      <c r="A1304" t="s">
        <v>2095</v>
      </c>
      <c r="B1304" t="s">
        <v>2096</v>
      </c>
      <c r="C1304" t="s">
        <v>1997</v>
      </c>
      <c r="D1304" t="s">
        <v>222</v>
      </c>
      <c r="E1304" t="s">
        <v>30</v>
      </c>
      <c r="F1304" s="6">
        <v>45473</v>
      </c>
      <c r="G1304">
        <v>85</v>
      </c>
      <c r="H1304">
        <v>173.33</v>
      </c>
      <c r="I1304">
        <v>1.3</v>
      </c>
      <c r="J1304">
        <v>2.0391764705882349</v>
      </c>
      <c r="K1304" t="s">
        <v>118</v>
      </c>
      <c r="L1304" t="s">
        <v>118</v>
      </c>
      <c r="M1304">
        <v>2024</v>
      </c>
      <c r="N1304" t="s">
        <v>44</v>
      </c>
      <c r="O1304" t="s">
        <v>71</v>
      </c>
      <c r="P1304">
        <v>0</v>
      </c>
      <c r="Q1304">
        <v>0</v>
      </c>
      <c r="R1304">
        <v>0</v>
      </c>
      <c r="S1304" t="s">
        <v>99</v>
      </c>
      <c r="T1304" t="s">
        <v>2099</v>
      </c>
      <c r="U1304">
        <v>1</v>
      </c>
    </row>
    <row r="1305" spans="1:21" x14ac:dyDescent="0.3">
      <c r="A1305" t="s">
        <v>2095</v>
      </c>
      <c r="B1305" t="s">
        <v>2096</v>
      </c>
      <c r="C1305" t="s">
        <v>1997</v>
      </c>
      <c r="D1305" t="s">
        <v>222</v>
      </c>
      <c r="E1305" t="s">
        <v>30</v>
      </c>
      <c r="F1305" s="6">
        <v>45657</v>
      </c>
      <c r="G1305">
        <v>85</v>
      </c>
      <c r="I1305">
        <v>0</v>
      </c>
      <c r="J1305">
        <v>0</v>
      </c>
      <c r="K1305" t="s">
        <v>118</v>
      </c>
      <c r="L1305" t="s">
        <v>118</v>
      </c>
      <c r="M1305">
        <v>2024</v>
      </c>
      <c r="N1305" t="s">
        <v>57</v>
      </c>
      <c r="O1305" t="s">
        <v>78</v>
      </c>
      <c r="P1305">
        <v>0</v>
      </c>
      <c r="Q1305">
        <v>0</v>
      </c>
      <c r="R1305">
        <v>0</v>
      </c>
      <c r="S1305" t="s">
        <v>99</v>
      </c>
      <c r="T1305" t="s">
        <v>2100</v>
      </c>
      <c r="U1305">
        <v>1</v>
      </c>
    </row>
    <row r="1306" spans="1:21" x14ac:dyDescent="0.3">
      <c r="A1306" t="s">
        <v>2095</v>
      </c>
      <c r="B1306" t="s">
        <v>2096</v>
      </c>
      <c r="C1306" t="s">
        <v>1997</v>
      </c>
      <c r="D1306" t="s">
        <v>98</v>
      </c>
      <c r="E1306" t="s">
        <v>30</v>
      </c>
      <c r="F1306" s="6">
        <v>45838</v>
      </c>
      <c r="G1306">
        <v>100</v>
      </c>
      <c r="H1306" t="s">
        <v>95</v>
      </c>
      <c r="I1306">
        <v>1</v>
      </c>
      <c r="J1306">
        <v>1</v>
      </c>
      <c r="K1306" t="s">
        <v>102</v>
      </c>
      <c r="L1306" t="s">
        <v>102</v>
      </c>
      <c r="M1306">
        <v>2025</v>
      </c>
      <c r="N1306" t="s">
        <v>44</v>
      </c>
      <c r="O1306" t="s">
        <v>244</v>
      </c>
      <c r="P1306">
        <v>2</v>
      </c>
      <c r="Q1306">
        <v>2</v>
      </c>
      <c r="R1306">
        <v>0</v>
      </c>
      <c r="S1306" t="s">
        <v>104</v>
      </c>
      <c r="T1306" t="s">
        <v>2101</v>
      </c>
      <c r="U1306">
        <v>30</v>
      </c>
    </row>
    <row r="1307" spans="1:21" x14ac:dyDescent="0.3">
      <c r="A1307" t="s">
        <v>2102</v>
      </c>
      <c r="B1307" t="s">
        <v>2103</v>
      </c>
      <c r="C1307" t="s">
        <v>309</v>
      </c>
      <c r="D1307" t="s">
        <v>233</v>
      </c>
      <c r="E1307" t="s">
        <v>30</v>
      </c>
      <c r="F1307" s="6">
        <v>45016</v>
      </c>
      <c r="G1307">
        <v>95</v>
      </c>
      <c r="I1307">
        <v>0</v>
      </c>
      <c r="J1307">
        <v>0</v>
      </c>
      <c r="M1307">
        <v>2023</v>
      </c>
      <c r="N1307" t="s">
        <v>38</v>
      </c>
      <c r="O1307" t="s">
        <v>33</v>
      </c>
      <c r="P1307">
        <v>0</v>
      </c>
      <c r="Q1307">
        <v>0</v>
      </c>
      <c r="R1307">
        <v>0</v>
      </c>
      <c r="S1307" t="s">
        <v>99</v>
      </c>
      <c r="T1307" t="s">
        <v>2104</v>
      </c>
      <c r="U1307">
        <v>1</v>
      </c>
    </row>
    <row r="1308" spans="1:21" x14ac:dyDescent="0.3">
      <c r="A1308" t="s">
        <v>2102</v>
      </c>
      <c r="B1308" t="s">
        <v>2103</v>
      </c>
      <c r="C1308" t="s">
        <v>309</v>
      </c>
      <c r="D1308" t="s">
        <v>233</v>
      </c>
      <c r="E1308" t="s">
        <v>30</v>
      </c>
      <c r="F1308" s="6">
        <v>45107</v>
      </c>
      <c r="G1308">
        <v>95</v>
      </c>
      <c r="H1308">
        <v>85.714285714286007</v>
      </c>
      <c r="I1308">
        <v>0.90225563909774742</v>
      </c>
      <c r="J1308">
        <v>0.90225563909774742</v>
      </c>
      <c r="K1308" t="s">
        <v>31</v>
      </c>
      <c r="L1308" t="s">
        <v>31</v>
      </c>
      <c r="M1308">
        <v>2023</v>
      </c>
      <c r="N1308" t="s">
        <v>44</v>
      </c>
      <c r="O1308" t="s">
        <v>33</v>
      </c>
      <c r="P1308">
        <v>1</v>
      </c>
      <c r="Q1308">
        <v>1</v>
      </c>
      <c r="R1308">
        <v>0</v>
      </c>
      <c r="S1308" t="s">
        <v>99</v>
      </c>
      <c r="T1308" t="s">
        <v>2105</v>
      </c>
      <c r="U1308">
        <v>1</v>
      </c>
    </row>
    <row r="1309" spans="1:21" x14ac:dyDescent="0.3">
      <c r="A1309" t="s">
        <v>2102</v>
      </c>
      <c r="B1309" t="s">
        <v>2103</v>
      </c>
      <c r="C1309" t="s">
        <v>309</v>
      </c>
      <c r="D1309" t="s">
        <v>233</v>
      </c>
      <c r="E1309" t="s">
        <v>30</v>
      </c>
      <c r="F1309" s="6">
        <v>45199</v>
      </c>
      <c r="G1309">
        <v>95</v>
      </c>
      <c r="H1309">
        <v>87.5</v>
      </c>
      <c r="I1309">
        <v>0.92105263157894735</v>
      </c>
      <c r="J1309">
        <v>0.92105263157894735</v>
      </c>
      <c r="K1309" t="s">
        <v>31</v>
      </c>
      <c r="L1309" t="s">
        <v>31</v>
      </c>
      <c r="M1309">
        <v>2023</v>
      </c>
      <c r="N1309" t="s">
        <v>51</v>
      </c>
      <c r="O1309" t="s">
        <v>47</v>
      </c>
      <c r="P1309">
        <v>1</v>
      </c>
      <c r="Q1309">
        <v>1</v>
      </c>
      <c r="R1309">
        <v>0</v>
      </c>
      <c r="S1309" t="s">
        <v>99</v>
      </c>
      <c r="T1309" t="s">
        <v>2106</v>
      </c>
      <c r="U1309">
        <v>1</v>
      </c>
    </row>
    <row r="1310" spans="1:21" x14ac:dyDescent="0.3">
      <c r="A1310" t="s">
        <v>2102</v>
      </c>
      <c r="B1310" t="s">
        <v>2103</v>
      </c>
      <c r="C1310" t="s">
        <v>309</v>
      </c>
      <c r="D1310" t="s">
        <v>233</v>
      </c>
      <c r="E1310" t="s">
        <v>30</v>
      </c>
      <c r="F1310" s="6">
        <v>45291</v>
      </c>
      <c r="M1310">
        <v>2023</v>
      </c>
      <c r="N1310" t="s">
        <v>57</v>
      </c>
      <c r="O1310" t="s">
        <v>47</v>
      </c>
      <c r="P1310">
        <v>0</v>
      </c>
      <c r="Q1310">
        <v>0</v>
      </c>
      <c r="R1310">
        <v>0</v>
      </c>
      <c r="S1310" t="s">
        <v>99</v>
      </c>
      <c r="T1310" t="s">
        <v>2107</v>
      </c>
      <c r="U1310">
        <v>1</v>
      </c>
    </row>
    <row r="1311" spans="1:21" x14ac:dyDescent="0.3">
      <c r="A1311" t="s">
        <v>2102</v>
      </c>
      <c r="B1311" t="s">
        <v>2103</v>
      </c>
      <c r="C1311" t="s">
        <v>309</v>
      </c>
      <c r="D1311" t="s">
        <v>233</v>
      </c>
      <c r="E1311" t="s">
        <v>30</v>
      </c>
      <c r="F1311" s="6">
        <v>45382</v>
      </c>
      <c r="G1311">
        <v>95</v>
      </c>
      <c r="I1311">
        <v>0</v>
      </c>
      <c r="J1311">
        <v>0</v>
      </c>
      <c r="K1311" t="s">
        <v>31</v>
      </c>
      <c r="L1311" t="s">
        <v>31</v>
      </c>
      <c r="M1311">
        <v>2024</v>
      </c>
      <c r="N1311" t="s">
        <v>38</v>
      </c>
      <c r="O1311" t="s">
        <v>71</v>
      </c>
      <c r="P1311">
        <v>0</v>
      </c>
      <c r="Q1311">
        <v>0</v>
      </c>
      <c r="R1311">
        <v>0</v>
      </c>
      <c r="S1311" t="s">
        <v>99</v>
      </c>
      <c r="T1311" t="s">
        <v>2108</v>
      </c>
      <c r="U1311">
        <v>1</v>
      </c>
    </row>
    <row r="1312" spans="1:21" x14ac:dyDescent="0.3">
      <c r="A1312" t="s">
        <v>2102</v>
      </c>
      <c r="B1312" t="s">
        <v>2103</v>
      </c>
      <c r="C1312" t="s">
        <v>309</v>
      </c>
      <c r="D1312" t="s">
        <v>233</v>
      </c>
      <c r="E1312" t="s">
        <v>30</v>
      </c>
      <c r="F1312" s="6">
        <v>45473</v>
      </c>
      <c r="G1312">
        <v>95</v>
      </c>
      <c r="H1312">
        <v>100</v>
      </c>
      <c r="I1312">
        <v>1.0526315789473679</v>
      </c>
      <c r="J1312">
        <v>1.0526315789473679</v>
      </c>
      <c r="K1312" t="s">
        <v>31</v>
      </c>
      <c r="L1312" t="s">
        <v>31</v>
      </c>
      <c r="M1312">
        <v>2024</v>
      </c>
      <c r="N1312" t="s">
        <v>44</v>
      </c>
      <c r="O1312" t="s">
        <v>71</v>
      </c>
      <c r="P1312">
        <v>0</v>
      </c>
      <c r="Q1312">
        <v>0</v>
      </c>
      <c r="R1312">
        <v>0</v>
      </c>
      <c r="S1312" t="s">
        <v>99</v>
      </c>
      <c r="T1312" t="s">
        <v>2109</v>
      </c>
      <c r="U1312">
        <v>1</v>
      </c>
    </row>
    <row r="1313" spans="1:21" x14ac:dyDescent="0.3">
      <c r="A1313" t="s">
        <v>2102</v>
      </c>
      <c r="B1313" t="s">
        <v>2103</v>
      </c>
      <c r="C1313" t="s">
        <v>309</v>
      </c>
      <c r="D1313" t="s">
        <v>233</v>
      </c>
      <c r="E1313" t="s">
        <v>30</v>
      </c>
      <c r="F1313" s="6">
        <v>45565</v>
      </c>
      <c r="G1313">
        <v>95</v>
      </c>
      <c r="H1313">
        <v>80</v>
      </c>
      <c r="I1313">
        <v>0.84210526315789469</v>
      </c>
      <c r="J1313">
        <v>0.84210526315789469</v>
      </c>
      <c r="K1313" t="s">
        <v>31</v>
      </c>
      <c r="L1313" t="s">
        <v>31</v>
      </c>
      <c r="M1313">
        <v>2024</v>
      </c>
      <c r="N1313" t="s">
        <v>51</v>
      </c>
      <c r="O1313" t="s">
        <v>78</v>
      </c>
      <c r="P1313">
        <v>0</v>
      </c>
      <c r="Q1313">
        <v>0</v>
      </c>
      <c r="R1313">
        <v>0</v>
      </c>
      <c r="S1313" t="s">
        <v>99</v>
      </c>
      <c r="T1313" t="s">
        <v>2110</v>
      </c>
      <c r="U1313">
        <v>1</v>
      </c>
    </row>
    <row r="1314" spans="1:21" x14ac:dyDescent="0.3">
      <c r="A1314" t="s">
        <v>2102</v>
      </c>
      <c r="B1314" t="s">
        <v>2103</v>
      </c>
      <c r="C1314" t="s">
        <v>309</v>
      </c>
      <c r="D1314" t="s">
        <v>233</v>
      </c>
      <c r="E1314" t="s">
        <v>30</v>
      </c>
      <c r="F1314" s="6">
        <v>45657</v>
      </c>
      <c r="G1314">
        <v>95</v>
      </c>
      <c r="H1314">
        <v>100</v>
      </c>
      <c r="I1314">
        <v>1.0526315789473679</v>
      </c>
      <c r="J1314">
        <v>1.0526315789473679</v>
      </c>
      <c r="K1314" t="s">
        <v>31</v>
      </c>
      <c r="L1314" t="s">
        <v>31</v>
      </c>
      <c r="M1314">
        <v>2024</v>
      </c>
      <c r="N1314" t="s">
        <v>57</v>
      </c>
      <c r="O1314" t="s">
        <v>78</v>
      </c>
      <c r="P1314">
        <v>0</v>
      </c>
      <c r="Q1314">
        <v>0</v>
      </c>
      <c r="R1314">
        <v>0</v>
      </c>
      <c r="S1314" t="s">
        <v>99</v>
      </c>
      <c r="T1314" t="s">
        <v>2111</v>
      </c>
      <c r="U1314">
        <v>1</v>
      </c>
    </row>
    <row r="1315" spans="1:21" x14ac:dyDescent="0.3">
      <c r="A1315" t="s">
        <v>2112</v>
      </c>
      <c r="B1315" t="s">
        <v>2113</v>
      </c>
      <c r="C1315" t="s">
        <v>2114</v>
      </c>
      <c r="D1315" t="s">
        <v>284</v>
      </c>
      <c r="E1315" t="s">
        <v>30</v>
      </c>
      <c r="F1315" s="6">
        <v>45107</v>
      </c>
      <c r="G1315">
        <v>90</v>
      </c>
      <c r="H1315">
        <v>100</v>
      </c>
      <c r="I1315">
        <v>1.1111111111111109</v>
      </c>
      <c r="J1315">
        <v>1.1111111111111109</v>
      </c>
      <c r="K1315" t="s">
        <v>31</v>
      </c>
      <c r="L1315" t="s">
        <v>31</v>
      </c>
      <c r="M1315">
        <v>2023</v>
      </c>
      <c r="N1315" t="s">
        <v>44</v>
      </c>
      <c r="O1315" t="s">
        <v>33</v>
      </c>
      <c r="P1315">
        <v>0</v>
      </c>
      <c r="Q1315">
        <v>0</v>
      </c>
      <c r="R1315">
        <v>0</v>
      </c>
      <c r="S1315" t="s">
        <v>99</v>
      </c>
      <c r="T1315" t="s">
        <v>2115</v>
      </c>
      <c r="U1315">
        <v>1</v>
      </c>
    </row>
    <row r="1316" spans="1:21" x14ac:dyDescent="0.3">
      <c r="A1316" t="s">
        <v>2112</v>
      </c>
      <c r="B1316" t="s">
        <v>2113</v>
      </c>
      <c r="C1316" t="s">
        <v>2114</v>
      </c>
      <c r="D1316" t="s">
        <v>284</v>
      </c>
      <c r="E1316" t="s">
        <v>30</v>
      </c>
      <c r="F1316" s="6">
        <v>45168</v>
      </c>
      <c r="G1316">
        <v>90</v>
      </c>
      <c r="H1316">
        <v>81.819999999999993</v>
      </c>
      <c r="I1316">
        <v>0.90911111111111098</v>
      </c>
      <c r="J1316">
        <v>0.90911111111111098</v>
      </c>
      <c r="K1316" t="s">
        <v>31</v>
      </c>
      <c r="L1316" t="s">
        <v>31</v>
      </c>
      <c r="M1316">
        <v>2023</v>
      </c>
      <c r="N1316" t="s">
        <v>49</v>
      </c>
      <c r="O1316" t="s">
        <v>47</v>
      </c>
      <c r="P1316">
        <v>0</v>
      </c>
      <c r="Q1316">
        <v>0</v>
      </c>
      <c r="R1316">
        <v>0</v>
      </c>
      <c r="S1316" t="s">
        <v>99</v>
      </c>
      <c r="T1316" t="s">
        <v>2116</v>
      </c>
      <c r="U1316">
        <v>1</v>
      </c>
    </row>
    <row r="1317" spans="1:21" x14ac:dyDescent="0.3">
      <c r="A1317" t="s">
        <v>2112</v>
      </c>
      <c r="B1317" t="s">
        <v>2113</v>
      </c>
      <c r="C1317" t="s">
        <v>2114</v>
      </c>
      <c r="D1317" t="s">
        <v>284</v>
      </c>
      <c r="E1317" t="s">
        <v>30</v>
      </c>
      <c r="F1317" s="6">
        <v>45230</v>
      </c>
      <c r="G1317">
        <v>90</v>
      </c>
      <c r="H1317">
        <v>90.91</v>
      </c>
      <c r="I1317">
        <v>1.010111111111111</v>
      </c>
      <c r="J1317">
        <v>1.010111111111111</v>
      </c>
      <c r="K1317" t="s">
        <v>31</v>
      </c>
      <c r="L1317" t="s">
        <v>31</v>
      </c>
      <c r="M1317">
        <v>2023</v>
      </c>
      <c r="N1317" t="s">
        <v>53</v>
      </c>
      <c r="O1317" t="s">
        <v>47</v>
      </c>
      <c r="P1317">
        <v>0</v>
      </c>
      <c r="Q1317">
        <v>0</v>
      </c>
      <c r="R1317">
        <v>0</v>
      </c>
      <c r="S1317" t="s">
        <v>99</v>
      </c>
      <c r="T1317" t="s">
        <v>2117</v>
      </c>
      <c r="U1317">
        <v>1</v>
      </c>
    </row>
    <row r="1318" spans="1:21" x14ac:dyDescent="0.3">
      <c r="A1318" t="s">
        <v>2112</v>
      </c>
      <c r="B1318" t="s">
        <v>2113</v>
      </c>
      <c r="C1318" t="s">
        <v>2114</v>
      </c>
      <c r="D1318" t="s">
        <v>284</v>
      </c>
      <c r="E1318" t="s">
        <v>30</v>
      </c>
      <c r="F1318" s="6">
        <v>45291</v>
      </c>
      <c r="G1318">
        <v>90</v>
      </c>
      <c r="H1318">
        <v>80</v>
      </c>
      <c r="I1318">
        <v>0.88888888888888884</v>
      </c>
      <c r="J1318">
        <v>0.88888888888888884</v>
      </c>
      <c r="K1318" t="s">
        <v>31</v>
      </c>
      <c r="L1318" t="s">
        <v>31</v>
      </c>
      <c r="M1318">
        <v>2023</v>
      </c>
      <c r="N1318" t="s">
        <v>57</v>
      </c>
      <c r="O1318" t="s">
        <v>47</v>
      </c>
      <c r="P1318">
        <v>0</v>
      </c>
      <c r="Q1318">
        <v>0</v>
      </c>
      <c r="R1318">
        <v>0</v>
      </c>
      <c r="S1318" t="s">
        <v>99</v>
      </c>
      <c r="T1318" t="s">
        <v>2118</v>
      </c>
      <c r="U1318">
        <v>1</v>
      </c>
    </row>
    <row r="1319" spans="1:21" x14ac:dyDescent="0.3">
      <c r="A1319" t="s">
        <v>2112</v>
      </c>
      <c r="B1319" t="s">
        <v>2113</v>
      </c>
      <c r="C1319" t="s">
        <v>2114</v>
      </c>
      <c r="D1319" t="s">
        <v>284</v>
      </c>
      <c r="E1319" t="s">
        <v>30</v>
      </c>
      <c r="F1319" s="6">
        <v>45351</v>
      </c>
      <c r="G1319">
        <v>90</v>
      </c>
      <c r="H1319">
        <v>91.666666666666998</v>
      </c>
      <c r="I1319">
        <v>1.0185185185185219</v>
      </c>
      <c r="J1319">
        <v>1.0185185185185219</v>
      </c>
      <c r="M1319">
        <v>2024</v>
      </c>
      <c r="N1319" t="s">
        <v>36</v>
      </c>
      <c r="O1319" t="s">
        <v>71</v>
      </c>
      <c r="P1319">
        <v>0</v>
      </c>
      <c r="Q1319">
        <v>0</v>
      </c>
      <c r="R1319">
        <v>0</v>
      </c>
      <c r="S1319" t="s">
        <v>99</v>
      </c>
      <c r="T1319" t="s">
        <v>2119</v>
      </c>
      <c r="U1319">
        <v>1</v>
      </c>
    </row>
    <row r="1320" spans="1:21" x14ac:dyDescent="0.3">
      <c r="A1320" t="s">
        <v>2112</v>
      </c>
      <c r="B1320" t="s">
        <v>2113</v>
      </c>
      <c r="C1320" t="s">
        <v>2114</v>
      </c>
      <c r="D1320" t="s">
        <v>284</v>
      </c>
      <c r="E1320" t="s">
        <v>30</v>
      </c>
      <c r="F1320" s="6">
        <v>45412</v>
      </c>
      <c r="G1320">
        <v>90</v>
      </c>
      <c r="H1320">
        <v>100</v>
      </c>
      <c r="I1320">
        <v>1.1111111111111109</v>
      </c>
      <c r="J1320">
        <v>1.1111111111111109</v>
      </c>
      <c r="M1320">
        <v>2024</v>
      </c>
      <c r="N1320" t="s">
        <v>40</v>
      </c>
      <c r="O1320" t="s">
        <v>71</v>
      </c>
      <c r="P1320">
        <v>0</v>
      </c>
      <c r="Q1320">
        <v>0</v>
      </c>
      <c r="R1320">
        <v>0</v>
      </c>
      <c r="S1320" t="s">
        <v>99</v>
      </c>
      <c r="T1320" t="s">
        <v>2120</v>
      </c>
      <c r="U1320">
        <v>1</v>
      </c>
    </row>
    <row r="1321" spans="1:21" x14ac:dyDescent="0.3">
      <c r="A1321" t="s">
        <v>2112</v>
      </c>
      <c r="B1321" t="s">
        <v>2113</v>
      </c>
      <c r="C1321" t="s">
        <v>2114</v>
      </c>
      <c r="D1321" t="s">
        <v>284</v>
      </c>
      <c r="E1321" t="s">
        <v>30</v>
      </c>
      <c r="F1321" s="6">
        <v>45473</v>
      </c>
      <c r="G1321">
        <v>90</v>
      </c>
      <c r="H1321">
        <v>100</v>
      </c>
      <c r="I1321">
        <v>1</v>
      </c>
      <c r="J1321">
        <v>1.1111111111111109</v>
      </c>
      <c r="M1321">
        <v>2024</v>
      </c>
      <c r="N1321" t="s">
        <v>44</v>
      </c>
      <c r="O1321" t="s">
        <v>71</v>
      </c>
      <c r="P1321">
        <v>0</v>
      </c>
      <c r="Q1321">
        <v>0</v>
      </c>
      <c r="R1321">
        <v>0</v>
      </c>
      <c r="S1321" t="s">
        <v>99</v>
      </c>
      <c r="T1321" t="s">
        <v>2121</v>
      </c>
      <c r="U1321">
        <v>1</v>
      </c>
    </row>
    <row r="1322" spans="1:21" x14ac:dyDescent="0.3">
      <c r="A1322" t="s">
        <v>2112</v>
      </c>
      <c r="B1322" t="s">
        <v>2113</v>
      </c>
      <c r="C1322" t="s">
        <v>2114</v>
      </c>
      <c r="D1322" t="s">
        <v>284</v>
      </c>
      <c r="E1322" t="s">
        <v>30</v>
      </c>
      <c r="F1322" s="6">
        <v>45535</v>
      </c>
      <c r="G1322">
        <v>90</v>
      </c>
      <c r="H1322">
        <v>100</v>
      </c>
      <c r="I1322">
        <v>1.1111111111111109</v>
      </c>
      <c r="J1322">
        <v>1.1111111111111109</v>
      </c>
      <c r="M1322">
        <v>2024</v>
      </c>
      <c r="N1322" t="s">
        <v>49</v>
      </c>
      <c r="O1322" t="s">
        <v>78</v>
      </c>
      <c r="P1322">
        <v>0</v>
      </c>
      <c r="Q1322">
        <v>0</v>
      </c>
      <c r="R1322">
        <v>0</v>
      </c>
      <c r="S1322" t="s">
        <v>99</v>
      </c>
      <c r="T1322" t="s">
        <v>2122</v>
      </c>
      <c r="U1322">
        <v>1</v>
      </c>
    </row>
    <row r="1323" spans="1:21" x14ac:dyDescent="0.3">
      <c r="A1323" t="s">
        <v>2112</v>
      </c>
      <c r="B1323" t="s">
        <v>2113</v>
      </c>
      <c r="C1323" t="s">
        <v>2114</v>
      </c>
      <c r="D1323" t="s">
        <v>284</v>
      </c>
      <c r="E1323" t="s">
        <v>30</v>
      </c>
      <c r="F1323" s="6">
        <v>45596</v>
      </c>
      <c r="G1323">
        <v>90</v>
      </c>
      <c r="H1323">
        <v>100</v>
      </c>
      <c r="I1323">
        <v>1.1111111111111109</v>
      </c>
      <c r="J1323">
        <v>1.1111111111111109</v>
      </c>
      <c r="M1323">
        <v>2024</v>
      </c>
      <c r="N1323" t="s">
        <v>53</v>
      </c>
      <c r="O1323" t="s">
        <v>78</v>
      </c>
      <c r="P1323">
        <v>0</v>
      </c>
      <c r="Q1323">
        <v>0</v>
      </c>
      <c r="R1323">
        <v>0</v>
      </c>
      <c r="S1323" t="s">
        <v>99</v>
      </c>
      <c r="T1323" t="s">
        <v>2123</v>
      </c>
      <c r="U1323">
        <v>1</v>
      </c>
    </row>
    <row r="1324" spans="1:21" x14ac:dyDescent="0.3">
      <c r="A1324" t="s">
        <v>2112</v>
      </c>
      <c r="B1324" t="s">
        <v>2113</v>
      </c>
      <c r="C1324" t="s">
        <v>2114</v>
      </c>
      <c r="D1324" t="s">
        <v>284</v>
      </c>
      <c r="E1324" t="s">
        <v>30</v>
      </c>
      <c r="F1324" s="6">
        <v>45657</v>
      </c>
      <c r="G1324">
        <v>90</v>
      </c>
      <c r="H1324">
        <v>100</v>
      </c>
      <c r="I1324">
        <v>1.1111111111111109</v>
      </c>
      <c r="J1324">
        <v>1.1111111111111109</v>
      </c>
      <c r="M1324">
        <v>2024</v>
      </c>
      <c r="N1324" t="s">
        <v>57</v>
      </c>
      <c r="O1324" t="s">
        <v>78</v>
      </c>
      <c r="P1324">
        <v>0</v>
      </c>
      <c r="Q1324">
        <v>0</v>
      </c>
      <c r="R1324">
        <v>0</v>
      </c>
      <c r="S1324" t="s">
        <v>99</v>
      </c>
      <c r="T1324" t="s">
        <v>2124</v>
      </c>
      <c r="U1324">
        <v>1</v>
      </c>
    </row>
    <row r="1325" spans="1:21" x14ac:dyDescent="0.3">
      <c r="A1325" t="s">
        <v>2112</v>
      </c>
      <c r="B1325" t="s">
        <v>2113</v>
      </c>
      <c r="C1325" t="s">
        <v>2114</v>
      </c>
      <c r="D1325" t="s">
        <v>284</v>
      </c>
      <c r="E1325" t="s">
        <v>30</v>
      </c>
      <c r="F1325" s="6">
        <v>45716</v>
      </c>
      <c r="G1325">
        <v>90</v>
      </c>
      <c r="H1325" t="s">
        <v>898</v>
      </c>
      <c r="I1325">
        <v>0.88888888888888884</v>
      </c>
      <c r="J1325">
        <v>0.88888888888888884</v>
      </c>
      <c r="K1325" t="s">
        <v>256</v>
      </c>
      <c r="L1325" t="s">
        <v>193</v>
      </c>
      <c r="M1325">
        <v>2025</v>
      </c>
      <c r="N1325" t="s">
        <v>36</v>
      </c>
      <c r="O1325" t="s">
        <v>244</v>
      </c>
      <c r="P1325">
        <v>2</v>
      </c>
      <c r="Q1325">
        <v>2</v>
      </c>
      <c r="R1325">
        <v>0</v>
      </c>
      <c r="S1325" t="s">
        <v>104</v>
      </c>
      <c r="T1325" t="s">
        <v>2125</v>
      </c>
      <c r="U1325">
        <v>28</v>
      </c>
    </row>
    <row r="1326" spans="1:21" x14ac:dyDescent="0.3">
      <c r="A1326" t="s">
        <v>2112</v>
      </c>
      <c r="B1326" t="s">
        <v>2113</v>
      </c>
      <c r="C1326" t="s">
        <v>2114</v>
      </c>
      <c r="D1326" t="s">
        <v>284</v>
      </c>
      <c r="E1326" t="s">
        <v>30</v>
      </c>
      <c r="F1326" s="6">
        <v>45777</v>
      </c>
      <c r="G1326">
        <v>90</v>
      </c>
      <c r="H1326" t="s">
        <v>95</v>
      </c>
      <c r="I1326">
        <v>1.1111111111111109</v>
      </c>
      <c r="J1326">
        <v>1.1111111111111109</v>
      </c>
      <c r="K1326" t="s">
        <v>256</v>
      </c>
      <c r="L1326" t="s">
        <v>102</v>
      </c>
      <c r="M1326">
        <v>2025</v>
      </c>
      <c r="N1326" t="s">
        <v>40</v>
      </c>
      <c r="O1326" t="s">
        <v>244</v>
      </c>
      <c r="P1326">
        <v>2</v>
      </c>
      <c r="Q1326">
        <v>2</v>
      </c>
      <c r="R1326">
        <v>0</v>
      </c>
      <c r="S1326" t="s">
        <v>104</v>
      </c>
      <c r="T1326" t="s">
        <v>2126</v>
      </c>
      <c r="U1326">
        <v>30</v>
      </c>
    </row>
    <row r="1327" spans="1:21" x14ac:dyDescent="0.3">
      <c r="A1327" t="s">
        <v>2112</v>
      </c>
      <c r="B1327" t="s">
        <v>2113</v>
      </c>
      <c r="C1327" t="s">
        <v>2114</v>
      </c>
      <c r="D1327" t="s">
        <v>284</v>
      </c>
      <c r="E1327" t="s">
        <v>30</v>
      </c>
      <c r="F1327" s="6">
        <v>45838</v>
      </c>
      <c r="G1327">
        <v>90</v>
      </c>
      <c r="H1327" t="s">
        <v>95</v>
      </c>
      <c r="I1327">
        <v>1.1111111111111109</v>
      </c>
      <c r="J1327">
        <v>1.1111111111111109</v>
      </c>
      <c r="K1327" t="s">
        <v>256</v>
      </c>
      <c r="L1327" t="s">
        <v>102</v>
      </c>
      <c r="M1327">
        <v>2025</v>
      </c>
      <c r="N1327" t="s">
        <v>44</v>
      </c>
      <c r="O1327" t="s">
        <v>244</v>
      </c>
      <c r="P1327">
        <v>2</v>
      </c>
      <c r="Q1327">
        <v>2</v>
      </c>
      <c r="R1327">
        <v>0</v>
      </c>
      <c r="S1327" t="s">
        <v>104</v>
      </c>
      <c r="T1327" t="s">
        <v>2127</v>
      </c>
      <c r="U1327">
        <v>30</v>
      </c>
    </row>
    <row r="1328" spans="1:21" x14ac:dyDescent="0.3">
      <c r="A1328" t="s">
        <v>2112</v>
      </c>
      <c r="B1328" t="s">
        <v>2113</v>
      </c>
      <c r="C1328" t="s">
        <v>2114</v>
      </c>
      <c r="D1328" t="s">
        <v>284</v>
      </c>
      <c r="E1328" t="s">
        <v>30</v>
      </c>
      <c r="F1328" s="6">
        <v>45900</v>
      </c>
      <c r="G1328">
        <v>90</v>
      </c>
      <c r="H1328" t="s">
        <v>95</v>
      </c>
      <c r="I1328">
        <v>1.1111111111111109</v>
      </c>
      <c r="J1328">
        <v>1.1111111111111109</v>
      </c>
      <c r="K1328" t="s">
        <v>256</v>
      </c>
      <c r="L1328" t="s">
        <v>102</v>
      </c>
      <c r="M1328">
        <v>2025</v>
      </c>
      <c r="N1328" t="s">
        <v>49</v>
      </c>
      <c r="O1328" t="s">
        <v>103</v>
      </c>
      <c r="P1328">
        <v>2</v>
      </c>
      <c r="Q1328">
        <v>2</v>
      </c>
      <c r="R1328">
        <v>0</v>
      </c>
      <c r="S1328" t="s">
        <v>104</v>
      </c>
      <c r="T1328" t="s">
        <v>2128</v>
      </c>
      <c r="U1328">
        <v>31</v>
      </c>
    </row>
    <row r="1329" spans="1:21" x14ac:dyDescent="0.3">
      <c r="A1329" t="s">
        <v>2112</v>
      </c>
      <c r="B1329" t="s">
        <v>2113</v>
      </c>
      <c r="C1329" t="s">
        <v>2114</v>
      </c>
      <c r="D1329" t="s">
        <v>284</v>
      </c>
      <c r="E1329" t="s">
        <v>30</v>
      </c>
      <c r="F1329" s="6">
        <v>45961</v>
      </c>
      <c r="G1329">
        <v>90</v>
      </c>
      <c r="I1329">
        <v>0</v>
      </c>
      <c r="J1329">
        <v>0</v>
      </c>
      <c r="K1329" t="s">
        <v>256</v>
      </c>
      <c r="M1329">
        <v>2025</v>
      </c>
      <c r="N1329" t="s">
        <v>53</v>
      </c>
      <c r="O1329" t="s">
        <v>103</v>
      </c>
      <c r="P1329">
        <v>2</v>
      </c>
      <c r="Q1329">
        <v>2</v>
      </c>
      <c r="R1329">
        <v>0</v>
      </c>
      <c r="S1329" t="s">
        <v>104</v>
      </c>
      <c r="T1329" t="s">
        <v>2129</v>
      </c>
      <c r="U1329">
        <v>31</v>
      </c>
    </row>
    <row r="1330" spans="1:21" x14ac:dyDescent="0.3">
      <c r="A1330" t="s">
        <v>2112</v>
      </c>
      <c r="B1330" t="s">
        <v>2113</v>
      </c>
      <c r="C1330" t="s">
        <v>2114</v>
      </c>
      <c r="D1330" t="s">
        <v>284</v>
      </c>
      <c r="E1330" t="s">
        <v>30</v>
      </c>
      <c r="F1330" s="6">
        <v>46022</v>
      </c>
      <c r="G1330">
        <v>90</v>
      </c>
      <c r="H1330" t="s">
        <v>439</v>
      </c>
      <c r="I1330">
        <v>0.98766666666666669</v>
      </c>
      <c r="J1330">
        <v>0.98766666666666669</v>
      </c>
      <c r="K1330" t="s">
        <v>256</v>
      </c>
      <c r="L1330" t="s">
        <v>440</v>
      </c>
      <c r="M1330">
        <v>2025</v>
      </c>
      <c r="N1330" t="s">
        <v>57</v>
      </c>
      <c r="O1330" t="s">
        <v>103</v>
      </c>
      <c r="P1330">
        <v>2</v>
      </c>
      <c r="Q1330">
        <v>2</v>
      </c>
      <c r="R1330">
        <v>0</v>
      </c>
      <c r="S1330" t="s">
        <v>104</v>
      </c>
      <c r="T1330" t="s">
        <v>2130</v>
      </c>
      <c r="U1330">
        <v>31</v>
      </c>
    </row>
    <row r="1331" spans="1:21" x14ac:dyDescent="0.3">
      <c r="A1331" t="s">
        <v>2131</v>
      </c>
      <c r="B1331" t="s">
        <v>2132</v>
      </c>
      <c r="C1331" t="s">
        <v>2133</v>
      </c>
      <c r="D1331" t="s">
        <v>222</v>
      </c>
      <c r="E1331" t="s">
        <v>30</v>
      </c>
      <c r="F1331" s="6">
        <v>45107</v>
      </c>
      <c r="G1331">
        <v>100</v>
      </c>
      <c r="H1331">
        <v>100</v>
      </c>
      <c r="I1331">
        <v>1</v>
      </c>
      <c r="J1331">
        <v>1</v>
      </c>
      <c r="K1331" t="s">
        <v>31</v>
      </c>
      <c r="L1331" t="s">
        <v>31</v>
      </c>
      <c r="M1331">
        <v>2023</v>
      </c>
      <c r="N1331" t="s">
        <v>44</v>
      </c>
      <c r="O1331" t="s">
        <v>33</v>
      </c>
      <c r="P1331">
        <v>0</v>
      </c>
      <c r="Q1331">
        <v>0</v>
      </c>
      <c r="R1331">
        <v>0</v>
      </c>
      <c r="S1331" t="s">
        <v>130</v>
      </c>
      <c r="T1331" t="s">
        <v>2134</v>
      </c>
      <c r="U1331">
        <v>1</v>
      </c>
    </row>
    <row r="1332" spans="1:21" x14ac:dyDescent="0.3">
      <c r="A1332" t="s">
        <v>2131</v>
      </c>
      <c r="B1332" t="s">
        <v>2132</v>
      </c>
      <c r="C1332" t="s">
        <v>2133</v>
      </c>
      <c r="D1332" t="s">
        <v>222</v>
      </c>
      <c r="E1332" t="s">
        <v>30</v>
      </c>
      <c r="F1332" s="6">
        <v>45291</v>
      </c>
      <c r="G1332">
        <v>100</v>
      </c>
      <c r="H1332">
        <v>100</v>
      </c>
      <c r="I1332">
        <v>1</v>
      </c>
      <c r="J1332">
        <v>1</v>
      </c>
      <c r="K1332" t="s">
        <v>31</v>
      </c>
      <c r="L1332" t="s">
        <v>31</v>
      </c>
      <c r="M1332">
        <v>2023</v>
      </c>
      <c r="N1332" t="s">
        <v>57</v>
      </c>
      <c r="O1332" t="s">
        <v>47</v>
      </c>
      <c r="P1332">
        <v>0</v>
      </c>
      <c r="Q1332">
        <v>0</v>
      </c>
      <c r="R1332">
        <v>0</v>
      </c>
      <c r="S1332" t="s">
        <v>130</v>
      </c>
      <c r="T1332" t="s">
        <v>2135</v>
      </c>
      <c r="U1332">
        <v>1</v>
      </c>
    </row>
    <row r="1333" spans="1:21" x14ac:dyDescent="0.3">
      <c r="A1333" t="s">
        <v>2131</v>
      </c>
      <c r="B1333" t="s">
        <v>2132</v>
      </c>
      <c r="C1333" t="s">
        <v>2133</v>
      </c>
      <c r="D1333" t="s">
        <v>222</v>
      </c>
      <c r="E1333" t="s">
        <v>30</v>
      </c>
      <c r="F1333" s="6">
        <v>45473</v>
      </c>
      <c r="G1333">
        <v>100</v>
      </c>
      <c r="H1333">
        <v>100</v>
      </c>
      <c r="I1333">
        <v>1</v>
      </c>
      <c r="J1333">
        <v>1</v>
      </c>
      <c r="K1333" t="s">
        <v>31</v>
      </c>
      <c r="L1333" t="s">
        <v>31</v>
      </c>
      <c r="M1333">
        <v>2024</v>
      </c>
      <c r="N1333" t="s">
        <v>44</v>
      </c>
      <c r="O1333" t="s">
        <v>71</v>
      </c>
      <c r="P1333">
        <v>0</v>
      </c>
      <c r="Q1333">
        <v>0</v>
      </c>
      <c r="R1333">
        <v>0</v>
      </c>
      <c r="S1333" t="s">
        <v>130</v>
      </c>
      <c r="T1333" t="s">
        <v>2136</v>
      </c>
      <c r="U1333">
        <v>1</v>
      </c>
    </row>
    <row r="1334" spans="1:21" x14ac:dyDescent="0.3">
      <c r="A1334" t="s">
        <v>2131</v>
      </c>
      <c r="B1334" t="s">
        <v>2132</v>
      </c>
      <c r="C1334" t="s">
        <v>2133</v>
      </c>
      <c r="D1334" t="s">
        <v>222</v>
      </c>
      <c r="E1334" t="s">
        <v>30</v>
      </c>
      <c r="F1334" s="6">
        <v>45657</v>
      </c>
      <c r="G1334">
        <v>100</v>
      </c>
      <c r="H1334">
        <v>100</v>
      </c>
      <c r="I1334">
        <v>1</v>
      </c>
      <c r="J1334">
        <v>1</v>
      </c>
      <c r="K1334" t="s">
        <v>31</v>
      </c>
      <c r="L1334" t="s">
        <v>31</v>
      </c>
      <c r="M1334">
        <v>2024</v>
      </c>
      <c r="N1334" t="s">
        <v>57</v>
      </c>
      <c r="O1334" t="s">
        <v>78</v>
      </c>
      <c r="P1334">
        <v>0</v>
      </c>
      <c r="Q1334">
        <v>0</v>
      </c>
      <c r="R1334">
        <v>0</v>
      </c>
      <c r="S1334" t="s">
        <v>130</v>
      </c>
      <c r="T1334" t="s">
        <v>2137</v>
      </c>
      <c r="U1334">
        <v>1</v>
      </c>
    </row>
    <row r="1335" spans="1:21" x14ac:dyDescent="0.3">
      <c r="A1335" t="s">
        <v>2138</v>
      </c>
      <c r="B1335" t="s">
        <v>2139</v>
      </c>
      <c r="C1335" t="s">
        <v>2133</v>
      </c>
      <c r="D1335" t="s">
        <v>222</v>
      </c>
      <c r="E1335" t="s">
        <v>30</v>
      </c>
      <c r="F1335" s="6">
        <v>45107</v>
      </c>
      <c r="G1335">
        <v>3</v>
      </c>
      <c r="H1335">
        <v>10.990099009901</v>
      </c>
      <c r="I1335">
        <v>1.3</v>
      </c>
      <c r="J1335">
        <v>3.6633663366336671</v>
      </c>
      <c r="K1335" t="s">
        <v>31</v>
      </c>
      <c r="L1335" t="s">
        <v>31</v>
      </c>
      <c r="M1335">
        <v>2023</v>
      </c>
      <c r="N1335" t="s">
        <v>44</v>
      </c>
      <c r="O1335" t="s">
        <v>33</v>
      </c>
      <c r="P1335">
        <v>0</v>
      </c>
      <c r="Q1335">
        <v>0</v>
      </c>
      <c r="R1335">
        <v>0</v>
      </c>
      <c r="S1335" t="s">
        <v>130</v>
      </c>
      <c r="T1335" t="s">
        <v>2140</v>
      </c>
      <c r="U1335">
        <v>1</v>
      </c>
    </row>
    <row r="1336" spans="1:21" x14ac:dyDescent="0.3">
      <c r="A1336" t="s">
        <v>2138</v>
      </c>
      <c r="B1336" t="s">
        <v>2139</v>
      </c>
      <c r="C1336" t="s">
        <v>2133</v>
      </c>
      <c r="D1336" t="s">
        <v>222</v>
      </c>
      <c r="E1336" t="s">
        <v>30</v>
      </c>
      <c r="F1336" s="6">
        <v>45291</v>
      </c>
      <c r="G1336">
        <v>3</v>
      </c>
      <c r="H1336">
        <v>27.66</v>
      </c>
      <c r="I1336">
        <v>1.3</v>
      </c>
      <c r="J1336">
        <v>9.2200000000000006</v>
      </c>
      <c r="K1336" t="s">
        <v>31</v>
      </c>
      <c r="L1336" t="s">
        <v>31</v>
      </c>
      <c r="M1336">
        <v>2023</v>
      </c>
      <c r="N1336" t="s">
        <v>57</v>
      </c>
      <c r="O1336" t="s">
        <v>47</v>
      </c>
      <c r="P1336">
        <v>0</v>
      </c>
      <c r="Q1336">
        <v>0</v>
      </c>
      <c r="R1336">
        <v>0</v>
      </c>
      <c r="S1336" t="s">
        <v>130</v>
      </c>
      <c r="T1336" t="s">
        <v>2141</v>
      </c>
      <c r="U1336">
        <v>1</v>
      </c>
    </row>
    <row r="1337" spans="1:21" x14ac:dyDescent="0.3">
      <c r="A1337" t="s">
        <v>2138</v>
      </c>
      <c r="B1337" t="s">
        <v>2139</v>
      </c>
      <c r="C1337" t="s">
        <v>2133</v>
      </c>
      <c r="D1337" t="s">
        <v>222</v>
      </c>
      <c r="E1337" t="s">
        <v>30</v>
      </c>
      <c r="F1337" s="6">
        <v>45473</v>
      </c>
      <c r="G1337">
        <v>3</v>
      </c>
      <c r="H1337">
        <v>23.313905079100699</v>
      </c>
      <c r="I1337">
        <v>1.3</v>
      </c>
      <c r="J1337">
        <v>7.7713016930335668</v>
      </c>
      <c r="K1337" t="s">
        <v>31</v>
      </c>
      <c r="L1337" t="s">
        <v>31</v>
      </c>
      <c r="M1337">
        <v>2024</v>
      </c>
      <c r="N1337" t="s">
        <v>44</v>
      </c>
      <c r="O1337" t="s">
        <v>71</v>
      </c>
      <c r="P1337">
        <v>0</v>
      </c>
      <c r="Q1337">
        <v>0</v>
      </c>
      <c r="R1337">
        <v>0</v>
      </c>
      <c r="S1337" t="s">
        <v>130</v>
      </c>
      <c r="T1337" t="s">
        <v>2142</v>
      </c>
      <c r="U1337">
        <v>1</v>
      </c>
    </row>
    <row r="1338" spans="1:21" x14ac:dyDescent="0.3">
      <c r="A1338" t="s">
        <v>2138</v>
      </c>
      <c r="B1338" t="s">
        <v>2139</v>
      </c>
      <c r="C1338" t="s">
        <v>2133</v>
      </c>
      <c r="D1338" t="s">
        <v>222</v>
      </c>
      <c r="E1338" t="s">
        <v>30</v>
      </c>
      <c r="F1338" s="6">
        <v>45657</v>
      </c>
      <c r="G1338">
        <v>3</v>
      </c>
      <c r="H1338">
        <v>14.263862332695901</v>
      </c>
      <c r="I1338">
        <v>1.3</v>
      </c>
      <c r="J1338">
        <v>4.7546207775653002</v>
      </c>
      <c r="K1338" t="s">
        <v>31</v>
      </c>
      <c r="L1338" t="s">
        <v>31</v>
      </c>
      <c r="M1338">
        <v>2024</v>
      </c>
      <c r="N1338" t="s">
        <v>57</v>
      </c>
      <c r="O1338" t="s">
        <v>78</v>
      </c>
      <c r="P1338">
        <v>0</v>
      </c>
      <c r="Q1338">
        <v>0</v>
      </c>
      <c r="R1338">
        <v>0</v>
      </c>
      <c r="S1338" t="s">
        <v>130</v>
      </c>
      <c r="T1338" t="s">
        <v>2143</v>
      </c>
      <c r="U1338">
        <v>1</v>
      </c>
    </row>
    <row r="1339" spans="1:21" x14ac:dyDescent="0.3">
      <c r="A1339" t="s">
        <v>2138</v>
      </c>
      <c r="B1339" t="s">
        <v>2139</v>
      </c>
      <c r="C1339" t="s">
        <v>2133</v>
      </c>
      <c r="D1339" t="s">
        <v>222</v>
      </c>
      <c r="E1339" t="s">
        <v>30</v>
      </c>
      <c r="F1339" s="6">
        <v>45838</v>
      </c>
      <c r="G1339">
        <v>8</v>
      </c>
      <c r="H1339" t="s">
        <v>2144</v>
      </c>
      <c r="I1339">
        <v>1.2237499999999999</v>
      </c>
      <c r="J1339">
        <v>1.2237499999999999</v>
      </c>
      <c r="K1339" t="s">
        <v>2145</v>
      </c>
      <c r="L1339" t="s">
        <v>2146</v>
      </c>
      <c r="M1339">
        <v>2025</v>
      </c>
      <c r="N1339" t="s">
        <v>44</v>
      </c>
      <c r="O1339" t="s">
        <v>244</v>
      </c>
      <c r="P1339">
        <v>2</v>
      </c>
      <c r="Q1339">
        <v>2</v>
      </c>
      <c r="R1339">
        <v>0</v>
      </c>
      <c r="S1339" t="s">
        <v>130</v>
      </c>
      <c r="T1339" t="s">
        <v>2147</v>
      </c>
      <c r="U1339">
        <v>30</v>
      </c>
    </row>
    <row r="1340" spans="1:21" x14ac:dyDescent="0.3">
      <c r="A1340" t="s">
        <v>2138</v>
      </c>
      <c r="B1340" t="s">
        <v>2139</v>
      </c>
      <c r="C1340" t="s">
        <v>2133</v>
      </c>
      <c r="D1340" t="s">
        <v>222</v>
      </c>
      <c r="E1340" t="s">
        <v>30</v>
      </c>
      <c r="F1340" s="6">
        <v>46022</v>
      </c>
      <c r="G1340">
        <v>8</v>
      </c>
      <c r="H1340" t="s">
        <v>2148</v>
      </c>
      <c r="I1340">
        <v>1.3</v>
      </c>
      <c r="J1340">
        <v>1.4012500000000001</v>
      </c>
      <c r="K1340" t="s">
        <v>2145</v>
      </c>
      <c r="L1340" t="s">
        <v>2149</v>
      </c>
      <c r="M1340">
        <v>2025</v>
      </c>
      <c r="N1340" t="s">
        <v>57</v>
      </c>
      <c r="O1340" t="s">
        <v>103</v>
      </c>
      <c r="P1340">
        <v>2</v>
      </c>
      <c r="Q1340">
        <v>2</v>
      </c>
      <c r="R1340">
        <v>0</v>
      </c>
      <c r="S1340" t="s">
        <v>130</v>
      </c>
      <c r="T1340" t="s">
        <v>2150</v>
      </c>
      <c r="U1340">
        <v>31</v>
      </c>
    </row>
    <row r="1341" spans="1:21" x14ac:dyDescent="0.3">
      <c r="A1341" t="s">
        <v>2151</v>
      </c>
      <c r="B1341" t="s">
        <v>2152</v>
      </c>
      <c r="C1341" t="s">
        <v>2133</v>
      </c>
      <c r="D1341" t="s">
        <v>222</v>
      </c>
      <c r="E1341" t="s">
        <v>30</v>
      </c>
      <c r="F1341" s="6">
        <v>45107</v>
      </c>
      <c r="G1341">
        <v>100</v>
      </c>
      <c r="H1341">
        <v>100</v>
      </c>
      <c r="I1341">
        <v>1</v>
      </c>
      <c r="J1341">
        <v>1</v>
      </c>
      <c r="K1341" t="s">
        <v>31</v>
      </c>
      <c r="L1341" t="s">
        <v>31</v>
      </c>
      <c r="M1341">
        <v>2023</v>
      </c>
      <c r="N1341" t="s">
        <v>44</v>
      </c>
      <c r="O1341" t="s">
        <v>33</v>
      </c>
      <c r="P1341">
        <v>0</v>
      </c>
      <c r="Q1341">
        <v>0</v>
      </c>
      <c r="R1341">
        <v>0</v>
      </c>
      <c r="S1341" t="s">
        <v>130</v>
      </c>
      <c r="T1341" t="s">
        <v>2153</v>
      </c>
      <c r="U1341">
        <v>1</v>
      </c>
    </row>
    <row r="1342" spans="1:21" x14ac:dyDescent="0.3">
      <c r="A1342" t="s">
        <v>2151</v>
      </c>
      <c r="B1342" t="s">
        <v>2152</v>
      </c>
      <c r="C1342" t="s">
        <v>2133</v>
      </c>
      <c r="D1342" t="s">
        <v>222</v>
      </c>
      <c r="E1342" t="s">
        <v>30</v>
      </c>
      <c r="F1342" s="6">
        <v>45291</v>
      </c>
      <c r="G1342">
        <v>100</v>
      </c>
      <c r="H1342">
        <v>100</v>
      </c>
      <c r="I1342">
        <v>1</v>
      </c>
      <c r="J1342">
        <v>1</v>
      </c>
      <c r="K1342" t="s">
        <v>31</v>
      </c>
      <c r="L1342" t="s">
        <v>31</v>
      </c>
      <c r="M1342">
        <v>2023</v>
      </c>
      <c r="N1342" t="s">
        <v>57</v>
      </c>
      <c r="O1342" t="s">
        <v>47</v>
      </c>
      <c r="P1342">
        <v>0</v>
      </c>
      <c r="Q1342">
        <v>0</v>
      </c>
      <c r="R1342">
        <v>0</v>
      </c>
      <c r="S1342" t="s">
        <v>130</v>
      </c>
      <c r="T1342" t="s">
        <v>2154</v>
      </c>
      <c r="U1342">
        <v>1</v>
      </c>
    </row>
    <row r="1343" spans="1:21" x14ac:dyDescent="0.3">
      <c r="A1343" t="s">
        <v>2151</v>
      </c>
      <c r="B1343" t="s">
        <v>2152</v>
      </c>
      <c r="C1343" t="s">
        <v>2133</v>
      </c>
      <c r="D1343" t="s">
        <v>222</v>
      </c>
      <c r="E1343" t="s">
        <v>30</v>
      </c>
      <c r="F1343" s="6">
        <v>45473</v>
      </c>
      <c r="G1343">
        <v>100</v>
      </c>
      <c r="H1343">
        <v>100</v>
      </c>
      <c r="I1343">
        <v>1</v>
      </c>
      <c r="J1343">
        <v>1</v>
      </c>
      <c r="K1343" t="s">
        <v>31</v>
      </c>
      <c r="L1343" t="s">
        <v>31</v>
      </c>
      <c r="M1343">
        <v>2024</v>
      </c>
      <c r="N1343" t="s">
        <v>44</v>
      </c>
      <c r="O1343" t="s">
        <v>71</v>
      </c>
      <c r="P1343">
        <v>0</v>
      </c>
      <c r="Q1343">
        <v>0</v>
      </c>
      <c r="R1343">
        <v>0</v>
      </c>
      <c r="S1343" t="s">
        <v>130</v>
      </c>
      <c r="T1343" t="s">
        <v>2155</v>
      </c>
      <c r="U1343">
        <v>1</v>
      </c>
    </row>
    <row r="1344" spans="1:21" x14ac:dyDescent="0.3">
      <c r="A1344" t="s">
        <v>2151</v>
      </c>
      <c r="B1344" t="s">
        <v>2152</v>
      </c>
      <c r="C1344" t="s">
        <v>2133</v>
      </c>
      <c r="D1344" t="s">
        <v>222</v>
      </c>
      <c r="E1344" t="s">
        <v>30</v>
      </c>
      <c r="F1344" s="6">
        <v>45657</v>
      </c>
      <c r="G1344">
        <v>100</v>
      </c>
      <c r="H1344">
        <v>100</v>
      </c>
      <c r="I1344">
        <v>1</v>
      </c>
      <c r="J1344">
        <v>1</v>
      </c>
      <c r="K1344" t="s">
        <v>31</v>
      </c>
      <c r="L1344" t="s">
        <v>31</v>
      </c>
      <c r="M1344">
        <v>2024</v>
      </c>
      <c r="N1344" t="s">
        <v>57</v>
      </c>
      <c r="O1344" t="s">
        <v>78</v>
      </c>
      <c r="P1344">
        <v>0</v>
      </c>
      <c r="Q1344">
        <v>0</v>
      </c>
      <c r="R1344">
        <v>0</v>
      </c>
      <c r="S1344" t="s">
        <v>130</v>
      </c>
      <c r="T1344" t="s">
        <v>2156</v>
      </c>
      <c r="U1344">
        <v>1</v>
      </c>
    </row>
    <row r="1345" spans="1:21" x14ac:dyDescent="0.3">
      <c r="A1345" t="s">
        <v>2157</v>
      </c>
      <c r="B1345" t="s">
        <v>2158</v>
      </c>
      <c r="C1345" t="s">
        <v>2133</v>
      </c>
      <c r="D1345" t="s">
        <v>222</v>
      </c>
      <c r="E1345" t="s">
        <v>30</v>
      </c>
      <c r="F1345" s="6">
        <v>45107</v>
      </c>
      <c r="G1345">
        <v>3</v>
      </c>
      <c r="H1345">
        <v>30.158730158730201</v>
      </c>
      <c r="I1345">
        <v>1.3</v>
      </c>
      <c r="J1345">
        <v>10.05291005291007</v>
      </c>
      <c r="K1345" t="s">
        <v>31</v>
      </c>
      <c r="L1345" t="s">
        <v>31</v>
      </c>
      <c r="M1345">
        <v>2023</v>
      </c>
      <c r="N1345" t="s">
        <v>44</v>
      </c>
      <c r="O1345" t="s">
        <v>33</v>
      </c>
      <c r="P1345">
        <v>0</v>
      </c>
      <c r="Q1345">
        <v>0</v>
      </c>
      <c r="R1345">
        <v>0</v>
      </c>
      <c r="S1345" t="s">
        <v>130</v>
      </c>
      <c r="T1345" t="s">
        <v>2159</v>
      </c>
      <c r="U1345">
        <v>1</v>
      </c>
    </row>
    <row r="1346" spans="1:21" x14ac:dyDescent="0.3">
      <c r="A1346" t="s">
        <v>2157</v>
      </c>
      <c r="B1346" t="s">
        <v>2158</v>
      </c>
      <c r="C1346" t="s">
        <v>2133</v>
      </c>
      <c r="D1346" t="s">
        <v>222</v>
      </c>
      <c r="E1346" t="s">
        <v>30</v>
      </c>
      <c r="F1346" s="6">
        <v>45291</v>
      </c>
      <c r="G1346">
        <v>3</v>
      </c>
      <c r="H1346">
        <v>41.99</v>
      </c>
      <c r="I1346">
        <v>1.3</v>
      </c>
      <c r="J1346">
        <v>13.99666666666667</v>
      </c>
      <c r="K1346" t="s">
        <v>31</v>
      </c>
      <c r="L1346" t="s">
        <v>31</v>
      </c>
      <c r="M1346">
        <v>2023</v>
      </c>
      <c r="N1346" t="s">
        <v>57</v>
      </c>
      <c r="O1346" t="s">
        <v>47</v>
      </c>
      <c r="P1346">
        <v>0</v>
      </c>
      <c r="Q1346">
        <v>0</v>
      </c>
      <c r="R1346">
        <v>0</v>
      </c>
      <c r="S1346" t="s">
        <v>130</v>
      </c>
      <c r="T1346" t="s">
        <v>2160</v>
      </c>
      <c r="U1346">
        <v>1</v>
      </c>
    </row>
    <row r="1347" spans="1:21" x14ac:dyDescent="0.3">
      <c r="A1347" t="s">
        <v>2157</v>
      </c>
      <c r="B1347" t="s">
        <v>2158</v>
      </c>
      <c r="C1347" t="s">
        <v>2133</v>
      </c>
      <c r="D1347" t="s">
        <v>222</v>
      </c>
      <c r="E1347" t="s">
        <v>30</v>
      </c>
      <c r="F1347" s="6">
        <v>45473</v>
      </c>
      <c r="G1347">
        <v>3</v>
      </c>
      <c r="H1347">
        <v>26.276694521819799</v>
      </c>
      <c r="I1347">
        <v>1.3</v>
      </c>
      <c r="J1347">
        <v>8.758898173939933</v>
      </c>
      <c r="K1347" t="s">
        <v>31</v>
      </c>
      <c r="L1347" t="s">
        <v>31</v>
      </c>
      <c r="M1347">
        <v>2024</v>
      </c>
      <c r="N1347" t="s">
        <v>44</v>
      </c>
      <c r="O1347" t="s">
        <v>71</v>
      </c>
      <c r="P1347">
        <v>0</v>
      </c>
      <c r="Q1347">
        <v>0</v>
      </c>
      <c r="R1347">
        <v>0</v>
      </c>
      <c r="S1347" t="s">
        <v>130</v>
      </c>
      <c r="T1347" t="s">
        <v>2161</v>
      </c>
      <c r="U1347">
        <v>1</v>
      </c>
    </row>
    <row r="1348" spans="1:21" x14ac:dyDescent="0.3">
      <c r="A1348" t="s">
        <v>2157</v>
      </c>
      <c r="B1348" t="s">
        <v>2162</v>
      </c>
      <c r="C1348" t="s">
        <v>2133</v>
      </c>
      <c r="D1348" t="s">
        <v>222</v>
      </c>
      <c r="E1348" t="s">
        <v>30</v>
      </c>
      <c r="F1348" s="6">
        <v>45657</v>
      </c>
      <c r="G1348">
        <v>3</v>
      </c>
      <c r="H1348">
        <v>5.5</v>
      </c>
      <c r="I1348">
        <v>1.3</v>
      </c>
      <c r="J1348">
        <v>1.833333333333333</v>
      </c>
      <c r="K1348" t="s">
        <v>31</v>
      </c>
      <c r="L1348" t="s">
        <v>31</v>
      </c>
      <c r="M1348">
        <v>2024</v>
      </c>
      <c r="N1348" t="s">
        <v>57</v>
      </c>
      <c r="O1348" t="s">
        <v>78</v>
      </c>
      <c r="P1348">
        <v>0</v>
      </c>
      <c r="Q1348">
        <v>0</v>
      </c>
      <c r="R1348">
        <v>0</v>
      </c>
      <c r="S1348" t="s">
        <v>130</v>
      </c>
      <c r="T1348" t="s">
        <v>2163</v>
      </c>
      <c r="U1348">
        <v>1</v>
      </c>
    </row>
    <row r="1349" spans="1:21" x14ac:dyDescent="0.3">
      <c r="A1349" t="s">
        <v>2157</v>
      </c>
      <c r="B1349" t="s">
        <v>2162</v>
      </c>
      <c r="C1349" t="s">
        <v>2133</v>
      </c>
      <c r="D1349" t="s">
        <v>222</v>
      </c>
      <c r="E1349" t="s">
        <v>30</v>
      </c>
      <c r="F1349" s="6">
        <v>45838</v>
      </c>
      <c r="G1349">
        <v>8</v>
      </c>
      <c r="H1349" t="s">
        <v>2164</v>
      </c>
      <c r="I1349">
        <v>0</v>
      </c>
      <c r="J1349">
        <v>-1.1487499999999999</v>
      </c>
      <c r="K1349" t="s">
        <v>2145</v>
      </c>
      <c r="L1349" t="s">
        <v>2165</v>
      </c>
      <c r="M1349">
        <v>2025</v>
      </c>
      <c r="N1349" t="s">
        <v>44</v>
      </c>
      <c r="O1349" t="s">
        <v>244</v>
      </c>
      <c r="P1349">
        <v>2</v>
      </c>
      <c r="Q1349">
        <v>2</v>
      </c>
      <c r="R1349">
        <v>0</v>
      </c>
      <c r="S1349" t="s">
        <v>130</v>
      </c>
      <c r="T1349" t="s">
        <v>2166</v>
      </c>
      <c r="U1349">
        <v>30</v>
      </c>
    </row>
    <row r="1350" spans="1:21" x14ac:dyDescent="0.3">
      <c r="A1350" t="s">
        <v>2157</v>
      </c>
      <c r="B1350" t="s">
        <v>2162</v>
      </c>
      <c r="C1350" t="s">
        <v>2133</v>
      </c>
      <c r="D1350" t="s">
        <v>222</v>
      </c>
      <c r="E1350" t="s">
        <v>30</v>
      </c>
      <c r="F1350" s="6">
        <v>46022</v>
      </c>
      <c r="G1350">
        <v>8</v>
      </c>
      <c r="H1350" t="s">
        <v>2167</v>
      </c>
      <c r="I1350">
        <v>1.3</v>
      </c>
      <c r="J1350">
        <v>6.7525000000000004</v>
      </c>
      <c r="K1350" t="s">
        <v>2145</v>
      </c>
      <c r="L1350" t="s">
        <v>2168</v>
      </c>
      <c r="M1350">
        <v>2025</v>
      </c>
      <c r="N1350" t="s">
        <v>57</v>
      </c>
      <c r="O1350" t="s">
        <v>103</v>
      </c>
      <c r="P1350">
        <v>2</v>
      </c>
      <c r="Q1350">
        <v>2</v>
      </c>
      <c r="R1350">
        <v>0</v>
      </c>
      <c r="S1350" t="s">
        <v>130</v>
      </c>
      <c r="T1350" t="s">
        <v>2169</v>
      </c>
      <c r="U1350">
        <v>31</v>
      </c>
    </row>
    <row r="1351" spans="1:21" x14ac:dyDescent="0.3">
      <c r="A1351" t="s">
        <v>2170</v>
      </c>
      <c r="B1351" t="s">
        <v>2171</v>
      </c>
      <c r="C1351" t="s">
        <v>283</v>
      </c>
      <c r="D1351" t="s">
        <v>222</v>
      </c>
      <c r="E1351" t="s">
        <v>30</v>
      </c>
      <c r="F1351" s="6">
        <v>45107</v>
      </c>
      <c r="G1351">
        <v>11</v>
      </c>
      <c r="H1351">
        <v>5</v>
      </c>
      <c r="I1351">
        <v>0.45454545454545447</v>
      </c>
      <c r="J1351">
        <v>0.45454545454545447</v>
      </c>
      <c r="K1351" t="s">
        <v>31</v>
      </c>
      <c r="L1351" t="s">
        <v>31</v>
      </c>
      <c r="M1351">
        <v>2023</v>
      </c>
      <c r="N1351" t="s">
        <v>44</v>
      </c>
      <c r="O1351" t="s">
        <v>33</v>
      </c>
      <c r="P1351">
        <v>0</v>
      </c>
      <c r="Q1351">
        <v>0</v>
      </c>
      <c r="R1351">
        <v>0</v>
      </c>
      <c r="S1351" t="s">
        <v>99</v>
      </c>
      <c r="T1351" t="s">
        <v>2172</v>
      </c>
      <c r="U1351">
        <v>1</v>
      </c>
    </row>
    <row r="1352" spans="1:21" x14ac:dyDescent="0.3">
      <c r="A1352" t="s">
        <v>2170</v>
      </c>
      <c r="B1352" t="s">
        <v>2171</v>
      </c>
      <c r="C1352" t="s">
        <v>283</v>
      </c>
      <c r="D1352" t="s">
        <v>222</v>
      </c>
      <c r="E1352" t="s">
        <v>30</v>
      </c>
      <c r="F1352" s="6">
        <v>45291</v>
      </c>
      <c r="G1352">
        <v>21</v>
      </c>
      <c r="H1352">
        <v>9</v>
      </c>
      <c r="I1352">
        <v>0.42857142857142849</v>
      </c>
      <c r="J1352">
        <v>0.42857142857142849</v>
      </c>
      <c r="K1352" t="s">
        <v>31</v>
      </c>
      <c r="L1352" t="s">
        <v>31</v>
      </c>
      <c r="M1352">
        <v>2023</v>
      </c>
      <c r="N1352" t="s">
        <v>57</v>
      </c>
      <c r="O1352" t="s">
        <v>47</v>
      </c>
      <c r="P1352">
        <v>0</v>
      </c>
      <c r="Q1352">
        <v>0</v>
      </c>
      <c r="R1352">
        <v>0</v>
      </c>
      <c r="S1352" t="s">
        <v>99</v>
      </c>
      <c r="T1352" t="s">
        <v>2173</v>
      </c>
      <c r="U1352">
        <v>1</v>
      </c>
    </row>
    <row r="1353" spans="1:21" x14ac:dyDescent="0.3">
      <c r="A1353" t="s">
        <v>2170</v>
      </c>
      <c r="B1353" t="s">
        <v>2171</v>
      </c>
      <c r="C1353" t="s">
        <v>283</v>
      </c>
      <c r="D1353" t="s">
        <v>222</v>
      </c>
      <c r="E1353" t="s">
        <v>30</v>
      </c>
      <c r="F1353" s="6">
        <v>45473</v>
      </c>
      <c r="G1353">
        <v>60</v>
      </c>
      <c r="H1353">
        <v>52.38</v>
      </c>
      <c r="I1353">
        <v>0.873</v>
      </c>
      <c r="J1353">
        <v>0.873</v>
      </c>
      <c r="K1353" t="s">
        <v>118</v>
      </c>
      <c r="L1353" t="s">
        <v>118</v>
      </c>
      <c r="M1353">
        <v>2024</v>
      </c>
      <c r="N1353" t="s">
        <v>44</v>
      </c>
      <c r="O1353" t="s">
        <v>71</v>
      </c>
      <c r="P1353">
        <v>0</v>
      </c>
      <c r="Q1353">
        <v>0</v>
      </c>
      <c r="R1353">
        <v>0</v>
      </c>
      <c r="S1353" t="s">
        <v>99</v>
      </c>
      <c r="T1353" t="s">
        <v>2174</v>
      </c>
      <c r="U1353">
        <v>1</v>
      </c>
    </row>
    <row r="1354" spans="1:21" x14ac:dyDescent="0.3">
      <c r="A1354" t="s">
        <v>2175</v>
      </c>
      <c r="B1354" t="s">
        <v>2176</v>
      </c>
      <c r="C1354" t="s">
        <v>2177</v>
      </c>
      <c r="D1354" t="s">
        <v>284</v>
      </c>
      <c r="E1354" t="s">
        <v>30</v>
      </c>
      <c r="F1354" s="6">
        <v>45169</v>
      </c>
      <c r="G1354">
        <v>70</v>
      </c>
      <c r="H1354">
        <v>70.91</v>
      </c>
      <c r="I1354">
        <v>1.0129999999999999</v>
      </c>
      <c r="J1354">
        <v>1.0129999999999999</v>
      </c>
      <c r="K1354" t="s">
        <v>118</v>
      </c>
      <c r="L1354" t="s">
        <v>118</v>
      </c>
      <c r="M1354">
        <v>2023</v>
      </c>
      <c r="N1354" t="s">
        <v>49</v>
      </c>
      <c r="O1354" t="s">
        <v>47</v>
      </c>
      <c r="P1354">
        <v>0</v>
      </c>
      <c r="Q1354">
        <v>0</v>
      </c>
      <c r="R1354">
        <v>0</v>
      </c>
      <c r="S1354" t="s">
        <v>99</v>
      </c>
      <c r="T1354" t="s">
        <v>2178</v>
      </c>
      <c r="U1354">
        <v>1</v>
      </c>
    </row>
    <row r="1355" spans="1:21" x14ac:dyDescent="0.3">
      <c r="A1355" t="s">
        <v>2175</v>
      </c>
      <c r="B1355" t="s">
        <v>2176</v>
      </c>
      <c r="C1355" t="s">
        <v>2177</v>
      </c>
      <c r="D1355" t="s">
        <v>284</v>
      </c>
      <c r="E1355" t="s">
        <v>30</v>
      </c>
      <c r="F1355" s="6">
        <v>45230</v>
      </c>
      <c r="G1355">
        <v>80</v>
      </c>
      <c r="H1355">
        <v>80</v>
      </c>
      <c r="I1355">
        <v>1</v>
      </c>
      <c r="J1355">
        <v>1</v>
      </c>
      <c r="K1355" t="s">
        <v>118</v>
      </c>
      <c r="L1355" t="s">
        <v>118</v>
      </c>
      <c r="M1355">
        <v>2023</v>
      </c>
      <c r="N1355" t="s">
        <v>53</v>
      </c>
      <c r="O1355" t="s">
        <v>47</v>
      </c>
      <c r="P1355">
        <v>0</v>
      </c>
      <c r="Q1355">
        <v>0</v>
      </c>
      <c r="R1355">
        <v>0</v>
      </c>
      <c r="S1355" t="s">
        <v>99</v>
      </c>
      <c r="T1355" t="s">
        <v>2179</v>
      </c>
      <c r="U1355">
        <v>1</v>
      </c>
    </row>
    <row r="1356" spans="1:21" x14ac:dyDescent="0.3">
      <c r="A1356" t="s">
        <v>2175</v>
      </c>
      <c r="B1356" t="s">
        <v>2176</v>
      </c>
      <c r="C1356" t="s">
        <v>2177</v>
      </c>
      <c r="D1356" t="s">
        <v>284</v>
      </c>
      <c r="E1356" t="s">
        <v>30</v>
      </c>
      <c r="F1356" s="6">
        <v>45291</v>
      </c>
      <c r="G1356">
        <v>100</v>
      </c>
      <c r="H1356">
        <v>85.45</v>
      </c>
      <c r="I1356">
        <v>0.85450000000000004</v>
      </c>
      <c r="J1356">
        <v>0.85450000000000004</v>
      </c>
      <c r="K1356" t="s">
        <v>118</v>
      </c>
      <c r="L1356" t="s">
        <v>118</v>
      </c>
      <c r="M1356">
        <v>2023</v>
      </c>
      <c r="N1356" t="s">
        <v>57</v>
      </c>
      <c r="O1356" t="s">
        <v>47</v>
      </c>
      <c r="P1356">
        <v>0</v>
      </c>
      <c r="Q1356">
        <v>0</v>
      </c>
      <c r="R1356">
        <v>0</v>
      </c>
      <c r="S1356" t="s">
        <v>99</v>
      </c>
      <c r="T1356" t="s">
        <v>2180</v>
      </c>
      <c r="U1356">
        <v>1</v>
      </c>
    </row>
    <row r="1357" spans="1:21" x14ac:dyDescent="0.3">
      <c r="A1357" t="s">
        <v>2181</v>
      </c>
      <c r="B1357" t="s">
        <v>2182</v>
      </c>
      <c r="C1357" t="s">
        <v>2177</v>
      </c>
      <c r="D1357" t="s">
        <v>284</v>
      </c>
      <c r="E1357" t="s">
        <v>108</v>
      </c>
      <c r="F1357" s="6">
        <v>45169</v>
      </c>
      <c r="G1357">
        <v>20</v>
      </c>
      <c r="H1357">
        <v>0</v>
      </c>
      <c r="I1357">
        <v>1</v>
      </c>
      <c r="J1357">
        <v>1</v>
      </c>
      <c r="K1357" t="s">
        <v>118</v>
      </c>
      <c r="L1357" t="s">
        <v>118</v>
      </c>
      <c r="M1357">
        <v>2023</v>
      </c>
      <c r="N1357" t="s">
        <v>49</v>
      </c>
      <c r="O1357" t="s">
        <v>47</v>
      </c>
      <c r="P1357">
        <v>0</v>
      </c>
      <c r="Q1357">
        <v>0</v>
      </c>
      <c r="R1357">
        <v>0</v>
      </c>
      <c r="S1357" t="s">
        <v>99</v>
      </c>
      <c r="T1357" t="s">
        <v>2183</v>
      </c>
      <c r="U1357">
        <v>1</v>
      </c>
    </row>
    <row r="1358" spans="1:21" x14ac:dyDescent="0.3">
      <c r="A1358" t="s">
        <v>2181</v>
      </c>
      <c r="B1358" t="s">
        <v>2182</v>
      </c>
      <c r="C1358" t="s">
        <v>2177</v>
      </c>
      <c r="D1358" t="s">
        <v>284</v>
      </c>
      <c r="E1358" t="s">
        <v>108</v>
      </c>
      <c r="F1358" s="6">
        <v>45230</v>
      </c>
      <c r="G1358">
        <v>20</v>
      </c>
      <c r="H1358">
        <v>1.19</v>
      </c>
      <c r="I1358">
        <v>1</v>
      </c>
      <c r="J1358">
        <v>1</v>
      </c>
      <c r="K1358" t="s">
        <v>118</v>
      </c>
      <c r="L1358" t="s">
        <v>109</v>
      </c>
      <c r="M1358">
        <v>2023</v>
      </c>
      <c r="N1358" t="s">
        <v>53</v>
      </c>
      <c r="O1358" t="s">
        <v>47</v>
      </c>
      <c r="P1358">
        <v>2</v>
      </c>
      <c r="Q1358">
        <v>2</v>
      </c>
      <c r="R1358">
        <v>0</v>
      </c>
      <c r="S1358" t="s">
        <v>99</v>
      </c>
      <c r="T1358" t="s">
        <v>2184</v>
      </c>
      <c r="U1358">
        <v>1</v>
      </c>
    </row>
    <row r="1359" spans="1:21" x14ac:dyDescent="0.3">
      <c r="A1359" t="s">
        <v>2181</v>
      </c>
      <c r="B1359" t="s">
        <v>2182</v>
      </c>
      <c r="C1359" t="s">
        <v>2177</v>
      </c>
      <c r="D1359" t="s">
        <v>284</v>
      </c>
      <c r="E1359" t="s">
        <v>108</v>
      </c>
      <c r="F1359" s="6">
        <v>45291</v>
      </c>
      <c r="G1359">
        <v>20</v>
      </c>
      <c r="H1359">
        <v>0.93</v>
      </c>
      <c r="I1359">
        <v>1</v>
      </c>
      <c r="J1359">
        <v>1</v>
      </c>
      <c r="K1359" t="s">
        <v>118</v>
      </c>
      <c r="L1359" t="s">
        <v>109</v>
      </c>
      <c r="M1359">
        <v>2023</v>
      </c>
      <c r="N1359" t="s">
        <v>57</v>
      </c>
      <c r="O1359" t="s">
        <v>47</v>
      </c>
      <c r="P1359">
        <v>0</v>
      </c>
      <c r="Q1359">
        <v>0</v>
      </c>
      <c r="R1359">
        <v>0</v>
      </c>
      <c r="S1359" t="s">
        <v>99</v>
      </c>
      <c r="T1359" t="s">
        <v>2185</v>
      </c>
      <c r="U1359">
        <v>1</v>
      </c>
    </row>
    <row r="1360" spans="1:21" x14ac:dyDescent="0.3">
      <c r="A1360" t="s">
        <v>2186</v>
      </c>
      <c r="B1360" t="s">
        <v>2187</v>
      </c>
      <c r="C1360" t="s">
        <v>2177</v>
      </c>
      <c r="D1360" t="s">
        <v>222</v>
      </c>
      <c r="E1360" t="s">
        <v>108</v>
      </c>
      <c r="F1360" s="6">
        <v>45107</v>
      </c>
      <c r="K1360" t="s">
        <v>118</v>
      </c>
      <c r="L1360" t="s">
        <v>109</v>
      </c>
      <c r="M1360">
        <v>2023</v>
      </c>
      <c r="N1360" t="s">
        <v>44</v>
      </c>
      <c r="O1360" t="s">
        <v>33</v>
      </c>
      <c r="P1360">
        <v>0</v>
      </c>
      <c r="Q1360">
        <v>0</v>
      </c>
      <c r="R1360">
        <v>0</v>
      </c>
      <c r="S1360" t="s">
        <v>99</v>
      </c>
      <c r="T1360" t="s">
        <v>2188</v>
      </c>
      <c r="U1360">
        <v>1</v>
      </c>
    </row>
    <row r="1361" spans="1:21" x14ac:dyDescent="0.3">
      <c r="A1361" t="s">
        <v>2186</v>
      </c>
      <c r="B1361" t="s">
        <v>2187</v>
      </c>
      <c r="C1361" t="s">
        <v>2177</v>
      </c>
      <c r="D1361" t="s">
        <v>222</v>
      </c>
      <c r="E1361" t="s">
        <v>108</v>
      </c>
      <c r="F1361" s="6">
        <v>45291</v>
      </c>
      <c r="H1361">
        <v>1</v>
      </c>
      <c r="J1361">
        <v>0</v>
      </c>
      <c r="K1361" t="s">
        <v>1041</v>
      </c>
      <c r="L1361" t="s">
        <v>109</v>
      </c>
      <c r="M1361">
        <v>2023</v>
      </c>
      <c r="N1361" t="s">
        <v>57</v>
      </c>
      <c r="O1361" t="s">
        <v>47</v>
      </c>
      <c r="P1361">
        <v>0</v>
      </c>
      <c r="Q1361">
        <v>0</v>
      </c>
      <c r="R1361">
        <v>0</v>
      </c>
      <c r="S1361" t="s">
        <v>99</v>
      </c>
      <c r="T1361" t="s">
        <v>2189</v>
      </c>
      <c r="U1361">
        <v>1</v>
      </c>
    </row>
    <row r="1362" spans="1:21" x14ac:dyDescent="0.3">
      <c r="A1362" t="s">
        <v>2190</v>
      </c>
      <c r="B1362" t="s">
        <v>2191</v>
      </c>
      <c r="C1362" t="s">
        <v>2114</v>
      </c>
      <c r="D1362" t="s">
        <v>29</v>
      </c>
      <c r="E1362" t="s">
        <v>30</v>
      </c>
      <c r="F1362" s="6">
        <v>44957</v>
      </c>
      <c r="G1362">
        <v>8</v>
      </c>
      <c r="H1362">
        <v>8</v>
      </c>
      <c r="I1362">
        <v>1</v>
      </c>
      <c r="J1362">
        <v>1</v>
      </c>
      <c r="K1362" t="s">
        <v>31</v>
      </c>
      <c r="L1362" t="s">
        <v>31</v>
      </c>
      <c r="M1362">
        <v>2023</v>
      </c>
      <c r="N1362" t="s">
        <v>32</v>
      </c>
      <c r="O1362" t="s">
        <v>33</v>
      </c>
      <c r="P1362">
        <v>0</v>
      </c>
      <c r="Q1362">
        <v>0</v>
      </c>
      <c r="R1362">
        <v>0</v>
      </c>
      <c r="S1362" t="s">
        <v>99</v>
      </c>
      <c r="T1362" t="s">
        <v>2192</v>
      </c>
      <c r="U1362">
        <v>1</v>
      </c>
    </row>
    <row r="1363" spans="1:21" x14ac:dyDescent="0.3">
      <c r="A1363" t="s">
        <v>2190</v>
      </c>
      <c r="B1363" t="s">
        <v>2191</v>
      </c>
      <c r="C1363" t="s">
        <v>2114</v>
      </c>
      <c r="D1363" t="s">
        <v>29</v>
      </c>
      <c r="E1363" t="s">
        <v>30</v>
      </c>
      <c r="F1363" s="6">
        <v>44985</v>
      </c>
      <c r="G1363">
        <v>26</v>
      </c>
      <c r="H1363">
        <v>26</v>
      </c>
      <c r="I1363">
        <v>1</v>
      </c>
      <c r="J1363">
        <v>1</v>
      </c>
      <c r="K1363" t="s">
        <v>31</v>
      </c>
      <c r="L1363" t="s">
        <v>31</v>
      </c>
      <c r="M1363">
        <v>2023</v>
      </c>
      <c r="N1363" t="s">
        <v>36</v>
      </c>
      <c r="O1363" t="s">
        <v>33</v>
      </c>
      <c r="P1363">
        <v>0</v>
      </c>
      <c r="Q1363">
        <v>0</v>
      </c>
      <c r="R1363">
        <v>0</v>
      </c>
      <c r="S1363" t="s">
        <v>99</v>
      </c>
      <c r="T1363" t="s">
        <v>2193</v>
      </c>
      <c r="U1363">
        <v>1</v>
      </c>
    </row>
    <row r="1364" spans="1:21" x14ac:dyDescent="0.3">
      <c r="A1364" t="s">
        <v>2190</v>
      </c>
      <c r="B1364" t="s">
        <v>2191</v>
      </c>
      <c r="C1364" t="s">
        <v>2114</v>
      </c>
      <c r="D1364" t="s">
        <v>29</v>
      </c>
      <c r="E1364" t="s">
        <v>30</v>
      </c>
      <c r="F1364" s="6">
        <v>45016</v>
      </c>
      <c r="G1364">
        <v>25</v>
      </c>
      <c r="H1364">
        <v>33</v>
      </c>
      <c r="I1364">
        <v>1.32</v>
      </c>
      <c r="J1364">
        <v>1.32</v>
      </c>
      <c r="K1364" t="s">
        <v>31</v>
      </c>
      <c r="L1364" t="s">
        <v>31</v>
      </c>
      <c r="M1364">
        <v>2023</v>
      </c>
      <c r="N1364" t="s">
        <v>38</v>
      </c>
      <c r="O1364" t="s">
        <v>33</v>
      </c>
      <c r="P1364">
        <v>0</v>
      </c>
      <c r="Q1364">
        <v>0</v>
      </c>
      <c r="R1364">
        <v>0</v>
      </c>
      <c r="S1364" t="s">
        <v>99</v>
      </c>
      <c r="T1364" t="s">
        <v>2194</v>
      </c>
      <c r="U1364">
        <v>1</v>
      </c>
    </row>
    <row r="1365" spans="1:21" x14ac:dyDescent="0.3">
      <c r="A1365" t="s">
        <v>2190</v>
      </c>
      <c r="B1365" t="s">
        <v>2191</v>
      </c>
      <c r="C1365" t="s">
        <v>2114</v>
      </c>
      <c r="D1365" t="s">
        <v>29</v>
      </c>
      <c r="E1365" t="s">
        <v>30</v>
      </c>
      <c r="F1365" s="6">
        <v>45046</v>
      </c>
      <c r="G1365">
        <v>44</v>
      </c>
      <c r="H1365">
        <v>46</v>
      </c>
      <c r="I1365">
        <v>1.045454545454545</v>
      </c>
      <c r="J1365">
        <v>1.045454545454545</v>
      </c>
      <c r="K1365" t="s">
        <v>31</v>
      </c>
      <c r="L1365" t="s">
        <v>31</v>
      </c>
      <c r="M1365">
        <v>2023</v>
      </c>
      <c r="N1365" t="s">
        <v>40</v>
      </c>
      <c r="O1365" t="s">
        <v>33</v>
      </c>
      <c r="P1365">
        <v>0</v>
      </c>
      <c r="Q1365">
        <v>0</v>
      </c>
      <c r="R1365">
        <v>0</v>
      </c>
      <c r="S1365" t="s">
        <v>99</v>
      </c>
      <c r="T1365" t="s">
        <v>2195</v>
      </c>
      <c r="U1365">
        <v>1</v>
      </c>
    </row>
    <row r="1366" spans="1:21" x14ac:dyDescent="0.3">
      <c r="A1366" t="s">
        <v>2190</v>
      </c>
      <c r="B1366" t="s">
        <v>2191</v>
      </c>
      <c r="C1366" t="s">
        <v>2114</v>
      </c>
      <c r="D1366" t="s">
        <v>29</v>
      </c>
      <c r="E1366" t="s">
        <v>30</v>
      </c>
      <c r="F1366" s="6">
        <v>45077</v>
      </c>
      <c r="G1366">
        <v>57</v>
      </c>
      <c r="H1366">
        <v>60</v>
      </c>
      <c r="I1366">
        <v>1.0526315789473679</v>
      </c>
      <c r="J1366">
        <v>1.0526315789473679</v>
      </c>
      <c r="K1366" t="s">
        <v>31</v>
      </c>
      <c r="L1366" t="s">
        <v>31</v>
      </c>
      <c r="M1366">
        <v>2023</v>
      </c>
      <c r="N1366" t="s">
        <v>42</v>
      </c>
      <c r="O1366" t="s">
        <v>33</v>
      </c>
      <c r="P1366">
        <v>0</v>
      </c>
      <c r="Q1366">
        <v>0</v>
      </c>
      <c r="R1366">
        <v>0</v>
      </c>
      <c r="S1366" t="s">
        <v>99</v>
      </c>
      <c r="T1366" t="s">
        <v>2196</v>
      </c>
      <c r="U1366">
        <v>1</v>
      </c>
    </row>
    <row r="1367" spans="1:21" x14ac:dyDescent="0.3">
      <c r="A1367" t="s">
        <v>2190</v>
      </c>
      <c r="B1367" t="s">
        <v>2191</v>
      </c>
      <c r="C1367" t="s">
        <v>2114</v>
      </c>
      <c r="D1367" t="s">
        <v>29</v>
      </c>
      <c r="E1367" t="s">
        <v>30</v>
      </c>
      <c r="F1367" s="6">
        <v>45107</v>
      </c>
      <c r="G1367">
        <v>69</v>
      </c>
      <c r="H1367">
        <v>71</v>
      </c>
      <c r="I1367">
        <v>1.0289855072463769</v>
      </c>
      <c r="J1367">
        <v>1.0289855072463769</v>
      </c>
      <c r="K1367" t="s">
        <v>31</v>
      </c>
      <c r="L1367" t="s">
        <v>31</v>
      </c>
      <c r="M1367">
        <v>2023</v>
      </c>
      <c r="N1367" t="s">
        <v>44</v>
      </c>
      <c r="O1367" t="s">
        <v>33</v>
      </c>
      <c r="P1367">
        <v>0</v>
      </c>
      <c r="Q1367">
        <v>0</v>
      </c>
      <c r="R1367">
        <v>0</v>
      </c>
      <c r="S1367" t="s">
        <v>99</v>
      </c>
      <c r="T1367" t="s">
        <v>2197</v>
      </c>
      <c r="U1367">
        <v>1</v>
      </c>
    </row>
    <row r="1368" spans="1:21" x14ac:dyDescent="0.3">
      <c r="A1368" t="s">
        <v>2190</v>
      </c>
      <c r="B1368" t="s">
        <v>2191</v>
      </c>
      <c r="C1368" t="s">
        <v>2114</v>
      </c>
      <c r="D1368" t="s">
        <v>29</v>
      </c>
      <c r="E1368" t="s">
        <v>30</v>
      </c>
      <c r="F1368" s="6">
        <v>45138</v>
      </c>
      <c r="G1368">
        <v>80</v>
      </c>
      <c r="H1368">
        <v>81</v>
      </c>
      <c r="I1368">
        <v>1.0125</v>
      </c>
      <c r="J1368">
        <v>1.0125</v>
      </c>
      <c r="K1368" t="s">
        <v>31</v>
      </c>
      <c r="L1368" t="s">
        <v>31</v>
      </c>
      <c r="M1368">
        <v>2023</v>
      </c>
      <c r="N1368" t="s">
        <v>46</v>
      </c>
      <c r="O1368" t="s">
        <v>47</v>
      </c>
      <c r="P1368">
        <v>0</v>
      </c>
      <c r="Q1368">
        <v>0</v>
      </c>
      <c r="R1368">
        <v>0</v>
      </c>
      <c r="S1368" t="s">
        <v>99</v>
      </c>
      <c r="T1368" t="s">
        <v>2198</v>
      </c>
      <c r="U1368">
        <v>1</v>
      </c>
    </row>
    <row r="1369" spans="1:21" x14ac:dyDescent="0.3">
      <c r="A1369" t="s">
        <v>2190</v>
      </c>
      <c r="B1369" t="s">
        <v>2191</v>
      </c>
      <c r="C1369" t="s">
        <v>2114</v>
      </c>
      <c r="D1369" t="s">
        <v>29</v>
      </c>
      <c r="E1369" t="s">
        <v>30</v>
      </c>
      <c r="F1369" s="6">
        <v>45169</v>
      </c>
      <c r="G1369">
        <v>92</v>
      </c>
      <c r="H1369">
        <v>88</v>
      </c>
      <c r="I1369">
        <v>0.95652173913043481</v>
      </c>
      <c r="J1369">
        <v>0.95652173913043481</v>
      </c>
      <c r="K1369" t="s">
        <v>31</v>
      </c>
      <c r="L1369" t="s">
        <v>31</v>
      </c>
      <c r="M1369">
        <v>2023</v>
      </c>
      <c r="N1369" t="s">
        <v>49</v>
      </c>
      <c r="O1369" t="s">
        <v>47</v>
      </c>
      <c r="P1369">
        <v>0</v>
      </c>
      <c r="Q1369">
        <v>0</v>
      </c>
      <c r="R1369">
        <v>0</v>
      </c>
      <c r="S1369" t="s">
        <v>99</v>
      </c>
      <c r="T1369" t="s">
        <v>2199</v>
      </c>
      <c r="U1369">
        <v>1</v>
      </c>
    </row>
    <row r="1370" spans="1:21" x14ac:dyDescent="0.3">
      <c r="A1370" t="s">
        <v>2190</v>
      </c>
      <c r="B1370" t="s">
        <v>2191</v>
      </c>
      <c r="C1370" t="s">
        <v>2114</v>
      </c>
      <c r="D1370" t="s">
        <v>29</v>
      </c>
      <c r="E1370" t="s">
        <v>30</v>
      </c>
      <c r="F1370" s="6">
        <v>45199</v>
      </c>
      <c r="G1370">
        <v>97</v>
      </c>
      <c r="H1370">
        <v>94</v>
      </c>
      <c r="I1370">
        <v>0.96907216494845361</v>
      </c>
      <c r="J1370">
        <v>0.96907216494845361</v>
      </c>
      <c r="K1370" t="s">
        <v>31</v>
      </c>
      <c r="L1370" t="s">
        <v>31</v>
      </c>
      <c r="M1370">
        <v>2023</v>
      </c>
      <c r="N1370" t="s">
        <v>51</v>
      </c>
      <c r="O1370" t="s">
        <v>47</v>
      </c>
      <c r="P1370">
        <v>0</v>
      </c>
      <c r="Q1370">
        <v>0</v>
      </c>
      <c r="R1370">
        <v>0</v>
      </c>
      <c r="S1370" t="s">
        <v>99</v>
      </c>
      <c r="T1370" t="s">
        <v>2200</v>
      </c>
      <c r="U1370">
        <v>1</v>
      </c>
    </row>
    <row r="1371" spans="1:21" x14ac:dyDescent="0.3">
      <c r="A1371" t="s">
        <v>2190</v>
      </c>
      <c r="B1371" t="s">
        <v>2191</v>
      </c>
      <c r="C1371" t="s">
        <v>2114</v>
      </c>
      <c r="D1371" t="s">
        <v>29</v>
      </c>
      <c r="E1371" t="s">
        <v>30</v>
      </c>
      <c r="F1371" s="6">
        <v>45230</v>
      </c>
      <c r="G1371">
        <v>99</v>
      </c>
      <c r="H1371">
        <v>96</v>
      </c>
      <c r="I1371">
        <v>0.96969696969696972</v>
      </c>
      <c r="J1371">
        <v>0.96969696969696972</v>
      </c>
      <c r="K1371" t="s">
        <v>31</v>
      </c>
      <c r="L1371" t="s">
        <v>31</v>
      </c>
      <c r="M1371">
        <v>2023</v>
      </c>
      <c r="N1371" t="s">
        <v>53</v>
      </c>
      <c r="O1371" t="s">
        <v>47</v>
      </c>
      <c r="P1371">
        <v>0</v>
      </c>
      <c r="Q1371">
        <v>0</v>
      </c>
      <c r="R1371">
        <v>0</v>
      </c>
      <c r="S1371" t="s">
        <v>99</v>
      </c>
      <c r="T1371" t="s">
        <v>2201</v>
      </c>
      <c r="U1371">
        <v>1</v>
      </c>
    </row>
    <row r="1372" spans="1:21" x14ac:dyDescent="0.3">
      <c r="A1372" t="s">
        <v>2190</v>
      </c>
      <c r="B1372" t="s">
        <v>2191</v>
      </c>
      <c r="C1372" t="s">
        <v>2114</v>
      </c>
      <c r="D1372" t="s">
        <v>29</v>
      </c>
      <c r="E1372" t="s">
        <v>30</v>
      </c>
      <c r="F1372" s="6">
        <v>45260</v>
      </c>
      <c r="G1372">
        <v>100</v>
      </c>
      <c r="H1372">
        <v>99</v>
      </c>
      <c r="I1372">
        <v>0.99</v>
      </c>
      <c r="J1372">
        <v>0.99</v>
      </c>
      <c r="K1372" t="s">
        <v>31</v>
      </c>
      <c r="L1372" t="s">
        <v>31</v>
      </c>
      <c r="M1372">
        <v>2023</v>
      </c>
      <c r="N1372" t="s">
        <v>55</v>
      </c>
      <c r="O1372" t="s">
        <v>47</v>
      </c>
      <c r="P1372">
        <v>0</v>
      </c>
      <c r="Q1372">
        <v>0</v>
      </c>
      <c r="R1372">
        <v>0</v>
      </c>
      <c r="S1372" t="s">
        <v>99</v>
      </c>
      <c r="T1372" t="s">
        <v>2202</v>
      </c>
      <c r="U1372">
        <v>1</v>
      </c>
    </row>
    <row r="1373" spans="1:21" x14ac:dyDescent="0.3">
      <c r="A1373" t="s">
        <v>2190</v>
      </c>
      <c r="B1373" t="s">
        <v>2191</v>
      </c>
      <c r="C1373" t="s">
        <v>2114</v>
      </c>
      <c r="D1373" t="s">
        <v>29</v>
      </c>
      <c r="E1373" t="s">
        <v>30</v>
      </c>
      <c r="F1373" s="6">
        <v>45291</v>
      </c>
      <c r="G1373">
        <v>100</v>
      </c>
      <c r="H1373">
        <v>99</v>
      </c>
      <c r="I1373">
        <v>0.99</v>
      </c>
      <c r="J1373">
        <v>0.99</v>
      </c>
      <c r="K1373" t="s">
        <v>31</v>
      </c>
      <c r="L1373" t="s">
        <v>31</v>
      </c>
      <c r="M1373">
        <v>2023</v>
      </c>
      <c r="N1373" t="s">
        <v>57</v>
      </c>
      <c r="O1373" t="s">
        <v>47</v>
      </c>
      <c r="P1373">
        <v>0</v>
      </c>
      <c r="Q1373">
        <v>0</v>
      </c>
      <c r="R1373">
        <v>1</v>
      </c>
      <c r="S1373" t="s">
        <v>99</v>
      </c>
      <c r="T1373" t="s">
        <v>2203</v>
      </c>
      <c r="U1373">
        <v>1</v>
      </c>
    </row>
    <row r="1374" spans="1:21" x14ac:dyDescent="0.3">
      <c r="A1374" t="s">
        <v>2190</v>
      </c>
      <c r="B1374" t="s">
        <v>2191</v>
      </c>
      <c r="C1374" t="s">
        <v>2114</v>
      </c>
      <c r="D1374" t="s">
        <v>29</v>
      </c>
      <c r="E1374" t="s">
        <v>30</v>
      </c>
      <c r="F1374" s="6">
        <v>45322</v>
      </c>
      <c r="G1374">
        <v>100</v>
      </c>
      <c r="H1374">
        <v>99</v>
      </c>
      <c r="I1374">
        <v>0.99</v>
      </c>
      <c r="J1374">
        <v>0.99</v>
      </c>
      <c r="K1374" t="s">
        <v>31</v>
      </c>
      <c r="L1374" t="s">
        <v>31</v>
      </c>
      <c r="M1374">
        <v>2024</v>
      </c>
      <c r="N1374" t="s">
        <v>32</v>
      </c>
      <c r="O1374" t="s">
        <v>71</v>
      </c>
      <c r="P1374">
        <v>0</v>
      </c>
      <c r="Q1374">
        <v>0</v>
      </c>
      <c r="R1374">
        <v>1</v>
      </c>
      <c r="S1374" t="s">
        <v>99</v>
      </c>
      <c r="T1374" t="s">
        <v>2204</v>
      </c>
      <c r="U1374">
        <v>1</v>
      </c>
    </row>
    <row r="1375" spans="1:21" x14ac:dyDescent="0.3">
      <c r="A1375" t="s">
        <v>2190</v>
      </c>
      <c r="B1375" t="s">
        <v>2191</v>
      </c>
      <c r="C1375" t="s">
        <v>2114</v>
      </c>
      <c r="D1375" t="s">
        <v>29</v>
      </c>
      <c r="E1375" t="s">
        <v>30</v>
      </c>
      <c r="F1375" s="6">
        <v>45351</v>
      </c>
      <c r="G1375">
        <v>100</v>
      </c>
      <c r="H1375">
        <v>100</v>
      </c>
      <c r="I1375">
        <v>1</v>
      </c>
      <c r="J1375">
        <v>1</v>
      </c>
      <c r="K1375" t="s">
        <v>31</v>
      </c>
      <c r="L1375" t="s">
        <v>31</v>
      </c>
      <c r="M1375">
        <v>2024</v>
      </c>
      <c r="N1375" t="s">
        <v>36</v>
      </c>
      <c r="O1375" t="s">
        <v>71</v>
      </c>
      <c r="P1375">
        <v>0</v>
      </c>
      <c r="Q1375">
        <v>0</v>
      </c>
      <c r="R1375">
        <v>1</v>
      </c>
      <c r="S1375" t="s">
        <v>99</v>
      </c>
      <c r="T1375" t="s">
        <v>2205</v>
      </c>
      <c r="U1375">
        <v>1</v>
      </c>
    </row>
    <row r="1376" spans="1:21" x14ac:dyDescent="0.3">
      <c r="A1376" t="s">
        <v>2206</v>
      </c>
      <c r="B1376" t="s">
        <v>2207</v>
      </c>
      <c r="C1376" t="s">
        <v>169</v>
      </c>
      <c r="D1376" t="s">
        <v>233</v>
      </c>
      <c r="E1376" t="s">
        <v>30</v>
      </c>
      <c r="F1376" s="6">
        <v>45016</v>
      </c>
      <c r="G1376">
        <v>100</v>
      </c>
      <c r="H1376">
        <v>100</v>
      </c>
      <c r="I1376">
        <v>1</v>
      </c>
      <c r="J1376">
        <v>1</v>
      </c>
      <c r="K1376" t="s">
        <v>31</v>
      </c>
      <c r="L1376" t="s">
        <v>31</v>
      </c>
      <c r="M1376">
        <v>2023</v>
      </c>
      <c r="N1376" t="s">
        <v>38</v>
      </c>
      <c r="O1376" t="s">
        <v>33</v>
      </c>
      <c r="P1376">
        <v>0</v>
      </c>
      <c r="Q1376">
        <v>0</v>
      </c>
      <c r="R1376">
        <v>0</v>
      </c>
      <c r="S1376" t="s">
        <v>99</v>
      </c>
      <c r="T1376" t="s">
        <v>2208</v>
      </c>
      <c r="U1376">
        <v>1</v>
      </c>
    </row>
    <row r="1377" spans="1:21" x14ac:dyDescent="0.3">
      <c r="A1377" t="s">
        <v>2206</v>
      </c>
      <c r="B1377" t="s">
        <v>2207</v>
      </c>
      <c r="C1377" t="s">
        <v>169</v>
      </c>
      <c r="D1377" t="s">
        <v>233</v>
      </c>
      <c r="E1377" t="s">
        <v>30</v>
      </c>
      <c r="F1377" s="6">
        <v>45107</v>
      </c>
      <c r="G1377">
        <v>100</v>
      </c>
      <c r="H1377">
        <v>100</v>
      </c>
      <c r="I1377">
        <v>1</v>
      </c>
      <c r="J1377">
        <v>1</v>
      </c>
      <c r="K1377" t="s">
        <v>31</v>
      </c>
      <c r="L1377" t="s">
        <v>31</v>
      </c>
      <c r="M1377">
        <v>2023</v>
      </c>
      <c r="N1377" t="s">
        <v>44</v>
      </c>
      <c r="O1377" t="s">
        <v>33</v>
      </c>
      <c r="P1377">
        <v>0</v>
      </c>
      <c r="Q1377">
        <v>0</v>
      </c>
      <c r="R1377">
        <v>0</v>
      </c>
      <c r="S1377" t="s">
        <v>99</v>
      </c>
      <c r="T1377" t="s">
        <v>2209</v>
      </c>
      <c r="U1377">
        <v>1</v>
      </c>
    </row>
    <row r="1378" spans="1:21" x14ac:dyDescent="0.3">
      <c r="A1378" t="s">
        <v>2206</v>
      </c>
      <c r="B1378" t="s">
        <v>2207</v>
      </c>
      <c r="C1378" t="s">
        <v>169</v>
      </c>
      <c r="D1378" t="s">
        <v>233</v>
      </c>
      <c r="E1378" t="s">
        <v>30</v>
      </c>
      <c r="F1378" s="6">
        <v>45199</v>
      </c>
      <c r="G1378">
        <v>100</v>
      </c>
      <c r="H1378">
        <v>100</v>
      </c>
      <c r="I1378">
        <v>1</v>
      </c>
      <c r="J1378">
        <v>1</v>
      </c>
      <c r="K1378" t="s">
        <v>31</v>
      </c>
      <c r="L1378" t="s">
        <v>31</v>
      </c>
      <c r="M1378">
        <v>2023</v>
      </c>
      <c r="N1378" t="s">
        <v>51</v>
      </c>
      <c r="O1378" t="s">
        <v>47</v>
      </c>
      <c r="P1378">
        <v>0</v>
      </c>
      <c r="Q1378">
        <v>0</v>
      </c>
      <c r="R1378">
        <v>0</v>
      </c>
      <c r="S1378" t="s">
        <v>99</v>
      </c>
      <c r="T1378" t="s">
        <v>2210</v>
      </c>
      <c r="U1378">
        <v>1</v>
      </c>
    </row>
    <row r="1379" spans="1:21" x14ac:dyDescent="0.3">
      <c r="A1379" t="s">
        <v>2206</v>
      </c>
      <c r="B1379" t="s">
        <v>2207</v>
      </c>
      <c r="C1379" t="s">
        <v>169</v>
      </c>
      <c r="D1379" t="s">
        <v>233</v>
      </c>
      <c r="E1379" t="s">
        <v>30</v>
      </c>
      <c r="F1379" s="6">
        <v>45291</v>
      </c>
      <c r="G1379">
        <v>100</v>
      </c>
      <c r="H1379">
        <v>100</v>
      </c>
      <c r="I1379">
        <v>1</v>
      </c>
      <c r="J1379">
        <v>1</v>
      </c>
      <c r="K1379" t="s">
        <v>31</v>
      </c>
      <c r="L1379" t="s">
        <v>31</v>
      </c>
      <c r="M1379">
        <v>2023</v>
      </c>
      <c r="N1379" t="s">
        <v>57</v>
      </c>
      <c r="O1379" t="s">
        <v>47</v>
      </c>
      <c r="P1379">
        <v>0</v>
      </c>
      <c r="Q1379">
        <v>0</v>
      </c>
      <c r="R1379">
        <v>0</v>
      </c>
      <c r="S1379" t="s">
        <v>99</v>
      </c>
      <c r="T1379" t="s">
        <v>2211</v>
      </c>
      <c r="U1379">
        <v>1</v>
      </c>
    </row>
    <row r="1380" spans="1:21" x14ac:dyDescent="0.3">
      <c r="A1380" t="s">
        <v>2206</v>
      </c>
      <c r="B1380" t="s">
        <v>2207</v>
      </c>
      <c r="C1380" t="s">
        <v>169</v>
      </c>
      <c r="D1380" t="s">
        <v>233</v>
      </c>
      <c r="E1380" t="s">
        <v>30</v>
      </c>
      <c r="F1380" s="6">
        <v>45382</v>
      </c>
      <c r="G1380">
        <v>100</v>
      </c>
      <c r="H1380">
        <v>100</v>
      </c>
      <c r="I1380">
        <v>1</v>
      </c>
      <c r="J1380">
        <v>1</v>
      </c>
      <c r="K1380" t="s">
        <v>31</v>
      </c>
      <c r="L1380" t="s">
        <v>31</v>
      </c>
      <c r="M1380">
        <v>2024</v>
      </c>
      <c r="N1380" t="s">
        <v>38</v>
      </c>
      <c r="O1380" t="s">
        <v>71</v>
      </c>
      <c r="P1380">
        <v>0</v>
      </c>
      <c r="Q1380">
        <v>0</v>
      </c>
      <c r="R1380">
        <v>0</v>
      </c>
      <c r="S1380" t="s">
        <v>99</v>
      </c>
      <c r="T1380" t="s">
        <v>2212</v>
      </c>
      <c r="U1380">
        <v>1</v>
      </c>
    </row>
    <row r="1381" spans="1:21" x14ac:dyDescent="0.3">
      <c r="A1381" t="s">
        <v>2206</v>
      </c>
      <c r="B1381" t="s">
        <v>2207</v>
      </c>
      <c r="C1381" t="s">
        <v>169</v>
      </c>
      <c r="D1381" t="s">
        <v>233</v>
      </c>
      <c r="E1381" t="s">
        <v>30</v>
      </c>
      <c r="F1381" s="6">
        <v>45473</v>
      </c>
      <c r="G1381">
        <v>100</v>
      </c>
      <c r="H1381">
        <v>100</v>
      </c>
      <c r="I1381">
        <v>1</v>
      </c>
      <c r="J1381">
        <v>1</v>
      </c>
      <c r="K1381" t="s">
        <v>31</v>
      </c>
      <c r="L1381" t="s">
        <v>31</v>
      </c>
      <c r="M1381">
        <v>2024</v>
      </c>
      <c r="N1381" t="s">
        <v>44</v>
      </c>
      <c r="O1381" t="s">
        <v>71</v>
      </c>
      <c r="P1381">
        <v>0</v>
      </c>
      <c r="Q1381">
        <v>0</v>
      </c>
      <c r="R1381">
        <v>0</v>
      </c>
      <c r="S1381" t="s">
        <v>99</v>
      </c>
      <c r="T1381" t="s">
        <v>2213</v>
      </c>
      <c r="U1381">
        <v>1</v>
      </c>
    </row>
    <row r="1382" spans="1:21" x14ac:dyDescent="0.3">
      <c r="A1382" t="s">
        <v>2206</v>
      </c>
      <c r="B1382" t="s">
        <v>2207</v>
      </c>
      <c r="C1382" t="s">
        <v>169</v>
      </c>
      <c r="D1382" t="s">
        <v>233</v>
      </c>
      <c r="E1382" t="s">
        <v>30</v>
      </c>
      <c r="F1382" s="6">
        <v>45565</v>
      </c>
      <c r="G1382">
        <v>100</v>
      </c>
      <c r="H1382">
        <v>100</v>
      </c>
      <c r="I1382">
        <v>1</v>
      </c>
      <c r="J1382">
        <v>1</v>
      </c>
      <c r="K1382" t="s">
        <v>31</v>
      </c>
      <c r="L1382" t="s">
        <v>31</v>
      </c>
      <c r="M1382">
        <v>2024</v>
      </c>
      <c r="N1382" t="s">
        <v>51</v>
      </c>
      <c r="O1382" t="s">
        <v>78</v>
      </c>
      <c r="P1382">
        <v>0</v>
      </c>
      <c r="Q1382">
        <v>0</v>
      </c>
      <c r="R1382">
        <v>0</v>
      </c>
      <c r="S1382" t="s">
        <v>99</v>
      </c>
      <c r="T1382" t="s">
        <v>2214</v>
      </c>
      <c r="U1382">
        <v>1</v>
      </c>
    </row>
    <row r="1383" spans="1:21" x14ac:dyDescent="0.3">
      <c r="A1383" t="s">
        <v>2206</v>
      </c>
      <c r="B1383" t="s">
        <v>2207</v>
      </c>
      <c r="C1383" t="s">
        <v>169</v>
      </c>
      <c r="D1383" t="s">
        <v>233</v>
      </c>
      <c r="E1383" t="s">
        <v>30</v>
      </c>
      <c r="F1383" s="6">
        <v>45657</v>
      </c>
      <c r="G1383">
        <v>100</v>
      </c>
      <c r="H1383">
        <v>100</v>
      </c>
      <c r="I1383">
        <v>1</v>
      </c>
      <c r="J1383">
        <v>1</v>
      </c>
      <c r="K1383" t="s">
        <v>31</v>
      </c>
      <c r="L1383" t="s">
        <v>31</v>
      </c>
      <c r="M1383">
        <v>2024</v>
      </c>
      <c r="N1383" t="s">
        <v>57</v>
      </c>
      <c r="O1383" t="s">
        <v>78</v>
      </c>
      <c r="P1383">
        <v>0</v>
      </c>
      <c r="Q1383">
        <v>0</v>
      </c>
      <c r="R1383">
        <v>0</v>
      </c>
      <c r="S1383" t="s">
        <v>99</v>
      </c>
      <c r="T1383" t="s">
        <v>2215</v>
      </c>
      <c r="U1383">
        <v>1</v>
      </c>
    </row>
    <row r="1384" spans="1:21" x14ac:dyDescent="0.3">
      <c r="A1384" t="s">
        <v>2206</v>
      </c>
      <c r="B1384" t="s">
        <v>2207</v>
      </c>
      <c r="C1384" t="s">
        <v>169</v>
      </c>
      <c r="D1384" t="s">
        <v>233</v>
      </c>
      <c r="E1384" t="s">
        <v>30</v>
      </c>
      <c r="F1384" s="6">
        <v>45747</v>
      </c>
      <c r="G1384">
        <v>100</v>
      </c>
      <c r="H1384" t="s">
        <v>95</v>
      </c>
      <c r="I1384">
        <v>1</v>
      </c>
      <c r="J1384">
        <v>1</v>
      </c>
      <c r="K1384" t="s">
        <v>102</v>
      </c>
      <c r="L1384" t="s">
        <v>102</v>
      </c>
      <c r="M1384">
        <v>2025</v>
      </c>
      <c r="N1384" t="s">
        <v>38</v>
      </c>
      <c r="O1384" t="s">
        <v>244</v>
      </c>
      <c r="P1384">
        <v>2</v>
      </c>
      <c r="Q1384">
        <v>2</v>
      </c>
      <c r="R1384">
        <v>0</v>
      </c>
      <c r="S1384" t="s">
        <v>104</v>
      </c>
      <c r="T1384" t="s">
        <v>2216</v>
      </c>
      <c r="U1384">
        <v>31</v>
      </c>
    </row>
    <row r="1385" spans="1:21" x14ac:dyDescent="0.3">
      <c r="A1385" t="s">
        <v>2206</v>
      </c>
      <c r="B1385" t="s">
        <v>2207</v>
      </c>
      <c r="C1385" t="s">
        <v>169</v>
      </c>
      <c r="D1385" t="s">
        <v>233</v>
      </c>
      <c r="E1385" t="s">
        <v>30</v>
      </c>
      <c r="F1385" s="6">
        <v>45838</v>
      </c>
      <c r="G1385">
        <v>100</v>
      </c>
      <c r="H1385" t="s">
        <v>95</v>
      </c>
      <c r="I1385">
        <v>1</v>
      </c>
      <c r="J1385">
        <v>1</v>
      </c>
      <c r="K1385" t="s">
        <v>102</v>
      </c>
      <c r="L1385" t="s">
        <v>102</v>
      </c>
      <c r="M1385">
        <v>2025</v>
      </c>
      <c r="N1385" t="s">
        <v>44</v>
      </c>
      <c r="O1385" t="s">
        <v>244</v>
      </c>
      <c r="P1385">
        <v>2</v>
      </c>
      <c r="Q1385">
        <v>2</v>
      </c>
      <c r="R1385">
        <v>0</v>
      </c>
      <c r="S1385" t="s">
        <v>104</v>
      </c>
      <c r="T1385" t="s">
        <v>2217</v>
      </c>
      <c r="U1385">
        <v>30</v>
      </c>
    </row>
    <row r="1386" spans="1:21" x14ac:dyDescent="0.3">
      <c r="A1386" t="s">
        <v>2206</v>
      </c>
      <c r="B1386" t="s">
        <v>2207</v>
      </c>
      <c r="C1386" t="s">
        <v>169</v>
      </c>
      <c r="D1386" t="s">
        <v>233</v>
      </c>
      <c r="E1386" t="s">
        <v>30</v>
      </c>
      <c r="F1386" s="6">
        <v>46022</v>
      </c>
      <c r="G1386">
        <v>100</v>
      </c>
      <c r="H1386" t="s">
        <v>95</v>
      </c>
      <c r="I1386">
        <v>1</v>
      </c>
      <c r="J1386">
        <v>1</v>
      </c>
      <c r="K1386" t="s">
        <v>102</v>
      </c>
      <c r="L1386" t="s">
        <v>102</v>
      </c>
      <c r="M1386">
        <v>2025</v>
      </c>
      <c r="N1386" t="s">
        <v>57</v>
      </c>
      <c r="O1386" t="s">
        <v>103</v>
      </c>
      <c r="P1386">
        <v>2</v>
      </c>
      <c r="Q1386">
        <v>2</v>
      </c>
      <c r="R1386">
        <v>0</v>
      </c>
      <c r="S1386" t="s">
        <v>104</v>
      </c>
      <c r="T1386" t="s">
        <v>2218</v>
      </c>
      <c r="U1386">
        <v>31</v>
      </c>
    </row>
    <row r="1387" spans="1:21" x14ac:dyDescent="0.3">
      <c r="A1387" t="s">
        <v>2219</v>
      </c>
      <c r="B1387" t="s">
        <v>2220</v>
      </c>
      <c r="C1387" t="s">
        <v>169</v>
      </c>
      <c r="D1387" t="s">
        <v>233</v>
      </c>
      <c r="E1387" t="s">
        <v>30</v>
      </c>
      <c r="F1387" s="6">
        <v>45016</v>
      </c>
      <c r="G1387">
        <v>100</v>
      </c>
      <c r="H1387">
        <v>100</v>
      </c>
      <c r="I1387">
        <v>1</v>
      </c>
      <c r="J1387">
        <v>1</v>
      </c>
      <c r="K1387" t="s">
        <v>31</v>
      </c>
      <c r="L1387" t="s">
        <v>31</v>
      </c>
      <c r="M1387">
        <v>2023</v>
      </c>
      <c r="N1387" t="s">
        <v>38</v>
      </c>
      <c r="O1387" t="s">
        <v>33</v>
      </c>
      <c r="P1387">
        <v>0</v>
      </c>
      <c r="Q1387">
        <v>0</v>
      </c>
      <c r="R1387">
        <v>0</v>
      </c>
      <c r="S1387" t="s">
        <v>99</v>
      </c>
      <c r="T1387" t="s">
        <v>2221</v>
      </c>
      <c r="U1387">
        <v>1</v>
      </c>
    </row>
    <row r="1388" spans="1:21" x14ac:dyDescent="0.3">
      <c r="A1388" t="s">
        <v>2219</v>
      </c>
      <c r="B1388" t="s">
        <v>2220</v>
      </c>
      <c r="C1388" t="s">
        <v>169</v>
      </c>
      <c r="D1388" t="s">
        <v>233</v>
      </c>
      <c r="E1388" t="s">
        <v>30</v>
      </c>
      <c r="F1388" s="6">
        <v>45107</v>
      </c>
      <c r="G1388">
        <v>100</v>
      </c>
      <c r="H1388">
        <v>100</v>
      </c>
      <c r="I1388">
        <v>1</v>
      </c>
      <c r="J1388">
        <v>1</v>
      </c>
      <c r="K1388" t="s">
        <v>31</v>
      </c>
      <c r="L1388" t="s">
        <v>31</v>
      </c>
      <c r="M1388">
        <v>2023</v>
      </c>
      <c r="N1388" t="s">
        <v>44</v>
      </c>
      <c r="O1388" t="s">
        <v>33</v>
      </c>
      <c r="P1388">
        <v>0</v>
      </c>
      <c r="Q1388">
        <v>0</v>
      </c>
      <c r="R1388">
        <v>0</v>
      </c>
      <c r="S1388" t="s">
        <v>99</v>
      </c>
      <c r="T1388" t="s">
        <v>2222</v>
      </c>
      <c r="U1388">
        <v>1</v>
      </c>
    </row>
    <row r="1389" spans="1:21" x14ac:dyDescent="0.3">
      <c r="A1389" t="s">
        <v>2219</v>
      </c>
      <c r="B1389" t="s">
        <v>2220</v>
      </c>
      <c r="C1389" t="s">
        <v>169</v>
      </c>
      <c r="D1389" t="s">
        <v>233</v>
      </c>
      <c r="E1389" t="s">
        <v>30</v>
      </c>
      <c r="F1389" s="6">
        <v>45199</v>
      </c>
      <c r="G1389">
        <v>100</v>
      </c>
      <c r="H1389">
        <v>100</v>
      </c>
      <c r="I1389">
        <v>0</v>
      </c>
      <c r="J1389">
        <v>1</v>
      </c>
      <c r="K1389" t="s">
        <v>31</v>
      </c>
      <c r="L1389" t="s">
        <v>31</v>
      </c>
      <c r="M1389">
        <v>2023</v>
      </c>
      <c r="N1389" t="s">
        <v>51</v>
      </c>
      <c r="O1389" t="s">
        <v>47</v>
      </c>
      <c r="P1389">
        <v>0</v>
      </c>
      <c r="Q1389">
        <v>0</v>
      </c>
      <c r="R1389">
        <v>0</v>
      </c>
      <c r="S1389" t="s">
        <v>99</v>
      </c>
      <c r="T1389" t="s">
        <v>2223</v>
      </c>
      <c r="U1389">
        <v>1</v>
      </c>
    </row>
    <row r="1390" spans="1:21" x14ac:dyDescent="0.3">
      <c r="A1390" t="s">
        <v>2219</v>
      </c>
      <c r="B1390" t="s">
        <v>2220</v>
      </c>
      <c r="C1390" t="s">
        <v>169</v>
      </c>
      <c r="D1390" t="s">
        <v>233</v>
      </c>
      <c r="E1390" t="s">
        <v>30</v>
      </c>
      <c r="F1390" s="6">
        <v>45291</v>
      </c>
      <c r="G1390">
        <v>100</v>
      </c>
      <c r="H1390">
        <v>100</v>
      </c>
      <c r="I1390">
        <v>1</v>
      </c>
      <c r="J1390">
        <v>1</v>
      </c>
      <c r="K1390" t="s">
        <v>31</v>
      </c>
      <c r="L1390" t="s">
        <v>31</v>
      </c>
      <c r="M1390">
        <v>2023</v>
      </c>
      <c r="N1390" t="s">
        <v>57</v>
      </c>
      <c r="O1390" t="s">
        <v>47</v>
      </c>
      <c r="P1390">
        <v>0</v>
      </c>
      <c r="Q1390">
        <v>0</v>
      </c>
      <c r="R1390">
        <v>0</v>
      </c>
      <c r="S1390" t="s">
        <v>99</v>
      </c>
      <c r="T1390" t="s">
        <v>2224</v>
      </c>
      <c r="U1390">
        <v>1</v>
      </c>
    </row>
    <row r="1391" spans="1:21" x14ac:dyDescent="0.3">
      <c r="A1391" t="s">
        <v>2219</v>
      </c>
      <c r="B1391" t="s">
        <v>2220</v>
      </c>
      <c r="C1391" t="s">
        <v>169</v>
      </c>
      <c r="D1391" t="s">
        <v>233</v>
      </c>
      <c r="E1391" t="s">
        <v>30</v>
      </c>
      <c r="F1391" s="6">
        <v>45382</v>
      </c>
      <c r="G1391">
        <v>100</v>
      </c>
      <c r="H1391">
        <v>100</v>
      </c>
      <c r="I1391">
        <v>1</v>
      </c>
      <c r="J1391">
        <v>1</v>
      </c>
      <c r="K1391" t="s">
        <v>31</v>
      </c>
      <c r="L1391" t="s">
        <v>31</v>
      </c>
      <c r="M1391">
        <v>2024</v>
      </c>
      <c r="N1391" t="s">
        <v>38</v>
      </c>
      <c r="O1391" t="s">
        <v>71</v>
      </c>
      <c r="P1391">
        <v>0</v>
      </c>
      <c r="Q1391">
        <v>0</v>
      </c>
      <c r="R1391">
        <v>0</v>
      </c>
      <c r="S1391" t="s">
        <v>99</v>
      </c>
      <c r="T1391" t="s">
        <v>2225</v>
      </c>
      <c r="U1391">
        <v>1</v>
      </c>
    </row>
    <row r="1392" spans="1:21" x14ac:dyDescent="0.3">
      <c r="A1392" t="s">
        <v>2219</v>
      </c>
      <c r="B1392" t="s">
        <v>2220</v>
      </c>
      <c r="C1392" t="s">
        <v>169</v>
      </c>
      <c r="D1392" t="s">
        <v>233</v>
      </c>
      <c r="E1392" t="s">
        <v>30</v>
      </c>
      <c r="F1392" s="6">
        <v>45473</v>
      </c>
      <c r="G1392">
        <v>100</v>
      </c>
      <c r="H1392">
        <v>100</v>
      </c>
      <c r="I1392">
        <v>1</v>
      </c>
      <c r="J1392">
        <v>1</v>
      </c>
      <c r="K1392" t="s">
        <v>31</v>
      </c>
      <c r="L1392" t="s">
        <v>31</v>
      </c>
      <c r="M1392">
        <v>2024</v>
      </c>
      <c r="N1392" t="s">
        <v>44</v>
      </c>
      <c r="O1392" t="s">
        <v>71</v>
      </c>
      <c r="P1392">
        <v>0</v>
      </c>
      <c r="Q1392">
        <v>0</v>
      </c>
      <c r="R1392">
        <v>0</v>
      </c>
      <c r="S1392" t="s">
        <v>99</v>
      </c>
      <c r="T1392" t="s">
        <v>2226</v>
      </c>
      <c r="U1392">
        <v>1</v>
      </c>
    </row>
    <row r="1393" spans="1:21" x14ac:dyDescent="0.3">
      <c r="A1393" t="s">
        <v>2219</v>
      </c>
      <c r="B1393" t="s">
        <v>2220</v>
      </c>
      <c r="C1393" t="s">
        <v>169</v>
      </c>
      <c r="D1393" t="s">
        <v>233</v>
      </c>
      <c r="E1393" t="s">
        <v>30</v>
      </c>
      <c r="F1393" s="6">
        <v>45565</v>
      </c>
      <c r="G1393">
        <v>100</v>
      </c>
      <c r="H1393">
        <v>100</v>
      </c>
      <c r="I1393">
        <v>1</v>
      </c>
      <c r="J1393">
        <v>1</v>
      </c>
      <c r="K1393" t="s">
        <v>31</v>
      </c>
      <c r="L1393" t="s">
        <v>31</v>
      </c>
      <c r="M1393">
        <v>2024</v>
      </c>
      <c r="N1393" t="s">
        <v>51</v>
      </c>
      <c r="O1393" t="s">
        <v>78</v>
      </c>
      <c r="P1393">
        <v>0</v>
      </c>
      <c r="Q1393">
        <v>0</v>
      </c>
      <c r="R1393">
        <v>0</v>
      </c>
      <c r="S1393" t="s">
        <v>99</v>
      </c>
      <c r="T1393" t="s">
        <v>2227</v>
      </c>
      <c r="U1393">
        <v>1</v>
      </c>
    </row>
    <row r="1394" spans="1:21" x14ac:dyDescent="0.3">
      <c r="A1394" t="s">
        <v>2219</v>
      </c>
      <c r="B1394" t="s">
        <v>2220</v>
      </c>
      <c r="C1394" t="s">
        <v>169</v>
      </c>
      <c r="D1394" t="s">
        <v>233</v>
      </c>
      <c r="E1394" t="s">
        <v>30</v>
      </c>
      <c r="F1394" s="6">
        <v>45657</v>
      </c>
      <c r="G1394">
        <v>100</v>
      </c>
      <c r="H1394">
        <v>100</v>
      </c>
      <c r="I1394">
        <v>1</v>
      </c>
      <c r="J1394">
        <v>1</v>
      </c>
      <c r="K1394" t="s">
        <v>31</v>
      </c>
      <c r="L1394" t="s">
        <v>31</v>
      </c>
      <c r="M1394">
        <v>2024</v>
      </c>
      <c r="N1394" t="s">
        <v>57</v>
      </c>
      <c r="O1394" t="s">
        <v>78</v>
      </c>
      <c r="P1394">
        <v>0</v>
      </c>
      <c r="Q1394">
        <v>0</v>
      </c>
      <c r="R1394">
        <v>0</v>
      </c>
      <c r="S1394" t="s">
        <v>99</v>
      </c>
      <c r="T1394" t="s">
        <v>2228</v>
      </c>
      <c r="U1394">
        <v>1</v>
      </c>
    </row>
    <row r="1395" spans="1:21" x14ac:dyDescent="0.3">
      <c r="A1395" t="s">
        <v>2219</v>
      </c>
      <c r="B1395" t="s">
        <v>2220</v>
      </c>
      <c r="C1395" t="s">
        <v>169</v>
      </c>
      <c r="D1395" t="s">
        <v>233</v>
      </c>
      <c r="E1395" t="s">
        <v>30</v>
      </c>
      <c r="F1395" s="6">
        <v>45747</v>
      </c>
      <c r="G1395">
        <v>100</v>
      </c>
      <c r="H1395" t="s">
        <v>95</v>
      </c>
      <c r="I1395">
        <v>1</v>
      </c>
      <c r="J1395">
        <v>1</v>
      </c>
      <c r="K1395" t="s">
        <v>102</v>
      </c>
      <c r="L1395" t="s">
        <v>102</v>
      </c>
      <c r="M1395">
        <v>2025</v>
      </c>
      <c r="N1395" t="s">
        <v>38</v>
      </c>
      <c r="O1395" t="s">
        <v>244</v>
      </c>
      <c r="P1395">
        <v>2</v>
      </c>
      <c r="Q1395">
        <v>2</v>
      </c>
      <c r="R1395">
        <v>0</v>
      </c>
      <c r="S1395" t="s">
        <v>104</v>
      </c>
      <c r="T1395" t="s">
        <v>2229</v>
      </c>
      <c r="U1395">
        <v>31</v>
      </c>
    </row>
    <row r="1396" spans="1:21" x14ac:dyDescent="0.3">
      <c r="A1396" t="s">
        <v>2219</v>
      </c>
      <c r="B1396" t="s">
        <v>2220</v>
      </c>
      <c r="C1396" t="s">
        <v>169</v>
      </c>
      <c r="D1396" t="s">
        <v>233</v>
      </c>
      <c r="E1396" t="s">
        <v>30</v>
      </c>
      <c r="F1396" s="6">
        <v>45838</v>
      </c>
      <c r="G1396">
        <v>100</v>
      </c>
      <c r="H1396" t="s">
        <v>95</v>
      </c>
      <c r="I1396">
        <v>1</v>
      </c>
      <c r="J1396">
        <v>1</v>
      </c>
      <c r="K1396" t="s">
        <v>102</v>
      </c>
      <c r="L1396" t="s">
        <v>102</v>
      </c>
      <c r="M1396">
        <v>2025</v>
      </c>
      <c r="N1396" t="s">
        <v>44</v>
      </c>
      <c r="O1396" t="s">
        <v>244</v>
      </c>
      <c r="P1396">
        <v>2</v>
      </c>
      <c r="Q1396">
        <v>2</v>
      </c>
      <c r="R1396">
        <v>0</v>
      </c>
      <c r="S1396" t="s">
        <v>104</v>
      </c>
      <c r="T1396" t="s">
        <v>2230</v>
      </c>
      <c r="U1396">
        <v>30</v>
      </c>
    </row>
    <row r="1397" spans="1:21" x14ac:dyDescent="0.3">
      <c r="A1397" t="s">
        <v>2219</v>
      </c>
      <c r="B1397" t="s">
        <v>2220</v>
      </c>
      <c r="C1397" t="s">
        <v>169</v>
      </c>
      <c r="D1397" t="s">
        <v>233</v>
      </c>
      <c r="E1397" t="s">
        <v>30</v>
      </c>
      <c r="F1397" s="6">
        <v>46022</v>
      </c>
      <c r="G1397">
        <v>100</v>
      </c>
      <c r="H1397" t="s">
        <v>95</v>
      </c>
      <c r="I1397">
        <v>1</v>
      </c>
      <c r="J1397">
        <v>1</v>
      </c>
      <c r="K1397" t="s">
        <v>102</v>
      </c>
      <c r="L1397" t="s">
        <v>102</v>
      </c>
      <c r="M1397">
        <v>2025</v>
      </c>
      <c r="N1397" t="s">
        <v>57</v>
      </c>
      <c r="O1397" t="s">
        <v>103</v>
      </c>
      <c r="P1397">
        <v>2</v>
      </c>
      <c r="Q1397">
        <v>2</v>
      </c>
      <c r="R1397">
        <v>0</v>
      </c>
      <c r="S1397" t="s">
        <v>104</v>
      </c>
      <c r="T1397" t="s">
        <v>2231</v>
      </c>
      <c r="U1397">
        <v>31</v>
      </c>
    </row>
    <row r="1398" spans="1:21" x14ac:dyDescent="0.3">
      <c r="A1398" t="s">
        <v>2232</v>
      </c>
      <c r="B1398" t="s">
        <v>2233</v>
      </c>
      <c r="C1398" t="s">
        <v>133</v>
      </c>
      <c r="D1398" t="s">
        <v>222</v>
      </c>
      <c r="E1398" t="s">
        <v>30</v>
      </c>
      <c r="F1398" s="6">
        <v>45107</v>
      </c>
      <c r="G1398">
        <v>0</v>
      </c>
      <c r="H1398">
        <v>16609</v>
      </c>
      <c r="K1398" t="s">
        <v>31</v>
      </c>
      <c r="L1398" t="s">
        <v>31</v>
      </c>
      <c r="M1398">
        <v>2023</v>
      </c>
      <c r="N1398" t="s">
        <v>44</v>
      </c>
      <c r="O1398" t="s">
        <v>33</v>
      </c>
      <c r="P1398">
        <v>0</v>
      </c>
      <c r="Q1398">
        <v>0</v>
      </c>
      <c r="R1398">
        <v>0</v>
      </c>
      <c r="S1398" t="s">
        <v>99</v>
      </c>
      <c r="T1398" t="s">
        <v>2234</v>
      </c>
      <c r="U1398">
        <v>1</v>
      </c>
    </row>
    <row r="1399" spans="1:21" x14ac:dyDescent="0.3">
      <c r="A1399" t="s">
        <v>2232</v>
      </c>
      <c r="B1399" t="s">
        <v>2233</v>
      </c>
      <c r="C1399" t="s">
        <v>133</v>
      </c>
      <c r="D1399" t="s">
        <v>222</v>
      </c>
      <c r="E1399" t="s">
        <v>30</v>
      </c>
      <c r="F1399" s="6">
        <v>45291</v>
      </c>
      <c r="G1399">
        <v>0</v>
      </c>
      <c r="H1399">
        <v>21237</v>
      </c>
      <c r="K1399" t="s">
        <v>31</v>
      </c>
      <c r="L1399" t="s">
        <v>31</v>
      </c>
      <c r="M1399">
        <v>2023</v>
      </c>
      <c r="N1399" t="s">
        <v>57</v>
      </c>
      <c r="O1399" t="s">
        <v>47</v>
      </c>
      <c r="P1399">
        <v>0</v>
      </c>
      <c r="Q1399">
        <v>0</v>
      </c>
      <c r="R1399">
        <v>0</v>
      </c>
      <c r="S1399" t="s">
        <v>99</v>
      </c>
      <c r="T1399" t="s">
        <v>2235</v>
      </c>
      <c r="U1399">
        <v>1</v>
      </c>
    </row>
    <row r="1400" spans="1:21" x14ac:dyDescent="0.3">
      <c r="A1400" t="s">
        <v>2232</v>
      </c>
      <c r="B1400" t="s">
        <v>2233</v>
      </c>
      <c r="C1400" t="s">
        <v>133</v>
      </c>
      <c r="D1400" t="s">
        <v>222</v>
      </c>
      <c r="E1400" t="s">
        <v>30</v>
      </c>
      <c r="F1400" s="6">
        <v>45473</v>
      </c>
      <c r="G1400">
        <v>0</v>
      </c>
      <c r="H1400">
        <v>18355</v>
      </c>
      <c r="K1400">
        <v>0</v>
      </c>
      <c r="L1400" t="s">
        <v>118</v>
      </c>
      <c r="M1400">
        <v>2024</v>
      </c>
      <c r="N1400" t="s">
        <v>44</v>
      </c>
      <c r="O1400" t="s">
        <v>71</v>
      </c>
      <c r="P1400">
        <v>0</v>
      </c>
      <c r="Q1400">
        <v>0</v>
      </c>
      <c r="R1400">
        <v>0</v>
      </c>
      <c r="S1400" t="s">
        <v>99</v>
      </c>
      <c r="T1400" t="s">
        <v>2236</v>
      </c>
      <c r="U1400">
        <v>1</v>
      </c>
    </row>
    <row r="1401" spans="1:21" x14ac:dyDescent="0.3">
      <c r="A1401" t="s">
        <v>2232</v>
      </c>
      <c r="B1401" t="s">
        <v>2233</v>
      </c>
      <c r="C1401" t="s">
        <v>133</v>
      </c>
      <c r="D1401" t="s">
        <v>222</v>
      </c>
      <c r="E1401" t="s">
        <v>30</v>
      </c>
      <c r="F1401" s="6">
        <v>45657</v>
      </c>
      <c r="G1401">
        <v>0</v>
      </c>
      <c r="H1401">
        <v>0</v>
      </c>
      <c r="K1401">
        <v>0</v>
      </c>
      <c r="L1401" t="s">
        <v>118</v>
      </c>
      <c r="M1401">
        <v>2024</v>
      </c>
      <c r="N1401" t="s">
        <v>57</v>
      </c>
      <c r="O1401" t="s">
        <v>78</v>
      </c>
      <c r="P1401">
        <v>0</v>
      </c>
      <c r="Q1401">
        <v>0</v>
      </c>
      <c r="R1401">
        <v>0</v>
      </c>
      <c r="S1401" t="s">
        <v>99</v>
      </c>
      <c r="T1401" t="s">
        <v>2237</v>
      </c>
      <c r="U1401">
        <v>1</v>
      </c>
    </row>
    <row r="1402" spans="1:21" x14ac:dyDescent="0.3">
      <c r="A1402" t="s">
        <v>2232</v>
      </c>
      <c r="B1402" t="s">
        <v>2238</v>
      </c>
      <c r="C1402" t="s">
        <v>133</v>
      </c>
      <c r="D1402" t="s">
        <v>222</v>
      </c>
      <c r="E1402" t="s">
        <v>30</v>
      </c>
      <c r="F1402" s="6">
        <v>45838</v>
      </c>
      <c r="H1402" t="s">
        <v>2239</v>
      </c>
      <c r="I1402">
        <v>0</v>
      </c>
      <c r="J1402">
        <v>0</v>
      </c>
      <c r="L1402" t="s">
        <v>2240</v>
      </c>
      <c r="M1402">
        <v>2025</v>
      </c>
      <c r="N1402" t="s">
        <v>44</v>
      </c>
      <c r="O1402" t="s">
        <v>244</v>
      </c>
      <c r="P1402">
        <v>2</v>
      </c>
      <c r="Q1402">
        <v>2</v>
      </c>
      <c r="R1402">
        <v>0</v>
      </c>
      <c r="S1402" t="s">
        <v>130</v>
      </c>
      <c r="T1402" t="s">
        <v>2241</v>
      </c>
      <c r="U1402">
        <v>30</v>
      </c>
    </row>
    <row r="1403" spans="1:21" x14ac:dyDescent="0.3">
      <c r="A1403" t="s">
        <v>2232</v>
      </c>
      <c r="B1403" t="s">
        <v>2238</v>
      </c>
      <c r="C1403" t="s">
        <v>133</v>
      </c>
      <c r="D1403" t="s">
        <v>222</v>
      </c>
      <c r="E1403" t="s">
        <v>30</v>
      </c>
      <c r="F1403" s="6">
        <v>46022</v>
      </c>
      <c r="H1403" t="s">
        <v>2242</v>
      </c>
      <c r="I1403">
        <v>0</v>
      </c>
      <c r="J1403">
        <v>0</v>
      </c>
      <c r="L1403" t="s">
        <v>2243</v>
      </c>
      <c r="M1403">
        <v>2025</v>
      </c>
      <c r="N1403" t="s">
        <v>57</v>
      </c>
      <c r="O1403" t="s">
        <v>103</v>
      </c>
      <c r="P1403">
        <v>2</v>
      </c>
      <c r="Q1403">
        <v>2</v>
      </c>
      <c r="R1403">
        <v>0</v>
      </c>
      <c r="S1403" t="s">
        <v>130</v>
      </c>
      <c r="T1403" t="s">
        <v>2244</v>
      </c>
      <c r="U1403">
        <v>31</v>
      </c>
    </row>
    <row r="1404" spans="1:21" x14ac:dyDescent="0.3">
      <c r="A1404" t="s">
        <v>2245</v>
      </c>
      <c r="B1404" t="s">
        <v>2246</v>
      </c>
      <c r="C1404" t="s">
        <v>161</v>
      </c>
      <c r="D1404" t="s">
        <v>222</v>
      </c>
      <c r="E1404" t="s">
        <v>30</v>
      </c>
      <c r="F1404" s="6">
        <v>45107</v>
      </c>
      <c r="G1404">
        <v>100</v>
      </c>
      <c r="H1404">
        <v>75.760000000000005</v>
      </c>
      <c r="I1404">
        <v>0.75760000000000005</v>
      </c>
      <c r="J1404">
        <v>0.75760000000000005</v>
      </c>
      <c r="K1404" t="s">
        <v>31</v>
      </c>
      <c r="L1404" t="s">
        <v>31</v>
      </c>
      <c r="M1404">
        <v>2023</v>
      </c>
      <c r="N1404" t="s">
        <v>44</v>
      </c>
      <c r="O1404" t="s">
        <v>33</v>
      </c>
      <c r="P1404">
        <v>0</v>
      </c>
      <c r="Q1404">
        <v>0</v>
      </c>
      <c r="R1404">
        <v>0</v>
      </c>
      <c r="S1404" t="s">
        <v>99</v>
      </c>
      <c r="T1404" t="s">
        <v>2247</v>
      </c>
      <c r="U1404">
        <v>1</v>
      </c>
    </row>
    <row r="1405" spans="1:21" x14ac:dyDescent="0.3">
      <c r="A1405" t="s">
        <v>2245</v>
      </c>
      <c r="B1405" t="s">
        <v>2246</v>
      </c>
      <c r="C1405" t="s">
        <v>161</v>
      </c>
      <c r="D1405" t="s">
        <v>222</v>
      </c>
      <c r="E1405" t="s">
        <v>30</v>
      </c>
      <c r="F1405" s="6">
        <v>45291</v>
      </c>
      <c r="G1405">
        <v>100</v>
      </c>
      <c r="H1405">
        <v>79.55</v>
      </c>
      <c r="I1405">
        <v>0.79549999999999998</v>
      </c>
      <c r="J1405">
        <v>0.79549999999999998</v>
      </c>
      <c r="K1405" t="s">
        <v>31</v>
      </c>
      <c r="L1405" t="s">
        <v>31</v>
      </c>
      <c r="M1405">
        <v>2023</v>
      </c>
      <c r="N1405" t="s">
        <v>57</v>
      </c>
      <c r="O1405" t="s">
        <v>47</v>
      </c>
      <c r="P1405">
        <v>0</v>
      </c>
      <c r="Q1405">
        <v>0</v>
      </c>
      <c r="R1405">
        <v>0</v>
      </c>
      <c r="S1405" t="s">
        <v>99</v>
      </c>
      <c r="T1405" t="s">
        <v>2248</v>
      </c>
      <c r="U1405">
        <v>1</v>
      </c>
    </row>
    <row r="1406" spans="1:21" x14ac:dyDescent="0.3">
      <c r="A1406" t="s">
        <v>2245</v>
      </c>
      <c r="B1406" t="s">
        <v>2246</v>
      </c>
      <c r="C1406" t="s">
        <v>161</v>
      </c>
      <c r="D1406" t="s">
        <v>222</v>
      </c>
      <c r="E1406" t="s">
        <v>30</v>
      </c>
      <c r="F1406" s="6">
        <v>45473</v>
      </c>
      <c r="G1406">
        <v>95</v>
      </c>
      <c r="H1406">
        <v>100</v>
      </c>
      <c r="I1406">
        <v>1.0526315789473679</v>
      </c>
      <c r="J1406">
        <v>1.0526315789473679</v>
      </c>
      <c r="K1406" t="s">
        <v>31</v>
      </c>
      <c r="L1406" t="s">
        <v>31</v>
      </c>
      <c r="M1406">
        <v>2024</v>
      </c>
      <c r="N1406" t="s">
        <v>44</v>
      </c>
      <c r="O1406" t="s">
        <v>71</v>
      </c>
      <c r="P1406">
        <v>0</v>
      </c>
      <c r="Q1406">
        <v>0</v>
      </c>
      <c r="R1406">
        <v>0</v>
      </c>
      <c r="S1406" t="s">
        <v>99</v>
      </c>
      <c r="T1406" t="s">
        <v>2249</v>
      </c>
      <c r="U1406">
        <v>1</v>
      </c>
    </row>
    <row r="1407" spans="1:21" x14ac:dyDescent="0.3">
      <c r="A1407" t="s">
        <v>2245</v>
      </c>
      <c r="B1407" t="s">
        <v>2246</v>
      </c>
      <c r="C1407" t="s">
        <v>161</v>
      </c>
      <c r="D1407" t="s">
        <v>222</v>
      </c>
      <c r="E1407" t="s">
        <v>30</v>
      </c>
      <c r="F1407" s="6">
        <v>45657</v>
      </c>
      <c r="G1407">
        <v>95</v>
      </c>
      <c r="H1407">
        <v>95.652173913043399</v>
      </c>
      <c r="I1407">
        <v>1.006864988558352</v>
      </c>
      <c r="J1407">
        <v>1.006864988558352</v>
      </c>
      <c r="K1407" t="s">
        <v>31</v>
      </c>
      <c r="L1407" t="s">
        <v>31</v>
      </c>
      <c r="M1407">
        <v>2024</v>
      </c>
      <c r="N1407" t="s">
        <v>57</v>
      </c>
      <c r="O1407" t="s">
        <v>78</v>
      </c>
      <c r="P1407">
        <v>0</v>
      </c>
      <c r="Q1407">
        <v>0</v>
      </c>
      <c r="R1407">
        <v>0</v>
      </c>
      <c r="S1407" t="s">
        <v>99</v>
      </c>
      <c r="T1407" t="s">
        <v>2250</v>
      </c>
      <c r="U1407">
        <v>1</v>
      </c>
    </row>
    <row r="1408" spans="1:21" x14ac:dyDescent="0.3">
      <c r="A1408" t="s">
        <v>2245</v>
      </c>
      <c r="B1408" t="s">
        <v>2246</v>
      </c>
      <c r="C1408" t="s">
        <v>161</v>
      </c>
      <c r="D1408" t="s">
        <v>222</v>
      </c>
      <c r="E1408" t="s">
        <v>30</v>
      </c>
      <c r="F1408" s="6">
        <v>45838</v>
      </c>
      <c r="G1408">
        <v>95</v>
      </c>
      <c r="H1408" t="s">
        <v>2251</v>
      </c>
      <c r="I1408">
        <v>0.9507368421052631</v>
      </c>
      <c r="J1408">
        <v>0.9507368421052631</v>
      </c>
      <c r="K1408" t="s">
        <v>838</v>
      </c>
      <c r="L1408" t="s">
        <v>2252</v>
      </c>
      <c r="M1408">
        <v>2025</v>
      </c>
      <c r="N1408" t="s">
        <v>44</v>
      </c>
      <c r="O1408" t="s">
        <v>244</v>
      </c>
      <c r="P1408">
        <v>2</v>
      </c>
      <c r="Q1408">
        <v>2</v>
      </c>
      <c r="R1408">
        <v>0</v>
      </c>
      <c r="S1408" t="s">
        <v>104</v>
      </c>
      <c r="T1408" t="s">
        <v>2253</v>
      </c>
      <c r="U1408">
        <v>30</v>
      </c>
    </row>
    <row r="1409" spans="1:21" x14ac:dyDescent="0.3">
      <c r="A1409" t="s">
        <v>2245</v>
      </c>
      <c r="B1409" t="s">
        <v>2246</v>
      </c>
      <c r="C1409" t="s">
        <v>161</v>
      </c>
      <c r="D1409" t="s">
        <v>222</v>
      </c>
      <c r="E1409" t="s">
        <v>30</v>
      </c>
      <c r="F1409" s="6">
        <v>46022</v>
      </c>
      <c r="G1409">
        <v>95</v>
      </c>
      <c r="H1409" t="s">
        <v>95</v>
      </c>
      <c r="I1409">
        <v>1.0526315789473679</v>
      </c>
      <c r="J1409">
        <v>1.0526315789473679</v>
      </c>
      <c r="K1409" t="s">
        <v>838</v>
      </c>
      <c r="L1409" t="s">
        <v>102</v>
      </c>
      <c r="M1409">
        <v>2025</v>
      </c>
      <c r="N1409" t="s">
        <v>57</v>
      </c>
      <c r="O1409" t="s">
        <v>103</v>
      </c>
      <c r="P1409">
        <v>2</v>
      </c>
      <c r="Q1409">
        <v>2</v>
      </c>
      <c r="R1409">
        <v>0</v>
      </c>
      <c r="S1409" t="s">
        <v>104</v>
      </c>
      <c r="T1409" t="s">
        <v>2254</v>
      </c>
      <c r="U1409">
        <v>31</v>
      </c>
    </row>
    <row r="1410" spans="1:21" x14ac:dyDescent="0.3">
      <c r="A1410" t="s">
        <v>2255</v>
      </c>
      <c r="B1410" t="s">
        <v>2256</v>
      </c>
      <c r="C1410" t="s">
        <v>161</v>
      </c>
      <c r="D1410" t="s">
        <v>222</v>
      </c>
      <c r="E1410" t="s">
        <v>30</v>
      </c>
      <c r="F1410" s="6">
        <v>45107</v>
      </c>
      <c r="G1410">
        <v>1863</v>
      </c>
      <c r="H1410">
        <v>3537</v>
      </c>
      <c r="I1410">
        <v>1.3</v>
      </c>
      <c r="J1410">
        <v>1.8985507246376809</v>
      </c>
      <c r="K1410" t="s">
        <v>118</v>
      </c>
      <c r="L1410" t="s">
        <v>118</v>
      </c>
      <c r="M1410">
        <v>2023</v>
      </c>
      <c r="N1410" t="s">
        <v>44</v>
      </c>
      <c r="O1410" t="s">
        <v>33</v>
      </c>
      <c r="P1410">
        <v>0</v>
      </c>
      <c r="Q1410">
        <v>0</v>
      </c>
      <c r="R1410">
        <v>0</v>
      </c>
      <c r="S1410" t="s">
        <v>99</v>
      </c>
      <c r="T1410" t="s">
        <v>2257</v>
      </c>
      <c r="U1410">
        <v>1</v>
      </c>
    </row>
    <row r="1411" spans="1:21" x14ac:dyDescent="0.3">
      <c r="A1411" t="s">
        <v>2255</v>
      </c>
      <c r="B1411" t="s">
        <v>2256</v>
      </c>
      <c r="C1411" t="s">
        <v>161</v>
      </c>
      <c r="D1411" t="s">
        <v>222</v>
      </c>
      <c r="E1411" t="s">
        <v>30</v>
      </c>
      <c r="F1411" s="6">
        <v>45291</v>
      </c>
      <c r="G1411">
        <v>1863</v>
      </c>
      <c r="H1411">
        <v>3285</v>
      </c>
      <c r="I1411">
        <v>1.3</v>
      </c>
      <c r="J1411">
        <v>1.763285024154589</v>
      </c>
      <c r="K1411" t="s">
        <v>118</v>
      </c>
      <c r="L1411" t="s">
        <v>118</v>
      </c>
      <c r="M1411">
        <v>2023</v>
      </c>
      <c r="N1411" t="s">
        <v>57</v>
      </c>
      <c r="O1411" t="s">
        <v>47</v>
      </c>
      <c r="P1411">
        <v>0</v>
      </c>
      <c r="Q1411">
        <v>0</v>
      </c>
      <c r="R1411">
        <v>0</v>
      </c>
      <c r="S1411" t="s">
        <v>99</v>
      </c>
      <c r="T1411" t="s">
        <v>2258</v>
      </c>
      <c r="U1411">
        <v>1</v>
      </c>
    </row>
    <row r="1412" spans="1:21" x14ac:dyDescent="0.3">
      <c r="A1412" t="s">
        <v>2255</v>
      </c>
      <c r="B1412" t="s">
        <v>2256</v>
      </c>
      <c r="C1412" t="s">
        <v>161</v>
      </c>
      <c r="D1412" t="s">
        <v>222</v>
      </c>
      <c r="E1412" t="s">
        <v>30</v>
      </c>
      <c r="F1412" s="6">
        <v>45473</v>
      </c>
      <c r="G1412">
        <v>3400</v>
      </c>
      <c r="H1412">
        <v>3404</v>
      </c>
      <c r="I1412">
        <v>1.0011764705882349</v>
      </c>
      <c r="J1412">
        <v>1.0011764705882349</v>
      </c>
      <c r="K1412" t="s">
        <v>118</v>
      </c>
      <c r="L1412" t="s">
        <v>118</v>
      </c>
      <c r="M1412">
        <v>2024</v>
      </c>
      <c r="N1412" t="s">
        <v>44</v>
      </c>
      <c r="O1412" t="s">
        <v>71</v>
      </c>
      <c r="P1412">
        <v>0</v>
      </c>
      <c r="Q1412">
        <v>0</v>
      </c>
      <c r="R1412">
        <v>0</v>
      </c>
      <c r="S1412" t="s">
        <v>99</v>
      </c>
      <c r="T1412" t="s">
        <v>2259</v>
      </c>
      <c r="U1412">
        <v>1</v>
      </c>
    </row>
    <row r="1413" spans="1:21" x14ac:dyDescent="0.3">
      <c r="A1413" t="s">
        <v>2255</v>
      </c>
      <c r="B1413" t="s">
        <v>2256</v>
      </c>
      <c r="C1413" t="s">
        <v>161</v>
      </c>
      <c r="D1413" t="s">
        <v>222</v>
      </c>
      <c r="E1413" t="s">
        <v>30</v>
      </c>
      <c r="F1413" s="6">
        <v>45657</v>
      </c>
      <c r="G1413">
        <v>3400</v>
      </c>
      <c r="H1413">
        <v>2841</v>
      </c>
      <c r="I1413">
        <v>0.83558823529411763</v>
      </c>
      <c r="J1413">
        <v>0.83558823529411763</v>
      </c>
      <c r="K1413" t="s">
        <v>118</v>
      </c>
      <c r="L1413" t="s">
        <v>118</v>
      </c>
      <c r="M1413">
        <v>2024</v>
      </c>
      <c r="N1413" t="s">
        <v>57</v>
      </c>
      <c r="O1413" t="s">
        <v>78</v>
      </c>
      <c r="P1413">
        <v>0</v>
      </c>
      <c r="Q1413">
        <v>0</v>
      </c>
      <c r="R1413">
        <v>0</v>
      </c>
      <c r="S1413" t="s">
        <v>99</v>
      </c>
      <c r="T1413" t="s">
        <v>2260</v>
      </c>
      <c r="U1413">
        <v>1</v>
      </c>
    </row>
    <row r="1414" spans="1:21" x14ac:dyDescent="0.3">
      <c r="A1414" t="s">
        <v>2255</v>
      </c>
      <c r="B1414" t="s">
        <v>2256</v>
      </c>
      <c r="C1414" t="s">
        <v>161</v>
      </c>
      <c r="D1414" t="s">
        <v>222</v>
      </c>
      <c r="E1414" t="s">
        <v>30</v>
      </c>
      <c r="F1414" s="6">
        <v>45838</v>
      </c>
      <c r="G1414">
        <v>100</v>
      </c>
      <c r="H1414" t="s">
        <v>2261</v>
      </c>
      <c r="I1414">
        <v>0.98470000000000002</v>
      </c>
      <c r="J1414">
        <v>0.98470000000000002</v>
      </c>
      <c r="K1414" t="s">
        <v>102</v>
      </c>
      <c r="L1414" t="s">
        <v>2262</v>
      </c>
      <c r="M1414">
        <v>2025</v>
      </c>
      <c r="N1414" t="s">
        <v>44</v>
      </c>
      <c r="O1414" t="s">
        <v>244</v>
      </c>
      <c r="P1414">
        <v>2</v>
      </c>
      <c r="Q1414">
        <v>2</v>
      </c>
      <c r="R1414">
        <v>0</v>
      </c>
      <c r="S1414" t="s">
        <v>104</v>
      </c>
      <c r="T1414" t="s">
        <v>2263</v>
      </c>
      <c r="U1414">
        <v>30</v>
      </c>
    </row>
    <row r="1415" spans="1:21" x14ac:dyDescent="0.3">
      <c r="A1415" t="s">
        <v>2255</v>
      </c>
      <c r="B1415" t="s">
        <v>2256</v>
      </c>
      <c r="C1415" t="s">
        <v>161</v>
      </c>
      <c r="D1415" t="s">
        <v>222</v>
      </c>
      <c r="E1415" t="s">
        <v>30</v>
      </c>
      <c r="F1415" s="6">
        <v>46022</v>
      </c>
      <c r="G1415">
        <v>100</v>
      </c>
      <c r="H1415" t="s">
        <v>2264</v>
      </c>
      <c r="I1415">
        <v>1.1609</v>
      </c>
      <c r="J1415">
        <v>1.1609</v>
      </c>
      <c r="K1415" t="s">
        <v>102</v>
      </c>
      <c r="L1415" t="s">
        <v>2265</v>
      </c>
      <c r="M1415">
        <v>2025</v>
      </c>
      <c r="N1415" t="s">
        <v>57</v>
      </c>
      <c r="O1415" t="s">
        <v>103</v>
      </c>
      <c r="P1415">
        <v>2</v>
      </c>
      <c r="Q1415">
        <v>2</v>
      </c>
      <c r="R1415">
        <v>0</v>
      </c>
      <c r="S1415" t="s">
        <v>104</v>
      </c>
      <c r="T1415" t="s">
        <v>2266</v>
      </c>
      <c r="U1415">
        <v>31</v>
      </c>
    </row>
    <row r="1416" spans="1:21" x14ac:dyDescent="0.3">
      <c r="A1416" t="s">
        <v>2267</v>
      </c>
      <c r="B1416" t="s">
        <v>2268</v>
      </c>
      <c r="C1416" t="s">
        <v>161</v>
      </c>
      <c r="D1416" t="s">
        <v>98</v>
      </c>
      <c r="E1416" t="s">
        <v>30</v>
      </c>
      <c r="F1416" s="6">
        <v>45291</v>
      </c>
      <c r="G1416">
        <v>100</v>
      </c>
      <c r="H1416">
        <v>100</v>
      </c>
      <c r="I1416">
        <v>1</v>
      </c>
      <c r="J1416">
        <v>1</v>
      </c>
      <c r="K1416" t="s">
        <v>31</v>
      </c>
      <c r="L1416" t="s">
        <v>31</v>
      </c>
      <c r="M1416">
        <v>2023</v>
      </c>
      <c r="N1416" t="s">
        <v>57</v>
      </c>
      <c r="O1416" t="s">
        <v>47</v>
      </c>
      <c r="P1416">
        <v>0</v>
      </c>
      <c r="Q1416">
        <v>0</v>
      </c>
      <c r="R1416">
        <v>0</v>
      </c>
      <c r="S1416" t="s">
        <v>99</v>
      </c>
      <c r="T1416" t="s">
        <v>2269</v>
      </c>
      <c r="U1416">
        <v>1</v>
      </c>
    </row>
    <row r="1417" spans="1:21" x14ac:dyDescent="0.3">
      <c r="A1417" t="s">
        <v>2267</v>
      </c>
      <c r="B1417" t="s">
        <v>2268</v>
      </c>
      <c r="C1417" t="s">
        <v>161</v>
      </c>
      <c r="D1417" t="s">
        <v>98</v>
      </c>
      <c r="E1417" t="s">
        <v>30</v>
      </c>
      <c r="F1417" s="6">
        <v>45657</v>
      </c>
      <c r="G1417">
        <v>100</v>
      </c>
      <c r="H1417">
        <v>100</v>
      </c>
      <c r="I1417">
        <v>1</v>
      </c>
      <c r="J1417">
        <v>1</v>
      </c>
      <c r="K1417" t="s">
        <v>31</v>
      </c>
      <c r="L1417" t="s">
        <v>31</v>
      </c>
      <c r="M1417">
        <v>2024</v>
      </c>
      <c r="N1417" t="s">
        <v>57</v>
      </c>
      <c r="O1417" t="s">
        <v>78</v>
      </c>
      <c r="P1417">
        <v>0</v>
      </c>
      <c r="Q1417">
        <v>0</v>
      </c>
      <c r="R1417">
        <v>0</v>
      </c>
      <c r="S1417" t="s">
        <v>99</v>
      </c>
      <c r="T1417" t="s">
        <v>2270</v>
      </c>
      <c r="U1417">
        <v>1</v>
      </c>
    </row>
    <row r="1418" spans="1:21" x14ac:dyDescent="0.3">
      <c r="A1418" t="s">
        <v>2271</v>
      </c>
      <c r="B1418" t="s">
        <v>2272</v>
      </c>
      <c r="C1418" t="s">
        <v>138</v>
      </c>
      <c r="D1418" t="s">
        <v>233</v>
      </c>
      <c r="E1418" t="s">
        <v>30</v>
      </c>
      <c r="F1418" s="6">
        <v>45107</v>
      </c>
      <c r="G1418">
        <v>100</v>
      </c>
      <c r="H1418">
        <v>120.5</v>
      </c>
      <c r="I1418">
        <v>1.2050000000000001</v>
      </c>
      <c r="J1418">
        <v>1.2050000000000001</v>
      </c>
      <c r="K1418" t="s">
        <v>31</v>
      </c>
      <c r="L1418" t="s">
        <v>31</v>
      </c>
      <c r="M1418">
        <v>2023</v>
      </c>
      <c r="N1418" t="s">
        <v>44</v>
      </c>
      <c r="O1418" t="s">
        <v>33</v>
      </c>
      <c r="P1418">
        <v>0</v>
      </c>
      <c r="Q1418">
        <v>0</v>
      </c>
      <c r="R1418">
        <v>0</v>
      </c>
      <c r="S1418" t="s">
        <v>99</v>
      </c>
      <c r="T1418" t="s">
        <v>2273</v>
      </c>
      <c r="U1418">
        <v>1</v>
      </c>
    </row>
    <row r="1419" spans="1:21" x14ac:dyDescent="0.3">
      <c r="A1419" t="s">
        <v>2271</v>
      </c>
      <c r="B1419" t="s">
        <v>2272</v>
      </c>
      <c r="C1419" t="s">
        <v>138</v>
      </c>
      <c r="D1419" t="s">
        <v>233</v>
      </c>
      <c r="E1419" t="s">
        <v>30</v>
      </c>
      <c r="F1419" s="6">
        <v>45199</v>
      </c>
      <c r="G1419">
        <v>100</v>
      </c>
      <c r="H1419">
        <v>103.17</v>
      </c>
      <c r="I1419">
        <v>1.0317000000000001</v>
      </c>
      <c r="J1419">
        <v>1.0317000000000001</v>
      </c>
      <c r="K1419" t="s">
        <v>31</v>
      </c>
      <c r="L1419" t="s">
        <v>31</v>
      </c>
      <c r="M1419">
        <v>2023</v>
      </c>
      <c r="N1419" t="s">
        <v>51</v>
      </c>
      <c r="O1419" t="s">
        <v>47</v>
      </c>
      <c r="P1419">
        <v>0</v>
      </c>
      <c r="Q1419">
        <v>0</v>
      </c>
      <c r="R1419">
        <v>0</v>
      </c>
      <c r="S1419" t="s">
        <v>99</v>
      </c>
      <c r="T1419" t="s">
        <v>2274</v>
      </c>
      <c r="U1419">
        <v>1</v>
      </c>
    </row>
    <row r="1420" spans="1:21" x14ac:dyDescent="0.3">
      <c r="A1420" t="s">
        <v>2271</v>
      </c>
      <c r="B1420" t="s">
        <v>2272</v>
      </c>
      <c r="C1420" t="s">
        <v>138</v>
      </c>
      <c r="D1420" t="s">
        <v>233</v>
      </c>
      <c r="E1420" t="s">
        <v>30</v>
      </c>
      <c r="F1420" s="6">
        <v>45291</v>
      </c>
      <c r="G1420">
        <v>100</v>
      </c>
      <c r="H1420">
        <v>104.5</v>
      </c>
      <c r="I1420">
        <v>1.0449999999999999</v>
      </c>
      <c r="J1420">
        <v>1.0449999999999999</v>
      </c>
      <c r="K1420" t="s">
        <v>31</v>
      </c>
      <c r="L1420" t="s">
        <v>31</v>
      </c>
      <c r="M1420">
        <v>2023</v>
      </c>
      <c r="N1420" t="s">
        <v>57</v>
      </c>
      <c r="O1420" t="s">
        <v>47</v>
      </c>
      <c r="P1420">
        <v>0</v>
      </c>
      <c r="Q1420">
        <v>0</v>
      </c>
      <c r="R1420">
        <v>0</v>
      </c>
      <c r="S1420" t="s">
        <v>99</v>
      </c>
      <c r="T1420" t="s">
        <v>2275</v>
      </c>
      <c r="U1420">
        <v>1</v>
      </c>
    </row>
    <row r="1421" spans="1:21" x14ac:dyDescent="0.3">
      <c r="A1421" t="s">
        <v>2271</v>
      </c>
      <c r="B1421" t="s">
        <v>2272</v>
      </c>
      <c r="C1421" t="s">
        <v>138</v>
      </c>
      <c r="D1421" t="s">
        <v>233</v>
      </c>
      <c r="E1421" t="s">
        <v>30</v>
      </c>
      <c r="F1421" s="6">
        <v>45382</v>
      </c>
      <c r="G1421">
        <v>100</v>
      </c>
      <c r="H1421">
        <v>0</v>
      </c>
      <c r="I1421">
        <v>0</v>
      </c>
      <c r="J1421">
        <v>0</v>
      </c>
      <c r="K1421" t="s">
        <v>31</v>
      </c>
      <c r="L1421" t="s">
        <v>31</v>
      </c>
      <c r="M1421">
        <v>2024</v>
      </c>
      <c r="N1421" t="s">
        <v>38</v>
      </c>
      <c r="O1421" t="s">
        <v>71</v>
      </c>
      <c r="P1421">
        <v>0</v>
      </c>
      <c r="Q1421">
        <v>0</v>
      </c>
      <c r="R1421">
        <v>0</v>
      </c>
      <c r="S1421" t="s">
        <v>99</v>
      </c>
      <c r="T1421" t="s">
        <v>2276</v>
      </c>
      <c r="U1421">
        <v>1</v>
      </c>
    </row>
    <row r="1422" spans="1:21" x14ac:dyDescent="0.3">
      <c r="A1422" t="s">
        <v>2271</v>
      </c>
      <c r="B1422" t="s">
        <v>2272</v>
      </c>
      <c r="C1422" t="s">
        <v>138</v>
      </c>
      <c r="D1422" t="s">
        <v>233</v>
      </c>
      <c r="E1422" t="s">
        <v>30</v>
      </c>
      <c r="F1422" s="6">
        <v>45473</v>
      </c>
      <c r="G1422">
        <v>100</v>
      </c>
      <c r="H1422">
        <v>100.47</v>
      </c>
      <c r="K1422" t="s">
        <v>31</v>
      </c>
      <c r="L1422" t="s">
        <v>31</v>
      </c>
      <c r="M1422">
        <v>2024</v>
      </c>
      <c r="N1422" t="s">
        <v>44</v>
      </c>
      <c r="O1422" t="s">
        <v>71</v>
      </c>
      <c r="P1422">
        <v>0</v>
      </c>
      <c r="Q1422">
        <v>0</v>
      </c>
      <c r="R1422">
        <v>0</v>
      </c>
      <c r="S1422" t="s">
        <v>99</v>
      </c>
      <c r="T1422" t="s">
        <v>2277</v>
      </c>
      <c r="U1422">
        <v>1</v>
      </c>
    </row>
    <row r="1423" spans="1:21" x14ac:dyDescent="0.3">
      <c r="A1423" t="s">
        <v>2271</v>
      </c>
      <c r="B1423" t="s">
        <v>2272</v>
      </c>
      <c r="C1423" t="s">
        <v>138</v>
      </c>
      <c r="D1423" t="s">
        <v>233</v>
      </c>
      <c r="E1423" t="s">
        <v>30</v>
      </c>
      <c r="F1423" s="6">
        <v>45565</v>
      </c>
      <c r="G1423">
        <v>100</v>
      </c>
      <c r="H1423">
        <v>0</v>
      </c>
      <c r="I1423">
        <v>0</v>
      </c>
      <c r="J1423">
        <v>0</v>
      </c>
      <c r="K1423" t="s">
        <v>31</v>
      </c>
      <c r="L1423" t="s">
        <v>31</v>
      </c>
      <c r="M1423">
        <v>2024</v>
      </c>
      <c r="N1423" t="s">
        <v>51</v>
      </c>
      <c r="O1423" t="s">
        <v>78</v>
      </c>
      <c r="P1423">
        <v>0</v>
      </c>
      <c r="Q1423">
        <v>0</v>
      </c>
      <c r="R1423">
        <v>0</v>
      </c>
      <c r="S1423" t="s">
        <v>99</v>
      </c>
      <c r="T1423" t="s">
        <v>2278</v>
      </c>
      <c r="U1423">
        <v>1</v>
      </c>
    </row>
    <row r="1424" spans="1:21" x14ac:dyDescent="0.3">
      <c r="A1424" t="s">
        <v>2271</v>
      </c>
      <c r="B1424" t="s">
        <v>2272</v>
      </c>
      <c r="C1424" t="s">
        <v>138</v>
      </c>
      <c r="D1424" t="s">
        <v>233</v>
      </c>
      <c r="E1424" t="s">
        <v>30</v>
      </c>
      <c r="F1424" s="6">
        <v>45657</v>
      </c>
      <c r="G1424">
        <v>100</v>
      </c>
      <c r="H1424">
        <v>0</v>
      </c>
      <c r="I1424">
        <v>0</v>
      </c>
      <c r="J1424">
        <v>0</v>
      </c>
      <c r="K1424" t="s">
        <v>31</v>
      </c>
      <c r="L1424" t="s">
        <v>31</v>
      </c>
      <c r="M1424">
        <v>2024</v>
      </c>
      <c r="N1424" t="s">
        <v>57</v>
      </c>
      <c r="O1424" t="s">
        <v>78</v>
      </c>
      <c r="P1424">
        <v>0</v>
      </c>
      <c r="Q1424">
        <v>0</v>
      </c>
      <c r="R1424">
        <v>0</v>
      </c>
      <c r="S1424" t="s">
        <v>99</v>
      </c>
      <c r="T1424" t="s">
        <v>2279</v>
      </c>
      <c r="U1424">
        <v>1</v>
      </c>
    </row>
    <row r="1425" spans="1:21" x14ac:dyDescent="0.3">
      <c r="A1425" t="s">
        <v>2271</v>
      </c>
      <c r="B1425" t="s">
        <v>2272</v>
      </c>
      <c r="C1425" t="s">
        <v>138</v>
      </c>
      <c r="D1425" t="s">
        <v>233</v>
      </c>
      <c r="E1425" t="s">
        <v>30</v>
      </c>
      <c r="F1425" s="6">
        <v>45747</v>
      </c>
      <c r="G1425">
        <v>100</v>
      </c>
      <c r="H1425" t="s">
        <v>424</v>
      </c>
      <c r="I1425">
        <v>0</v>
      </c>
      <c r="J1425">
        <v>0</v>
      </c>
      <c r="K1425" t="s">
        <v>102</v>
      </c>
      <c r="M1425">
        <v>2025</v>
      </c>
      <c r="N1425" t="s">
        <v>38</v>
      </c>
      <c r="O1425" t="s">
        <v>244</v>
      </c>
      <c r="P1425">
        <v>2</v>
      </c>
      <c r="Q1425">
        <v>2</v>
      </c>
      <c r="R1425">
        <v>0</v>
      </c>
      <c r="S1425" t="s">
        <v>104</v>
      </c>
      <c r="T1425" t="s">
        <v>2280</v>
      </c>
      <c r="U1425">
        <v>31</v>
      </c>
    </row>
    <row r="1426" spans="1:21" x14ac:dyDescent="0.3">
      <c r="A1426" t="s">
        <v>2271</v>
      </c>
      <c r="B1426" t="s">
        <v>2272</v>
      </c>
      <c r="C1426" t="s">
        <v>138</v>
      </c>
      <c r="D1426" t="s">
        <v>233</v>
      </c>
      <c r="E1426" t="s">
        <v>30</v>
      </c>
      <c r="F1426" s="6">
        <v>45838</v>
      </c>
      <c r="G1426">
        <v>100</v>
      </c>
      <c r="H1426" t="s">
        <v>2281</v>
      </c>
      <c r="I1426">
        <v>1.0867</v>
      </c>
      <c r="J1426">
        <v>1.0867</v>
      </c>
      <c r="K1426" t="s">
        <v>102</v>
      </c>
      <c r="L1426" t="s">
        <v>2282</v>
      </c>
      <c r="M1426">
        <v>2025</v>
      </c>
      <c r="N1426" t="s">
        <v>44</v>
      </c>
      <c r="O1426" t="s">
        <v>244</v>
      </c>
      <c r="P1426">
        <v>2</v>
      </c>
      <c r="Q1426">
        <v>2</v>
      </c>
      <c r="R1426">
        <v>0</v>
      </c>
      <c r="S1426" t="s">
        <v>104</v>
      </c>
      <c r="T1426" t="s">
        <v>2283</v>
      </c>
      <c r="U1426">
        <v>30</v>
      </c>
    </row>
    <row r="1427" spans="1:21" x14ac:dyDescent="0.3">
      <c r="A1427" t="s">
        <v>2271</v>
      </c>
      <c r="B1427" t="s">
        <v>2272</v>
      </c>
      <c r="C1427" t="s">
        <v>138</v>
      </c>
      <c r="D1427" t="s">
        <v>233</v>
      </c>
      <c r="E1427" t="s">
        <v>30</v>
      </c>
      <c r="F1427" s="6">
        <v>46022</v>
      </c>
      <c r="G1427">
        <v>100</v>
      </c>
      <c r="I1427">
        <v>0</v>
      </c>
      <c r="J1427">
        <v>0</v>
      </c>
      <c r="K1427" t="s">
        <v>102</v>
      </c>
      <c r="M1427">
        <v>2025</v>
      </c>
      <c r="N1427" t="s">
        <v>57</v>
      </c>
      <c r="O1427" t="s">
        <v>103</v>
      </c>
      <c r="P1427">
        <v>2</v>
      </c>
      <c r="Q1427">
        <v>2</v>
      </c>
      <c r="R1427">
        <v>0</v>
      </c>
      <c r="S1427" t="s">
        <v>104</v>
      </c>
      <c r="T1427" t="s">
        <v>2284</v>
      </c>
      <c r="U1427">
        <v>31</v>
      </c>
    </row>
    <row r="1428" spans="1:21" x14ac:dyDescent="0.3">
      <c r="A1428" t="s">
        <v>2285</v>
      </c>
      <c r="B1428" t="s">
        <v>2286</v>
      </c>
      <c r="C1428" t="s">
        <v>663</v>
      </c>
      <c r="D1428" t="s">
        <v>222</v>
      </c>
      <c r="E1428" t="s">
        <v>30</v>
      </c>
      <c r="F1428" s="6">
        <v>45107</v>
      </c>
      <c r="G1428">
        <v>20</v>
      </c>
      <c r="H1428">
        <v>25</v>
      </c>
      <c r="I1428">
        <v>1.25</v>
      </c>
      <c r="J1428">
        <v>1.25</v>
      </c>
      <c r="K1428" t="s">
        <v>31</v>
      </c>
      <c r="L1428" t="s">
        <v>31</v>
      </c>
      <c r="M1428">
        <v>2023</v>
      </c>
      <c r="N1428" t="s">
        <v>44</v>
      </c>
      <c r="O1428" t="s">
        <v>33</v>
      </c>
      <c r="P1428">
        <v>0</v>
      </c>
      <c r="Q1428">
        <v>0</v>
      </c>
      <c r="R1428">
        <v>0</v>
      </c>
      <c r="S1428" t="s">
        <v>34</v>
      </c>
      <c r="T1428" t="s">
        <v>2287</v>
      </c>
      <c r="U1428">
        <v>1</v>
      </c>
    </row>
    <row r="1429" spans="1:21" x14ac:dyDescent="0.3">
      <c r="A1429" t="s">
        <v>2285</v>
      </c>
      <c r="B1429" t="s">
        <v>2286</v>
      </c>
      <c r="C1429" t="s">
        <v>663</v>
      </c>
      <c r="D1429" t="s">
        <v>222</v>
      </c>
      <c r="E1429" t="s">
        <v>30</v>
      </c>
      <c r="F1429" s="6">
        <v>45291</v>
      </c>
      <c r="G1429">
        <v>26</v>
      </c>
      <c r="H1429">
        <v>82</v>
      </c>
      <c r="I1429">
        <v>3.1538461538461542</v>
      </c>
      <c r="J1429">
        <v>3.1538461538461542</v>
      </c>
      <c r="K1429" t="s">
        <v>31</v>
      </c>
      <c r="L1429" t="s">
        <v>31</v>
      </c>
      <c r="M1429">
        <v>2023</v>
      </c>
      <c r="N1429" t="s">
        <v>57</v>
      </c>
      <c r="O1429" t="s">
        <v>47</v>
      </c>
      <c r="P1429">
        <v>0</v>
      </c>
      <c r="Q1429">
        <v>0</v>
      </c>
      <c r="R1429">
        <v>0</v>
      </c>
      <c r="S1429" t="s">
        <v>34</v>
      </c>
      <c r="T1429" t="s">
        <v>2288</v>
      </c>
      <c r="U1429">
        <v>1</v>
      </c>
    </row>
    <row r="1430" spans="1:21" x14ac:dyDescent="0.3">
      <c r="A1430" t="s">
        <v>2285</v>
      </c>
      <c r="B1430" t="s">
        <v>2286</v>
      </c>
      <c r="C1430" t="s">
        <v>663</v>
      </c>
      <c r="D1430" t="s">
        <v>222</v>
      </c>
      <c r="E1430" t="s">
        <v>30</v>
      </c>
      <c r="F1430" s="6">
        <v>45473</v>
      </c>
      <c r="G1430">
        <v>100</v>
      </c>
      <c r="H1430">
        <v>112</v>
      </c>
      <c r="I1430">
        <v>1.1200000000000001</v>
      </c>
      <c r="J1430">
        <v>1.1200000000000001</v>
      </c>
      <c r="K1430" t="s">
        <v>118</v>
      </c>
      <c r="L1430" t="s">
        <v>118</v>
      </c>
      <c r="M1430">
        <v>2024</v>
      </c>
      <c r="N1430" t="s">
        <v>44</v>
      </c>
      <c r="O1430" t="s">
        <v>71</v>
      </c>
      <c r="P1430">
        <v>0</v>
      </c>
      <c r="Q1430">
        <v>0</v>
      </c>
      <c r="R1430">
        <v>0</v>
      </c>
      <c r="S1430" t="s">
        <v>34</v>
      </c>
      <c r="T1430" t="s">
        <v>2289</v>
      </c>
      <c r="U1430">
        <v>1</v>
      </c>
    </row>
    <row r="1431" spans="1:21" x14ac:dyDescent="0.3">
      <c r="A1431" t="s">
        <v>2285</v>
      </c>
      <c r="B1431" t="s">
        <v>2286</v>
      </c>
      <c r="C1431" t="s">
        <v>663</v>
      </c>
      <c r="D1431" t="s">
        <v>222</v>
      </c>
      <c r="E1431" t="s">
        <v>30</v>
      </c>
      <c r="F1431" s="6">
        <v>45657</v>
      </c>
      <c r="G1431">
        <v>100</v>
      </c>
      <c r="H1431">
        <v>413.33</v>
      </c>
      <c r="I1431">
        <v>1.3</v>
      </c>
      <c r="J1431">
        <v>4.1333000000000002</v>
      </c>
      <c r="K1431" t="s">
        <v>118</v>
      </c>
      <c r="L1431" t="s">
        <v>118</v>
      </c>
      <c r="M1431">
        <v>2024</v>
      </c>
      <c r="N1431" t="s">
        <v>57</v>
      </c>
      <c r="O1431" t="s">
        <v>78</v>
      </c>
      <c r="P1431">
        <v>0</v>
      </c>
      <c r="Q1431">
        <v>0</v>
      </c>
      <c r="R1431">
        <v>0</v>
      </c>
      <c r="S1431" t="s">
        <v>34</v>
      </c>
      <c r="T1431" t="s">
        <v>2290</v>
      </c>
      <c r="U1431">
        <v>1</v>
      </c>
    </row>
    <row r="1432" spans="1:21" x14ac:dyDescent="0.3">
      <c r="A1432" t="s">
        <v>2291</v>
      </c>
      <c r="B1432" t="s">
        <v>2292</v>
      </c>
      <c r="C1432" t="s">
        <v>663</v>
      </c>
      <c r="D1432" t="s">
        <v>222</v>
      </c>
      <c r="E1432" t="s">
        <v>30</v>
      </c>
      <c r="F1432" s="6">
        <v>45107</v>
      </c>
      <c r="G1432">
        <v>12</v>
      </c>
      <c r="H1432">
        <v>27</v>
      </c>
      <c r="I1432">
        <v>2.25</v>
      </c>
      <c r="J1432">
        <v>2.25</v>
      </c>
      <c r="K1432" t="s">
        <v>118</v>
      </c>
      <c r="L1432" t="s">
        <v>118</v>
      </c>
      <c r="M1432">
        <v>2023</v>
      </c>
      <c r="N1432" t="s">
        <v>44</v>
      </c>
      <c r="O1432" t="s">
        <v>33</v>
      </c>
      <c r="P1432">
        <v>0</v>
      </c>
      <c r="Q1432">
        <v>0</v>
      </c>
      <c r="R1432">
        <v>0</v>
      </c>
      <c r="S1432" t="s">
        <v>34</v>
      </c>
      <c r="T1432" t="s">
        <v>2293</v>
      </c>
      <c r="U1432">
        <v>1</v>
      </c>
    </row>
    <row r="1433" spans="1:21" x14ac:dyDescent="0.3">
      <c r="A1433" t="s">
        <v>2291</v>
      </c>
      <c r="B1433" t="s">
        <v>2292</v>
      </c>
      <c r="C1433" t="s">
        <v>663</v>
      </c>
      <c r="D1433" t="s">
        <v>222</v>
      </c>
      <c r="E1433" t="s">
        <v>30</v>
      </c>
      <c r="F1433" s="6">
        <v>45291</v>
      </c>
      <c r="G1433">
        <v>20</v>
      </c>
      <c r="H1433">
        <v>54</v>
      </c>
      <c r="I1433">
        <v>2.7</v>
      </c>
      <c r="J1433">
        <v>2.7</v>
      </c>
      <c r="K1433" t="s">
        <v>118</v>
      </c>
      <c r="L1433" t="s">
        <v>118</v>
      </c>
      <c r="M1433">
        <v>2023</v>
      </c>
      <c r="N1433" t="s">
        <v>57</v>
      </c>
      <c r="O1433" t="s">
        <v>47</v>
      </c>
      <c r="P1433">
        <v>0</v>
      </c>
      <c r="Q1433">
        <v>0</v>
      </c>
      <c r="R1433">
        <v>0</v>
      </c>
      <c r="S1433" t="s">
        <v>34</v>
      </c>
      <c r="T1433" t="s">
        <v>2294</v>
      </c>
      <c r="U1433">
        <v>1</v>
      </c>
    </row>
    <row r="1434" spans="1:21" x14ac:dyDescent="0.3">
      <c r="A1434" t="s">
        <v>2291</v>
      </c>
      <c r="B1434" t="s">
        <v>2292</v>
      </c>
      <c r="C1434" t="s">
        <v>663</v>
      </c>
      <c r="D1434" t="s">
        <v>222</v>
      </c>
      <c r="E1434" t="s">
        <v>30</v>
      </c>
      <c r="F1434" s="6">
        <v>45473</v>
      </c>
      <c r="G1434">
        <v>100</v>
      </c>
      <c r="H1434">
        <v>100</v>
      </c>
      <c r="I1434">
        <v>1</v>
      </c>
      <c r="J1434">
        <v>1</v>
      </c>
      <c r="K1434" t="s">
        <v>118</v>
      </c>
      <c r="L1434" t="s">
        <v>118</v>
      </c>
      <c r="M1434">
        <v>2024</v>
      </c>
      <c r="N1434" t="s">
        <v>44</v>
      </c>
      <c r="O1434" t="s">
        <v>71</v>
      </c>
      <c r="P1434">
        <v>0</v>
      </c>
      <c r="Q1434">
        <v>0</v>
      </c>
      <c r="R1434">
        <v>0</v>
      </c>
      <c r="S1434" t="s">
        <v>34</v>
      </c>
      <c r="T1434" t="s">
        <v>2295</v>
      </c>
      <c r="U1434">
        <v>1</v>
      </c>
    </row>
    <row r="1435" spans="1:21" x14ac:dyDescent="0.3">
      <c r="A1435" t="s">
        <v>2291</v>
      </c>
      <c r="B1435" t="s">
        <v>2292</v>
      </c>
      <c r="C1435" t="s">
        <v>663</v>
      </c>
      <c r="D1435" t="s">
        <v>222</v>
      </c>
      <c r="E1435" t="s">
        <v>30</v>
      </c>
      <c r="F1435" s="6">
        <v>45657</v>
      </c>
      <c r="G1435">
        <v>100</v>
      </c>
      <c r="H1435">
        <v>100</v>
      </c>
      <c r="I1435">
        <v>1</v>
      </c>
      <c r="J1435">
        <v>1</v>
      </c>
      <c r="K1435" t="s">
        <v>118</v>
      </c>
      <c r="L1435" t="s">
        <v>118</v>
      </c>
      <c r="M1435">
        <v>2024</v>
      </c>
      <c r="N1435" t="s">
        <v>57</v>
      </c>
      <c r="O1435" t="s">
        <v>78</v>
      </c>
      <c r="P1435">
        <v>0</v>
      </c>
      <c r="Q1435">
        <v>0</v>
      </c>
      <c r="R1435">
        <v>0</v>
      </c>
      <c r="S1435" t="s">
        <v>34</v>
      </c>
      <c r="T1435" t="s">
        <v>2296</v>
      </c>
      <c r="U1435">
        <v>1</v>
      </c>
    </row>
    <row r="1436" spans="1:21" x14ac:dyDescent="0.3">
      <c r="A1436" t="s">
        <v>2297</v>
      </c>
      <c r="B1436" t="s">
        <v>2298</v>
      </c>
      <c r="C1436" t="s">
        <v>663</v>
      </c>
      <c r="D1436" t="s">
        <v>222</v>
      </c>
      <c r="E1436" t="s">
        <v>30</v>
      </c>
      <c r="F1436" s="6">
        <v>45107</v>
      </c>
      <c r="G1436">
        <v>19</v>
      </c>
      <c r="H1436">
        <v>27</v>
      </c>
      <c r="I1436">
        <v>1.4210526315789469</v>
      </c>
      <c r="J1436">
        <v>1.4210526315789469</v>
      </c>
      <c r="K1436" t="s">
        <v>118</v>
      </c>
      <c r="L1436" t="s">
        <v>118</v>
      </c>
      <c r="M1436">
        <v>2023</v>
      </c>
      <c r="N1436" t="s">
        <v>44</v>
      </c>
      <c r="O1436" t="s">
        <v>33</v>
      </c>
      <c r="P1436">
        <v>0</v>
      </c>
      <c r="Q1436">
        <v>0</v>
      </c>
      <c r="R1436">
        <v>0</v>
      </c>
      <c r="S1436" t="s">
        <v>34</v>
      </c>
      <c r="T1436" t="s">
        <v>2299</v>
      </c>
      <c r="U1436">
        <v>1</v>
      </c>
    </row>
    <row r="1437" spans="1:21" x14ac:dyDescent="0.3">
      <c r="A1437" t="s">
        <v>2297</v>
      </c>
      <c r="B1437" t="s">
        <v>2298</v>
      </c>
      <c r="C1437" t="s">
        <v>663</v>
      </c>
      <c r="D1437" t="s">
        <v>222</v>
      </c>
      <c r="E1437" t="s">
        <v>30</v>
      </c>
      <c r="F1437" s="6">
        <v>45291</v>
      </c>
      <c r="G1437">
        <v>45</v>
      </c>
      <c r="H1437">
        <v>76</v>
      </c>
      <c r="I1437">
        <v>1.6888888888888891</v>
      </c>
      <c r="J1437">
        <v>1.6888888888888891</v>
      </c>
      <c r="K1437" t="s">
        <v>118</v>
      </c>
      <c r="L1437" t="s">
        <v>118</v>
      </c>
      <c r="M1437">
        <v>2023</v>
      </c>
      <c r="N1437" t="s">
        <v>57</v>
      </c>
      <c r="O1437" t="s">
        <v>47</v>
      </c>
      <c r="P1437">
        <v>0</v>
      </c>
      <c r="Q1437">
        <v>0</v>
      </c>
      <c r="R1437">
        <v>0</v>
      </c>
      <c r="S1437" t="s">
        <v>34</v>
      </c>
      <c r="T1437" t="s">
        <v>2300</v>
      </c>
      <c r="U1437">
        <v>1</v>
      </c>
    </row>
    <row r="1438" spans="1:21" x14ac:dyDescent="0.3">
      <c r="A1438" t="s">
        <v>2297</v>
      </c>
      <c r="B1438" t="s">
        <v>2298</v>
      </c>
      <c r="C1438" t="s">
        <v>663</v>
      </c>
      <c r="D1438" t="s">
        <v>222</v>
      </c>
      <c r="E1438" t="s">
        <v>30</v>
      </c>
      <c r="F1438" s="6">
        <v>45473</v>
      </c>
      <c r="G1438">
        <v>100</v>
      </c>
      <c r="H1438">
        <v>216</v>
      </c>
      <c r="I1438">
        <v>1.3</v>
      </c>
      <c r="J1438">
        <v>2.16</v>
      </c>
      <c r="K1438" t="s">
        <v>118</v>
      </c>
      <c r="L1438" t="s">
        <v>118</v>
      </c>
      <c r="M1438">
        <v>2024</v>
      </c>
      <c r="N1438" t="s">
        <v>44</v>
      </c>
      <c r="O1438" t="s">
        <v>71</v>
      </c>
      <c r="P1438">
        <v>0</v>
      </c>
      <c r="Q1438">
        <v>0</v>
      </c>
      <c r="R1438">
        <v>0</v>
      </c>
      <c r="S1438" t="s">
        <v>34</v>
      </c>
      <c r="T1438" t="s">
        <v>2301</v>
      </c>
      <c r="U1438">
        <v>1</v>
      </c>
    </row>
    <row r="1439" spans="1:21" x14ac:dyDescent="0.3">
      <c r="A1439" t="s">
        <v>2297</v>
      </c>
      <c r="B1439" t="s">
        <v>2302</v>
      </c>
      <c r="C1439" t="s">
        <v>663</v>
      </c>
      <c r="D1439" t="s">
        <v>222</v>
      </c>
      <c r="E1439" t="s">
        <v>30</v>
      </c>
      <c r="F1439" s="6">
        <v>45657</v>
      </c>
      <c r="G1439">
        <v>100</v>
      </c>
      <c r="H1439">
        <v>154.66999999999999</v>
      </c>
      <c r="I1439">
        <v>1.3</v>
      </c>
      <c r="J1439">
        <v>1.5467</v>
      </c>
      <c r="K1439" t="s">
        <v>118</v>
      </c>
      <c r="L1439" t="s">
        <v>118</v>
      </c>
      <c r="M1439">
        <v>2024</v>
      </c>
      <c r="N1439" t="s">
        <v>57</v>
      </c>
      <c r="O1439" t="s">
        <v>78</v>
      </c>
      <c r="P1439">
        <v>0</v>
      </c>
      <c r="Q1439">
        <v>0</v>
      </c>
      <c r="R1439">
        <v>0</v>
      </c>
      <c r="S1439" t="s">
        <v>34</v>
      </c>
      <c r="T1439" t="s">
        <v>2303</v>
      </c>
      <c r="U1439">
        <v>1</v>
      </c>
    </row>
    <row r="1440" spans="1:21" x14ac:dyDescent="0.3">
      <c r="A1440" t="s">
        <v>2304</v>
      </c>
      <c r="B1440" t="s">
        <v>2305</v>
      </c>
      <c r="C1440" t="s">
        <v>663</v>
      </c>
      <c r="D1440" t="s">
        <v>222</v>
      </c>
      <c r="E1440" t="s">
        <v>30</v>
      </c>
      <c r="F1440" s="6">
        <v>45107</v>
      </c>
      <c r="G1440">
        <v>14</v>
      </c>
      <c r="H1440">
        <v>48</v>
      </c>
      <c r="I1440">
        <v>3.4285714285714279</v>
      </c>
      <c r="J1440">
        <v>3.4285714285714279</v>
      </c>
      <c r="K1440" t="s">
        <v>118</v>
      </c>
      <c r="L1440" t="s">
        <v>118</v>
      </c>
      <c r="M1440">
        <v>2023</v>
      </c>
      <c r="N1440" t="s">
        <v>44</v>
      </c>
      <c r="O1440" t="s">
        <v>33</v>
      </c>
      <c r="P1440">
        <v>0</v>
      </c>
      <c r="Q1440">
        <v>0</v>
      </c>
      <c r="R1440">
        <v>0</v>
      </c>
      <c r="S1440" t="s">
        <v>34</v>
      </c>
      <c r="T1440" t="s">
        <v>2306</v>
      </c>
      <c r="U1440">
        <v>1</v>
      </c>
    </row>
    <row r="1441" spans="1:21" x14ac:dyDescent="0.3">
      <c r="A1441" t="s">
        <v>2304</v>
      </c>
      <c r="B1441" t="s">
        <v>2305</v>
      </c>
      <c r="C1441" t="s">
        <v>663</v>
      </c>
      <c r="D1441" t="s">
        <v>222</v>
      </c>
      <c r="E1441" t="s">
        <v>30</v>
      </c>
      <c r="F1441" s="6">
        <v>45291</v>
      </c>
      <c r="G1441">
        <v>70</v>
      </c>
      <c r="H1441">
        <v>118</v>
      </c>
      <c r="I1441">
        <v>1.6857142857142859</v>
      </c>
      <c r="J1441">
        <v>1.6857142857142859</v>
      </c>
      <c r="K1441" t="s">
        <v>118</v>
      </c>
      <c r="L1441" t="s">
        <v>118</v>
      </c>
      <c r="M1441">
        <v>2023</v>
      </c>
      <c r="N1441" t="s">
        <v>57</v>
      </c>
      <c r="O1441" t="s">
        <v>47</v>
      </c>
      <c r="P1441">
        <v>0</v>
      </c>
      <c r="Q1441">
        <v>0</v>
      </c>
      <c r="R1441">
        <v>0</v>
      </c>
      <c r="S1441" t="s">
        <v>34</v>
      </c>
      <c r="T1441" t="s">
        <v>2307</v>
      </c>
      <c r="U1441">
        <v>1</v>
      </c>
    </row>
    <row r="1442" spans="1:21" x14ac:dyDescent="0.3">
      <c r="A1442" t="s">
        <v>2304</v>
      </c>
      <c r="B1442" t="s">
        <v>2305</v>
      </c>
      <c r="C1442" t="s">
        <v>663</v>
      </c>
      <c r="D1442" t="s">
        <v>222</v>
      </c>
      <c r="E1442" t="s">
        <v>30</v>
      </c>
      <c r="F1442" s="6">
        <v>45473</v>
      </c>
      <c r="G1442">
        <v>100</v>
      </c>
      <c r="H1442">
        <v>95.56</v>
      </c>
      <c r="I1442">
        <v>0.9556</v>
      </c>
      <c r="J1442">
        <v>0.9556</v>
      </c>
      <c r="K1442" t="s">
        <v>118</v>
      </c>
      <c r="L1442" t="s">
        <v>118</v>
      </c>
      <c r="M1442">
        <v>2024</v>
      </c>
      <c r="N1442" t="s">
        <v>44</v>
      </c>
      <c r="O1442" t="s">
        <v>71</v>
      </c>
      <c r="P1442">
        <v>0</v>
      </c>
      <c r="Q1442">
        <v>0</v>
      </c>
      <c r="R1442">
        <v>0</v>
      </c>
      <c r="S1442" t="s">
        <v>34</v>
      </c>
      <c r="T1442" t="s">
        <v>2308</v>
      </c>
      <c r="U1442">
        <v>1</v>
      </c>
    </row>
    <row r="1443" spans="1:21" x14ac:dyDescent="0.3">
      <c r="A1443" t="s">
        <v>2304</v>
      </c>
      <c r="B1443" t="s">
        <v>2305</v>
      </c>
      <c r="C1443" t="s">
        <v>663</v>
      </c>
      <c r="D1443" t="s">
        <v>222</v>
      </c>
      <c r="E1443" t="s">
        <v>30</v>
      </c>
      <c r="F1443" s="6">
        <v>45657</v>
      </c>
      <c r="G1443">
        <v>100</v>
      </c>
      <c r="H1443">
        <v>79.13</v>
      </c>
      <c r="I1443">
        <v>0.7913</v>
      </c>
      <c r="J1443">
        <v>0.7913</v>
      </c>
      <c r="K1443" t="s">
        <v>118</v>
      </c>
      <c r="L1443" t="s">
        <v>118</v>
      </c>
      <c r="M1443">
        <v>2024</v>
      </c>
      <c r="N1443" t="s">
        <v>57</v>
      </c>
      <c r="O1443" t="s">
        <v>78</v>
      </c>
      <c r="P1443">
        <v>0</v>
      </c>
      <c r="Q1443">
        <v>0</v>
      </c>
      <c r="R1443">
        <v>0</v>
      </c>
      <c r="S1443" t="s">
        <v>34</v>
      </c>
      <c r="T1443" t="s">
        <v>2309</v>
      </c>
      <c r="U1443">
        <v>1</v>
      </c>
    </row>
    <row r="1444" spans="1:21" x14ac:dyDescent="0.3">
      <c r="A1444" t="s">
        <v>2310</v>
      </c>
      <c r="B1444" t="s">
        <v>2311</v>
      </c>
      <c r="C1444" t="s">
        <v>663</v>
      </c>
      <c r="D1444" t="s">
        <v>222</v>
      </c>
      <c r="E1444" t="s">
        <v>30</v>
      </c>
      <c r="F1444" s="6">
        <v>45107</v>
      </c>
      <c r="G1444">
        <v>22</v>
      </c>
      <c r="H1444">
        <v>85</v>
      </c>
      <c r="I1444">
        <v>3.8636363636363642</v>
      </c>
      <c r="J1444">
        <v>3.8636363636363642</v>
      </c>
      <c r="K1444" t="s">
        <v>118</v>
      </c>
      <c r="L1444" t="s">
        <v>118</v>
      </c>
      <c r="M1444">
        <v>2023</v>
      </c>
      <c r="N1444" t="s">
        <v>44</v>
      </c>
      <c r="O1444" t="s">
        <v>33</v>
      </c>
      <c r="P1444">
        <v>0</v>
      </c>
      <c r="Q1444">
        <v>0</v>
      </c>
      <c r="R1444">
        <v>0</v>
      </c>
      <c r="S1444" t="s">
        <v>34</v>
      </c>
      <c r="T1444" t="s">
        <v>2312</v>
      </c>
      <c r="U1444">
        <v>1</v>
      </c>
    </row>
    <row r="1445" spans="1:21" x14ac:dyDescent="0.3">
      <c r="A1445" t="s">
        <v>2310</v>
      </c>
      <c r="B1445" t="s">
        <v>2311</v>
      </c>
      <c r="C1445" t="s">
        <v>663</v>
      </c>
      <c r="D1445" t="s">
        <v>222</v>
      </c>
      <c r="E1445" t="s">
        <v>30</v>
      </c>
      <c r="F1445" s="6">
        <v>45291</v>
      </c>
      <c r="G1445">
        <v>245</v>
      </c>
      <c r="H1445">
        <v>247</v>
      </c>
      <c r="I1445">
        <v>1.008163265306123</v>
      </c>
      <c r="J1445">
        <v>1.008163265306123</v>
      </c>
      <c r="K1445" t="s">
        <v>118</v>
      </c>
      <c r="L1445" t="s">
        <v>118</v>
      </c>
      <c r="M1445">
        <v>2023</v>
      </c>
      <c r="N1445" t="s">
        <v>57</v>
      </c>
      <c r="O1445" t="s">
        <v>47</v>
      </c>
      <c r="P1445">
        <v>0</v>
      </c>
      <c r="Q1445">
        <v>0</v>
      </c>
      <c r="R1445">
        <v>0</v>
      </c>
      <c r="S1445" t="s">
        <v>34</v>
      </c>
      <c r="T1445" t="s">
        <v>2313</v>
      </c>
      <c r="U1445">
        <v>1</v>
      </c>
    </row>
    <row r="1446" spans="1:21" x14ac:dyDescent="0.3">
      <c r="A1446" t="s">
        <v>2310</v>
      </c>
      <c r="B1446" t="s">
        <v>2311</v>
      </c>
      <c r="C1446" t="s">
        <v>663</v>
      </c>
      <c r="D1446" t="s">
        <v>222</v>
      </c>
      <c r="E1446" t="s">
        <v>30</v>
      </c>
      <c r="F1446" s="6">
        <v>45473</v>
      </c>
      <c r="G1446">
        <v>100</v>
      </c>
      <c r="H1446">
        <v>117.65</v>
      </c>
      <c r="I1446">
        <v>1.1765000000000001</v>
      </c>
      <c r="J1446">
        <v>1.1765000000000001</v>
      </c>
      <c r="K1446" t="s">
        <v>118</v>
      </c>
      <c r="L1446" t="s">
        <v>118</v>
      </c>
      <c r="M1446">
        <v>2024</v>
      </c>
      <c r="N1446" t="s">
        <v>44</v>
      </c>
      <c r="O1446" t="s">
        <v>71</v>
      </c>
      <c r="P1446">
        <v>0</v>
      </c>
      <c r="Q1446">
        <v>0</v>
      </c>
      <c r="R1446">
        <v>0</v>
      </c>
      <c r="S1446" t="s">
        <v>34</v>
      </c>
      <c r="T1446" t="s">
        <v>2314</v>
      </c>
      <c r="U1446">
        <v>1</v>
      </c>
    </row>
    <row r="1447" spans="1:21" x14ac:dyDescent="0.3">
      <c r="A1447" t="s">
        <v>2310</v>
      </c>
      <c r="B1447" t="s">
        <v>2311</v>
      </c>
      <c r="C1447" t="s">
        <v>663</v>
      </c>
      <c r="D1447" t="s">
        <v>222</v>
      </c>
      <c r="E1447" t="s">
        <v>30</v>
      </c>
      <c r="F1447" s="6">
        <v>45657</v>
      </c>
      <c r="G1447">
        <v>100</v>
      </c>
      <c r="H1447">
        <v>67.760000000000005</v>
      </c>
      <c r="I1447">
        <v>0.67760000000000009</v>
      </c>
      <c r="J1447">
        <v>0.67760000000000009</v>
      </c>
      <c r="K1447" t="s">
        <v>118</v>
      </c>
      <c r="L1447" t="s">
        <v>118</v>
      </c>
      <c r="M1447">
        <v>2024</v>
      </c>
      <c r="N1447" t="s">
        <v>57</v>
      </c>
      <c r="O1447" t="s">
        <v>78</v>
      </c>
      <c r="P1447">
        <v>0</v>
      </c>
      <c r="Q1447">
        <v>0</v>
      </c>
      <c r="R1447">
        <v>0</v>
      </c>
      <c r="S1447" t="s">
        <v>34</v>
      </c>
      <c r="T1447" t="s">
        <v>2315</v>
      </c>
      <c r="U1447">
        <v>1</v>
      </c>
    </row>
    <row r="1448" spans="1:21" x14ac:dyDescent="0.3">
      <c r="A1448" t="s">
        <v>2316</v>
      </c>
      <c r="B1448" t="s">
        <v>2317</v>
      </c>
      <c r="C1448" t="s">
        <v>663</v>
      </c>
      <c r="D1448" t="s">
        <v>222</v>
      </c>
      <c r="E1448" t="s">
        <v>30</v>
      </c>
      <c r="F1448" s="6">
        <v>45107</v>
      </c>
      <c r="G1448">
        <v>113</v>
      </c>
      <c r="H1448">
        <v>125</v>
      </c>
      <c r="I1448">
        <v>1.1061946902654869</v>
      </c>
      <c r="J1448">
        <v>1.1061946902654869</v>
      </c>
      <c r="K1448" t="s">
        <v>118</v>
      </c>
      <c r="L1448" t="s">
        <v>118</v>
      </c>
      <c r="M1448">
        <v>2023</v>
      </c>
      <c r="N1448" t="s">
        <v>44</v>
      </c>
      <c r="O1448" t="s">
        <v>33</v>
      </c>
      <c r="P1448">
        <v>0</v>
      </c>
      <c r="Q1448">
        <v>0</v>
      </c>
      <c r="R1448">
        <v>0</v>
      </c>
      <c r="S1448" t="s">
        <v>34</v>
      </c>
      <c r="T1448" t="s">
        <v>2318</v>
      </c>
      <c r="U1448">
        <v>1</v>
      </c>
    </row>
    <row r="1449" spans="1:21" x14ac:dyDescent="0.3">
      <c r="A1449" t="s">
        <v>2316</v>
      </c>
      <c r="B1449" t="s">
        <v>2317</v>
      </c>
      <c r="C1449" t="s">
        <v>663</v>
      </c>
      <c r="D1449" t="s">
        <v>222</v>
      </c>
      <c r="E1449" t="s">
        <v>30</v>
      </c>
      <c r="F1449" s="6">
        <v>45291</v>
      </c>
      <c r="G1449">
        <v>108</v>
      </c>
      <c r="H1449">
        <v>118</v>
      </c>
      <c r="I1449">
        <v>1.092592592592593</v>
      </c>
      <c r="J1449">
        <v>1.092592592592593</v>
      </c>
      <c r="K1449" t="s">
        <v>118</v>
      </c>
      <c r="L1449" t="s">
        <v>118</v>
      </c>
      <c r="M1449">
        <v>2023</v>
      </c>
      <c r="N1449" t="s">
        <v>57</v>
      </c>
      <c r="O1449" t="s">
        <v>47</v>
      </c>
      <c r="P1449">
        <v>0</v>
      </c>
      <c r="Q1449">
        <v>0</v>
      </c>
      <c r="R1449">
        <v>0</v>
      </c>
      <c r="S1449" t="s">
        <v>34</v>
      </c>
      <c r="T1449" t="s">
        <v>2319</v>
      </c>
      <c r="U1449">
        <v>1</v>
      </c>
    </row>
    <row r="1450" spans="1:21" x14ac:dyDescent="0.3">
      <c r="A1450" t="s">
        <v>2316</v>
      </c>
      <c r="B1450" t="s">
        <v>2317</v>
      </c>
      <c r="C1450" t="s">
        <v>663</v>
      </c>
      <c r="D1450" t="s">
        <v>222</v>
      </c>
      <c r="E1450" t="s">
        <v>30</v>
      </c>
      <c r="F1450" s="6">
        <v>45473</v>
      </c>
      <c r="G1450">
        <v>100</v>
      </c>
      <c r="H1450">
        <v>126</v>
      </c>
      <c r="I1450">
        <v>1.26</v>
      </c>
      <c r="J1450">
        <v>1.26</v>
      </c>
      <c r="K1450" t="s">
        <v>118</v>
      </c>
      <c r="L1450" t="s">
        <v>118</v>
      </c>
      <c r="M1450">
        <v>2024</v>
      </c>
      <c r="N1450" t="s">
        <v>44</v>
      </c>
      <c r="O1450" t="s">
        <v>71</v>
      </c>
      <c r="P1450">
        <v>0</v>
      </c>
      <c r="Q1450">
        <v>0</v>
      </c>
      <c r="R1450">
        <v>0</v>
      </c>
      <c r="S1450" t="s">
        <v>34</v>
      </c>
      <c r="T1450" t="s">
        <v>2320</v>
      </c>
      <c r="U1450">
        <v>1</v>
      </c>
    </row>
    <row r="1451" spans="1:21" x14ac:dyDescent="0.3">
      <c r="A1451" t="s">
        <v>2316</v>
      </c>
      <c r="B1451" t="s">
        <v>2317</v>
      </c>
      <c r="C1451" t="s">
        <v>663</v>
      </c>
      <c r="D1451" t="s">
        <v>222</v>
      </c>
      <c r="E1451" t="s">
        <v>30</v>
      </c>
      <c r="F1451" s="6">
        <v>45657</v>
      </c>
      <c r="G1451">
        <v>100</v>
      </c>
      <c r="H1451">
        <v>137</v>
      </c>
      <c r="I1451">
        <v>1.3</v>
      </c>
      <c r="J1451">
        <v>1.37</v>
      </c>
      <c r="K1451" t="s">
        <v>118</v>
      </c>
      <c r="L1451" t="s">
        <v>118</v>
      </c>
      <c r="M1451">
        <v>2024</v>
      </c>
      <c r="N1451" t="s">
        <v>57</v>
      </c>
      <c r="O1451" t="s">
        <v>78</v>
      </c>
      <c r="P1451">
        <v>0</v>
      </c>
      <c r="Q1451">
        <v>0</v>
      </c>
      <c r="R1451">
        <v>0</v>
      </c>
      <c r="S1451" t="s">
        <v>34</v>
      </c>
      <c r="T1451" t="s">
        <v>2321</v>
      </c>
      <c r="U1451">
        <v>1</v>
      </c>
    </row>
    <row r="1452" spans="1:21" x14ac:dyDescent="0.3">
      <c r="A1452" t="s">
        <v>2322</v>
      </c>
      <c r="B1452" t="s">
        <v>2323</v>
      </c>
      <c r="C1452" t="s">
        <v>663</v>
      </c>
      <c r="D1452" t="s">
        <v>222</v>
      </c>
      <c r="E1452" t="s">
        <v>30</v>
      </c>
      <c r="F1452" s="6">
        <v>45107</v>
      </c>
      <c r="G1452">
        <v>13</v>
      </c>
      <c r="H1452">
        <v>13</v>
      </c>
      <c r="I1452">
        <v>1</v>
      </c>
      <c r="J1452">
        <v>1</v>
      </c>
      <c r="K1452" t="s">
        <v>118</v>
      </c>
      <c r="L1452" t="s">
        <v>118</v>
      </c>
      <c r="M1452">
        <v>2023</v>
      </c>
      <c r="N1452" t="s">
        <v>44</v>
      </c>
      <c r="O1452" t="s">
        <v>33</v>
      </c>
      <c r="P1452">
        <v>0</v>
      </c>
      <c r="Q1452">
        <v>0</v>
      </c>
      <c r="R1452">
        <v>0</v>
      </c>
      <c r="S1452" t="s">
        <v>34</v>
      </c>
      <c r="T1452" t="s">
        <v>2324</v>
      </c>
      <c r="U1452">
        <v>1</v>
      </c>
    </row>
    <row r="1453" spans="1:21" x14ac:dyDescent="0.3">
      <c r="A1453" t="s">
        <v>2322</v>
      </c>
      <c r="B1453" t="s">
        <v>2323</v>
      </c>
      <c r="C1453" t="s">
        <v>663</v>
      </c>
      <c r="D1453" t="s">
        <v>222</v>
      </c>
      <c r="E1453" t="s">
        <v>30</v>
      </c>
      <c r="F1453" s="6">
        <v>45291</v>
      </c>
      <c r="G1453">
        <v>15</v>
      </c>
      <c r="H1453">
        <v>12</v>
      </c>
      <c r="I1453">
        <v>0.8</v>
      </c>
      <c r="J1453">
        <v>0.8</v>
      </c>
      <c r="K1453" t="s">
        <v>118</v>
      </c>
      <c r="L1453" t="s">
        <v>118</v>
      </c>
      <c r="M1453">
        <v>2023</v>
      </c>
      <c r="N1453" t="s">
        <v>57</v>
      </c>
      <c r="O1453" t="s">
        <v>47</v>
      </c>
      <c r="P1453">
        <v>0</v>
      </c>
      <c r="Q1453">
        <v>0</v>
      </c>
      <c r="R1453">
        <v>0</v>
      </c>
      <c r="S1453" t="s">
        <v>34</v>
      </c>
      <c r="T1453" t="s">
        <v>2325</v>
      </c>
      <c r="U1453">
        <v>1</v>
      </c>
    </row>
    <row r="1454" spans="1:21" x14ac:dyDescent="0.3">
      <c r="A1454" t="s">
        <v>2322</v>
      </c>
      <c r="B1454" t="s">
        <v>2323</v>
      </c>
      <c r="C1454" t="s">
        <v>663</v>
      </c>
      <c r="D1454" t="s">
        <v>222</v>
      </c>
      <c r="E1454" t="s">
        <v>30</v>
      </c>
      <c r="F1454" s="6">
        <v>45473</v>
      </c>
      <c r="G1454">
        <v>100</v>
      </c>
      <c r="H1454">
        <v>100</v>
      </c>
      <c r="I1454">
        <v>1</v>
      </c>
      <c r="J1454">
        <v>1</v>
      </c>
      <c r="K1454" t="s">
        <v>118</v>
      </c>
      <c r="L1454" t="s">
        <v>118</v>
      </c>
      <c r="M1454">
        <v>2024</v>
      </c>
      <c r="N1454" t="s">
        <v>44</v>
      </c>
      <c r="O1454" t="s">
        <v>71</v>
      </c>
      <c r="P1454">
        <v>0</v>
      </c>
      <c r="Q1454">
        <v>0</v>
      </c>
      <c r="R1454">
        <v>0</v>
      </c>
      <c r="S1454" t="s">
        <v>34</v>
      </c>
      <c r="T1454" t="s">
        <v>2326</v>
      </c>
      <c r="U1454">
        <v>1</v>
      </c>
    </row>
    <row r="1455" spans="1:21" x14ac:dyDescent="0.3">
      <c r="A1455" t="s">
        <v>2322</v>
      </c>
      <c r="B1455" t="s">
        <v>2323</v>
      </c>
      <c r="C1455" t="s">
        <v>663</v>
      </c>
      <c r="D1455" t="s">
        <v>222</v>
      </c>
      <c r="E1455" t="s">
        <v>30</v>
      </c>
      <c r="F1455" s="6">
        <v>45657</v>
      </c>
      <c r="G1455">
        <v>100</v>
      </c>
      <c r="H1455">
        <v>100</v>
      </c>
      <c r="I1455">
        <v>1</v>
      </c>
      <c r="J1455">
        <v>1</v>
      </c>
      <c r="K1455" t="s">
        <v>118</v>
      </c>
      <c r="L1455" t="s">
        <v>118</v>
      </c>
      <c r="M1455">
        <v>2024</v>
      </c>
      <c r="N1455" t="s">
        <v>57</v>
      </c>
      <c r="O1455" t="s">
        <v>78</v>
      </c>
      <c r="P1455">
        <v>0</v>
      </c>
      <c r="Q1455">
        <v>0</v>
      </c>
      <c r="R1455">
        <v>0</v>
      </c>
      <c r="S1455" t="s">
        <v>34</v>
      </c>
      <c r="T1455" t="s">
        <v>2327</v>
      </c>
      <c r="U1455">
        <v>1</v>
      </c>
    </row>
    <row r="1456" spans="1:21" x14ac:dyDescent="0.3">
      <c r="A1456" t="s">
        <v>2328</v>
      </c>
      <c r="B1456" t="s">
        <v>2329</v>
      </c>
      <c r="C1456" t="s">
        <v>663</v>
      </c>
      <c r="D1456" t="s">
        <v>222</v>
      </c>
      <c r="E1456" t="s">
        <v>30</v>
      </c>
      <c r="F1456" s="6">
        <v>45107</v>
      </c>
      <c r="G1456">
        <v>9</v>
      </c>
      <c r="H1456">
        <v>13</v>
      </c>
      <c r="I1456">
        <v>1.444444444444444</v>
      </c>
      <c r="J1456">
        <v>1.444444444444444</v>
      </c>
      <c r="K1456" t="s">
        <v>118</v>
      </c>
      <c r="L1456" t="s">
        <v>118</v>
      </c>
      <c r="M1456">
        <v>2023</v>
      </c>
      <c r="N1456" t="s">
        <v>44</v>
      </c>
      <c r="O1456" t="s">
        <v>33</v>
      </c>
      <c r="P1456">
        <v>0</v>
      </c>
      <c r="Q1456">
        <v>0</v>
      </c>
      <c r="R1456">
        <v>0</v>
      </c>
      <c r="S1456" t="s">
        <v>34</v>
      </c>
      <c r="T1456" t="s">
        <v>2330</v>
      </c>
      <c r="U1456">
        <v>1</v>
      </c>
    </row>
    <row r="1457" spans="1:21" x14ac:dyDescent="0.3">
      <c r="A1457" t="s">
        <v>2328</v>
      </c>
      <c r="B1457" t="s">
        <v>2329</v>
      </c>
      <c r="C1457" t="s">
        <v>663</v>
      </c>
      <c r="D1457" t="s">
        <v>222</v>
      </c>
      <c r="E1457" t="s">
        <v>30</v>
      </c>
      <c r="F1457" s="6">
        <v>45291</v>
      </c>
      <c r="G1457">
        <v>14</v>
      </c>
      <c r="H1457">
        <v>16</v>
      </c>
      <c r="I1457">
        <v>1.142857142857143</v>
      </c>
      <c r="J1457">
        <v>1.142857142857143</v>
      </c>
      <c r="K1457" t="s">
        <v>118</v>
      </c>
      <c r="L1457" t="s">
        <v>118</v>
      </c>
      <c r="M1457">
        <v>2023</v>
      </c>
      <c r="N1457" t="s">
        <v>57</v>
      </c>
      <c r="O1457" t="s">
        <v>47</v>
      </c>
      <c r="P1457">
        <v>0</v>
      </c>
      <c r="Q1457">
        <v>0</v>
      </c>
      <c r="R1457">
        <v>0</v>
      </c>
      <c r="S1457" t="s">
        <v>34</v>
      </c>
      <c r="T1457" t="s">
        <v>2331</v>
      </c>
      <c r="U1457">
        <v>1</v>
      </c>
    </row>
    <row r="1458" spans="1:21" x14ac:dyDescent="0.3">
      <c r="A1458" t="s">
        <v>2328</v>
      </c>
      <c r="B1458" t="s">
        <v>2329</v>
      </c>
      <c r="C1458" t="s">
        <v>663</v>
      </c>
      <c r="D1458" t="s">
        <v>222</v>
      </c>
      <c r="E1458" t="s">
        <v>30</v>
      </c>
      <c r="F1458" s="6">
        <v>45473</v>
      </c>
      <c r="G1458">
        <v>100</v>
      </c>
      <c r="H1458">
        <v>140</v>
      </c>
      <c r="I1458">
        <v>1.3</v>
      </c>
      <c r="J1458">
        <v>1.4</v>
      </c>
      <c r="K1458" t="s">
        <v>118</v>
      </c>
      <c r="L1458" t="s">
        <v>118</v>
      </c>
      <c r="M1458">
        <v>2024</v>
      </c>
      <c r="N1458" t="s">
        <v>44</v>
      </c>
      <c r="O1458" t="s">
        <v>71</v>
      </c>
      <c r="P1458">
        <v>0</v>
      </c>
      <c r="Q1458">
        <v>0</v>
      </c>
      <c r="R1458">
        <v>0</v>
      </c>
      <c r="S1458" t="s">
        <v>34</v>
      </c>
      <c r="T1458" t="s">
        <v>2332</v>
      </c>
      <c r="U1458">
        <v>1</v>
      </c>
    </row>
    <row r="1459" spans="1:21" x14ac:dyDescent="0.3">
      <c r="A1459" t="s">
        <v>2328</v>
      </c>
      <c r="B1459" t="s">
        <v>2329</v>
      </c>
      <c r="C1459" t="s">
        <v>663</v>
      </c>
      <c r="D1459" t="s">
        <v>222</v>
      </c>
      <c r="E1459" t="s">
        <v>30</v>
      </c>
      <c r="F1459" s="6">
        <v>45657</v>
      </c>
      <c r="G1459">
        <v>100</v>
      </c>
      <c r="H1459">
        <v>145</v>
      </c>
      <c r="I1459">
        <v>1.3</v>
      </c>
      <c r="J1459">
        <v>1.45</v>
      </c>
      <c r="K1459" t="s">
        <v>118</v>
      </c>
      <c r="L1459" t="s">
        <v>118</v>
      </c>
      <c r="M1459">
        <v>2024</v>
      </c>
      <c r="N1459" t="s">
        <v>57</v>
      </c>
      <c r="O1459" t="s">
        <v>78</v>
      </c>
      <c r="P1459">
        <v>0</v>
      </c>
      <c r="Q1459">
        <v>0</v>
      </c>
      <c r="R1459">
        <v>0</v>
      </c>
      <c r="S1459" t="s">
        <v>34</v>
      </c>
      <c r="T1459" t="s">
        <v>2333</v>
      </c>
      <c r="U1459">
        <v>1</v>
      </c>
    </row>
    <row r="1460" spans="1:21" x14ac:dyDescent="0.3">
      <c r="A1460" t="s">
        <v>2334</v>
      </c>
      <c r="B1460" t="s">
        <v>2335</v>
      </c>
      <c r="C1460" t="s">
        <v>663</v>
      </c>
      <c r="D1460" t="s">
        <v>222</v>
      </c>
      <c r="E1460" t="s">
        <v>30</v>
      </c>
      <c r="F1460" s="6">
        <v>45107</v>
      </c>
      <c r="G1460">
        <v>5</v>
      </c>
      <c r="H1460">
        <v>7</v>
      </c>
      <c r="I1460">
        <v>1.3</v>
      </c>
      <c r="J1460">
        <v>1.4</v>
      </c>
      <c r="K1460" t="s">
        <v>118</v>
      </c>
      <c r="L1460" t="s">
        <v>118</v>
      </c>
      <c r="M1460">
        <v>2023</v>
      </c>
      <c r="N1460" t="s">
        <v>44</v>
      </c>
      <c r="O1460" t="s">
        <v>33</v>
      </c>
      <c r="P1460">
        <v>0</v>
      </c>
      <c r="Q1460">
        <v>0</v>
      </c>
      <c r="R1460">
        <v>0</v>
      </c>
      <c r="S1460" t="s">
        <v>34</v>
      </c>
      <c r="T1460" t="s">
        <v>2336</v>
      </c>
      <c r="U1460">
        <v>1</v>
      </c>
    </row>
    <row r="1461" spans="1:21" x14ac:dyDescent="0.3">
      <c r="A1461" t="s">
        <v>2334</v>
      </c>
      <c r="B1461" t="s">
        <v>2335</v>
      </c>
      <c r="C1461" t="s">
        <v>663</v>
      </c>
      <c r="D1461" t="s">
        <v>222</v>
      </c>
      <c r="E1461" t="s">
        <v>30</v>
      </c>
      <c r="F1461" s="6">
        <v>45291</v>
      </c>
      <c r="M1461">
        <v>2023</v>
      </c>
      <c r="N1461" t="s">
        <v>57</v>
      </c>
      <c r="O1461" t="s">
        <v>47</v>
      </c>
      <c r="P1461">
        <v>0</v>
      </c>
      <c r="Q1461">
        <v>0</v>
      </c>
      <c r="R1461">
        <v>0</v>
      </c>
      <c r="S1461" t="s">
        <v>34</v>
      </c>
      <c r="T1461" t="s">
        <v>2337</v>
      </c>
      <c r="U1461">
        <v>1</v>
      </c>
    </row>
    <row r="1462" spans="1:21" x14ac:dyDescent="0.3">
      <c r="A1462" t="s">
        <v>2334</v>
      </c>
      <c r="B1462" t="s">
        <v>2338</v>
      </c>
      <c r="C1462" t="s">
        <v>663</v>
      </c>
      <c r="D1462" t="s">
        <v>222</v>
      </c>
      <c r="E1462" t="s">
        <v>30</v>
      </c>
      <c r="F1462" s="6">
        <v>45473</v>
      </c>
      <c r="K1462" t="s">
        <v>118</v>
      </c>
      <c r="L1462" t="s">
        <v>118</v>
      </c>
      <c r="M1462">
        <v>2024</v>
      </c>
      <c r="N1462" t="s">
        <v>44</v>
      </c>
      <c r="O1462" t="s">
        <v>71</v>
      </c>
      <c r="P1462">
        <v>0</v>
      </c>
      <c r="Q1462">
        <v>0</v>
      </c>
      <c r="R1462">
        <v>0</v>
      </c>
      <c r="S1462" t="s">
        <v>34</v>
      </c>
      <c r="T1462" t="s">
        <v>2339</v>
      </c>
      <c r="U1462">
        <v>1</v>
      </c>
    </row>
    <row r="1463" spans="1:21" x14ac:dyDescent="0.3">
      <c r="A1463" t="s">
        <v>2334</v>
      </c>
      <c r="B1463" t="s">
        <v>2338</v>
      </c>
      <c r="C1463" t="s">
        <v>663</v>
      </c>
      <c r="D1463" t="s">
        <v>222</v>
      </c>
      <c r="E1463" t="s">
        <v>30</v>
      </c>
      <c r="F1463" s="6">
        <v>45657</v>
      </c>
      <c r="K1463" t="s">
        <v>118</v>
      </c>
      <c r="L1463" t="s">
        <v>118</v>
      </c>
      <c r="M1463">
        <v>2024</v>
      </c>
      <c r="N1463" t="s">
        <v>57</v>
      </c>
      <c r="O1463" t="s">
        <v>78</v>
      </c>
      <c r="P1463">
        <v>0</v>
      </c>
      <c r="Q1463">
        <v>0</v>
      </c>
      <c r="R1463">
        <v>0</v>
      </c>
      <c r="S1463" t="s">
        <v>34</v>
      </c>
      <c r="T1463" t="s">
        <v>2340</v>
      </c>
      <c r="U1463">
        <v>1</v>
      </c>
    </row>
    <row r="1464" spans="1:21" x14ac:dyDescent="0.3">
      <c r="A1464" t="s">
        <v>2341</v>
      </c>
      <c r="B1464" t="s">
        <v>2342</v>
      </c>
      <c r="C1464" t="s">
        <v>663</v>
      </c>
      <c r="D1464" t="s">
        <v>222</v>
      </c>
      <c r="E1464" t="s">
        <v>30</v>
      </c>
      <c r="F1464" s="6">
        <v>45107</v>
      </c>
      <c r="G1464">
        <v>9</v>
      </c>
      <c r="H1464">
        <v>11</v>
      </c>
      <c r="I1464">
        <v>1.2222222222222221</v>
      </c>
      <c r="J1464">
        <v>1.2222222222222221</v>
      </c>
      <c r="K1464" t="s">
        <v>118</v>
      </c>
      <c r="L1464" t="s">
        <v>118</v>
      </c>
      <c r="M1464">
        <v>2023</v>
      </c>
      <c r="N1464" t="s">
        <v>44</v>
      </c>
      <c r="O1464" t="s">
        <v>33</v>
      </c>
      <c r="P1464">
        <v>0</v>
      </c>
      <c r="Q1464">
        <v>0</v>
      </c>
      <c r="R1464">
        <v>0</v>
      </c>
      <c r="S1464" t="s">
        <v>34</v>
      </c>
      <c r="T1464" t="s">
        <v>2343</v>
      </c>
      <c r="U1464">
        <v>1</v>
      </c>
    </row>
    <row r="1465" spans="1:21" x14ac:dyDescent="0.3">
      <c r="A1465" t="s">
        <v>2341</v>
      </c>
      <c r="B1465" t="s">
        <v>2342</v>
      </c>
      <c r="C1465" t="s">
        <v>663</v>
      </c>
      <c r="D1465" t="s">
        <v>222</v>
      </c>
      <c r="E1465" t="s">
        <v>30</v>
      </c>
      <c r="F1465" s="6">
        <v>45291</v>
      </c>
      <c r="G1465">
        <v>12</v>
      </c>
      <c r="H1465">
        <v>11</v>
      </c>
      <c r="I1465">
        <v>0.91666666666666663</v>
      </c>
      <c r="J1465">
        <v>0.91666666666666663</v>
      </c>
      <c r="K1465" t="s">
        <v>118</v>
      </c>
      <c r="L1465" t="s">
        <v>118</v>
      </c>
      <c r="M1465">
        <v>2023</v>
      </c>
      <c r="N1465" t="s">
        <v>57</v>
      </c>
      <c r="O1465" t="s">
        <v>47</v>
      </c>
      <c r="P1465">
        <v>0</v>
      </c>
      <c r="Q1465">
        <v>0</v>
      </c>
      <c r="R1465">
        <v>0</v>
      </c>
      <c r="S1465" t="s">
        <v>34</v>
      </c>
      <c r="T1465" t="s">
        <v>2344</v>
      </c>
      <c r="U1465">
        <v>1</v>
      </c>
    </row>
    <row r="1466" spans="1:21" x14ac:dyDescent="0.3">
      <c r="A1466" t="s">
        <v>2341</v>
      </c>
      <c r="B1466" t="s">
        <v>2342</v>
      </c>
      <c r="C1466" t="s">
        <v>663</v>
      </c>
      <c r="D1466" t="s">
        <v>222</v>
      </c>
      <c r="E1466" t="s">
        <v>30</v>
      </c>
      <c r="F1466" s="6">
        <v>45473</v>
      </c>
      <c r="K1466" t="s">
        <v>118</v>
      </c>
      <c r="L1466" t="s">
        <v>118</v>
      </c>
      <c r="M1466">
        <v>2024</v>
      </c>
      <c r="N1466" t="s">
        <v>44</v>
      </c>
      <c r="O1466" t="s">
        <v>71</v>
      </c>
      <c r="P1466">
        <v>0</v>
      </c>
      <c r="Q1466">
        <v>0</v>
      </c>
      <c r="R1466">
        <v>0</v>
      </c>
      <c r="S1466" t="s">
        <v>34</v>
      </c>
      <c r="T1466" t="s">
        <v>2345</v>
      </c>
      <c r="U1466">
        <v>1</v>
      </c>
    </row>
    <row r="1467" spans="1:21" x14ac:dyDescent="0.3">
      <c r="A1467" t="s">
        <v>2346</v>
      </c>
      <c r="B1467" t="s">
        <v>2347</v>
      </c>
      <c r="C1467" t="s">
        <v>663</v>
      </c>
      <c r="D1467" t="s">
        <v>98</v>
      </c>
      <c r="E1467" t="s">
        <v>30</v>
      </c>
      <c r="F1467" s="6">
        <v>45291</v>
      </c>
      <c r="G1467">
        <v>12</v>
      </c>
      <c r="H1467">
        <v>12</v>
      </c>
      <c r="I1467">
        <v>1</v>
      </c>
      <c r="J1467">
        <v>1</v>
      </c>
      <c r="K1467" t="s">
        <v>118</v>
      </c>
      <c r="L1467" t="s">
        <v>118</v>
      </c>
      <c r="M1467">
        <v>2023</v>
      </c>
      <c r="N1467" t="s">
        <v>57</v>
      </c>
      <c r="O1467" t="s">
        <v>47</v>
      </c>
      <c r="P1467">
        <v>0</v>
      </c>
      <c r="Q1467">
        <v>0</v>
      </c>
      <c r="R1467">
        <v>0</v>
      </c>
      <c r="S1467" t="s">
        <v>34</v>
      </c>
      <c r="T1467" t="s">
        <v>2348</v>
      </c>
      <c r="U1467">
        <v>1</v>
      </c>
    </row>
    <row r="1468" spans="1:21" x14ac:dyDescent="0.3">
      <c r="A1468" t="s">
        <v>2346</v>
      </c>
      <c r="B1468" t="s">
        <v>2347</v>
      </c>
      <c r="C1468" t="s">
        <v>663</v>
      </c>
      <c r="D1468" t="s">
        <v>98</v>
      </c>
      <c r="E1468" t="s">
        <v>30</v>
      </c>
      <c r="F1468" s="6">
        <v>45657</v>
      </c>
      <c r="G1468">
        <v>100</v>
      </c>
      <c r="H1468">
        <v>100</v>
      </c>
      <c r="I1468">
        <v>1</v>
      </c>
      <c r="J1468">
        <v>1</v>
      </c>
      <c r="M1468">
        <v>2024</v>
      </c>
      <c r="N1468" t="s">
        <v>57</v>
      </c>
      <c r="O1468" t="s">
        <v>78</v>
      </c>
      <c r="P1468">
        <v>0</v>
      </c>
      <c r="Q1468">
        <v>0</v>
      </c>
      <c r="R1468">
        <v>0</v>
      </c>
      <c r="S1468" t="s">
        <v>34</v>
      </c>
      <c r="T1468" t="s">
        <v>2349</v>
      </c>
      <c r="U1468">
        <v>1</v>
      </c>
    </row>
    <row r="1469" spans="1:21" x14ac:dyDescent="0.3">
      <c r="A1469" t="s">
        <v>2350</v>
      </c>
      <c r="B1469" t="s">
        <v>2351</v>
      </c>
      <c r="C1469" t="s">
        <v>663</v>
      </c>
      <c r="D1469" t="s">
        <v>222</v>
      </c>
      <c r="E1469" t="s">
        <v>30</v>
      </c>
      <c r="F1469" s="6">
        <v>45107</v>
      </c>
      <c r="G1469">
        <v>80</v>
      </c>
      <c r="H1469">
        <v>85.98</v>
      </c>
      <c r="I1469">
        <v>1.0747500000000001</v>
      </c>
      <c r="J1469">
        <v>1.0747500000000001</v>
      </c>
      <c r="K1469" t="s">
        <v>31</v>
      </c>
      <c r="L1469" t="s">
        <v>31</v>
      </c>
      <c r="M1469">
        <v>2023</v>
      </c>
      <c r="N1469" t="s">
        <v>44</v>
      </c>
      <c r="O1469" t="s">
        <v>33</v>
      </c>
      <c r="P1469">
        <v>0</v>
      </c>
      <c r="Q1469">
        <v>0</v>
      </c>
      <c r="R1469">
        <v>0</v>
      </c>
      <c r="S1469" t="s">
        <v>34</v>
      </c>
      <c r="T1469" t="s">
        <v>2352</v>
      </c>
      <c r="U1469">
        <v>1</v>
      </c>
    </row>
    <row r="1470" spans="1:21" x14ac:dyDescent="0.3">
      <c r="A1470" t="s">
        <v>2350</v>
      </c>
      <c r="B1470" t="s">
        <v>2351</v>
      </c>
      <c r="C1470" t="s">
        <v>663</v>
      </c>
      <c r="D1470" t="s">
        <v>222</v>
      </c>
      <c r="E1470" t="s">
        <v>30</v>
      </c>
      <c r="F1470" s="6">
        <v>45291</v>
      </c>
      <c r="G1470">
        <v>80</v>
      </c>
      <c r="H1470">
        <v>90.91</v>
      </c>
      <c r="I1470">
        <v>1.1363749999999999</v>
      </c>
      <c r="J1470">
        <v>1.1363749999999999</v>
      </c>
      <c r="K1470" t="s">
        <v>31</v>
      </c>
      <c r="L1470" t="s">
        <v>31</v>
      </c>
      <c r="M1470">
        <v>2023</v>
      </c>
      <c r="N1470" t="s">
        <v>57</v>
      </c>
      <c r="O1470" t="s">
        <v>47</v>
      </c>
      <c r="P1470">
        <v>0</v>
      </c>
      <c r="Q1470">
        <v>0</v>
      </c>
      <c r="R1470">
        <v>0</v>
      </c>
      <c r="S1470" t="s">
        <v>34</v>
      </c>
      <c r="T1470" t="s">
        <v>2353</v>
      </c>
      <c r="U1470">
        <v>1</v>
      </c>
    </row>
    <row r="1471" spans="1:21" x14ac:dyDescent="0.3">
      <c r="A1471" t="s">
        <v>2350</v>
      </c>
      <c r="B1471" t="s">
        <v>2354</v>
      </c>
      <c r="C1471" t="s">
        <v>663</v>
      </c>
      <c r="D1471" t="s">
        <v>98</v>
      </c>
      <c r="E1471" t="s">
        <v>30</v>
      </c>
      <c r="F1471" s="6">
        <v>45657</v>
      </c>
      <c r="G1471">
        <v>80</v>
      </c>
      <c r="H1471">
        <v>90.28</v>
      </c>
      <c r="I1471">
        <v>1.1285000000000001</v>
      </c>
      <c r="J1471">
        <v>1.1285000000000001</v>
      </c>
      <c r="K1471" t="s">
        <v>31</v>
      </c>
      <c r="L1471" t="s">
        <v>31</v>
      </c>
      <c r="M1471">
        <v>2024</v>
      </c>
      <c r="N1471" t="s">
        <v>57</v>
      </c>
      <c r="O1471" t="s">
        <v>78</v>
      </c>
      <c r="P1471">
        <v>0</v>
      </c>
      <c r="Q1471">
        <v>0</v>
      </c>
      <c r="R1471">
        <v>0</v>
      </c>
      <c r="S1471" t="s">
        <v>34</v>
      </c>
      <c r="T1471" t="s">
        <v>2355</v>
      </c>
      <c r="U1471">
        <v>1</v>
      </c>
    </row>
    <row r="1472" spans="1:21" x14ac:dyDescent="0.3">
      <c r="A1472" t="s">
        <v>2350</v>
      </c>
      <c r="B1472" t="s">
        <v>2354</v>
      </c>
      <c r="C1472" t="s">
        <v>663</v>
      </c>
      <c r="D1472" t="s">
        <v>98</v>
      </c>
      <c r="E1472" t="s">
        <v>30</v>
      </c>
      <c r="F1472" s="6">
        <v>46022</v>
      </c>
      <c r="G1472">
        <v>85</v>
      </c>
      <c r="H1472" t="s">
        <v>2356</v>
      </c>
      <c r="I1472">
        <v>1.0136470588235289</v>
      </c>
      <c r="J1472">
        <v>1.0136470588235289</v>
      </c>
      <c r="K1472" t="s">
        <v>2357</v>
      </c>
      <c r="L1472" t="s">
        <v>2358</v>
      </c>
      <c r="M1472">
        <v>2025</v>
      </c>
      <c r="N1472" t="s">
        <v>57</v>
      </c>
      <c r="O1472" t="s">
        <v>103</v>
      </c>
      <c r="P1472">
        <v>2</v>
      </c>
      <c r="Q1472">
        <v>2</v>
      </c>
      <c r="R1472">
        <v>0</v>
      </c>
      <c r="S1472" t="s">
        <v>34</v>
      </c>
      <c r="T1472" t="s">
        <v>2359</v>
      </c>
      <c r="U1472">
        <v>31</v>
      </c>
    </row>
    <row r="1473" spans="1:21" x14ac:dyDescent="0.3">
      <c r="A1473" t="s">
        <v>2360</v>
      </c>
      <c r="B1473" t="s">
        <v>2361</v>
      </c>
      <c r="C1473" t="s">
        <v>663</v>
      </c>
      <c r="D1473" t="s">
        <v>222</v>
      </c>
      <c r="E1473" t="s">
        <v>30</v>
      </c>
      <c r="F1473" s="6">
        <v>45107</v>
      </c>
      <c r="G1473">
        <v>100</v>
      </c>
      <c r="H1473">
        <v>80</v>
      </c>
      <c r="I1473">
        <v>0.8</v>
      </c>
      <c r="J1473">
        <v>0.8</v>
      </c>
      <c r="K1473" t="s">
        <v>31</v>
      </c>
      <c r="L1473" t="s">
        <v>31</v>
      </c>
      <c r="M1473">
        <v>2023</v>
      </c>
      <c r="N1473" t="s">
        <v>44</v>
      </c>
      <c r="O1473" t="s">
        <v>33</v>
      </c>
      <c r="P1473">
        <v>0</v>
      </c>
      <c r="Q1473">
        <v>0</v>
      </c>
      <c r="R1473">
        <v>0</v>
      </c>
      <c r="S1473" t="s">
        <v>34</v>
      </c>
      <c r="T1473" t="s">
        <v>2362</v>
      </c>
      <c r="U1473">
        <v>1</v>
      </c>
    </row>
    <row r="1474" spans="1:21" x14ac:dyDescent="0.3">
      <c r="A1474" t="s">
        <v>2360</v>
      </c>
      <c r="B1474" t="s">
        <v>2361</v>
      </c>
      <c r="C1474" t="s">
        <v>663</v>
      </c>
      <c r="D1474" t="s">
        <v>222</v>
      </c>
      <c r="E1474" t="s">
        <v>30</v>
      </c>
      <c r="F1474" s="6">
        <v>45291</v>
      </c>
      <c r="G1474">
        <v>100</v>
      </c>
      <c r="H1474">
        <v>100</v>
      </c>
      <c r="I1474">
        <v>1</v>
      </c>
      <c r="J1474">
        <v>1</v>
      </c>
      <c r="K1474" t="s">
        <v>31</v>
      </c>
      <c r="L1474" t="s">
        <v>31</v>
      </c>
      <c r="M1474">
        <v>2023</v>
      </c>
      <c r="N1474" t="s">
        <v>57</v>
      </c>
      <c r="O1474" t="s">
        <v>47</v>
      </c>
      <c r="P1474">
        <v>0</v>
      </c>
      <c r="Q1474">
        <v>0</v>
      </c>
      <c r="R1474">
        <v>0</v>
      </c>
      <c r="S1474" t="s">
        <v>34</v>
      </c>
      <c r="T1474" t="s">
        <v>2363</v>
      </c>
      <c r="U1474">
        <v>1</v>
      </c>
    </row>
    <row r="1475" spans="1:21" x14ac:dyDescent="0.3">
      <c r="A1475" t="s">
        <v>2360</v>
      </c>
      <c r="B1475" t="s">
        <v>2361</v>
      </c>
      <c r="C1475" t="s">
        <v>663</v>
      </c>
      <c r="D1475" t="s">
        <v>222</v>
      </c>
      <c r="E1475" t="s">
        <v>30</v>
      </c>
      <c r="F1475" s="6">
        <v>45473</v>
      </c>
      <c r="G1475">
        <v>100</v>
      </c>
      <c r="H1475">
        <v>100</v>
      </c>
      <c r="I1475">
        <v>1</v>
      </c>
      <c r="J1475">
        <v>1</v>
      </c>
      <c r="K1475" t="s">
        <v>31</v>
      </c>
      <c r="L1475" t="s">
        <v>31</v>
      </c>
      <c r="M1475">
        <v>2024</v>
      </c>
      <c r="N1475" t="s">
        <v>44</v>
      </c>
      <c r="O1475" t="s">
        <v>71</v>
      </c>
      <c r="P1475">
        <v>0</v>
      </c>
      <c r="Q1475">
        <v>0</v>
      </c>
      <c r="R1475">
        <v>0</v>
      </c>
      <c r="S1475" t="s">
        <v>34</v>
      </c>
      <c r="T1475" t="s">
        <v>2364</v>
      </c>
      <c r="U1475">
        <v>1</v>
      </c>
    </row>
    <row r="1476" spans="1:21" x14ac:dyDescent="0.3">
      <c r="A1476" t="s">
        <v>2360</v>
      </c>
      <c r="B1476" t="s">
        <v>2361</v>
      </c>
      <c r="C1476" t="s">
        <v>663</v>
      </c>
      <c r="D1476" t="s">
        <v>222</v>
      </c>
      <c r="E1476" t="s">
        <v>30</v>
      </c>
      <c r="F1476" s="6">
        <v>45657</v>
      </c>
      <c r="G1476">
        <v>100</v>
      </c>
      <c r="H1476">
        <v>100</v>
      </c>
      <c r="I1476">
        <v>1</v>
      </c>
      <c r="J1476">
        <v>1</v>
      </c>
      <c r="K1476" t="s">
        <v>31</v>
      </c>
      <c r="L1476" t="s">
        <v>31</v>
      </c>
      <c r="M1476">
        <v>2024</v>
      </c>
      <c r="N1476" t="s">
        <v>57</v>
      </c>
      <c r="O1476" t="s">
        <v>78</v>
      </c>
      <c r="P1476">
        <v>0</v>
      </c>
      <c r="Q1476">
        <v>0</v>
      </c>
      <c r="R1476">
        <v>0</v>
      </c>
      <c r="S1476" t="s">
        <v>34</v>
      </c>
      <c r="T1476" t="s">
        <v>2365</v>
      </c>
      <c r="U1476">
        <v>1</v>
      </c>
    </row>
    <row r="1477" spans="1:21" x14ac:dyDescent="0.3">
      <c r="A1477" t="s">
        <v>2366</v>
      </c>
      <c r="B1477" t="s">
        <v>2367</v>
      </c>
      <c r="C1477" t="s">
        <v>663</v>
      </c>
      <c r="D1477" t="s">
        <v>222</v>
      </c>
      <c r="E1477" t="s">
        <v>30</v>
      </c>
      <c r="F1477" s="6">
        <v>45107</v>
      </c>
      <c r="G1477">
        <v>26</v>
      </c>
      <c r="H1477">
        <v>12</v>
      </c>
      <c r="I1477">
        <v>0.46153846153846162</v>
      </c>
      <c r="J1477">
        <v>0.46153846153846162</v>
      </c>
      <c r="K1477" t="s">
        <v>31</v>
      </c>
      <c r="L1477" t="s">
        <v>31</v>
      </c>
      <c r="M1477">
        <v>2023</v>
      </c>
      <c r="N1477" t="s">
        <v>44</v>
      </c>
      <c r="O1477" t="s">
        <v>33</v>
      </c>
      <c r="P1477">
        <v>0</v>
      </c>
      <c r="Q1477">
        <v>0</v>
      </c>
      <c r="R1477">
        <v>0</v>
      </c>
      <c r="S1477" t="s">
        <v>34</v>
      </c>
      <c r="T1477" t="s">
        <v>2368</v>
      </c>
      <c r="U1477">
        <v>1</v>
      </c>
    </row>
    <row r="1478" spans="1:21" x14ac:dyDescent="0.3">
      <c r="A1478" t="s">
        <v>2366</v>
      </c>
      <c r="B1478" t="s">
        <v>2367</v>
      </c>
      <c r="C1478" t="s">
        <v>663</v>
      </c>
      <c r="D1478" t="s">
        <v>222</v>
      </c>
      <c r="E1478" t="s">
        <v>30</v>
      </c>
      <c r="F1478" s="6">
        <v>45291</v>
      </c>
      <c r="G1478">
        <v>15</v>
      </c>
      <c r="H1478">
        <v>17</v>
      </c>
      <c r="I1478">
        <v>1.1333333333333331</v>
      </c>
      <c r="J1478">
        <v>1.1333333333333331</v>
      </c>
      <c r="K1478" t="s">
        <v>31</v>
      </c>
      <c r="L1478" t="s">
        <v>31</v>
      </c>
      <c r="M1478">
        <v>2023</v>
      </c>
      <c r="N1478" t="s">
        <v>57</v>
      </c>
      <c r="O1478" t="s">
        <v>47</v>
      </c>
      <c r="P1478">
        <v>0</v>
      </c>
      <c r="Q1478">
        <v>0</v>
      </c>
      <c r="R1478">
        <v>0</v>
      </c>
      <c r="S1478" t="s">
        <v>34</v>
      </c>
      <c r="T1478" t="s">
        <v>2369</v>
      </c>
      <c r="U1478">
        <v>1</v>
      </c>
    </row>
    <row r="1479" spans="1:21" x14ac:dyDescent="0.3">
      <c r="A1479" t="s">
        <v>2366</v>
      </c>
      <c r="B1479" t="s">
        <v>2370</v>
      </c>
      <c r="C1479" t="s">
        <v>663</v>
      </c>
      <c r="D1479" t="s">
        <v>222</v>
      </c>
      <c r="E1479" t="s">
        <v>30</v>
      </c>
      <c r="F1479" s="6">
        <v>45473</v>
      </c>
      <c r="G1479">
        <v>100</v>
      </c>
      <c r="H1479">
        <v>140</v>
      </c>
      <c r="I1479">
        <v>1.3</v>
      </c>
      <c r="J1479">
        <v>1.4</v>
      </c>
      <c r="K1479" t="s">
        <v>118</v>
      </c>
      <c r="L1479" t="s">
        <v>118</v>
      </c>
      <c r="M1479">
        <v>2024</v>
      </c>
      <c r="N1479" t="s">
        <v>44</v>
      </c>
      <c r="O1479" t="s">
        <v>71</v>
      </c>
      <c r="P1479">
        <v>0</v>
      </c>
      <c r="Q1479">
        <v>0</v>
      </c>
      <c r="R1479">
        <v>0</v>
      </c>
      <c r="S1479" t="s">
        <v>34</v>
      </c>
      <c r="T1479" t="s">
        <v>2371</v>
      </c>
      <c r="U1479">
        <v>1</v>
      </c>
    </row>
    <row r="1480" spans="1:21" x14ac:dyDescent="0.3">
      <c r="A1480" t="s">
        <v>2366</v>
      </c>
      <c r="B1480" t="s">
        <v>2370</v>
      </c>
      <c r="C1480" t="s">
        <v>663</v>
      </c>
      <c r="D1480" t="s">
        <v>222</v>
      </c>
      <c r="E1480" t="s">
        <v>30</v>
      </c>
      <c r="F1480" s="6">
        <v>45657</v>
      </c>
      <c r="G1480">
        <v>100</v>
      </c>
      <c r="H1480">
        <v>115</v>
      </c>
      <c r="I1480">
        <v>1.1499999999999999</v>
      </c>
      <c r="J1480">
        <v>1.1499999999999999</v>
      </c>
      <c r="K1480" t="s">
        <v>118</v>
      </c>
      <c r="L1480" t="s">
        <v>118</v>
      </c>
      <c r="M1480">
        <v>2024</v>
      </c>
      <c r="N1480" t="s">
        <v>57</v>
      </c>
      <c r="O1480" t="s">
        <v>78</v>
      </c>
      <c r="P1480">
        <v>0</v>
      </c>
      <c r="Q1480">
        <v>0</v>
      </c>
      <c r="R1480">
        <v>0</v>
      </c>
      <c r="S1480" t="s">
        <v>34</v>
      </c>
      <c r="T1480" t="s">
        <v>2372</v>
      </c>
      <c r="U1480">
        <v>1</v>
      </c>
    </row>
    <row r="1481" spans="1:21" x14ac:dyDescent="0.3">
      <c r="A1481" t="s">
        <v>2373</v>
      </c>
      <c r="B1481" t="s">
        <v>2374</v>
      </c>
      <c r="C1481" t="s">
        <v>663</v>
      </c>
      <c r="D1481" t="s">
        <v>222</v>
      </c>
      <c r="E1481" t="s">
        <v>30</v>
      </c>
      <c r="F1481" s="6">
        <v>45107</v>
      </c>
      <c r="G1481">
        <v>180</v>
      </c>
      <c r="H1481">
        <v>236</v>
      </c>
      <c r="I1481">
        <v>1.3</v>
      </c>
      <c r="J1481">
        <v>1.3111111111111109</v>
      </c>
      <c r="K1481" t="s">
        <v>118</v>
      </c>
      <c r="L1481" t="s">
        <v>118</v>
      </c>
      <c r="M1481">
        <v>2023</v>
      </c>
      <c r="N1481" t="s">
        <v>44</v>
      </c>
      <c r="O1481" t="s">
        <v>33</v>
      </c>
      <c r="P1481">
        <v>0</v>
      </c>
      <c r="Q1481">
        <v>0</v>
      </c>
      <c r="R1481">
        <v>0</v>
      </c>
      <c r="S1481" t="s">
        <v>34</v>
      </c>
      <c r="T1481" t="s">
        <v>2375</v>
      </c>
      <c r="U1481">
        <v>1</v>
      </c>
    </row>
    <row r="1482" spans="1:21" x14ac:dyDescent="0.3">
      <c r="A1482" t="s">
        <v>2373</v>
      </c>
      <c r="B1482" t="s">
        <v>2374</v>
      </c>
      <c r="C1482" t="s">
        <v>663</v>
      </c>
      <c r="D1482" t="s">
        <v>222</v>
      </c>
      <c r="E1482" t="s">
        <v>30</v>
      </c>
      <c r="F1482" s="6">
        <v>45291</v>
      </c>
      <c r="G1482">
        <v>180</v>
      </c>
      <c r="H1482">
        <v>231</v>
      </c>
      <c r="I1482">
        <v>1.283333333333333</v>
      </c>
      <c r="J1482">
        <v>1.283333333333333</v>
      </c>
      <c r="K1482" t="s">
        <v>118</v>
      </c>
      <c r="L1482" t="s">
        <v>118</v>
      </c>
      <c r="M1482">
        <v>2023</v>
      </c>
      <c r="N1482" t="s">
        <v>57</v>
      </c>
      <c r="O1482" t="s">
        <v>47</v>
      </c>
      <c r="P1482">
        <v>0</v>
      </c>
      <c r="Q1482">
        <v>0</v>
      </c>
      <c r="R1482">
        <v>0</v>
      </c>
      <c r="S1482" t="s">
        <v>34</v>
      </c>
      <c r="T1482" t="s">
        <v>2376</v>
      </c>
      <c r="U1482">
        <v>1</v>
      </c>
    </row>
    <row r="1483" spans="1:21" x14ac:dyDescent="0.3">
      <c r="A1483" t="s">
        <v>2373</v>
      </c>
      <c r="B1483" t="s">
        <v>2377</v>
      </c>
      <c r="C1483" t="s">
        <v>663</v>
      </c>
      <c r="D1483" t="s">
        <v>222</v>
      </c>
      <c r="E1483" t="s">
        <v>30</v>
      </c>
      <c r="F1483" s="6">
        <v>45473</v>
      </c>
      <c r="G1483">
        <v>100</v>
      </c>
      <c r="H1483">
        <v>106.52</v>
      </c>
      <c r="I1483">
        <v>1.0651999999999999</v>
      </c>
      <c r="J1483">
        <v>1.0651999999999999</v>
      </c>
      <c r="K1483" t="s">
        <v>118</v>
      </c>
      <c r="L1483" t="s">
        <v>118</v>
      </c>
      <c r="M1483">
        <v>2024</v>
      </c>
      <c r="N1483" t="s">
        <v>44</v>
      </c>
      <c r="O1483" t="s">
        <v>71</v>
      </c>
      <c r="P1483">
        <v>0</v>
      </c>
      <c r="Q1483">
        <v>0</v>
      </c>
      <c r="R1483">
        <v>0</v>
      </c>
      <c r="S1483" t="s">
        <v>34</v>
      </c>
      <c r="T1483" t="s">
        <v>2378</v>
      </c>
      <c r="U1483">
        <v>1</v>
      </c>
    </row>
    <row r="1484" spans="1:21" x14ac:dyDescent="0.3">
      <c r="A1484" t="s">
        <v>2373</v>
      </c>
      <c r="B1484" t="s">
        <v>2377</v>
      </c>
      <c r="C1484" t="s">
        <v>663</v>
      </c>
      <c r="D1484" t="s">
        <v>222</v>
      </c>
      <c r="E1484" t="s">
        <v>30</v>
      </c>
      <c r="F1484" s="6">
        <v>45657</v>
      </c>
      <c r="G1484">
        <v>100</v>
      </c>
      <c r="H1484">
        <v>502.17</v>
      </c>
      <c r="I1484">
        <v>1.3</v>
      </c>
      <c r="J1484">
        <v>5.0217000000000001</v>
      </c>
      <c r="K1484" t="s">
        <v>118</v>
      </c>
      <c r="L1484" t="s">
        <v>118</v>
      </c>
      <c r="M1484">
        <v>2024</v>
      </c>
      <c r="N1484" t="s">
        <v>57</v>
      </c>
      <c r="O1484" t="s">
        <v>78</v>
      </c>
      <c r="P1484">
        <v>0</v>
      </c>
      <c r="Q1484">
        <v>0</v>
      </c>
      <c r="R1484">
        <v>0</v>
      </c>
      <c r="S1484" t="s">
        <v>34</v>
      </c>
      <c r="T1484" t="s">
        <v>2379</v>
      </c>
      <c r="U1484">
        <v>1</v>
      </c>
    </row>
    <row r="1485" spans="1:21" x14ac:dyDescent="0.3">
      <c r="A1485" t="s">
        <v>2380</v>
      </c>
      <c r="B1485" t="s">
        <v>2381</v>
      </c>
      <c r="C1485" t="s">
        <v>61</v>
      </c>
      <c r="D1485" t="s">
        <v>222</v>
      </c>
      <c r="E1485" t="s">
        <v>30</v>
      </c>
      <c r="F1485" s="6">
        <v>44926</v>
      </c>
      <c r="G1485">
        <v>3</v>
      </c>
      <c r="H1485">
        <v>3</v>
      </c>
      <c r="I1485">
        <v>1</v>
      </c>
      <c r="J1485">
        <v>1</v>
      </c>
      <c r="K1485" t="s">
        <v>118</v>
      </c>
      <c r="L1485" t="s">
        <v>118</v>
      </c>
      <c r="M1485">
        <v>2022</v>
      </c>
      <c r="N1485" t="s">
        <v>57</v>
      </c>
      <c r="O1485" t="s">
        <v>90</v>
      </c>
      <c r="P1485">
        <v>0</v>
      </c>
      <c r="Q1485">
        <v>0</v>
      </c>
      <c r="R1485">
        <v>1</v>
      </c>
      <c r="S1485" t="s">
        <v>34</v>
      </c>
      <c r="T1485" t="s">
        <v>2382</v>
      </c>
      <c r="U1485">
        <v>1</v>
      </c>
    </row>
    <row r="1486" spans="1:21" x14ac:dyDescent="0.3">
      <c r="A1486" t="s">
        <v>2380</v>
      </c>
      <c r="B1486" t="s">
        <v>2381</v>
      </c>
      <c r="C1486" t="s">
        <v>61</v>
      </c>
      <c r="D1486" t="s">
        <v>222</v>
      </c>
      <c r="E1486" t="s">
        <v>30</v>
      </c>
      <c r="F1486" s="6">
        <v>45107</v>
      </c>
      <c r="G1486">
        <v>2</v>
      </c>
      <c r="H1486">
        <v>2</v>
      </c>
      <c r="I1486">
        <v>1</v>
      </c>
      <c r="J1486">
        <v>1</v>
      </c>
      <c r="K1486" t="s">
        <v>118</v>
      </c>
      <c r="L1486" t="s">
        <v>118</v>
      </c>
      <c r="M1486">
        <v>2023</v>
      </c>
      <c r="N1486" t="s">
        <v>44</v>
      </c>
      <c r="O1486" t="s">
        <v>33</v>
      </c>
      <c r="P1486">
        <v>0</v>
      </c>
      <c r="Q1486">
        <v>0</v>
      </c>
      <c r="R1486">
        <v>1</v>
      </c>
      <c r="S1486" t="s">
        <v>34</v>
      </c>
      <c r="T1486" t="s">
        <v>2383</v>
      </c>
      <c r="U1486">
        <v>1</v>
      </c>
    </row>
    <row r="1487" spans="1:21" x14ac:dyDescent="0.3">
      <c r="A1487" t="s">
        <v>2380</v>
      </c>
      <c r="B1487" t="s">
        <v>2381</v>
      </c>
      <c r="C1487" t="s">
        <v>61</v>
      </c>
      <c r="D1487" t="s">
        <v>222</v>
      </c>
      <c r="E1487" t="s">
        <v>30</v>
      </c>
      <c r="F1487" s="6">
        <v>45291</v>
      </c>
      <c r="G1487">
        <v>6</v>
      </c>
      <c r="H1487">
        <v>6</v>
      </c>
      <c r="I1487">
        <v>1</v>
      </c>
      <c r="J1487">
        <v>1</v>
      </c>
      <c r="K1487" t="s">
        <v>118</v>
      </c>
      <c r="L1487" t="s">
        <v>118</v>
      </c>
      <c r="M1487">
        <v>2023</v>
      </c>
      <c r="N1487" t="s">
        <v>57</v>
      </c>
      <c r="O1487" t="s">
        <v>47</v>
      </c>
      <c r="P1487">
        <v>0</v>
      </c>
      <c r="Q1487">
        <v>0</v>
      </c>
      <c r="R1487">
        <v>1</v>
      </c>
      <c r="S1487" t="s">
        <v>34</v>
      </c>
      <c r="T1487" t="s">
        <v>2384</v>
      </c>
      <c r="U1487">
        <v>1</v>
      </c>
    </row>
    <row r="1488" spans="1:21" x14ac:dyDescent="0.3">
      <c r="A1488" t="s">
        <v>2380</v>
      </c>
      <c r="B1488" t="s">
        <v>2381</v>
      </c>
      <c r="C1488" t="s">
        <v>61</v>
      </c>
      <c r="D1488" t="s">
        <v>222</v>
      </c>
      <c r="E1488" t="s">
        <v>30</v>
      </c>
      <c r="F1488" s="6">
        <v>45473</v>
      </c>
      <c r="G1488">
        <v>3</v>
      </c>
      <c r="H1488">
        <v>3</v>
      </c>
      <c r="I1488">
        <v>1</v>
      </c>
      <c r="J1488">
        <v>1</v>
      </c>
      <c r="K1488" t="s">
        <v>118</v>
      </c>
      <c r="L1488" t="s">
        <v>118</v>
      </c>
      <c r="M1488">
        <v>2024</v>
      </c>
      <c r="N1488" t="s">
        <v>44</v>
      </c>
      <c r="O1488" t="s">
        <v>71</v>
      </c>
      <c r="P1488">
        <v>0</v>
      </c>
      <c r="Q1488">
        <v>0</v>
      </c>
      <c r="R1488">
        <v>1</v>
      </c>
      <c r="S1488" t="s">
        <v>34</v>
      </c>
      <c r="T1488" t="s">
        <v>2385</v>
      </c>
      <c r="U1488">
        <v>1</v>
      </c>
    </row>
    <row r="1489" spans="1:21" x14ac:dyDescent="0.3">
      <c r="A1489" t="s">
        <v>2380</v>
      </c>
      <c r="B1489" t="s">
        <v>2381</v>
      </c>
      <c r="C1489" t="s">
        <v>61</v>
      </c>
      <c r="D1489" t="s">
        <v>222</v>
      </c>
      <c r="E1489" t="s">
        <v>30</v>
      </c>
      <c r="F1489" s="6">
        <v>45657</v>
      </c>
      <c r="G1489">
        <v>0</v>
      </c>
      <c r="H1489">
        <v>0</v>
      </c>
      <c r="K1489" t="s">
        <v>118</v>
      </c>
      <c r="L1489" t="s">
        <v>118</v>
      </c>
      <c r="M1489">
        <v>2024</v>
      </c>
      <c r="N1489" t="s">
        <v>57</v>
      </c>
      <c r="O1489" t="s">
        <v>78</v>
      </c>
      <c r="P1489">
        <v>0</v>
      </c>
      <c r="Q1489">
        <v>0</v>
      </c>
      <c r="R1489">
        <v>1</v>
      </c>
      <c r="S1489" t="s">
        <v>34</v>
      </c>
      <c r="T1489" t="s">
        <v>2386</v>
      </c>
      <c r="U1489">
        <v>1</v>
      </c>
    </row>
    <row r="1490" spans="1:21" x14ac:dyDescent="0.3">
      <c r="A1490" t="s">
        <v>2380</v>
      </c>
      <c r="B1490" t="s">
        <v>2381</v>
      </c>
      <c r="C1490" t="s">
        <v>61</v>
      </c>
      <c r="D1490" t="s">
        <v>222</v>
      </c>
      <c r="E1490" t="s">
        <v>30</v>
      </c>
      <c r="F1490" s="6">
        <v>45838</v>
      </c>
      <c r="G1490">
        <v>100</v>
      </c>
      <c r="H1490" t="s">
        <v>95</v>
      </c>
      <c r="I1490">
        <v>1</v>
      </c>
      <c r="J1490">
        <v>1</v>
      </c>
      <c r="K1490" t="s">
        <v>102</v>
      </c>
      <c r="L1490" t="s">
        <v>102</v>
      </c>
      <c r="M1490">
        <v>2025</v>
      </c>
      <c r="N1490" t="s">
        <v>44</v>
      </c>
      <c r="O1490" t="s">
        <v>244</v>
      </c>
      <c r="P1490">
        <v>2</v>
      </c>
      <c r="Q1490">
        <v>2</v>
      </c>
      <c r="R1490">
        <v>1</v>
      </c>
      <c r="S1490" t="s">
        <v>34</v>
      </c>
      <c r="T1490" t="s">
        <v>2387</v>
      </c>
      <c r="U1490">
        <v>30</v>
      </c>
    </row>
    <row r="1491" spans="1:21" x14ac:dyDescent="0.3">
      <c r="A1491" t="s">
        <v>2380</v>
      </c>
      <c r="B1491" t="s">
        <v>2381</v>
      </c>
      <c r="C1491" t="s">
        <v>61</v>
      </c>
      <c r="D1491" t="s">
        <v>222</v>
      </c>
      <c r="E1491" t="s">
        <v>30</v>
      </c>
      <c r="F1491" s="6">
        <v>46022</v>
      </c>
      <c r="G1491">
        <v>100</v>
      </c>
      <c r="H1491" t="s">
        <v>95</v>
      </c>
      <c r="I1491">
        <v>1</v>
      </c>
      <c r="J1491">
        <v>1</v>
      </c>
      <c r="K1491" t="s">
        <v>102</v>
      </c>
      <c r="L1491" t="s">
        <v>102</v>
      </c>
      <c r="M1491">
        <v>2025</v>
      </c>
      <c r="N1491" t="s">
        <v>57</v>
      </c>
      <c r="O1491" t="s">
        <v>103</v>
      </c>
      <c r="P1491">
        <v>2</v>
      </c>
      <c r="Q1491">
        <v>2</v>
      </c>
      <c r="R1491">
        <v>1</v>
      </c>
      <c r="S1491" t="s">
        <v>34</v>
      </c>
      <c r="T1491" t="s">
        <v>2388</v>
      </c>
      <c r="U1491">
        <v>31</v>
      </c>
    </row>
    <row r="1492" spans="1:21" x14ac:dyDescent="0.3">
      <c r="A1492" t="s">
        <v>2389</v>
      </c>
      <c r="B1492" t="s">
        <v>2390</v>
      </c>
      <c r="C1492" t="s">
        <v>61</v>
      </c>
      <c r="D1492" t="s">
        <v>222</v>
      </c>
      <c r="E1492" t="s">
        <v>30</v>
      </c>
      <c r="F1492" s="6">
        <v>45107</v>
      </c>
      <c r="G1492">
        <v>0</v>
      </c>
      <c r="H1492">
        <v>0</v>
      </c>
      <c r="K1492" t="s">
        <v>118</v>
      </c>
      <c r="L1492" t="s">
        <v>118</v>
      </c>
      <c r="M1492">
        <v>2023</v>
      </c>
      <c r="N1492" t="s">
        <v>44</v>
      </c>
      <c r="O1492" t="s">
        <v>33</v>
      </c>
      <c r="P1492">
        <v>0</v>
      </c>
      <c r="Q1492">
        <v>0</v>
      </c>
      <c r="R1492">
        <v>0</v>
      </c>
      <c r="S1492" t="s">
        <v>34</v>
      </c>
      <c r="T1492" t="s">
        <v>2391</v>
      </c>
      <c r="U1492">
        <v>1</v>
      </c>
    </row>
    <row r="1493" spans="1:21" x14ac:dyDescent="0.3">
      <c r="A1493" t="s">
        <v>2389</v>
      </c>
      <c r="B1493" t="s">
        <v>2390</v>
      </c>
      <c r="C1493" t="s">
        <v>61</v>
      </c>
      <c r="D1493" t="s">
        <v>222</v>
      </c>
      <c r="E1493" t="s">
        <v>30</v>
      </c>
      <c r="F1493" s="6">
        <v>45291</v>
      </c>
      <c r="G1493">
        <v>12</v>
      </c>
      <c r="H1493">
        <v>12</v>
      </c>
      <c r="I1493">
        <v>1</v>
      </c>
      <c r="J1493">
        <v>1</v>
      </c>
      <c r="K1493" t="s">
        <v>118</v>
      </c>
      <c r="L1493" t="s">
        <v>118</v>
      </c>
      <c r="M1493">
        <v>2023</v>
      </c>
      <c r="N1493" t="s">
        <v>57</v>
      </c>
      <c r="O1493" t="s">
        <v>47</v>
      </c>
      <c r="P1493">
        <v>0</v>
      </c>
      <c r="Q1493">
        <v>0</v>
      </c>
      <c r="R1493">
        <v>0</v>
      </c>
      <c r="S1493" t="s">
        <v>34</v>
      </c>
      <c r="T1493" t="s">
        <v>2392</v>
      </c>
      <c r="U1493">
        <v>1</v>
      </c>
    </row>
    <row r="1494" spans="1:21" x14ac:dyDescent="0.3">
      <c r="A1494" t="s">
        <v>2389</v>
      </c>
      <c r="B1494" t="s">
        <v>2390</v>
      </c>
      <c r="C1494" t="s">
        <v>61</v>
      </c>
      <c r="D1494" t="s">
        <v>222</v>
      </c>
      <c r="E1494" t="s">
        <v>30</v>
      </c>
      <c r="F1494" s="6">
        <v>45473</v>
      </c>
      <c r="G1494">
        <v>0</v>
      </c>
      <c r="H1494">
        <v>0</v>
      </c>
      <c r="K1494" t="s">
        <v>118</v>
      </c>
      <c r="L1494" t="s">
        <v>118</v>
      </c>
      <c r="M1494">
        <v>2024</v>
      </c>
      <c r="N1494" t="s">
        <v>44</v>
      </c>
      <c r="O1494" t="s">
        <v>71</v>
      </c>
      <c r="P1494">
        <v>0</v>
      </c>
      <c r="Q1494">
        <v>0</v>
      </c>
      <c r="R1494">
        <v>0</v>
      </c>
      <c r="S1494" t="s">
        <v>34</v>
      </c>
      <c r="T1494" t="s">
        <v>2393</v>
      </c>
      <c r="U1494">
        <v>1</v>
      </c>
    </row>
    <row r="1495" spans="1:21" x14ac:dyDescent="0.3">
      <c r="A1495" t="s">
        <v>2389</v>
      </c>
      <c r="B1495" t="s">
        <v>2390</v>
      </c>
      <c r="C1495" t="s">
        <v>61</v>
      </c>
      <c r="D1495" t="s">
        <v>222</v>
      </c>
      <c r="E1495" t="s">
        <v>30</v>
      </c>
      <c r="F1495" s="6">
        <v>45657</v>
      </c>
      <c r="G1495">
        <v>6</v>
      </c>
      <c r="H1495">
        <v>6</v>
      </c>
      <c r="I1495">
        <v>1</v>
      </c>
      <c r="J1495">
        <v>1</v>
      </c>
      <c r="K1495" t="s">
        <v>118</v>
      </c>
      <c r="L1495" t="s">
        <v>118</v>
      </c>
      <c r="M1495">
        <v>2024</v>
      </c>
      <c r="N1495" t="s">
        <v>57</v>
      </c>
      <c r="O1495" t="s">
        <v>78</v>
      </c>
      <c r="P1495">
        <v>0</v>
      </c>
      <c r="Q1495">
        <v>0</v>
      </c>
      <c r="R1495">
        <v>0</v>
      </c>
      <c r="S1495" t="s">
        <v>34</v>
      </c>
      <c r="T1495" t="s">
        <v>2394</v>
      </c>
      <c r="U1495">
        <v>1</v>
      </c>
    </row>
    <row r="1496" spans="1:21" x14ac:dyDescent="0.3">
      <c r="A1496" t="s">
        <v>2389</v>
      </c>
      <c r="B1496" t="s">
        <v>2390</v>
      </c>
      <c r="C1496" t="s">
        <v>61</v>
      </c>
      <c r="D1496" t="s">
        <v>222</v>
      </c>
      <c r="E1496" t="s">
        <v>30</v>
      </c>
      <c r="F1496" s="6">
        <v>45838</v>
      </c>
      <c r="G1496">
        <v>100</v>
      </c>
      <c r="H1496" t="s">
        <v>95</v>
      </c>
      <c r="I1496">
        <v>1</v>
      </c>
      <c r="J1496">
        <v>1</v>
      </c>
      <c r="K1496" t="s">
        <v>102</v>
      </c>
      <c r="L1496" t="s">
        <v>102</v>
      </c>
      <c r="M1496">
        <v>2025</v>
      </c>
      <c r="N1496" t="s">
        <v>44</v>
      </c>
      <c r="O1496" t="s">
        <v>244</v>
      </c>
      <c r="P1496">
        <v>2</v>
      </c>
      <c r="Q1496">
        <v>2</v>
      </c>
      <c r="R1496">
        <v>0</v>
      </c>
      <c r="S1496" t="s">
        <v>34</v>
      </c>
      <c r="T1496" t="s">
        <v>2395</v>
      </c>
      <c r="U1496">
        <v>30</v>
      </c>
    </row>
    <row r="1497" spans="1:21" x14ac:dyDescent="0.3">
      <c r="A1497" t="s">
        <v>2389</v>
      </c>
      <c r="B1497" t="s">
        <v>2390</v>
      </c>
      <c r="C1497" t="s">
        <v>61</v>
      </c>
      <c r="D1497" t="s">
        <v>222</v>
      </c>
      <c r="E1497" t="s">
        <v>30</v>
      </c>
      <c r="F1497" s="6">
        <v>46022</v>
      </c>
      <c r="G1497">
        <v>100</v>
      </c>
      <c r="H1497" t="s">
        <v>1039</v>
      </c>
      <c r="I1497">
        <v>1.3</v>
      </c>
      <c r="J1497">
        <v>2</v>
      </c>
      <c r="K1497" t="s">
        <v>102</v>
      </c>
      <c r="L1497" t="s">
        <v>2396</v>
      </c>
      <c r="M1497">
        <v>2025</v>
      </c>
      <c r="N1497" t="s">
        <v>57</v>
      </c>
      <c r="O1497" t="s">
        <v>103</v>
      </c>
      <c r="P1497">
        <v>2</v>
      </c>
      <c r="Q1497">
        <v>2</v>
      </c>
      <c r="R1497">
        <v>0</v>
      </c>
      <c r="S1497" t="s">
        <v>34</v>
      </c>
      <c r="T1497" t="s">
        <v>2397</v>
      </c>
      <c r="U1497">
        <v>31</v>
      </c>
    </row>
    <row r="1498" spans="1:21" x14ac:dyDescent="0.3">
      <c r="A1498" t="s">
        <v>2398</v>
      </c>
      <c r="B1498" t="s">
        <v>2399</v>
      </c>
      <c r="C1498" t="s">
        <v>61</v>
      </c>
      <c r="D1498" t="s">
        <v>222</v>
      </c>
      <c r="E1498" t="s">
        <v>30</v>
      </c>
      <c r="F1498" s="6">
        <v>44742</v>
      </c>
      <c r="G1498">
        <v>3</v>
      </c>
      <c r="H1498">
        <v>3</v>
      </c>
      <c r="I1498">
        <v>1</v>
      </c>
      <c r="J1498">
        <v>1</v>
      </c>
      <c r="K1498" t="s">
        <v>118</v>
      </c>
      <c r="L1498" t="s">
        <v>118</v>
      </c>
      <c r="M1498">
        <v>2022</v>
      </c>
      <c r="N1498" t="s">
        <v>44</v>
      </c>
      <c r="O1498" t="s">
        <v>88</v>
      </c>
      <c r="P1498">
        <v>0</v>
      </c>
      <c r="Q1498">
        <v>0</v>
      </c>
      <c r="R1498">
        <v>0</v>
      </c>
      <c r="S1498" t="s">
        <v>34</v>
      </c>
      <c r="T1498" t="s">
        <v>2400</v>
      </c>
      <c r="U1498">
        <v>1</v>
      </c>
    </row>
    <row r="1499" spans="1:21" x14ac:dyDescent="0.3">
      <c r="A1499" t="s">
        <v>2398</v>
      </c>
      <c r="B1499" t="s">
        <v>2399</v>
      </c>
      <c r="C1499" t="s">
        <v>61</v>
      </c>
      <c r="D1499" t="s">
        <v>222</v>
      </c>
      <c r="E1499" t="s">
        <v>30</v>
      </c>
      <c r="F1499" s="6">
        <v>44926</v>
      </c>
      <c r="G1499">
        <v>3</v>
      </c>
      <c r="H1499">
        <v>3</v>
      </c>
      <c r="I1499">
        <v>1</v>
      </c>
      <c r="J1499">
        <v>1</v>
      </c>
      <c r="K1499" t="s">
        <v>118</v>
      </c>
      <c r="L1499" t="s">
        <v>118</v>
      </c>
      <c r="M1499">
        <v>2022</v>
      </c>
      <c r="N1499" t="s">
        <v>57</v>
      </c>
      <c r="O1499" t="s">
        <v>90</v>
      </c>
      <c r="P1499">
        <v>0</v>
      </c>
      <c r="Q1499">
        <v>0</v>
      </c>
      <c r="R1499">
        <v>0</v>
      </c>
      <c r="S1499" t="s">
        <v>34</v>
      </c>
      <c r="T1499" t="s">
        <v>2401</v>
      </c>
      <c r="U1499">
        <v>1</v>
      </c>
    </row>
    <row r="1500" spans="1:21" x14ac:dyDescent="0.3">
      <c r="A1500" t="s">
        <v>2398</v>
      </c>
      <c r="B1500" t="s">
        <v>2399</v>
      </c>
      <c r="C1500" t="s">
        <v>61</v>
      </c>
      <c r="D1500" t="s">
        <v>222</v>
      </c>
      <c r="E1500" t="s">
        <v>30</v>
      </c>
      <c r="F1500" s="6">
        <v>45107</v>
      </c>
      <c r="G1500">
        <v>1</v>
      </c>
      <c r="H1500">
        <v>1</v>
      </c>
      <c r="I1500">
        <v>1</v>
      </c>
      <c r="J1500">
        <v>1</v>
      </c>
      <c r="K1500" t="s">
        <v>118</v>
      </c>
      <c r="L1500" t="s">
        <v>118</v>
      </c>
      <c r="M1500">
        <v>2023</v>
      </c>
      <c r="N1500" t="s">
        <v>44</v>
      </c>
      <c r="O1500" t="s">
        <v>33</v>
      </c>
      <c r="P1500">
        <v>0</v>
      </c>
      <c r="Q1500">
        <v>0</v>
      </c>
      <c r="R1500">
        <v>1</v>
      </c>
      <c r="S1500" t="s">
        <v>34</v>
      </c>
      <c r="T1500" t="s">
        <v>2402</v>
      </c>
      <c r="U1500">
        <v>1</v>
      </c>
    </row>
    <row r="1501" spans="1:21" x14ac:dyDescent="0.3">
      <c r="A1501" t="s">
        <v>2398</v>
      </c>
      <c r="B1501" t="s">
        <v>2399</v>
      </c>
      <c r="C1501" t="s">
        <v>61</v>
      </c>
      <c r="D1501" t="s">
        <v>222</v>
      </c>
      <c r="E1501" t="s">
        <v>30</v>
      </c>
      <c r="F1501" s="6">
        <v>45291</v>
      </c>
      <c r="G1501">
        <v>0</v>
      </c>
      <c r="H1501">
        <v>0</v>
      </c>
      <c r="M1501">
        <v>2023</v>
      </c>
      <c r="N1501" t="s">
        <v>57</v>
      </c>
      <c r="O1501" t="s">
        <v>47</v>
      </c>
      <c r="P1501">
        <v>0</v>
      </c>
      <c r="Q1501">
        <v>0</v>
      </c>
      <c r="R1501">
        <v>1</v>
      </c>
      <c r="S1501" t="s">
        <v>34</v>
      </c>
      <c r="T1501" t="s">
        <v>2403</v>
      </c>
      <c r="U1501">
        <v>1</v>
      </c>
    </row>
    <row r="1502" spans="1:21" x14ac:dyDescent="0.3">
      <c r="A1502" t="s">
        <v>2398</v>
      </c>
      <c r="B1502" t="s">
        <v>2399</v>
      </c>
      <c r="C1502" t="s">
        <v>61</v>
      </c>
      <c r="D1502" t="s">
        <v>222</v>
      </c>
      <c r="E1502" t="s">
        <v>30</v>
      </c>
      <c r="F1502" s="6">
        <v>45473</v>
      </c>
      <c r="G1502">
        <v>5</v>
      </c>
      <c r="H1502">
        <v>5</v>
      </c>
      <c r="I1502">
        <v>1</v>
      </c>
      <c r="J1502">
        <v>1</v>
      </c>
      <c r="K1502" t="s">
        <v>118</v>
      </c>
      <c r="L1502" t="s">
        <v>118</v>
      </c>
      <c r="M1502">
        <v>2024</v>
      </c>
      <c r="N1502" t="s">
        <v>44</v>
      </c>
      <c r="O1502" t="s">
        <v>71</v>
      </c>
      <c r="P1502">
        <v>0</v>
      </c>
      <c r="Q1502">
        <v>0</v>
      </c>
      <c r="R1502">
        <v>1</v>
      </c>
      <c r="S1502" t="s">
        <v>34</v>
      </c>
      <c r="T1502" t="s">
        <v>2404</v>
      </c>
      <c r="U1502">
        <v>1</v>
      </c>
    </row>
    <row r="1503" spans="1:21" x14ac:dyDescent="0.3">
      <c r="A1503" t="s">
        <v>2398</v>
      </c>
      <c r="B1503" t="s">
        <v>2399</v>
      </c>
      <c r="C1503" t="s">
        <v>61</v>
      </c>
      <c r="D1503" t="s">
        <v>222</v>
      </c>
      <c r="E1503" t="s">
        <v>30</v>
      </c>
      <c r="F1503" s="6">
        <v>45657</v>
      </c>
      <c r="G1503">
        <v>3</v>
      </c>
      <c r="H1503">
        <v>3</v>
      </c>
      <c r="I1503">
        <v>1</v>
      </c>
      <c r="J1503">
        <v>1</v>
      </c>
      <c r="K1503" t="s">
        <v>118</v>
      </c>
      <c r="L1503" t="s">
        <v>118</v>
      </c>
      <c r="M1503">
        <v>2024</v>
      </c>
      <c r="N1503" t="s">
        <v>57</v>
      </c>
      <c r="O1503" t="s">
        <v>78</v>
      </c>
      <c r="P1503">
        <v>0</v>
      </c>
      <c r="Q1503">
        <v>0</v>
      </c>
      <c r="R1503">
        <v>1</v>
      </c>
      <c r="S1503" t="s">
        <v>34</v>
      </c>
      <c r="T1503" t="s">
        <v>2405</v>
      </c>
      <c r="U1503">
        <v>1</v>
      </c>
    </row>
    <row r="1504" spans="1:21" x14ac:dyDescent="0.3">
      <c r="A1504" t="s">
        <v>2398</v>
      </c>
      <c r="B1504" t="s">
        <v>2406</v>
      </c>
      <c r="C1504" t="s">
        <v>61</v>
      </c>
      <c r="D1504" t="s">
        <v>222</v>
      </c>
      <c r="E1504" t="s">
        <v>30</v>
      </c>
      <c r="F1504" s="6">
        <v>45838</v>
      </c>
      <c r="H1504" t="s">
        <v>95</v>
      </c>
      <c r="I1504">
        <v>0</v>
      </c>
      <c r="J1504">
        <v>0</v>
      </c>
      <c r="L1504" t="s">
        <v>102</v>
      </c>
      <c r="M1504">
        <v>2025</v>
      </c>
      <c r="N1504" t="s">
        <v>44</v>
      </c>
      <c r="O1504" t="s">
        <v>244</v>
      </c>
      <c r="P1504">
        <v>2</v>
      </c>
      <c r="Q1504">
        <v>2</v>
      </c>
      <c r="R1504">
        <v>1</v>
      </c>
      <c r="S1504" t="s">
        <v>34</v>
      </c>
      <c r="T1504" t="s">
        <v>2407</v>
      </c>
      <c r="U1504">
        <v>30</v>
      </c>
    </row>
    <row r="1505" spans="1:21" x14ac:dyDescent="0.3">
      <c r="A1505" t="s">
        <v>2398</v>
      </c>
      <c r="B1505" t="s">
        <v>2406</v>
      </c>
      <c r="C1505" t="s">
        <v>61</v>
      </c>
      <c r="D1505" t="s">
        <v>222</v>
      </c>
      <c r="E1505" t="s">
        <v>30</v>
      </c>
      <c r="F1505" s="6">
        <v>46022</v>
      </c>
      <c r="H1505" t="s">
        <v>95</v>
      </c>
      <c r="I1505">
        <v>0</v>
      </c>
      <c r="J1505">
        <v>0</v>
      </c>
      <c r="L1505" t="s">
        <v>102</v>
      </c>
      <c r="M1505">
        <v>2025</v>
      </c>
      <c r="N1505" t="s">
        <v>57</v>
      </c>
      <c r="O1505" t="s">
        <v>103</v>
      </c>
      <c r="P1505">
        <v>2</v>
      </c>
      <c r="Q1505">
        <v>2</v>
      </c>
      <c r="R1505">
        <v>1</v>
      </c>
      <c r="S1505" t="s">
        <v>34</v>
      </c>
      <c r="T1505" t="s">
        <v>2408</v>
      </c>
      <c r="U1505">
        <v>31</v>
      </c>
    </row>
    <row r="1506" spans="1:21" x14ac:dyDescent="0.3">
      <c r="A1506" t="s">
        <v>2409</v>
      </c>
      <c r="B1506" t="s">
        <v>2410</v>
      </c>
      <c r="C1506" t="s">
        <v>61</v>
      </c>
      <c r="D1506" t="s">
        <v>222</v>
      </c>
      <c r="E1506" t="s">
        <v>30</v>
      </c>
      <c r="F1506" s="6">
        <v>44926</v>
      </c>
      <c r="G1506">
        <v>6</v>
      </c>
      <c r="H1506">
        <v>2</v>
      </c>
      <c r="I1506">
        <v>0.33333333333333331</v>
      </c>
      <c r="J1506">
        <v>0.33333333333333331</v>
      </c>
      <c r="K1506" t="s">
        <v>118</v>
      </c>
      <c r="L1506" t="s">
        <v>118</v>
      </c>
      <c r="M1506">
        <v>2022</v>
      </c>
      <c r="N1506" t="s">
        <v>57</v>
      </c>
      <c r="O1506" t="s">
        <v>90</v>
      </c>
      <c r="P1506">
        <v>0</v>
      </c>
      <c r="Q1506">
        <v>0</v>
      </c>
      <c r="R1506">
        <v>0</v>
      </c>
      <c r="S1506" t="s">
        <v>718</v>
      </c>
      <c r="T1506" t="s">
        <v>2411</v>
      </c>
      <c r="U1506">
        <v>1</v>
      </c>
    </row>
    <row r="1507" spans="1:21" x14ac:dyDescent="0.3">
      <c r="A1507" t="s">
        <v>2409</v>
      </c>
      <c r="B1507" t="s">
        <v>2410</v>
      </c>
      <c r="C1507" t="s">
        <v>61</v>
      </c>
      <c r="D1507" t="s">
        <v>222</v>
      </c>
      <c r="E1507" t="s">
        <v>30</v>
      </c>
      <c r="F1507" s="6">
        <v>45291</v>
      </c>
      <c r="G1507">
        <v>1</v>
      </c>
      <c r="H1507">
        <v>1</v>
      </c>
      <c r="I1507">
        <v>1</v>
      </c>
      <c r="J1507">
        <v>1</v>
      </c>
      <c r="K1507" t="s">
        <v>118</v>
      </c>
      <c r="L1507" t="s">
        <v>118</v>
      </c>
      <c r="M1507">
        <v>2023</v>
      </c>
      <c r="N1507" t="s">
        <v>57</v>
      </c>
      <c r="O1507" t="s">
        <v>47</v>
      </c>
      <c r="P1507">
        <v>0</v>
      </c>
      <c r="Q1507">
        <v>0</v>
      </c>
      <c r="R1507">
        <v>0</v>
      </c>
      <c r="S1507" t="s">
        <v>718</v>
      </c>
      <c r="T1507" t="s">
        <v>2412</v>
      </c>
      <c r="U1507">
        <v>1</v>
      </c>
    </row>
    <row r="1508" spans="1:21" x14ac:dyDescent="0.3">
      <c r="A1508" t="s">
        <v>2409</v>
      </c>
      <c r="B1508" t="s">
        <v>2410</v>
      </c>
      <c r="C1508" t="s">
        <v>61</v>
      </c>
      <c r="D1508" t="s">
        <v>222</v>
      </c>
      <c r="E1508" t="s">
        <v>30</v>
      </c>
      <c r="F1508" s="6">
        <v>45656</v>
      </c>
      <c r="G1508">
        <v>0</v>
      </c>
      <c r="H1508">
        <v>0</v>
      </c>
      <c r="K1508" t="s">
        <v>118</v>
      </c>
      <c r="L1508" t="s">
        <v>118</v>
      </c>
      <c r="M1508">
        <v>2024</v>
      </c>
      <c r="N1508" t="s">
        <v>57</v>
      </c>
      <c r="O1508" t="s">
        <v>78</v>
      </c>
      <c r="P1508">
        <v>0</v>
      </c>
      <c r="Q1508">
        <v>0</v>
      </c>
      <c r="R1508">
        <v>0</v>
      </c>
      <c r="S1508" t="s">
        <v>718</v>
      </c>
      <c r="T1508" t="s">
        <v>2413</v>
      </c>
      <c r="U1508">
        <v>1</v>
      </c>
    </row>
    <row r="1509" spans="1:21" x14ac:dyDescent="0.3">
      <c r="A1509" t="s">
        <v>2414</v>
      </c>
      <c r="B1509" t="s">
        <v>2415</v>
      </c>
      <c r="C1509" t="s">
        <v>61</v>
      </c>
      <c r="D1509" t="s">
        <v>222</v>
      </c>
      <c r="E1509" t="s">
        <v>30</v>
      </c>
      <c r="F1509" s="6">
        <v>44926</v>
      </c>
      <c r="G1509">
        <v>2</v>
      </c>
      <c r="H1509">
        <v>2</v>
      </c>
      <c r="I1509">
        <v>1</v>
      </c>
      <c r="J1509">
        <v>1</v>
      </c>
      <c r="K1509" t="s">
        <v>118</v>
      </c>
      <c r="L1509" t="s">
        <v>118</v>
      </c>
      <c r="M1509">
        <v>2022</v>
      </c>
      <c r="N1509" t="s">
        <v>57</v>
      </c>
      <c r="O1509" t="s">
        <v>90</v>
      </c>
      <c r="P1509">
        <v>0</v>
      </c>
      <c r="Q1509">
        <v>0</v>
      </c>
      <c r="R1509">
        <v>0</v>
      </c>
      <c r="S1509" t="s">
        <v>718</v>
      </c>
      <c r="T1509" t="s">
        <v>2416</v>
      </c>
      <c r="U1509">
        <v>1</v>
      </c>
    </row>
    <row r="1510" spans="1:21" x14ac:dyDescent="0.3">
      <c r="A1510" t="s">
        <v>2414</v>
      </c>
      <c r="B1510" t="s">
        <v>2415</v>
      </c>
      <c r="C1510" t="s">
        <v>61</v>
      </c>
      <c r="D1510" t="s">
        <v>222</v>
      </c>
      <c r="E1510" t="s">
        <v>30</v>
      </c>
      <c r="F1510" s="6">
        <v>45291</v>
      </c>
      <c r="G1510">
        <v>1</v>
      </c>
      <c r="H1510">
        <v>1</v>
      </c>
      <c r="I1510">
        <v>1</v>
      </c>
      <c r="J1510">
        <v>1</v>
      </c>
      <c r="K1510" t="s">
        <v>118</v>
      </c>
      <c r="L1510" t="s">
        <v>118</v>
      </c>
      <c r="M1510">
        <v>2023</v>
      </c>
      <c r="N1510" t="s">
        <v>57</v>
      </c>
      <c r="O1510" t="s">
        <v>47</v>
      </c>
      <c r="P1510">
        <v>0</v>
      </c>
      <c r="Q1510">
        <v>0</v>
      </c>
      <c r="R1510">
        <v>0</v>
      </c>
      <c r="S1510" t="s">
        <v>718</v>
      </c>
      <c r="T1510" t="s">
        <v>2417</v>
      </c>
      <c r="U1510">
        <v>1</v>
      </c>
    </row>
    <row r="1511" spans="1:21" x14ac:dyDescent="0.3">
      <c r="A1511" t="s">
        <v>2414</v>
      </c>
      <c r="B1511" t="s">
        <v>2415</v>
      </c>
      <c r="C1511" t="s">
        <v>61</v>
      </c>
      <c r="D1511" t="s">
        <v>222</v>
      </c>
      <c r="E1511" t="s">
        <v>30</v>
      </c>
      <c r="F1511" s="6">
        <v>45657</v>
      </c>
      <c r="G1511">
        <v>5</v>
      </c>
      <c r="H1511">
        <v>5</v>
      </c>
      <c r="I1511">
        <v>1</v>
      </c>
      <c r="J1511">
        <v>1</v>
      </c>
      <c r="K1511" t="s">
        <v>118</v>
      </c>
      <c r="L1511" t="s">
        <v>118</v>
      </c>
      <c r="M1511">
        <v>2024</v>
      </c>
      <c r="N1511" t="s">
        <v>57</v>
      </c>
      <c r="O1511" t="s">
        <v>78</v>
      </c>
      <c r="P1511">
        <v>0</v>
      </c>
      <c r="Q1511">
        <v>0</v>
      </c>
      <c r="R1511">
        <v>0</v>
      </c>
      <c r="S1511" t="s">
        <v>718</v>
      </c>
      <c r="T1511" t="s">
        <v>2418</v>
      </c>
      <c r="U1511">
        <v>1</v>
      </c>
    </row>
    <row r="1512" spans="1:21" x14ac:dyDescent="0.3">
      <c r="A1512" t="s">
        <v>2419</v>
      </c>
      <c r="B1512" t="s">
        <v>2420</v>
      </c>
      <c r="C1512" t="s">
        <v>87</v>
      </c>
      <c r="D1512" t="s">
        <v>98</v>
      </c>
      <c r="E1512" t="s">
        <v>30</v>
      </c>
      <c r="F1512" s="6">
        <v>45291</v>
      </c>
      <c r="G1512">
        <v>5</v>
      </c>
      <c r="H1512">
        <v>5</v>
      </c>
      <c r="I1512">
        <v>1</v>
      </c>
      <c r="J1512">
        <v>1</v>
      </c>
      <c r="K1512" t="s">
        <v>109</v>
      </c>
      <c r="L1512" t="s">
        <v>109</v>
      </c>
      <c r="M1512">
        <v>2023</v>
      </c>
      <c r="N1512" t="s">
        <v>57</v>
      </c>
      <c r="O1512" t="s">
        <v>47</v>
      </c>
      <c r="P1512">
        <v>0</v>
      </c>
      <c r="Q1512">
        <v>0</v>
      </c>
      <c r="R1512">
        <v>0</v>
      </c>
      <c r="S1512" t="s">
        <v>34</v>
      </c>
      <c r="T1512" t="s">
        <v>2421</v>
      </c>
      <c r="U1512">
        <v>1</v>
      </c>
    </row>
    <row r="1513" spans="1:21" x14ac:dyDescent="0.3">
      <c r="A1513" t="s">
        <v>2419</v>
      </c>
      <c r="B1513" t="s">
        <v>2420</v>
      </c>
      <c r="C1513" t="s">
        <v>87</v>
      </c>
      <c r="D1513" t="s">
        <v>98</v>
      </c>
      <c r="E1513" t="s">
        <v>30</v>
      </c>
      <c r="F1513" s="6">
        <v>45657</v>
      </c>
      <c r="G1513">
        <v>0</v>
      </c>
      <c r="M1513">
        <v>2024</v>
      </c>
      <c r="N1513" t="s">
        <v>57</v>
      </c>
      <c r="O1513" t="s">
        <v>78</v>
      </c>
      <c r="P1513">
        <v>0</v>
      </c>
      <c r="Q1513">
        <v>0</v>
      </c>
      <c r="R1513">
        <v>0</v>
      </c>
      <c r="S1513" t="s">
        <v>34</v>
      </c>
      <c r="T1513" t="s">
        <v>2422</v>
      </c>
      <c r="U1513">
        <v>1</v>
      </c>
    </row>
    <row r="1514" spans="1:21" x14ac:dyDescent="0.3">
      <c r="A1514" t="s">
        <v>2419</v>
      </c>
      <c r="B1514" t="s">
        <v>2423</v>
      </c>
      <c r="C1514" t="s">
        <v>87</v>
      </c>
      <c r="D1514" t="s">
        <v>98</v>
      </c>
      <c r="E1514" t="s">
        <v>30</v>
      </c>
      <c r="F1514" s="6">
        <v>46022</v>
      </c>
      <c r="H1514" t="s">
        <v>95</v>
      </c>
      <c r="I1514">
        <v>0</v>
      </c>
      <c r="J1514">
        <v>0</v>
      </c>
      <c r="L1514" t="s">
        <v>102</v>
      </c>
      <c r="M1514">
        <v>2025</v>
      </c>
      <c r="N1514" t="s">
        <v>57</v>
      </c>
      <c r="O1514" t="s">
        <v>103</v>
      </c>
      <c r="P1514">
        <v>2</v>
      </c>
      <c r="Q1514">
        <v>2</v>
      </c>
      <c r="R1514">
        <v>0</v>
      </c>
      <c r="S1514" t="s">
        <v>34</v>
      </c>
      <c r="T1514" t="s">
        <v>2424</v>
      </c>
      <c r="U1514">
        <v>31</v>
      </c>
    </row>
    <row r="1515" spans="1:21" x14ac:dyDescent="0.3">
      <c r="A1515" t="s">
        <v>2425</v>
      </c>
      <c r="B1515" t="s">
        <v>2426</v>
      </c>
      <c r="C1515" t="s">
        <v>87</v>
      </c>
      <c r="D1515" t="s">
        <v>222</v>
      </c>
      <c r="E1515" t="s">
        <v>30</v>
      </c>
      <c r="F1515" s="6">
        <v>44926</v>
      </c>
      <c r="G1515">
        <v>0</v>
      </c>
      <c r="H1515">
        <v>0</v>
      </c>
      <c r="M1515">
        <v>2022</v>
      </c>
      <c r="N1515" t="s">
        <v>57</v>
      </c>
      <c r="O1515" t="s">
        <v>90</v>
      </c>
      <c r="P1515">
        <v>0</v>
      </c>
      <c r="Q1515">
        <v>0</v>
      </c>
      <c r="R1515">
        <v>0</v>
      </c>
      <c r="S1515" t="s">
        <v>34</v>
      </c>
      <c r="T1515" t="s">
        <v>2427</v>
      </c>
      <c r="U1515">
        <v>1</v>
      </c>
    </row>
    <row r="1516" spans="1:21" x14ac:dyDescent="0.3">
      <c r="A1516" t="s">
        <v>2425</v>
      </c>
      <c r="B1516" t="s">
        <v>2426</v>
      </c>
      <c r="C1516" t="s">
        <v>87</v>
      </c>
      <c r="D1516" t="s">
        <v>222</v>
      </c>
      <c r="E1516" t="s">
        <v>30</v>
      </c>
      <c r="F1516" s="6">
        <v>45107</v>
      </c>
      <c r="G1516">
        <v>0</v>
      </c>
      <c r="H1516">
        <v>0</v>
      </c>
      <c r="M1516">
        <v>2023</v>
      </c>
      <c r="N1516" t="s">
        <v>44</v>
      </c>
      <c r="O1516" t="s">
        <v>33</v>
      </c>
      <c r="P1516">
        <v>0</v>
      </c>
      <c r="Q1516">
        <v>0</v>
      </c>
      <c r="R1516">
        <v>0</v>
      </c>
      <c r="S1516" t="s">
        <v>34</v>
      </c>
      <c r="T1516" t="s">
        <v>2428</v>
      </c>
      <c r="U1516">
        <v>1</v>
      </c>
    </row>
    <row r="1517" spans="1:21" x14ac:dyDescent="0.3">
      <c r="A1517" t="s">
        <v>2425</v>
      </c>
      <c r="B1517" t="s">
        <v>2426</v>
      </c>
      <c r="C1517" t="s">
        <v>87</v>
      </c>
      <c r="D1517" t="s">
        <v>222</v>
      </c>
      <c r="E1517" t="s">
        <v>30</v>
      </c>
      <c r="F1517" s="6">
        <v>45291</v>
      </c>
      <c r="G1517">
        <v>2</v>
      </c>
      <c r="H1517">
        <v>2</v>
      </c>
      <c r="I1517">
        <v>1</v>
      </c>
      <c r="J1517">
        <v>1</v>
      </c>
      <c r="M1517">
        <v>2023</v>
      </c>
      <c r="N1517" t="s">
        <v>57</v>
      </c>
      <c r="O1517" t="s">
        <v>47</v>
      </c>
      <c r="P1517">
        <v>0</v>
      </c>
      <c r="Q1517">
        <v>0</v>
      </c>
      <c r="R1517">
        <v>0</v>
      </c>
      <c r="S1517" t="s">
        <v>34</v>
      </c>
      <c r="T1517" t="s">
        <v>2429</v>
      </c>
      <c r="U1517">
        <v>1</v>
      </c>
    </row>
    <row r="1518" spans="1:21" x14ac:dyDescent="0.3">
      <c r="A1518" t="s">
        <v>2425</v>
      </c>
      <c r="B1518" t="s">
        <v>2426</v>
      </c>
      <c r="C1518" t="s">
        <v>87</v>
      </c>
      <c r="D1518" t="s">
        <v>222</v>
      </c>
      <c r="E1518" t="s">
        <v>30</v>
      </c>
      <c r="F1518" s="6">
        <v>45473</v>
      </c>
      <c r="G1518">
        <v>0</v>
      </c>
      <c r="H1518">
        <v>0</v>
      </c>
      <c r="M1518">
        <v>2024</v>
      </c>
      <c r="N1518" t="s">
        <v>44</v>
      </c>
      <c r="O1518" t="s">
        <v>71</v>
      </c>
      <c r="P1518">
        <v>0</v>
      </c>
      <c r="Q1518">
        <v>0</v>
      </c>
      <c r="R1518">
        <v>0</v>
      </c>
      <c r="S1518" t="s">
        <v>34</v>
      </c>
      <c r="T1518" t="s">
        <v>2430</v>
      </c>
      <c r="U1518">
        <v>1</v>
      </c>
    </row>
    <row r="1519" spans="1:21" x14ac:dyDescent="0.3">
      <c r="A1519" t="s">
        <v>2425</v>
      </c>
      <c r="B1519" t="s">
        <v>2426</v>
      </c>
      <c r="C1519" t="s">
        <v>87</v>
      </c>
      <c r="D1519" t="s">
        <v>222</v>
      </c>
      <c r="E1519" t="s">
        <v>30</v>
      </c>
      <c r="F1519" s="6">
        <v>45657</v>
      </c>
      <c r="G1519">
        <v>0</v>
      </c>
      <c r="H1519">
        <v>0</v>
      </c>
      <c r="M1519">
        <v>2024</v>
      </c>
      <c r="N1519" t="s">
        <v>57</v>
      </c>
      <c r="O1519" t="s">
        <v>78</v>
      </c>
      <c r="P1519">
        <v>0</v>
      </c>
      <c r="Q1519">
        <v>0</v>
      </c>
      <c r="R1519">
        <v>0</v>
      </c>
      <c r="S1519" t="s">
        <v>34</v>
      </c>
      <c r="T1519" t="s">
        <v>2431</v>
      </c>
      <c r="U1519">
        <v>1</v>
      </c>
    </row>
    <row r="1520" spans="1:21" x14ac:dyDescent="0.3">
      <c r="A1520" t="s">
        <v>2425</v>
      </c>
      <c r="B1520" t="s">
        <v>2432</v>
      </c>
      <c r="C1520" t="s">
        <v>87</v>
      </c>
      <c r="D1520" t="s">
        <v>222</v>
      </c>
      <c r="E1520" t="s">
        <v>30</v>
      </c>
      <c r="F1520" s="6">
        <v>45838</v>
      </c>
      <c r="G1520">
        <v>100</v>
      </c>
      <c r="H1520" t="s">
        <v>95</v>
      </c>
      <c r="I1520">
        <v>1</v>
      </c>
      <c r="J1520">
        <v>1</v>
      </c>
      <c r="K1520" t="s">
        <v>102</v>
      </c>
      <c r="L1520" t="s">
        <v>102</v>
      </c>
      <c r="M1520">
        <v>2025</v>
      </c>
      <c r="N1520" t="s">
        <v>44</v>
      </c>
      <c r="O1520" t="s">
        <v>244</v>
      </c>
      <c r="P1520">
        <v>2</v>
      </c>
      <c r="Q1520">
        <v>2</v>
      </c>
      <c r="R1520">
        <v>0</v>
      </c>
      <c r="S1520" t="s">
        <v>34</v>
      </c>
      <c r="T1520" t="s">
        <v>2433</v>
      </c>
      <c r="U1520">
        <v>30</v>
      </c>
    </row>
    <row r="1521" spans="1:21" x14ac:dyDescent="0.3">
      <c r="A1521" t="s">
        <v>2425</v>
      </c>
      <c r="B1521" t="s">
        <v>2432</v>
      </c>
      <c r="C1521" t="s">
        <v>87</v>
      </c>
      <c r="D1521" t="s">
        <v>222</v>
      </c>
      <c r="E1521" t="s">
        <v>30</v>
      </c>
      <c r="F1521" s="6">
        <v>46022</v>
      </c>
      <c r="G1521">
        <v>100</v>
      </c>
      <c r="H1521" t="s">
        <v>95</v>
      </c>
      <c r="I1521">
        <v>1</v>
      </c>
      <c r="J1521">
        <v>1</v>
      </c>
      <c r="K1521" t="s">
        <v>102</v>
      </c>
      <c r="L1521" t="s">
        <v>102</v>
      </c>
      <c r="M1521">
        <v>2025</v>
      </c>
      <c r="N1521" t="s">
        <v>57</v>
      </c>
      <c r="O1521" t="s">
        <v>103</v>
      </c>
      <c r="P1521">
        <v>2</v>
      </c>
      <c r="Q1521">
        <v>2</v>
      </c>
      <c r="R1521">
        <v>0</v>
      </c>
      <c r="S1521" t="s">
        <v>34</v>
      </c>
      <c r="T1521" t="s">
        <v>2434</v>
      </c>
      <c r="U1521">
        <v>31</v>
      </c>
    </row>
    <row r="1522" spans="1:21" x14ac:dyDescent="0.3">
      <c r="A1522" t="s">
        <v>2435</v>
      </c>
      <c r="B1522" t="s">
        <v>2436</v>
      </c>
      <c r="C1522" t="s">
        <v>2437</v>
      </c>
      <c r="D1522" t="s">
        <v>98</v>
      </c>
      <c r="E1522" t="s">
        <v>30</v>
      </c>
      <c r="F1522" s="6">
        <v>45291</v>
      </c>
      <c r="G1522">
        <v>800</v>
      </c>
      <c r="H1522">
        <v>1035</v>
      </c>
      <c r="I1522">
        <v>1.29375</v>
      </c>
      <c r="J1522">
        <v>1.29375</v>
      </c>
      <c r="M1522">
        <v>2023</v>
      </c>
      <c r="N1522" t="s">
        <v>57</v>
      </c>
      <c r="O1522" t="s">
        <v>47</v>
      </c>
      <c r="P1522">
        <v>0</v>
      </c>
      <c r="Q1522">
        <v>0</v>
      </c>
      <c r="R1522">
        <v>0</v>
      </c>
      <c r="S1522" t="s">
        <v>130</v>
      </c>
      <c r="T1522" t="s">
        <v>2438</v>
      </c>
      <c r="U1522">
        <v>1</v>
      </c>
    </row>
    <row r="1523" spans="1:21" x14ac:dyDescent="0.3">
      <c r="A1523" t="s">
        <v>2435</v>
      </c>
      <c r="B1523" t="s">
        <v>2436</v>
      </c>
      <c r="C1523" t="s">
        <v>2437</v>
      </c>
      <c r="D1523" t="s">
        <v>98</v>
      </c>
      <c r="E1523" t="s">
        <v>30</v>
      </c>
      <c r="F1523" s="6">
        <v>45657</v>
      </c>
      <c r="G1523">
        <v>100</v>
      </c>
      <c r="H1523">
        <v>157</v>
      </c>
      <c r="I1523">
        <v>1.3</v>
      </c>
      <c r="J1523">
        <v>1.57</v>
      </c>
      <c r="M1523">
        <v>2024</v>
      </c>
      <c r="N1523" t="s">
        <v>57</v>
      </c>
      <c r="O1523" t="s">
        <v>78</v>
      </c>
      <c r="P1523">
        <v>0</v>
      </c>
      <c r="Q1523">
        <v>0</v>
      </c>
      <c r="R1523">
        <v>0</v>
      </c>
      <c r="S1523" t="s">
        <v>130</v>
      </c>
      <c r="T1523" t="s">
        <v>2439</v>
      </c>
      <c r="U1523">
        <v>1</v>
      </c>
    </row>
    <row r="1524" spans="1:21" x14ac:dyDescent="0.3">
      <c r="A1524" t="s">
        <v>2440</v>
      </c>
      <c r="B1524" t="s">
        <v>2441</v>
      </c>
      <c r="C1524" t="s">
        <v>2437</v>
      </c>
      <c r="D1524" t="s">
        <v>98</v>
      </c>
      <c r="E1524" t="s">
        <v>30</v>
      </c>
      <c r="F1524" s="6">
        <v>45291</v>
      </c>
      <c r="G1524">
        <v>3000</v>
      </c>
      <c r="H1524">
        <v>3315</v>
      </c>
      <c r="I1524">
        <v>1.105</v>
      </c>
      <c r="J1524">
        <v>1.105</v>
      </c>
      <c r="M1524">
        <v>2023</v>
      </c>
      <c r="N1524" t="s">
        <v>57</v>
      </c>
      <c r="O1524" t="s">
        <v>47</v>
      </c>
      <c r="P1524">
        <v>0</v>
      </c>
      <c r="Q1524">
        <v>0</v>
      </c>
      <c r="R1524">
        <v>0</v>
      </c>
      <c r="S1524" t="s">
        <v>130</v>
      </c>
      <c r="T1524" t="s">
        <v>2442</v>
      </c>
      <c r="U1524">
        <v>1</v>
      </c>
    </row>
    <row r="1525" spans="1:21" x14ac:dyDescent="0.3">
      <c r="A1525" t="s">
        <v>2440</v>
      </c>
      <c r="B1525" t="s">
        <v>2441</v>
      </c>
      <c r="C1525" t="s">
        <v>2437</v>
      </c>
      <c r="D1525" t="s">
        <v>98</v>
      </c>
      <c r="E1525" t="s">
        <v>30</v>
      </c>
      <c r="F1525" s="6">
        <v>45657</v>
      </c>
      <c r="G1525">
        <v>100</v>
      </c>
      <c r="H1525">
        <v>106.63</v>
      </c>
      <c r="I1525">
        <v>1.0663</v>
      </c>
      <c r="J1525">
        <v>1.0663</v>
      </c>
      <c r="M1525">
        <v>2024</v>
      </c>
      <c r="N1525" t="s">
        <v>57</v>
      </c>
      <c r="O1525" t="s">
        <v>78</v>
      </c>
      <c r="P1525">
        <v>0</v>
      </c>
      <c r="Q1525">
        <v>0</v>
      </c>
      <c r="R1525">
        <v>0</v>
      </c>
      <c r="S1525" t="s">
        <v>130</v>
      </c>
      <c r="T1525" t="s">
        <v>2443</v>
      </c>
      <c r="U1525">
        <v>1</v>
      </c>
    </row>
    <row r="1526" spans="1:21" x14ac:dyDescent="0.3">
      <c r="A1526" t="s">
        <v>2444</v>
      </c>
      <c r="B1526" t="s">
        <v>2445</v>
      </c>
      <c r="C1526" t="s">
        <v>2437</v>
      </c>
      <c r="D1526" t="s">
        <v>98</v>
      </c>
      <c r="E1526" t="s">
        <v>30</v>
      </c>
      <c r="F1526" s="6">
        <v>45291</v>
      </c>
      <c r="H1526">
        <v>81</v>
      </c>
      <c r="I1526">
        <v>0.81</v>
      </c>
      <c r="K1526" t="s">
        <v>1041</v>
      </c>
      <c r="L1526" t="s">
        <v>31</v>
      </c>
      <c r="M1526">
        <v>2023</v>
      </c>
      <c r="N1526" t="s">
        <v>57</v>
      </c>
      <c r="O1526" t="s">
        <v>47</v>
      </c>
      <c r="P1526">
        <v>0</v>
      </c>
      <c r="Q1526">
        <v>0</v>
      </c>
      <c r="R1526">
        <v>1</v>
      </c>
      <c r="S1526" t="s">
        <v>130</v>
      </c>
      <c r="T1526" t="s">
        <v>2446</v>
      </c>
      <c r="U1526">
        <v>1</v>
      </c>
    </row>
    <row r="1527" spans="1:21" x14ac:dyDescent="0.3">
      <c r="A1527" t="s">
        <v>2444</v>
      </c>
      <c r="B1527" t="s">
        <v>2445</v>
      </c>
      <c r="C1527" t="s">
        <v>2437</v>
      </c>
      <c r="D1527" t="s">
        <v>98</v>
      </c>
      <c r="E1527" t="s">
        <v>30</v>
      </c>
      <c r="F1527" s="6">
        <v>45657</v>
      </c>
      <c r="G1527">
        <v>0</v>
      </c>
      <c r="H1527">
        <v>82</v>
      </c>
      <c r="K1527" t="s">
        <v>1041</v>
      </c>
      <c r="L1527" t="s">
        <v>31</v>
      </c>
      <c r="M1527">
        <v>2024</v>
      </c>
      <c r="N1527" t="s">
        <v>57</v>
      </c>
      <c r="O1527" t="s">
        <v>78</v>
      </c>
      <c r="P1527">
        <v>0</v>
      </c>
      <c r="Q1527">
        <v>0</v>
      </c>
      <c r="R1527">
        <v>0</v>
      </c>
      <c r="S1527" t="s">
        <v>130</v>
      </c>
      <c r="T1527" t="s">
        <v>2447</v>
      </c>
      <c r="U1527">
        <v>1</v>
      </c>
    </row>
    <row r="1528" spans="1:21" x14ac:dyDescent="0.3">
      <c r="A1528" t="s">
        <v>2448</v>
      </c>
      <c r="B1528" t="s">
        <v>2449</v>
      </c>
      <c r="C1528" t="s">
        <v>262</v>
      </c>
      <c r="D1528" t="s">
        <v>222</v>
      </c>
      <c r="E1528" t="s">
        <v>108</v>
      </c>
      <c r="F1528" s="6">
        <v>44742</v>
      </c>
      <c r="G1528">
        <v>1.6</v>
      </c>
      <c r="H1528">
        <v>1.8</v>
      </c>
      <c r="I1528">
        <v>0.88888888888888895</v>
      </c>
      <c r="J1528">
        <v>0.88888888888888895</v>
      </c>
      <c r="K1528" t="s">
        <v>31</v>
      </c>
      <c r="L1528" t="s">
        <v>31</v>
      </c>
      <c r="M1528">
        <v>2022</v>
      </c>
      <c r="N1528" t="s">
        <v>44</v>
      </c>
      <c r="O1528" t="s">
        <v>88</v>
      </c>
      <c r="P1528">
        <v>1</v>
      </c>
      <c r="Q1528">
        <v>1</v>
      </c>
      <c r="R1528">
        <v>0</v>
      </c>
      <c r="S1528" t="s">
        <v>130</v>
      </c>
      <c r="T1528" t="s">
        <v>2450</v>
      </c>
      <c r="U1528">
        <v>1</v>
      </c>
    </row>
    <row r="1529" spans="1:21" x14ac:dyDescent="0.3">
      <c r="A1529" t="s">
        <v>2448</v>
      </c>
      <c r="B1529" t="s">
        <v>2449</v>
      </c>
      <c r="C1529" t="s">
        <v>262</v>
      </c>
      <c r="D1529" t="s">
        <v>222</v>
      </c>
      <c r="E1529" t="s">
        <v>108</v>
      </c>
      <c r="F1529" s="6">
        <v>44926</v>
      </c>
      <c r="G1529">
        <v>1.6</v>
      </c>
      <c r="H1529">
        <v>1.75</v>
      </c>
      <c r="I1529">
        <v>0.91428571428571437</v>
      </c>
      <c r="J1529">
        <v>0.91428571428571437</v>
      </c>
      <c r="K1529" t="s">
        <v>31</v>
      </c>
      <c r="L1529" t="s">
        <v>31</v>
      </c>
      <c r="M1529">
        <v>2022</v>
      </c>
      <c r="N1529" t="s">
        <v>57</v>
      </c>
      <c r="O1529" t="s">
        <v>90</v>
      </c>
      <c r="P1529">
        <v>1</v>
      </c>
      <c r="Q1529">
        <v>1</v>
      </c>
      <c r="R1529">
        <v>0</v>
      </c>
      <c r="S1529" t="s">
        <v>130</v>
      </c>
      <c r="T1529" t="s">
        <v>2451</v>
      </c>
      <c r="U1529">
        <v>1</v>
      </c>
    </row>
    <row r="1530" spans="1:21" x14ac:dyDescent="0.3">
      <c r="A1530" t="s">
        <v>2448</v>
      </c>
      <c r="B1530" t="s">
        <v>2449</v>
      </c>
      <c r="C1530" t="s">
        <v>262</v>
      </c>
      <c r="D1530" t="s">
        <v>222</v>
      </c>
      <c r="E1530" t="s">
        <v>108</v>
      </c>
      <c r="F1530" s="6">
        <v>45107</v>
      </c>
      <c r="G1530">
        <v>1.8</v>
      </c>
      <c r="H1530">
        <v>1.57</v>
      </c>
      <c r="I1530">
        <v>1.1464968152866239</v>
      </c>
      <c r="J1530">
        <v>1.1464968152866239</v>
      </c>
      <c r="K1530" t="s">
        <v>31</v>
      </c>
      <c r="L1530" t="s">
        <v>31</v>
      </c>
      <c r="M1530">
        <v>2023</v>
      </c>
      <c r="N1530" t="s">
        <v>44</v>
      </c>
      <c r="O1530" t="s">
        <v>33</v>
      </c>
      <c r="P1530">
        <v>2</v>
      </c>
      <c r="Q1530">
        <v>2</v>
      </c>
      <c r="R1530">
        <v>1</v>
      </c>
      <c r="S1530" t="s">
        <v>99</v>
      </c>
      <c r="T1530" t="s">
        <v>2452</v>
      </c>
      <c r="U1530">
        <v>1</v>
      </c>
    </row>
    <row r="1531" spans="1:21" x14ac:dyDescent="0.3">
      <c r="A1531" t="s">
        <v>2448</v>
      </c>
      <c r="B1531" t="s">
        <v>2449</v>
      </c>
      <c r="C1531" t="s">
        <v>262</v>
      </c>
      <c r="D1531" t="s">
        <v>222</v>
      </c>
      <c r="E1531" t="s">
        <v>108</v>
      </c>
      <c r="F1531" s="6">
        <v>45291</v>
      </c>
      <c r="G1531">
        <v>1.8</v>
      </c>
      <c r="H1531">
        <v>1.3</v>
      </c>
      <c r="I1531">
        <v>1.3</v>
      </c>
      <c r="J1531">
        <v>1.384615384615385</v>
      </c>
      <c r="K1531" t="s">
        <v>31</v>
      </c>
      <c r="L1531" t="s">
        <v>31</v>
      </c>
      <c r="M1531">
        <v>2023</v>
      </c>
      <c r="N1531" t="s">
        <v>57</v>
      </c>
      <c r="O1531" t="s">
        <v>47</v>
      </c>
      <c r="P1531">
        <v>1</v>
      </c>
      <c r="Q1531">
        <v>1</v>
      </c>
      <c r="R1531">
        <v>1</v>
      </c>
      <c r="S1531" t="s">
        <v>99</v>
      </c>
      <c r="T1531" t="s">
        <v>2453</v>
      </c>
      <c r="U1531">
        <v>1</v>
      </c>
    </row>
    <row r="1532" spans="1:21" x14ac:dyDescent="0.3">
      <c r="A1532" t="s">
        <v>2448</v>
      </c>
      <c r="B1532" t="s">
        <v>2449</v>
      </c>
      <c r="C1532" t="s">
        <v>262</v>
      </c>
      <c r="D1532" t="s">
        <v>222</v>
      </c>
      <c r="E1532" t="s">
        <v>108</v>
      </c>
      <c r="F1532" s="6">
        <v>45473</v>
      </c>
      <c r="G1532">
        <v>1.5</v>
      </c>
      <c r="H1532">
        <v>1.48</v>
      </c>
      <c r="I1532">
        <v>1.013513513513514</v>
      </c>
      <c r="J1532">
        <v>1.013513513513514</v>
      </c>
      <c r="K1532" t="s">
        <v>31</v>
      </c>
      <c r="L1532" t="s">
        <v>31</v>
      </c>
      <c r="M1532">
        <v>2024</v>
      </c>
      <c r="N1532" t="s">
        <v>44</v>
      </c>
      <c r="O1532" t="s">
        <v>71</v>
      </c>
      <c r="P1532">
        <v>2</v>
      </c>
      <c r="Q1532">
        <v>2</v>
      </c>
      <c r="R1532">
        <v>1</v>
      </c>
      <c r="S1532" t="s">
        <v>99</v>
      </c>
      <c r="T1532" t="s">
        <v>2454</v>
      </c>
      <c r="U1532">
        <v>1</v>
      </c>
    </row>
    <row r="1533" spans="1:21" x14ac:dyDescent="0.3">
      <c r="A1533" t="s">
        <v>2448</v>
      </c>
      <c r="B1533" t="s">
        <v>2449</v>
      </c>
      <c r="C1533" t="s">
        <v>262</v>
      </c>
      <c r="D1533" t="s">
        <v>222</v>
      </c>
      <c r="E1533" t="s">
        <v>108</v>
      </c>
      <c r="F1533" s="6">
        <v>45657</v>
      </c>
      <c r="G1533">
        <v>1.8</v>
      </c>
      <c r="H1533">
        <v>0.82</v>
      </c>
      <c r="I1533">
        <v>1.3</v>
      </c>
      <c r="J1533">
        <v>2.1951219512195119</v>
      </c>
      <c r="K1533" t="s">
        <v>31</v>
      </c>
      <c r="L1533" t="s">
        <v>31</v>
      </c>
      <c r="M1533">
        <v>2024</v>
      </c>
      <c r="N1533" t="s">
        <v>57</v>
      </c>
      <c r="O1533" t="s">
        <v>78</v>
      </c>
      <c r="P1533">
        <v>2</v>
      </c>
      <c r="Q1533">
        <v>2</v>
      </c>
      <c r="R1533">
        <v>0</v>
      </c>
      <c r="S1533" t="s">
        <v>99</v>
      </c>
      <c r="T1533" t="s">
        <v>2455</v>
      </c>
      <c r="U1533">
        <v>1</v>
      </c>
    </row>
    <row r="1534" spans="1:21" x14ac:dyDescent="0.3">
      <c r="A1534" t="s">
        <v>2448</v>
      </c>
      <c r="B1534" t="s">
        <v>2449</v>
      </c>
      <c r="C1534" t="s">
        <v>262</v>
      </c>
      <c r="D1534" t="s">
        <v>222</v>
      </c>
      <c r="E1534" t="s">
        <v>108</v>
      </c>
      <c r="F1534" s="6">
        <v>45838</v>
      </c>
      <c r="G1534">
        <v>1.18</v>
      </c>
      <c r="H1534" t="s">
        <v>2456</v>
      </c>
      <c r="I1534">
        <v>1.3</v>
      </c>
      <c r="J1534">
        <v>1.388235294117647</v>
      </c>
      <c r="K1534" t="s">
        <v>2457</v>
      </c>
      <c r="L1534" t="s">
        <v>2458</v>
      </c>
      <c r="M1534">
        <v>2025</v>
      </c>
      <c r="N1534" t="s">
        <v>44</v>
      </c>
      <c r="O1534" t="s">
        <v>244</v>
      </c>
      <c r="P1534">
        <v>2</v>
      </c>
      <c r="Q1534">
        <v>2</v>
      </c>
      <c r="R1534">
        <v>1</v>
      </c>
      <c r="S1534" t="s">
        <v>104</v>
      </c>
      <c r="T1534" t="s">
        <v>2459</v>
      </c>
      <c r="U1534">
        <v>30</v>
      </c>
    </row>
    <row r="1535" spans="1:21" x14ac:dyDescent="0.3">
      <c r="A1535" t="s">
        <v>2448</v>
      </c>
      <c r="B1535" t="s">
        <v>2449</v>
      </c>
      <c r="C1535" t="s">
        <v>262</v>
      </c>
      <c r="D1535" t="s">
        <v>222</v>
      </c>
      <c r="E1535" t="s">
        <v>108</v>
      </c>
      <c r="F1535" s="6">
        <v>46022</v>
      </c>
      <c r="G1535">
        <v>1.18</v>
      </c>
      <c r="H1535" t="s">
        <v>2460</v>
      </c>
      <c r="I1535">
        <v>1.268817204301075</v>
      </c>
      <c r="J1535">
        <v>1.268817204301075</v>
      </c>
      <c r="K1535" t="s">
        <v>2457</v>
      </c>
      <c r="L1535" t="s">
        <v>2461</v>
      </c>
      <c r="M1535">
        <v>2025</v>
      </c>
      <c r="N1535" t="s">
        <v>57</v>
      </c>
      <c r="O1535" t="s">
        <v>103</v>
      </c>
      <c r="P1535">
        <v>2</v>
      </c>
      <c r="Q1535">
        <v>2</v>
      </c>
      <c r="R1535">
        <v>1</v>
      </c>
      <c r="S1535" t="s">
        <v>104</v>
      </c>
      <c r="T1535" t="s">
        <v>2462</v>
      </c>
      <c r="U1535">
        <v>31</v>
      </c>
    </row>
    <row r="1536" spans="1:21" x14ac:dyDescent="0.3">
      <c r="A1536" t="s">
        <v>2463</v>
      </c>
      <c r="B1536" t="s">
        <v>2464</v>
      </c>
      <c r="C1536" t="s">
        <v>262</v>
      </c>
      <c r="D1536" t="s">
        <v>98</v>
      </c>
      <c r="E1536" t="s">
        <v>30</v>
      </c>
      <c r="F1536" s="6">
        <v>44926</v>
      </c>
      <c r="G1536">
        <v>86</v>
      </c>
      <c r="H1536">
        <v>86</v>
      </c>
      <c r="I1536">
        <v>1</v>
      </c>
      <c r="J1536">
        <v>1</v>
      </c>
      <c r="K1536" t="s">
        <v>118</v>
      </c>
      <c r="L1536" t="s">
        <v>118</v>
      </c>
      <c r="M1536">
        <v>2022</v>
      </c>
      <c r="N1536" t="s">
        <v>57</v>
      </c>
      <c r="O1536" t="s">
        <v>90</v>
      </c>
      <c r="P1536">
        <v>0</v>
      </c>
      <c r="Q1536">
        <v>0</v>
      </c>
      <c r="R1536">
        <v>1</v>
      </c>
      <c r="S1536" t="s">
        <v>99</v>
      </c>
      <c r="T1536" t="s">
        <v>2465</v>
      </c>
      <c r="U1536">
        <v>1</v>
      </c>
    </row>
    <row r="1537" spans="1:21" x14ac:dyDescent="0.3">
      <c r="A1537" t="s">
        <v>2463</v>
      </c>
      <c r="B1537" t="s">
        <v>2464</v>
      </c>
      <c r="C1537" t="s">
        <v>262</v>
      </c>
      <c r="D1537" t="s">
        <v>98</v>
      </c>
      <c r="E1537" t="s">
        <v>30</v>
      </c>
      <c r="F1537" s="6">
        <v>45291</v>
      </c>
      <c r="G1537">
        <v>88</v>
      </c>
      <c r="H1537">
        <v>88.39</v>
      </c>
      <c r="I1537">
        <v>1.0044318181818179</v>
      </c>
      <c r="J1537">
        <v>1.0044318181818179</v>
      </c>
      <c r="K1537" t="s">
        <v>118</v>
      </c>
      <c r="L1537" t="s">
        <v>118</v>
      </c>
      <c r="M1537">
        <v>2023</v>
      </c>
      <c r="N1537" t="s">
        <v>57</v>
      </c>
      <c r="O1537" t="s">
        <v>47</v>
      </c>
      <c r="P1537">
        <v>0</v>
      </c>
      <c r="Q1537">
        <v>0</v>
      </c>
      <c r="R1537">
        <v>1</v>
      </c>
      <c r="S1537" t="s">
        <v>99</v>
      </c>
      <c r="T1537" t="s">
        <v>2466</v>
      </c>
      <c r="U1537">
        <v>1</v>
      </c>
    </row>
    <row r="1538" spans="1:21" x14ac:dyDescent="0.3">
      <c r="A1538" t="s">
        <v>2463</v>
      </c>
      <c r="B1538" t="s">
        <v>2464</v>
      </c>
      <c r="C1538" t="s">
        <v>262</v>
      </c>
      <c r="D1538" t="s">
        <v>98</v>
      </c>
      <c r="E1538" t="s">
        <v>30</v>
      </c>
      <c r="F1538" s="6">
        <v>45657</v>
      </c>
      <c r="G1538">
        <v>88</v>
      </c>
      <c r="H1538">
        <v>88.84</v>
      </c>
      <c r="I1538">
        <v>1.009545454545455</v>
      </c>
      <c r="J1538">
        <v>1.009545454545455</v>
      </c>
      <c r="K1538" t="s">
        <v>118</v>
      </c>
      <c r="L1538" t="s">
        <v>118</v>
      </c>
      <c r="M1538">
        <v>2024</v>
      </c>
      <c r="N1538" t="s">
        <v>57</v>
      </c>
      <c r="O1538" t="s">
        <v>78</v>
      </c>
      <c r="P1538">
        <v>0</v>
      </c>
      <c r="Q1538">
        <v>0</v>
      </c>
      <c r="R1538">
        <v>0</v>
      </c>
      <c r="S1538" t="s">
        <v>99</v>
      </c>
      <c r="T1538" t="s">
        <v>2467</v>
      </c>
      <c r="U1538">
        <v>1</v>
      </c>
    </row>
    <row r="1539" spans="1:21" x14ac:dyDescent="0.3">
      <c r="A1539" t="s">
        <v>2463</v>
      </c>
      <c r="B1539" t="s">
        <v>2464</v>
      </c>
      <c r="C1539" t="s">
        <v>262</v>
      </c>
      <c r="D1539" t="s">
        <v>98</v>
      </c>
      <c r="E1539" t="s">
        <v>30</v>
      </c>
      <c r="F1539" s="6">
        <v>46022</v>
      </c>
      <c r="G1539">
        <v>89</v>
      </c>
      <c r="H1539" t="s">
        <v>1731</v>
      </c>
      <c r="I1539">
        <v>1.0123595505617979</v>
      </c>
      <c r="J1539">
        <v>1.0123595505617979</v>
      </c>
      <c r="K1539" t="s">
        <v>280</v>
      </c>
      <c r="L1539" t="s">
        <v>1732</v>
      </c>
      <c r="M1539">
        <v>2025</v>
      </c>
      <c r="N1539" t="s">
        <v>57</v>
      </c>
      <c r="O1539" t="s">
        <v>103</v>
      </c>
      <c r="P1539">
        <v>2</v>
      </c>
      <c r="Q1539">
        <v>2</v>
      </c>
      <c r="R1539">
        <v>1</v>
      </c>
      <c r="S1539" t="s">
        <v>104</v>
      </c>
      <c r="T1539" t="s">
        <v>2468</v>
      </c>
      <c r="U1539">
        <v>31</v>
      </c>
    </row>
    <row r="1540" spans="1:21" x14ac:dyDescent="0.3">
      <c r="A1540" t="s">
        <v>2469</v>
      </c>
      <c r="B1540" t="s">
        <v>2470</v>
      </c>
      <c r="C1540" t="s">
        <v>262</v>
      </c>
      <c r="D1540" t="s">
        <v>98</v>
      </c>
      <c r="E1540" t="s">
        <v>30</v>
      </c>
      <c r="F1540" s="6">
        <v>45291</v>
      </c>
      <c r="G1540">
        <v>80</v>
      </c>
      <c r="H1540">
        <v>93.85</v>
      </c>
      <c r="I1540">
        <v>1.173125</v>
      </c>
      <c r="J1540">
        <v>1.173125</v>
      </c>
      <c r="K1540" t="s">
        <v>31</v>
      </c>
      <c r="L1540" t="s">
        <v>31</v>
      </c>
      <c r="M1540">
        <v>2023</v>
      </c>
      <c r="N1540" t="s">
        <v>57</v>
      </c>
      <c r="O1540" t="s">
        <v>47</v>
      </c>
      <c r="P1540">
        <v>0</v>
      </c>
      <c r="Q1540">
        <v>0</v>
      </c>
      <c r="R1540">
        <v>0</v>
      </c>
      <c r="S1540" t="s">
        <v>99</v>
      </c>
      <c r="T1540" t="s">
        <v>2471</v>
      </c>
      <c r="U1540">
        <v>1</v>
      </c>
    </row>
    <row r="1541" spans="1:21" x14ac:dyDescent="0.3">
      <c r="A1541" t="s">
        <v>2469</v>
      </c>
      <c r="B1541" t="s">
        <v>2470</v>
      </c>
      <c r="C1541" t="s">
        <v>262</v>
      </c>
      <c r="D1541" t="s">
        <v>98</v>
      </c>
      <c r="E1541" t="s">
        <v>30</v>
      </c>
      <c r="F1541" s="6">
        <v>45657</v>
      </c>
      <c r="G1541">
        <v>82</v>
      </c>
      <c r="H1541">
        <v>80.95</v>
      </c>
      <c r="I1541">
        <v>0.9871951219512195</v>
      </c>
      <c r="J1541">
        <v>0.9871951219512195</v>
      </c>
      <c r="K1541" t="s">
        <v>31</v>
      </c>
      <c r="L1541" t="s">
        <v>31</v>
      </c>
      <c r="M1541">
        <v>2024</v>
      </c>
      <c r="N1541" t="s">
        <v>57</v>
      </c>
      <c r="O1541" t="s">
        <v>78</v>
      </c>
      <c r="P1541">
        <v>0</v>
      </c>
      <c r="Q1541">
        <v>0</v>
      </c>
      <c r="R1541">
        <v>0</v>
      </c>
      <c r="S1541" t="s">
        <v>99</v>
      </c>
      <c r="T1541" t="s">
        <v>2472</v>
      </c>
      <c r="U1541">
        <v>1</v>
      </c>
    </row>
    <row r="1542" spans="1:21" x14ac:dyDescent="0.3">
      <c r="A1542" t="s">
        <v>2473</v>
      </c>
      <c r="B1542" t="s">
        <v>2474</v>
      </c>
      <c r="C1542" t="s">
        <v>672</v>
      </c>
      <c r="D1542" t="s">
        <v>98</v>
      </c>
      <c r="E1542" t="s">
        <v>108</v>
      </c>
      <c r="F1542" s="6">
        <v>45291</v>
      </c>
      <c r="K1542" t="s">
        <v>31</v>
      </c>
      <c r="L1542" t="s">
        <v>31</v>
      </c>
      <c r="M1542">
        <v>2023</v>
      </c>
      <c r="N1542" t="s">
        <v>57</v>
      </c>
      <c r="O1542" t="s">
        <v>47</v>
      </c>
      <c r="P1542">
        <v>0</v>
      </c>
      <c r="Q1542">
        <v>0</v>
      </c>
      <c r="R1542">
        <v>0</v>
      </c>
      <c r="S1542" t="s">
        <v>99</v>
      </c>
      <c r="T1542" t="s">
        <v>2475</v>
      </c>
      <c r="U1542">
        <v>1</v>
      </c>
    </row>
    <row r="1543" spans="1:21" x14ac:dyDescent="0.3">
      <c r="A1543" t="s">
        <v>2473</v>
      </c>
      <c r="B1543" t="s">
        <v>2474</v>
      </c>
      <c r="C1543" t="s">
        <v>672</v>
      </c>
      <c r="D1543" t="s">
        <v>98</v>
      </c>
      <c r="E1543" t="s">
        <v>108</v>
      </c>
      <c r="F1543" s="6">
        <v>45657</v>
      </c>
      <c r="G1543">
        <v>2</v>
      </c>
      <c r="H1543">
        <v>0.79</v>
      </c>
      <c r="I1543">
        <v>0.39500000000000002</v>
      </c>
      <c r="J1543">
        <v>0.39500000000000002</v>
      </c>
      <c r="M1543">
        <v>2024</v>
      </c>
      <c r="N1543" t="s">
        <v>57</v>
      </c>
      <c r="O1543" t="s">
        <v>78</v>
      </c>
      <c r="P1543">
        <v>0</v>
      </c>
      <c r="Q1543">
        <v>0</v>
      </c>
      <c r="R1543">
        <v>0</v>
      </c>
      <c r="S1543" t="s">
        <v>99</v>
      </c>
      <c r="T1543" t="s">
        <v>2476</v>
      </c>
      <c r="U1543">
        <v>1</v>
      </c>
    </row>
    <row r="1544" spans="1:21" x14ac:dyDescent="0.3">
      <c r="A1544" t="s">
        <v>2473</v>
      </c>
      <c r="B1544" t="s">
        <v>2474</v>
      </c>
      <c r="C1544" t="s">
        <v>672</v>
      </c>
      <c r="D1544" t="s">
        <v>98</v>
      </c>
      <c r="E1544" t="s">
        <v>108</v>
      </c>
      <c r="F1544" s="6">
        <v>46022</v>
      </c>
      <c r="H1544" t="s">
        <v>2477</v>
      </c>
      <c r="I1544">
        <v>0</v>
      </c>
      <c r="J1544">
        <v>0</v>
      </c>
      <c r="L1544" t="s">
        <v>2478</v>
      </c>
      <c r="M1544">
        <v>2025</v>
      </c>
      <c r="N1544" t="s">
        <v>57</v>
      </c>
      <c r="O1544" t="s">
        <v>103</v>
      </c>
      <c r="P1544">
        <v>2</v>
      </c>
      <c r="Q1544">
        <v>2</v>
      </c>
      <c r="R1544">
        <v>0</v>
      </c>
      <c r="S1544" t="s">
        <v>130</v>
      </c>
      <c r="T1544" t="s">
        <v>2479</v>
      </c>
      <c r="U1544">
        <v>31</v>
      </c>
    </row>
    <row r="1545" spans="1:21" x14ac:dyDescent="0.3">
      <c r="A1545" t="s">
        <v>2480</v>
      </c>
      <c r="B1545" t="s">
        <v>2481</v>
      </c>
      <c r="C1545" t="s">
        <v>87</v>
      </c>
      <c r="D1545" t="s">
        <v>222</v>
      </c>
      <c r="E1545" t="s">
        <v>30</v>
      </c>
      <c r="F1545" s="6">
        <v>45107</v>
      </c>
      <c r="M1545">
        <v>2023</v>
      </c>
      <c r="N1545" t="s">
        <v>44</v>
      </c>
      <c r="O1545" t="s">
        <v>33</v>
      </c>
      <c r="P1545">
        <v>0</v>
      </c>
      <c r="Q1545">
        <v>0</v>
      </c>
      <c r="R1545">
        <v>0</v>
      </c>
      <c r="S1545" t="s">
        <v>34</v>
      </c>
      <c r="T1545" t="s">
        <v>2482</v>
      </c>
      <c r="U1545">
        <v>1</v>
      </c>
    </row>
    <row r="1546" spans="1:21" x14ac:dyDescent="0.3">
      <c r="A1546" t="s">
        <v>2480</v>
      </c>
      <c r="B1546" t="s">
        <v>2481</v>
      </c>
      <c r="C1546" t="s">
        <v>87</v>
      </c>
      <c r="D1546" t="s">
        <v>222</v>
      </c>
      <c r="E1546" t="s">
        <v>30</v>
      </c>
      <c r="F1546" s="6">
        <v>45291</v>
      </c>
      <c r="G1546">
        <v>3</v>
      </c>
      <c r="H1546">
        <v>3</v>
      </c>
      <c r="I1546">
        <v>1</v>
      </c>
      <c r="J1546">
        <v>1</v>
      </c>
      <c r="M1546">
        <v>2023</v>
      </c>
      <c r="N1546" t="s">
        <v>57</v>
      </c>
      <c r="O1546" t="s">
        <v>47</v>
      </c>
      <c r="P1546">
        <v>0</v>
      </c>
      <c r="Q1546">
        <v>0</v>
      </c>
      <c r="R1546">
        <v>0</v>
      </c>
      <c r="S1546" t="s">
        <v>34</v>
      </c>
      <c r="T1546" t="s">
        <v>2483</v>
      </c>
      <c r="U1546">
        <v>1</v>
      </c>
    </row>
    <row r="1547" spans="1:21" x14ac:dyDescent="0.3">
      <c r="A1547" t="s">
        <v>2480</v>
      </c>
      <c r="B1547" t="s">
        <v>2481</v>
      </c>
      <c r="C1547" t="s">
        <v>87</v>
      </c>
      <c r="D1547" t="s">
        <v>222</v>
      </c>
      <c r="E1547" t="s">
        <v>30</v>
      </c>
      <c r="F1547" s="6">
        <v>45473</v>
      </c>
      <c r="G1547">
        <v>100</v>
      </c>
      <c r="H1547">
        <v>100</v>
      </c>
      <c r="I1547">
        <v>1</v>
      </c>
      <c r="J1547">
        <v>1</v>
      </c>
      <c r="K1547" t="s">
        <v>118</v>
      </c>
      <c r="L1547" t="s">
        <v>118</v>
      </c>
      <c r="M1547">
        <v>2024</v>
      </c>
      <c r="N1547" t="s">
        <v>44</v>
      </c>
      <c r="O1547" t="s">
        <v>71</v>
      </c>
      <c r="P1547">
        <v>0</v>
      </c>
      <c r="Q1547">
        <v>0</v>
      </c>
      <c r="R1547">
        <v>0</v>
      </c>
      <c r="S1547" t="s">
        <v>34</v>
      </c>
      <c r="T1547" t="s">
        <v>2484</v>
      </c>
      <c r="U1547">
        <v>1</v>
      </c>
    </row>
    <row r="1548" spans="1:21" x14ac:dyDescent="0.3">
      <c r="A1548" t="s">
        <v>2480</v>
      </c>
      <c r="B1548" t="s">
        <v>2481</v>
      </c>
      <c r="C1548" t="s">
        <v>87</v>
      </c>
      <c r="D1548" t="s">
        <v>222</v>
      </c>
      <c r="E1548" t="s">
        <v>30</v>
      </c>
      <c r="F1548" s="6">
        <v>45657</v>
      </c>
      <c r="G1548">
        <v>100</v>
      </c>
      <c r="I1548">
        <v>0</v>
      </c>
      <c r="J1548">
        <v>0</v>
      </c>
      <c r="K1548" t="s">
        <v>118</v>
      </c>
      <c r="L1548" t="s">
        <v>118</v>
      </c>
      <c r="M1548">
        <v>2024</v>
      </c>
      <c r="N1548" t="s">
        <v>57</v>
      </c>
      <c r="O1548" t="s">
        <v>78</v>
      </c>
      <c r="P1548">
        <v>0</v>
      </c>
      <c r="Q1548">
        <v>0</v>
      </c>
      <c r="R1548">
        <v>0</v>
      </c>
      <c r="S1548" t="s">
        <v>34</v>
      </c>
      <c r="T1548" t="s">
        <v>2485</v>
      </c>
      <c r="U1548">
        <v>1</v>
      </c>
    </row>
    <row r="1549" spans="1:21" x14ac:dyDescent="0.3">
      <c r="A1549" t="s">
        <v>2480</v>
      </c>
      <c r="B1549" t="s">
        <v>2486</v>
      </c>
      <c r="C1549" t="s">
        <v>87</v>
      </c>
      <c r="D1549" t="s">
        <v>222</v>
      </c>
      <c r="E1549" t="s">
        <v>30</v>
      </c>
      <c r="F1549" s="6">
        <v>45838</v>
      </c>
      <c r="G1549">
        <v>100</v>
      </c>
      <c r="H1549" t="s">
        <v>424</v>
      </c>
      <c r="I1549">
        <v>0</v>
      </c>
      <c r="J1549">
        <v>0</v>
      </c>
      <c r="K1549" t="s">
        <v>102</v>
      </c>
      <c r="M1549">
        <v>2025</v>
      </c>
      <c r="N1549" t="s">
        <v>44</v>
      </c>
      <c r="O1549" t="s">
        <v>244</v>
      </c>
      <c r="P1549">
        <v>2</v>
      </c>
      <c r="Q1549">
        <v>2</v>
      </c>
      <c r="R1549">
        <v>0</v>
      </c>
      <c r="S1549" t="s">
        <v>34</v>
      </c>
      <c r="T1549" t="s">
        <v>2487</v>
      </c>
      <c r="U1549">
        <v>30</v>
      </c>
    </row>
    <row r="1550" spans="1:21" x14ac:dyDescent="0.3">
      <c r="A1550" t="s">
        <v>2480</v>
      </c>
      <c r="B1550" t="s">
        <v>2486</v>
      </c>
      <c r="C1550" t="s">
        <v>87</v>
      </c>
      <c r="D1550" t="s">
        <v>222</v>
      </c>
      <c r="E1550" t="s">
        <v>30</v>
      </c>
      <c r="F1550" s="6">
        <v>46022</v>
      </c>
      <c r="G1550">
        <v>100</v>
      </c>
      <c r="H1550" t="s">
        <v>424</v>
      </c>
      <c r="I1550">
        <v>0</v>
      </c>
      <c r="J1550">
        <v>0</v>
      </c>
      <c r="K1550" t="s">
        <v>102</v>
      </c>
      <c r="M1550">
        <v>2025</v>
      </c>
      <c r="N1550" t="s">
        <v>57</v>
      </c>
      <c r="O1550" t="s">
        <v>103</v>
      </c>
      <c r="P1550">
        <v>2</v>
      </c>
      <c r="Q1550">
        <v>2</v>
      </c>
      <c r="R1550">
        <v>0</v>
      </c>
      <c r="S1550" t="s">
        <v>34</v>
      </c>
      <c r="T1550" t="s">
        <v>2488</v>
      </c>
      <c r="U1550">
        <v>31</v>
      </c>
    </row>
    <row r="1551" spans="1:21" x14ac:dyDescent="0.3">
      <c r="A1551" t="s">
        <v>2489</v>
      </c>
      <c r="B1551" t="s">
        <v>2490</v>
      </c>
      <c r="C1551" t="s">
        <v>87</v>
      </c>
      <c r="D1551" t="s">
        <v>222</v>
      </c>
      <c r="E1551" t="s">
        <v>30</v>
      </c>
      <c r="F1551" s="6">
        <v>45107</v>
      </c>
      <c r="G1551">
        <v>5</v>
      </c>
      <c r="H1551">
        <v>5</v>
      </c>
      <c r="I1551">
        <v>1</v>
      </c>
      <c r="J1551">
        <v>1</v>
      </c>
      <c r="K1551" t="s">
        <v>118</v>
      </c>
      <c r="L1551" t="s">
        <v>118</v>
      </c>
      <c r="M1551">
        <v>2023</v>
      </c>
      <c r="N1551" t="s">
        <v>44</v>
      </c>
      <c r="O1551" t="s">
        <v>33</v>
      </c>
      <c r="P1551">
        <v>0</v>
      </c>
      <c r="Q1551">
        <v>0</v>
      </c>
      <c r="R1551">
        <v>0</v>
      </c>
      <c r="S1551" t="s">
        <v>34</v>
      </c>
      <c r="T1551" t="s">
        <v>2491</v>
      </c>
      <c r="U1551">
        <v>1</v>
      </c>
    </row>
    <row r="1552" spans="1:21" x14ac:dyDescent="0.3">
      <c r="A1552" t="s">
        <v>2489</v>
      </c>
      <c r="B1552" t="s">
        <v>2490</v>
      </c>
      <c r="C1552" t="s">
        <v>87</v>
      </c>
      <c r="D1552" t="s">
        <v>222</v>
      </c>
      <c r="E1552" t="s">
        <v>30</v>
      </c>
      <c r="F1552" s="6">
        <v>45291</v>
      </c>
      <c r="M1552">
        <v>2023</v>
      </c>
      <c r="N1552" t="s">
        <v>57</v>
      </c>
      <c r="O1552" t="s">
        <v>47</v>
      </c>
      <c r="P1552">
        <v>0</v>
      </c>
      <c r="Q1552">
        <v>0</v>
      </c>
      <c r="R1552">
        <v>0</v>
      </c>
      <c r="S1552" t="s">
        <v>34</v>
      </c>
      <c r="T1552" t="s">
        <v>2492</v>
      </c>
      <c r="U1552">
        <v>1</v>
      </c>
    </row>
    <row r="1553" spans="1:21" x14ac:dyDescent="0.3">
      <c r="A1553" t="s">
        <v>2489</v>
      </c>
      <c r="B1553" t="s">
        <v>2493</v>
      </c>
      <c r="C1553" t="s">
        <v>87</v>
      </c>
      <c r="D1553" t="s">
        <v>222</v>
      </c>
      <c r="E1553" t="s">
        <v>30</v>
      </c>
      <c r="F1553" s="6">
        <v>45473</v>
      </c>
      <c r="G1553">
        <v>3</v>
      </c>
      <c r="H1553">
        <v>3</v>
      </c>
      <c r="I1553">
        <v>1</v>
      </c>
      <c r="J1553">
        <v>1</v>
      </c>
      <c r="K1553" t="s">
        <v>118</v>
      </c>
      <c r="L1553" t="s">
        <v>118</v>
      </c>
      <c r="M1553">
        <v>2024</v>
      </c>
      <c r="N1553" t="s">
        <v>44</v>
      </c>
      <c r="O1553" t="s">
        <v>71</v>
      </c>
      <c r="P1553">
        <v>0</v>
      </c>
      <c r="Q1553">
        <v>0</v>
      </c>
      <c r="R1553">
        <v>0</v>
      </c>
      <c r="S1553" t="s">
        <v>34</v>
      </c>
      <c r="T1553" t="s">
        <v>2494</v>
      </c>
      <c r="U1553">
        <v>1</v>
      </c>
    </row>
    <row r="1554" spans="1:21" x14ac:dyDescent="0.3">
      <c r="A1554" t="s">
        <v>2489</v>
      </c>
      <c r="B1554" t="s">
        <v>2490</v>
      </c>
      <c r="C1554" t="s">
        <v>87</v>
      </c>
      <c r="D1554" t="s">
        <v>222</v>
      </c>
      <c r="E1554" t="s">
        <v>30</v>
      </c>
      <c r="F1554" s="6">
        <v>45657</v>
      </c>
      <c r="M1554">
        <v>2024</v>
      </c>
      <c r="N1554" t="s">
        <v>57</v>
      </c>
      <c r="O1554" t="s">
        <v>78</v>
      </c>
      <c r="P1554">
        <v>0</v>
      </c>
      <c r="Q1554">
        <v>0</v>
      </c>
      <c r="R1554">
        <v>0</v>
      </c>
      <c r="S1554" t="s">
        <v>34</v>
      </c>
      <c r="T1554" t="s">
        <v>2495</v>
      </c>
      <c r="U1554">
        <v>1</v>
      </c>
    </row>
    <row r="1555" spans="1:21" x14ac:dyDescent="0.3">
      <c r="A1555" t="s">
        <v>2489</v>
      </c>
      <c r="B1555" t="s">
        <v>2496</v>
      </c>
      <c r="C1555" t="s">
        <v>87</v>
      </c>
      <c r="D1555" t="s">
        <v>222</v>
      </c>
      <c r="E1555" t="s">
        <v>30</v>
      </c>
      <c r="F1555" s="6">
        <v>45838</v>
      </c>
      <c r="G1555">
        <v>100</v>
      </c>
      <c r="H1555" t="s">
        <v>95</v>
      </c>
      <c r="I1555">
        <v>1</v>
      </c>
      <c r="J1555">
        <v>1</v>
      </c>
      <c r="K1555" t="s">
        <v>102</v>
      </c>
      <c r="L1555" t="s">
        <v>102</v>
      </c>
      <c r="M1555">
        <v>2025</v>
      </c>
      <c r="N1555" t="s">
        <v>44</v>
      </c>
      <c r="O1555" t="s">
        <v>244</v>
      </c>
      <c r="P1555">
        <v>2</v>
      </c>
      <c r="Q1555">
        <v>2</v>
      </c>
      <c r="R1555">
        <v>0</v>
      </c>
      <c r="S1555" t="s">
        <v>34</v>
      </c>
      <c r="T1555" t="s">
        <v>2497</v>
      </c>
      <c r="U1555">
        <v>30</v>
      </c>
    </row>
    <row r="1556" spans="1:21" x14ac:dyDescent="0.3">
      <c r="A1556" t="s">
        <v>2489</v>
      </c>
      <c r="B1556" t="s">
        <v>2496</v>
      </c>
      <c r="C1556" t="s">
        <v>87</v>
      </c>
      <c r="D1556" t="s">
        <v>222</v>
      </c>
      <c r="E1556" t="s">
        <v>30</v>
      </c>
      <c r="F1556" s="6">
        <v>46022</v>
      </c>
      <c r="G1556">
        <v>100</v>
      </c>
      <c r="H1556" t="s">
        <v>95</v>
      </c>
      <c r="I1556">
        <v>1</v>
      </c>
      <c r="J1556">
        <v>1</v>
      </c>
      <c r="K1556" t="s">
        <v>102</v>
      </c>
      <c r="L1556" t="s">
        <v>102</v>
      </c>
      <c r="M1556">
        <v>2025</v>
      </c>
      <c r="N1556" t="s">
        <v>57</v>
      </c>
      <c r="O1556" t="s">
        <v>103</v>
      </c>
      <c r="P1556">
        <v>2</v>
      </c>
      <c r="Q1556">
        <v>2</v>
      </c>
      <c r="R1556">
        <v>0</v>
      </c>
      <c r="S1556" t="s">
        <v>34</v>
      </c>
      <c r="T1556" t="s">
        <v>2498</v>
      </c>
      <c r="U1556">
        <v>31</v>
      </c>
    </row>
    <row r="1557" spans="1:21" x14ac:dyDescent="0.3">
      <c r="A1557" t="s">
        <v>2499</v>
      </c>
      <c r="B1557" t="s">
        <v>2500</v>
      </c>
      <c r="C1557" t="s">
        <v>2501</v>
      </c>
      <c r="D1557" t="s">
        <v>98</v>
      </c>
      <c r="E1557" t="s">
        <v>30</v>
      </c>
      <c r="F1557" s="6">
        <v>45291</v>
      </c>
      <c r="G1557">
        <v>30</v>
      </c>
      <c r="H1557">
        <v>28.571428571428601</v>
      </c>
      <c r="I1557">
        <v>0.95238095238095333</v>
      </c>
      <c r="J1557">
        <v>0.95238095238095333</v>
      </c>
      <c r="K1557" t="s">
        <v>31</v>
      </c>
      <c r="L1557" t="s">
        <v>31</v>
      </c>
      <c r="M1557">
        <v>2023</v>
      </c>
      <c r="N1557" t="s">
        <v>57</v>
      </c>
      <c r="O1557" t="s">
        <v>47</v>
      </c>
      <c r="P1557">
        <v>2</v>
      </c>
      <c r="Q1557">
        <v>2</v>
      </c>
      <c r="R1557">
        <v>1</v>
      </c>
      <c r="S1557" t="s">
        <v>34</v>
      </c>
      <c r="T1557" t="s">
        <v>2502</v>
      </c>
      <c r="U1557">
        <v>1</v>
      </c>
    </row>
    <row r="1558" spans="1:21" x14ac:dyDescent="0.3">
      <c r="A1558" t="s">
        <v>2499</v>
      </c>
      <c r="B1558" t="s">
        <v>2500</v>
      </c>
      <c r="C1558" t="s">
        <v>2501</v>
      </c>
      <c r="D1558" t="s">
        <v>98</v>
      </c>
      <c r="E1558" t="s">
        <v>30</v>
      </c>
      <c r="F1558" s="6">
        <v>45657</v>
      </c>
      <c r="G1558">
        <v>30</v>
      </c>
      <c r="H1558">
        <v>30.3</v>
      </c>
      <c r="I1558">
        <v>1.01</v>
      </c>
      <c r="J1558">
        <v>1.01</v>
      </c>
      <c r="K1558" t="s">
        <v>31</v>
      </c>
      <c r="L1558" t="s">
        <v>31</v>
      </c>
      <c r="M1558">
        <v>2024</v>
      </c>
      <c r="N1558" t="s">
        <v>57</v>
      </c>
      <c r="O1558" t="s">
        <v>78</v>
      </c>
      <c r="P1558">
        <v>2</v>
      </c>
      <c r="Q1558">
        <v>2</v>
      </c>
      <c r="R1558">
        <v>0</v>
      </c>
      <c r="S1558" t="s">
        <v>34</v>
      </c>
      <c r="T1558" t="s">
        <v>2503</v>
      </c>
      <c r="U1558">
        <v>1</v>
      </c>
    </row>
    <row r="1559" spans="1:21" x14ac:dyDescent="0.3">
      <c r="A1559" t="s">
        <v>2499</v>
      </c>
      <c r="B1559" t="s">
        <v>2500</v>
      </c>
      <c r="C1559" t="s">
        <v>2501</v>
      </c>
      <c r="D1559" t="s">
        <v>98</v>
      </c>
      <c r="E1559" t="s">
        <v>30</v>
      </c>
      <c r="F1559" s="6">
        <v>46022</v>
      </c>
      <c r="G1559">
        <v>30</v>
      </c>
      <c r="H1559" t="s">
        <v>2504</v>
      </c>
      <c r="I1559">
        <v>1.176333333333333</v>
      </c>
      <c r="J1559">
        <v>1.176333333333333</v>
      </c>
      <c r="K1559" t="s">
        <v>2505</v>
      </c>
      <c r="L1559" t="s">
        <v>2506</v>
      </c>
      <c r="M1559">
        <v>2025</v>
      </c>
      <c r="N1559" t="s">
        <v>57</v>
      </c>
      <c r="O1559" t="s">
        <v>103</v>
      </c>
      <c r="P1559">
        <v>2</v>
      </c>
      <c r="Q1559">
        <v>2</v>
      </c>
      <c r="R1559">
        <v>1</v>
      </c>
      <c r="S1559" t="s">
        <v>34</v>
      </c>
      <c r="T1559" t="s">
        <v>2507</v>
      </c>
      <c r="U1559">
        <v>31</v>
      </c>
    </row>
    <row r="1560" spans="1:21" x14ac:dyDescent="0.3">
      <c r="A1560" t="s">
        <v>2508</v>
      </c>
      <c r="B1560" t="s">
        <v>2509</v>
      </c>
      <c r="C1560" t="s">
        <v>251</v>
      </c>
      <c r="D1560" t="s">
        <v>233</v>
      </c>
      <c r="E1560" t="s">
        <v>30</v>
      </c>
      <c r="F1560" s="6">
        <v>45016</v>
      </c>
      <c r="G1560">
        <v>90</v>
      </c>
      <c r="H1560">
        <v>100</v>
      </c>
      <c r="I1560">
        <v>1</v>
      </c>
      <c r="J1560">
        <v>1</v>
      </c>
      <c r="K1560" t="s">
        <v>31</v>
      </c>
      <c r="L1560" t="s">
        <v>31</v>
      </c>
      <c r="M1560">
        <v>2023</v>
      </c>
      <c r="N1560" t="s">
        <v>38</v>
      </c>
      <c r="O1560" t="s">
        <v>33</v>
      </c>
      <c r="P1560">
        <v>0</v>
      </c>
      <c r="Q1560">
        <v>0</v>
      </c>
      <c r="R1560">
        <v>0</v>
      </c>
      <c r="S1560" t="s">
        <v>99</v>
      </c>
      <c r="T1560" t="s">
        <v>2510</v>
      </c>
      <c r="U1560">
        <v>1</v>
      </c>
    </row>
    <row r="1561" spans="1:21" x14ac:dyDescent="0.3">
      <c r="A1561" t="s">
        <v>2508</v>
      </c>
      <c r="B1561" t="s">
        <v>2509</v>
      </c>
      <c r="C1561" t="s">
        <v>251</v>
      </c>
      <c r="D1561" t="s">
        <v>233</v>
      </c>
      <c r="E1561" t="s">
        <v>30</v>
      </c>
      <c r="F1561" s="6">
        <v>45107</v>
      </c>
      <c r="G1561">
        <v>90</v>
      </c>
      <c r="H1561">
        <v>100</v>
      </c>
      <c r="I1561">
        <v>1</v>
      </c>
      <c r="J1561">
        <v>1</v>
      </c>
      <c r="K1561" t="s">
        <v>31</v>
      </c>
      <c r="L1561" t="s">
        <v>31</v>
      </c>
      <c r="M1561">
        <v>2023</v>
      </c>
      <c r="N1561" t="s">
        <v>44</v>
      </c>
      <c r="O1561" t="s">
        <v>33</v>
      </c>
      <c r="P1561">
        <v>0</v>
      </c>
      <c r="Q1561">
        <v>0</v>
      </c>
      <c r="R1561">
        <v>0</v>
      </c>
      <c r="S1561" t="s">
        <v>99</v>
      </c>
      <c r="T1561" t="s">
        <v>2511</v>
      </c>
      <c r="U1561">
        <v>1</v>
      </c>
    </row>
    <row r="1562" spans="1:21" x14ac:dyDescent="0.3">
      <c r="A1562" t="s">
        <v>2508</v>
      </c>
      <c r="B1562" t="s">
        <v>2509</v>
      </c>
      <c r="C1562" t="s">
        <v>251</v>
      </c>
      <c r="D1562" t="s">
        <v>233</v>
      </c>
      <c r="E1562" t="s">
        <v>30</v>
      </c>
      <c r="F1562" s="6">
        <v>45199</v>
      </c>
      <c r="G1562">
        <v>90</v>
      </c>
      <c r="H1562">
        <v>100</v>
      </c>
      <c r="I1562">
        <v>1</v>
      </c>
      <c r="J1562">
        <v>1</v>
      </c>
      <c r="K1562" t="s">
        <v>31</v>
      </c>
      <c r="L1562" t="s">
        <v>31</v>
      </c>
      <c r="M1562">
        <v>2023</v>
      </c>
      <c r="N1562" t="s">
        <v>51</v>
      </c>
      <c r="O1562" t="s">
        <v>47</v>
      </c>
      <c r="P1562">
        <v>0</v>
      </c>
      <c r="Q1562">
        <v>0</v>
      </c>
      <c r="R1562">
        <v>0</v>
      </c>
      <c r="S1562" t="s">
        <v>99</v>
      </c>
      <c r="T1562" t="s">
        <v>2512</v>
      </c>
      <c r="U1562">
        <v>1</v>
      </c>
    </row>
    <row r="1563" spans="1:21" x14ac:dyDescent="0.3">
      <c r="A1563" t="s">
        <v>2508</v>
      </c>
      <c r="B1563" t="s">
        <v>2509</v>
      </c>
      <c r="C1563" t="s">
        <v>251</v>
      </c>
      <c r="D1563" t="s">
        <v>233</v>
      </c>
      <c r="E1563" t="s">
        <v>30</v>
      </c>
      <c r="F1563" s="6">
        <v>45291</v>
      </c>
      <c r="G1563">
        <v>90</v>
      </c>
      <c r="H1563">
        <v>100</v>
      </c>
      <c r="I1563">
        <v>1</v>
      </c>
      <c r="J1563">
        <v>1</v>
      </c>
      <c r="K1563" t="s">
        <v>31</v>
      </c>
      <c r="L1563" t="s">
        <v>31</v>
      </c>
      <c r="M1563">
        <v>2023</v>
      </c>
      <c r="N1563" t="s">
        <v>57</v>
      </c>
      <c r="O1563" t="s">
        <v>47</v>
      </c>
      <c r="P1563">
        <v>0</v>
      </c>
      <c r="Q1563">
        <v>0</v>
      </c>
      <c r="R1563">
        <v>0</v>
      </c>
      <c r="S1563" t="s">
        <v>99</v>
      </c>
      <c r="T1563" t="s">
        <v>2513</v>
      </c>
      <c r="U1563">
        <v>1</v>
      </c>
    </row>
    <row r="1564" spans="1:21" x14ac:dyDescent="0.3">
      <c r="A1564" t="s">
        <v>2508</v>
      </c>
      <c r="B1564" t="s">
        <v>2509</v>
      </c>
      <c r="C1564" t="s">
        <v>251</v>
      </c>
      <c r="D1564" t="s">
        <v>233</v>
      </c>
      <c r="E1564" t="s">
        <v>30</v>
      </c>
      <c r="F1564" s="6">
        <v>45382</v>
      </c>
      <c r="G1564">
        <v>95</v>
      </c>
      <c r="H1564">
        <v>100</v>
      </c>
      <c r="I1564">
        <v>1</v>
      </c>
      <c r="J1564">
        <v>1</v>
      </c>
      <c r="K1564" t="s">
        <v>31</v>
      </c>
      <c r="L1564" t="s">
        <v>31</v>
      </c>
      <c r="M1564">
        <v>2024</v>
      </c>
      <c r="N1564" t="s">
        <v>38</v>
      </c>
      <c r="O1564" t="s">
        <v>71</v>
      </c>
      <c r="P1564">
        <v>0</v>
      </c>
      <c r="Q1564">
        <v>0</v>
      </c>
      <c r="R1564">
        <v>0</v>
      </c>
      <c r="S1564" t="s">
        <v>99</v>
      </c>
      <c r="T1564" t="s">
        <v>2514</v>
      </c>
      <c r="U1564">
        <v>1</v>
      </c>
    </row>
    <row r="1565" spans="1:21" x14ac:dyDescent="0.3">
      <c r="A1565" t="s">
        <v>2508</v>
      </c>
      <c r="B1565" t="s">
        <v>2509</v>
      </c>
      <c r="C1565" t="s">
        <v>251</v>
      </c>
      <c r="D1565" t="s">
        <v>233</v>
      </c>
      <c r="E1565" t="s">
        <v>30</v>
      </c>
      <c r="F1565" s="6">
        <v>45473</v>
      </c>
      <c r="G1565">
        <v>95</v>
      </c>
      <c r="H1565">
        <v>100</v>
      </c>
      <c r="I1565">
        <v>1</v>
      </c>
      <c r="J1565">
        <v>1</v>
      </c>
      <c r="K1565" t="s">
        <v>31</v>
      </c>
      <c r="L1565" t="s">
        <v>31</v>
      </c>
      <c r="M1565">
        <v>2024</v>
      </c>
      <c r="N1565" t="s">
        <v>44</v>
      </c>
      <c r="O1565" t="s">
        <v>71</v>
      </c>
      <c r="P1565">
        <v>0</v>
      </c>
      <c r="Q1565">
        <v>0</v>
      </c>
      <c r="R1565">
        <v>0</v>
      </c>
      <c r="S1565" t="s">
        <v>99</v>
      </c>
      <c r="T1565" t="s">
        <v>2515</v>
      </c>
      <c r="U1565">
        <v>1</v>
      </c>
    </row>
    <row r="1566" spans="1:21" x14ac:dyDescent="0.3">
      <c r="A1566" t="s">
        <v>2508</v>
      </c>
      <c r="B1566" t="s">
        <v>2509</v>
      </c>
      <c r="C1566" t="s">
        <v>251</v>
      </c>
      <c r="D1566" t="s">
        <v>233</v>
      </c>
      <c r="E1566" t="s">
        <v>30</v>
      </c>
      <c r="F1566" s="6">
        <v>45565</v>
      </c>
      <c r="G1566">
        <v>95</v>
      </c>
      <c r="H1566">
        <v>100</v>
      </c>
      <c r="I1566">
        <v>1</v>
      </c>
      <c r="J1566">
        <v>1</v>
      </c>
      <c r="K1566" t="s">
        <v>31</v>
      </c>
      <c r="L1566" t="s">
        <v>31</v>
      </c>
      <c r="M1566">
        <v>2024</v>
      </c>
      <c r="N1566" t="s">
        <v>51</v>
      </c>
      <c r="O1566" t="s">
        <v>78</v>
      </c>
      <c r="P1566">
        <v>0</v>
      </c>
      <c r="Q1566">
        <v>0</v>
      </c>
      <c r="R1566">
        <v>0</v>
      </c>
      <c r="S1566" t="s">
        <v>99</v>
      </c>
      <c r="T1566" t="s">
        <v>2516</v>
      </c>
      <c r="U1566">
        <v>1</v>
      </c>
    </row>
    <row r="1567" spans="1:21" x14ac:dyDescent="0.3">
      <c r="A1567" t="s">
        <v>2508</v>
      </c>
      <c r="B1567" t="s">
        <v>2509</v>
      </c>
      <c r="C1567" t="s">
        <v>251</v>
      </c>
      <c r="D1567" t="s">
        <v>233</v>
      </c>
      <c r="E1567" t="s">
        <v>30</v>
      </c>
      <c r="F1567" s="6">
        <v>45657</v>
      </c>
      <c r="G1567">
        <v>95</v>
      </c>
      <c r="H1567">
        <v>100</v>
      </c>
      <c r="I1567">
        <v>1</v>
      </c>
      <c r="J1567">
        <v>1</v>
      </c>
      <c r="K1567" t="s">
        <v>31</v>
      </c>
      <c r="L1567" t="s">
        <v>31</v>
      </c>
      <c r="M1567">
        <v>2024</v>
      </c>
      <c r="N1567" t="s">
        <v>57</v>
      </c>
      <c r="O1567" t="s">
        <v>78</v>
      </c>
      <c r="P1567">
        <v>0</v>
      </c>
      <c r="Q1567">
        <v>0</v>
      </c>
      <c r="R1567">
        <v>0</v>
      </c>
      <c r="S1567" t="s">
        <v>99</v>
      </c>
      <c r="T1567" t="s">
        <v>2517</v>
      </c>
      <c r="U1567">
        <v>1</v>
      </c>
    </row>
    <row r="1568" spans="1:21" x14ac:dyDescent="0.3">
      <c r="A1568" t="s">
        <v>2508</v>
      </c>
      <c r="B1568" t="s">
        <v>2509</v>
      </c>
      <c r="C1568" t="s">
        <v>251</v>
      </c>
      <c r="D1568" t="s">
        <v>233</v>
      </c>
      <c r="E1568" t="s">
        <v>30</v>
      </c>
      <c r="F1568" s="6">
        <v>45747</v>
      </c>
      <c r="G1568">
        <v>95</v>
      </c>
      <c r="H1568">
        <v>100</v>
      </c>
      <c r="I1568">
        <v>1</v>
      </c>
      <c r="J1568">
        <v>1</v>
      </c>
      <c r="K1568" t="s">
        <v>31</v>
      </c>
      <c r="L1568" t="s">
        <v>31</v>
      </c>
      <c r="M1568">
        <v>2025</v>
      </c>
      <c r="N1568" t="s">
        <v>38</v>
      </c>
      <c r="O1568" t="s">
        <v>244</v>
      </c>
      <c r="P1568">
        <v>0</v>
      </c>
      <c r="Q1568">
        <v>0</v>
      </c>
      <c r="R1568">
        <v>0</v>
      </c>
      <c r="S1568" t="s">
        <v>99</v>
      </c>
      <c r="T1568" t="s">
        <v>2518</v>
      </c>
      <c r="U1568">
        <v>1</v>
      </c>
    </row>
    <row r="1569" spans="1:21" x14ac:dyDescent="0.3">
      <c r="A1569" t="s">
        <v>2508</v>
      </c>
      <c r="B1569" t="s">
        <v>2509</v>
      </c>
      <c r="C1569" t="s">
        <v>251</v>
      </c>
      <c r="D1569" t="s">
        <v>233</v>
      </c>
      <c r="E1569" t="s">
        <v>30</v>
      </c>
      <c r="F1569" s="6">
        <v>45838</v>
      </c>
      <c r="G1569">
        <v>95</v>
      </c>
      <c r="H1569">
        <v>100</v>
      </c>
      <c r="I1569">
        <v>1</v>
      </c>
      <c r="J1569">
        <v>1</v>
      </c>
      <c r="K1569" t="s">
        <v>31</v>
      </c>
      <c r="L1569" t="s">
        <v>31</v>
      </c>
      <c r="M1569">
        <v>2025</v>
      </c>
      <c r="N1569" t="s">
        <v>44</v>
      </c>
      <c r="O1569" t="s">
        <v>244</v>
      </c>
      <c r="P1569">
        <v>0</v>
      </c>
      <c r="Q1569">
        <v>0</v>
      </c>
      <c r="R1569">
        <v>0</v>
      </c>
      <c r="S1569" t="s">
        <v>99</v>
      </c>
      <c r="T1569" t="s">
        <v>2519</v>
      </c>
      <c r="U1569">
        <v>1</v>
      </c>
    </row>
    <row r="1570" spans="1:21" x14ac:dyDescent="0.3">
      <c r="A1570" t="s">
        <v>2520</v>
      </c>
      <c r="B1570" t="s">
        <v>2521</v>
      </c>
      <c r="C1570" t="s">
        <v>232</v>
      </c>
      <c r="D1570" t="s">
        <v>222</v>
      </c>
      <c r="E1570" t="s">
        <v>30</v>
      </c>
      <c r="F1570" s="6">
        <v>45107</v>
      </c>
      <c r="G1570">
        <v>600000000</v>
      </c>
      <c r="H1570">
        <v>743218000</v>
      </c>
      <c r="I1570">
        <v>1.238696666666667</v>
      </c>
      <c r="J1570">
        <v>1.238696666666667</v>
      </c>
      <c r="K1570" t="s">
        <v>335</v>
      </c>
      <c r="L1570" t="s">
        <v>335</v>
      </c>
      <c r="M1570">
        <v>2023</v>
      </c>
      <c r="N1570" t="s">
        <v>44</v>
      </c>
      <c r="O1570" t="s">
        <v>33</v>
      </c>
      <c r="P1570">
        <v>0</v>
      </c>
      <c r="Q1570">
        <v>0</v>
      </c>
      <c r="R1570">
        <v>0</v>
      </c>
      <c r="S1570" t="s">
        <v>336</v>
      </c>
      <c r="T1570" t="s">
        <v>2522</v>
      </c>
      <c r="U1570">
        <v>1</v>
      </c>
    </row>
    <row r="1571" spans="1:21" x14ac:dyDescent="0.3">
      <c r="A1571" t="s">
        <v>2520</v>
      </c>
      <c r="B1571" t="s">
        <v>2521</v>
      </c>
      <c r="C1571" t="s">
        <v>232</v>
      </c>
      <c r="D1571" t="s">
        <v>222</v>
      </c>
      <c r="E1571" t="s">
        <v>30</v>
      </c>
      <c r="F1571" s="6">
        <v>45291</v>
      </c>
      <c r="G1571">
        <v>900000000</v>
      </c>
      <c r="H1571">
        <v>1175172000</v>
      </c>
      <c r="I1571">
        <v>1.3</v>
      </c>
      <c r="J1571">
        <v>1.3057466666666671</v>
      </c>
      <c r="K1571" t="s">
        <v>335</v>
      </c>
      <c r="L1571" t="s">
        <v>335</v>
      </c>
      <c r="M1571">
        <v>2023</v>
      </c>
      <c r="N1571" t="s">
        <v>57</v>
      </c>
      <c r="O1571" t="s">
        <v>47</v>
      </c>
      <c r="P1571">
        <v>0</v>
      </c>
      <c r="Q1571">
        <v>0</v>
      </c>
      <c r="R1571">
        <v>0</v>
      </c>
      <c r="S1571" t="s">
        <v>336</v>
      </c>
      <c r="T1571" t="s">
        <v>2523</v>
      </c>
      <c r="U1571">
        <v>1</v>
      </c>
    </row>
    <row r="1572" spans="1:21" x14ac:dyDescent="0.3">
      <c r="A1572" t="s">
        <v>2520</v>
      </c>
      <c r="B1572" t="s">
        <v>2524</v>
      </c>
      <c r="C1572" t="s">
        <v>232</v>
      </c>
      <c r="D1572" t="s">
        <v>222</v>
      </c>
      <c r="E1572" t="s">
        <v>30</v>
      </c>
      <c r="F1572" s="6">
        <v>45473</v>
      </c>
      <c r="G1572">
        <v>600000000</v>
      </c>
      <c r="H1572">
        <v>750000000</v>
      </c>
      <c r="I1572">
        <v>1.25</v>
      </c>
      <c r="J1572">
        <v>1.25</v>
      </c>
      <c r="K1572" t="s">
        <v>335</v>
      </c>
      <c r="L1572" t="s">
        <v>335</v>
      </c>
      <c r="M1572">
        <v>2024</v>
      </c>
      <c r="N1572" t="s">
        <v>44</v>
      </c>
      <c r="O1572" t="s">
        <v>71</v>
      </c>
      <c r="P1572">
        <v>0</v>
      </c>
      <c r="Q1572">
        <v>0</v>
      </c>
      <c r="R1572">
        <v>0</v>
      </c>
      <c r="S1572" t="s">
        <v>336</v>
      </c>
      <c r="T1572" t="s">
        <v>2525</v>
      </c>
      <c r="U1572">
        <v>1</v>
      </c>
    </row>
    <row r="1573" spans="1:21" x14ac:dyDescent="0.3">
      <c r="A1573" t="s">
        <v>2520</v>
      </c>
      <c r="B1573" t="s">
        <v>2524</v>
      </c>
      <c r="C1573" t="s">
        <v>232</v>
      </c>
      <c r="D1573" t="s">
        <v>222</v>
      </c>
      <c r="E1573" t="s">
        <v>30</v>
      </c>
      <c r="F1573" s="6">
        <v>45657</v>
      </c>
      <c r="G1573">
        <v>900000000</v>
      </c>
      <c r="H1573">
        <v>922000000</v>
      </c>
      <c r="I1573">
        <v>1.024444444444444</v>
      </c>
      <c r="J1573">
        <v>1.024444444444444</v>
      </c>
      <c r="K1573" t="s">
        <v>335</v>
      </c>
      <c r="L1573" t="s">
        <v>335</v>
      </c>
      <c r="M1573">
        <v>2024</v>
      </c>
      <c r="N1573" t="s">
        <v>57</v>
      </c>
      <c r="O1573" t="s">
        <v>78</v>
      </c>
      <c r="P1573">
        <v>0</v>
      </c>
      <c r="Q1573">
        <v>0</v>
      </c>
      <c r="R1573">
        <v>0</v>
      </c>
      <c r="S1573" t="s">
        <v>336</v>
      </c>
      <c r="T1573" t="s">
        <v>2526</v>
      </c>
      <c r="U1573">
        <v>1</v>
      </c>
    </row>
    <row r="1574" spans="1:21" x14ac:dyDescent="0.3">
      <c r="A1574" t="s">
        <v>2520</v>
      </c>
      <c r="B1574" t="s">
        <v>2527</v>
      </c>
      <c r="C1574" t="s">
        <v>232</v>
      </c>
      <c r="D1574" t="s">
        <v>222</v>
      </c>
      <c r="E1574" t="s">
        <v>30</v>
      </c>
      <c r="F1574" s="6">
        <v>45838</v>
      </c>
      <c r="G1574">
        <v>100</v>
      </c>
      <c r="H1574" t="s">
        <v>2528</v>
      </c>
      <c r="I1574">
        <v>1.0225</v>
      </c>
      <c r="J1574">
        <v>1.0225</v>
      </c>
      <c r="K1574" t="s">
        <v>102</v>
      </c>
      <c r="L1574" t="s">
        <v>2529</v>
      </c>
      <c r="M1574">
        <v>2025</v>
      </c>
      <c r="N1574" t="s">
        <v>44</v>
      </c>
      <c r="O1574" t="s">
        <v>244</v>
      </c>
      <c r="P1574">
        <v>2</v>
      </c>
      <c r="Q1574">
        <v>2</v>
      </c>
      <c r="R1574">
        <v>0</v>
      </c>
      <c r="S1574" t="s">
        <v>336</v>
      </c>
      <c r="T1574" t="s">
        <v>2530</v>
      </c>
      <c r="U1574">
        <v>30</v>
      </c>
    </row>
    <row r="1575" spans="1:21" x14ac:dyDescent="0.3">
      <c r="A1575" t="s">
        <v>2520</v>
      </c>
      <c r="B1575" t="s">
        <v>2527</v>
      </c>
      <c r="C1575" t="s">
        <v>232</v>
      </c>
      <c r="D1575" t="s">
        <v>222</v>
      </c>
      <c r="E1575" t="s">
        <v>30</v>
      </c>
      <c r="F1575" s="6">
        <v>46022</v>
      </c>
      <c r="G1575">
        <v>100</v>
      </c>
      <c r="H1575" t="s">
        <v>2531</v>
      </c>
      <c r="I1575">
        <v>1.0265</v>
      </c>
      <c r="J1575">
        <v>1.0265</v>
      </c>
      <c r="K1575" t="s">
        <v>102</v>
      </c>
      <c r="L1575" t="s">
        <v>2532</v>
      </c>
      <c r="M1575">
        <v>2025</v>
      </c>
      <c r="N1575" t="s">
        <v>57</v>
      </c>
      <c r="O1575" t="s">
        <v>103</v>
      </c>
      <c r="P1575">
        <v>2</v>
      </c>
      <c r="Q1575">
        <v>2</v>
      </c>
      <c r="R1575">
        <v>0</v>
      </c>
      <c r="S1575" t="s">
        <v>336</v>
      </c>
      <c r="T1575" t="s">
        <v>2533</v>
      </c>
      <c r="U1575">
        <v>31</v>
      </c>
    </row>
    <row r="1576" spans="1:21" x14ac:dyDescent="0.3">
      <c r="A1576" t="s">
        <v>2534</v>
      </c>
      <c r="B1576" t="s">
        <v>2535</v>
      </c>
      <c r="C1576" t="s">
        <v>262</v>
      </c>
      <c r="D1576" t="s">
        <v>222</v>
      </c>
      <c r="E1576" t="s">
        <v>30</v>
      </c>
      <c r="F1576" s="6">
        <v>45107</v>
      </c>
      <c r="G1576">
        <v>90</v>
      </c>
      <c r="H1576">
        <v>97.74</v>
      </c>
      <c r="I1576">
        <v>1.0860000000000001</v>
      </c>
      <c r="J1576">
        <v>1.0860000000000001</v>
      </c>
      <c r="K1576" t="s">
        <v>31</v>
      </c>
      <c r="L1576" t="s">
        <v>31</v>
      </c>
      <c r="M1576">
        <v>2023</v>
      </c>
      <c r="N1576" t="s">
        <v>44</v>
      </c>
      <c r="O1576" t="s">
        <v>33</v>
      </c>
      <c r="P1576">
        <v>0</v>
      </c>
      <c r="Q1576">
        <v>0</v>
      </c>
      <c r="R1576">
        <v>0</v>
      </c>
      <c r="S1576" t="s">
        <v>99</v>
      </c>
      <c r="T1576" t="s">
        <v>2536</v>
      </c>
      <c r="U1576">
        <v>1</v>
      </c>
    </row>
    <row r="1577" spans="1:21" x14ac:dyDescent="0.3">
      <c r="A1577" t="s">
        <v>2534</v>
      </c>
      <c r="B1577" t="s">
        <v>2535</v>
      </c>
      <c r="C1577" t="s">
        <v>262</v>
      </c>
      <c r="D1577" t="s">
        <v>222</v>
      </c>
      <c r="E1577" t="s">
        <v>30</v>
      </c>
      <c r="F1577" s="6">
        <v>45291</v>
      </c>
      <c r="G1577">
        <v>90</v>
      </c>
      <c r="H1577">
        <v>97.76</v>
      </c>
      <c r="I1577">
        <v>1.086222222222222</v>
      </c>
      <c r="J1577">
        <v>1.086222222222222</v>
      </c>
      <c r="K1577" t="s">
        <v>31</v>
      </c>
      <c r="L1577" t="s">
        <v>31</v>
      </c>
      <c r="M1577">
        <v>2023</v>
      </c>
      <c r="N1577" t="s">
        <v>57</v>
      </c>
      <c r="O1577" t="s">
        <v>47</v>
      </c>
      <c r="P1577">
        <v>0</v>
      </c>
      <c r="Q1577">
        <v>0</v>
      </c>
      <c r="R1577">
        <v>0</v>
      </c>
      <c r="S1577" t="s">
        <v>99</v>
      </c>
      <c r="T1577" t="s">
        <v>2537</v>
      </c>
      <c r="U1577">
        <v>1</v>
      </c>
    </row>
    <row r="1578" spans="1:21" x14ac:dyDescent="0.3">
      <c r="A1578" t="s">
        <v>2534</v>
      </c>
      <c r="B1578" t="s">
        <v>2535</v>
      </c>
      <c r="C1578" t="s">
        <v>262</v>
      </c>
      <c r="D1578" t="s">
        <v>222</v>
      </c>
      <c r="E1578" t="s">
        <v>30</v>
      </c>
      <c r="F1578" s="6">
        <v>45473</v>
      </c>
      <c r="G1578">
        <v>93</v>
      </c>
      <c r="H1578">
        <v>97.34</v>
      </c>
      <c r="I1578">
        <v>1.0466666666666671</v>
      </c>
      <c r="J1578">
        <v>1.0466666666666671</v>
      </c>
      <c r="K1578" t="s">
        <v>31</v>
      </c>
      <c r="L1578" t="s">
        <v>31</v>
      </c>
      <c r="M1578">
        <v>2024</v>
      </c>
      <c r="N1578" t="s">
        <v>44</v>
      </c>
      <c r="O1578" t="s">
        <v>71</v>
      </c>
      <c r="P1578">
        <v>0</v>
      </c>
      <c r="Q1578">
        <v>0</v>
      </c>
      <c r="R1578">
        <v>0</v>
      </c>
      <c r="S1578" t="s">
        <v>99</v>
      </c>
      <c r="T1578" t="s">
        <v>2538</v>
      </c>
      <c r="U1578">
        <v>1</v>
      </c>
    </row>
    <row r="1579" spans="1:21" x14ac:dyDescent="0.3">
      <c r="A1579" t="s">
        <v>2534</v>
      </c>
      <c r="B1579" t="s">
        <v>2535</v>
      </c>
      <c r="C1579" t="s">
        <v>262</v>
      </c>
      <c r="D1579" t="s">
        <v>222</v>
      </c>
      <c r="E1579" t="s">
        <v>30</v>
      </c>
      <c r="F1579" s="6">
        <v>45657</v>
      </c>
      <c r="G1579">
        <v>93</v>
      </c>
      <c r="H1579">
        <v>99.19</v>
      </c>
      <c r="I1579">
        <v>1.0665591397849461</v>
      </c>
      <c r="J1579">
        <v>1.0665591397849461</v>
      </c>
      <c r="K1579" t="s">
        <v>31</v>
      </c>
      <c r="L1579" t="s">
        <v>31</v>
      </c>
      <c r="M1579">
        <v>2024</v>
      </c>
      <c r="N1579" t="s">
        <v>57</v>
      </c>
      <c r="O1579" t="s">
        <v>78</v>
      </c>
      <c r="P1579">
        <v>0</v>
      </c>
      <c r="Q1579">
        <v>0</v>
      </c>
      <c r="R1579">
        <v>0</v>
      </c>
      <c r="S1579" t="s">
        <v>99</v>
      </c>
      <c r="T1579" t="s">
        <v>2539</v>
      </c>
      <c r="U1579">
        <v>1</v>
      </c>
    </row>
    <row r="1580" spans="1:21" x14ac:dyDescent="0.3">
      <c r="A1580" t="s">
        <v>2534</v>
      </c>
      <c r="B1580" t="s">
        <v>2535</v>
      </c>
      <c r="C1580" t="s">
        <v>262</v>
      </c>
      <c r="D1580" t="s">
        <v>222</v>
      </c>
      <c r="E1580" t="s">
        <v>30</v>
      </c>
      <c r="F1580" s="6">
        <v>45838</v>
      </c>
      <c r="G1580">
        <v>93</v>
      </c>
      <c r="H1580" t="s">
        <v>2540</v>
      </c>
      <c r="I1580">
        <v>1.069139784946237</v>
      </c>
      <c r="J1580">
        <v>1.069139784946237</v>
      </c>
      <c r="K1580" t="s">
        <v>971</v>
      </c>
      <c r="L1580" t="s">
        <v>2541</v>
      </c>
      <c r="M1580">
        <v>2025</v>
      </c>
      <c r="N1580" t="s">
        <v>44</v>
      </c>
      <c r="O1580" t="s">
        <v>244</v>
      </c>
      <c r="P1580">
        <v>2</v>
      </c>
      <c r="Q1580">
        <v>2</v>
      </c>
      <c r="R1580">
        <v>0</v>
      </c>
      <c r="S1580" t="s">
        <v>104</v>
      </c>
      <c r="T1580" t="s">
        <v>2542</v>
      </c>
      <c r="U1580">
        <v>30</v>
      </c>
    </row>
    <row r="1581" spans="1:21" x14ac:dyDescent="0.3">
      <c r="A1581" t="s">
        <v>2534</v>
      </c>
      <c r="B1581" t="s">
        <v>2535</v>
      </c>
      <c r="C1581" t="s">
        <v>262</v>
      </c>
      <c r="D1581" t="s">
        <v>222</v>
      </c>
      <c r="E1581" t="s">
        <v>30</v>
      </c>
      <c r="F1581" s="6">
        <v>46022</v>
      </c>
      <c r="G1581">
        <v>93</v>
      </c>
      <c r="H1581" t="s">
        <v>95</v>
      </c>
      <c r="I1581">
        <v>1.075268817204301</v>
      </c>
      <c r="J1581">
        <v>1.075268817204301</v>
      </c>
      <c r="K1581" t="s">
        <v>971</v>
      </c>
      <c r="L1581" t="s">
        <v>102</v>
      </c>
      <c r="M1581">
        <v>2025</v>
      </c>
      <c r="N1581" t="s">
        <v>57</v>
      </c>
      <c r="O1581" t="s">
        <v>103</v>
      </c>
      <c r="P1581">
        <v>2</v>
      </c>
      <c r="Q1581">
        <v>2</v>
      </c>
      <c r="R1581">
        <v>0</v>
      </c>
      <c r="S1581" t="s">
        <v>104</v>
      </c>
      <c r="T1581" t="s">
        <v>2543</v>
      </c>
      <c r="U1581">
        <v>31</v>
      </c>
    </row>
    <row r="1582" spans="1:21" x14ac:dyDescent="0.3">
      <c r="A1582" t="s">
        <v>2544</v>
      </c>
      <c r="B1582" t="s">
        <v>2545</v>
      </c>
      <c r="C1582" t="s">
        <v>262</v>
      </c>
      <c r="D1582" t="s">
        <v>98</v>
      </c>
      <c r="E1582" t="s">
        <v>30</v>
      </c>
      <c r="F1582" s="6">
        <v>45291</v>
      </c>
      <c r="H1582">
        <v>94.85</v>
      </c>
      <c r="K1582" t="s">
        <v>1041</v>
      </c>
      <c r="L1582" t="s">
        <v>31</v>
      </c>
      <c r="M1582">
        <v>2023</v>
      </c>
      <c r="N1582" t="s">
        <v>57</v>
      </c>
      <c r="O1582" t="s">
        <v>47</v>
      </c>
      <c r="P1582">
        <v>0</v>
      </c>
      <c r="Q1582">
        <v>0</v>
      </c>
      <c r="R1582">
        <v>1</v>
      </c>
      <c r="S1582" t="s">
        <v>99</v>
      </c>
      <c r="T1582" t="s">
        <v>2546</v>
      </c>
      <c r="U1582">
        <v>1</v>
      </c>
    </row>
    <row r="1583" spans="1:21" x14ac:dyDescent="0.3">
      <c r="A1583" t="s">
        <v>2547</v>
      </c>
      <c r="B1583" t="s">
        <v>2548</v>
      </c>
      <c r="C1583" t="s">
        <v>262</v>
      </c>
      <c r="D1583" t="s">
        <v>98</v>
      </c>
      <c r="E1583" t="s">
        <v>30</v>
      </c>
      <c r="F1583" s="6">
        <v>45291</v>
      </c>
      <c r="H1583">
        <v>88.24</v>
      </c>
      <c r="K1583" t="s">
        <v>1041</v>
      </c>
      <c r="L1583" t="s">
        <v>31</v>
      </c>
      <c r="M1583">
        <v>2023</v>
      </c>
      <c r="N1583" t="s">
        <v>57</v>
      </c>
      <c r="O1583" t="s">
        <v>47</v>
      </c>
      <c r="P1583">
        <v>0</v>
      </c>
      <c r="Q1583">
        <v>0</v>
      </c>
      <c r="R1583">
        <v>0</v>
      </c>
      <c r="S1583" t="s">
        <v>99</v>
      </c>
      <c r="T1583" t="s">
        <v>2549</v>
      </c>
      <c r="U1583">
        <v>1</v>
      </c>
    </row>
    <row r="1584" spans="1:21" x14ac:dyDescent="0.3">
      <c r="A1584" t="s">
        <v>2547</v>
      </c>
      <c r="B1584" t="s">
        <v>2548</v>
      </c>
      <c r="C1584" t="s">
        <v>262</v>
      </c>
      <c r="D1584" t="s">
        <v>98</v>
      </c>
      <c r="E1584" t="s">
        <v>30</v>
      </c>
      <c r="F1584" s="6">
        <v>45657</v>
      </c>
      <c r="G1584">
        <v>85</v>
      </c>
      <c r="H1584">
        <v>91.88</v>
      </c>
      <c r="I1584">
        <v>1.0809411764705881</v>
      </c>
      <c r="J1584">
        <v>1.0809411764705881</v>
      </c>
      <c r="K1584" t="s">
        <v>1041</v>
      </c>
      <c r="L1584" t="s">
        <v>31</v>
      </c>
      <c r="M1584">
        <v>2024</v>
      </c>
      <c r="N1584" t="s">
        <v>57</v>
      </c>
      <c r="O1584" t="s">
        <v>78</v>
      </c>
      <c r="P1584">
        <v>0</v>
      </c>
      <c r="Q1584">
        <v>0</v>
      </c>
      <c r="R1584">
        <v>0</v>
      </c>
      <c r="S1584" t="s">
        <v>99</v>
      </c>
      <c r="T1584" t="s">
        <v>2550</v>
      </c>
      <c r="U1584">
        <v>1</v>
      </c>
    </row>
    <row r="1585" spans="1:21" x14ac:dyDescent="0.3">
      <c r="A1585" t="s">
        <v>2547</v>
      </c>
      <c r="B1585" t="s">
        <v>2548</v>
      </c>
      <c r="C1585" t="s">
        <v>262</v>
      </c>
      <c r="D1585" t="s">
        <v>98</v>
      </c>
      <c r="E1585" t="s">
        <v>30</v>
      </c>
      <c r="F1585" s="6">
        <v>46022</v>
      </c>
      <c r="G1585">
        <v>85</v>
      </c>
      <c r="H1585" t="s">
        <v>2551</v>
      </c>
      <c r="I1585">
        <v>1.1444705882352939</v>
      </c>
      <c r="J1585">
        <v>1.1444705882352939</v>
      </c>
      <c r="K1585" t="s">
        <v>2357</v>
      </c>
      <c r="L1585" t="s">
        <v>2552</v>
      </c>
      <c r="M1585">
        <v>2025</v>
      </c>
      <c r="N1585" t="s">
        <v>57</v>
      </c>
      <c r="O1585" t="s">
        <v>103</v>
      </c>
      <c r="P1585">
        <v>2</v>
      </c>
      <c r="Q1585">
        <v>2</v>
      </c>
      <c r="R1585">
        <v>0</v>
      </c>
      <c r="S1585" t="s">
        <v>104</v>
      </c>
      <c r="T1585" t="s">
        <v>2553</v>
      </c>
      <c r="U1585">
        <v>31</v>
      </c>
    </row>
    <row r="1586" spans="1:21" x14ac:dyDescent="0.3">
      <c r="A1586" t="s">
        <v>2554</v>
      </c>
      <c r="B1586" t="s">
        <v>2555</v>
      </c>
      <c r="C1586" t="s">
        <v>174</v>
      </c>
      <c r="D1586" t="s">
        <v>233</v>
      </c>
      <c r="E1586" t="s">
        <v>108</v>
      </c>
      <c r="F1586" s="6">
        <v>45016</v>
      </c>
      <c r="G1586">
        <v>9.9999999999999995E-7</v>
      </c>
      <c r="H1586">
        <v>5</v>
      </c>
      <c r="I1586">
        <v>0.9</v>
      </c>
      <c r="J1586">
        <v>0.9</v>
      </c>
      <c r="K1586" t="s">
        <v>118</v>
      </c>
      <c r="L1586" t="s">
        <v>118</v>
      </c>
      <c r="M1586">
        <v>2023</v>
      </c>
      <c r="N1586" t="s">
        <v>38</v>
      </c>
      <c r="O1586" t="s">
        <v>33</v>
      </c>
      <c r="P1586">
        <v>0</v>
      </c>
      <c r="Q1586">
        <v>0</v>
      </c>
      <c r="R1586">
        <v>0</v>
      </c>
      <c r="S1586" t="s">
        <v>99</v>
      </c>
      <c r="T1586" t="s">
        <v>2556</v>
      </c>
      <c r="U1586">
        <v>1</v>
      </c>
    </row>
    <row r="1587" spans="1:21" x14ac:dyDescent="0.3">
      <c r="A1587" t="s">
        <v>2554</v>
      </c>
      <c r="B1587" t="s">
        <v>2555</v>
      </c>
      <c r="C1587" t="s">
        <v>174</v>
      </c>
      <c r="D1587" t="s">
        <v>233</v>
      </c>
      <c r="E1587" t="s">
        <v>108</v>
      </c>
      <c r="F1587" s="6">
        <v>45107</v>
      </c>
      <c r="G1587">
        <v>9.9999999999999995E-7</v>
      </c>
      <c r="H1587">
        <v>8</v>
      </c>
      <c r="I1587">
        <v>0.85</v>
      </c>
      <c r="J1587">
        <v>0.85</v>
      </c>
      <c r="K1587" t="s">
        <v>118</v>
      </c>
      <c r="L1587" t="s">
        <v>118</v>
      </c>
      <c r="M1587">
        <v>2023</v>
      </c>
      <c r="N1587" t="s">
        <v>44</v>
      </c>
      <c r="O1587" t="s">
        <v>33</v>
      </c>
      <c r="P1587">
        <v>0</v>
      </c>
      <c r="Q1587">
        <v>0</v>
      </c>
      <c r="R1587">
        <v>0</v>
      </c>
      <c r="S1587" t="s">
        <v>99</v>
      </c>
      <c r="T1587" t="s">
        <v>2557</v>
      </c>
      <c r="U1587">
        <v>1</v>
      </c>
    </row>
    <row r="1588" spans="1:21" x14ac:dyDescent="0.3">
      <c r="A1588" t="s">
        <v>2554</v>
      </c>
      <c r="B1588" t="s">
        <v>2555</v>
      </c>
      <c r="C1588" t="s">
        <v>174</v>
      </c>
      <c r="D1588" t="s">
        <v>233</v>
      </c>
      <c r="E1588" t="s">
        <v>108</v>
      </c>
      <c r="F1588" s="6">
        <v>45199</v>
      </c>
      <c r="G1588">
        <v>0</v>
      </c>
      <c r="H1588">
        <v>12</v>
      </c>
      <c r="I1588">
        <v>0.7</v>
      </c>
      <c r="J1588">
        <v>0.7</v>
      </c>
      <c r="K1588" t="s">
        <v>118</v>
      </c>
      <c r="L1588" t="s">
        <v>118</v>
      </c>
      <c r="M1588">
        <v>2023</v>
      </c>
      <c r="N1588" t="s">
        <v>51</v>
      </c>
      <c r="O1588" t="s">
        <v>47</v>
      </c>
      <c r="P1588">
        <v>0</v>
      </c>
      <c r="Q1588">
        <v>0</v>
      </c>
      <c r="R1588">
        <v>0</v>
      </c>
      <c r="S1588" t="s">
        <v>99</v>
      </c>
      <c r="T1588" t="s">
        <v>2558</v>
      </c>
      <c r="U1588">
        <v>1</v>
      </c>
    </row>
    <row r="1589" spans="1:21" x14ac:dyDescent="0.3">
      <c r="A1589" t="s">
        <v>2554</v>
      </c>
      <c r="B1589" t="s">
        <v>2555</v>
      </c>
      <c r="C1589" t="s">
        <v>174</v>
      </c>
      <c r="D1589" t="s">
        <v>233</v>
      </c>
      <c r="E1589" t="s">
        <v>108</v>
      </c>
      <c r="F1589" s="6">
        <v>45291</v>
      </c>
      <c r="G1589">
        <v>0</v>
      </c>
      <c r="H1589">
        <v>2</v>
      </c>
      <c r="I1589">
        <v>0.95</v>
      </c>
      <c r="J1589">
        <v>0.95</v>
      </c>
      <c r="K1589" t="s">
        <v>118</v>
      </c>
      <c r="L1589" t="s">
        <v>118</v>
      </c>
      <c r="M1589">
        <v>2023</v>
      </c>
      <c r="N1589" t="s">
        <v>57</v>
      </c>
      <c r="O1589" t="s">
        <v>47</v>
      </c>
      <c r="P1589">
        <v>0</v>
      </c>
      <c r="Q1589">
        <v>0</v>
      </c>
      <c r="R1589">
        <v>0</v>
      </c>
      <c r="S1589" t="s">
        <v>99</v>
      </c>
      <c r="T1589" t="s">
        <v>2559</v>
      </c>
      <c r="U1589">
        <v>1</v>
      </c>
    </row>
    <row r="1590" spans="1:21" x14ac:dyDescent="0.3">
      <c r="A1590" t="s">
        <v>2554</v>
      </c>
      <c r="B1590" t="s">
        <v>2555</v>
      </c>
      <c r="C1590" t="s">
        <v>174</v>
      </c>
      <c r="D1590" t="s">
        <v>233</v>
      </c>
      <c r="E1590" t="s">
        <v>108</v>
      </c>
      <c r="F1590" s="6">
        <v>45382</v>
      </c>
      <c r="G1590">
        <v>5</v>
      </c>
      <c r="H1590">
        <v>0</v>
      </c>
      <c r="I1590">
        <v>1</v>
      </c>
      <c r="J1590">
        <v>1</v>
      </c>
      <c r="K1590" t="s">
        <v>118</v>
      </c>
      <c r="L1590" t="s">
        <v>118</v>
      </c>
      <c r="M1590">
        <v>2024</v>
      </c>
      <c r="N1590" t="s">
        <v>38</v>
      </c>
      <c r="O1590" t="s">
        <v>71</v>
      </c>
      <c r="P1590">
        <v>0</v>
      </c>
      <c r="Q1590">
        <v>0</v>
      </c>
      <c r="R1590">
        <v>0</v>
      </c>
      <c r="S1590" t="s">
        <v>99</v>
      </c>
      <c r="T1590" t="s">
        <v>2560</v>
      </c>
      <c r="U1590">
        <v>1</v>
      </c>
    </row>
    <row r="1591" spans="1:21" x14ac:dyDescent="0.3">
      <c r="A1591" t="s">
        <v>2554</v>
      </c>
      <c r="B1591" t="s">
        <v>2555</v>
      </c>
      <c r="C1591" t="s">
        <v>174</v>
      </c>
      <c r="D1591" t="s">
        <v>233</v>
      </c>
      <c r="E1591" t="s">
        <v>108</v>
      </c>
      <c r="F1591" s="6">
        <v>45473</v>
      </c>
      <c r="G1591">
        <v>5</v>
      </c>
      <c r="H1591">
        <v>3</v>
      </c>
      <c r="I1591">
        <v>1</v>
      </c>
      <c r="J1591">
        <v>1</v>
      </c>
      <c r="K1591" t="s">
        <v>118</v>
      </c>
      <c r="L1591" t="s">
        <v>118</v>
      </c>
      <c r="M1591">
        <v>2024</v>
      </c>
      <c r="N1591" t="s">
        <v>44</v>
      </c>
      <c r="O1591" t="s">
        <v>71</v>
      </c>
      <c r="P1591">
        <v>0</v>
      </c>
      <c r="Q1591">
        <v>0</v>
      </c>
      <c r="R1591">
        <v>0</v>
      </c>
      <c r="S1591" t="s">
        <v>99</v>
      </c>
      <c r="T1591" t="s">
        <v>2561</v>
      </c>
      <c r="U1591">
        <v>1</v>
      </c>
    </row>
    <row r="1592" spans="1:21" x14ac:dyDescent="0.3">
      <c r="A1592" t="s">
        <v>2554</v>
      </c>
      <c r="B1592" t="s">
        <v>2555</v>
      </c>
      <c r="C1592" t="s">
        <v>174</v>
      </c>
      <c r="D1592" t="s">
        <v>233</v>
      </c>
      <c r="E1592" t="s">
        <v>108</v>
      </c>
      <c r="F1592" s="6">
        <v>45565</v>
      </c>
      <c r="G1592">
        <v>5</v>
      </c>
      <c r="H1592">
        <v>0</v>
      </c>
      <c r="I1592">
        <v>1</v>
      </c>
      <c r="J1592">
        <v>1</v>
      </c>
      <c r="K1592" t="s">
        <v>118</v>
      </c>
      <c r="L1592" t="s">
        <v>118</v>
      </c>
      <c r="M1592">
        <v>2024</v>
      </c>
      <c r="N1592" t="s">
        <v>51</v>
      </c>
      <c r="O1592" t="s">
        <v>78</v>
      </c>
      <c r="P1592">
        <v>0</v>
      </c>
      <c r="Q1592">
        <v>0</v>
      </c>
      <c r="R1592">
        <v>0</v>
      </c>
      <c r="S1592" t="s">
        <v>99</v>
      </c>
      <c r="T1592" t="s">
        <v>2562</v>
      </c>
      <c r="U1592">
        <v>1</v>
      </c>
    </row>
    <row r="1593" spans="1:21" x14ac:dyDescent="0.3">
      <c r="A1593" t="s">
        <v>2554</v>
      </c>
      <c r="B1593" t="s">
        <v>2555</v>
      </c>
      <c r="C1593" t="s">
        <v>174</v>
      </c>
      <c r="D1593" t="s">
        <v>233</v>
      </c>
      <c r="E1593" t="s">
        <v>108</v>
      </c>
      <c r="F1593" s="6">
        <v>45657</v>
      </c>
      <c r="G1593">
        <v>5</v>
      </c>
      <c r="H1593">
        <v>0</v>
      </c>
      <c r="I1593">
        <v>1</v>
      </c>
      <c r="J1593">
        <v>1</v>
      </c>
      <c r="K1593" t="s">
        <v>118</v>
      </c>
      <c r="L1593" t="s">
        <v>118</v>
      </c>
      <c r="M1593">
        <v>2024</v>
      </c>
      <c r="N1593" t="s">
        <v>57</v>
      </c>
      <c r="O1593" t="s">
        <v>78</v>
      </c>
      <c r="P1593">
        <v>0</v>
      </c>
      <c r="Q1593">
        <v>0</v>
      </c>
      <c r="R1593">
        <v>0</v>
      </c>
      <c r="S1593" t="s">
        <v>99</v>
      </c>
      <c r="T1593" t="s">
        <v>2563</v>
      </c>
      <c r="U1593">
        <v>1</v>
      </c>
    </row>
    <row r="1594" spans="1:21" x14ac:dyDescent="0.3">
      <c r="A1594" t="s">
        <v>2554</v>
      </c>
      <c r="B1594" t="s">
        <v>2555</v>
      </c>
      <c r="C1594" t="s">
        <v>174</v>
      </c>
      <c r="D1594" t="s">
        <v>233</v>
      </c>
      <c r="E1594" t="s">
        <v>108</v>
      </c>
      <c r="F1594" s="6">
        <v>45747</v>
      </c>
      <c r="G1594">
        <v>5</v>
      </c>
      <c r="H1594" t="s">
        <v>26</v>
      </c>
      <c r="I1594">
        <v>1.3</v>
      </c>
      <c r="J1594">
        <v>5</v>
      </c>
      <c r="K1594" t="s">
        <v>823</v>
      </c>
      <c r="L1594" t="s">
        <v>617</v>
      </c>
      <c r="M1594">
        <v>2025</v>
      </c>
      <c r="N1594" t="s">
        <v>38</v>
      </c>
      <c r="O1594" t="s">
        <v>244</v>
      </c>
      <c r="P1594">
        <v>2</v>
      </c>
      <c r="Q1594">
        <v>2</v>
      </c>
      <c r="R1594">
        <v>0</v>
      </c>
      <c r="S1594" t="s">
        <v>336</v>
      </c>
      <c r="T1594" t="s">
        <v>2564</v>
      </c>
      <c r="U1594">
        <v>31</v>
      </c>
    </row>
    <row r="1595" spans="1:21" x14ac:dyDescent="0.3">
      <c r="A1595" t="s">
        <v>2554</v>
      </c>
      <c r="B1595" t="s">
        <v>2555</v>
      </c>
      <c r="C1595" t="s">
        <v>174</v>
      </c>
      <c r="D1595" t="s">
        <v>233</v>
      </c>
      <c r="E1595" t="s">
        <v>108</v>
      </c>
      <c r="F1595" s="6">
        <v>45838</v>
      </c>
      <c r="G1595">
        <v>5</v>
      </c>
      <c r="H1595" t="s">
        <v>26</v>
      </c>
      <c r="I1595">
        <v>1.3</v>
      </c>
      <c r="J1595">
        <v>5</v>
      </c>
      <c r="K1595" t="s">
        <v>823</v>
      </c>
      <c r="L1595" t="s">
        <v>617</v>
      </c>
      <c r="M1595">
        <v>2025</v>
      </c>
      <c r="N1595" t="s">
        <v>44</v>
      </c>
      <c r="O1595" t="s">
        <v>244</v>
      </c>
      <c r="P1595">
        <v>2</v>
      </c>
      <c r="Q1595">
        <v>2</v>
      </c>
      <c r="R1595">
        <v>0</v>
      </c>
      <c r="S1595" t="s">
        <v>336</v>
      </c>
      <c r="T1595" t="s">
        <v>2565</v>
      </c>
      <c r="U1595">
        <v>30</v>
      </c>
    </row>
    <row r="1596" spans="1:21" x14ac:dyDescent="0.3">
      <c r="A1596" t="s">
        <v>2554</v>
      </c>
      <c r="B1596" t="s">
        <v>2555</v>
      </c>
      <c r="C1596" t="s">
        <v>174</v>
      </c>
      <c r="D1596" t="s">
        <v>233</v>
      </c>
      <c r="E1596" t="s">
        <v>108</v>
      </c>
      <c r="F1596" s="6">
        <v>46022</v>
      </c>
      <c r="G1596">
        <v>5</v>
      </c>
      <c r="H1596" t="s">
        <v>26</v>
      </c>
      <c r="I1596">
        <v>1.3</v>
      </c>
      <c r="J1596">
        <v>5</v>
      </c>
      <c r="K1596" t="s">
        <v>823</v>
      </c>
      <c r="L1596" t="s">
        <v>617</v>
      </c>
      <c r="M1596">
        <v>2025</v>
      </c>
      <c r="N1596" t="s">
        <v>57</v>
      </c>
      <c r="O1596" t="s">
        <v>103</v>
      </c>
      <c r="P1596">
        <v>2</v>
      </c>
      <c r="Q1596">
        <v>2</v>
      </c>
      <c r="R1596">
        <v>0</v>
      </c>
      <c r="S1596" t="s">
        <v>336</v>
      </c>
      <c r="T1596" t="s">
        <v>2566</v>
      </c>
      <c r="U1596">
        <v>31</v>
      </c>
    </row>
    <row r="1597" spans="1:21" x14ac:dyDescent="0.3">
      <c r="A1597" t="s">
        <v>2567</v>
      </c>
      <c r="B1597" t="s">
        <v>2568</v>
      </c>
      <c r="C1597" t="s">
        <v>174</v>
      </c>
      <c r="D1597" t="s">
        <v>233</v>
      </c>
      <c r="E1597" t="s">
        <v>30</v>
      </c>
      <c r="F1597" s="6">
        <v>45016</v>
      </c>
      <c r="G1597">
        <v>99</v>
      </c>
      <c r="H1597">
        <v>99.94</v>
      </c>
      <c r="I1597">
        <v>1.009494949494949</v>
      </c>
      <c r="J1597">
        <v>1.009494949494949</v>
      </c>
      <c r="K1597" t="s">
        <v>31</v>
      </c>
      <c r="L1597" t="s">
        <v>31</v>
      </c>
      <c r="M1597">
        <v>2023</v>
      </c>
      <c r="N1597" t="s">
        <v>38</v>
      </c>
      <c r="O1597" t="s">
        <v>33</v>
      </c>
      <c r="P1597">
        <v>0</v>
      </c>
      <c r="Q1597">
        <v>0</v>
      </c>
      <c r="R1597">
        <v>0</v>
      </c>
      <c r="S1597" t="s">
        <v>99</v>
      </c>
      <c r="T1597" t="s">
        <v>2569</v>
      </c>
      <c r="U1597">
        <v>1</v>
      </c>
    </row>
    <row r="1598" spans="1:21" x14ac:dyDescent="0.3">
      <c r="A1598" t="s">
        <v>2567</v>
      </c>
      <c r="B1598" t="s">
        <v>2568</v>
      </c>
      <c r="C1598" t="s">
        <v>174</v>
      </c>
      <c r="D1598" t="s">
        <v>233</v>
      </c>
      <c r="E1598" t="s">
        <v>30</v>
      </c>
      <c r="F1598" s="6">
        <v>45107</v>
      </c>
      <c r="G1598">
        <v>99</v>
      </c>
      <c r="H1598">
        <v>99.7</v>
      </c>
      <c r="I1598">
        <v>1.007070707070707</v>
      </c>
      <c r="J1598">
        <v>1.007070707070707</v>
      </c>
      <c r="K1598" t="s">
        <v>31</v>
      </c>
      <c r="L1598" t="s">
        <v>31</v>
      </c>
      <c r="M1598">
        <v>2023</v>
      </c>
      <c r="N1598" t="s">
        <v>44</v>
      </c>
      <c r="O1598" t="s">
        <v>33</v>
      </c>
      <c r="P1598">
        <v>0</v>
      </c>
      <c r="Q1598">
        <v>0</v>
      </c>
      <c r="R1598">
        <v>0</v>
      </c>
      <c r="S1598" t="s">
        <v>99</v>
      </c>
      <c r="T1598" t="s">
        <v>2570</v>
      </c>
      <c r="U1598">
        <v>1</v>
      </c>
    </row>
    <row r="1599" spans="1:21" x14ac:dyDescent="0.3">
      <c r="A1599" t="s">
        <v>2567</v>
      </c>
      <c r="B1599" t="s">
        <v>2568</v>
      </c>
      <c r="C1599" t="s">
        <v>174</v>
      </c>
      <c r="D1599" t="s">
        <v>233</v>
      </c>
      <c r="E1599" t="s">
        <v>30</v>
      </c>
      <c r="F1599" s="6">
        <v>45199</v>
      </c>
      <c r="G1599">
        <v>99</v>
      </c>
      <c r="H1599">
        <v>100</v>
      </c>
      <c r="I1599">
        <v>1.0101010101010099</v>
      </c>
      <c r="J1599">
        <v>1.0101010101010099</v>
      </c>
      <c r="K1599" t="s">
        <v>31</v>
      </c>
      <c r="L1599" t="s">
        <v>31</v>
      </c>
      <c r="M1599">
        <v>2023</v>
      </c>
      <c r="N1599" t="s">
        <v>51</v>
      </c>
      <c r="O1599" t="s">
        <v>47</v>
      </c>
      <c r="P1599">
        <v>0</v>
      </c>
      <c r="Q1599">
        <v>0</v>
      </c>
      <c r="R1599">
        <v>0</v>
      </c>
      <c r="S1599" t="s">
        <v>99</v>
      </c>
      <c r="T1599" t="s">
        <v>2571</v>
      </c>
      <c r="U1599">
        <v>1</v>
      </c>
    </row>
    <row r="1600" spans="1:21" x14ac:dyDescent="0.3">
      <c r="A1600" t="s">
        <v>2567</v>
      </c>
      <c r="B1600" t="s">
        <v>2568</v>
      </c>
      <c r="C1600" t="s">
        <v>174</v>
      </c>
      <c r="D1600" t="s">
        <v>233</v>
      </c>
      <c r="E1600" t="s">
        <v>30</v>
      </c>
      <c r="F1600" s="6">
        <v>45291</v>
      </c>
      <c r="G1600">
        <v>99</v>
      </c>
      <c r="H1600">
        <v>100</v>
      </c>
      <c r="I1600">
        <v>1.0101010101010099</v>
      </c>
      <c r="J1600">
        <v>1.0101010101010099</v>
      </c>
      <c r="K1600" t="s">
        <v>31</v>
      </c>
      <c r="L1600" t="s">
        <v>31</v>
      </c>
      <c r="M1600">
        <v>2023</v>
      </c>
      <c r="N1600" t="s">
        <v>57</v>
      </c>
      <c r="O1600" t="s">
        <v>47</v>
      </c>
      <c r="P1600">
        <v>0</v>
      </c>
      <c r="Q1600">
        <v>0</v>
      </c>
      <c r="R1600">
        <v>0</v>
      </c>
      <c r="S1600" t="s">
        <v>99</v>
      </c>
      <c r="T1600" t="s">
        <v>2572</v>
      </c>
      <c r="U1600">
        <v>1</v>
      </c>
    </row>
    <row r="1601" spans="1:21" x14ac:dyDescent="0.3">
      <c r="A1601" t="s">
        <v>2567</v>
      </c>
      <c r="B1601" t="s">
        <v>2568</v>
      </c>
      <c r="C1601" t="s">
        <v>174</v>
      </c>
      <c r="D1601" t="s">
        <v>233</v>
      </c>
      <c r="E1601" t="s">
        <v>30</v>
      </c>
      <c r="F1601" s="6">
        <v>45382</v>
      </c>
      <c r="G1601">
        <v>99</v>
      </c>
      <c r="H1601">
        <v>99.95</v>
      </c>
      <c r="I1601">
        <v>1.00959595959596</v>
      </c>
      <c r="J1601">
        <v>1.00959595959596</v>
      </c>
      <c r="K1601" t="s">
        <v>31</v>
      </c>
      <c r="L1601" t="s">
        <v>31</v>
      </c>
      <c r="M1601">
        <v>2024</v>
      </c>
      <c r="N1601" t="s">
        <v>38</v>
      </c>
      <c r="O1601" t="s">
        <v>71</v>
      </c>
      <c r="P1601">
        <v>0</v>
      </c>
      <c r="Q1601">
        <v>0</v>
      </c>
      <c r="R1601">
        <v>0</v>
      </c>
      <c r="S1601" t="s">
        <v>99</v>
      </c>
      <c r="T1601" t="s">
        <v>2573</v>
      </c>
      <c r="U1601">
        <v>1</v>
      </c>
    </row>
    <row r="1602" spans="1:21" x14ac:dyDescent="0.3">
      <c r="A1602" t="s">
        <v>2567</v>
      </c>
      <c r="B1602" t="s">
        <v>2568</v>
      </c>
      <c r="C1602" t="s">
        <v>174</v>
      </c>
      <c r="D1602" t="s">
        <v>233</v>
      </c>
      <c r="E1602" t="s">
        <v>30</v>
      </c>
      <c r="F1602" s="6">
        <v>45473</v>
      </c>
      <c r="G1602">
        <v>99</v>
      </c>
      <c r="H1602">
        <v>99.9</v>
      </c>
      <c r="I1602">
        <v>1.009090909090909</v>
      </c>
      <c r="J1602">
        <v>1.009090909090909</v>
      </c>
      <c r="K1602" t="s">
        <v>31</v>
      </c>
      <c r="L1602" t="s">
        <v>31</v>
      </c>
      <c r="M1602">
        <v>2024</v>
      </c>
      <c r="N1602" t="s">
        <v>44</v>
      </c>
      <c r="O1602" t="s">
        <v>71</v>
      </c>
      <c r="P1602">
        <v>1</v>
      </c>
      <c r="Q1602">
        <v>1</v>
      </c>
      <c r="R1602">
        <v>0</v>
      </c>
      <c r="S1602" t="s">
        <v>99</v>
      </c>
      <c r="T1602" t="s">
        <v>2574</v>
      </c>
      <c r="U1602">
        <v>1</v>
      </c>
    </row>
    <row r="1603" spans="1:21" x14ac:dyDescent="0.3">
      <c r="A1603" t="s">
        <v>2567</v>
      </c>
      <c r="B1603" t="s">
        <v>2568</v>
      </c>
      <c r="C1603" t="s">
        <v>174</v>
      </c>
      <c r="D1603" t="s">
        <v>233</v>
      </c>
      <c r="E1603" t="s">
        <v>30</v>
      </c>
      <c r="F1603" s="6">
        <v>45565</v>
      </c>
      <c r="G1603">
        <v>99</v>
      </c>
      <c r="H1603">
        <v>100</v>
      </c>
      <c r="I1603">
        <v>1.0101010101010099</v>
      </c>
      <c r="J1603">
        <v>1.0101010101010099</v>
      </c>
      <c r="K1603" t="s">
        <v>31</v>
      </c>
      <c r="L1603" t="s">
        <v>31</v>
      </c>
      <c r="M1603">
        <v>2024</v>
      </c>
      <c r="N1603" t="s">
        <v>51</v>
      </c>
      <c r="O1603" t="s">
        <v>78</v>
      </c>
      <c r="P1603">
        <v>1</v>
      </c>
      <c r="Q1603">
        <v>1</v>
      </c>
      <c r="R1603">
        <v>0</v>
      </c>
      <c r="S1603" t="s">
        <v>99</v>
      </c>
      <c r="T1603" t="s">
        <v>2575</v>
      </c>
      <c r="U1603">
        <v>1</v>
      </c>
    </row>
    <row r="1604" spans="1:21" x14ac:dyDescent="0.3">
      <c r="A1604" t="s">
        <v>2567</v>
      </c>
      <c r="B1604" t="s">
        <v>2568</v>
      </c>
      <c r="C1604" t="s">
        <v>174</v>
      </c>
      <c r="D1604" t="s">
        <v>233</v>
      </c>
      <c r="E1604" t="s">
        <v>30</v>
      </c>
      <c r="F1604" s="6">
        <v>45657</v>
      </c>
      <c r="G1604">
        <v>99</v>
      </c>
      <c r="H1604">
        <v>100</v>
      </c>
      <c r="I1604">
        <v>1.0101010101010099</v>
      </c>
      <c r="J1604">
        <v>1.0101010101010099</v>
      </c>
      <c r="K1604" t="s">
        <v>31</v>
      </c>
      <c r="L1604" t="s">
        <v>31</v>
      </c>
      <c r="M1604">
        <v>2024</v>
      </c>
      <c r="N1604" t="s">
        <v>57</v>
      </c>
      <c r="O1604" t="s">
        <v>78</v>
      </c>
      <c r="P1604">
        <v>1</v>
      </c>
      <c r="Q1604">
        <v>1</v>
      </c>
      <c r="R1604">
        <v>0</v>
      </c>
      <c r="S1604" t="s">
        <v>99</v>
      </c>
      <c r="T1604" t="s">
        <v>2576</v>
      </c>
      <c r="U1604">
        <v>1</v>
      </c>
    </row>
    <row r="1605" spans="1:21" x14ac:dyDescent="0.3">
      <c r="A1605" t="s">
        <v>2567</v>
      </c>
      <c r="B1605" t="s">
        <v>2568</v>
      </c>
      <c r="C1605" t="s">
        <v>174</v>
      </c>
      <c r="D1605" t="s">
        <v>233</v>
      </c>
      <c r="E1605" t="s">
        <v>30</v>
      </c>
      <c r="F1605" s="6">
        <v>45747</v>
      </c>
      <c r="G1605">
        <v>99</v>
      </c>
      <c r="H1605" t="s">
        <v>95</v>
      </c>
      <c r="I1605">
        <v>1.0101010101010099</v>
      </c>
      <c r="J1605">
        <v>1.0101010101010099</v>
      </c>
      <c r="K1605" t="s">
        <v>2577</v>
      </c>
      <c r="L1605" t="s">
        <v>102</v>
      </c>
      <c r="M1605">
        <v>2025</v>
      </c>
      <c r="N1605" t="s">
        <v>38</v>
      </c>
      <c r="O1605" t="s">
        <v>244</v>
      </c>
      <c r="P1605">
        <v>2</v>
      </c>
      <c r="Q1605">
        <v>2</v>
      </c>
      <c r="R1605">
        <v>0</v>
      </c>
      <c r="S1605" t="s">
        <v>336</v>
      </c>
      <c r="T1605" t="s">
        <v>2578</v>
      </c>
      <c r="U1605">
        <v>31</v>
      </c>
    </row>
    <row r="1606" spans="1:21" x14ac:dyDescent="0.3">
      <c r="A1606" t="s">
        <v>2567</v>
      </c>
      <c r="B1606" t="s">
        <v>2568</v>
      </c>
      <c r="C1606" t="s">
        <v>174</v>
      </c>
      <c r="D1606" t="s">
        <v>233</v>
      </c>
      <c r="E1606" t="s">
        <v>30</v>
      </c>
      <c r="F1606" s="6">
        <v>45838</v>
      </c>
      <c r="G1606">
        <v>99</v>
      </c>
      <c r="H1606" t="s">
        <v>95</v>
      </c>
      <c r="I1606">
        <v>1.0101010101010099</v>
      </c>
      <c r="J1606">
        <v>1.0101010101010099</v>
      </c>
      <c r="K1606" t="s">
        <v>2577</v>
      </c>
      <c r="L1606" t="s">
        <v>102</v>
      </c>
      <c r="M1606">
        <v>2025</v>
      </c>
      <c r="N1606" t="s">
        <v>44</v>
      </c>
      <c r="O1606" t="s">
        <v>244</v>
      </c>
      <c r="P1606">
        <v>2</v>
      </c>
      <c r="Q1606">
        <v>2</v>
      </c>
      <c r="R1606">
        <v>0</v>
      </c>
      <c r="S1606" t="s">
        <v>336</v>
      </c>
      <c r="T1606" t="s">
        <v>2579</v>
      </c>
      <c r="U1606">
        <v>30</v>
      </c>
    </row>
    <row r="1607" spans="1:21" x14ac:dyDescent="0.3">
      <c r="A1607" t="s">
        <v>2567</v>
      </c>
      <c r="B1607" t="s">
        <v>2568</v>
      </c>
      <c r="C1607" t="s">
        <v>174</v>
      </c>
      <c r="D1607" t="s">
        <v>233</v>
      </c>
      <c r="E1607" t="s">
        <v>30</v>
      </c>
      <c r="F1607" s="6">
        <v>46022</v>
      </c>
      <c r="G1607">
        <v>99</v>
      </c>
      <c r="H1607" t="s">
        <v>95</v>
      </c>
      <c r="I1607">
        <v>1.0101010101010099</v>
      </c>
      <c r="J1607">
        <v>1.0101010101010099</v>
      </c>
      <c r="K1607" t="s">
        <v>2577</v>
      </c>
      <c r="L1607" t="s">
        <v>102</v>
      </c>
      <c r="M1607">
        <v>2025</v>
      </c>
      <c r="N1607" t="s">
        <v>57</v>
      </c>
      <c r="O1607" t="s">
        <v>103</v>
      </c>
      <c r="P1607">
        <v>2</v>
      </c>
      <c r="Q1607">
        <v>2</v>
      </c>
      <c r="R1607">
        <v>0</v>
      </c>
      <c r="S1607" t="s">
        <v>336</v>
      </c>
      <c r="T1607" t="s">
        <v>2580</v>
      </c>
      <c r="U1607">
        <v>31</v>
      </c>
    </row>
    <row r="1608" spans="1:21" x14ac:dyDescent="0.3">
      <c r="A1608" t="s">
        <v>2581</v>
      </c>
      <c r="B1608" t="s">
        <v>2582</v>
      </c>
      <c r="C1608" t="s">
        <v>760</v>
      </c>
      <c r="D1608" t="s">
        <v>98</v>
      </c>
      <c r="E1608" t="s">
        <v>30</v>
      </c>
      <c r="F1608" s="6">
        <v>45291</v>
      </c>
      <c r="K1608" t="s">
        <v>118</v>
      </c>
      <c r="L1608" t="s">
        <v>109</v>
      </c>
      <c r="M1608">
        <v>2023</v>
      </c>
      <c r="N1608" t="s">
        <v>57</v>
      </c>
      <c r="O1608" t="s">
        <v>47</v>
      </c>
      <c r="P1608">
        <v>0</v>
      </c>
      <c r="Q1608">
        <v>0</v>
      </c>
      <c r="R1608">
        <v>0</v>
      </c>
      <c r="S1608" t="s">
        <v>34</v>
      </c>
      <c r="T1608" t="s">
        <v>2583</v>
      </c>
      <c r="U1608">
        <v>1</v>
      </c>
    </row>
    <row r="1609" spans="1:21" x14ac:dyDescent="0.3">
      <c r="A1609" t="s">
        <v>2584</v>
      </c>
      <c r="B1609" t="s">
        <v>2585</v>
      </c>
      <c r="C1609" t="s">
        <v>760</v>
      </c>
      <c r="D1609" t="s">
        <v>98</v>
      </c>
      <c r="E1609" t="s">
        <v>30</v>
      </c>
      <c r="F1609" s="6">
        <v>45291</v>
      </c>
      <c r="K1609" t="s">
        <v>118</v>
      </c>
      <c r="L1609" t="s">
        <v>109</v>
      </c>
      <c r="M1609">
        <v>2023</v>
      </c>
      <c r="N1609" t="s">
        <v>57</v>
      </c>
      <c r="O1609" t="s">
        <v>47</v>
      </c>
      <c r="P1609">
        <v>0</v>
      </c>
      <c r="Q1609">
        <v>0</v>
      </c>
      <c r="R1609">
        <v>0</v>
      </c>
      <c r="S1609" t="s">
        <v>34</v>
      </c>
      <c r="T1609" t="s">
        <v>2586</v>
      </c>
      <c r="U1609">
        <v>1</v>
      </c>
    </row>
    <row r="1610" spans="1:21" x14ac:dyDescent="0.3">
      <c r="A1610" t="s">
        <v>2587</v>
      </c>
      <c r="B1610" t="s">
        <v>2588</v>
      </c>
      <c r="C1610" t="s">
        <v>174</v>
      </c>
      <c r="D1610" t="s">
        <v>233</v>
      </c>
      <c r="E1610" t="s">
        <v>108</v>
      </c>
      <c r="F1610" s="6">
        <v>45016</v>
      </c>
      <c r="G1610">
        <v>5</v>
      </c>
      <c r="H1610">
        <v>11.418685121107</v>
      </c>
      <c r="I1610">
        <v>0.8</v>
      </c>
      <c r="J1610">
        <v>0.8</v>
      </c>
      <c r="K1610" t="s">
        <v>118</v>
      </c>
      <c r="L1610" t="s">
        <v>109</v>
      </c>
      <c r="M1610">
        <v>2023</v>
      </c>
      <c r="N1610" t="s">
        <v>38</v>
      </c>
      <c r="O1610" t="s">
        <v>33</v>
      </c>
      <c r="P1610">
        <v>0</v>
      </c>
      <c r="Q1610">
        <v>0</v>
      </c>
      <c r="R1610">
        <v>0</v>
      </c>
      <c r="S1610" t="s">
        <v>99</v>
      </c>
      <c r="T1610" t="s">
        <v>2589</v>
      </c>
      <c r="U1610">
        <v>1</v>
      </c>
    </row>
    <row r="1611" spans="1:21" x14ac:dyDescent="0.3">
      <c r="A1611" t="s">
        <v>2587</v>
      </c>
      <c r="B1611" t="s">
        <v>2588</v>
      </c>
      <c r="C1611" t="s">
        <v>174</v>
      </c>
      <c r="D1611" t="s">
        <v>233</v>
      </c>
      <c r="E1611" t="s">
        <v>108</v>
      </c>
      <c r="F1611" s="6">
        <v>45107</v>
      </c>
      <c r="G1611">
        <v>5</v>
      </c>
      <c r="H1611">
        <v>8.2333989618757997</v>
      </c>
      <c r="I1611">
        <v>0.8</v>
      </c>
      <c r="J1611">
        <v>0.8</v>
      </c>
      <c r="K1611" t="s">
        <v>118</v>
      </c>
      <c r="L1611" t="s">
        <v>109</v>
      </c>
      <c r="M1611">
        <v>2023</v>
      </c>
      <c r="N1611" t="s">
        <v>44</v>
      </c>
      <c r="O1611" t="s">
        <v>33</v>
      </c>
      <c r="P1611">
        <v>0</v>
      </c>
      <c r="Q1611">
        <v>0</v>
      </c>
      <c r="R1611">
        <v>0</v>
      </c>
      <c r="S1611" t="s">
        <v>99</v>
      </c>
      <c r="T1611" t="s">
        <v>2590</v>
      </c>
      <c r="U1611">
        <v>1</v>
      </c>
    </row>
    <row r="1612" spans="1:21" x14ac:dyDescent="0.3">
      <c r="A1612" t="s">
        <v>2587</v>
      </c>
      <c r="B1612" t="s">
        <v>2588</v>
      </c>
      <c r="C1612" t="s">
        <v>174</v>
      </c>
      <c r="D1612" t="s">
        <v>233</v>
      </c>
      <c r="E1612" t="s">
        <v>108</v>
      </c>
      <c r="F1612" s="6">
        <v>45199</v>
      </c>
      <c r="G1612">
        <v>5</v>
      </c>
      <c r="H1612">
        <v>10.3</v>
      </c>
      <c r="I1612">
        <v>0.8</v>
      </c>
      <c r="J1612">
        <v>0.8</v>
      </c>
      <c r="K1612" t="s">
        <v>118</v>
      </c>
      <c r="L1612" t="s">
        <v>109</v>
      </c>
      <c r="M1612">
        <v>2023</v>
      </c>
      <c r="N1612" t="s">
        <v>51</v>
      </c>
      <c r="O1612" t="s">
        <v>47</v>
      </c>
      <c r="P1612">
        <v>0</v>
      </c>
      <c r="Q1612">
        <v>0</v>
      </c>
      <c r="R1612">
        <v>0</v>
      </c>
      <c r="S1612" t="s">
        <v>99</v>
      </c>
      <c r="T1612" t="s">
        <v>2591</v>
      </c>
      <c r="U1612">
        <v>1</v>
      </c>
    </row>
    <row r="1613" spans="1:21" x14ac:dyDescent="0.3">
      <c r="A1613" t="s">
        <v>2587</v>
      </c>
      <c r="B1613" t="s">
        <v>2588</v>
      </c>
      <c r="C1613" t="s">
        <v>174</v>
      </c>
      <c r="D1613" t="s">
        <v>233</v>
      </c>
      <c r="E1613" t="s">
        <v>108</v>
      </c>
      <c r="F1613" s="6">
        <v>45291</v>
      </c>
      <c r="G1613">
        <v>5</v>
      </c>
      <c r="H1613">
        <v>3.54</v>
      </c>
      <c r="I1613">
        <v>1</v>
      </c>
      <c r="J1613">
        <v>1</v>
      </c>
      <c r="K1613" t="s">
        <v>118</v>
      </c>
      <c r="L1613" t="s">
        <v>109</v>
      </c>
      <c r="M1613">
        <v>2023</v>
      </c>
      <c r="N1613" t="s">
        <v>57</v>
      </c>
      <c r="O1613" t="s">
        <v>47</v>
      </c>
      <c r="P1613">
        <v>0</v>
      </c>
      <c r="Q1613">
        <v>0</v>
      </c>
      <c r="R1613">
        <v>0</v>
      </c>
      <c r="S1613" t="s">
        <v>99</v>
      </c>
      <c r="T1613" t="s">
        <v>2592</v>
      </c>
      <c r="U1613">
        <v>1</v>
      </c>
    </row>
    <row r="1614" spans="1:21" x14ac:dyDescent="0.3">
      <c r="A1614" t="s">
        <v>2587</v>
      </c>
      <c r="B1614" t="s">
        <v>2588</v>
      </c>
      <c r="C1614" t="s">
        <v>174</v>
      </c>
      <c r="D1614" t="s">
        <v>233</v>
      </c>
      <c r="E1614" t="s">
        <v>108</v>
      </c>
      <c r="F1614" s="6">
        <v>45382</v>
      </c>
      <c r="G1614">
        <v>5</v>
      </c>
      <c r="H1614">
        <v>5</v>
      </c>
      <c r="I1614">
        <v>1</v>
      </c>
      <c r="J1614">
        <v>1</v>
      </c>
      <c r="K1614" t="s">
        <v>118</v>
      </c>
      <c r="L1614" t="s">
        <v>109</v>
      </c>
      <c r="M1614">
        <v>2024</v>
      </c>
      <c r="N1614" t="s">
        <v>38</v>
      </c>
      <c r="O1614" t="s">
        <v>71</v>
      </c>
      <c r="P1614">
        <v>0</v>
      </c>
      <c r="Q1614">
        <v>0</v>
      </c>
      <c r="R1614">
        <v>0</v>
      </c>
      <c r="S1614" t="s">
        <v>99</v>
      </c>
      <c r="T1614" t="s">
        <v>2593</v>
      </c>
      <c r="U1614">
        <v>1</v>
      </c>
    </row>
    <row r="1615" spans="1:21" x14ac:dyDescent="0.3">
      <c r="A1615" t="s">
        <v>2587</v>
      </c>
      <c r="B1615" t="s">
        <v>2588</v>
      </c>
      <c r="C1615" t="s">
        <v>174</v>
      </c>
      <c r="D1615" t="s">
        <v>233</v>
      </c>
      <c r="E1615" t="s">
        <v>108</v>
      </c>
      <c r="F1615" s="6">
        <v>45473</v>
      </c>
      <c r="G1615">
        <v>5</v>
      </c>
      <c r="H1615">
        <v>12.53</v>
      </c>
      <c r="I1615">
        <v>0.83533333333333326</v>
      </c>
      <c r="J1615">
        <v>0.83533333333333326</v>
      </c>
      <c r="K1615" t="s">
        <v>118</v>
      </c>
      <c r="L1615" t="s">
        <v>109</v>
      </c>
      <c r="M1615">
        <v>2024</v>
      </c>
      <c r="N1615" t="s">
        <v>44</v>
      </c>
      <c r="O1615" t="s">
        <v>71</v>
      </c>
      <c r="P1615">
        <v>0</v>
      </c>
      <c r="Q1615">
        <v>1</v>
      </c>
      <c r="R1615">
        <v>0</v>
      </c>
      <c r="S1615" t="s">
        <v>99</v>
      </c>
      <c r="T1615" t="s">
        <v>2594</v>
      </c>
      <c r="U1615">
        <v>1</v>
      </c>
    </row>
    <row r="1616" spans="1:21" x14ac:dyDescent="0.3">
      <c r="A1616" t="s">
        <v>2587</v>
      </c>
      <c r="B1616" t="s">
        <v>2588</v>
      </c>
      <c r="C1616" t="s">
        <v>174</v>
      </c>
      <c r="D1616" t="s">
        <v>233</v>
      </c>
      <c r="E1616" t="s">
        <v>108</v>
      </c>
      <c r="F1616" s="6">
        <v>45565</v>
      </c>
      <c r="G1616">
        <v>5</v>
      </c>
      <c r="H1616">
        <v>3.18</v>
      </c>
      <c r="I1616">
        <v>1</v>
      </c>
      <c r="J1616">
        <v>1</v>
      </c>
      <c r="K1616" t="s">
        <v>118</v>
      </c>
      <c r="L1616" t="s">
        <v>109</v>
      </c>
      <c r="M1616">
        <v>2024</v>
      </c>
      <c r="N1616" t="s">
        <v>51</v>
      </c>
      <c r="O1616" t="s">
        <v>78</v>
      </c>
      <c r="P1616">
        <v>0</v>
      </c>
      <c r="Q1616">
        <v>1</v>
      </c>
      <c r="R1616">
        <v>0</v>
      </c>
      <c r="S1616" t="s">
        <v>99</v>
      </c>
      <c r="T1616" t="s">
        <v>2595</v>
      </c>
      <c r="U1616">
        <v>1</v>
      </c>
    </row>
    <row r="1617" spans="1:21" x14ac:dyDescent="0.3">
      <c r="A1617" t="s">
        <v>2587</v>
      </c>
      <c r="B1617" t="s">
        <v>2588</v>
      </c>
      <c r="C1617" t="s">
        <v>174</v>
      </c>
      <c r="D1617" t="s">
        <v>233</v>
      </c>
      <c r="E1617" t="s">
        <v>108</v>
      </c>
      <c r="F1617" s="6">
        <v>45657</v>
      </c>
      <c r="G1617">
        <v>5</v>
      </c>
      <c r="H1617">
        <v>1.5</v>
      </c>
      <c r="I1617">
        <v>1</v>
      </c>
      <c r="J1617">
        <v>1</v>
      </c>
      <c r="K1617" t="s">
        <v>118</v>
      </c>
      <c r="L1617" t="s">
        <v>109</v>
      </c>
      <c r="M1617">
        <v>2024</v>
      </c>
      <c r="N1617" t="s">
        <v>57</v>
      </c>
      <c r="O1617" t="s">
        <v>78</v>
      </c>
      <c r="P1617">
        <v>0</v>
      </c>
      <c r="Q1617">
        <v>1</v>
      </c>
      <c r="R1617">
        <v>0</v>
      </c>
      <c r="S1617" t="s">
        <v>99</v>
      </c>
      <c r="T1617" t="s">
        <v>2596</v>
      </c>
      <c r="U1617">
        <v>1</v>
      </c>
    </row>
    <row r="1618" spans="1:21" x14ac:dyDescent="0.3">
      <c r="A1618" t="s">
        <v>2587</v>
      </c>
      <c r="B1618" t="s">
        <v>2588</v>
      </c>
      <c r="C1618" t="s">
        <v>174</v>
      </c>
      <c r="D1618" t="s">
        <v>233</v>
      </c>
      <c r="E1618" t="s">
        <v>108</v>
      </c>
      <c r="F1618" s="6">
        <v>45747</v>
      </c>
      <c r="G1618">
        <v>0</v>
      </c>
      <c r="H1618" t="s">
        <v>2597</v>
      </c>
      <c r="I1618">
        <v>0</v>
      </c>
      <c r="J1618">
        <v>0</v>
      </c>
      <c r="K1618" t="s">
        <v>122</v>
      </c>
      <c r="L1618" t="s">
        <v>2598</v>
      </c>
      <c r="M1618">
        <v>2025</v>
      </c>
      <c r="N1618" t="s">
        <v>38</v>
      </c>
      <c r="O1618" t="s">
        <v>244</v>
      </c>
      <c r="P1618">
        <v>2</v>
      </c>
      <c r="Q1618">
        <v>2</v>
      </c>
      <c r="R1618">
        <v>0</v>
      </c>
      <c r="S1618" t="s">
        <v>336</v>
      </c>
      <c r="T1618" t="s">
        <v>2599</v>
      </c>
      <c r="U1618">
        <v>31</v>
      </c>
    </row>
    <row r="1619" spans="1:21" x14ac:dyDescent="0.3">
      <c r="A1619" t="s">
        <v>2587</v>
      </c>
      <c r="B1619" t="s">
        <v>2588</v>
      </c>
      <c r="C1619" t="s">
        <v>174</v>
      </c>
      <c r="D1619" t="s">
        <v>233</v>
      </c>
      <c r="E1619" t="s">
        <v>108</v>
      </c>
      <c r="F1619" s="6">
        <v>45838</v>
      </c>
      <c r="G1619">
        <v>0</v>
      </c>
      <c r="H1619" t="s">
        <v>2600</v>
      </c>
      <c r="I1619">
        <v>0</v>
      </c>
      <c r="J1619">
        <v>0</v>
      </c>
      <c r="K1619" t="s">
        <v>122</v>
      </c>
      <c r="L1619" t="s">
        <v>2601</v>
      </c>
      <c r="M1619">
        <v>2025</v>
      </c>
      <c r="N1619" t="s">
        <v>44</v>
      </c>
      <c r="O1619" t="s">
        <v>244</v>
      </c>
      <c r="P1619">
        <v>2</v>
      </c>
      <c r="Q1619">
        <v>2</v>
      </c>
      <c r="R1619">
        <v>0</v>
      </c>
      <c r="S1619" t="s">
        <v>336</v>
      </c>
      <c r="T1619" t="s">
        <v>2602</v>
      </c>
      <c r="U1619">
        <v>30</v>
      </c>
    </row>
    <row r="1620" spans="1:21" x14ac:dyDescent="0.3">
      <c r="A1620" t="s">
        <v>2603</v>
      </c>
      <c r="B1620" t="s">
        <v>2604</v>
      </c>
      <c r="C1620" t="s">
        <v>174</v>
      </c>
      <c r="D1620" t="s">
        <v>233</v>
      </c>
      <c r="E1620" t="s">
        <v>108</v>
      </c>
      <c r="F1620" s="6">
        <v>45016</v>
      </c>
      <c r="G1620">
        <v>0</v>
      </c>
      <c r="H1620">
        <v>1.038596855648E-2</v>
      </c>
      <c r="I1620">
        <v>0.99989614031443519</v>
      </c>
      <c r="J1620">
        <v>0.99000103859685562</v>
      </c>
      <c r="K1620" t="s">
        <v>31</v>
      </c>
      <c r="L1620" t="s">
        <v>31</v>
      </c>
      <c r="M1620">
        <v>2023</v>
      </c>
      <c r="N1620" t="s">
        <v>38</v>
      </c>
      <c r="O1620" t="s">
        <v>33</v>
      </c>
      <c r="P1620">
        <v>0</v>
      </c>
      <c r="Q1620">
        <v>2</v>
      </c>
      <c r="R1620">
        <v>0</v>
      </c>
      <c r="S1620" t="s">
        <v>99</v>
      </c>
      <c r="T1620" t="s">
        <v>2605</v>
      </c>
      <c r="U1620">
        <v>1</v>
      </c>
    </row>
    <row r="1621" spans="1:21" x14ac:dyDescent="0.3">
      <c r="A1621" t="s">
        <v>2603</v>
      </c>
      <c r="B1621" t="s">
        <v>2604</v>
      </c>
      <c r="C1621" t="s">
        <v>174</v>
      </c>
      <c r="D1621" t="s">
        <v>233</v>
      </c>
      <c r="E1621" t="s">
        <v>108</v>
      </c>
      <c r="F1621" s="6">
        <v>45107</v>
      </c>
      <c r="G1621">
        <v>0</v>
      </c>
      <c r="H1621">
        <v>2.7700831024931E-2</v>
      </c>
      <c r="I1621">
        <v>0.99972299168975065</v>
      </c>
      <c r="J1621">
        <v>0.99000277008310245</v>
      </c>
      <c r="K1621" t="s">
        <v>31</v>
      </c>
      <c r="L1621" t="s">
        <v>31</v>
      </c>
      <c r="M1621">
        <v>2023</v>
      </c>
      <c r="N1621" t="s">
        <v>44</v>
      </c>
      <c r="O1621" t="s">
        <v>33</v>
      </c>
      <c r="P1621">
        <v>0</v>
      </c>
      <c r="Q1621">
        <v>2</v>
      </c>
      <c r="R1621">
        <v>0</v>
      </c>
      <c r="S1621" t="s">
        <v>99</v>
      </c>
      <c r="T1621" t="s">
        <v>2606</v>
      </c>
      <c r="U1621">
        <v>1</v>
      </c>
    </row>
    <row r="1622" spans="1:21" x14ac:dyDescent="0.3">
      <c r="A1622" t="s">
        <v>2603</v>
      </c>
      <c r="B1622" t="s">
        <v>2604</v>
      </c>
      <c r="C1622" t="s">
        <v>174</v>
      </c>
      <c r="D1622" t="s">
        <v>233</v>
      </c>
      <c r="E1622" t="s">
        <v>108</v>
      </c>
      <c r="F1622" s="6">
        <v>45199</v>
      </c>
      <c r="G1622">
        <v>0</v>
      </c>
      <c r="H1622">
        <v>0.03</v>
      </c>
      <c r="I1622">
        <v>0.99970000000000003</v>
      </c>
      <c r="J1622">
        <v>0.99000299999999997</v>
      </c>
      <c r="K1622" t="s">
        <v>31</v>
      </c>
      <c r="L1622" t="s">
        <v>31</v>
      </c>
      <c r="M1622">
        <v>2023</v>
      </c>
      <c r="N1622" t="s">
        <v>51</v>
      </c>
      <c r="O1622" t="s">
        <v>47</v>
      </c>
      <c r="P1622">
        <v>0</v>
      </c>
      <c r="Q1622">
        <v>2</v>
      </c>
      <c r="R1622">
        <v>0</v>
      </c>
      <c r="S1622" t="s">
        <v>99</v>
      </c>
      <c r="T1622" t="s">
        <v>2607</v>
      </c>
      <c r="U1622">
        <v>1</v>
      </c>
    </row>
    <row r="1623" spans="1:21" x14ac:dyDescent="0.3">
      <c r="A1623" t="s">
        <v>2603</v>
      </c>
      <c r="B1623" t="s">
        <v>2604</v>
      </c>
      <c r="C1623" t="s">
        <v>174</v>
      </c>
      <c r="D1623" t="s">
        <v>233</v>
      </c>
      <c r="E1623" t="s">
        <v>108</v>
      </c>
      <c r="F1623" s="6">
        <v>45291</v>
      </c>
      <c r="G1623">
        <v>0</v>
      </c>
      <c r="H1623">
        <v>0.28000000000000003</v>
      </c>
      <c r="I1623">
        <v>0.99719999999999998</v>
      </c>
      <c r="J1623">
        <v>0.99002800000000002</v>
      </c>
      <c r="K1623" t="s">
        <v>31</v>
      </c>
      <c r="L1623" t="s">
        <v>31</v>
      </c>
      <c r="M1623">
        <v>2023</v>
      </c>
      <c r="N1623" t="s">
        <v>57</v>
      </c>
      <c r="O1623" t="s">
        <v>47</v>
      </c>
      <c r="P1623">
        <v>0</v>
      </c>
      <c r="Q1623">
        <v>2</v>
      </c>
      <c r="R1623">
        <v>0</v>
      </c>
      <c r="S1623" t="s">
        <v>99</v>
      </c>
      <c r="T1623" t="s">
        <v>2608</v>
      </c>
      <c r="U1623">
        <v>1</v>
      </c>
    </row>
    <row r="1624" spans="1:21" x14ac:dyDescent="0.3">
      <c r="A1624" t="s">
        <v>2603</v>
      </c>
      <c r="B1624" t="s">
        <v>2604</v>
      </c>
      <c r="C1624" t="s">
        <v>174</v>
      </c>
      <c r="D1624" t="s">
        <v>233</v>
      </c>
      <c r="E1624" t="s">
        <v>108</v>
      </c>
      <c r="F1624" s="6">
        <v>45382</v>
      </c>
      <c r="G1624">
        <v>0</v>
      </c>
      <c r="H1624">
        <v>0.02</v>
      </c>
      <c r="I1624">
        <v>0.99980000000000002</v>
      </c>
      <c r="J1624">
        <v>0.99000200000000005</v>
      </c>
      <c r="K1624" t="s">
        <v>31</v>
      </c>
      <c r="L1624" t="s">
        <v>31</v>
      </c>
      <c r="M1624">
        <v>2024</v>
      </c>
      <c r="N1624" t="s">
        <v>38</v>
      </c>
      <c r="O1624" t="s">
        <v>71</v>
      </c>
      <c r="P1624">
        <v>0</v>
      </c>
      <c r="Q1624">
        <v>2</v>
      </c>
      <c r="R1624">
        <v>0</v>
      </c>
      <c r="S1624" t="s">
        <v>99</v>
      </c>
      <c r="T1624" t="s">
        <v>2609</v>
      </c>
      <c r="U1624">
        <v>1</v>
      </c>
    </row>
    <row r="1625" spans="1:21" x14ac:dyDescent="0.3">
      <c r="A1625" t="s">
        <v>2603</v>
      </c>
      <c r="B1625" t="s">
        <v>2604</v>
      </c>
      <c r="C1625" t="s">
        <v>174</v>
      </c>
      <c r="D1625" t="s">
        <v>233</v>
      </c>
      <c r="E1625" t="s">
        <v>108</v>
      </c>
      <c r="F1625" s="6">
        <v>45473</v>
      </c>
      <c r="G1625">
        <v>0</v>
      </c>
      <c r="H1625">
        <v>0.06</v>
      </c>
      <c r="I1625">
        <v>0.99939999999999996</v>
      </c>
      <c r="J1625">
        <v>0.99000600000000005</v>
      </c>
      <c r="K1625" t="s">
        <v>31</v>
      </c>
      <c r="L1625" t="s">
        <v>31</v>
      </c>
      <c r="M1625">
        <v>2024</v>
      </c>
      <c r="N1625" t="s">
        <v>44</v>
      </c>
      <c r="O1625" t="s">
        <v>71</v>
      </c>
      <c r="P1625">
        <v>0</v>
      </c>
      <c r="Q1625">
        <v>2</v>
      </c>
      <c r="R1625">
        <v>0</v>
      </c>
      <c r="S1625" t="s">
        <v>99</v>
      </c>
      <c r="T1625" t="s">
        <v>2610</v>
      </c>
      <c r="U1625">
        <v>1</v>
      </c>
    </row>
    <row r="1626" spans="1:21" x14ac:dyDescent="0.3">
      <c r="A1626" t="s">
        <v>2603</v>
      </c>
      <c r="B1626" t="s">
        <v>2604</v>
      </c>
      <c r="C1626" t="s">
        <v>174</v>
      </c>
      <c r="D1626" t="s">
        <v>233</v>
      </c>
      <c r="E1626" t="s">
        <v>108</v>
      </c>
      <c r="F1626" s="6">
        <v>45565</v>
      </c>
      <c r="G1626">
        <v>0</v>
      </c>
      <c r="H1626">
        <v>0</v>
      </c>
      <c r="I1626">
        <v>1</v>
      </c>
      <c r="J1626">
        <v>0.99</v>
      </c>
      <c r="K1626" t="s">
        <v>31</v>
      </c>
      <c r="L1626" t="s">
        <v>31</v>
      </c>
      <c r="M1626">
        <v>2024</v>
      </c>
      <c r="N1626" t="s">
        <v>51</v>
      </c>
      <c r="O1626" t="s">
        <v>78</v>
      </c>
      <c r="P1626">
        <v>0</v>
      </c>
      <c r="Q1626">
        <v>2</v>
      </c>
      <c r="R1626">
        <v>0</v>
      </c>
      <c r="S1626" t="s">
        <v>99</v>
      </c>
      <c r="T1626" t="s">
        <v>2611</v>
      </c>
      <c r="U1626">
        <v>1</v>
      </c>
    </row>
    <row r="1627" spans="1:21" x14ac:dyDescent="0.3">
      <c r="A1627" t="s">
        <v>2603</v>
      </c>
      <c r="B1627" t="s">
        <v>2604</v>
      </c>
      <c r="C1627" t="s">
        <v>174</v>
      </c>
      <c r="D1627" t="s">
        <v>233</v>
      </c>
      <c r="E1627" t="s">
        <v>108</v>
      </c>
      <c r="F1627" s="6">
        <v>45657</v>
      </c>
      <c r="G1627">
        <v>0</v>
      </c>
      <c r="H1627">
        <v>0</v>
      </c>
      <c r="I1627">
        <v>1</v>
      </c>
      <c r="J1627">
        <v>0.99</v>
      </c>
      <c r="K1627" t="s">
        <v>31</v>
      </c>
      <c r="L1627" t="s">
        <v>31</v>
      </c>
      <c r="M1627">
        <v>2024</v>
      </c>
      <c r="N1627" t="s">
        <v>57</v>
      </c>
      <c r="O1627" t="s">
        <v>78</v>
      </c>
      <c r="P1627">
        <v>0</v>
      </c>
      <c r="Q1627">
        <v>2</v>
      </c>
      <c r="R1627">
        <v>0</v>
      </c>
      <c r="S1627" t="s">
        <v>99</v>
      </c>
      <c r="T1627" t="s">
        <v>2612</v>
      </c>
      <c r="U1627">
        <v>1</v>
      </c>
    </row>
    <row r="1628" spans="1:21" x14ac:dyDescent="0.3">
      <c r="A1628" t="s">
        <v>2603</v>
      </c>
      <c r="B1628" t="s">
        <v>2604</v>
      </c>
      <c r="C1628" t="s">
        <v>174</v>
      </c>
      <c r="D1628" t="s">
        <v>233</v>
      </c>
      <c r="E1628" t="s">
        <v>108</v>
      </c>
      <c r="F1628" s="6">
        <v>45747</v>
      </c>
      <c r="G1628">
        <v>0</v>
      </c>
      <c r="H1628" t="s">
        <v>121</v>
      </c>
      <c r="I1628">
        <v>0</v>
      </c>
      <c r="J1628">
        <v>0</v>
      </c>
      <c r="K1628" t="s">
        <v>122</v>
      </c>
      <c r="L1628" t="s">
        <v>122</v>
      </c>
      <c r="M1628">
        <v>2025</v>
      </c>
      <c r="N1628" t="s">
        <v>38</v>
      </c>
      <c r="O1628" t="s">
        <v>244</v>
      </c>
      <c r="P1628">
        <v>2</v>
      </c>
      <c r="Q1628">
        <v>2</v>
      </c>
      <c r="R1628">
        <v>0</v>
      </c>
      <c r="S1628" t="s">
        <v>336</v>
      </c>
      <c r="T1628" t="s">
        <v>2613</v>
      </c>
      <c r="U1628">
        <v>31</v>
      </c>
    </row>
    <row r="1629" spans="1:21" x14ac:dyDescent="0.3">
      <c r="A1629" t="s">
        <v>2603</v>
      </c>
      <c r="B1629" t="s">
        <v>2604</v>
      </c>
      <c r="C1629" t="s">
        <v>174</v>
      </c>
      <c r="D1629" t="s">
        <v>233</v>
      </c>
      <c r="E1629" t="s">
        <v>108</v>
      </c>
      <c r="F1629" s="6">
        <v>45838</v>
      </c>
      <c r="G1629">
        <v>0</v>
      </c>
      <c r="H1629" t="s">
        <v>2614</v>
      </c>
      <c r="I1629">
        <v>0</v>
      </c>
      <c r="J1629">
        <v>0</v>
      </c>
      <c r="K1629" t="s">
        <v>122</v>
      </c>
      <c r="L1629" t="s">
        <v>2615</v>
      </c>
      <c r="M1629">
        <v>2025</v>
      </c>
      <c r="N1629" t="s">
        <v>44</v>
      </c>
      <c r="O1629" t="s">
        <v>244</v>
      </c>
      <c r="P1629">
        <v>2</v>
      </c>
      <c r="Q1629">
        <v>2</v>
      </c>
      <c r="R1629">
        <v>0</v>
      </c>
      <c r="S1629" t="s">
        <v>336</v>
      </c>
      <c r="T1629" t="s">
        <v>2616</v>
      </c>
      <c r="U1629">
        <v>30</v>
      </c>
    </row>
    <row r="1630" spans="1:21" x14ac:dyDescent="0.3">
      <c r="A1630" t="s">
        <v>2617</v>
      </c>
      <c r="B1630" t="s">
        <v>2618</v>
      </c>
      <c r="C1630" t="s">
        <v>2619</v>
      </c>
      <c r="D1630" t="s">
        <v>222</v>
      </c>
      <c r="E1630" t="s">
        <v>30</v>
      </c>
      <c r="F1630" s="6">
        <v>45107</v>
      </c>
      <c r="G1630">
        <v>35</v>
      </c>
      <c r="H1630">
        <v>40.384615384615003</v>
      </c>
      <c r="I1630">
        <v>1.153846153846154</v>
      </c>
      <c r="J1630">
        <v>1.1538461538461431</v>
      </c>
      <c r="K1630" t="s">
        <v>109</v>
      </c>
      <c r="L1630" t="s">
        <v>109</v>
      </c>
      <c r="M1630">
        <v>2023</v>
      </c>
      <c r="N1630" t="s">
        <v>44</v>
      </c>
      <c r="O1630" t="s">
        <v>33</v>
      </c>
      <c r="P1630">
        <v>0</v>
      </c>
      <c r="Q1630">
        <v>0</v>
      </c>
      <c r="R1630">
        <v>1</v>
      </c>
      <c r="S1630" t="s">
        <v>99</v>
      </c>
      <c r="T1630" t="s">
        <v>2620</v>
      </c>
      <c r="U1630">
        <v>1</v>
      </c>
    </row>
    <row r="1631" spans="1:21" x14ac:dyDescent="0.3">
      <c r="A1631" t="s">
        <v>2617</v>
      </c>
      <c r="B1631" t="s">
        <v>2618</v>
      </c>
      <c r="C1631" t="s">
        <v>2619</v>
      </c>
      <c r="D1631" t="s">
        <v>222</v>
      </c>
      <c r="E1631" t="s">
        <v>30</v>
      </c>
      <c r="F1631" s="6">
        <v>45291</v>
      </c>
      <c r="G1631">
        <v>35</v>
      </c>
      <c r="H1631">
        <v>40.384615384615401</v>
      </c>
      <c r="I1631">
        <v>1.153846153846154</v>
      </c>
      <c r="J1631">
        <v>1.153846153846154</v>
      </c>
      <c r="K1631" t="s">
        <v>109</v>
      </c>
      <c r="L1631" t="s">
        <v>109</v>
      </c>
      <c r="M1631">
        <v>2023</v>
      </c>
      <c r="N1631" t="s">
        <v>57</v>
      </c>
      <c r="O1631" t="s">
        <v>47</v>
      </c>
      <c r="P1631">
        <v>0</v>
      </c>
      <c r="Q1631">
        <v>0</v>
      </c>
      <c r="R1631">
        <v>1</v>
      </c>
      <c r="S1631" t="s">
        <v>99</v>
      </c>
      <c r="T1631" t="s">
        <v>2621</v>
      </c>
      <c r="U1631">
        <v>1</v>
      </c>
    </row>
    <row r="1632" spans="1:21" x14ac:dyDescent="0.3">
      <c r="A1632" t="s">
        <v>2622</v>
      </c>
      <c r="B1632" t="s">
        <v>2623</v>
      </c>
      <c r="C1632" t="s">
        <v>2619</v>
      </c>
      <c r="D1632" t="s">
        <v>222</v>
      </c>
      <c r="E1632" t="s">
        <v>30</v>
      </c>
      <c r="F1632" s="6">
        <v>45107</v>
      </c>
      <c r="G1632">
        <v>10</v>
      </c>
      <c r="H1632">
        <v>5.07</v>
      </c>
      <c r="I1632">
        <v>0.50700000000000001</v>
      </c>
      <c r="J1632">
        <v>0.50700000000000001</v>
      </c>
      <c r="K1632" t="s">
        <v>109</v>
      </c>
      <c r="L1632" t="s">
        <v>109</v>
      </c>
      <c r="M1632">
        <v>2023</v>
      </c>
      <c r="N1632" t="s">
        <v>44</v>
      </c>
      <c r="O1632" t="s">
        <v>33</v>
      </c>
      <c r="P1632">
        <v>2</v>
      </c>
      <c r="Q1632">
        <v>2</v>
      </c>
      <c r="R1632">
        <v>0</v>
      </c>
      <c r="S1632" t="s">
        <v>99</v>
      </c>
      <c r="T1632" t="s">
        <v>2624</v>
      </c>
      <c r="U1632">
        <v>1</v>
      </c>
    </row>
    <row r="1633" spans="1:21" x14ac:dyDescent="0.3">
      <c r="A1633" t="s">
        <v>2622</v>
      </c>
      <c r="B1633" t="s">
        <v>2623</v>
      </c>
      <c r="C1633" t="s">
        <v>2619</v>
      </c>
      <c r="D1633" t="s">
        <v>222</v>
      </c>
      <c r="E1633" t="s">
        <v>30</v>
      </c>
      <c r="F1633" s="6">
        <v>45291</v>
      </c>
      <c r="G1633">
        <v>10</v>
      </c>
      <c r="H1633">
        <v>31.77</v>
      </c>
      <c r="I1633">
        <v>3.177</v>
      </c>
      <c r="J1633">
        <v>3.177</v>
      </c>
      <c r="K1633" t="s">
        <v>109</v>
      </c>
      <c r="L1633" t="s">
        <v>109</v>
      </c>
      <c r="M1633">
        <v>2023</v>
      </c>
      <c r="N1633" t="s">
        <v>57</v>
      </c>
      <c r="O1633" t="s">
        <v>47</v>
      </c>
      <c r="P1633">
        <v>0</v>
      </c>
      <c r="Q1633">
        <v>0</v>
      </c>
      <c r="R1633">
        <v>0</v>
      </c>
      <c r="S1633" t="s">
        <v>99</v>
      </c>
      <c r="T1633" t="s">
        <v>2625</v>
      </c>
      <c r="U1633">
        <v>1</v>
      </c>
    </row>
    <row r="1634" spans="1:21" x14ac:dyDescent="0.3">
      <c r="A1634" t="s">
        <v>2626</v>
      </c>
      <c r="B1634" t="s">
        <v>2627</v>
      </c>
      <c r="C1634" t="s">
        <v>178</v>
      </c>
      <c r="D1634" t="s">
        <v>98</v>
      </c>
      <c r="E1634" t="s">
        <v>30</v>
      </c>
      <c r="F1634" s="6">
        <v>45291</v>
      </c>
      <c r="G1634">
        <v>1</v>
      </c>
      <c r="H1634">
        <v>1.65</v>
      </c>
      <c r="I1634">
        <v>1.65</v>
      </c>
      <c r="J1634">
        <v>1.65</v>
      </c>
      <c r="K1634" t="s">
        <v>109</v>
      </c>
      <c r="L1634" t="s">
        <v>109</v>
      </c>
      <c r="M1634">
        <v>2023</v>
      </c>
      <c r="N1634" t="s">
        <v>57</v>
      </c>
      <c r="O1634" t="s">
        <v>47</v>
      </c>
      <c r="P1634">
        <v>0</v>
      </c>
      <c r="Q1634">
        <v>0</v>
      </c>
      <c r="R1634">
        <v>0</v>
      </c>
      <c r="S1634" t="s">
        <v>336</v>
      </c>
      <c r="T1634" t="s">
        <v>2628</v>
      </c>
      <c r="U1634">
        <v>1</v>
      </c>
    </row>
    <row r="1635" spans="1:21" x14ac:dyDescent="0.3">
      <c r="A1635" t="s">
        <v>2626</v>
      </c>
      <c r="B1635" t="s">
        <v>2627</v>
      </c>
      <c r="C1635" t="s">
        <v>178</v>
      </c>
      <c r="D1635" t="s">
        <v>98</v>
      </c>
      <c r="E1635" t="s">
        <v>30</v>
      </c>
      <c r="F1635" s="6">
        <v>45657</v>
      </c>
      <c r="G1635">
        <v>0</v>
      </c>
      <c r="H1635">
        <v>1.69</v>
      </c>
      <c r="M1635">
        <v>2024</v>
      </c>
      <c r="N1635" t="s">
        <v>57</v>
      </c>
      <c r="O1635" t="s">
        <v>78</v>
      </c>
      <c r="P1635">
        <v>0</v>
      </c>
      <c r="Q1635">
        <v>0</v>
      </c>
      <c r="R1635">
        <v>0</v>
      </c>
      <c r="S1635" t="s">
        <v>336</v>
      </c>
      <c r="T1635" t="s">
        <v>2629</v>
      </c>
      <c r="U1635">
        <v>1</v>
      </c>
    </row>
    <row r="1636" spans="1:21" x14ac:dyDescent="0.3">
      <c r="A1636" t="s">
        <v>2626</v>
      </c>
      <c r="B1636" t="s">
        <v>2627</v>
      </c>
      <c r="C1636" t="s">
        <v>178</v>
      </c>
      <c r="D1636" t="s">
        <v>98</v>
      </c>
      <c r="E1636" t="s">
        <v>30</v>
      </c>
      <c r="F1636" s="6">
        <v>46022</v>
      </c>
      <c r="H1636" t="s">
        <v>2630</v>
      </c>
      <c r="I1636">
        <v>0</v>
      </c>
      <c r="J1636">
        <v>0</v>
      </c>
      <c r="L1636" t="s">
        <v>2631</v>
      </c>
      <c r="M1636">
        <v>2025</v>
      </c>
      <c r="N1636" t="s">
        <v>57</v>
      </c>
      <c r="O1636" t="s">
        <v>103</v>
      </c>
      <c r="P1636">
        <v>2</v>
      </c>
      <c r="Q1636">
        <v>2</v>
      </c>
      <c r="R1636">
        <v>0</v>
      </c>
      <c r="S1636" t="s">
        <v>336</v>
      </c>
      <c r="T1636" t="s">
        <v>2632</v>
      </c>
      <c r="U1636">
        <v>31</v>
      </c>
    </row>
    <row r="1637" spans="1:21" x14ac:dyDescent="0.3">
      <c r="A1637" t="s">
        <v>2633</v>
      </c>
      <c r="B1637" t="s">
        <v>2634</v>
      </c>
      <c r="C1637" t="s">
        <v>178</v>
      </c>
      <c r="D1637" t="s">
        <v>222</v>
      </c>
      <c r="E1637" t="s">
        <v>108</v>
      </c>
      <c r="F1637" s="6">
        <v>45107</v>
      </c>
      <c r="G1637">
        <v>60</v>
      </c>
      <c r="H1637">
        <v>49.21</v>
      </c>
      <c r="I1637">
        <v>1.2192643771591141</v>
      </c>
      <c r="J1637">
        <v>1.2192643771591141</v>
      </c>
      <c r="K1637" t="s">
        <v>31</v>
      </c>
      <c r="L1637" t="s">
        <v>31</v>
      </c>
      <c r="M1637">
        <v>2023</v>
      </c>
      <c r="N1637" t="s">
        <v>44</v>
      </c>
      <c r="O1637" t="s">
        <v>33</v>
      </c>
      <c r="P1637">
        <v>0</v>
      </c>
      <c r="Q1637">
        <v>0</v>
      </c>
      <c r="R1637">
        <v>0</v>
      </c>
      <c r="S1637" t="s">
        <v>336</v>
      </c>
      <c r="T1637" t="s">
        <v>2635</v>
      </c>
      <c r="U1637">
        <v>1</v>
      </c>
    </row>
    <row r="1638" spans="1:21" x14ac:dyDescent="0.3">
      <c r="A1638" t="s">
        <v>2633</v>
      </c>
      <c r="B1638" t="s">
        <v>2634</v>
      </c>
      <c r="C1638" t="s">
        <v>178</v>
      </c>
      <c r="D1638" t="s">
        <v>222</v>
      </c>
      <c r="E1638" t="s">
        <v>108</v>
      </c>
      <c r="F1638" s="6">
        <v>45291</v>
      </c>
      <c r="G1638">
        <v>60</v>
      </c>
      <c r="H1638">
        <v>61.54</v>
      </c>
      <c r="I1638">
        <v>0.9749756256093598</v>
      </c>
      <c r="J1638">
        <v>0.9749756256093598</v>
      </c>
      <c r="K1638" t="s">
        <v>31</v>
      </c>
      <c r="L1638" t="s">
        <v>31</v>
      </c>
      <c r="M1638">
        <v>2023</v>
      </c>
      <c r="N1638" t="s">
        <v>57</v>
      </c>
      <c r="O1638" t="s">
        <v>47</v>
      </c>
      <c r="P1638">
        <v>0</v>
      </c>
      <c r="Q1638">
        <v>0</v>
      </c>
      <c r="R1638">
        <v>0</v>
      </c>
      <c r="S1638" t="s">
        <v>336</v>
      </c>
      <c r="T1638" t="s">
        <v>2636</v>
      </c>
      <c r="U1638">
        <v>1</v>
      </c>
    </row>
    <row r="1639" spans="1:21" x14ac:dyDescent="0.3">
      <c r="A1639" t="s">
        <v>2633</v>
      </c>
      <c r="B1639" t="s">
        <v>2634</v>
      </c>
      <c r="C1639" t="s">
        <v>178</v>
      </c>
      <c r="D1639" t="s">
        <v>222</v>
      </c>
      <c r="E1639" t="s">
        <v>108</v>
      </c>
      <c r="F1639" s="6">
        <v>45473</v>
      </c>
      <c r="G1639">
        <v>60</v>
      </c>
      <c r="H1639">
        <v>54.08</v>
      </c>
      <c r="I1639">
        <v>1.109467455621302</v>
      </c>
      <c r="J1639">
        <v>1.109467455621302</v>
      </c>
      <c r="K1639" t="s">
        <v>31</v>
      </c>
      <c r="L1639" t="s">
        <v>31</v>
      </c>
      <c r="M1639">
        <v>2024</v>
      </c>
      <c r="N1639" t="s">
        <v>44</v>
      </c>
      <c r="O1639" t="s">
        <v>71</v>
      </c>
      <c r="P1639">
        <v>1</v>
      </c>
      <c r="Q1639">
        <v>1</v>
      </c>
      <c r="R1639">
        <v>0</v>
      </c>
      <c r="S1639" t="s">
        <v>336</v>
      </c>
      <c r="T1639" t="s">
        <v>2637</v>
      </c>
      <c r="U1639">
        <v>1</v>
      </c>
    </row>
    <row r="1640" spans="1:21" x14ac:dyDescent="0.3">
      <c r="A1640" t="s">
        <v>2633</v>
      </c>
      <c r="B1640" t="s">
        <v>2634</v>
      </c>
      <c r="C1640" t="s">
        <v>178</v>
      </c>
      <c r="D1640" t="s">
        <v>222</v>
      </c>
      <c r="E1640" t="s">
        <v>108</v>
      </c>
      <c r="F1640" s="6">
        <v>45657</v>
      </c>
      <c r="G1640">
        <v>60</v>
      </c>
      <c r="H1640">
        <v>65.55</v>
      </c>
      <c r="I1640">
        <v>0.91533180778032042</v>
      </c>
      <c r="J1640">
        <v>0.91533180778032042</v>
      </c>
      <c r="K1640" t="s">
        <v>31</v>
      </c>
      <c r="L1640" t="s">
        <v>31</v>
      </c>
      <c r="M1640">
        <v>2024</v>
      </c>
      <c r="N1640" t="s">
        <v>57</v>
      </c>
      <c r="O1640" t="s">
        <v>78</v>
      </c>
      <c r="P1640">
        <v>1</v>
      </c>
      <c r="Q1640">
        <v>1</v>
      </c>
      <c r="R1640">
        <v>0</v>
      </c>
      <c r="S1640" t="s">
        <v>336</v>
      </c>
      <c r="T1640" t="s">
        <v>2638</v>
      </c>
      <c r="U1640">
        <v>1</v>
      </c>
    </row>
    <row r="1641" spans="1:21" x14ac:dyDescent="0.3">
      <c r="A1641" t="s">
        <v>2633</v>
      </c>
      <c r="B1641" t="s">
        <v>2634</v>
      </c>
      <c r="C1641" t="s">
        <v>178</v>
      </c>
      <c r="D1641" t="s">
        <v>222</v>
      </c>
      <c r="E1641" t="s">
        <v>108</v>
      </c>
      <c r="F1641" s="6">
        <v>45838</v>
      </c>
      <c r="G1641">
        <v>60</v>
      </c>
      <c r="H1641" t="s">
        <v>2639</v>
      </c>
      <c r="I1641">
        <v>1.2210012210012211</v>
      </c>
      <c r="J1641">
        <v>1.2210012210012211</v>
      </c>
      <c r="K1641" t="s">
        <v>2640</v>
      </c>
      <c r="L1641" t="s">
        <v>2641</v>
      </c>
      <c r="M1641">
        <v>2025</v>
      </c>
      <c r="N1641" t="s">
        <v>44</v>
      </c>
      <c r="O1641" t="s">
        <v>244</v>
      </c>
      <c r="P1641">
        <v>2</v>
      </c>
      <c r="Q1641">
        <v>2</v>
      </c>
      <c r="R1641">
        <v>0</v>
      </c>
      <c r="S1641" t="s">
        <v>336</v>
      </c>
      <c r="T1641" t="s">
        <v>2642</v>
      </c>
      <c r="U1641">
        <v>30</v>
      </c>
    </row>
    <row r="1642" spans="1:21" x14ac:dyDescent="0.3">
      <c r="A1642" t="s">
        <v>2633</v>
      </c>
      <c r="B1642" t="s">
        <v>2634</v>
      </c>
      <c r="C1642" t="s">
        <v>178</v>
      </c>
      <c r="D1642" t="s">
        <v>222</v>
      </c>
      <c r="E1642" t="s">
        <v>108</v>
      </c>
      <c r="F1642" s="6">
        <v>46022</v>
      </c>
      <c r="G1642">
        <v>60</v>
      </c>
      <c r="H1642" t="s">
        <v>2643</v>
      </c>
      <c r="I1642">
        <v>0.92635479388605846</v>
      </c>
      <c r="J1642">
        <v>0.92635479388605846</v>
      </c>
      <c r="K1642" t="s">
        <v>2640</v>
      </c>
      <c r="L1642" t="s">
        <v>2644</v>
      </c>
      <c r="M1642">
        <v>2025</v>
      </c>
      <c r="N1642" t="s">
        <v>57</v>
      </c>
      <c r="O1642" t="s">
        <v>103</v>
      </c>
      <c r="P1642">
        <v>2</v>
      </c>
      <c r="Q1642">
        <v>2</v>
      </c>
      <c r="R1642">
        <v>0</v>
      </c>
      <c r="S1642" t="s">
        <v>336</v>
      </c>
      <c r="T1642" t="s">
        <v>2645</v>
      </c>
      <c r="U1642">
        <v>31</v>
      </c>
    </row>
    <row r="1643" spans="1:21" x14ac:dyDescent="0.3">
      <c r="A1643" t="s">
        <v>2646</v>
      </c>
      <c r="B1643" t="s">
        <v>2647</v>
      </c>
      <c r="C1643" t="s">
        <v>178</v>
      </c>
      <c r="D1643" t="s">
        <v>222</v>
      </c>
      <c r="E1643" t="s">
        <v>30</v>
      </c>
      <c r="F1643" s="6">
        <v>45107</v>
      </c>
      <c r="H1643">
        <v>3.01</v>
      </c>
      <c r="K1643" t="s">
        <v>761</v>
      </c>
      <c r="L1643" t="s">
        <v>109</v>
      </c>
      <c r="M1643">
        <v>2023</v>
      </c>
      <c r="N1643" t="s">
        <v>44</v>
      </c>
      <c r="O1643" t="s">
        <v>33</v>
      </c>
      <c r="P1643">
        <v>2</v>
      </c>
      <c r="Q1643">
        <v>2</v>
      </c>
      <c r="R1643">
        <v>0</v>
      </c>
      <c r="S1643" t="s">
        <v>336</v>
      </c>
      <c r="T1643" t="s">
        <v>2648</v>
      </c>
      <c r="U1643">
        <v>1</v>
      </c>
    </row>
    <row r="1644" spans="1:21" x14ac:dyDescent="0.3">
      <c r="A1644" t="s">
        <v>2646</v>
      </c>
      <c r="B1644" t="s">
        <v>2647</v>
      </c>
      <c r="C1644" t="s">
        <v>178</v>
      </c>
      <c r="D1644" t="s">
        <v>222</v>
      </c>
      <c r="E1644" t="s">
        <v>30</v>
      </c>
      <c r="F1644" s="6">
        <v>45291</v>
      </c>
      <c r="H1644">
        <v>4.45</v>
      </c>
      <c r="K1644" t="s">
        <v>761</v>
      </c>
      <c r="L1644" t="s">
        <v>109</v>
      </c>
      <c r="M1644">
        <v>2023</v>
      </c>
      <c r="N1644" t="s">
        <v>57</v>
      </c>
      <c r="O1644" t="s">
        <v>47</v>
      </c>
      <c r="P1644">
        <v>0</v>
      </c>
      <c r="Q1644">
        <v>0</v>
      </c>
      <c r="R1644">
        <v>0</v>
      </c>
      <c r="S1644" t="s">
        <v>336</v>
      </c>
      <c r="T1644" t="s">
        <v>2649</v>
      </c>
      <c r="U1644">
        <v>1</v>
      </c>
    </row>
    <row r="1645" spans="1:21" x14ac:dyDescent="0.3">
      <c r="A1645" t="s">
        <v>2646</v>
      </c>
      <c r="B1645" t="s">
        <v>2647</v>
      </c>
      <c r="C1645" t="s">
        <v>178</v>
      </c>
      <c r="D1645" t="s">
        <v>222</v>
      </c>
      <c r="E1645" t="s">
        <v>30</v>
      </c>
      <c r="F1645" s="6">
        <v>45473</v>
      </c>
      <c r="H1645">
        <v>3.87</v>
      </c>
      <c r="K1645" t="s">
        <v>761</v>
      </c>
      <c r="L1645" t="s">
        <v>109</v>
      </c>
      <c r="M1645">
        <v>2024</v>
      </c>
      <c r="N1645" t="s">
        <v>44</v>
      </c>
      <c r="O1645" t="s">
        <v>71</v>
      </c>
      <c r="P1645">
        <v>2</v>
      </c>
      <c r="Q1645">
        <v>2</v>
      </c>
      <c r="R1645">
        <v>0</v>
      </c>
      <c r="S1645" t="s">
        <v>336</v>
      </c>
      <c r="T1645" t="s">
        <v>2650</v>
      </c>
      <c r="U1645">
        <v>1</v>
      </c>
    </row>
    <row r="1646" spans="1:21" x14ac:dyDescent="0.3">
      <c r="A1646" t="s">
        <v>2646</v>
      </c>
      <c r="B1646" t="s">
        <v>2647</v>
      </c>
      <c r="C1646" t="s">
        <v>178</v>
      </c>
      <c r="D1646" t="s">
        <v>222</v>
      </c>
      <c r="E1646" t="s">
        <v>30</v>
      </c>
      <c r="F1646" s="6">
        <v>45657</v>
      </c>
      <c r="H1646">
        <v>0.51</v>
      </c>
      <c r="K1646" t="s">
        <v>761</v>
      </c>
      <c r="L1646" t="s">
        <v>109</v>
      </c>
      <c r="M1646">
        <v>2024</v>
      </c>
      <c r="N1646" t="s">
        <v>57</v>
      </c>
      <c r="O1646" t="s">
        <v>78</v>
      </c>
      <c r="P1646">
        <v>2</v>
      </c>
      <c r="Q1646">
        <v>2</v>
      </c>
      <c r="R1646">
        <v>0</v>
      </c>
      <c r="S1646" t="s">
        <v>336</v>
      </c>
      <c r="T1646" t="s">
        <v>2651</v>
      </c>
      <c r="U1646">
        <v>1</v>
      </c>
    </row>
    <row r="1647" spans="1:21" x14ac:dyDescent="0.3">
      <c r="A1647" t="s">
        <v>2646</v>
      </c>
      <c r="B1647" t="s">
        <v>2652</v>
      </c>
      <c r="C1647" t="s">
        <v>178</v>
      </c>
      <c r="D1647" t="s">
        <v>222</v>
      </c>
      <c r="E1647" t="s">
        <v>30</v>
      </c>
      <c r="F1647" s="6">
        <v>45838</v>
      </c>
      <c r="H1647" t="s">
        <v>2456</v>
      </c>
      <c r="I1647">
        <v>0</v>
      </c>
      <c r="J1647">
        <v>0</v>
      </c>
      <c r="L1647" t="s">
        <v>2458</v>
      </c>
      <c r="M1647">
        <v>2025</v>
      </c>
      <c r="N1647" t="s">
        <v>44</v>
      </c>
      <c r="O1647" t="s">
        <v>244</v>
      </c>
      <c r="P1647">
        <v>2</v>
      </c>
      <c r="Q1647">
        <v>2</v>
      </c>
      <c r="R1647">
        <v>0</v>
      </c>
      <c r="S1647" t="s">
        <v>336</v>
      </c>
      <c r="T1647" t="s">
        <v>2653</v>
      </c>
      <c r="U1647">
        <v>30</v>
      </c>
    </row>
    <row r="1648" spans="1:21" x14ac:dyDescent="0.3">
      <c r="A1648" t="s">
        <v>2654</v>
      </c>
      <c r="B1648" t="s">
        <v>2655</v>
      </c>
      <c r="C1648" t="s">
        <v>2656</v>
      </c>
      <c r="D1648" t="s">
        <v>222</v>
      </c>
      <c r="E1648" t="s">
        <v>30</v>
      </c>
      <c r="F1648" s="6">
        <v>45107</v>
      </c>
      <c r="G1648">
        <v>87</v>
      </c>
      <c r="H1648">
        <v>86.98</v>
      </c>
      <c r="I1648">
        <v>0.99977011494252876</v>
      </c>
      <c r="J1648">
        <v>0.99977011494252876</v>
      </c>
      <c r="K1648" t="s">
        <v>31</v>
      </c>
      <c r="L1648" t="s">
        <v>31</v>
      </c>
      <c r="M1648">
        <v>2023</v>
      </c>
      <c r="N1648" t="s">
        <v>44</v>
      </c>
      <c r="O1648" t="s">
        <v>33</v>
      </c>
      <c r="P1648">
        <v>0</v>
      </c>
      <c r="Q1648">
        <v>0</v>
      </c>
      <c r="R1648">
        <v>0</v>
      </c>
      <c r="S1648" t="s">
        <v>34</v>
      </c>
      <c r="T1648" t="s">
        <v>2657</v>
      </c>
      <c r="U1648">
        <v>1</v>
      </c>
    </row>
    <row r="1649" spans="1:21" x14ac:dyDescent="0.3">
      <c r="A1649" t="s">
        <v>2654</v>
      </c>
      <c r="B1649" t="s">
        <v>2655</v>
      </c>
      <c r="C1649" t="s">
        <v>2656</v>
      </c>
      <c r="D1649" t="s">
        <v>222</v>
      </c>
      <c r="E1649" t="s">
        <v>30</v>
      </c>
      <c r="F1649" s="6">
        <v>45291</v>
      </c>
      <c r="G1649">
        <v>87</v>
      </c>
      <c r="H1649">
        <v>95</v>
      </c>
      <c r="I1649">
        <v>1.0919540229885061</v>
      </c>
      <c r="J1649">
        <v>1.0919540229885061</v>
      </c>
      <c r="K1649" t="s">
        <v>31</v>
      </c>
      <c r="L1649" t="s">
        <v>31</v>
      </c>
      <c r="M1649">
        <v>2023</v>
      </c>
      <c r="N1649" t="s">
        <v>57</v>
      </c>
      <c r="O1649" t="s">
        <v>47</v>
      </c>
      <c r="P1649">
        <v>0</v>
      </c>
      <c r="Q1649">
        <v>0</v>
      </c>
      <c r="R1649">
        <v>0</v>
      </c>
      <c r="S1649" t="s">
        <v>34</v>
      </c>
      <c r="T1649" t="s">
        <v>2658</v>
      </c>
      <c r="U1649">
        <v>1</v>
      </c>
    </row>
    <row r="1650" spans="1:21" x14ac:dyDescent="0.3">
      <c r="A1650" t="s">
        <v>2654</v>
      </c>
      <c r="B1650" t="s">
        <v>2655</v>
      </c>
      <c r="C1650" t="s">
        <v>2656</v>
      </c>
      <c r="D1650" t="s">
        <v>222</v>
      </c>
      <c r="E1650" t="s">
        <v>30</v>
      </c>
      <c r="F1650" s="6">
        <v>45473</v>
      </c>
      <c r="G1650">
        <v>87</v>
      </c>
      <c r="H1650">
        <v>97.99</v>
      </c>
      <c r="I1650">
        <v>1.1263218390804599</v>
      </c>
      <c r="J1650">
        <v>1.1263218390804599</v>
      </c>
      <c r="K1650" t="s">
        <v>31</v>
      </c>
      <c r="L1650" t="s">
        <v>31</v>
      </c>
      <c r="M1650">
        <v>2024</v>
      </c>
      <c r="N1650" t="s">
        <v>44</v>
      </c>
      <c r="O1650" t="s">
        <v>71</v>
      </c>
      <c r="P1650">
        <v>0</v>
      </c>
      <c r="Q1650">
        <v>0</v>
      </c>
      <c r="R1650">
        <v>0</v>
      </c>
      <c r="S1650" t="s">
        <v>34</v>
      </c>
      <c r="T1650" t="s">
        <v>2659</v>
      </c>
      <c r="U1650">
        <v>1</v>
      </c>
    </row>
    <row r="1651" spans="1:21" x14ac:dyDescent="0.3">
      <c r="A1651" t="s">
        <v>2654</v>
      </c>
      <c r="B1651" t="s">
        <v>2655</v>
      </c>
      <c r="C1651" t="s">
        <v>2656</v>
      </c>
      <c r="D1651" t="s">
        <v>222</v>
      </c>
      <c r="E1651" t="s">
        <v>30</v>
      </c>
      <c r="F1651" s="6">
        <v>45657</v>
      </c>
      <c r="G1651">
        <v>87</v>
      </c>
      <c r="H1651">
        <v>100</v>
      </c>
      <c r="I1651">
        <v>1.149425287356322</v>
      </c>
      <c r="J1651">
        <v>1.149425287356322</v>
      </c>
      <c r="K1651" t="s">
        <v>31</v>
      </c>
      <c r="L1651" t="s">
        <v>31</v>
      </c>
      <c r="M1651">
        <v>2024</v>
      </c>
      <c r="N1651" t="s">
        <v>57</v>
      </c>
      <c r="O1651" t="s">
        <v>78</v>
      </c>
      <c r="P1651">
        <v>0</v>
      </c>
      <c r="Q1651">
        <v>0</v>
      </c>
      <c r="R1651">
        <v>0</v>
      </c>
      <c r="S1651" t="s">
        <v>34</v>
      </c>
      <c r="T1651" t="s">
        <v>2660</v>
      </c>
      <c r="U1651">
        <v>1</v>
      </c>
    </row>
    <row r="1652" spans="1:21" x14ac:dyDescent="0.3">
      <c r="A1652" t="s">
        <v>2654</v>
      </c>
      <c r="B1652" t="s">
        <v>2661</v>
      </c>
      <c r="C1652" t="s">
        <v>2656</v>
      </c>
      <c r="D1652" t="s">
        <v>222</v>
      </c>
      <c r="E1652" t="s">
        <v>30</v>
      </c>
      <c r="F1652" s="6">
        <v>45838</v>
      </c>
      <c r="G1652">
        <v>100</v>
      </c>
      <c r="H1652" t="s">
        <v>95</v>
      </c>
      <c r="I1652">
        <v>1</v>
      </c>
      <c r="J1652">
        <v>1</v>
      </c>
      <c r="K1652" t="s">
        <v>102</v>
      </c>
      <c r="L1652" t="s">
        <v>102</v>
      </c>
      <c r="M1652">
        <v>2025</v>
      </c>
      <c r="N1652" t="s">
        <v>44</v>
      </c>
      <c r="O1652" t="s">
        <v>244</v>
      </c>
      <c r="P1652">
        <v>2</v>
      </c>
      <c r="Q1652">
        <v>2</v>
      </c>
      <c r="R1652">
        <v>0</v>
      </c>
      <c r="S1652" t="s">
        <v>34</v>
      </c>
      <c r="T1652" t="s">
        <v>2662</v>
      </c>
      <c r="U1652">
        <v>30</v>
      </c>
    </row>
    <row r="1653" spans="1:21" x14ac:dyDescent="0.3">
      <c r="A1653" t="s">
        <v>2654</v>
      </c>
      <c r="B1653" t="s">
        <v>2661</v>
      </c>
      <c r="C1653" t="s">
        <v>2656</v>
      </c>
      <c r="D1653" t="s">
        <v>222</v>
      </c>
      <c r="E1653" t="s">
        <v>30</v>
      </c>
      <c r="F1653" s="6">
        <v>46022</v>
      </c>
      <c r="G1653">
        <v>100</v>
      </c>
      <c r="H1653" t="s">
        <v>95</v>
      </c>
      <c r="I1653">
        <v>1</v>
      </c>
      <c r="J1653">
        <v>1</v>
      </c>
      <c r="K1653" t="s">
        <v>102</v>
      </c>
      <c r="L1653" t="s">
        <v>102</v>
      </c>
      <c r="M1653">
        <v>2025</v>
      </c>
      <c r="N1653" t="s">
        <v>57</v>
      </c>
      <c r="O1653" t="s">
        <v>103</v>
      </c>
      <c r="P1653">
        <v>2</v>
      </c>
      <c r="Q1653">
        <v>2</v>
      </c>
      <c r="R1653">
        <v>0</v>
      </c>
      <c r="S1653" t="s">
        <v>34</v>
      </c>
      <c r="T1653" t="s">
        <v>2663</v>
      </c>
      <c r="U1653">
        <v>31</v>
      </c>
    </row>
    <row r="1654" spans="1:21" x14ac:dyDescent="0.3">
      <c r="A1654" t="s">
        <v>2664</v>
      </c>
      <c r="B1654" t="s">
        <v>2665</v>
      </c>
      <c r="C1654" t="s">
        <v>1988</v>
      </c>
      <c r="D1654" t="s">
        <v>222</v>
      </c>
      <c r="E1654" t="s">
        <v>30</v>
      </c>
      <c r="F1654" s="6">
        <v>45657</v>
      </c>
      <c r="G1654">
        <v>80</v>
      </c>
      <c r="H1654">
        <v>86</v>
      </c>
      <c r="I1654">
        <v>1.075</v>
      </c>
      <c r="J1654">
        <v>1.075</v>
      </c>
      <c r="K1654" t="s">
        <v>31</v>
      </c>
      <c r="L1654" t="s">
        <v>31</v>
      </c>
      <c r="M1654">
        <v>2024</v>
      </c>
      <c r="N1654" t="s">
        <v>57</v>
      </c>
      <c r="O1654" t="s">
        <v>78</v>
      </c>
      <c r="P1654">
        <v>0</v>
      </c>
      <c r="Q1654">
        <v>0</v>
      </c>
      <c r="R1654">
        <v>0</v>
      </c>
      <c r="S1654" t="s">
        <v>130</v>
      </c>
      <c r="T1654" t="s">
        <v>2666</v>
      </c>
      <c r="U1654">
        <v>1</v>
      </c>
    </row>
    <row r="1655" spans="1:21" x14ac:dyDescent="0.3">
      <c r="A1655" t="s">
        <v>2664</v>
      </c>
      <c r="B1655" t="s">
        <v>2667</v>
      </c>
      <c r="C1655" t="s">
        <v>1988</v>
      </c>
      <c r="D1655" t="s">
        <v>222</v>
      </c>
      <c r="E1655" t="s">
        <v>30</v>
      </c>
      <c r="F1655" s="6">
        <v>45838</v>
      </c>
      <c r="G1655">
        <v>80</v>
      </c>
      <c r="H1655" t="s">
        <v>255</v>
      </c>
      <c r="I1655">
        <v>1.125</v>
      </c>
      <c r="J1655">
        <v>1.125</v>
      </c>
      <c r="K1655" t="s">
        <v>193</v>
      </c>
      <c r="L1655" t="s">
        <v>256</v>
      </c>
      <c r="M1655">
        <v>2025</v>
      </c>
      <c r="N1655" t="s">
        <v>44</v>
      </c>
      <c r="O1655" t="s">
        <v>244</v>
      </c>
      <c r="P1655">
        <v>2</v>
      </c>
      <c r="Q1655">
        <v>2</v>
      </c>
      <c r="R1655">
        <v>0</v>
      </c>
      <c r="S1655" t="s">
        <v>130</v>
      </c>
      <c r="T1655" t="s">
        <v>2668</v>
      </c>
      <c r="U1655">
        <v>30</v>
      </c>
    </row>
    <row r="1656" spans="1:21" x14ac:dyDescent="0.3">
      <c r="A1656" t="s">
        <v>2664</v>
      </c>
      <c r="B1656" t="s">
        <v>2667</v>
      </c>
      <c r="C1656" t="s">
        <v>1988</v>
      </c>
      <c r="D1656" t="s">
        <v>222</v>
      </c>
      <c r="E1656" t="s">
        <v>30</v>
      </c>
      <c r="F1656" s="6">
        <v>46022</v>
      </c>
      <c r="G1656">
        <v>85</v>
      </c>
      <c r="H1656" t="s">
        <v>2669</v>
      </c>
      <c r="I1656">
        <v>1.0576470588235289</v>
      </c>
      <c r="J1656">
        <v>1.0576470588235289</v>
      </c>
      <c r="K1656" t="s">
        <v>2357</v>
      </c>
      <c r="L1656" t="s">
        <v>2670</v>
      </c>
      <c r="M1656">
        <v>2025</v>
      </c>
      <c r="N1656" t="s">
        <v>57</v>
      </c>
      <c r="O1656" t="s">
        <v>103</v>
      </c>
      <c r="P1656">
        <v>2</v>
      </c>
      <c r="Q1656">
        <v>2</v>
      </c>
      <c r="R1656">
        <v>0</v>
      </c>
      <c r="S1656" t="s">
        <v>130</v>
      </c>
      <c r="T1656" t="s">
        <v>2671</v>
      </c>
      <c r="U1656">
        <v>31</v>
      </c>
    </row>
    <row r="1657" spans="1:21" x14ac:dyDescent="0.3">
      <c r="A1657" t="s">
        <v>2672</v>
      </c>
      <c r="B1657" t="s">
        <v>2673</v>
      </c>
      <c r="C1657" t="s">
        <v>649</v>
      </c>
      <c r="D1657" t="s">
        <v>222</v>
      </c>
      <c r="E1657" t="s">
        <v>30</v>
      </c>
      <c r="F1657" s="6">
        <v>45107</v>
      </c>
      <c r="G1657">
        <v>0</v>
      </c>
      <c r="H1657">
        <v>0</v>
      </c>
      <c r="M1657">
        <v>2023</v>
      </c>
      <c r="N1657" t="s">
        <v>44</v>
      </c>
      <c r="O1657" t="s">
        <v>33</v>
      </c>
      <c r="P1657">
        <v>0</v>
      </c>
      <c r="Q1657">
        <v>0</v>
      </c>
      <c r="R1657">
        <v>1</v>
      </c>
      <c r="S1657" t="s">
        <v>130</v>
      </c>
      <c r="T1657" t="s">
        <v>2674</v>
      </c>
      <c r="U1657">
        <v>1</v>
      </c>
    </row>
    <row r="1658" spans="1:21" x14ac:dyDescent="0.3">
      <c r="A1658" t="s">
        <v>2672</v>
      </c>
      <c r="B1658" t="s">
        <v>2673</v>
      </c>
      <c r="C1658" t="s">
        <v>1988</v>
      </c>
      <c r="D1658" t="s">
        <v>222</v>
      </c>
      <c r="E1658" t="s">
        <v>30</v>
      </c>
      <c r="F1658" s="6">
        <v>45291</v>
      </c>
      <c r="G1658">
        <v>0</v>
      </c>
      <c r="H1658">
        <v>0</v>
      </c>
      <c r="M1658">
        <v>2023</v>
      </c>
      <c r="N1658" t="s">
        <v>57</v>
      </c>
      <c r="O1658" t="s">
        <v>47</v>
      </c>
      <c r="P1658">
        <v>0</v>
      </c>
      <c r="Q1658">
        <v>0</v>
      </c>
      <c r="R1658">
        <v>1</v>
      </c>
      <c r="S1658" t="s">
        <v>130</v>
      </c>
      <c r="T1658" t="s">
        <v>2675</v>
      </c>
      <c r="U1658">
        <v>1</v>
      </c>
    </row>
    <row r="1659" spans="1:21" x14ac:dyDescent="0.3">
      <c r="A1659" t="s">
        <v>2676</v>
      </c>
      <c r="B1659" t="s">
        <v>2677</v>
      </c>
      <c r="C1659" t="s">
        <v>2678</v>
      </c>
      <c r="D1659" t="s">
        <v>98</v>
      </c>
      <c r="E1659" t="s">
        <v>30</v>
      </c>
      <c r="F1659" s="6">
        <v>45291</v>
      </c>
      <c r="G1659">
        <v>4.5</v>
      </c>
      <c r="H1659">
        <v>4.5599999999999996</v>
      </c>
      <c r="I1659">
        <v>1.013333333333333</v>
      </c>
      <c r="J1659">
        <v>1.013333333333333</v>
      </c>
      <c r="M1659">
        <v>2023</v>
      </c>
      <c r="N1659" t="s">
        <v>57</v>
      </c>
      <c r="O1659" t="s">
        <v>47</v>
      </c>
      <c r="P1659">
        <v>2</v>
      </c>
      <c r="Q1659">
        <v>2</v>
      </c>
      <c r="R1659">
        <v>1</v>
      </c>
      <c r="S1659" t="s">
        <v>718</v>
      </c>
      <c r="T1659" t="s">
        <v>2679</v>
      </c>
      <c r="U1659">
        <v>1</v>
      </c>
    </row>
    <row r="1660" spans="1:21" x14ac:dyDescent="0.3">
      <c r="A1660" t="s">
        <v>2676</v>
      </c>
      <c r="B1660" t="s">
        <v>2680</v>
      </c>
      <c r="C1660" t="s">
        <v>2678</v>
      </c>
      <c r="D1660" t="s">
        <v>98</v>
      </c>
      <c r="E1660" t="s">
        <v>30</v>
      </c>
      <c r="F1660" s="6">
        <v>45657</v>
      </c>
      <c r="G1660">
        <v>0</v>
      </c>
      <c r="M1660">
        <v>2024</v>
      </c>
      <c r="N1660" t="s">
        <v>57</v>
      </c>
      <c r="O1660" t="s">
        <v>78</v>
      </c>
      <c r="P1660">
        <v>2</v>
      </c>
      <c r="Q1660">
        <v>2</v>
      </c>
      <c r="R1660">
        <v>0</v>
      </c>
      <c r="S1660" t="s">
        <v>718</v>
      </c>
      <c r="T1660" t="s">
        <v>2681</v>
      </c>
      <c r="U1660">
        <v>1</v>
      </c>
    </row>
    <row r="1661" spans="1:21" x14ac:dyDescent="0.3">
      <c r="A1661" t="s">
        <v>2676</v>
      </c>
      <c r="B1661" t="s">
        <v>2682</v>
      </c>
      <c r="C1661" t="s">
        <v>2678</v>
      </c>
      <c r="D1661" t="s">
        <v>98</v>
      </c>
      <c r="E1661" t="s">
        <v>30</v>
      </c>
      <c r="F1661" s="6">
        <v>46022</v>
      </c>
      <c r="G1661">
        <v>4.5999999999999996</v>
      </c>
      <c r="H1661" t="s">
        <v>2683</v>
      </c>
      <c r="I1661">
        <v>1.0391304347826089</v>
      </c>
      <c r="J1661">
        <v>1.0391304347826089</v>
      </c>
      <c r="K1661" t="s">
        <v>2068</v>
      </c>
      <c r="L1661" t="s">
        <v>2684</v>
      </c>
      <c r="M1661">
        <v>2025</v>
      </c>
      <c r="N1661" t="s">
        <v>57</v>
      </c>
      <c r="O1661" t="s">
        <v>103</v>
      </c>
      <c r="P1661">
        <v>2</v>
      </c>
      <c r="Q1661">
        <v>2</v>
      </c>
      <c r="R1661">
        <v>1</v>
      </c>
      <c r="S1661" t="s">
        <v>336</v>
      </c>
      <c r="T1661" t="s">
        <v>2685</v>
      </c>
      <c r="U1661">
        <v>31</v>
      </c>
    </row>
    <row r="1662" spans="1:21" x14ac:dyDescent="0.3">
      <c r="A1662" t="s">
        <v>2686</v>
      </c>
      <c r="B1662" t="s">
        <v>2687</v>
      </c>
      <c r="C1662" t="s">
        <v>2688</v>
      </c>
      <c r="D1662" t="s">
        <v>222</v>
      </c>
      <c r="E1662" t="s">
        <v>30</v>
      </c>
      <c r="F1662" s="6">
        <v>45291</v>
      </c>
      <c r="G1662">
        <v>100</v>
      </c>
      <c r="H1662">
        <v>99.16</v>
      </c>
      <c r="I1662">
        <v>0.99159999999999993</v>
      </c>
      <c r="J1662">
        <v>0.99159999999999993</v>
      </c>
      <c r="K1662" t="s">
        <v>31</v>
      </c>
      <c r="L1662" t="s">
        <v>31</v>
      </c>
      <c r="M1662">
        <v>2023</v>
      </c>
      <c r="N1662" t="s">
        <v>57</v>
      </c>
      <c r="O1662" t="s">
        <v>47</v>
      </c>
      <c r="P1662">
        <v>0</v>
      </c>
      <c r="Q1662">
        <v>0</v>
      </c>
      <c r="R1662">
        <v>0</v>
      </c>
      <c r="S1662" t="s">
        <v>99</v>
      </c>
      <c r="T1662" t="s">
        <v>2689</v>
      </c>
      <c r="U1662">
        <v>1</v>
      </c>
    </row>
    <row r="1663" spans="1:21" x14ac:dyDescent="0.3">
      <c r="A1663" t="s">
        <v>2686</v>
      </c>
      <c r="B1663" t="s">
        <v>2687</v>
      </c>
      <c r="C1663" t="s">
        <v>2688</v>
      </c>
      <c r="D1663" t="s">
        <v>222</v>
      </c>
      <c r="E1663" t="s">
        <v>30</v>
      </c>
      <c r="F1663" s="6">
        <v>45473</v>
      </c>
      <c r="G1663">
        <v>98</v>
      </c>
      <c r="H1663">
        <v>99.584323040379999</v>
      </c>
      <c r="I1663">
        <v>1.016166561636531</v>
      </c>
      <c r="J1663">
        <v>1.016166561636531</v>
      </c>
      <c r="K1663" t="s">
        <v>31</v>
      </c>
      <c r="L1663" t="s">
        <v>31</v>
      </c>
      <c r="M1663">
        <v>2024</v>
      </c>
      <c r="N1663" t="s">
        <v>44</v>
      </c>
      <c r="O1663" t="s">
        <v>71</v>
      </c>
      <c r="P1663">
        <v>0</v>
      </c>
      <c r="Q1663">
        <v>0</v>
      </c>
      <c r="R1663">
        <v>0</v>
      </c>
      <c r="S1663" t="s">
        <v>99</v>
      </c>
      <c r="T1663" t="s">
        <v>2690</v>
      </c>
      <c r="U1663">
        <v>1</v>
      </c>
    </row>
    <row r="1664" spans="1:21" x14ac:dyDescent="0.3">
      <c r="A1664" t="s">
        <v>2686</v>
      </c>
      <c r="B1664" t="s">
        <v>2687</v>
      </c>
      <c r="C1664" t="s">
        <v>2688</v>
      </c>
      <c r="D1664" t="s">
        <v>222</v>
      </c>
      <c r="E1664" t="s">
        <v>30</v>
      </c>
      <c r="F1664" s="6">
        <v>45657</v>
      </c>
      <c r="G1664">
        <v>98</v>
      </c>
      <c r="H1664">
        <v>99.49</v>
      </c>
      <c r="I1664">
        <v>1.0152040816326531</v>
      </c>
      <c r="J1664">
        <v>1.0152040816326531</v>
      </c>
      <c r="K1664" t="s">
        <v>31</v>
      </c>
      <c r="L1664" t="s">
        <v>31</v>
      </c>
      <c r="M1664">
        <v>2024</v>
      </c>
      <c r="N1664" t="s">
        <v>57</v>
      </c>
      <c r="O1664" t="s">
        <v>78</v>
      </c>
      <c r="P1664">
        <v>0</v>
      </c>
      <c r="Q1664">
        <v>0</v>
      </c>
      <c r="R1664">
        <v>0</v>
      </c>
      <c r="S1664" t="s">
        <v>99</v>
      </c>
      <c r="T1664" t="s">
        <v>2691</v>
      </c>
      <c r="U1664">
        <v>1</v>
      </c>
    </row>
    <row r="1665" spans="1:21" x14ac:dyDescent="0.3">
      <c r="A1665" t="s">
        <v>2686</v>
      </c>
      <c r="B1665" t="s">
        <v>2687</v>
      </c>
      <c r="C1665" t="s">
        <v>2688</v>
      </c>
      <c r="D1665" t="s">
        <v>222</v>
      </c>
      <c r="E1665" t="s">
        <v>30</v>
      </c>
      <c r="F1665" s="6">
        <v>45838</v>
      </c>
      <c r="G1665">
        <v>98</v>
      </c>
      <c r="H1665" t="s">
        <v>2692</v>
      </c>
      <c r="I1665">
        <v>1.016632653061224</v>
      </c>
      <c r="J1665">
        <v>1.016632653061224</v>
      </c>
      <c r="K1665" t="s">
        <v>312</v>
      </c>
      <c r="L1665" t="s">
        <v>2693</v>
      </c>
      <c r="M1665">
        <v>2025</v>
      </c>
      <c r="N1665" t="s">
        <v>44</v>
      </c>
      <c r="O1665" t="s">
        <v>244</v>
      </c>
      <c r="P1665">
        <v>2</v>
      </c>
      <c r="Q1665">
        <v>2</v>
      </c>
      <c r="R1665">
        <v>0</v>
      </c>
      <c r="S1665" t="s">
        <v>130</v>
      </c>
      <c r="T1665" t="s">
        <v>2694</v>
      </c>
      <c r="U1665">
        <v>30</v>
      </c>
    </row>
    <row r="1666" spans="1:21" x14ac:dyDescent="0.3">
      <c r="A1666" t="s">
        <v>2686</v>
      </c>
      <c r="B1666" t="s">
        <v>2687</v>
      </c>
      <c r="C1666" t="s">
        <v>2688</v>
      </c>
      <c r="D1666" t="s">
        <v>222</v>
      </c>
      <c r="E1666" t="s">
        <v>30</v>
      </c>
      <c r="F1666" s="6">
        <v>46022</v>
      </c>
      <c r="G1666">
        <v>98</v>
      </c>
      <c r="H1666" t="s">
        <v>2695</v>
      </c>
      <c r="I1666">
        <v>1.0173469387755101</v>
      </c>
      <c r="J1666">
        <v>1.0173469387755101</v>
      </c>
      <c r="K1666" t="s">
        <v>312</v>
      </c>
      <c r="L1666" t="s">
        <v>2696</v>
      </c>
      <c r="M1666">
        <v>2025</v>
      </c>
      <c r="N1666" t="s">
        <v>57</v>
      </c>
      <c r="O1666" t="s">
        <v>103</v>
      </c>
      <c r="P1666">
        <v>2</v>
      </c>
      <c r="Q1666">
        <v>2</v>
      </c>
      <c r="R1666">
        <v>0</v>
      </c>
      <c r="S1666" t="s">
        <v>130</v>
      </c>
      <c r="T1666" t="s">
        <v>2697</v>
      </c>
      <c r="U1666">
        <v>31</v>
      </c>
    </row>
    <row r="1667" spans="1:21" x14ac:dyDescent="0.3">
      <c r="A1667" t="s">
        <v>2698</v>
      </c>
      <c r="B1667" t="s">
        <v>2699</v>
      </c>
      <c r="C1667" t="s">
        <v>2688</v>
      </c>
      <c r="D1667" t="s">
        <v>222</v>
      </c>
      <c r="E1667" t="s">
        <v>30</v>
      </c>
      <c r="F1667" s="6">
        <v>45291</v>
      </c>
      <c r="G1667">
        <v>100</v>
      </c>
      <c r="H1667">
        <v>100</v>
      </c>
      <c r="I1667">
        <v>1</v>
      </c>
      <c r="J1667">
        <v>1</v>
      </c>
      <c r="K1667" t="s">
        <v>31</v>
      </c>
      <c r="L1667" t="s">
        <v>31</v>
      </c>
      <c r="M1667">
        <v>2023</v>
      </c>
      <c r="N1667" t="s">
        <v>57</v>
      </c>
      <c r="O1667" t="s">
        <v>47</v>
      </c>
      <c r="P1667">
        <v>0</v>
      </c>
      <c r="Q1667">
        <v>0</v>
      </c>
      <c r="R1667">
        <v>0</v>
      </c>
      <c r="S1667" t="s">
        <v>99</v>
      </c>
      <c r="T1667" t="s">
        <v>2700</v>
      </c>
      <c r="U1667">
        <v>1</v>
      </c>
    </row>
    <row r="1668" spans="1:21" x14ac:dyDescent="0.3">
      <c r="A1668" t="s">
        <v>2698</v>
      </c>
      <c r="B1668" t="s">
        <v>2699</v>
      </c>
      <c r="C1668" t="s">
        <v>2688</v>
      </c>
      <c r="D1668" t="s">
        <v>222</v>
      </c>
      <c r="E1668" t="s">
        <v>30</v>
      </c>
      <c r="F1668" s="6">
        <v>45473</v>
      </c>
      <c r="G1668">
        <v>100</v>
      </c>
      <c r="H1668">
        <v>100</v>
      </c>
      <c r="I1668">
        <v>1</v>
      </c>
      <c r="J1668">
        <v>1</v>
      </c>
      <c r="K1668" t="s">
        <v>31</v>
      </c>
      <c r="L1668" t="s">
        <v>31</v>
      </c>
      <c r="M1668">
        <v>2024</v>
      </c>
      <c r="N1668" t="s">
        <v>44</v>
      </c>
      <c r="O1668" t="s">
        <v>71</v>
      </c>
      <c r="P1668">
        <v>0</v>
      </c>
      <c r="Q1668">
        <v>0</v>
      </c>
      <c r="R1668">
        <v>0</v>
      </c>
      <c r="S1668" t="s">
        <v>99</v>
      </c>
      <c r="T1668" t="s">
        <v>2701</v>
      </c>
      <c r="U1668">
        <v>1</v>
      </c>
    </row>
    <row r="1669" spans="1:21" x14ac:dyDescent="0.3">
      <c r="A1669" t="s">
        <v>2698</v>
      </c>
      <c r="B1669" t="s">
        <v>2699</v>
      </c>
      <c r="C1669" t="s">
        <v>2688</v>
      </c>
      <c r="D1669" t="s">
        <v>222</v>
      </c>
      <c r="E1669" t="s">
        <v>30</v>
      </c>
      <c r="F1669" s="6">
        <v>45657</v>
      </c>
      <c r="G1669">
        <v>100</v>
      </c>
      <c r="H1669">
        <v>100</v>
      </c>
      <c r="I1669">
        <v>1</v>
      </c>
      <c r="J1669">
        <v>1</v>
      </c>
      <c r="K1669" t="s">
        <v>31</v>
      </c>
      <c r="L1669" t="s">
        <v>31</v>
      </c>
      <c r="M1669">
        <v>2024</v>
      </c>
      <c r="N1669" t="s">
        <v>57</v>
      </c>
      <c r="O1669" t="s">
        <v>78</v>
      </c>
      <c r="P1669">
        <v>0</v>
      </c>
      <c r="Q1669">
        <v>0</v>
      </c>
      <c r="R1669">
        <v>0</v>
      </c>
      <c r="S1669" t="s">
        <v>99</v>
      </c>
      <c r="T1669" t="s">
        <v>2702</v>
      </c>
      <c r="U1669">
        <v>1</v>
      </c>
    </row>
    <row r="1670" spans="1:21" x14ac:dyDescent="0.3">
      <c r="A1670" t="s">
        <v>2698</v>
      </c>
      <c r="B1670" t="s">
        <v>2699</v>
      </c>
      <c r="C1670" t="s">
        <v>2688</v>
      </c>
      <c r="D1670" t="s">
        <v>222</v>
      </c>
      <c r="E1670" t="s">
        <v>30</v>
      </c>
      <c r="F1670" s="6">
        <v>45838</v>
      </c>
      <c r="G1670">
        <v>100</v>
      </c>
      <c r="H1670" t="s">
        <v>95</v>
      </c>
      <c r="I1670">
        <v>1</v>
      </c>
      <c r="J1670">
        <v>1</v>
      </c>
      <c r="K1670" t="s">
        <v>102</v>
      </c>
      <c r="L1670" t="s">
        <v>102</v>
      </c>
      <c r="M1670">
        <v>2025</v>
      </c>
      <c r="N1670" t="s">
        <v>44</v>
      </c>
      <c r="O1670" t="s">
        <v>244</v>
      </c>
      <c r="P1670">
        <v>2</v>
      </c>
      <c r="Q1670">
        <v>2</v>
      </c>
      <c r="R1670">
        <v>0</v>
      </c>
      <c r="S1670" t="s">
        <v>130</v>
      </c>
      <c r="T1670" t="s">
        <v>2703</v>
      </c>
      <c r="U1670">
        <v>30</v>
      </c>
    </row>
    <row r="1671" spans="1:21" x14ac:dyDescent="0.3">
      <c r="A1671" t="s">
        <v>2698</v>
      </c>
      <c r="B1671" t="s">
        <v>2699</v>
      </c>
      <c r="C1671" t="s">
        <v>2688</v>
      </c>
      <c r="D1671" t="s">
        <v>222</v>
      </c>
      <c r="E1671" t="s">
        <v>30</v>
      </c>
      <c r="F1671" s="6">
        <v>46022</v>
      </c>
      <c r="G1671">
        <v>100</v>
      </c>
      <c r="H1671" t="s">
        <v>95</v>
      </c>
      <c r="I1671">
        <v>1</v>
      </c>
      <c r="J1671">
        <v>1</v>
      </c>
      <c r="K1671" t="s">
        <v>102</v>
      </c>
      <c r="L1671" t="s">
        <v>102</v>
      </c>
      <c r="M1671">
        <v>2025</v>
      </c>
      <c r="N1671" t="s">
        <v>57</v>
      </c>
      <c r="O1671" t="s">
        <v>103</v>
      </c>
      <c r="P1671">
        <v>2</v>
      </c>
      <c r="Q1671">
        <v>2</v>
      </c>
      <c r="R1671">
        <v>0</v>
      </c>
      <c r="S1671" t="s">
        <v>130</v>
      </c>
      <c r="T1671" t="s">
        <v>2704</v>
      </c>
      <c r="U1671">
        <v>31</v>
      </c>
    </row>
    <row r="1672" spans="1:21" x14ac:dyDescent="0.3">
      <c r="A1672" t="s">
        <v>2705</v>
      </c>
      <c r="B1672" t="s">
        <v>2706</v>
      </c>
      <c r="C1672" t="s">
        <v>2678</v>
      </c>
      <c r="D1672" t="s">
        <v>222</v>
      </c>
      <c r="E1672" t="s">
        <v>108</v>
      </c>
      <c r="F1672" s="6">
        <v>45107</v>
      </c>
      <c r="G1672">
        <v>0</v>
      </c>
      <c r="H1672">
        <v>30173</v>
      </c>
      <c r="I1672">
        <v>0</v>
      </c>
      <c r="J1672">
        <v>0</v>
      </c>
      <c r="M1672">
        <v>2023</v>
      </c>
      <c r="N1672" t="s">
        <v>44</v>
      </c>
      <c r="O1672" t="s">
        <v>33</v>
      </c>
      <c r="P1672">
        <v>0</v>
      </c>
      <c r="Q1672">
        <v>0</v>
      </c>
      <c r="R1672">
        <v>1</v>
      </c>
      <c r="S1672" t="s">
        <v>336</v>
      </c>
      <c r="T1672" t="s">
        <v>2707</v>
      </c>
      <c r="U1672">
        <v>1</v>
      </c>
    </row>
    <row r="1673" spans="1:21" x14ac:dyDescent="0.3">
      <c r="A1673" t="s">
        <v>2705</v>
      </c>
      <c r="B1673" t="s">
        <v>2706</v>
      </c>
      <c r="C1673" t="s">
        <v>2678</v>
      </c>
      <c r="D1673" t="s">
        <v>222</v>
      </c>
      <c r="E1673" t="s">
        <v>108</v>
      </c>
      <c r="F1673" s="6">
        <v>45291</v>
      </c>
      <c r="G1673">
        <v>0</v>
      </c>
      <c r="H1673">
        <v>78450</v>
      </c>
      <c r="I1673">
        <v>0</v>
      </c>
      <c r="J1673">
        <v>0</v>
      </c>
      <c r="M1673">
        <v>2023</v>
      </c>
      <c r="N1673" t="s">
        <v>57</v>
      </c>
      <c r="O1673" t="s">
        <v>47</v>
      </c>
      <c r="P1673">
        <v>0</v>
      </c>
      <c r="Q1673">
        <v>0</v>
      </c>
      <c r="R1673">
        <v>1</v>
      </c>
      <c r="S1673" t="s">
        <v>336</v>
      </c>
      <c r="T1673" t="s">
        <v>2708</v>
      </c>
      <c r="U1673">
        <v>1</v>
      </c>
    </row>
    <row r="1674" spans="1:21" x14ac:dyDescent="0.3">
      <c r="A1674" t="s">
        <v>2705</v>
      </c>
      <c r="B1674" t="s">
        <v>2706</v>
      </c>
      <c r="C1674" t="s">
        <v>2678</v>
      </c>
      <c r="D1674" t="s">
        <v>222</v>
      </c>
      <c r="E1674" t="s">
        <v>108</v>
      </c>
      <c r="F1674" s="6">
        <v>45473</v>
      </c>
      <c r="G1674">
        <v>31694</v>
      </c>
      <c r="H1674">
        <v>35993</v>
      </c>
      <c r="I1674">
        <v>1.13564081529627</v>
      </c>
      <c r="J1674">
        <v>0.88056010891006586</v>
      </c>
      <c r="M1674">
        <v>2024</v>
      </c>
      <c r="N1674" t="s">
        <v>44</v>
      </c>
      <c r="O1674" t="s">
        <v>71</v>
      </c>
      <c r="P1674">
        <v>0</v>
      </c>
      <c r="Q1674">
        <v>0</v>
      </c>
      <c r="R1674">
        <v>1</v>
      </c>
      <c r="S1674" t="s">
        <v>336</v>
      </c>
      <c r="T1674" t="s">
        <v>2709</v>
      </c>
      <c r="U1674">
        <v>1</v>
      </c>
    </row>
    <row r="1675" spans="1:21" x14ac:dyDescent="0.3">
      <c r="A1675" t="s">
        <v>2705</v>
      </c>
      <c r="B1675" t="s">
        <v>2706</v>
      </c>
      <c r="C1675" t="s">
        <v>2678</v>
      </c>
      <c r="D1675" t="s">
        <v>222</v>
      </c>
      <c r="E1675" t="s">
        <v>30</v>
      </c>
      <c r="F1675" s="6">
        <v>45657</v>
      </c>
      <c r="G1675">
        <v>100</v>
      </c>
      <c r="H1675">
        <v>98.09</v>
      </c>
      <c r="I1675">
        <v>0.98089999999999999</v>
      </c>
      <c r="J1675">
        <v>0.98089999999999999</v>
      </c>
      <c r="M1675">
        <v>2024</v>
      </c>
      <c r="N1675" t="s">
        <v>57</v>
      </c>
      <c r="O1675" t="s">
        <v>78</v>
      </c>
      <c r="P1675">
        <v>0</v>
      </c>
      <c r="Q1675">
        <v>0</v>
      </c>
      <c r="R1675">
        <v>0</v>
      </c>
      <c r="S1675" t="s">
        <v>336</v>
      </c>
      <c r="T1675" t="s">
        <v>2710</v>
      </c>
      <c r="U1675">
        <v>1</v>
      </c>
    </row>
    <row r="1676" spans="1:21" x14ac:dyDescent="0.3">
      <c r="A1676" t="s">
        <v>2705</v>
      </c>
      <c r="B1676" t="s">
        <v>2706</v>
      </c>
      <c r="C1676" t="s">
        <v>2678</v>
      </c>
      <c r="D1676" t="s">
        <v>222</v>
      </c>
      <c r="E1676" t="s">
        <v>30</v>
      </c>
      <c r="F1676" s="6">
        <v>45838</v>
      </c>
      <c r="G1676">
        <v>100</v>
      </c>
      <c r="H1676" t="s">
        <v>2711</v>
      </c>
      <c r="I1676">
        <v>0.93889999999999996</v>
      </c>
      <c r="J1676">
        <v>0.93889999999999996</v>
      </c>
      <c r="K1676" t="s">
        <v>102</v>
      </c>
      <c r="L1676" t="s">
        <v>2712</v>
      </c>
      <c r="M1676">
        <v>2025</v>
      </c>
      <c r="N1676" t="s">
        <v>44</v>
      </c>
      <c r="O1676" t="s">
        <v>244</v>
      </c>
      <c r="P1676">
        <v>2</v>
      </c>
      <c r="Q1676">
        <v>2</v>
      </c>
      <c r="R1676">
        <v>1</v>
      </c>
      <c r="S1676" t="s">
        <v>336</v>
      </c>
      <c r="T1676" t="s">
        <v>2713</v>
      </c>
      <c r="U1676">
        <v>30</v>
      </c>
    </row>
    <row r="1677" spans="1:21" x14ac:dyDescent="0.3">
      <c r="A1677" t="s">
        <v>2705</v>
      </c>
      <c r="B1677" t="s">
        <v>2706</v>
      </c>
      <c r="C1677" t="s">
        <v>2678</v>
      </c>
      <c r="D1677" t="s">
        <v>222</v>
      </c>
      <c r="E1677" t="s">
        <v>30</v>
      </c>
      <c r="F1677" s="6">
        <v>46022</v>
      </c>
      <c r="G1677">
        <v>100</v>
      </c>
      <c r="H1677" t="s">
        <v>2714</v>
      </c>
      <c r="I1677">
        <v>0.78110000000000002</v>
      </c>
      <c r="J1677">
        <v>0.78110000000000002</v>
      </c>
      <c r="K1677" t="s">
        <v>102</v>
      </c>
      <c r="L1677" t="s">
        <v>2715</v>
      </c>
      <c r="M1677">
        <v>2025</v>
      </c>
      <c r="N1677" t="s">
        <v>57</v>
      </c>
      <c r="O1677" t="s">
        <v>103</v>
      </c>
      <c r="P1677">
        <v>2</v>
      </c>
      <c r="Q1677">
        <v>2</v>
      </c>
      <c r="R1677">
        <v>1</v>
      </c>
      <c r="S1677" t="s">
        <v>336</v>
      </c>
      <c r="T1677" t="s">
        <v>2716</v>
      </c>
      <c r="U1677">
        <v>31</v>
      </c>
    </row>
    <row r="1678" spans="1:21" x14ac:dyDescent="0.3">
      <c r="A1678" t="s">
        <v>2717</v>
      </c>
      <c r="B1678" t="s">
        <v>2718</v>
      </c>
      <c r="C1678" t="s">
        <v>2688</v>
      </c>
      <c r="D1678" t="s">
        <v>222</v>
      </c>
      <c r="E1678" t="s">
        <v>30</v>
      </c>
      <c r="F1678" s="6">
        <v>45291</v>
      </c>
      <c r="G1678">
        <v>100</v>
      </c>
      <c r="H1678">
        <v>100</v>
      </c>
      <c r="I1678">
        <v>1</v>
      </c>
      <c r="J1678">
        <v>1</v>
      </c>
      <c r="K1678" t="s">
        <v>31</v>
      </c>
      <c r="L1678" t="s">
        <v>31</v>
      </c>
      <c r="M1678">
        <v>2023</v>
      </c>
      <c r="N1678" t="s">
        <v>57</v>
      </c>
      <c r="O1678" t="s">
        <v>47</v>
      </c>
      <c r="P1678">
        <v>0</v>
      </c>
      <c r="Q1678">
        <v>0</v>
      </c>
      <c r="R1678">
        <v>0</v>
      </c>
      <c r="S1678" t="s">
        <v>99</v>
      </c>
      <c r="T1678" t="s">
        <v>2719</v>
      </c>
      <c r="U1678">
        <v>1</v>
      </c>
    </row>
    <row r="1679" spans="1:21" x14ac:dyDescent="0.3">
      <c r="A1679" t="s">
        <v>2720</v>
      </c>
      <c r="B1679" t="s">
        <v>2721</v>
      </c>
      <c r="C1679" t="s">
        <v>2688</v>
      </c>
      <c r="D1679" t="s">
        <v>98</v>
      </c>
      <c r="E1679" t="s">
        <v>30</v>
      </c>
      <c r="F1679" s="6">
        <v>45291</v>
      </c>
      <c r="G1679">
        <v>100</v>
      </c>
      <c r="H1679">
        <v>100</v>
      </c>
      <c r="I1679">
        <v>1</v>
      </c>
      <c r="J1679">
        <v>1</v>
      </c>
      <c r="K1679" t="s">
        <v>31</v>
      </c>
      <c r="L1679" t="s">
        <v>31</v>
      </c>
      <c r="M1679">
        <v>2023</v>
      </c>
      <c r="N1679" t="s">
        <v>57</v>
      </c>
      <c r="O1679" t="s">
        <v>47</v>
      </c>
      <c r="P1679">
        <v>0</v>
      </c>
      <c r="Q1679">
        <v>0</v>
      </c>
      <c r="R1679">
        <v>0</v>
      </c>
      <c r="S1679" t="s">
        <v>99</v>
      </c>
      <c r="T1679" t="s">
        <v>2722</v>
      </c>
      <c r="U1679">
        <v>1</v>
      </c>
    </row>
    <row r="1680" spans="1:21" x14ac:dyDescent="0.3">
      <c r="A1680" t="s">
        <v>2720</v>
      </c>
      <c r="B1680" t="s">
        <v>2721</v>
      </c>
      <c r="C1680" t="s">
        <v>2688</v>
      </c>
      <c r="D1680" t="s">
        <v>98</v>
      </c>
      <c r="E1680" t="s">
        <v>30</v>
      </c>
      <c r="F1680" s="6">
        <v>45657</v>
      </c>
      <c r="G1680">
        <v>100</v>
      </c>
      <c r="H1680">
        <v>100</v>
      </c>
      <c r="I1680">
        <v>1</v>
      </c>
      <c r="J1680">
        <v>1</v>
      </c>
      <c r="K1680" t="s">
        <v>31</v>
      </c>
      <c r="L1680" t="s">
        <v>31</v>
      </c>
      <c r="M1680">
        <v>2024</v>
      </c>
      <c r="N1680" t="s">
        <v>57</v>
      </c>
      <c r="O1680" t="s">
        <v>78</v>
      </c>
      <c r="P1680">
        <v>0</v>
      </c>
      <c r="Q1680">
        <v>0</v>
      </c>
      <c r="R1680">
        <v>0</v>
      </c>
      <c r="S1680" t="s">
        <v>99</v>
      </c>
      <c r="T1680" t="s">
        <v>2723</v>
      </c>
      <c r="U1680">
        <v>1</v>
      </c>
    </row>
    <row r="1681" spans="1:21" x14ac:dyDescent="0.3">
      <c r="A1681" t="s">
        <v>2720</v>
      </c>
      <c r="B1681" t="s">
        <v>2721</v>
      </c>
      <c r="C1681" t="s">
        <v>2688</v>
      </c>
      <c r="D1681" t="s">
        <v>98</v>
      </c>
      <c r="E1681" t="s">
        <v>30</v>
      </c>
      <c r="F1681" s="6">
        <v>46022</v>
      </c>
      <c r="G1681">
        <v>100</v>
      </c>
      <c r="H1681" t="s">
        <v>95</v>
      </c>
      <c r="I1681">
        <v>1</v>
      </c>
      <c r="J1681">
        <v>1</v>
      </c>
      <c r="K1681" t="s">
        <v>102</v>
      </c>
      <c r="L1681" t="s">
        <v>102</v>
      </c>
      <c r="M1681">
        <v>2025</v>
      </c>
      <c r="N1681" t="s">
        <v>57</v>
      </c>
      <c r="O1681" t="s">
        <v>103</v>
      </c>
      <c r="P1681">
        <v>2</v>
      </c>
      <c r="Q1681">
        <v>2</v>
      </c>
      <c r="R1681">
        <v>0</v>
      </c>
      <c r="S1681" t="s">
        <v>130</v>
      </c>
      <c r="T1681" t="s">
        <v>2724</v>
      </c>
      <c r="U1681">
        <v>31</v>
      </c>
    </row>
    <row r="1682" spans="1:21" x14ac:dyDescent="0.3">
      <c r="A1682" t="s">
        <v>2725</v>
      </c>
      <c r="B1682" t="s">
        <v>2726</v>
      </c>
      <c r="C1682" t="s">
        <v>2678</v>
      </c>
      <c r="D1682" t="s">
        <v>98</v>
      </c>
      <c r="E1682" t="s">
        <v>30</v>
      </c>
      <c r="F1682" s="6">
        <v>44926</v>
      </c>
      <c r="G1682">
        <v>5.7</v>
      </c>
      <c r="H1682">
        <v>6.7</v>
      </c>
      <c r="I1682">
        <v>1.1754385964912279</v>
      </c>
      <c r="J1682">
        <v>1.1754385964912279</v>
      </c>
      <c r="K1682" t="s">
        <v>31</v>
      </c>
      <c r="L1682" t="s">
        <v>31</v>
      </c>
      <c r="M1682">
        <v>2022</v>
      </c>
      <c r="N1682" t="s">
        <v>57</v>
      </c>
      <c r="O1682" t="s">
        <v>90</v>
      </c>
      <c r="P1682">
        <v>2</v>
      </c>
      <c r="Q1682">
        <v>2</v>
      </c>
      <c r="R1682">
        <v>1</v>
      </c>
      <c r="S1682" t="s">
        <v>718</v>
      </c>
      <c r="T1682" t="s">
        <v>2727</v>
      </c>
      <c r="U1682">
        <v>1</v>
      </c>
    </row>
    <row r="1683" spans="1:21" x14ac:dyDescent="0.3">
      <c r="A1683" t="s">
        <v>2725</v>
      </c>
      <c r="B1683" t="s">
        <v>2728</v>
      </c>
      <c r="C1683" t="s">
        <v>2678</v>
      </c>
      <c r="D1683" t="s">
        <v>98</v>
      </c>
      <c r="E1683" t="s">
        <v>30</v>
      </c>
      <c r="F1683" s="6">
        <v>45291</v>
      </c>
      <c r="G1683">
        <v>5</v>
      </c>
      <c r="H1683">
        <v>6.25</v>
      </c>
      <c r="I1683">
        <v>1.25</v>
      </c>
      <c r="J1683">
        <v>1.25</v>
      </c>
      <c r="K1683" t="s">
        <v>31</v>
      </c>
      <c r="L1683" t="s">
        <v>31</v>
      </c>
      <c r="M1683">
        <v>2023</v>
      </c>
      <c r="N1683" t="s">
        <v>57</v>
      </c>
      <c r="O1683" t="s">
        <v>47</v>
      </c>
      <c r="P1683">
        <v>2</v>
      </c>
      <c r="Q1683">
        <v>2</v>
      </c>
      <c r="R1683">
        <v>1</v>
      </c>
      <c r="S1683" t="s">
        <v>718</v>
      </c>
      <c r="T1683" t="s">
        <v>2729</v>
      </c>
      <c r="U1683">
        <v>1</v>
      </c>
    </row>
    <row r="1684" spans="1:21" x14ac:dyDescent="0.3">
      <c r="A1684" t="s">
        <v>2725</v>
      </c>
      <c r="B1684" t="s">
        <v>2726</v>
      </c>
      <c r="C1684" t="s">
        <v>2678</v>
      </c>
      <c r="D1684" t="s">
        <v>98</v>
      </c>
      <c r="E1684" t="s">
        <v>30</v>
      </c>
      <c r="F1684" s="6">
        <v>45657</v>
      </c>
      <c r="G1684">
        <v>5</v>
      </c>
      <c r="H1684">
        <v>4.96</v>
      </c>
      <c r="I1684">
        <v>0.99199999999999999</v>
      </c>
      <c r="J1684">
        <v>0.99199999999999999</v>
      </c>
      <c r="K1684" t="s">
        <v>31</v>
      </c>
      <c r="L1684" t="s">
        <v>31</v>
      </c>
      <c r="M1684">
        <v>2024</v>
      </c>
      <c r="N1684" t="s">
        <v>57</v>
      </c>
      <c r="O1684" t="s">
        <v>78</v>
      </c>
      <c r="P1684">
        <v>2</v>
      </c>
      <c r="Q1684">
        <v>2</v>
      </c>
      <c r="R1684">
        <v>0</v>
      </c>
      <c r="S1684" t="s">
        <v>718</v>
      </c>
      <c r="T1684" t="s">
        <v>2730</v>
      </c>
      <c r="U1684">
        <v>1</v>
      </c>
    </row>
    <row r="1685" spans="1:21" x14ac:dyDescent="0.3">
      <c r="A1685" t="s">
        <v>2725</v>
      </c>
      <c r="B1685" t="s">
        <v>2726</v>
      </c>
      <c r="C1685" t="s">
        <v>2678</v>
      </c>
      <c r="D1685" t="s">
        <v>98</v>
      </c>
      <c r="E1685" t="s">
        <v>30</v>
      </c>
      <c r="F1685" s="6">
        <v>46022</v>
      </c>
      <c r="G1685">
        <v>5</v>
      </c>
      <c r="H1685" t="s">
        <v>2731</v>
      </c>
      <c r="I1685">
        <v>0.76400000000000001</v>
      </c>
      <c r="J1685">
        <v>0.76400000000000001</v>
      </c>
      <c r="K1685" t="s">
        <v>823</v>
      </c>
      <c r="L1685" t="s">
        <v>2732</v>
      </c>
      <c r="M1685">
        <v>2025</v>
      </c>
      <c r="N1685" t="s">
        <v>57</v>
      </c>
      <c r="O1685" t="s">
        <v>103</v>
      </c>
      <c r="P1685">
        <v>2</v>
      </c>
      <c r="Q1685">
        <v>2</v>
      </c>
      <c r="R1685">
        <v>1</v>
      </c>
      <c r="S1685" t="s">
        <v>336</v>
      </c>
      <c r="T1685" t="s">
        <v>2733</v>
      </c>
      <c r="U1685">
        <v>31</v>
      </c>
    </row>
    <row r="1686" spans="1:21" x14ac:dyDescent="0.3">
      <c r="A1686" t="s">
        <v>2734</v>
      </c>
      <c r="B1686" t="s">
        <v>2735</v>
      </c>
      <c r="C1686" t="s">
        <v>2736</v>
      </c>
      <c r="D1686" t="s">
        <v>233</v>
      </c>
      <c r="E1686" t="s">
        <v>30</v>
      </c>
      <c r="F1686" s="6">
        <v>45199</v>
      </c>
      <c r="G1686">
        <v>90</v>
      </c>
      <c r="H1686">
        <v>95</v>
      </c>
      <c r="I1686">
        <v>1.055555555555556</v>
      </c>
      <c r="J1686">
        <v>1.055555555555556</v>
      </c>
      <c r="K1686" t="s">
        <v>31</v>
      </c>
      <c r="L1686" t="s">
        <v>31</v>
      </c>
      <c r="M1686">
        <v>2023</v>
      </c>
      <c r="N1686" t="s">
        <v>51</v>
      </c>
      <c r="O1686" t="s">
        <v>47</v>
      </c>
      <c r="P1686">
        <v>0</v>
      </c>
      <c r="Q1686">
        <v>0</v>
      </c>
      <c r="R1686">
        <v>0</v>
      </c>
      <c r="S1686" t="s">
        <v>198</v>
      </c>
      <c r="T1686" t="s">
        <v>2737</v>
      </c>
      <c r="U1686">
        <v>1</v>
      </c>
    </row>
    <row r="1687" spans="1:21" x14ac:dyDescent="0.3">
      <c r="A1687" t="s">
        <v>2734</v>
      </c>
      <c r="B1687" t="s">
        <v>2735</v>
      </c>
      <c r="C1687" t="s">
        <v>2736</v>
      </c>
      <c r="D1687" t="s">
        <v>233</v>
      </c>
      <c r="E1687" t="s">
        <v>30</v>
      </c>
      <c r="F1687" s="6">
        <v>45291</v>
      </c>
      <c r="G1687">
        <v>90</v>
      </c>
      <c r="H1687">
        <v>94</v>
      </c>
      <c r="I1687">
        <v>1.044444444444445</v>
      </c>
      <c r="J1687">
        <v>1.044444444444445</v>
      </c>
      <c r="K1687" t="s">
        <v>31</v>
      </c>
      <c r="L1687" t="s">
        <v>31</v>
      </c>
      <c r="M1687">
        <v>2023</v>
      </c>
      <c r="N1687" t="s">
        <v>57</v>
      </c>
      <c r="O1687" t="s">
        <v>47</v>
      </c>
      <c r="P1687">
        <v>0</v>
      </c>
      <c r="Q1687">
        <v>0</v>
      </c>
      <c r="R1687">
        <v>0</v>
      </c>
      <c r="S1687" t="s">
        <v>198</v>
      </c>
      <c r="T1687" t="s">
        <v>2738</v>
      </c>
      <c r="U1687">
        <v>1</v>
      </c>
    </row>
    <row r="1688" spans="1:21" x14ac:dyDescent="0.3">
      <c r="A1688" t="s">
        <v>2734</v>
      </c>
      <c r="B1688" t="s">
        <v>2735</v>
      </c>
      <c r="C1688" t="s">
        <v>2736</v>
      </c>
      <c r="D1688" t="s">
        <v>233</v>
      </c>
      <c r="E1688" t="s">
        <v>30</v>
      </c>
      <c r="F1688" s="6">
        <v>45382</v>
      </c>
      <c r="G1688">
        <v>90</v>
      </c>
      <c r="H1688">
        <v>94</v>
      </c>
      <c r="I1688">
        <v>1.044444444444445</v>
      </c>
      <c r="J1688">
        <v>1.044444444444445</v>
      </c>
      <c r="K1688" t="s">
        <v>31</v>
      </c>
      <c r="L1688" t="s">
        <v>31</v>
      </c>
      <c r="M1688">
        <v>2024</v>
      </c>
      <c r="N1688" t="s">
        <v>38</v>
      </c>
      <c r="O1688" t="s">
        <v>71</v>
      </c>
      <c r="P1688">
        <v>0</v>
      </c>
      <c r="Q1688">
        <v>0</v>
      </c>
      <c r="R1688">
        <v>0</v>
      </c>
      <c r="S1688" t="s">
        <v>198</v>
      </c>
      <c r="T1688" t="s">
        <v>2739</v>
      </c>
      <c r="U1688">
        <v>1</v>
      </c>
    </row>
    <row r="1689" spans="1:21" x14ac:dyDescent="0.3">
      <c r="A1689" t="s">
        <v>2734</v>
      </c>
      <c r="B1689" t="s">
        <v>2735</v>
      </c>
      <c r="C1689" t="s">
        <v>2736</v>
      </c>
      <c r="D1689" t="s">
        <v>233</v>
      </c>
      <c r="E1689" t="s">
        <v>30</v>
      </c>
      <c r="F1689" s="6">
        <v>45473</v>
      </c>
      <c r="G1689">
        <v>90</v>
      </c>
      <c r="H1689">
        <v>95</v>
      </c>
      <c r="I1689">
        <v>1.055555555555556</v>
      </c>
      <c r="J1689">
        <v>1.055555555555556</v>
      </c>
      <c r="K1689" t="s">
        <v>31</v>
      </c>
      <c r="L1689" t="s">
        <v>31</v>
      </c>
      <c r="M1689">
        <v>2024</v>
      </c>
      <c r="N1689" t="s">
        <v>44</v>
      </c>
      <c r="O1689" t="s">
        <v>71</v>
      </c>
      <c r="P1689">
        <v>0</v>
      </c>
      <c r="Q1689">
        <v>0</v>
      </c>
      <c r="R1689">
        <v>0</v>
      </c>
      <c r="S1689" t="s">
        <v>198</v>
      </c>
      <c r="T1689" t="s">
        <v>2740</v>
      </c>
      <c r="U1689">
        <v>1</v>
      </c>
    </row>
    <row r="1690" spans="1:21" x14ac:dyDescent="0.3">
      <c r="A1690" t="s">
        <v>2734</v>
      </c>
      <c r="B1690" t="s">
        <v>2735</v>
      </c>
      <c r="C1690" t="s">
        <v>2736</v>
      </c>
      <c r="D1690" t="s">
        <v>233</v>
      </c>
      <c r="E1690" t="s">
        <v>30</v>
      </c>
      <c r="F1690" s="6">
        <v>45565</v>
      </c>
      <c r="G1690">
        <v>90</v>
      </c>
      <c r="H1690">
        <v>94</v>
      </c>
      <c r="I1690">
        <v>1.044444444444445</v>
      </c>
      <c r="J1690">
        <v>1.044444444444445</v>
      </c>
      <c r="K1690" t="s">
        <v>31</v>
      </c>
      <c r="L1690" t="s">
        <v>31</v>
      </c>
      <c r="M1690">
        <v>2024</v>
      </c>
      <c r="N1690" t="s">
        <v>51</v>
      </c>
      <c r="O1690" t="s">
        <v>78</v>
      </c>
      <c r="P1690">
        <v>0</v>
      </c>
      <c r="Q1690">
        <v>0</v>
      </c>
      <c r="R1690">
        <v>0</v>
      </c>
      <c r="S1690" t="s">
        <v>198</v>
      </c>
      <c r="T1690" t="s">
        <v>2741</v>
      </c>
      <c r="U1690">
        <v>1</v>
      </c>
    </row>
    <row r="1691" spans="1:21" x14ac:dyDescent="0.3">
      <c r="A1691" t="s">
        <v>2734</v>
      </c>
      <c r="B1691" t="s">
        <v>2735</v>
      </c>
      <c r="C1691" t="s">
        <v>2736</v>
      </c>
      <c r="D1691" t="s">
        <v>233</v>
      </c>
      <c r="E1691" t="s">
        <v>30</v>
      </c>
      <c r="F1691" s="6">
        <v>45657</v>
      </c>
      <c r="G1691">
        <v>90</v>
      </c>
      <c r="H1691">
        <v>94</v>
      </c>
      <c r="I1691">
        <v>1.044444444444445</v>
      </c>
      <c r="J1691">
        <v>1.044444444444445</v>
      </c>
      <c r="K1691" t="s">
        <v>31</v>
      </c>
      <c r="L1691" t="s">
        <v>31</v>
      </c>
      <c r="M1691">
        <v>2024</v>
      </c>
      <c r="N1691" t="s">
        <v>57</v>
      </c>
      <c r="O1691" t="s">
        <v>78</v>
      </c>
      <c r="P1691">
        <v>0</v>
      </c>
      <c r="Q1691">
        <v>0</v>
      </c>
      <c r="R1691">
        <v>0</v>
      </c>
      <c r="S1691" t="s">
        <v>198</v>
      </c>
      <c r="T1691" t="s">
        <v>2742</v>
      </c>
      <c r="U1691">
        <v>1</v>
      </c>
    </row>
    <row r="1692" spans="1:21" x14ac:dyDescent="0.3">
      <c r="A1692" t="s">
        <v>2734</v>
      </c>
      <c r="B1692" t="s">
        <v>2735</v>
      </c>
      <c r="C1692" t="s">
        <v>2736</v>
      </c>
      <c r="D1692" t="s">
        <v>233</v>
      </c>
      <c r="E1692" t="s">
        <v>30</v>
      </c>
      <c r="F1692" s="6">
        <v>45747</v>
      </c>
      <c r="G1692">
        <v>93</v>
      </c>
      <c r="H1692" t="s">
        <v>192</v>
      </c>
      <c r="I1692">
        <v>1.010752688172043</v>
      </c>
      <c r="J1692">
        <v>1.010752688172043</v>
      </c>
      <c r="K1692" t="s">
        <v>971</v>
      </c>
      <c r="L1692" t="s">
        <v>194</v>
      </c>
      <c r="M1692">
        <v>2025</v>
      </c>
      <c r="N1692" t="s">
        <v>38</v>
      </c>
      <c r="O1692" t="s">
        <v>244</v>
      </c>
      <c r="P1692">
        <v>2</v>
      </c>
      <c r="Q1692">
        <v>2</v>
      </c>
      <c r="R1692">
        <v>0</v>
      </c>
      <c r="S1692" t="s">
        <v>130</v>
      </c>
      <c r="T1692" t="s">
        <v>2743</v>
      </c>
      <c r="U1692">
        <v>31</v>
      </c>
    </row>
    <row r="1693" spans="1:21" x14ac:dyDescent="0.3">
      <c r="A1693" t="s">
        <v>2734</v>
      </c>
      <c r="B1693" t="s">
        <v>2735</v>
      </c>
      <c r="C1693" t="s">
        <v>2736</v>
      </c>
      <c r="D1693" t="s">
        <v>233</v>
      </c>
      <c r="E1693" t="s">
        <v>30</v>
      </c>
      <c r="F1693" s="6">
        <v>45838</v>
      </c>
      <c r="G1693">
        <v>93</v>
      </c>
      <c r="H1693" t="s">
        <v>667</v>
      </c>
      <c r="I1693">
        <v>1.032258064516129</v>
      </c>
      <c r="J1693">
        <v>1.032258064516129</v>
      </c>
      <c r="K1693" t="s">
        <v>971</v>
      </c>
      <c r="L1693" t="s">
        <v>668</v>
      </c>
      <c r="M1693">
        <v>2025</v>
      </c>
      <c r="N1693" t="s">
        <v>44</v>
      </c>
      <c r="O1693" t="s">
        <v>244</v>
      </c>
      <c r="P1693">
        <v>2</v>
      </c>
      <c r="Q1693">
        <v>2</v>
      </c>
      <c r="R1693">
        <v>0</v>
      </c>
      <c r="S1693" t="s">
        <v>130</v>
      </c>
      <c r="T1693" t="s">
        <v>2744</v>
      </c>
      <c r="U1693">
        <v>30</v>
      </c>
    </row>
    <row r="1694" spans="1:21" x14ac:dyDescent="0.3">
      <c r="A1694" t="s">
        <v>2734</v>
      </c>
      <c r="B1694" t="s">
        <v>2735</v>
      </c>
      <c r="C1694" t="s">
        <v>2736</v>
      </c>
      <c r="D1694" t="s">
        <v>233</v>
      </c>
      <c r="E1694" t="s">
        <v>30</v>
      </c>
      <c r="F1694" s="6">
        <v>46022</v>
      </c>
      <c r="G1694">
        <v>93</v>
      </c>
      <c r="H1694" t="s">
        <v>837</v>
      </c>
      <c r="I1694">
        <v>1.021505376344086</v>
      </c>
      <c r="J1694">
        <v>1.021505376344086</v>
      </c>
      <c r="K1694" t="s">
        <v>971</v>
      </c>
      <c r="L1694" t="s">
        <v>838</v>
      </c>
      <c r="M1694">
        <v>2025</v>
      </c>
      <c r="N1694" t="s">
        <v>57</v>
      </c>
      <c r="O1694" t="s">
        <v>103</v>
      </c>
      <c r="P1694">
        <v>2</v>
      </c>
      <c r="Q1694">
        <v>2</v>
      </c>
      <c r="R1694">
        <v>0</v>
      </c>
      <c r="S1694" t="s">
        <v>130</v>
      </c>
      <c r="T1694" t="s">
        <v>2745</v>
      </c>
      <c r="U1694">
        <v>31</v>
      </c>
    </row>
    <row r="1695" spans="1:21" x14ac:dyDescent="0.3">
      <c r="A1695" t="s">
        <v>2746</v>
      </c>
      <c r="B1695" t="s">
        <v>2747</v>
      </c>
      <c r="C1695" t="s">
        <v>2678</v>
      </c>
      <c r="D1695" t="s">
        <v>222</v>
      </c>
      <c r="E1695" t="s">
        <v>30</v>
      </c>
      <c r="F1695" s="6">
        <v>45107</v>
      </c>
      <c r="G1695">
        <v>0</v>
      </c>
      <c r="H1695">
        <v>78</v>
      </c>
      <c r="K1695" t="s">
        <v>1041</v>
      </c>
      <c r="L1695" t="s">
        <v>31</v>
      </c>
      <c r="M1695">
        <v>2023</v>
      </c>
      <c r="N1695" t="s">
        <v>44</v>
      </c>
      <c r="O1695" t="s">
        <v>33</v>
      </c>
      <c r="P1695">
        <v>0</v>
      </c>
      <c r="Q1695">
        <v>0</v>
      </c>
      <c r="R1695">
        <v>1</v>
      </c>
      <c r="S1695" t="s">
        <v>336</v>
      </c>
      <c r="T1695" t="s">
        <v>2748</v>
      </c>
      <c r="U1695">
        <v>1</v>
      </c>
    </row>
    <row r="1696" spans="1:21" x14ac:dyDescent="0.3">
      <c r="A1696" t="s">
        <v>2746</v>
      </c>
      <c r="B1696" t="s">
        <v>2747</v>
      </c>
      <c r="C1696" t="s">
        <v>2678</v>
      </c>
      <c r="D1696" t="s">
        <v>222</v>
      </c>
      <c r="E1696" t="s">
        <v>30</v>
      </c>
      <c r="F1696" s="6">
        <v>45291</v>
      </c>
      <c r="G1696">
        <v>0</v>
      </c>
      <c r="H1696">
        <v>96</v>
      </c>
      <c r="K1696" t="s">
        <v>1041</v>
      </c>
      <c r="L1696" t="s">
        <v>31</v>
      </c>
      <c r="M1696">
        <v>2023</v>
      </c>
      <c r="N1696" t="s">
        <v>57</v>
      </c>
      <c r="O1696" t="s">
        <v>47</v>
      </c>
      <c r="P1696">
        <v>0</v>
      </c>
      <c r="Q1696">
        <v>0</v>
      </c>
      <c r="R1696">
        <v>1</v>
      </c>
      <c r="S1696" t="s">
        <v>336</v>
      </c>
      <c r="T1696" t="s">
        <v>2749</v>
      </c>
      <c r="U1696">
        <v>1</v>
      </c>
    </row>
    <row r="1697" spans="1:21" x14ac:dyDescent="0.3">
      <c r="A1697" t="s">
        <v>2746</v>
      </c>
      <c r="B1697" t="s">
        <v>2747</v>
      </c>
      <c r="C1697" t="s">
        <v>2678</v>
      </c>
      <c r="D1697" t="s">
        <v>222</v>
      </c>
      <c r="E1697" t="s">
        <v>30</v>
      </c>
      <c r="F1697" s="6">
        <v>45473</v>
      </c>
      <c r="G1697">
        <v>80</v>
      </c>
      <c r="H1697">
        <v>61</v>
      </c>
      <c r="I1697">
        <v>0.76249999999999996</v>
      </c>
      <c r="J1697">
        <v>0.76249999999999996</v>
      </c>
      <c r="K1697" t="s">
        <v>1041</v>
      </c>
      <c r="L1697" t="s">
        <v>31</v>
      </c>
      <c r="M1697">
        <v>2024</v>
      </c>
      <c r="N1697" t="s">
        <v>44</v>
      </c>
      <c r="O1697" t="s">
        <v>71</v>
      </c>
      <c r="P1697">
        <v>0</v>
      </c>
      <c r="Q1697">
        <v>0</v>
      </c>
      <c r="R1697">
        <v>1</v>
      </c>
      <c r="S1697" t="s">
        <v>336</v>
      </c>
      <c r="T1697" t="s">
        <v>2750</v>
      </c>
      <c r="U1697">
        <v>1</v>
      </c>
    </row>
    <row r="1698" spans="1:21" x14ac:dyDescent="0.3">
      <c r="A1698" t="s">
        <v>2746</v>
      </c>
      <c r="B1698" t="s">
        <v>2747</v>
      </c>
      <c r="C1698" t="s">
        <v>2678</v>
      </c>
      <c r="D1698" t="s">
        <v>222</v>
      </c>
      <c r="E1698" t="s">
        <v>30</v>
      </c>
      <c r="F1698" s="6">
        <v>45657</v>
      </c>
      <c r="G1698">
        <v>100</v>
      </c>
      <c r="H1698">
        <v>71.3</v>
      </c>
      <c r="I1698">
        <v>0.71299999999999997</v>
      </c>
      <c r="J1698">
        <v>0.71299999999999997</v>
      </c>
      <c r="M1698">
        <v>2024</v>
      </c>
      <c r="N1698" t="s">
        <v>57</v>
      </c>
      <c r="O1698" t="s">
        <v>78</v>
      </c>
      <c r="P1698">
        <v>0</v>
      </c>
      <c r="Q1698">
        <v>0</v>
      </c>
      <c r="R1698">
        <v>0</v>
      </c>
      <c r="S1698" t="s">
        <v>336</v>
      </c>
      <c r="T1698" t="s">
        <v>2751</v>
      </c>
      <c r="U1698">
        <v>1</v>
      </c>
    </row>
    <row r="1699" spans="1:21" x14ac:dyDescent="0.3">
      <c r="A1699" t="s">
        <v>2746</v>
      </c>
      <c r="B1699" t="s">
        <v>2747</v>
      </c>
      <c r="C1699" t="s">
        <v>2678</v>
      </c>
      <c r="D1699" t="s">
        <v>222</v>
      </c>
      <c r="E1699" t="s">
        <v>30</v>
      </c>
      <c r="F1699" s="6">
        <v>45838</v>
      </c>
      <c r="G1699">
        <v>100</v>
      </c>
      <c r="H1699" t="s">
        <v>439</v>
      </c>
      <c r="I1699">
        <v>0.88890000000000002</v>
      </c>
      <c r="J1699">
        <v>0.88890000000000002</v>
      </c>
      <c r="K1699" t="s">
        <v>102</v>
      </c>
      <c r="L1699" t="s">
        <v>440</v>
      </c>
      <c r="M1699">
        <v>2025</v>
      </c>
      <c r="N1699" t="s">
        <v>44</v>
      </c>
      <c r="O1699" t="s">
        <v>244</v>
      </c>
      <c r="P1699">
        <v>2</v>
      </c>
      <c r="Q1699">
        <v>2</v>
      </c>
      <c r="R1699">
        <v>1</v>
      </c>
      <c r="S1699" t="s">
        <v>336</v>
      </c>
      <c r="T1699" t="s">
        <v>2752</v>
      </c>
      <c r="U1699">
        <v>30</v>
      </c>
    </row>
    <row r="1700" spans="1:21" x14ac:dyDescent="0.3">
      <c r="A1700" t="s">
        <v>2746</v>
      </c>
      <c r="B1700" t="s">
        <v>2747</v>
      </c>
      <c r="C1700" t="s">
        <v>2678</v>
      </c>
      <c r="D1700" t="s">
        <v>222</v>
      </c>
      <c r="E1700" t="s">
        <v>30</v>
      </c>
      <c r="F1700" s="6">
        <v>46022</v>
      </c>
      <c r="G1700">
        <v>100</v>
      </c>
      <c r="H1700" t="s">
        <v>2753</v>
      </c>
      <c r="I1700">
        <v>1.0826</v>
      </c>
      <c r="J1700">
        <v>1.0826</v>
      </c>
      <c r="K1700" t="s">
        <v>102</v>
      </c>
      <c r="L1700" t="s">
        <v>2754</v>
      </c>
      <c r="M1700">
        <v>2025</v>
      </c>
      <c r="N1700" t="s">
        <v>57</v>
      </c>
      <c r="O1700" t="s">
        <v>103</v>
      </c>
      <c r="P1700">
        <v>2</v>
      </c>
      <c r="Q1700">
        <v>2</v>
      </c>
      <c r="R1700">
        <v>1</v>
      </c>
      <c r="S1700" t="s">
        <v>336</v>
      </c>
      <c r="T1700" t="s">
        <v>2755</v>
      </c>
      <c r="U1700">
        <v>31</v>
      </c>
    </row>
    <row r="1701" spans="1:21" x14ac:dyDescent="0.3">
      <c r="A1701" t="s">
        <v>2756</v>
      </c>
      <c r="B1701" t="s">
        <v>2757</v>
      </c>
      <c r="C1701" t="s">
        <v>2678</v>
      </c>
      <c r="D1701" t="s">
        <v>222</v>
      </c>
      <c r="E1701" t="s">
        <v>30</v>
      </c>
      <c r="F1701" s="6">
        <v>45107</v>
      </c>
      <c r="G1701">
        <v>0</v>
      </c>
      <c r="H1701">
        <v>0</v>
      </c>
      <c r="M1701">
        <v>2023</v>
      </c>
      <c r="N1701" t="s">
        <v>44</v>
      </c>
      <c r="O1701" t="s">
        <v>33</v>
      </c>
      <c r="P1701">
        <v>0</v>
      </c>
      <c r="Q1701">
        <v>0</v>
      </c>
      <c r="R1701">
        <v>0</v>
      </c>
      <c r="S1701" t="s">
        <v>99</v>
      </c>
      <c r="T1701" t="s">
        <v>2758</v>
      </c>
      <c r="U1701">
        <v>1</v>
      </c>
    </row>
    <row r="1702" spans="1:21" x14ac:dyDescent="0.3">
      <c r="A1702" t="s">
        <v>2756</v>
      </c>
      <c r="B1702" t="s">
        <v>2757</v>
      </c>
      <c r="C1702" t="s">
        <v>2678</v>
      </c>
      <c r="D1702" t="s">
        <v>222</v>
      </c>
      <c r="E1702" t="s">
        <v>30</v>
      </c>
      <c r="F1702" s="6">
        <v>45291</v>
      </c>
      <c r="G1702">
        <v>0</v>
      </c>
      <c r="M1702">
        <v>2023</v>
      </c>
      <c r="N1702" t="s">
        <v>57</v>
      </c>
      <c r="O1702" t="s">
        <v>47</v>
      </c>
      <c r="P1702">
        <v>0</v>
      </c>
      <c r="Q1702">
        <v>0</v>
      </c>
      <c r="R1702">
        <v>0</v>
      </c>
      <c r="S1702" t="s">
        <v>99</v>
      </c>
      <c r="T1702" t="s">
        <v>2759</v>
      </c>
      <c r="U1702">
        <v>1</v>
      </c>
    </row>
    <row r="1703" spans="1:21" x14ac:dyDescent="0.3">
      <c r="A1703" t="s">
        <v>2760</v>
      </c>
      <c r="B1703" t="s">
        <v>2761</v>
      </c>
      <c r="C1703" t="s">
        <v>2678</v>
      </c>
      <c r="D1703" t="s">
        <v>222</v>
      </c>
      <c r="E1703" t="s">
        <v>30</v>
      </c>
      <c r="F1703" s="6">
        <v>45107</v>
      </c>
      <c r="G1703">
        <v>2750000000</v>
      </c>
      <c r="H1703">
        <v>4331325417</v>
      </c>
      <c r="I1703">
        <v>1.3</v>
      </c>
      <c r="J1703">
        <v>1.575027424363636</v>
      </c>
      <c r="K1703" t="s">
        <v>335</v>
      </c>
      <c r="L1703" t="s">
        <v>335</v>
      </c>
      <c r="M1703">
        <v>2023</v>
      </c>
      <c r="N1703" t="s">
        <v>44</v>
      </c>
      <c r="O1703" t="s">
        <v>33</v>
      </c>
      <c r="P1703">
        <v>0</v>
      </c>
      <c r="Q1703">
        <v>0</v>
      </c>
      <c r="R1703">
        <v>0</v>
      </c>
      <c r="S1703" t="s">
        <v>718</v>
      </c>
      <c r="T1703" t="s">
        <v>2762</v>
      </c>
      <c r="U1703">
        <v>1</v>
      </c>
    </row>
    <row r="1704" spans="1:21" x14ac:dyDescent="0.3">
      <c r="A1704" t="s">
        <v>2760</v>
      </c>
      <c r="B1704" t="s">
        <v>2761</v>
      </c>
      <c r="C1704" t="s">
        <v>2678</v>
      </c>
      <c r="D1704" t="s">
        <v>222</v>
      </c>
      <c r="E1704" t="s">
        <v>30</v>
      </c>
      <c r="F1704" s="6">
        <v>45291</v>
      </c>
      <c r="G1704">
        <v>2750000000</v>
      </c>
      <c r="H1704">
        <v>5187526725</v>
      </c>
      <c r="I1704">
        <v>1.3</v>
      </c>
      <c r="J1704">
        <v>1.8863733545454551</v>
      </c>
      <c r="K1704" t="s">
        <v>335</v>
      </c>
      <c r="L1704" t="s">
        <v>335</v>
      </c>
      <c r="M1704">
        <v>2023</v>
      </c>
      <c r="N1704" t="s">
        <v>57</v>
      </c>
      <c r="O1704" t="s">
        <v>47</v>
      </c>
      <c r="P1704">
        <v>0</v>
      </c>
      <c r="Q1704">
        <v>0</v>
      </c>
      <c r="R1704">
        <v>0</v>
      </c>
      <c r="S1704" t="s">
        <v>718</v>
      </c>
      <c r="T1704" t="s">
        <v>2763</v>
      </c>
      <c r="U1704">
        <v>1</v>
      </c>
    </row>
    <row r="1705" spans="1:21" x14ac:dyDescent="0.3">
      <c r="A1705" t="s">
        <v>2760</v>
      </c>
      <c r="B1705" t="s">
        <v>2761</v>
      </c>
      <c r="C1705" t="s">
        <v>2678</v>
      </c>
      <c r="D1705" t="s">
        <v>222</v>
      </c>
      <c r="E1705" t="s">
        <v>30</v>
      </c>
      <c r="F1705" s="6">
        <v>45473</v>
      </c>
      <c r="G1705">
        <v>620023081</v>
      </c>
      <c r="H1705">
        <v>928306953</v>
      </c>
      <c r="I1705">
        <v>1.3</v>
      </c>
      <c r="J1705">
        <v>1.4972135416358801</v>
      </c>
      <c r="K1705" t="s">
        <v>335</v>
      </c>
      <c r="L1705" t="s">
        <v>335</v>
      </c>
      <c r="M1705">
        <v>2024</v>
      </c>
      <c r="N1705" t="s">
        <v>44</v>
      </c>
      <c r="O1705" t="s">
        <v>71</v>
      </c>
      <c r="P1705">
        <v>0</v>
      </c>
      <c r="Q1705">
        <v>0</v>
      </c>
      <c r="R1705">
        <v>0</v>
      </c>
      <c r="S1705" t="s">
        <v>718</v>
      </c>
      <c r="T1705" t="s">
        <v>2764</v>
      </c>
      <c r="U1705">
        <v>1</v>
      </c>
    </row>
    <row r="1706" spans="1:21" x14ac:dyDescent="0.3">
      <c r="A1706" t="s">
        <v>2760</v>
      </c>
      <c r="B1706" t="s">
        <v>2761</v>
      </c>
      <c r="C1706" t="s">
        <v>2678</v>
      </c>
      <c r="D1706" t="s">
        <v>222</v>
      </c>
      <c r="E1706" t="s">
        <v>30</v>
      </c>
      <c r="F1706" s="6">
        <v>45657</v>
      </c>
      <c r="G1706">
        <v>974321985.06500006</v>
      </c>
      <c r="H1706">
        <v>2045128020</v>
      </c>
      <c r="I1706">
        <v>1.3</v>
      </c>
      <c r="J1706">
        <v>2.099026863140693</v>
      </c>
      <c r="K1706" t="s">
        <v>335</v>
      </c>
      <c r="L1706" t="s">
        <v>335</v>
      </c>
      <c r="M1706">
        <v>2024</v>
      </c>
      <c r="N1706" t="s">
        <v>57</v>
      </c>
      <c r="O1706" t="s">
        <v>78</v>
      </c>
      <c r="P1706">
        <v>0</v>
      </c>
      <c r="Q1706">
        <v>0</v>
      </c>
      <c r="R1706">
        <v>0</v>
      </c>
      <c r="S1706" t="s">
        <v>718</v>
      </c>
      <c r="T1706" t="s">
        <v>2765</v>
      </c>
      <c r="U1706">
        <v>1</v>
      </c>
    </row>
    <row r="1707" spans="1:21" x14ac:dyDescent="0.3">
      <c r="A1707" t="s">
        <v>2760</v>
      </c>
      <c r="B1707" t="s">
        <v>2761</v>
      </c>
      <c r="C1707" t="s">
        <v>2678</v>
      </c>
      <c r="D1707" t="s">
        <v>222</v>
      </c>
      <c r="E1707" t="s">
        <v>30</v>
      </c>
      <c r="F1707" s="6">
        <v>45838</v>
      </c>
      <c r="G1707">
        <v>100</v>
      </c>
      <c r="H1707" t="s">
        <v>2766</v>
      </c>
      <c r="I1707">
        <v>0.7369</v>
      </c>
      <c r="J1707">
        <v>0.7369</v>
      </c>
      <c r="K1707" t="s">
        <v>102</v>
      </c>
      <c r="L1707" t="s">
        <v>2767</v>
      </c>
      <c r="M1707">
        <v>2025</v>
      </c>
      <c r="N1707" t="s">
        <v>44</v>
      </c>
      <c r="O1707" t="s">
        <v>244</v>
      </c>
      <c r="P1707">
        <v>2</v>
      </c>
      <c r="Q1707">
        <v>2</v>
      </c>
      <c r="R1707">
        <v>0</v>
      </c>
      <c r="S1707" t="s">
        <v>336</v>
      </c>
      <c r="T1707" t="s">
        <v>2768</v>
      </c>
      <c r="U1707">
        <v>30</v>
      </c>
    </row>
    <row r="1708" spans="1:21" x14ac:dyDescent="0.3">
      <c r="A1708" t="s">
        <v>2760</v>
      </c>
      <c r="B1708" t="s">
        <v>2761</v>
      </c>
      <c r="C1708" t="s">
        <v>2678</v>
      </c>
      <c r="D1708" t="s">
        <v>222</v>
      </c>
      <c r="E1708" t="s">
        <v>30</v>
      </c>
      <c r="F1708" s="6">
        <v>46022</v>
      </c>
      <c r="G1708">
        <v>100</v>
      </c>
      <c r="H1708" t="s">
        <v>2769</v>
      </c>
      <c r="I1708">
        <v>0.83420000000000005</v>
      </c>
      <c r="J1708">
        <v>0.83420000000000005</v>
      </c>
      <c r="K1708" t="s">
        <v>102</v>
      </c>
      <c r="L1708" t="s">
        <v>2770</v>
      </c>
      <c r="M1708">
        <v>2025</v>
      </c>
      <c r="N1708" t="s">
        <v>57</v>
      </c>
      <c r="O1708" t="s">
        <v>103</v>
      </c>
      <c r="P1708">
        <v>2</v>
      </c>
      <c r="Q1708">
        <v>2</v>
      </c>
      <c r="R1708">
        <v>0</v>
      </c>
      <c r="S1708" t="s">
        <v>336</v>
      </c>
      <c r="T1708" t="s">
        <v>2771</v>
      </c>
      <c r="U1708">
        <v>31</v>
      </c>
    </row>
    <row r="1709" spans="1:21" x14ac:dyDescent="0.3">
      <c r="A1709" t="s">
        <v>2772</v>
      </c>
      <c r="B1709" t="s">
        <v>2773</v>
      </c>
      <c r="C1709" t="s">
        <v>2736</v>
      </c>
      <c r="D1709" t="s">
        <v>233</v>
      </c>
      <c r="E1709" t="s">
        <v>30</v>
      </c>
      <c r="F1709" s="6">
        <v>45199</v>
      </c>
      <c r="G1709">
        <v>87</v>
      </c>
      <c r="H1709">
        <v>96</v>
      </c>
      <c r="I1709">
        <v>1.103448275862069</v>
      </c>
      <c r="J1709">
        <v>1.103448275862069</v>
      </c>
      <c r="K1709" t="s">
        <v>31</v>
      </c>
      <c r="L1709" t="s">
        <v>31</v>
      </c>
      <c r="M1709">
        <v>2023</v>
      </c>
      <c r="N1709" t="s">
        <v>51</v>
      </c>
      <c r="O1709" t="s">
        <v>47</v>
      </c>
      <c r="P1709">
        <v>0</v>
      </c>
      <c r="Q1709">
        <v>0</v>
      </c>
      <c r="R1709">
        <v>0</v>
      </c>
      <c r="S1709" t="s">
        <v>198</v>
      </c>
      <c r="T1709" t="s">
        <v>2774</v>
      </c>
      <c r="U1709">
        <v>1</v>
      </c>
    </row>
    <row r="1710" spans="1:21" x14ac:dyDescent="0.3">
      <c r="A1710" t="s">
        <v>2772</v>
      </c>
      <c r="B1710" t="s">
        <v>2773</v>
      </c>
      <c r="C1710" t="s">
        <v>2736</v>
      </c>
      <c r="D1710" t="s">
        <v>233</v>
      </c>
      <c r="E1710" t="s">
        <v>30</v>
      </c>
      <c r="F1710" s="6">
        <v>45291</v>
      </c>
      <c r="G1710">
        <v>87</v>
      </c>
      <c r="H1710">
        <v>95</v>
      </c>
      <c r="I1710">
        <v>1.0919540229885061</v>
      </c>
      <c r="J1710">
        <v>1.0919540229885061</v>
      </c>
      <c r="K1710" t="s">
        <v>31</v>
      </c>
      <c r="L1710" t="s">
        <v>31</v>
      </c>
      <c r="M1710">
        <v>2023</v>
      </c>
      <c r="N1710" t="s">
        <v>57</v>
      </c>
      <c r="O1710" t="s">
        <v>47</v>
      </c>
      <c r="P1710">
        <v>0</v>
      </c>
      <c r="Q1710">
        <v>0</v>
      </c>
      <c r="R1710">
        <v>0</v>
      </c>
      <c r="S1710" t="s">
        <v>198</v>
      </c>
      <c r="T1710" t="s">
        <v>2775</v>
      </c>
      <c r="U1710">
        <v>1</v>
      </c>
    </row>
    <row r="1711" spans="1:21" x14ac:dyDescent="0.3">
      <c r="A1711" t="s">
        <v>2772</v>
      </c>
      <c r="B1711" t="s">
        <v>2773</v>
      </c>
      <c r="C1711" t="s">
        <v>2736</v>
      </c>
      <c r="D1711" t="s">
        <v>233</v>
      </c>
      <c r="E1711" t="s">
        <v>30</v>
      </c>
      <c r="F1711" s="6">
        <v>45382</v>
      </c>
      <c r="G1711">
        <v>87</v>
      </c>
      <c r="H1711">
        <v>93</v>
      </c>
      <c r="I1711">
        <v>1.068965517241379</v>
      </c>
      <c r="J1711">
        <v>1.068965517241379</v>
      </c>
      <c r="K1711" t="s">
        <v>31</v>
      </c>
      <c r="L1711" t="s">
        <v>31</v>
      </c>
      <c r="M1711">
        <v>2024</v>
      </c>
      <c r="N1711" t="s">
        <v>38</v>
      </c>
      <c r="O1711" t="s">
        <v>71</v>
      </c>
      <c r="P1711">
        <v>0</v>
      </c>
      <c r="Q1711">
        <v>0</v>
      </c>
      <c r="R1711">
        <v>0</v>
      </c>
      <c r="S1711" t="s">
        <v>198</v>
      </c>
      <c r="T1711" t="s">
        <v>2776</v>
      </c>
      <c r="U1711">
        <v>1</v>
      </c>
    </row>
    <row r="1712" spans="1:21" x14ac:dyDescent="0.3">
      <c r="A1712" t="s">
        <v>2772</v>
      </c>
      <c r="B1712" t="s">
        <v>2773</v>
      </c>
      <c r="C1712" t="s">
        <v>2736</v>
      </c>
      <c r="D1712" t="s">
        <v>233</v>
      </c>
      <c r="E1712" t="s">
        <v>30</v>
      </c>
      <c r="F1712" s="6">
        <v>45473</v>
      </c>
      <c r="G1712">
        <v>87</v>
      </c>
      <c r="H1712">
        <v>90</v>
      </c>
      <c r="I1712">
        <v>1.0344827586206899</v>
      </c>
      <c r="J1712">
        <v>1.0344827586206899</v>
      </c>
      <c r="K1712" t="s">
        <v>31</v>
      </c>
      <c r="L1712" t="s">
        <v>31</v>
      </c>
      <c r="M1712">
        <v>2024</v>
      </c>
      <c r="N1712" t="s">
        <v>44</v>
      </c>
      <c r="O1712" t="s">
        <v>71</v>
      </c>
      <c r="P1712">
        <v>0</v>
      </c>
      <c r="Q1712">
        <v>0</v>
      </c>
      <c r="R1712">
        <v>0</v>
      </c>
      <c r="S1712" t="s">
        <v>198</v>
      </c>
      <c r="T1712" t="s">
        <v>2777</v>
      </c>
      <c r="U1712">
        <v>1</v>
      </c>
    </row>
    <row r="1713" spans="1:21" x14ac:dyDescent="0.3">
      <c r="A1713" t="s">
        <v>2772</v>
      </c>
      <c r="B1713" t="s">
        <v>2773</v>
      </c>
      <c r="C1713" t="s">
        <v>2736</v>
      </c>
      <c r="D1713" t="s">
        <v>233</v>
      </c>
      <c r="E1713" t="s">
        <v>30</v>
      </c>
      <c r="F1713" s="6">
        <v>45565</v>
      </c>
      <c r="G1713">
        <v>87</v>
      </c>
      <c r="H1713">
        <v>91</v>
      </c>
      <c r="I1713">
        <v>1.045977011494253</v>
      </c>
      <c r="J1713">
        <v>1.045977011494253</v>
      </c>
      <c r="K1713" t="s">
        <v>31</v>
      </c>
      <c r="L1713" t="s">
        <v>31</v>
      </c>
      <c r="M1713">
        <v>2024</v>
      </c>
      <c r="N1713" t="s">
        <v>51</v>
      </c>
      <c r="O1713" t="s">
        <v>78</v>
      </c>
      <c r="P1713">
        <v>0</v>
      </c>
      <c r="Q1713">
        <v>0</v>
      </c>
      <c r="R1713">
        <v>0</v>
      </c>
      <c r="S1713" t="s">
        <v>198</v>
      </c>
      <c r="T1713" t="s">
        <v>2778</v>
      </c>
      <c r="U1713">
        <v>1</v>
      </c>
    </row>
    <row r="1714" spans="1:21" x14ac:dyDescent="0.3">
      <c r="A1714" t="s">
        <v>2772</v>
      </c>
      <c r="B1714" t="s">
        <v>2773</v>
      </c>
      <c r="C1714" t="s">
        <v>2736</v>
      </c>
      <c r="D1714" t="s">
        <v>233</v>
      </c>
      <c r="E1714" t="s">
        <v>30</v>
      </c>
      <c r="F1714" s="6">
        <v>45657</v>
      </c>
      <c r="G1714">
        <v>87</v>
      </c>
      <c r="H1714">
        <v>93</v>
      </c>
      <c r="I1714">
        <v>1.068965517241379</v>
      </c>
      <c r="J1714">
        <v>1.068965517241379</v>
      </c>
      <c r="K1714" t="s">
        <v>31</v>
      </c>
      <c r="L1714" t="s">
        <v>31</v>
      </c>
      <c r="M1714">
        <v>2024</v>
      </c>
      <c r="N1714" t="s">
        <v>57</v>
      </c>
      <c r="O1714" t="s">
        <v>78</v>
      </c>
      <c r="P1714">
        <v>0</v>
      </c>
      <c r="Q1714">
        <v>0</v>
      </c>
      <c r="R1714">
        <v>0</v>
      </c>
      <c r="S1714" t="s">
        <v>198</v>
      </c>
      <c r="T1714" t="s">
        <v>2779</v>
      </c>
      <c r="U1714">
        <v>1</v>
      </c>
    </row>
    <row r="1715" spans="1:21" x14ac:dyDescent="0.3">
      <c r="A1715" t="s">
        <v>2772</v>
      </c>
      <c r="B1715" t="s">
        <v>2773</v>
      </c>
      <c r="C1715" t="s">
        <v>2736</v>
      </c>
      <c r="D1715" t="s">
        <v>233</v>
      </c>
      <c r="E1715" t="s">
        <v>30</v>
      </c>
      <c r="F1715" s="6">
        <v>45747</v>
      </c>
      <c r="G1715">
        <v>90</v>
      </c>
      <c r="H1715" t="s">
        <v>311</v>
      </c>
      <c r="I1715">
        <v>1.088888888888889</v>
      </c>
      <c r="J1715">
        <v>1.088888888888889</v>
      </c>
      <c r="K1715" t="s">
        <v>256</v>
      </c>
      <c r="L1715" t="s">
        <v>312</v>
      </c>
      <c r="M1715">
        <v>2025</v>
      </c>
      <c r="N1715" t="s">
        <v>38</v>
      </c>
      <c r="O1715" t="s">
        <v>244</v>
      </c>
      <c r="P1715">
        <v>2</v>
      </c>
      <c r="Q1715">
        <v>2</v>
      </c>
      <c r="R1715">
        <v>0</v>
      </c>
      <c r="S1715" t="s">
        <v>130</v>
      </c>
      <c r="T1715" t="s">
        <v>2780</v>
      </c>
      <c r="U1715">
        <v>31</v>
      </c>
    </row>
    <row r="1716" spans="1:21" x14ac:dyDescent="0.3">
      <c r="A1716" t="s">
        <v>2772</v>
      </c>
      <c r="B1716" t="s">
        <v>2773</v>
      </c>
      <c r="C1716" t="s">
        <v>2736</v>
      </c>
      <c r="D1716" t="s">
        <v>233</v>
      </c>
      <c r="E1716" t="s">
        <v>30</v>
      </c>
      <c r="F1716" s="6">
        <v>45838</v>
      </c>
      <c r="G1716">
        <v>90</v>
      </c>
      <c r="H1716" t="s">
        <v>255</v>
      </c>
      <c r="I1716">
        <v>1</v>
      </c>
      <c r="J1716">
        <v>1</v>
      </c>
      <c r="K1716" t="s">
        <v>256</v>
      </c>
      <c r="L1716" t="s">
        <v>256</v>
      </c>
      <c r="M1716">
        <v>2025</v>
      </c>
      <c r="N1716" t="s">
        <v>44</v>
      </c>
      <c r="O1716" t="s">
        <v>244</v>
      </c>
      <c r="P1716">
        <v>2</v>
      </c>
      <c r="Q1716">
        <v>2</v>
      </c>
      <c r="R1716">
        <v>0</v>
      </c>
      <c r="S1716" t="s">
        <v>130</v>
      </c>
      <c r="T1716" t="s">
        <v>2781</v>
      </c>
      <c r="U1716">
        <v>30</v>
      </c>
    </row>
    <row r="1717" spans="1:21" x14ac:dyDescent="0.3">
      <c r="A1717" t="s">
        <v>2772</v>
      </c>
      <c r="B1717" t="s">
        <v>2773</v>
      </c>
      <c r="C1717" t="s">
        <v>2736</v>
      </c>
      <c r="D1717" t="s">
        <v>233</v>
      </c>
      <c r="E1717" t="s">
        <v>30</v>
      </c>
      <c r="F1717" s="6">
        <v>46022</v>
      </c>
      <c r="G1717">
        <v>90</v>
      </c>
      <c r="H1717" t="s">
        <v>2782</v>
      </c>
      <c r="I1717">
        <v>1.0777777777777779</v>
      </c>
      <c r="J1717">
        <v>1.0777777777777779</v>
      </c>
      <c r="K1717" t="s">
        <v>256</v>
      </c>
      <c r="L1717" t="s">
        <v>1005</v>
      </c>
      <c r="M1717">
        <v>2025</v>
      </c>
      <c r="N1717" t="s">
        <v>57</v>
      </c>
      <c r="O1717" t="s">
        <v>103</v>
      </c>
      <c r="P1717">
        <v>2</v>
      </c>
      <c r="Q1717">
        <v>2</v>
      </c>
      <c r="R1717">
        <v>0</v>
      </c>
      <c r="S1717" t="s">
        <v>130</v>
      </c>
      <c r="T1717" t="s">
        <v>2783</v>
      </c>
      <c r="U1717">
        <v>31</v>
      </c>
    </row>
    <row r="1718" spans="1:21" x14ac:dyDescent="0.3">
      <c r="A1718" t="s">
        <v>2784</v>
      </c>
      <c r="B1718" t="s">
        <v>2785</v>
      </c>
      <c r="C1718" t="s">
        <v>129</v>
      </c>
      <c r="D1718" t="s">
        <v>233</v>
      </c>
      <c r="E1718" t="s">
        <v>30</v>
      </c>
      <c r="F1718" s="6">
        <v>45107</v>
      </c>
      <c r="G1718">
        <v>100</v>
      </c>
      <c r="H1718">
        <v>107.17</v>
      </c>
      <c r="I1718">
        <v>1.0717000000000001</v>
      </c>
      <c r="J1718">
        <v>1.0717000000000001</v>
      </c>
      <c r="K1718" t="s">
        <v>31</v>
      </c>
      <c r="L1718" t="s">
        <v>31</v>
      </c>
      <c r="M1718">
        <v>2023</v>
      </c>
      <c r="N1718" t="s">
        <v>44</v>
      </c>
      <c r="O1718" t="s">
        <v>33</v>
      </c>
      <c r="P1718">
        <v>0</v>
      </c>
      <c r="Q1718">
        <v>0</v>
      </c>
      <c r="R1718">
        <v>0</v>
      </c>
      <c r="S1718" t="s">
        <v>99</v>
      </c>
      <c r="T1718" t="s">
        <v>2786</v>
      </c>
      <c r="U1718">
        <v>1</v>
      </c>
    </row>
    <row r="1719" spans="1:21" x14ac:dyDescent="0.3">
      <c r="A1719" t="s">
        <v>2784</v>
      </c>
      <c r="B1719" t="s">
        <v>2785</v>
      </c>
      <c r="C1719" t="s">
        <v>129</v>
      </c>
      <c r="D1719" t="s">
        <v>233</v>
      </c>
      <c r="E1719" t="s">
        <v>30</v>
      </c>
      <c r="F1719" s="6">
        <v>45199</v>
      </c>
      <c r="G1719">
        <v>100</v>
      </c>
      <c r="H1719">
        <v>91.51</v>
      </c>
      <c r="I1719">
        <v>0.91510000000000002</v>
      </c>
      <c r="J1719">
        <v>0.91510000000000002</v>
      </c>
      <c r="K1719" t="s">
        <v>31</v>
      </c>
      <c r="L1719" t="s">
        <v>31</v>
      </c>
      <c r="M1719">
        <v>2023</v>
      </c>
      <c r="N1719" t="s">
        <v>51</v>
      </c>
      <c r="O1719" t="s">
        <v>47</v>
      </c>
      <c r="P1719">
        <v>0</v>
      </c>
      <c r="Q1719">
        <v>0</v>
      </c>
      <c r="R1719">
        <v>0</v>
      </c>
      <c r="S1719" t="s">
        <v>99</v>
      </c>
      <c r="T1719" t="s">
        <v>2787</v>
      </c>
      <c r="U1719">
        <v>1</v>
      </c>
    </row>
    <row r="1720" spans="1:21" x14ac:dyDescent="0.3">
      <c r="A1720" t="s">
        <v>2784</v>
      </c>
      <c r="B1720" t="s">
        <v>2785</v>
      </c>
      <c r="C1720" t="s">
        <v>129</v>
      </c>
      <c r="D1720" t="s">
        <v>233</v>
      </c>
      <c r="E1720" t="s">
        <v>30</v>
      </c>
      <c r="F1720" s="6">
        <v>45291</v>
      </c>
      <c r="G1720">
        <v>100</v>
      </c>
      <c r="H1720">
        <v>97.17</v>
      </c>
      <c r="I1720">
        <v>0.97170000000000001</v>
      </c>
      <c r="J1720">
        <v>0.97170000000000001</v>
      </c>
      <c r="K1720" t="s">
        <v>31</v>
      </c>
      <c r="L1720" t="s">
        <v>31</v>
      </c>
      <c r="M1720">
        <v>2023</v>
      </c>
      <c r="N1720" t="s">
        <v>57</v>
      </c>
      <c r="O1720" t="s">
        <v>47</v>
      </c>
      <c r="P1720">
        <v>0</v>
      </c>
      <c r="Q1720">
        <v>0</v>
      </c>
      <c r="R1720">
        <v>0</v>
      </c>
      <c r="S1720" t="s">
        <v>99</v>
      </c>
      <c r="T1720" t="s">
        <v>2788</v>
      </c>
      <c r="U1720">
        <v>1</v>
      </c>
    </row>
    <row r="1721" spans="1:21" x14ac:dyDescent="0.3">
      <c r="A1721" t="s">
        <v>2784</v>
      </c>
      <c r="B1721" t="s">
        <v>2785</v>
      </c>
      <c r="C1721" t="s">
        <v>129</v>
      </c>
      <c r="D1721" t="s">
        <v>233</v>
      </c>
      <c r="E1721" t="s">
        <v>30</v>
      </c>
      <c r="F1721" s="6">
        <v>45382</v>
      </c>
      <c r="G1721">
        <v>100</v>
      </c>
      <c r="H1721">
        <v>89.02</v>
      </c>
      <c r="I1721">
        <v>0.89019999999999999</v>
      </c>
      <c r="J1721">
        <v>0.89019999999999999</v>
      </c>
      <c r="K1721" t="s">
        <v>31</v>
      </c>
      <c r="L1721" t="s">
        <v>31</v>
      </c>
      <c r="M1721">
        <v>2024</v>
      </c>
      <c r="N1721" t="s">
        <v>38</v>
      </c>
      <c r="O1721" t="s">
        <v>71</v>
      </c>
      <c r="P1721">
        <v>0</v>
      </c>
      <c r="Q1721">
        <v>0</v>
      </c>
      <c r="R1721">
        <v>0</v>
      </c>
      <c r="S1721" t="s">
        <v>99</v>
      </c>
      <c r="T1721" t="s">
        <v>2789</v>
      </c>
      <c r="U1721">
        <v>1</v>
      </c>
    </row>
    <row r="1722" spans="1:21" x14ac:dyDescent="0.3">
      <c r="A1722" t="s">
        <v>2784</v>
      </c>
      <c r="B1722" t="s">
        <v>2785</v>
      </c>
      <c r="C1722" t="s">
        <v>129</v>
      </c>
      <c r="D1722" t="s">
        <v>233</v>
      </c>
      <c r="E1722" t="s">
        <v>30</v>
      </c>
      <c r="F1722" s="6">
        <v>45473</v>
      </c>
      <c r="G1722">
        <v>100</v>
      </c>
      <c r="H1722">
        <v>106.8</v>
      </c>
      <c r="I1722">
        <v>1.0680000000000001</v>
      </c>
      <c r="J1722">
        <v>1.0680000000000001</v>
      </c>
      <c r="K1722" t="s">
        <v>31</v>
      </c>
      <c r="L1722" t="s">
        <v>31</v>
      </c>
      <c r="M1722">
        <v>2024</v>
      </c>
      <c r="N1722" t="s">
        <v>44</v>
      </c>
      <c r="O1722" t="s">
        <v>71</v>
      </c>
      <c r="P1722">
        <v>0</v>
      </c>
      <c r="Q1722">
        <v>0</v>
      </c>
      <c r="R1722">
        <v>0</v>
      </c>
      <c r="S1722" t="s">
        <v>99</v>
      </c>
      <c r="T1722" t="s">
        <v>2790</v>
      </c>
      <c r="U1722">
        <v>1</v>
      </c>
    </row>
    <row r="1723" spans="1:21" x14ac:dyDescent="0.3">
      <c r="A1723" t="s">
        <v>2784</v>
      </c>
      <c r="B1723" t="s">
        <v>2785</v>
      </c>
      <c r="C1723" t="s">
        <v>129</v>
      </c>
      <c r="D1723" t="s">
        <v>233</v>
      </c>
      <c r="E1723" t="s">
        <v>30</v>
      </c>
      <c r="F1723" s="6">
        <v>45565</v>
      </c>
      <c r="G1723">
        <v>100</v>
      </c>
      <c r="H1723">
        <v>99.61</v>
      </c>
      <c r="I1723">
        <v>0.99609999999999999</v>
      </c>
      <c r="J1723">
        <v>0.99609999999999999</v>
      </c>
      <c r="K1723" t="s">
        <v>31</v>
      </c>
      <c r="L1723" t="s">
        <v>31</v>
      </c>
      <c r="M1723">
        <v>2024</v>
      </c>
      <c r="N1723" t="s">
        <v>51</v>
      </c>
      <c r="O1723" t="s">
        <v>78</v>
      </c>
      <c r="P1723">
        <v>0</v>
      </c>
      <c r="Q1723">
        <v>0</v>
      </c>
      <c r="R1723">
        <v>0</v>
      </c>
      <c r="S1723" t="s">
        <v>99</v>
      </c>
      <c r="T1723" t="s">
        <v>2791</v>
      </c>
      <c r="U1723">
        <v>1</v>
      </c>
    </row>
    <row r="1724" spans="1:21" x14ac:dyDescent="0.3">
      <c r="A1724" t="s">
        <v>2784</v>
      </c>
      <c r="B1724" t="s">
        <v>2785</v>
      </c>
      <c r="C1724" t="s">
        <v>129</v>
      </c>
      <c r="D1724" t="s">
        <v>233</v>
      </c>
      <c r="E1724" t="s">
        <v>30</v>
      </c>
      <c r="F1724" s="6">
        <v>45657</v>
      </c>
      <c r="G1724">
        <v>100</v>
      </c>
      <c r="H1724">
        <v>0</v>
      </c>
      <c r="I1724">
        <v>0</v>
      </c>
      <c r="J1724">
        <v>0</v>
      </c>
      <c r="K1724" t="s">
        <v>31</v>
      </c>
      <c r="L1724" t="s">
        <v>31</v>
      </c>
      <c r="M1724">
        <v>2024</v>
      </c>
      <c r="N1724" t="s">
        <v>57</v>
      </c>
      <c r="O1724" t="s">
        <v>78</v>
      </c>
      <c r="P1724">
        <v>0</v>
      </c>
      <c r="Q1724">
        <v>0</v>
      </c>
      <c r="R1724">
        <v>0</v>
      </c>
      <c r="S1724" t="s">
        <v>99</v>
      </c>
      <c r="T1724" t="s">
        <v>2792</v>
      </c>
      <c r="U1724">
        <v>1</v>
      </c>
    </row>
    <row r="1725" spans="1:21" x14ac:dyDescent="0.3">
      <c r="A1725" t="s">
        <v>2784</v>
      </c>
      <c r="B1725" t="s">
        <v>2785</v>
      </c>
      <c r="C1725" t="s">
        <v>129</v>
      </c>
      <c r="D1725" t="s">
        <v>233</v>
      </c>
      <c r="E1725" t="s">
        <v>30</v>
      </c>
      <c r="F1725" s="6">
        <v>45747</v>
      </c>
      <c r="G1725">
        <v>100</v>
      </c>
      <c r="H1725" t="s">
        <v>2793</v>
      </c>
      <c r="I1725">
        <v>1.0746</v>
      </c>
      <c r="J1725">
        <v>1.0746</v>
      </c>
      <c r="K1725" t="s">
        <v>102</v>
      </c>
      <c r="L1725" t="s">
        <v>2794</v>
      </c>
      <c r="M1725">
        <v>2025</v>
      </c>
      <c r="N1725" t="s">
        <v>38</v>
      </c>
      <c r="O1725" t="s">
        <v>244</v>
      </c>
      <c r="P1725">
        <v>2</v>
      </c>
      <c r="Q1725">
        <v>2</v>
      </c>
      <c r="R1725">
        <v>0</v>
      </c>
      <c r="S1725" t="s">
        <v>104</v>
      </c>
      <c r="T1725" t="s">
        <v>2795</v>
      </c>
      <c r="U1725">
        <v>31</v>
      </c>
    </row>
    <row r="1726" spans="1:21" x14ac:dyDescent="0.3">
      <c r="A1726" t="s">
        <v>2784</v>
      </c>
      <c r="B1726" t="s">
        <v>2785</v>
      </c>
      <c r="C1726" t="s">
        <v>129</v>
      </c>
      <c r="D1726" t="s">
        <v>233</v>
      </c>
      <c r="E1726" t="s">
        <v>30</v>
      </c>
      <c r="F1726" s="6">
        <v>45838</v>
      </c>
      <c r="G1726">
        <v>100</v>
      </c>
      <c r="H1726" t="s">
        <v>2796</v>
      </c>
      <c r="I1726">
        <v>1.0175000000000001</v>
      </c>
      <c r="J1726">
        <v>1.0175000000000001</v>
      </c>
      <c r="K1726" t="s">
        <v>102</v>
      </c>
      <c r="L1726" t="s">
        <v>2797</v>
      </c>
      <c r="M1726">
        <v>2025</v>
      </c>
      <c r="N1726" t="s">
        <v>44</v>
      </c>
      <c r="O1726" t="s">
        <v>244</v>
      </c>
      <c r="P1726">
        <v>2</v>
      </c>
      <c r="Q1726">
        <v>2</v>
      </c>
      <c r="R1726">
        <v>0</v>
      </c>
      <c r="S1726" t="s">
        <v>104</v>
      </c>
      <c r="T1726" t="s">
        <v>2798</v>
      </c>
      <c r="U1726">
        <v>30</v>
      </c>
    </row>
    <row r="1727" spans="1:21" x14ac:dyDescent="0.3">
      <c r="A1727" t="s">
        <v>2784</v>
      </c>
      <c r="B1727" t="s">
        <v>2785</v>
      </c>
      <c r="C1727" t="s">
        <v>129</v>
      </c>
      <c r="D1727" t="s">
        <v>233</v>
      </c>
      <c r="E1727" t="s">
        <v>30</v>
      </c>
      <c r="F1727" s="6">
        <v>46022</v>
      </c>
      <c r="G1727">
        <v>100</v>
      </c>
      <c r="I1727">
        <v>0</v>
      </c>
      <c r="J1727">
        <v>0</v>
      </c>
      <c r="K1727" t="s">
        <v>102</v>
      </c>
      <c r="M1727">
        <v>2025</v>
      </c>
      <c r="N1727" t="s">
        <v>57</v>
      </c>
      <c r="O1727" t="s">
        <v>103</v>
      </c>
      <c r="P1727">
        <v>2</v>
      </c>
      <c r="Q1727">
        <v>2</v>
      </c>
      <c r="R1727">
        <v>0</v>
      </c>
      <c r="S1727" t="s">
        <v>104</v>
      </c>
      <c r="T1727" t="s">
        <v>2799</v>
      </c>
      <c r="U1727">
        <v>31</v>
      </c>
    </row>
    <row r="1728" spans="1:21" x14ac:dyDescent="0.3">
      <c r="A1728" t="s">
        <v>2800</v>
      </c>
      <c r="B1728" t="s">
        <v>2801</v>
      </c>
      <c r="C1728" t="s">
        <v>2688</v>
      </c>
      <c r="D1728" t="s">
        <v>222</v>
      </c>
      <c r="E1728" t="s">
        <v>30</v>
      </c>
      <c r="F1728" s="6">
        <v>45291</v>
      </c>
      <c r="G1728">
        <v>100</v>
      </c>
      <c r="H1728">
        <v>100</v>
      </c>
      <c r="I1728">
        <v>1</v>
      </c>
      <c r="J1728">
        <v>1</v>
      </c>
      <c r="K1728" t="s">
        <v>31</v>
      </c>
      <c r="L1728" t="s">
        <v>31</v>
      </c>
      <c r="M1728">
        <v>2023</v>
      </c>
      <c r="N1728" t="s">
        <v>57</v>
      </c>
      <c r="O1728" t="s">
        <v>47</v>
      </c>
      <c r="P1728">
        <v>0</v>
      </c>
      <c r="Q1728">
        <v>0</v>
      </c>
      <c r="R1728">
        <v>0</v>
      </c>
      <c r="S1728" t="s">
        <v>99</v>
      </c>
      <c r="T1728" t="s">
        <v>2802</v>
      </c>
      <c r="U1728">
        <v>1</v>
      </c>
    </row>
    <row r="1729" spans="1:21" x14ac:dyDescent="0.3">
      <c r="A1729" t="s">
        <v>2803</v>
      </c>
      <c r="B1729" t="s">
        <v>2804</v>
      </c>
      <c r="C1729" t="s">
        <v>2688</v>
      </c>
      <c r="D1729" t="s">
        <v>222</v>
      </c>
      <c r="E1729" t="s">
        <v>30</v>
      </c>
      <c r="F1729" s="6">
        <v>45291</v>
      </c>
      <c r="G1729">
        <v>100</v>
      </c>
      <c r="H1729">
        <v>100</v>
      </c>
      <c r="I1729">
        <v>1</v>
      </c>
      <c r="J1729">
        <v>1</v>
      </c>
      <c r="K1729" t="s">
        <v>31</v>
      </c>
      <c r="L1729" t="s">
        <v>31</v>
      </c>
      <c r="M1729">
        <v>2023</v>
      </c>
      <c r="N1729" t="s">
        <v>57</v>
      </c>
      <c r="O1729" t="s">
        <v>47</v>
      </c>
      <c r="P1729">
        <v>0</v>
      </c>
      <c r="Q1729">
        <v>0</v>
      </c>
      <c r="R1729">
        <v>0</v>
      </c>
      <c r="S1729" t="s">
        <v>99</v>
      </c>
      <c r="T1729" t="s">
        <v>2805</v>
      </c>
      <c r="U1729">
        <v>1</v>
      </c>
    </row>
    <row r="1730" spans="1:21" x14ac:dyDescent="0.3">
      <c r="A1730" t="s">
        <v>2803</v>
      </c>
      <c r="B1730" t="s">
        <v>2804</v>
      </c>
      <c r="C1730" t="s">
        <v>2688</v>
      </c>
      <c r="D1730" t="s">
        <v>222</v>
      </c>
      <c r="E1730" t="s">
        <v>30</v>
      </c>
      <c r="F1730" s="6">
        <v>45473</v>
      </c>
      <c r="G1730">
        <v>100</v>
      </c>
      <c r="H1730">
        <v>100</v>
      </c>
      <c r="I1730">
        <v>1</v>
      </c>
      <c r="J1730">
        <v>1</v>
      </c>
      <c r="K1730" t="s">
        <v>31</v>
      </c>
      <c r="L1730" t="s">
        <v>31</v>
      </c>
      <c r="M1730">
        <v>2024</v>
      </c>
      <c r="N1730" t="s">
        <v>44</v>
      </c>
      <c r="O1730" t="s">
        <v>71</v>
      </c>
      <c r="P1730">
        <v>0</v>
      </c>
      <c r="Q1730">
        <v>0</v>
      </c>
      <c r="R1730">
        <v>0</v>
      </c>
      <c r="S1730" t="s">
        <v>99</v>
      </c>
      <c r="T1730" t="s">
        <v>2806</v>
      </c>
      <c r="U1730">
        <v>1</v>
      </c>
    </row>
    <row r="1731" spans="1:21" x14ac:dyDescent="0.3">
      <c r="A1731" t="s">
        <v>2803</v>
      </c>
      <c r="B1731" t="s">
        <v>2804</v>
      </c>
      <c r="C1731" t="s">
        <v>2688</v>
      </c>
      <c r="D1731" t="s">
        <v>222</v>
      </c>
      <c r="E1731" t="s">
        <v>30</v>
      </c>
      <c r="F1731" s="6">
        <v>45657</v>
      </c>
      <c r="G1731">
        <v>100</v>
      </c>
      <c r="H1731">
        <v>100</v>
      </c>
      <c r="I1731">
        <v>1</v>
      </c>
      <c r="J1731">
        <v>1</v>
      </c>
      <c r="K1731" t="s">
        <v>31</v>
      </c>
      <c r="L1731" t="s">
        <v>31</v>
      </c>
      <c r="M1731">
        <v>2024</v>
      </c>
      <c r="N1731" t="s">
        <v>57</v>
      </c>
      <c r="O1731" t="s">
        <v>78</v>
      </c>
      <c r="P1731">
        <v>0</v>
      </c>
      <c r="Q1731">
        <v>0</v>
      </c>
      <c r="R1731">
        <v>0</v>
      </c>
      <c r="S1731" t="s">
        <v>99</v>
      </c>
      <c r="T1731" t="s">
        <v>2807</v>
      </c>
      <c r="U1731">
        <v>1</v>
      </c>
    </row>
    <row r="1732" spans="1:21" x14ac:dyDescent="0.3">
      <c r="A1732" t="s">
        <v>2803</v>
      </c>
      <c r="B1732" t="s">
        <v>2804</v>
      </c>
      <c r="C1732" t="s">
        <v>2688</v>
      </c>
      <c r="D1732" t="s">
        <v>222</v>
      </c>
      <c r="E1732" t="s">
        <v>30</v>
      </c>
      <c r="F1732" s="6">
        <v>45838</v>
      </c>
      <c r="G1732">
        <v>100</v>
      </c>
      <c r="H1732" t="s">
        <v>95</v>
      </c>
      <c r="I1732">
        <v>1</v>
      </c>
      <c r="J1732">
        <v>1</v>
      </c>
      <c r="K1732" t="s">
        <v>102</v>
      </c>
      <c r="L1732" t="s">
        <v>102</v>
      </c>
      <c r="M1732">
        <v>2025</v>
      </c>
      <c r="N1732" t="s">
        <v>44</v>
      </c>
      <c r="O1732" t="s">
        <v>244</v>
      </c>
      <c r="P1732">
        <v>2</v>
      </c>
      <c r="Q1732">
        <v>2</v>
      </c>
      <c r="R1732">
        <v>0</v>
      </c>
      <c r="S1732" t="s">
        <v>130</v>
      </c>
      <c r="T1732" t="s">
        <v>2808</v>
      </c>
      <c r="U1732">
        <v>30</v>
      </c>
    </row>
    <row r="1733" spans="1:21" x14ac:dyDescent="0.3">
      <c r="A1733" t="s">
        <v>2803</v>
      </c>
      <c r="B1733" t="s">
        <v>2804</v>
      </c>
      <c r="C1733" t="s">
        <v>2688</v>
      </c>
      <c r="D1733" t="s">
        <v>222</v>
      </c>
      <c r="E1733" t="s">
        <v>30</v>
      </c>
      <c r="F1733" s="6">
        <v>46022</v>
      </c>
      <c r="G1733">
        <v>100</v>
      </c>
      <c r="H1733" t="s">
        <v>95</v>
      </c>
      <c r="I1733">
        <v>1</v>
      </c>
      <c r="J1733">
        <v>1</v>
      </c>
      <c r="K1733" t="s">
        <v>102</v>
      </c>
      <c r="L1733" t="s">
        <v>102</v>
      </c>
      <c r="M1733">
        <v>2025</v>
      </c>
      <c r="N1733" t="s">
        <v>57</v>
      </c>
      <c r="O1733" t="s">
        <v>103</v>
      </c>
      <c r="P1733">
        <v>2</v>
      </c>
      <c r="Q1733">
        <v>2</v>
      </c>
      <c r="R1733">
        <v>0</v>
      </c>
      <c r="S1733" t="s">
        <v>130</v>
      </c>
      <c r="T1733" t="s">
        <v>2809</v>
      </c>
      <c r="U1733">
        <v>31</v>
      </c>
    </row>
    <row r="1734" spans="1:21" x14ac:dyDescent="0.3">
      <c r="A1734" t="s">
        <v>2810</v>
      </c>
      <c r="B1734" t="s">
        <v>2811</v>
      </c>
      <c r="C1734" t="s">
        <v>225</v>
      </c>
      <c r="D1734" t="s">
        <v>222</v>
      </c>
      <c r="E1734" t="s">
        <v>30</v>
      </c>
      <c r="F1734" s="6">
        <v>44742</v>
      </c>
      <c r="G1734">
        <v>10494</v>
      </c>
      <c r="H1734">
        <v>14221</v>
      </c>
      <c r="I1734">
        <v>1.3</v>
      </c>
      <c r="J1734">
        <v>1.35515532685344</v>
      </c>
      <c r="K1734" t="s">
        <v>335</v>
      </c>
      <c r="L1734" t="s">
        <v>335</v>
      </c>
      <c r="M1734">
        <v>2022</v>
      </c>
      <c r="N1734" t="s">
        <v>44</v>
      </c>
      <c r="O1734" t="s">
        <v>88</v>
      </c>
      <c r="P1734">
        <v>0</v>
      </c>
      <c r="Q1734">
        <v>0</v>
      </c>
      <c r="R1734">
        <v>0</v>
      </c>
      <c r="S1734" t="s">
        <v>99</v>
      </c>
      <c r="T1734" t="s">
        <v>2812</v>
      </c>
      <c r="U1734">
        <v>1</v>
      </c>
    </row>
    <row r="1735" spans="1:21" x14ac:dyDescent="0.3">
      <c r="A1735" t="s">
        <v>2810</v>
      </c>
      <c r="B1735" t="s">
        <v>2811</v>
      </c>
      <c r="C1735" t="s">
        <v>225</v>
      </c>
      <c r="D1735" t="s">
        <v>222</v>
      </c>
      <c r="E1735" t="s">
        <v>30</v>
      </c>
      <c r="F1735" s="6">
        <v>44925</v>
      </c>
      <c r="G1735">
        <v>5570</v>
      </c>
      <c r="H1735">
        <v>9919</v>
      </c>
      <c r="I1735">
        <v>1.3</v>
      </c>
      <c r="J1735">
        <v>1.7807899461400361</v>
      </c>
      <c r="K1735" t="s">
        <v>335</v>
      </c>
      <c r="L1735" t="s">
        <v>335</v>
      </c>
      <c r="M1735">
        <v>2022</v>
      </c>
      <c r="N1735" t="s">
        <v>57</v>
      </c>
      <c r="O1735" t="s">
        <v>90</v>
      </c>
      <c r="P1735">
        <v>0</v>
      </c>
      <c r="Q1735">
        <v>0</v>
      </c>
      <c r="R1735">
        <v>0</v>
      </c>
      <c r="S1735" t="s">
        <v>99</v>
      </c>
      <c r="T1735" t="s">
        <v>2813</v>
      </c>
      <c r="U1735">
        <v>1</v>
      </c>
    </row>
    <row r="1736" spans="1:21" x14ac:dyDescent="0.3">
      <c r="A1736" t="s">
        <v>2810</v>
      </c>
      <c r="B1736" t="s">
        <v>2811</v>
      </c>
      <c r="C1736" t="s">
        <v>225</v>
      </c>
      <c r="D1736" t="s">
        <v>222</v>
      </c>
      <c r="E1736" t="s">
        <v>30</v>
      </c>
      <c r="F1736" s="6">
        <v>45107</v>
      </c>
      <c r="G1736">
        <v>8796.2412700000004</v>
      </c>
      <c r="H1736">
        <v>13169.941457999999</v>
      </c>
      <c r="I1736">
        <v>1.3</v>
      </c>
      <c r="J1736">
        <v>1.4972237633950209</v>
      </c>
      <c r="K1736" t="s">
        <v>335</v>
      </c>
      <c r="L1736" t="s">
        <v>335</v>
      </c>
      <c r="M1736">
        <v>2023</v>
      </c>
      <c r="N1736" t="s">
        <v>44</v>
      </c>
      <c r="O1736" t="s">
        <v>33</v>
      </c>
      <c r="P1736">
        <v>0</v>
      </c>
      <c r="Q1736">
        <v>0</v>
      </c>
      <c r="R1736">
        <v>1</v>
      </c>
      <c r="S1736" t="s">
        <v>336</v>
      </c>
      <c r="T1736" t="s">
        <v>2814</v>
      </c>
      <c r="U1736">
        <v>1</v>
      </c>
    </row>
    <row r="1737" spans="1:21" x14ac:dyDescent="0.3">
      <c r="A1737" t="s">
        <v>2810</v>
      </c>
      <c r="B1737" t="s">
        <v>2811</v>
      </c>
      <c r="C1737" t="s">
        <v>225</v>
      </c>
      <c r="D1737" t="s">
        <v>222</v>
      </c>
      <c r="E1737" t="s">
        <v>30</v>
      </c>
      <c r="F1737" s="6">
        <v>45291</v>
      </c>
      <c r="G1737">
        <v>26073.47270271854</v>
      </c>
      <c r="H1737">
        <v>26403.087925999949</v>
      </c>
      <c r="I1737">
        <v>1.012641784507939</v>
      </c>
      <c r="J1737">
        <v>1.012641784507939</v>
      </c>
      <c r="K1737" t="s">
        <v>335</v>
      </c>
      <c r="L1737" t="s">
        <v>335</v>
      </c>
      <c r="M1737">
        <v>2023</v>
      </c>
      <c r="N1737" t="s">
        <v>57</v>
      </c>
      <c r="O1737" t="s">
        <v>47</v>
      </c>
      <c r="P1737">
        <v>0</v>
      </c>
      <c r="Q1737">
        <v>0</v>
      </c>
      <c r="R1737">
        <v>1</v>
      </c>
      <c r="S1737" t="s">
        <v>336</v>
      </c>
      <c r="T1737" t="s">
        <v>2815</v>
      </c>
      <c r="U1737">
        <v>1</v>
      </c>
    </row>
    <row r="1738" spans="1:21" x14ac:dyDescent="0.3">
      <c r="A1738" t="s">
        <v>2810</v>
      </c>
      <c r="B1738" t="s">
        <v>2811</v>
      </c>
      <c r="C1738" t="s">
        <v>225</v>
      </c>
      <c r="D1738" t="s">
        <v>222</v>
      </c>
      <c r="E1738" t="s">
        <v>30</v>
      </c>
      <c r="F1738" s="6">
        <v>45473</v>
      </c>
      <c r="G1738">
        <v>14136.961539</v>
      </c>
      <c r="H1738">
        <v>14702.219810000001</v>
      </c>
      <c r="I1738">
        <v>1.039984424477679</v>
      </c>
      <c r="J1738">
        <v>1.039984424477679</v>
      </c>
      <c r="K1738" t="s">
        <v>335</v>
      </c>
      <c r="L1738" t="s">
        <v>335</v>
      </c>
      <c r="M1738">
        <v>2024</v>
      </c>
      <c r="N1738" t="s">
        <v>44</v>
      </c>
      <c r="O1738" t="s">
        <v>71</v>
      </c>
      <c r="P1738">
        <v>0</v>
      </c>
      <c r="Q1738">
        <v>0</v>
      </c>
      <c r="R1738">
        <v>1</v>
      </c>
      <c r="S1738" t="s">
        <v>336</v>
      </c>
      <c r="T1738" t="s">
        <v>2816</v>
      </c>
      <c r="U1738">
        <v>1</v>
      </c>
    </row>
    <row r="1739" spans="1:21" x14ac:dyDescent="0.3">
      <c r="A1739" t="s">
        <v>2810</v>
      </c>
      <c r="B1739" t="s">
        <v>2817</v>
      </c>
      <c r="C1739" t="s">
        <v>225</v>
      </c>
      <c r="D1739" t="s">
        <v>222</v>
      </c>
      <c r="E1739" t="s">
        <v>30</v>
      </c>
      <c r="F1739" s="6">
        <v>45657</v>
      </c>
      <c r="G1739">
        <v>27010.108281000001</v>
      </c>
      <c r="H1739">
        <v>29467.922112</v>
      </c>
      <c r="I1739">
        <v>1.090996074707665</v>
      </c>
      <c r="J1739">
        <v>1.090996074707665</v>
      </c>
      <c r="K1739" t="s">
        <v>335</v>
      </c>
      <c r="L1739" t="s">
        <v>335</v>
      </c>
      <c r="M1739">
        <v>2024</v>
      </c>
      <c r="N1739" t="s">
        <v>57</v>
      </c>
      <c r="O1739" t="s">
        <v>78</v>
      </c>
      <c r="P1739">
        <v>0</v>
      </c>
      <c r="Q1739">
        <v>0</v>
      </c>
      <c r="R1739">
        <v>0</v>
      </c>
      <c r="S1739" t="s">
        <v>336</v>
      </c>
      <c r="T1739" t="s">
        <v>2818</v>
      </c>
      <c r="U1739">
        <v>1</v>
      </c>
    </row>
    <row r="1740" spans="1:21" x14ac:dyDescent="0.3">
      <c r="A1740" t="s">
        <v>2810</v>
      </c>
      <c r="B1740" t="s">
        <v>2817</v>
      </c>
      <c r="C1740" t="s">
        <v>225</v>
      </c>
      <c r="D1740" t="s">
        <v>222</v>
      </c>
      <c r="E1740" t="s">
        <v>30</v>
      </c>
      <c r="F1740" s="6">
        <v>45838</v>
      </c>
      <c r="G1740">
        <v>95</v>
      </c>
      <c r="H1740" t="s">
        <v>2819</v>
      </c>
      <c r="I1740">
        <v>1.2407368421052629</v>
      </c>
      <c r="J1740">
        <v>1.2407368421052629</v>
      </c>
      <c r="K1740" t="s">
        <v>838</v>
      </c>
      <c r="L1740" t="s">
        <v>2820</v>
      </c>
      <c r="M1740">
        <v>2025</v>
      </c>
      <c r="N1740" t="s">
        <v>44</v>
      </c>
      <c r="O1740" t="s">
        <v>244</v>
      </c>
      <c r="P1740">
        <v>2</v>
      </c>
      <c r="Q1740">
        <v>2</v>
      </c>
      <c r="R1740">
        <v>1</v>
      </c>
      <c r="S1740" t="s">
        <v>336</v>
      </c>
      <c r="T1740" t="s">
        <v>2821</v>
      </c>
      <c r="U1740">
        <v>30</v>
      </c>
    </row>
    <row r="1741" spans="1:21" x14ac:dyDescent="0.3">
      <c r="A1741" t="s">
        <v>2810</v>
      </c>
      <c r="B1741" t="s">
        <v>2817</v>
      </c>
      <c r="C1741" t="s">
        <v>225</v>
      </c>
      <c r="D1741" t="s">
        <v>222</v>
      </c>
      <c r="E1741" t="s">
        <v>30</v>
      </c>
      <c r="F1741" s="6">
        <v>46022</v>
      </c>
      <c r="G1741">
        <v>95</v>
      </c>
      <c r="H1741" t="s">
        <v>2822</v>
      </c>
      <c r="I1741">
        <v>1.236947368421053</v>
      </c>
      <c r="J1741">
        <v>1.236947368421053</v>
      </c>
      <c r="K1741" t="s">
        <v>838</v>
      </c>
      <c r="L1741" t="s">
        <v>2823</v>
      </c>
      <c r="M1741">
        <v>2025</v>
      </c>
      <c r="N1741" t="s">
        <v>57</v>
      </c>
      <c r="O1741" t="s">
        <v>103</v>
      </c>
      <c r="P1741">
        <v>2</v>
      </c>
      <c r="Q1741">
        <v>2</v>
      </c>
      <c r="R1741">
        <v>1</v>
      </c>
      <c r="S1741" t="s">
        <v>336</v>
      </c>
      <c r="T1741" t="s">
        <v>2824</v>
      </c>
      <c r="U1741">
        <v>31</v>
      </c>
    </row>
    <row r="1742" spans="1:21" x14ac:dyDescent="0.3">
      <c r="A1742" t="s">
        <v>2825</v>
      </c>
      <c r="B1742" t="s">
        <v>2826</v>
      </c>
      <c r="C1742" t="s">
        <v>225</v>
      </c>
      <c r="D1742" t="s">
        <v>222</v>
      </c>
      <c r="E1742" t="s">
        <v>108</v>
      </c>
      <c r="F1742" s="6">
        <v>45107</v>
      </c>
      <c r="G1742">
        <v>7200.908222</v>
      </c>
      <c r="H1742">
        <v>1606.8681489999999</v>
      </c>
      <c r="I1742">
        <v>1.3</v>
      </c>
      <c r="J1742">
        <v>4.4813311076464686</v>
      </c>
      <c r="K1742" t="s">
        <v>335</v>
      </c>
      <c r="L1742" t="s">
        <v>335</v>
      </c>
      <c r="M1742">
        <v>2023</v>
      </c>
      <c r="N1742" t="s">
        <v>44</v>
      </c>
      <c r="O1742" t="s">
        <v>33</v>
      </c>
      <c r="P1742">
        <v>0</v>
      </c>
      <c r="Q1742">
        <v>0</v>
      </c>
      <c r="R1742">
        <v>1</v>
      </c>
      <c r="S1742" t="s">
        <v>336</v>
      </c>
      <c r="T1742" t="s">
        <v>2827</v>
      </c>
      <c r="U1742">
        <v>1</v>
      </c>
    </row>
    <row r="1743" spans="1:21" x14ac:dyDescent="0.3">
      <c r="A1743" t="s">
        <v>2825</v>
      </c>
      <c r="B1743" t="s">
        <v>2826</v>
      </c>
      <c r="C1743" t="s">
        <v>225</v>
      </c>
      <c r="D1743" t="s">
        <v>222</v>
      </c>
      <c r="E1743" t="s">
        <v>108</v>
      </c>
      <c r="F1743" s="6">
        <v>45291</v>
      </c>
      <c r="G1743">
        <v>12518.005306706251</v>
      </c>
      <c r="H1743">
        <v>7607.138418999999</v>
      </c>
      <c r="I1743">
        <v>1.3</v>
      </c>
      <c r="J1743">
        <v>1.64556034309046</v>
      </c>
      <c r="K1743" t="s">
        <v>335</v>
      </c>
      <c r="L1743" t="s">
        <v>335</v>
      </c>
      <c r="M1743">
        <v>2023</v>
      </c>
      <c r="N1743" t="s">
        <v>57</v>
      </c>
      <c r="O1743" t="s">
        <v>47</v>
      </c>
      <c r="P1743">
        <v>0</v>
      </c>
      <c r="Q1743">
        <v>0</v>
      </c>
      <c r="R1743">
        <v>1</v>
      </c>
      <c r="S1743" t="s">
        <v>336</v>
      </c>
      <c r="T1743" t="s">
        <v>2828</v>
      </c>
      <c r="U1743">
        <v>1</v>
      </c>
    </row>
    <row r="1744" spans="1:21" x14ac:dyDescent="0.3">
      <c r="A1744" t="s">
        <v>2825</v>
      </c>
      <c r="B1744" t="s">
        <v>2826</v>
      </c>
      <c r="C1744" t="s">
        <v>225</v>
      </c>
      <c r="D1744" t="s">
        <v>222</v>
      </c>
      <c r="E1744" t="s">
        <v>108</v>
      </c>
      <c r="F1744" s="6">
        <v>45473</v>
      </c>
      <c r="G1744">
        <v>4468.4024010000003</v>
      </c>
      <c r="H1744">
        <v>2155.4775049999998</v>
      </c>
      <c r="I1744">
        <v>1.3</v>
      </c>
      <c r="J1744">
        <v>2.0730452489690911</v>
      </c>
      <c r="K1744" t="s">
        <v>335</v>
      </c>
      <c r="L1744" t="s">
        <v>335</v>
      </c>
      <c r="M1744">
        <v>2024</v>
      </c>
      <c r="N1744" t="s">
        <v>44</v>
      </c>
      <c r="O1744" t="s">
        <v>71</v>
      </c>
      <c r="P1744">
        <v>0</v>
      </c>
      <c r="Q1744">
        <v>0</v>
      </c>
      <c r="R1744">
        <v>1</v>
      </c>
      <c r="S1744" t="s">
        <v>336</v>
      </c>
      <c r="T1744" t="s">
        <v>2829</v>
      </c>
      <c r="U1744">
        <v>1</v>
      </c>
    </row>
    <row r="1745" spans="1:21" x14ac:dyDescent="0.3">
      <c r="A1745" t="s">
        <v>2825</v>
      </c>
      <c r="B1745" t="s">
        <v>2826</v>
      </c>
      <c r="C1745" t="s">
        <v>225</v>
      </c>
      <c r="D1745" t="s">
        <v>222</v>
      </c>
      <c r="E1745" t="s">
        <v>108</v>
      </c>
      <c r="F1745" s="6">
        <v>45657</v>
      </c>
      <c r="G1745">
        <v>100</v>
      </c>
      <c r="H1745">
        <v>125.01</v>
      </c>
      <c r="I1745">
        <v>1.2501</v>
      </c>
      <c r="J1745">
        <v>1.2501</v>
      </c>
      <c r="K1745" t="s">
        <v>335</v>
      </c>
      <c r="L1745" t="s">
        <v>335</v>
      </c>
      <c r="M1745">
        <v>2024</v>
      </c>
      <c r="N1745" t="s">
        <v>57</v>
      </c>
      <c r="O1745" t="s">
        <v>78</v>
      </c>
      <c r="P1745">
        <v>0</v>
      </c>
      <c r="Q1745">
        <v>0</v>
      </c>
      <c r="R1745">
        <v>0</v>
      </c>
      <c r="S1745" t="s">
        <v>336</v>
      </c>
      <c r="T1745" t="s">
        <v>2830</v>
      </c>
      <c r="U1745">
        <v>1</v>
      </c>
    </row>
    <row r="1746" spans="1:21" x14ac:dyDescent="0.3">
      <c r="A1746" t="s">
        <v>2825</v>
      </c>
      <c r="B1746" t="s">
        <v>2826</v>
      </c>
      <c r="C1746" t="s">
        <v>225</v>
      </c>
      <c r="D1746" t="s">
        <v>98</v>
      </c>
      <c r="E1746" t="s">
        <v>30</v>
      </c>
      <c r="F1746" s="6">
        <v>46022</v>
      </c>
      <c r="G1746">
        <v>100</v>
      </c>
      <c r="H1746" t="s">
        <v>2831</v>
      </c>
      <c r="I1746">
        <v>1.0710999999999999</v>
      </c>
      <c r="J1746">
        <v>1.0710999999999999</v>
      </c>
      <c r="K1746" t="s">
        <v>102</v>
      </c>
      <c r="L1746" t="s">
        <v>2832</v>
      </c>
      <c r="M1746">
        <v>2025</v>
      </c>
      <c r="N1746" t="s">
        <v>57</v>
      </c>
      <c r="O1746" t="s">
        <v>103</v>
      </c>
      <c r="P1746">
        <v>2</v>
      </c>
      <c r="Q1746">
        <v>2</v>
      </c>
      <c r="R1746">
        <v>1</v>
      </c>
      <c r="S1746" t="s">
        <v>336</v>
      </c>
      <c r="T1746" t="s">
        <v>2833</v>
      </c>
      <c r="U1746">
        <v>31</v>
      </c>
    </row>
    <row r="1747" spans="1:21" x14ac:dyDescent="0.3">
      <c r="A1747" t="s">
        <v>2834</v>
      </c>
      <c r="B1747" t="s">
        <v>2835</v>
      </c>
      <c r="C1747" t="s">
        <v>266</v>
      </c>
      <c r="D1747" t="s">
        <v>29</v>
      </c>
      <c r="E1747" t="s">
        <v>30</v>
      </c>
      <c r="F1747" s="6">
        <v>44957</v>
      </c>
      <c r="G1747">
        <v>92</v>
      </c>
      <c r="H1747">
        <v>100</v>
      </c>
      <c r="I1747">
        <v>1.0869565217391299</v>
      </c>
      <c r="J1747">
        <v>1.0869565217391299</v>
      </c>
      <c r="K1747" t="s">
        <v>31</v>
      </c>
      <c r="L1747" t="s">
        <v>31</v>
      </c>
      <c r="M1747">
        <v>2023</v>
      </c>
      <c r="N1747" t="s">
        <v>32</v>
      </c>
      <c r="O1747" t="s">
        <v>33</v>
      </c>
      <c r="P1747">
        <v>0</v>
      </c>
      <c r="Q1747">
        <v>0</v>
      </c>
      <c r="R1747">
        <v>0</v>
      </c>
      <c r="S1747" t="s">
        <v>99</v>
      </c>
      <c r="T1747" t="s">
        <v>2836</v>
      </c>
      <c r="U1747">
        <v>1</v>
      </c>
    </row>
    <row r="1748" spans="1:21" x14ac:dyDescent="0.3">
      <c r="A1748" t="s">
        <v>2834</v>
      </c>
      <c r="B1748" t="s">
        <v>2835</v>
      </c>
      <c r="C1748" t="s">
        <v>266</v>
      </c>
      <c r="D1748" t="s">
        <v>29</v>
      </c>
      <c r="E1748" t="s">
        <v>30</v>
      </c>
      <c r="F1748" s="6">
        <v>44985</v>
      </c>
      <c r="G1748">
        <v>92</v>
      </c>
      <c r="H1748">
        <v>100</v>
      </c>
      <c r="I1748">
        <v>1.0869565217391299</v>
      </c>
      <c r="J1748">
        <v>1.0869565217391299</v>
      </c>
      <c r="K1748" t="s">
        <v>31</v>
      </c>
      <c r="L1748" t="s">
        <v>31</v>
      </c>
      <c r="M1748">
        <v>2023</v>
      </c>
      <c r="N1748" t="s">
        <v>36</v>
      </c>
      <c r="O1748" t="s">
        <v>33</v>
      </c>
      <c r="P1748">
        <v>0</v>
      </c>
      <c r="Q1748">
        <v>0</v>
      </c>
      <c r="R1748">
        <v>0</v>
      </c>
      <c r="S1748" t="s">
        <v>99</v>
      </c>
      <c r="T1748" t="s">
        <v>2837</v>
      </c>
      <c r="U1748">
        <v>1</v>
      </c>
    </row>
    <row r="1749" spans="1:21" x14ac:dyDescent="0.3">
      <c r="A1749" t="s">
        <v>2834</v>
      </c>
      <c r="B1749" t="s">
        <v>2835</v>
      </c>
      <c r="C1749" t="s">
        <v>266</v>
      </c>
      <c r="D1749" t="s">
        <v>29</v>
      </c>
      <c r="E1749" t="s">
        <v>30</v>
      </c>
      <c r="F1749" s="6">
        <v>45016</v>
      </c>
      <c r="G1749">
        <v>92</v>
      </c>
      <c r="H1749">
        <v>100</v>
      </c>
      <c r="I1749">
        <v>1.0869565217391299</v>
      </c>
      <c r="J1749">
        <v>1.0869565217391299</v>
      </c>
      <c r="K1749" t="s">
        <v>31</v>
      </c>
      <c r="L1749" t="s">
        <v>31</v>
      </c>
      <c r="M1749">
        <v>2023</v>
      </c>
      <c r="N1749" t="s">
        <v>38</v>
      </c>
      <c r="O1749" t="s">
        <v>33</v>
      </c>
      <c r="P1749">
        <v>0</v>
      </c>
      <c r="Q1749">
        <v>0</v>
      </c>
      <c r="R1749">
        <v>0</v>
      </c>
      <c r="S1749" t="s">
        <v>99</v>
      </c>
      <c r="T1749" t="s">
        <v>2838</v>
      </c>
      <c r="U1749">
        <v>1</v>
      </c>
    </row>
    <row r="1750" spans="1:21" x14ac:dyDescent="0.3">
      <c r="A1750" t="s">
        <v>2834</v>
      </c>
      <c r="B1750" t="s">
        <v>2835</v>
      </c>
      <c r="C1750" t="s">
        <v>266</v>
      </c>
      <c r="D1750" t="s">
        <v>29</v>
      </c>
      <c r="E1750" t="s">
        <v>30</v>
      </c>
      <c r="F1750" s="6">
        <v>45046</v>
      </c>
      <c r="G1750">
        <v>92</v>
      </c>
      <c r="H1750">
        <v>90.5</v>
      </c>
      <c r="I1750">
        <v>0.98369565217391308</v>
      </c>
      <c r="J1750">
        <v>0.98369565217391308</v>
      </c>
      <c r="K1750" t="s">
        <v>31</v>
      </c>
      <c r="L1750" t="s">
        <v>31</v>
      </c>
      <c r="M1750">
        <v>2023</v>
      </c>
      <c r="N1750" t="s">
        <v>40</v>
      </c>
      <c r="O1750" t="s">
        <v>33</v>
      </c>
      <c r="P1750">
        <v>1</v>
      </c>
      <c r="Q1750">
        <v>1</v>
      </c>
      <c r="R1750">
        <v>0</v>
      </c>
      <c r="S1750" t="s">
        <v>99</v>
      </c>
      <c r="T1750" t="s">
        <v>2839</v>
      </c>
      <c r="U1750">
        <v>1</v>
      </c>
    </row>
    <row r="1751" spans="1:21" x14ac:dyDescent="0.3">
      <c r="A1751" t="s">
        <v>2834</v>
      </c>
      <c r="B1751" t="s">
        <v>2835</v>
      </c>
      <c r="C1751" t="s">
        <v>266</v>
      </c>
      <c r="D1751" t="s">
        <v>29</v>
      </c>
      <c r="E1751" t="s">
        <v>30</v>
      </c>
      <c r="F1751" s="6">
        <v>45077</v>
      </c>
      <c r="G1751">
        <v>92</v>
      </c>
      <c r="H1751">
        <v>83.5</v>
      </c>
      <c r="I1751">
        <v>0.90760869565217395</v>
      </c>
      <c r="J1751">
        <v>0.90760869565217395</v>
      </c>
      <c r="K1751" t="s">
        <v>31</v>
      </c>
      <c r="L1751" t="s">
        <v>31</v>
      </c>
      <c r="M1751">
        <v>2023</v>
      </c>
      <c r="N1751" t="s">
        <v>42</v>
      </c>
      <c r="O1751" t="s">
        <v>33</v>
      </c>
      <c r="P1751">
        <v>1</v>
      </c>
      <c r="Q1751">
        <v>1</v>
      </c>
      <c r="R1751">
        <v>0</v>
      </c>
      <c r="S1751" t="s">
        <v>99</v>
      </c>
      <c r="T1751" t="s">
        <v>2840</v>
      </c>
      <c r="U1751">
        <v>1</v>
      </c>
    </row>
    <row r="1752" spans="1:21" x14ac:dyDescent="0.3">
      <c r="A1752" t="s">
        <v>2834</v>
      </c>
      <c r="B1752" t="s">
        <v>2835</v>
      </c>
      <c r="C1752" t="s">
        <v>266</v>
      </c>
      <c r="D1752" t="s">
        <v>29</v>
      </c>
      <c r="E1752" t="s">
        <v>30</v>
      </c>
      <c r="F1752" s="6">
        <v>45107</v>
      </c>
      <c r="G1752">
        <v>92</v>
      </c>
      <c r="H1752">
        <v>89</v>
      </c>
      <c r="I1752">
        <v>0.96739130434782605</v>
      </c>
      <c r="J1752">
        <v>0.96739130434782605</v>
      </c>
      <c r="K1752" t="s">
        <v>31</v>
      </c>
      <c r="L1752" t="s">
        <v>31</v>
      </c>
      <c r="M1752">
        <v>2023</v>
      </c>
      <c r="N1752" t="s">
        <v>44</v>
      </c>
      <c r="O1752" t="s">
        <v>33</v>
      </c>
      <c r="P1752">
        <v>0</v>
      </c>
      <c r="Q1752">
        <v>0</v>
      </c>
      <c r="R1752">
        <v>0</v>
      </c>
      <c r="S1752" t="s">
        <v>99</v>
      </c>
      <c r="T1752" t="s">
        <v>2841</v>
      </c>
      <c r="U1752">
        <v>1</v>
      </c>
    </row>
    <row r="1753" spans="1:21" x14ac:dyDescent="0.3">
      <c r="A1753" t="s">
        <v>2834</v>
      </c>
      <c r="B1753" t="s">
        <v>2835</v>
      </c>
      <c r="C1753" t="s">
        <v>266</v>
      </c>
      <c r="D1753" t="s">
        <v>29</v>
      </c>
      <c r="E1753" t="s">
        <v>30</v>
      </c>
      <c r="F1753" s="6">
        <v>45138</v>
      </c>
      <c r="G1753">
        <v>92</v>
      </c>
      <c r="H1753">
        <v>94</v>
      </c>
      <c r="I1753">
        <v>1.0217391304347829</v>
      </c>
      <c r="J1753">
        <v>1.0217391304347829</v>
      </c>
      <c r="K1753" t="s">
        <v>31</v>
      </c>
      <c r="L1753" t="s">
        <v>31</v>
      </c>
      <c r="M1753">
        <v>2023</v>
      </c>
      <c r="N1753" t="s">
        <v>46</v>
      </c>
      <c r="O1753" t="s">
        <v>47</v>
      </c>
      <c r="P1753">
        <v>0</v>
      </c>
      <c r="Q1753">
        <v>0</v>
      </c>
      <c r="R1753">
        <v>0</v>
      </c>
      <c r="S1753" t="s">
        <v>99</v>
      </c>
      <c r="T1753" t="s">
        <v>2842</v>
      </c>
      <c r="U1753">
        <v>1</v>
      </c>
    </row>
    <row r="1754" spans="1:21" x14ac:dyDescent="0.3">
      <c r="A1754" t="s">
        <v>2834</v>
      </c>
      <c r="B1754" t="s">
        <v>2835</v>
      </c>
      <c r="C1754" t="s">
        <v>266</v>
      </c>
      <c r="D1754" t="s">
        <v>29</v>
      </c>
      <c r="E1754" t="s">
        <v>30</v>
      </c>
      <c r="F1754" s="6">
        <v>45169</v>
      </c>
      <c r="G1754">
        <v>92</v>
      </c>
      <c r="H1754">
        <v>97.5</v>
      </c>
      <c r="I1754">
        <v>1.0597826086956521</v>
      </c>
      <c r="J1754">
        <v>1.0597826086956521</v>
      </c>
      <c r="K1754" t="s">
        <v>31</v>
      </c>
      <c r="L1754" t="s">
        <v>31</v>
      </c>
      <c r="M1754">
        <v>2023</v>
      </c>
      <c r="N1754" t="s">
        <v>49</v>
      </c>
      <c r="O1754" t="s">
        <v>47</v>
      </c>
      <c r="P1754">
        <v>1</v>
      </c>
      <c r="Q1754">
        <v>1</v>
      </c>
      <c r="R1754">
        <v>0</v>
      </c>
      <c r="S1754" t="s">
        <v>99</v>
      </c>
      <c r="T1754" t="s">
        <v>2843</v>
      </c>
      <c r="U1754">
        <v>1</v>
      </c>
    </row>
    <row r="1755" spans="1:21" x14ac:dyDescent="0.3">
      <c r="A1755" t="s">
        <v>2834</v>
      </c>
      <c r="B1755" t="s">
        <v>2835</v>
      </c>
      <c r="C1755" t="s">
        <v>266</v>
      </c>
      <c r="D1755" t="s">
        <v>29</v>
      </c>
      <c r="E1755" t="s">
        <v>30</v>
      </c>
      <c r="F1755" s="6">
        <v>45199</v>
      </c>
      <c r="G1755">
        <v>92</v>
      </c>
      <c r="H1755">
        <v>99</v>
      </c>
      <c r="I1755">
        <v>1.076086956521739</v>
      </c>
      <c r="J1755">
        <v>1.076086956521739</v>
      </c>
      <c r="K1755" t="s">
        <v>31</v>
      </c>
      <c r="L1755" t="s">
        <v>31</v>
      </c>
      <c r="M1755">
        <v>2023</v>
      </c>
      <c r="N1755" t="s">
        <v>51</v>
      </c>
      <c r="O1755" t="s">
        <v>47</v>
      </c>
      <c r="P1755">
        <v>0</v>
      </c>
      <c r="Q1755">
        <v>0</v>
      </c>
      <c r="R1755">
        <v>0</v>
      </c>
      <c r="S1755" t="s">
        <v>99</v>
      </c>
      <c r="T1755" t="s">
        <v>2844</v>
      </c>
      <c r="U1755">
        <v>1</v>
      </c>
    </row>
    <row r="1756" spans="1:21" x14ac:dyDescent="0.3">
      <c r="A1756" t="s">
        <v>2834</v>
      </c>
      <c r="B1756" t="s">
        <v>2835</v>
      </c>
      <c r="C1756" t="s">
        <v>266</v>
      </c>
      <c r="D1756" t="s">
        <v>29</v>
      </c>
      <c r="E1756" t="s">
        <v>30</v>
      </c>
      <c r="F1756" s="6">
        <v>45230</v>
      </c>
      <c r="G1756">
        <v>92</v>
      </c>
      <c r="H1756">
        <v>96</v>
      </c>
      <c r="I1756">
        <v>1.043478260869565</v>
      </c>
      <c r="J1756">
        <v>1.043478260869565</v>
      </c>
      <c r="K1756" t="s">
        <v>31</v>
      </c>
      <c r="L1756" t="s">
        <v>31</v>
      </c>
      <c r="M1756">
        <v>2023</v>
      </c>
      <c r="N1756" t="s">
        <v>53</v>
      </c>
      <c r="O1756" t="s">
        <v>47</v>
      </c>
      <c r="P1756">
        <v>0</v>
      </c>
      <c r="Q1756">
        <v>0</v>
      </c>
      <c r="R1756">
        <v>0</v>
      </c>
      <c r="S1756" t="s">
        <v>99</v>
      </c>
      <c r="T1756" t="s">
        <v>2845</v>
      </c>
      <c r="U1756">
        <v>1</v>
      </c>
    </row>
    <row r="1757" spans="1:21" x14ac:dyDescent="0.3">
      <c r="A1757" t="s">
        <v>2834</v>
      </c>
      <c r="B1757" t="s">
        <v>2835</v>
      </c>
      <c r="C1757" t="s">
        <v>266</v>
      </c>
      <c r="D1757" t="s">
        <v>29</v>
      </c>
      <c r="E1757" t="s">
        <v>30</v>
      </c>
      <c r="F1757" s="6">
        <v>45260</v>
      </c>
      <c r="G1757">
        <v>92</v>
      </c>
      <c r="H1757">
        <v>96.91</v>
      </c>
      <c r="I1757">
        <v>1.0533695652173909</v>
      </c>
      <c r="J1757">
        <v>1.0533695652173909</v>
      </c>
      <c r="K1757" t="s">
        <v>31</v>
      </c>
      <c r="L1757" t="s">
        <v>31</v>
      </c>
      <c r="M1757">
        <v>2023</v>
      </c>
      <c r="N1757" t="s">
        <v>55</v>
      </c>
      <c r="O1757" t="s">
        <v>47</v>
      </c>
      <c r="P1757">
        <v>0</v>
      </c>
      <c r="Q1757">
        <v>0</v>
      </c>
      <c r="R1757">
        <v>0</v>
      </c>
      <c r="S1757" t="s">
        <v>99</v>
      </c>
      <c r="T1757" t="s">
        <v>2846</v>
      </c>
      <c r="U1757">
        <v>1</v>
      </c>
    </row>
    <row r="1758" spans="1:21" x14ac:dyDescent="0.3">
      <c r="A1758" t="s">
        <v>2834</v>
      </c>
      <c r="B1758" t="s">
        <v>2835</v>
      </c>
      <c r="C1758" t="s">
        <v>266</v>
      </c>
      <c r="D1758" t="s">
        <v>29</v>
      </c>
      <c r="E1758" t="s">
        <v>30</v>
      </c>
      <c r="F1758" s="6">
        <v>45291</v>
      </c>
      <c r="G1758">
        <v>92</v>
      </c>
      <c r="H1758">
        <v>100.52</v>
      </c>
      <c r="I1758">
        <v>1.0926086956521739</v>
      </c>
      <c r="J1758">
        <v>1.0926086956521739</v>
      </c>
      <c r="K1758" t="s">
        <v>31</v>
      </c>
      <c r="L1758" t="s">
        <v>31</v>
      </c>
      <c r="M1758">
        <v>2023</v>
      </c>
      <c r="N1758" t="s">
        <v>57</v>
      </c>
      <c r="O1758" t="s">
        <v>47</v>
      </c>
      <c r="P1758">
        <v>0</v>
      </c>
      <c r="Q1758">
        <v>0</v>
      </c>
      <c r="R1758">
        <v>0</v>
      </c>
      <c r="S1758" t="s">
        <v>99</v>
      </c>
      <c r="T1758" t="s">
        <v>2847</v>
      </c>
      <c r="U1758">
        <v>1</v>
      </c>
    </row>
    <row r="1759" spans="1:21" x14ac:dyDescent="0.3">
      <c r="A1759" t="s">
        <v>2834</v>
      </c>
      <c r="B1759" t="s">
        <v>2835</v>
      </c>
      <c r="C1759" t="s">
        <v>270</v>
      </c>
      <c r="D1759" t="s">
        <v>29</v>
      </c>
      <c r="E1759" t="s">
        <v>30</v>
      </c>
      <c r="F1759" s="6">
        <v>45322</v>
      </c>
      <c r="G1759">
        <v>92</v>
      </c>
      <c r="H1759">
        <v>0</v>
      </c>
      <c r="I1759">
        <v>0</v>
      </c>
      <c r="J1759">
        <v>0</v>
      </c>
      <c r="K1759" t="s">
        <v>31</v>
      </c>
      <c r="L1759" t="s">
        <v>31</v>
      </c>
      <c r="M1759">
        <v>2024</v>
      </c>
      <c r="N1759" t="s">
        <v>32</v>
      </c>
      <c r="O1759" t="s">
        <v>71</v>
      </c>
      <c r="P1759">
        <v>0</v>
      </c>
      <c r="Q1759">
        <v>0</v>
      </c>
      <c r="R1759">
        <v>0</v>
      </c>
      <c r="S1759" t="s">
        <v>99</v>
      </c>
      <c r="T1759" t="s">
        <v>2848</v>
      </c>
      <c r="U1759">
        <v>1</v>
      </c>
    </row>
    <row r="1760" spans="1:21" x14ac:dyDescent="0.3">
      <c r="A1760" t="s">
        <v>2834</v>
      </c>
      <c r="B1760" t="s">
        <v>2835</v>
      </c>
      <c r="C1760" t="s">
        <v>270</v>
      </c>
      <c r="D1760" t="s">
        <v>29</v>
      </c>
      <c r="E1760" t="s">
        <v>30</v>
      </c>
      <c r="F1760" s="6">
        <v>45351</v>
      </c>
      <c r="G1760">
        <v>92</v>
      </c>
      <c r="H1760">
        <v>0</v>
      </c>
      <c r="I1760">
        <v>0</v>
      </c>
      <c r="J1760">
        <v>0</v>
      </c>
      <c r="K1760" t="s">
        <v>31</v>
      </c>
      <c r="L1760" t="s">
        <v>31</v>
      </c>
      <c r="M1760">
        <v>2024</v>
      </c>
      <c r="N1760" t="s">
        <v>36</v>
      </c>
      <c r="O1760" t="s">
        <v>71</v>
      </c>
      <c r="P1760">
        <v>0</v>
      </c>
      <c r="Q1760">
        <v>0</v>
      </c>
      <c r="R1760">
        <v>0</v>
      </c>
      <c r="S1760" t="s">
        <v>99</v>
      </c>
      <c r="T1760" t="s">
        <v>2849</v>
      </c>
      <c r="U1760">
        <v>1</v>
      </c>
    </row>
    <row r="1761" spans="1:21" x14ac:dyDescent="0.3">
      <c r="A1761" t="s">
        <v>2834</v>
      </c>
      <c r="B1761" t="s">
        <v>2835</v>
      </c>
      <c r="C1761" t="s">
        <v>270</v>
      </c>
      <c r="D1761" t="s">
        <v>29</v>
      </c>
      <c r="E1761" t="s">
        <v>30</v>
      </c>
      <c r="F1761" s="6">
        <v>45382</v>
      </c>
      <c r="G1761">
        <v>92</v>
      </c>
      <c r="H1761">
        <v>0</v>
      </c>
      <c r="I1761">
        <v>0</v>
      </c>
      <c r="J1761">
        <v>0</v>
      </c>
      <c r="K1761" t="s">
        <v>31</v>
      </c>
      <c r="L1761" t="s">
        <v>31</v>
      </c>
      <c r="M1761">
        <v>2024</v>
      </c>
      <c r="N1761" t="s">
        <v>38</v>
      </c>
      <c r="O1761" t="s">
        <v>71</v>
      </c>
      <c r="P1761">
        <v>0</v>
      </c>
      <c r="Q1761">
        <v>0</v>
      </c>
      <c r="R1761">
        <v>0</v>
      </c>
      <c r="S1761" t="s">
        <v>99</v>
      </c>
      <c r="T1761" t="s">
        <v>2850</v>
      </c>
      <c r="U1761">
        <v>1</v>
      </c>
    </row>
    <row r="1762" spans="1:21" x14ac:dyDescent="0.3">
      <c r="A1762" t="s">
        <v>2834</v>
      </c>
      <c r="B1762" t="s">
        <v>2835</v>
      </c>
      <c r="C1762" t="s">
        <v>270</v>
      </c>
      <c r="D1762" t="s">
        <v>29</v>
      </c>
      <c r="E1762" t="s">
        <v>30</v>
      </c>
      <c r="F1762" s="6">
        <v>45412</v>
      </c>
      <c r="G1762">
        <v>92</v>
      </c>
      <c r="H1762">
        <v>0</v>
      </c>
      <c r="I1762">
        <v>0</v>
      </c>
      <c r="J1762">
        <v>0</v>
      </c>
      <c r="K1762" t="s">
        <v>31</v>
      </c>
      <c r="L1762" t="s">
        <v>31</v>
      </c>
      <c r="M1762">
        <v>2024</v>
      </c>
      <c r="N1762" t="s">
        <v>40</v>
      </c>
      <c r="O1762" t="s">
        <v>71</v>
      </c>
      <c r="P1762">
        <v>0</v>
      </c>
      <c r="Q1762">
        <v>0</v>
      </c>
      <c r="R1762">
        <v>0</v>
      </c>
      <c r="S1762" t="s">
        <v>99</v>
      </c>
      <c r="T1762" t="s">
        <v>2851</v>
      </c>
      <c r="U1762">
        <v>1</v>
      </c>
    </row>
    <row r="1763" spans="1:21" x14ac:dyDescent="0.3">
      <c r="A1763" t="s">
        <v>2834</v>
      </c>
      <c r="B1763" t="s">
        <v>2835</v>
      </c>
      <c r="C1763" t="s">
        <v>270</v>
      </c>
      <c r="D1763" t="s">
        <v>29</v>
      </c>
      <c r="E1763" t="s">
        <v>30</v>
      </c>
      <c r="F1763" s="6">
        <v>45443</v>
      </c>
      <c r="G1763">
        <v>92</v>
      </c>
      <c r="H1763">
        <v>98.5</v>
      </c>
      <c r="I1763">
        <v>1.070652173913043</v>
      </c>
      <c r="J1763">
        <v>1.070652173913043</v>
      </c>
      <c r="K1763" t="s">
        <v>31</v>
      </c>
      <c r="L1763" t="s">
        <v>31</v>
      </c>
      <c r="M1763">
        <v>2024</v>
      </c>
      <c r="N1763" t="s">
        <v>42</v>
      </c>
      <c r="O1763" t="s">
        <v>71</v>
      </c>
      <c r="P1763">
        <v>0</v>
      </c>
      <c r="Q1763">
        <v>0</v>
      </c>
      <c r="R1763">
        <v>0</v>
      </c>
      <c r="S1763" t="s">
        <v>99</v>
      </c>
      <c r="T1763" t="s">
        <v>2852</v>
      </c>
      <c r="U1763">
        <v>1</v>
      </c>
    </row>
    <row r="1764" spans="1:21" x14ac:dyDescent="0.3">
      <c r="A1764" t="s">
        <v>2834</v>
      </c>
      <c r="B1764" t="s">
        <v>2835</v>
      </c>
      <c r="C1764" t="s">
        <v>270</v>
      </c>
      <c r="D1764" t="s">
        <v>29</v>
      </c>
      <c r="E1764" t="s">
        <v>30</v>
      </c>
      <c r="F1764" s="6">
        <v>45473</v>
      </c>
      <c r="G1764">
        <v>92</v>
      </c>
      <c r="H1764">
        <v>98.5</v>
      </c>
      <c r="I1764">
        <v>1.070652173913043</v>
      </c>
      <c r="J1764">
        <v>1.070652173913043</v>
      </c>
      <c r="K1764" t="s">
        <v>31</v>
      </c>
      <c r="L1764" t="s">
        <v>31</v>
      </c>
      <c r="M1764">
        <v>2024</v>
      </c>
      <c r="N1764" t="s">
        <v>44</v>
      </c>
      <c r="O1764" t="s">
        <v>71</v>
      </c>
      <c r="P1764">
        <v>0</v>
      </c>
      <c r="Q1764">
        <v>0</v>
      </c>
      <c r="R1764">
        <v>0</v>
      </c>
      <c r="S1764" t="s">
        <v>99</v>
      </c>
      <c r="T1764" t="s">
        <v>2853</v>
      </c>
      <c r="U1764">
        <v>1</v>
      </c>
    </row>
    <row r="1765" spans="1:21" x14ac:dyDescent="0.3">
      <c r="A1765" t="s">
        <v>2834</v>
      </c>
      <c r="B1765" t="s">
        <v>2835</v>
      </c>
      <c r="C1765" t="s">
        <v>270</v>
      </c>
      <c r="D1765" t="s">
        <v>29</v>
      </c>
      <c r="E1765" t="s">
        <v>30</v>
      </c>
      <c r="F1765" s="6">
        <v>45504</v>
      </c>
      <c r="G1765">
        <v>92</v>
      </c>
      <c r="H1765">
        <v>0</v>
      </c>
      <c r="I1765">
        <v>0</v>
      </c>
      <c r="J1765">
        <v>0</v>
      </c>
      <c r="K1765" t="s">
        <v>31</v>
      </c>
      <c r="L1765" t="s">
        <v>31</v>
      </c>
      <c r="M1765">
        <v>2024</v>
      </c>
      <c r="N1765" t="s">
        <v>46</v>
      </c>
      <c r="O1765" t="s">
        <v>78</v>
      </c>
      <c r="P1765">
        <v>0</v>
      </c>
      <c r="Q1765">
        <v>0</v>
      </c>
      <c r="R1765">
        <v>0</v>
      </c>
      <c r="S1765" t="s">
        <v>99</v>
      </c>
      <c r="T1765" t="s">
        <v>2854</v>
      </c>
      <c r="U1765">
        <v>1</v>
      </c>
    </row>
    <row r="1766" spans="1:21" x14ac:dyDescent="0.3">
      <c r="A1766" t="s">
        <v>2834</v>
      </c>
      <c r="B1766" t="s">
        <v>2835</v>
      </c>
      <c r="C1766" t="s">
        <v>270</v>
      </c>
      <c r="D1766" t="s">
        <v>29</v>
      </c>
      <c r="E1766" t="s">
        <v>30</v>
      </c>
      <c r="F1766" s="6">
        <v>45535</v>
      </c>
      <c r="G1766">
        <v>92</v>
      </c>
      <c r="H1766">
        <v>0</v>
      </c>
      <c r="I1766">
        <v>0</v>
      </c>
      <c r="J1766">
        <v>0</v>
      </c>
      <c r="K1766" t="s">
        <v>31</v>
      </c>
      <c r="L1766" t="s">
        <v>31</v>
      </c>
      <c r="M1766">
        <v>2024</v>
      </c>
      <c r="N1766" t="s">
        <v>49</v>
      </c>
      <c r="O1766" t="s">
        <v>78</v>
      </c>
      <c r="P1766">
        <v>0</v>
      </c>
      <c r="Q1766">
        <v>0</v>
      </c>
      <c r="R1766">
        <v>0</v>
      </c>
      <c r="S1766" t="s">
        <v>99</v>
      </c>
      <c r="T1766" t="s">
        <v>2855</v>
      </c>
      <c r="U1766">
        <v>1</v>
      </c>
    </row>
    <row r="1767" spans="1:21" x14ac:dyDescent="0.3">
      <c r="A1767" t="s">
        <v>2834</v>
      </c>
      <c r="B1767" t="s">
        <v>2835</v>
      </c>
      <c r="C1767" t="s">
        <v>270</v>
      </c>
      <c r="D1767" t="s">
        <v>29</v>
      </c>
      <c r="E1767" t="s">
        <v>30</v>
      </c>
      <c r="F1767" s="6">
        <v>45565</v>
      </c>
      <c r="G1767">
        <v>92</v>
      </c>
      <c r="H1767">
        <v>0</v>
      </c>
      <c r="I1767">
        <v>0</v>
      </c>
      <c r="J1767">
        <v>0</v>
      </c>
      <c r="K1767" t="s">
        <v>31</v>
      </c>
      <c r="L1767" t="s">
        <v>31</v>
      </c>
      <c r="M1767">
        <v>2024</v>
      </c>
      <c r="N1767" t="s">
        <v>51</v>
      </c>
      <c r="O1767" t="s">
        <v>78</v>
      </c>
      <c r="P1767">
        <v>0</v>
      </c>
      <c r="Q1767">
        <v>0</v>
      </c>
      <c r="R1767">
        <v>0</v>
      </c>
      <c r="S1767" t="s">
        <v>99</v>
      </c>
      <c r="T1767" t="s">
        <v>2856</v>
      </c>
      <c r="U1767">
        <v>1</v>
      </c>
    </row>
    <row r="1768" spans="1:21" x14ac:dyDescent="0.3">
      <c r="A1768" t="s">
        <v>2834</v>
      </c>
      <c r="B1768" t="s">
        <v>2835</v>
      </c>
      <c r="C1768" t="s">
        <v>270</v>
      </c>
      <c r="D1768" t="s">
        <v>29</v>
      </c>
      <c r="E1768" t="s">
        <v>30</v>
      </c>
      <c r="F1768" s="6">
        <v>45596</v>
      </c>
      <c r="G1768">
        <v>92</v>
      </c>
      <c r="H1768">
        <v>0</v>
      </c>
      <c r="I1768">
        <v>0</v>
      </c>
      <c r="J1768">
        <v>0</v>
      </c>
      <c r="K1768" t="s">
        <v>31</v>
      </c>
      <c r="L1768" t="s">
        <v>31</v>
      </c>
      <c r="M1768">
        <v>2024</v>
      </c>
      <c r="N1768" t="s">
        <v>53</v>
      </c>
      <c r="O1768" t="s">
        <v>78</v>
      </c>
      <c r="P1768">
        <v>0</v>
      </c>
      <c r="Q1768">
        <v>0</v>
      </c>
      <c r="R1768">
        <v>0</v>
      </c>
      <c r="S1768" t="s">
        <v>99</v>
      </c>
      <c r="T1768" t="s">
        <v>2857</v>
      </c>
      <c r="U1768">
        <v>1</v>
      </c>
    </row>
    <row r="1769" spans="1:21" x14ac:dyDescent="0.3">
      <c r="A1769" t="s">
        <v>2834</v>
      </c>
      <c r="B1769" t="s">
        <v>2835</v>
      </c>
      <c r="C1769" t="s">
        <v>270</v>
      </c>
      <c r="D1769" t="s">
        <v>29</v>
      </c>
      <c r="E1769" t="s">
        <v>30</v>
      </c>
      <c r="F1769" s="6">
        <v>45626</v>
      </c>
      <c r="G1769">
        <v>92</v>
      </c>
      <c r="H1769">
        <v>0</v>
      </c>
      <c r="I1769">
        <v>0</v>
      </c>
      <c r="J1769">
        <v>0</v>
      </c>
      <c r="K1769" t="s">
        <v>31</v>
      </c>
      <c r="L1769" t="s">
        <v>31</v>
      </c>
      <c r="M1769">
        <v>2024</v>
      </c>
      <c r="N1769" t="s">
        <v>55</v>
      </c>
      <c r="O1769" t="s">
        <v>78</v>
      </c>
      <c r="P1769">
        <v>0</v>
      </c>
      <c r="Q1769">
        <v>0</v>
      </c>
      <c r="R1769">
        <v>0</v>
      </c>
      <c r="S1769" t="s">
        <v>99</v>
      </c>
      <c r="T1769" t="s">
        <v>2858</v>
      </c>
      <c r="U1769">
        <v>1</v>
      </c>
    </row>
    <row r="1770" spans="1:21" x14ac:dyDescent="0.3">
      <c r="A1770" t="s">
        <v>2834</v>
      </c>
      <c r="B1770" t="s">
        <v>2835</v>
      </c>
      <c r="C1770" t="s">
        <v>270</v>
      </c>
      <c r="D1770" t="s">
        <v>29</v>
      </c>
      <c r="E1770" t="s">
        <v>30</v>
      </c>
      <c r="F1770" s="6">
        <v>45657</v>
      </c>
      <c r="G1770">
        <v>0</v>
      </c>
      <c r="H1770">
        <v>0</v>
      </c>
      <c r="K1770" t="s">
        <v>31</v>
      </c>
      <c r="L1770" t="s">
        <v>31</v>
      </c>
      <c r="M1770">
        <v>2024</v>
      </c>
      <c r="N1770" t="s">
        <v>57</v>
      </c>
      <c r="O1770" t="s">
        <v>78</v>
      </c>
      <c r="P1770">
        <v>0</v>
      </c>
      <c r="Q1770">
        <v>0</v>
      </c>
      <c r="R1770">
        <v>0</v>
      </c>
      <c r="S1770" t="s">
        <v>99</v>
      </c>
      <c r="T1770" t="s">
        <v>2859</v>
      </c>
      <c r="U1770">
        <v>1</v>
      </c>
    </row>
    <row r="1771" spans="1:21" x14ac:dyDescent="0.3">
      <c r="A1771" t="s">
        <v>2860</v>
      </c>
      <c r="B1771" t="s">
        <v>2861</v>
      </c>
      <c r="C1771" t="s">
        <v>2862</v>
      </c>
      <c r="D1771" t="s">
        <v>222</v>
      </c>
      <c r="E1771" t="s">
        <v>30</v>
      </c>
      <c r="F1771" s="6">
        <v>44742</v>
      </c>
      <c r="G1771">
        <v>10808</v>
      </c>
      <c r="H1771">
        <v>11013</v>
      </c>
      <c r="I1771">
        <v>1.0189674315321979</v>
      </c>
      <c r="J1771">
        <v>1.0189674315321979</v>
      </c>
      <c r="K1771" t="s">
        <v>118</v>
      </c>
      <c r="L1771" t="s">
        <v>118</v>
      </c>
      <c r="M1771">
        <v>2022</v>
      </c>
      <c r="N1771" t="s">
        <v>44</v>
      </c>
      <c r="O1771" t="s">
        <v>88</v>
      </c>
      <c r="P1771">
        <v>0</v>
      </c>
      <c r="Q1771">
        <v>0</v>
      </c>
      <c r="R1771">
        <v>1</v>
      </c>
      <c r="S1771" t="s">
        <v>718</v>
      </c>
      <c r="T1771" t="s">
        <v>2863</v>
      </c>
      <c r="U1771">
        <v>1</v>
      </c>
    </row>
    <row r="1772" spans="1:21" x14ac:dyDescent="0.3">
      <c r="A1772" t="s">
        <v>2860</v>
      </c>
      <c r="B1772" t="s">
        <v>2861</v>
      </c>
      <c r="C1772" t="s">
        <v>2862</v>
      </c>
      <c r="D1772" t="s">
        <v>222</v>
      </c>
      <c r="E1772" t="s">
        <v>30</v>
      </c>
      <c r="F1772" s="6">
        <v>44926</v>
      </c>
      <c r="G1772">
        <v>9192</v>
      </c>
      <c r="H1772">
        <v>9678</v>
      </c>
      <c r="I1772">
        <v>1.0528720626631849</v>
      </c>
      <c r="J1772">
        <v>1.0528720626631849</v>
      </c>
      <c r="K1772" t="s">
        <v>118</v>
      </c>
      <c r="L1772" t="s">
        <v>118</v>
      </c>
      <c r="M1772">
        <v>2022</v>
      </c>
      <c r="N1772" t="s">
        <v>57</v>
      </c>
      <c r="O1772" t="s">
        <v>90</v>
      </c>
      <c r="P1772">
        <v>0</v>
      </c>
      <c r="Q1772">
        <v>0</v>
      </c>
      <c r="R1772">
        <v>1</v>
      </c>
      <c r="S1772" t="s">
        <v>718</v>
      </c>
      <c r="T1772" t="s">
        <v>2864</v>
      </c>
      <c r="U1772">
        <v>1</v>
      </c>
    </row>
    <row r="1773" spans="1:21" x14ac:dyDescent="0.3">
      <c r="A1773" t="s">
        <v>2860</v>
      </c>
      <c r="B1773" t="s">
        <v>2861</v>
      </c>
      <c r="C1773" t="s">
        <v>2862</v>
      </c>
      <c r="D1773" t="s">
        <v>222</v>
      </c>
      <c r="E1773" t="s">
        <v>30</v>
      </c>
      <c r="F1773" s="6">
        <v>45107</v>
      </c>
      <c r="G1773">
        <v>12130</v>
      </c>
      <c r="H1773">
        <v>12461</v>
      </c>
      <c r="I1773">
        <v>1.027287716405606</v>
      </c>
      <c r="J1773">
        <v>1.027287716405606</v>
      </c>
      <c r="K1773" t="s">
        <v>118</v>
      </c>
      <c r="L1773" t="s">
        <v>118</v>
      </c>
      <c r="M1773">
        <v>2023</v>
      </c>
      <c r="N1773" t="s">
        <v>44</v>
      </c>
      <c r="O1773" t="s">
        <v>33</v>
      </c>
      <c r="P1773">
        <v>0</v>
      </c>
      <c r="Q1773">
        <v>0</v>
      </c>
      <c r="R1773">
        <v>1</v>
      </c>
      <c r="S1773" t="s">
        <v>718</v>
      </c>
      <c r="T1773" t="s">
        <v>2865</v>
      </c>
      <c r="U1773">
        <v>1</v>
      </c>
    </row>
    <row r="1774" spans="1:21" x14ac:dyDescent="0.3">
      <c r="A1774" t="s">
        <v>2860</v>
      </c>
      <c r="B1774" t="s">
        <v>2861</v>
      </c>
      <c r="C1774" t="s">
        <v>2862</v>
      </c>
      <c r="D1774" t="s">
        <v>222</v>
      </c>
      <c r="E1774" t="s">
        <v>30</v>
      </c>
      <c r="F1774" s="6">
        <v>45291</v>
      </c>
      <c r="G1774">
        <v>9876</v>
      </c>
      <c r="H1774">
        <v>10730</v>
      </c>
      <c r="I1774">
        <v>1.086472255974078</v>
      </c>
      <c r="J1774">
        <v>1.086472255974078</v>
      </c>
      <c r="K1774" t="s">
        <v>118</v>
      </c>
      <c r="L1774" t="s">
        <v>118</v>
      </c>
      <c r="M1774">
        <v>2023</v>
      </c>
      <c r="N1774" t="s">
        <v>57</v>
      </c>
      <c r="O1774" t="s">
        <v>47</v>
      </c>
      <c r="P1774">
        <v>0</v>
      </c>
      <c r="Q1774">
        <v>0</v>
      </c>
      <c r="R1774">
        <v>1</v>
      </c>
      <c r="S1774" t="s">
        <v>718</v>
      </c>
      <c r="T1774" t="s">
        <v>2866</v>
      </c>
      <c r="U1774">
        <v>1</v>
      </c>
    </row>
    <row r="1775" spans="1:21" x14ac:dyDescent="0.3">
      <c r="A1775" t="s">
        <v>2860</v>
      </c>
      <c r="B1775" t="s">
        <v>2861</v>
      </c>
      <c r="C1775" t="s">
        <v>2862</v>
      </c>
      <c r="D1775" t="s">
        <v>222</v>
      </c>
      <c r="E1775" t="s">
        <v>30</v>
      </c>
      <c r="F1775" s="6">
        <v>45473</v>
      </c>
      <c r="G1775">
        <v>13590</v>
      </c>
      <c r="H1775">
        <v>12987</v>
      </c>
      <c r="I1775">
        <v>0.95562913907284763</v>
      </c>
      <c r="J1775">
        <v>0.95562913907284763</v>
      </c>
      <c r="K1775" t="s">
        <v>118</v>
      </c>
      <c r="L1775" t="s">
        <v>118</v>
      </c>
      <c r="M1775">
        <v>2024</v>
      </c>
      <c r="N1775" t="s">
        <v>44</v>
      </c>
      <c r="O1775" t="s">
        <v>71</v>
      </c>
      <c r="P1775">
        <v>0</v>
      </c>
      <c r="Q1775">
        <v>0</v>
      </c>
      <c r="R1775">
        <v>1</v>
      </c>
      <c r="S1775" t="s">
        <v>718</v>
      </c>
      <c r="T1775" t="s">
        <v>2867</v>
      </c>
      <c r="U1775">
        <v>1</v>
      </c>
    </row>
    <row r="1776" spans="1:21" x14ac:dyDescent="0.3">
      <c r="A1776" t="s">
        <v>2860</v>
      </c>
      <c r="B1776" t="s">
        <v>2861</v>
      </c>
      <c r="C1776" t="s">
        <v>2862</v>
      </c>
      <c r="D1776" t="s">
        <v>222</v>
      </c>
      <c r="E1776" t="s">
        <v>30</v>
      </c>
      <c r="F1776" s="6">
        <v>45657</v>
      </c>
      <c r="G1776">
        <v>10675</v>
      </c>
      <c r="H1776">
        <v>10569</v>
      </c>
      <c r="I1776">
        <v>0.99007025761124123</v>
      </c>
      <c r="J1776">
        <v>0.99007025761124123</v>
      </c>
      <c r="K1776" t="s">
        <v>118</v>
      </c>
      <c r="L1776" t="s">
        <v>118</v>
      </c>
      <c r="M1776">
        <v>2024</v>
      </c>
      <c r="N1776" t="s">
        <v>57</v>
      </c>
      <c r="O1776" t="s">
        <v>78</v>
      </c>
      <c r="P1776">
        <v>0</v>
      </c>
      <c r="Q1776">
        <v>0</v>
      </c>
      <c r="R1776">
        <v>1</v>
      </c>
      <c r="S1776" t="s">
        <v>718</v>
      </c>
      <c r="T1776" t="s">
        <v>2868</v>
      </c>
      <c r="U1776">
        <v>1</v>
      </c>
    </row>
    <row r="1777" spans="1:21" x14ac:dyDescent="0.3">
      <c r="A1777" t="s">
        <v>2860</v>
      </c>
      <c r="B1777" t="s">
        <v>2861</v>
      </c>
      <c r="C1777" t="s">
        <v>2862</v>
      </c>
      <c r="D1777" t="s">
        <v>222</v>
      </c>
      <c r="E1777" t="s">
        <v>30</v>
      </c>
      <c r="F1777" s="6">
        <v>45838</v>
      </c>
      <c r="G1777">
        <v>100</v>
      </c>
      <c r="H1777" t="s">
        <v>2869</v>
      </c>
      <c r="I1777">
        <v>1.0410999999999999</v>
      </c>
      <c r="J1777">
        <v>1.0410999999999999</v>
      </c>
      <c r="K1777" t="s">
        <v>102</v>
      </c>
      <c r="L1777" t="s">
        <v>2870</v>
      </c>
      <c r="M1777">
        <v>2025</v>
      </c>
      <c r="N1777" t="s">
        <v>44</v>
      </c>
      <c r="O1777" t="s">
        <v>244</v>
      </c>
      <c r="P1777">
        <v>2</v>
      </c>
      <c r="Q1777">
        <v>2</v>
      </c>
      <c r="R1777">
        <v>1</v>
      </c>
      <c r="S1777" t="s">
        <v>718</v>
      </c>
      <c r="T1777" t="s">
        <v>2871</v>
      </c>
      <c r="U1777">
        <v>30</v>
      </c>
    </row>
    <row r="1778" spans="1:21" x14ac:dyDescent="0.3">
      <c r="A1778" t="s">
        <v>2860</v>
      </c>
      <c r="B1778" t="s">
        <v>2861</v>
      </c>
      <c r="C1778" t="s">
        <v>2862</v>
      </c>
      <c r="D1778" t="s">
        <v>222</v>
      </c>
      <c r="E1778" t="s">
        <v>30</v>
      </c>
      <c r="F1778" s="6">
        <v>46022</v>
      </c>
      <c r="G1778">
        <v>100</v>
      </c>
      <c r="H1778" t="s">
        <v>2872</v>
      </c>
      <c r="I1778">
        <v>1.0241</v>
      </c>
      <c r="J1778">
        <v>1.0241</v>
      </c>
      <c r="K1778" t="s">
        <v>102</v>
      </c>
      <c r="L1778" t="s">
        <v>2873</v>
      </c>
      <c r="M1778">
        <v>2025</v>
      </c>
      <c r="N1778" t="s">
        <v>57</v>
      </c>
      <c r="O1778" t="s">
        <v>103</v>
      </c>
      <c r="P1778">
        <v>2</v>
      </c>
      <c r="Q1778">
        <v>2</v>
      </c>
      <c r="R1778">
        <v>1</v>
      </c>
      <c r="S1778" t="s">
        <v>718</v>
      </c>
      <c r="T1778" t="s">
        <v>2874</v>
      </c>
      <c r="U1778">
        <v>31</v>
      </c>
    </row>
    <row r="1779" spans="1:21" x14ac:dyDescent="0.3">
      <c r="A1779" t="s">
        <v>2875</v>
      </c>
      <c r="B1779" t="s">
        <v>2876</v>
      </c>
      <c r="C1779" t="s">
        <v>2862</v>
      </c>
      <c r="D1779" t="s">
        <v>222</v>
      </c>
      <c r="E1779" t="s">
        <v>30</v>
      </c>
      <c r="F1779" s="6">
        <v>45107</v>
      </c>
      <c r="G1779">
        <v>24659.314309000001</v>
      </c>
      <c r="H1779">
        <v>25754.085545999998</v>
      </c>
      <c r="I1779">
        <v>1.0443958507232469</v>
      </c>
      <c r="J1779">
        <v>1.0443958507232469</v>
      </c>
      <c r="K1779" t="s">
        <v>335</v>
      </c>
      <c r="L1779" t="s">
        <v>335</v>
      </c>
      <c r="M1779">
        <v>2023</v>
      </c>
      <c r="N1779" t="s">
        <v>44</v>
      </c>
      <c r="O1779" t="s">
        <v>33</v>
      </c>
      <c r="P1779">
        <v>0</v>
      </c>
      <c r="Q1779">
        <v>0</v>
      </c>
      <c r="R1779">
        <v>0</v>
      </c>
      <c r="S1779" t="s">
        <v>336</v>
      </c>
      <c r="T1779" t="s">
        <v>2877</v>
      </c>
      <c r="U1779">
        <v>1</v>
      </c>
    </row>
    <row r="1780" spans="1:21" x14ac:dyDescent="0.3">
      <c r="A1780" t="s">
        <v>2875</v>
      </c>
      <c r="B1780" t="s">
        <v>2876</v>
      </c>
      <c r="C1780" t="s">
        <v>2862</v>
      </c>
      <c r="D1780" t="s">
        <v>222</v>
      </c>
      <c r="E1780" t="s">
        <v>30</v>
      </c>
      <c r="F1780" s="6">
        <v>45291</v>
      </c>
      <c r="G1780">
        <v>24724.802793999999</v>
      </c>
      <c r="H1780">
        <v>25340.546505999999</v>
      </c>
      <c r="I1780">
        <v>1.0249038876924601</v>
      </c>
      <c r="J1780">
        <v>1.0249038876924601</v>
      </c>
      <c r="K1780" t="s">
        <v>335</v>
      </c>
      <c r="L1780" t="s">
        <v>335</v>
      </c>
      <c r="M1780">
        <v>2023</v>
      </c>
      <c r="N1780" t="s">
        <v>57</v>
      </c>
      <c r="O1780" t="s">
        <v>47</v>
      </c>
      <c r="P1780">
        <v>0</v>
      </c>
      <c r="Q1780">
        <v>0</v>
      </c>
      <c r="R1780">
        <v>0</v>
      </c>
      <c r="S1780" t="s">
        <v>336</v>
      </c>
      <c r="T1780" t="s">
        <v>2878</v>
      </c>
      <c r="U1780">
        <v>1</v>
      </c>
    </row>
    <row r="1781" spans="1:21" x14ac:dyDescent="0.3">
      <c r="A1781" t="s">
        <v>2875</v>
      </c>
      <c r="B1781" t="s">
        <v>2876</v>
      </c>
      <c r="C1781" t="s">
        <v>2862</v>
      </c>
      <c r="D1781" t="s">
        <v>222</v>
      </c>
      <c r="E1781" t="s">
        <v>30</v>
      </c>
      <c r="F1781" s="6">
        <v>45473</v>
      </c>
      <c r="G1781">
        <v>29596.26987</v>
      </c>
      <c r="H1781">
        <v>28449.632913000001</v>
      </c>
      <c r="I1781">
        <v>0.96125738270273453</v>
      </c>
      <c r="J1781">
        <v>0.96125738270273453</v>
      </c>
      <c r="K1781" t="s">
        <v>335</v>
      </c>
      <c r="L1781" t="s">
        <v>335</v>
      </c>
      <c r="M1781">
        <v>2024</v>
      </c>
      <c r="N1781" t="s">
        <v>44</v>
      </c>
      <c r="O1781" t="s">
        <v>71</v>
      </c>
      <c r="P1781">
        <v>0</v>
      </c>
      <c r="Q1781">
        <v>0</v>
      </c>
      <c r="R1781">
        <v>0</v>
      </c>
      <c r="S1781" t="s">
        <v>336</v>
      </c>
      <c r="T1781" t="s">
        <v>2879</v>
      </c>
      <c r="U1781">
        <v>1</v>
      </c>
    </row>
    <row r="1782" spans="1:21" x14ac:dyDescent="0.3">
      <c r="A1782" t="s">
        <v>2875</v>
      </c>
      <c r="B1782" t="s">
        <v>2876</v>
      </c>
      <c r="C1782" t="s">
        <v>2862</v>
      </c>
      <c r="D1782" t="s">
        <v>222</v>
      </c>
      <c r="E1782" t="s">
        <v>30</v>
      </c>
      <c r="F1782" s="6">
        <v>45657</v>
      </c>
      <c r="G1782">
        <v>100</v>
      </c>
      <c r="H1782">
        <v>78.92</v>
      </c>
      <c r="I1782">
        <v>0.78920000000000001</v>
      </c>
      <c r="J1782">
        <v>0.78920000000000001</v>
      </c>
      <c r="K1782" t="s">
        <v>335</v>
      </c>
      <c r="L1782" t="s">
        <v>335</v>
      </c>
      <c r="M1782">
        <v>2024</v>
      </c>
      <c r="N1782" t="s">
        <v>57</v>
      </c>
      <c r="O1782" t="s">
        <v>78</v>
      </c>
      <c r="P1782">
        <v>0</v>
      </c>
      <c r="Q1782">
        <v>0</v>
      </c>
      <c r="R1782">
        <v>0</v>
      </c>
      <c r="S1782" t="s">
        <v>336</v>
      </c>
      <c r="T1782" t="s">
        <v>2880</v>
      </c>
      <c r="U1782">
        <v>1</v>
      </c>
    </row>
    <row r="1783" spans="1:21" x14ac:dyDescent="0.3">
      <c r="A1783" t="s">
        <v>2881</v>
      </c>
      <c r="B1783" t="s">
        <v>2882</v>
      </c>
      <c r="C1783" t="s">
        <v>2862</v>
      </c>
      <c r="D1783" t="s">
        <v>222</v>
      </c>
      <c r="E1783" t="s">
        <v>30</v>
      </c>
      <c r="F1783" s="6">
        <v>44742</v>
      </c>
      <c r="G1783">
        <v>1424</v>
      </c>
      <c r="H1783">
        <v>1366</v>
      </c>
      <c r="I1783">
        <v>0.9592696629213483</v>
      </c>
      <c r="J1783">
        <v>0.9592696629213483</v>
      </c>
      <c r="K1783" t="s">
        <v>118</v>
      </c>
      <c r="L1783" t="s">
        <v>118</v>
      </c>
      <c r="M1783">
        <v>2022</v>
      </c>
      <c r="N1783" t="s">
        <v>44</v>
      </c>
      <c r="O1783" t="s">
        <v>88</v>
      </c>
      <c r="P1783">
        <v>0</v>
      </c>
      <c r="Q1783">
        <v>0</v>
      </c>
      <c r="R1783">
        <v>0</v>
      </c>
      <c r="S1783" t="s">
        <v>336</v>
      </c>
      <c r="T1783" t="s">
        <v>2883</v>
      </c>
      <c r="U1783">
        <v>1</v>
      </c>
    </row>
    <row r="1784" spans="1:21" x14ac:dyDescent="0.3">
      <c r="A1784" t="s">
        <v>2881</v>
      </c>
      <c r="B1784" t="s">
        <v>2882</v>
      </c>
      <c r="C1784" t="s">
        <v>2862</v>
      </c>
      <c r="D1784" t="s">
        <v>222</v>
      </c>
      <c r="E1784" t="s">
        <v>30</v>
      </c>
      <c r="F1784" s="6">
        <v>44926</v>
      </c>
      <c r="G1784">
        <v>988</v>
      </c>
      <c r="H1784">
        <v>1086</v>
      </c>
      <c r="I1784">
        <v>1.09919028340081</v>
      </c>
      <c r="J1784">
        <v>1.09919028340081</v>
      </c>
      <c r="K1784" t="s">
        <v>118</v>
      </c>
      <c r="L1784" t="s">
        <v>118</v>
      </c>
      <c r="M1784">
        <v>2022</v>
      </c>
      <c r="N1784" t="s">
        <v>57</v>
      </c>
      <c r="O1784" t="s">
        <v>90</v>
      </c>
      <c r="P1784">
        <v>0</v>
      </c>
      <c r="Q1784">
        <v>0</v>
      </c>
      <c r="R1784">
        <v>0</v>
      </c>
      <c r="S1784" t="s">
        <v>336</v>
      </c>
      <c r="T1784" t="s">
        <v>2884</v>
      </c>
      <c r="U1784">
        <v>1</v>
      </c>
    </row>
    <row r="1785" spans="1:21" x14ac:dyDescent="0.3">
      <c r="A1785" t="s">
        <v>2881</v>
      </c>
      <c r="B1785" t="s">
        <v>2882</v>
      </c>
      <c r="C1785" t="s">
        <v>2862</v>
      </c>
      <c r="D1785" t="s">
        <v>222</v>
      </c>
      <c r="E1785" t="s">
        <v>30</v>
      </c>
      <c r="F1785" s="6">
        <v>45107</v>
      </c>
      <c r="G1785">
        <v>1428</v>
      </c>
      <c r="H1785">
        <v>1489</v>
      </c>
      <c r="I1785">
        <v>1.042717086834734</v>
      </c>
      <c r="J1785">
        <v>1.042717086834734</v>
      </c>
      <c r="K1785" t="s">
        <v>118</v>
      </c>
      <c r="L1785" t="s">
        <v>118</v>
      </c>
      <c r="M1785">
        <v>2023</v>
      </c>
      <c r="N1785" t="s">
        <v>44</v>
      </c>
      <c r="O1785" t="s">
        <v>33</v>
      </c>
      <c r="P1785">
        <v>0</v>
      </c>
      <c r="Q1785">
        <v>0</v>
      </c>
      <c r="R1785">
        <v>0</v>
      </c>
      <c r="S1785" t="s">
        <v>718</v>
      </c>
      <c r="T1785" t="s">
        <v>2885</v>
      </c>
      <c r="U1785">
        <v>1</v>
      </c>
    </row>
    <row r="1786" spans="1:21" x14ac:dyDescent="0.3">
      <c r="A1786" t="s">
        <v>2881</v>
      </c>
      <c r="B1786" t="s">
        <v>2882</v>
      </c>
      <c r="C1786" t="s">
        <v>2862</v>
      </c>
      <c r="D1786" t="s">
        <v>222</v>
      </c>
      <c r="E1786" t="s">
        <v>30</v>
      </c>
      <c r="F1786" s="6">
        <v>45291</v>
      </c>
      <c r="G1786">
        <v>1168</v>
      </c>
      <c r="H1786">
        <v>1328</v>
      </c>
      <c r="I1786">
        <v>1.1369863013698629</v>
      </c>
      <c r="J1786">
        <v>1.1369863013698629</v>
      </c>
      <c r="K1786" t="s">
        <v>118</v>
      </c>
      <c r="L1786" t="s">
        <v>118</v>
      </c>
      <c r="M1786">
        <v>2023</v>
      </c>
      <c r="N1786" t="s">
        <v>57</v>
      </c>
      <c r="O1786" t="s">
        <v>47</v>
      </c>
      <c r="P1786">
        <v>0</v>
      </c>
      <c r="Q1786">
        <v>0</v>
      </c>
      <c r="R1786">
        <v>0</v>
      </c>
      <c r="S1786" t="s">
        <v>718</v>
      </c>
      <c r="T1786" t="s">
        <v>2886</v>
      </c>
      <c r="U1786">
        <v>1</v>
      </c>
    </row>
    <row r="1787" spans="1:21" x14ac:dyDescent="0.3">
      <c r="A1787" t="s">
        <v>2881</v>
      </c>
      <c r="B1787" t="s">
        <v>2882</v>
      </c>
      <c r="C1787" t="s">
        <v>2862</v>
      </c>
      <c r="D1787" t="s">
        <v>222</v>
      </c>
      <c r="E1787" t="s">
        <v>30</v>
      </c>
      <c r="F1787" s="6">
        <v>45473</v>
      </c>
      <c r="G1787">
        <v>1482</v>
      </c>
      <c r="H1787">
        <v>1560</v>
      </c>
      <c r="I1787">
        <v>1.0526315789473679</v>
      </c>
      <c r="J1787">
        <v>1.0526315789473679</v>
      </c>
      <c r="K1787" t="s">
        <v>118</v>
      </c>
      <c r="L1787" t="s">
        <v>118</v>
      </c>
      <c r="M1787">
        <v>2024</v>
      </c>
      <c r="N1787" t="s">
        <v>44</v>
      </c>
      <c r="O1787" t="s">
        <v>71</v>
      </c>
      <c r="P1787">
        <v>0</v>
      </c>
      <c r="Q1787">
        <v>0</v>
      </c>
      <c r="R1787">
        <v>0</v>
      </c>
      <c r="S1787" t="s">
        <v>718</v>
      </c>
      <c r="T1787" t="s">
        <v>2887</v>
      </c>
      <c r="U1787">
        <v>1</v>
      </c>
    </row>
    <row r="1788" spans="1:21" x14ac:dyDescent="0.3">
      <c r="A1788" t="s">
        <v>2881</v>
      </c>
      <c r="B1788" t="s">
        <v>2882</v>
      </c>
      <c r="C1788" t="s">
        <v>2862</v>
      </c>
      <c r="D1788" t="s">
        <v>222</v>
      </c>
      <c r="E1788" t="s">
        <v>30</v>
      </c>
      <c r="F1788" s="6">
        <v>45657</v>
      </c>
      <c r="G1788">
        <v>1101</v>
      </c>
      <c r="H1788">
        <v>982</v>
      </c>
      <c r="I1788">
        <v>0.89191643960036326</v>
      </c>
      <c r="J1788">
        <v>0.89191643960036326</v>
      </c>
      <c r="K1788" t="s">
        <v>118</v>
      </c>
      <c r="L1788" t="s">
        <v>118</v>
      </c>
      <c r="M1788">
        <v>2024</v>
      </c>
      <c r="N1788" t="s">
        <v>57</v>
      </c>
      <c r="O1788" t="s">
        <v>78</v>
      </c>
      <c r="P1788">
        <v>0</v>
      </c>
      <c r="Q1788">
        <v>0</v>
      </c>
      <c r="R1788">
        <v>0</v>
      </c>
      <c r="S1788" t="s">
        <v>718</v>
      </c>
      <c r="T1788" t="s">
        <v>2888</v>
      </c>
      <c r="U1788">
        <v>1</v>
      </c>
    </row>
    <row r="1789" spans="1:21" x14ac:dyDescent="0.3">
      <c r="A1789" t="s">
        <v>2881</v>
      </c>
      <c r="B1789" t="s">
        <v>2882</v>
      </c>
      <c r="C1789" t="s">
        <v>2862</v>
      </c>
      <c r="D1789" t="s">
        <v>222</v>
      </c>
      <c r="E1789" t="s">
        <v>30</v>
      </c>
      <c r="F1789" s="6">
        <v>45838</v>
      </c>
      <c r="G1789">
        <v>100</v>
      </c>
      <c r="H1789" t="s">
        <v>2889</v>
      </c>
      <c r="I1789">
        <v>0.98219999999999996</v>
      </c>
      <c r="J1789">
        <v>0.98219999999999996</v>
      </c>
      <c r="K1789" t="s">
        <v>102</v>
      </c>
      <c r="L1789" t="s">
        <v>2890</v>
      </c>
      <c r="M1789">
        <v>2025</v>
      </c>
      <c r="N1789" t="s">
        <v>44</v>
      </c>
      <c r="O1789" t="s">
        <v>244</v>
      </c>
      <c r="P1789">
        <v>2</v>
      </c>
      <c r="Q1789">
        <v>2</v>
      </c>
      <c r="R1789">
        <v>0</v>
      </c>
      <c r="S1789" t="s">
        <v>718</v>
      </c>
      <c r="T1789" t="s">
        <v>2891</v>
      </c>
      <c r="U1789">
        <v>30</v>
      </c>
    </row>
    <row r="1790" spans="1:21" x14ac:dyDescent="0.3">
      <c r="A1790" t="s">
        <v>2881</v>
      </c>
      <c r="B1790" t="s">
        <v>2882</v>
      </c>
      <c r="C1790" t="s">
        <v>2862</v>
      </c>
      <c r="D1790" t="s">
        <v>222</v>
      </c>
      <c r="E1790" t="s">
        <v>30</v>
      </c>
      <c r="F1790" s="6">
        <v>46022</v>
      </c>
      <c r="G1790">
        <v>100</v>
      </c>
      <c r="H1790" t="s">
        <v>2892</v>
      </c>
      <c r="I1790">
        <v>1.1366000000000001</v>
      </c>
      <c r="J1790">
        <v>1.1366000000000001</v>
      </c>
      <c r="K1790" t="s">
        <v>102</v>
      </c>
      <c r="L1790" t="s">
        <v>2893</v>
      </c>
      <c r="M1790">
        <v>2025</v>
      </c>
      <c r="N1790" t="s">
        <v>57</v>
      </c>
      <c r="O1790" t="s">
        <v>103</v>
      </c>
      <c r="P1790">
        <v>2</v>
      </c>
      <c r="Q1790">
        <v>2</v>
      </c>
      <c r="R1790">
        <v>0</v>
      </c>
      <c r="S1790" t="s">
        <v>718</v>
      </c>
      <c r="T1790" t="s">
        <v>2894</v>
      </c>
      <c r="U1790">
        <v>31</v>
      </c>
    </row>
    <row r="1791" spans="1:21" x14ac:dyDescent="0.3">
      <c r="A1791" t="s">
        <v>2895</v>
      </c>
      <c r="B1791" t="s">
        <v>2896</v>
      </c>
      <c r="C1791" t="s">
        <v>2862</v>
      </c>
      <c r="D1791" t="s">
        <v>222</v>
      </c>
      <c r="E1791" t="s">
        <v>30</v>
      </c>
      <c r="F1791" s="6">
        <v>44742</v>
      </c>
      <c r="G1791">
        <v>8041</v>
      </c>
      <c r="H1791">
        <v>8156</v>
      </c>
      <c r="I1791">
        <v>1.0143017037681881</v>
      </c>
      <c r="J1791">
        <v>1.0143017037681881</v>
      </c>
      <c r="K1791" t="s">
        <v>118</v>
      </c>
      <c r="L1791" t="s">
        <v>118</v>
      </c>
      <c r="M1791">
        <v>2022</v>
      </c>
      <c r="N1791" t="s">
        <v>44</v>
      </c>
      <c r="O1791" t="s">
        <v>88</v>
      </c>
      <c r="P1791">
        <v>0</v>
      </c>
      <c r="Q1791">
        <v>0</v>
      </c>
      <c r="R1791">
        <v>0</v>
      </c>
      <c r="S1791" t="s">
        <v>718</v>
      </c>
      <c r="T1791" t="s">
        <v>2897</v>
      </c>
      <c r="U1791">
        <v>1</v>
      </c>
    </row>
    <row r="1792" spans="1:21" x14ac:dyDescent="0.3">
      <c r="A1792" t="s">
        <v>2895</v>
      </c>
      <c r="B1792" t="s">
        <v>2896</v>
      </c>
      <c r="C1792" t="s">
        <v>2862</v>
      </c>
      <c r="D1792" t="s">
        <v>222</v>
      </c>
      <c r="E1792" t="s">
        <v>30</v>
      </c>
      <c r="F1792" s="6">
        <v>44926</v>
      </c>
      <c r="G1792">
        <v>7245</v>
      </c>
      <c r="H1792">
        <v>7311</v>
      </c>
      <c r="I1792">
        <v>1.009109730848861</v>
      </c>
      <c r="J1792">
        <v>1.009109730848861</v>
      </c>
      <c r="K1792" t="s">
        <v>118</v>
      </c>
      <c r="L1792" t="s">
        <v>118</v>
      </c>
      <c r="M1792">
        <v>2022</v>
      </c>
      <c r="N1792" t="s">
        <v>57</v>
      </c>
      <c r="O1792" t="s">
        <v>90</v>
      </c>
      <c r="P1792">
        <v>0</v>
      </c>
      <c r="Q1792">
        <v>0</v>
      </c>
      <c r="R1792">
        <v>0</v>
      </c>
      <c r="S1792" t="s">
        <v>718</v>
      </c>
      <c r="T1792" t="s">
        <v>2898</v>
      </c>
      <c r="U1792">
        <v>1</v>
      </c>
    </row>
    <row r="1793" spans="1:21" x14ac:dyDescent="0.3">
      <c r="A1793" t="s">
        <v>2895</v>
      </c>
      <c r="B1793" t="s">
        <v>2896</v>
      </c>
      <c r="C1793" t="s">
        <v>2862</v>
      </c>
      <c r="D1793" t="s">
        <v>222</v>
      </c>
      <c r="E1793" t="s">
        <v>30</v>
      </c>
      <c r="F1793" s="6">
        <v>45107</v>
      </c>
      <c r="G1793">
        <v>9117</v>
      </c>
      <c r="H1793">
        <v>9231</v>
      </c>
      <c r="I1793">
        <v>1.01250411319513</v>
      </c>
      <c r="J1793">
        <v>1.01250411319513</v>
      </c>
      <c r="K1793" t="s">
        <v>118</v>
      </c>
      <c r="L1793" t="s">
        <v>118</v>
      </c>
      <c r="M1793">
        <v>2023</v>
      </c>
      <c r="N1793" t="s">
        <v>44</v>
      </c>
      <c r="O1793" t="s">
        <v>33</v>
      </c>
      <c r="P1793">
        <v>0</v>
      </c>
      <c r="Q1793">
        <v>0</v>
      </c>
      <c r="R1793">
        <v>0</v>
      </c>
      <c r="S1793" t="s">
        <v>718</v>
      </c>
      <c r="T1793" t="s">
        <v>2899</v>
      </c>
      <c r="U1793">
        <v>1</v>
      </c>
    </row>
    <row r="1794" spans="1:21" x14ac:dyDescent="0.3">
      <c r="A1794" t="s">
        <v>2895</v>
      </c>
      <c r="B1794" t="s">
        <v>2896</v>
      </c>
      <c r="C1794" t="s">
        <v>2862</v>
      </c>
      <c r="D1794" t="s">
        <v>222</v>
      </c>
      <c r="E1794" t="s">
        <v>30</v>
      </c>
      <c r="F1794" s="6">
        <v>45291</v>
      </c>
      <c r="G1794">
        <v>7616</v>
      </c>
      <c r="H1794">
        <v>7845</v>
      </c>
      <c r="I1794">
        <v>1.030068277310924</v>
      </c>
      <c r="J1794">
        <v>1.030068277310924</v>
      </c>
      <c r="K1794" t="s">
        <v>118</v>
      </c>
      <c r="L1794" t="s">
        <v>118</v>
      </c>
      <c r="M1794">
        <v>2023</v>
      </c>
      <c r="N1794" t="s">
        <v>57</v>
      </c>
      <c r="O1794" t="s">
        <v>47</v>
      </c>
      <c r="P1794">
        <v>0</v>
      </c>
      <c r="Q1794">
        <v>0</v>
      </c>
      <c r="R1794">
        <v>0</v>
      </c>
      <c r="S1794" t="s">
        <v>718</v>
      </c>
      <c r="T1794" t="s">
        <v>2900</v>
      </c>
      <c r="U1794">
        <v>1</v>
      </c>
    </row>
    <row r="1795" spans="1:21" x14ac:dyDescent="0.3">
      <c r="A1795" t="s">
        <v>2895</v>
      </c>
      <c r="B1795" t="s">
        <v>2896</v>
      </c>
      <c r="C1795" t="s">
        <v>2862</v>
      </c>
      <c r="D1795" t="s">
        <v>222</v>
      </c>
      <c r="E1795" t="s">
        <v>30</v>
      </c>
      <c r="F1795" s="6">
        <v>45473</v>
      </c>
      <c r="G1795">
        <v>10220</v>
      </c>
      <c r="H1795">
        <v>9576</v>
      </c>
      <c r="I1795">
        <v>0.93698630136986305</v>
      </c>
      <c r="J1795">
        <v>0.93698630136986305</v>
      </c>
      <c r="K1795" t="s">
        <v>118</v>
      </c>
      <c r="L1795" t="s">
        <v>118</v>
      </c>
      <c r="M1795">
        <v>2024</v>
      </c>
      <c r="N1795" t="s">
        <v>44</v>
      </c>
      <c r="O1795" t="s">
        <v>71</v>
      </c>
      <c r="P1795">
        <v>0</v>
      </c>
      <c r="Q1795">
        <v>0</v>
      </c>
      <c r="R1795">
        <v>0</v>
      </c>
      <c r="S1795" t="s">
        <v>718</v>
      </c>
      <c r="T1795" t="s">
        <v>2901</v>
      </c>
      <c r="U1795">
        <v>1</v>
      </c>
    </row>
    <row r="1796" spans="1:21" x14ac:dyDescent="0.3">
      <c r="A1796" t="s">
        <v>2895</v>
      </c>
      <c r="B1796" t="s">
        <v>2896</v>
      </c>
      <c r="C1796" t="s">
        <v>2862</v>
      </c>
      <c r="D1796" t="s">
        <v>222</v>
      </c>
      <c r="E1796" t="s">
        <v>30</v>
      </c>
      <c r="F1796" s="6">
        <v>45657</v>
      </c>
      <c r="G1796">
        <v>8220</v>
      </c>
      <c r="H1796">
        <v>8066</v>
      </c>
      <c r="I1796">
        <v>0.98126520681265206</v>
      </c>
      <c r="J1796">
        <v>0.98126520681265206</v>
      </c>
      <c r="K1796" t="s">
        <v>118</v>
      </c>
      <c r="L1796" t="s">
        <v>118</v>
      </c>
      <c r="M1796">
        <v>2024</v>
      </c>
      <c r="N1796" t="s">
        <v>57</v>
      </c>
      <c r="O1796" t="s">
        <v>78</v>
      </c>
      <c r="P1796">
        <v>0</v>
      </c>
      <c r="Q1796">
        <v>0</v>
      </c>
      <c r="R1796">
        <v>0</v>
      </c>
      <c r="S1796" t="s">
        <v>718</v>
      </c>
      <c r="T1796" t="s">
        <v>2902</v>
      </c>
      <c r="U1796">
        <v>1</v>
      </c>
    </row>
    <row r="1797" spans="1:21" x14ac:dyDescent="0.3">
      <c r="A1797" t="s">
        <v>2895</v>
      </c>
      <c r="B1797" t="s">
        <v>2896</v>
      </c>
      <c r="C1797" t="s">
        <v>2862</v>
      </c>
      <c r="D1797" t="s">
        <v>222</v>
      </c>
      <c r="E1797" t="s">
        <v>30</v>
      </c>
      <c r="F1797" s="6">
        <v>45838</v>
      </c>
      <c r="G1797">
        <v>100</v>
      </c>
      <c r="H1797" t="s">
        <v>2903</v>
      </c>
      <c r="I1797">
        <v>0.99849999999999994</v>
      </c>
      <c r="J1797">
        <v>0.99849999999999994</v>
      </c>
      <c r="K1797" t="s">
        <v>102</v>
      </c>
      <c r="L1797" t="s">
        <v>2904</v>
      </c>
      <c r="M1797">
        <v>2025</v>
      </c>
      <c r="N1797" t="s">
        <v>44</v>
      </c>
      <c r="O1797" t="s">
        <v>244</v>
      </c>
      <c r="P1797">
        <v>2</v>
      </c>
      <c r="Q1797">
        <v>2</v>
      </c>
      <c r="R1797">
        <v>0</v>
      </c>
      <c r="S1797" t="s">
        <v>718</v>
      </c>
      <c r="T1797" t="s">
        <v>2905</v>
      </c>
      <c r="U1797">
        <v>30</v>
      </c>
    </row>
    <row r="1798" spans="1:21" x14ac:dyDescent="0.3">
      <c r="A1798" t="s">
        <v>2895</v>
      </c>
      <c r="B1798" t="s">
        <v>2896</v>
      </c>
      <c r="C1798" t="s">
        <v>2862</v>
      </c>
      <c r="D1798" t="s">
        <v>222</v>
      </c>
      <c r="E1798" t="s">
        <v>30</v>
      </c>
      <c r="F1798" s="6">
        <v>46022</v>
      </c>
      <c r="G1798">
        <v>100</v>
      </c>
      <c r="H1798" t="s">
        <v>2906</v>
      </c>
      <c r="I1798">
        <v>0.97209999999999996</v>
      </c>
      <c r="J1798">
        <v>0.97209999999999996</v>
      </c>
      <c r="K1798" t="s">
        <v>102</v>
      </c>
      <c r="L1798" t="s">
        <v>2907</v>
      </c>
      <c r="M1798">
        <v>2025</v>
      </c>
      <c r="N1798" t="s">
        <v>57</v>
      </c>
      <c r="O1798" t="s">
        <v>103</v>
      </c>
      <c r="P1798">
        <v>2</v>
      </c>
      <c r="Q1798">
        <v>2</v>
      </c>
      <c r="R1798">
        <v>0</v>
      </c>
      <c r="S1798" t="s">
        <v>718</v>
      </c>
      <c r="T1798" t="s">
        <v>2908</v>
      </c>
      <c r="U1798">
        <v>31</v>
      </c>
    </row>
    <row r="1799" spans="1:21" x14ac:dyDescent="0.3">
      <c r="A1799" t="s">
        <v>2909</v>
      </c>
      <c r="B1799" t="s">
        <v>2910</v>
      </c>
      <c r="C1799" t="s">
        <v>2862</v>
      </c>
      <c r="D1799" t="s">
        <v>222</v>
      </c>
      <c r="E1799" t="s">
        <v>30</v>
      </c>
      <c r="F1799" s="6">
        <v>44742</v>
      </c>
      <c r="G1799">
        <v>1004</v>
      </c>
      <c r="H1799">
        <v>1191</v>
      </c>
      <c r="I1799">
        <v>1.1862549800796811</v>
      </c>
      <c r="J1799">
        <v>1.1862549800796811</v>
      </c>
      <c r="K1799" t="s">
        <v>118</v>
      </c>
      <c r="L1799" t="s">
        <v>118</v>
      </c>
      <c r="M1799">
        <v>2022</v>
      </c>
      <c r="N1799" t="s">
        <v>44</v>
      </c>
      <c r="O1799" t="s">
        <v>88</v>
      </c>
      <c r="P1799">
        <v>0</v>
      </c>
      <c r="Q1799">
        <v>0</v>
      </c>
      <c r="R1799">
        <v>0</v>
      </c>
      <c r="S1799" t="s">
        <v>718</v>
      </c>
      <c r="T1799" t="s">
        <v>2911</v>
      </c>
      <c r="U1799">
        <v>1</v>
      </c>
    </row>
    <row r="1800" spans="1:21" x14ac:dyDescent="0.3">
      <c r="A1800" t="s">
        <v>2909</v>
      </c>
      <c r="B1800" t="s">
        <v>2910</v>
      </c>
      <c r="C1800" t="s">
        <v>2862</v>
      </c>
      <c r="D1800" t="s">
        <v>222</v>
      </c>
      <c r="E1800" t="s">
        <v>30</v>
      </c>
      <c r="F1800" s="6">
        <v>44926</v>
      </c>
      <c r="G1800">
        <v>764</v>
      </c>
      <c r="H1800">
        <v>993</v>
      </c>
      <c r="I1800">
        <v>1.299738219895288</v>
      </c>
      <c r="J1800">
        <v>1.299738219895288</v>
      </c>
      <c r="K1800" t="s">
        <v>118</v>
      </c>
      <c r="L1800" t="s">
        <v>118</v>
      </c>
      <c r="M1800">
        <v>2022</v>
      </c>
      <c r="N1800" t="s">
        <v>57</v>
      </c>
      <c r="O1800" t="s">
        <v>90</v>
      </c>
      <c r="P1800">
        <v>0</v>
      </c>
      <c r="Q1800">
        <v>0</v>
      </c>
      <c r="R1800">
        <v>0</v>
      </c>
      <c r="S1800" t="s">
        <v>718</v>
      </c>
      <c r="T1800" t="s">
        <v>2912</v>
      </c>
      <c r="U1800">
        <v>1</v>
      </c>
    </row>
    <row r="1801" spans="1:21" x14ac:dyDescent="0.3">
      <c r="A1801" t="s">
        <v>2909</v>
      </c>
      <c r="B1801" t="s">
        <v>2910</v>
      </c>
      <c r="C1801" t="s">
        <v>2862</v>
      </c>
      <c r="D1801" t="s">
        <v>222</v>
      </c>
      <c r="E1801" t="s">
        <v>30</v>
      </c>
      <c r="F1801" s="6">
        <v>45107</v>
      </c>
      <c r="G1801">
        <v>1279</v>
      </c>
      <c r="H1801">
        <v>1399</v>
      </c>
      <c r="I1801">
        <v>1.093823299452698</v>
      </c>
      <c r="J1801">
        <v>1.093823299452698</v>
      </c>
      <c r="K1801" t="s">
        <v>118</v>
      </c>
      <c r="L1801" t="s">
        <v>118</v>
      </c>
      <c r="M1801">
        <v>2023</v>
      </c>
      <c r="N1801" t="s">
        <v>44</v>
      </c>
      <c r="O1801" t="s">
        <v>33</v>
      </c>
      <c r="P1801">
        <v>0</v>
      </c>
      <c r="Q1801">
        <v>0</v>
      </c>
      <c r="R1801">
        <v>0</v>
      </c>
      <c r="S1801" t="s">
        <v>718</v>
      </c>
      <c r="T1801" t="s">
        <v>2913</v>
      </c>
      <c r="U1801">
        <v>1</v>
      </c>
    </row>
    <row r="1802" spans="1:21" x14ac:dyDescent="0.3">
      <c r="A1802" t="s">
        <v>2909</v>
      </c>
      <c r="B1802" t="s">
        <v>2910</v>
      </c>
      <c r="C1802" t="s">
        <v>2862</v>
      </c>
      <c r="D1802" t="s">
        <v>222</v>
      </c>
      <c r="E1802" t="s">
        <v>30</v>
      </c>
      <c r="F1802" s="6">
        <v>45291</v>
      </c>
      <c r="G1802">
        <v>896</v>
      </c>
      <c r="H1802">
        <v>1305</v>
      </c>
      <c r="I1802">
        <v>1.456473214285714</v>
      </c>
      <c r="J1802">
        <v>1.456473214285714</v>
      </c>
      <c r="K1802" t="s">
        <v>118</v>
      </c>
      <c r="L1802" t="s">
        <v>118</v>
      </c>
      <c r="M1802">
        <v>2023</v>
      </c>
      <c r="N1802" t="s">
        <v>57</v>
      </c>
      <c r="O1802" t="s">
        <v>47</v>
      </c>
      <c r="P1802">
        <v>0</v>
      </c>
      <c r="Q1802">
        <v>0</v>
      </c>
      <c r="R1802">
        <v>0</v>
      </c>
      <c r="S1802" t="s">
        <v>718</v>
      </c>
      <c r="T1802" t="s">
        <v>2914</v>
      </c>
      <c r="U1802">
        <v>1</v>
      </c>
    </row>
    <row r="1803" spans="1:21" x14ac:dyDescent="0.3">
      <c r="A1803" t="s">
        <v>2909</v>
      </c>
      <c r="B1803" t="s">
        <v>2910</v>
      </c>
      <c r="C1803" t="s">
        <v>2862</v>
      </c>
      <c r="D1803" t="s">
        <v>222</v>
      </c>
      <c r="E1803" t="s">
        <v>30</v>
      </c>
      <c r="F1803" s="6">
        <v>45473</v>
      </c>
      <c r="G1803">
        <v>1525</v>
      </c>
      <c r="H1803">
        <v>1506</v>
      </c>
      <c r="I1803">
        <v>0.9875409836065574</v>
      </c>
      <c r="J1803">
        <v>0.9875409836065574</v>
      </c>
      <c r="K1803" t="s">
        <v>118</v>
      </c>
      <c r="L1803" t="s">
        <v>118</v>
      </c>
      <c r="M1803">
        <v>2024</v>
      </c>
      <c r="N1803" t="s">
        <v>44</v>
      </c>
      <c r="O1803" t="s">
        <v>71</v>
      </c>
      <c r="P1803">
        <v>0</v>
      </c>
      <c r="Q1803">
        <v>0</v>
      </c>
      <c r="R1803">
        <v>0</v>
      </c>
      <c r="S1803" t="s">
        <v>718</v>
      </c>
      <c r="T1803" t="s">
        <v>2915</v>
      </c>
      <c r="U1803">
        <v>1</v>
      </c>
    </row>
    <row r="1804" spans="1:21" x14ac:dyDescent="0.3">
      <c r="A1804" t="s">
        <v>2909</v>
      </c>
      <c r="B1804" t="s">
        <v>2910</v>
      </c>
      <c r="C1804" t="s">
        <v>2862</v>
      </c>
      <c r="D1804" t="s">
        <v>222</v>
      </c>
      <c r="E1804" t="s">
        <v>30</v>
      </c>
      <c r="F1804" s="6">
        <v>45657</v>
      </c>
      <c r="G1804">
        <v>1106</v>
      </c>
      <c r="H1804">
        <v>1317</v>
      </c>
      <c r="I1804">
        <v>1.190777576853526</v>
      </c>
      <c r="J1804">
        <v>1.190777576853526</v>
      </c>
      <c r="K1804" t="s">
        <v>118</v>
      </c>
      <c r="L1804" t="s">
        <v>118</v>
      </c>
      <c r="M1804">
        <v>2024</v>
      </c>
      <c r="N1804" t="s">
        <v>57</v>
      </c>
      <c r="O1804" t="s">
        <v>78</v>
      </c>
      <c r="P1804">
        <v>0</v>
      </c>
      <c r="Q1804">
        <v>0</v>
      </c>
      <c r="R1804">
        <v>0</v>
      </c>
      <c r="S1804" t="s">
        <v>718</v>
      </c>
      <c r="T1804" t="s">
        <v>2916</v>
      </c>
      <c r="U1804">
        <v>1</v>
      </c>
    </row>
    <row r="1805" spans="1:21" x14ac:dyDescent="0.3">
      <c r="A1805" t="s">
        <v>2909</v>
      </c>
      <c r="B1805" t="s">
        <v>2910</v>
      </c>
      <c r="C1805" t="s">
        <v>2862</v>
      </c>
      <c r="D1805" t="s">
        <v>222</v>
      </c>
      <c r="E1805" t="s">
        <v>30</v>
      </c>
      <c r="F1805" s="6">
        <v>45838</v>
      </c>
      <c r="G1805">
        <v>100</v>
      </c>
      <c r="H1805" t="s">
        <v>2917</v>
      </c>
      <c r="I1805">
        <v>1.3</v>
      </c>
      <c r="J1805">
        <v>1.3695999999999999</v>
      </c>
      <c r="K1805" t="s">
        <v>102</v>
      </c>
      <c r="L1805" t="s">
        <v>2918</v>
      </c>
      <c r="M1805">
        <v>2025</v>
      </c>
      <c r="N1805" t="s">
        <v>44</v>
      </c>
      <c r="O1805" t="s">
        <v>244</v>
      </c>
      <c r="P1805">
        <v>2</v>
      </c>
      <c r="Q1805">
        <v>2</v>
      </c>
      <c r="R1805">
        <v>0</v>
      </c>
      <c r="S1805" t="s">
        <v>718</v>
      </c>
      <c r="T1805" t="s">
        <v>2919</v>
      </c>
      <c r="U1805">
        <v>30</v>
      </c>
    </row>
    <row r="1806" spans="1:21" x14ac:dyDescent="0.3">
      <c r="A1806" t="s">
        <v>2909</v>
      </c>
      <c r="B1806" t="s">
        <v>2910</v>
      </c>
      <c r="C1806" t="s">
        <v>2862</v>
      </c>
      <c r="D1806" t="s">
        <v>222</v>
      </c>
      <c r="E1806" t="s">
        <v>30</v>
      </c>
      <c r="F1806" s="6">
        <v>46022</v>
      </c>
      <c r="G1806">
        <v>100</v>
      </c>
      <c r="H1806" t="s">
        <v>2920</v>
      </c>
      <c r="I1806">
        <v>1.2786999999999999</v>
      </c>
      <c r="J1806">
        <v>1.2786999999999999</v>
      </c>
      <c r="K1806" t="s">
        <v>102</v>
      </c>
      <c r="L1806" t="s">
        <v>2921</v>
      </c>
      <c r="M1806">
        <v>2025</v>
      </c>
      <c r="N1806" t="s">
        <v>57</v>
      </c>
      <c r="O1806" t="s">
        <v>103</v>
      </c>
      <c r="P1806">
        <v>2</v>
      </c>
      <c r="Q1806">
        <v>2</v>
      </c>
      <c r="R1806">
        <v>0</v>
      </c>
      <c r="S1806" t="s">
        <v>718</v>
      </c>
      <c r="T1806" t="s">
        <v>2922</v>
      </c>
      <c r="U1806">
        <v>31</v>
      </c>
    </row>
    <row r="1807" spans="1:21" x14ac:dyDescent="0.3">
      <c r="A1807" t="s">
        <v>2923</v>
      </c>
      <c r="B1807" t="s">
        <v>2924</v>
      </c>
      <c r="C1807" t="s">
        <v>2862</v>
      </c>
      <c r="D1807" t="s">
        <v>222</v>
      </c>
      <c r="E1807" t="s">
        <v>30</v>
      </c>
      <c r="F1807" s="6">
        <v>44742</v>
      </c>
      <c r="G1807">
        <v>339</v>
      </c>
      <c r="H1807">
        <v>299</v>
      </c>
      <c r="I1807">
        <v>0.88200589970501475</v>
      </c>
      <c r="J1807">
        <v>0.88200589970501475</v>
      </c>
      <c r="K1807" t="s">
        <v>118</v>
      </c>
      <c r="L1807" t="s">
        <v>118</v>
      </c>
      <c r="M1807">
        <v>2022</v>
      </c>
      <c r="N1807" t="s">
        <v>44</v>
      </c>
      <c r="O1807" t="s">
        <v>88</v>
      </c>
      <c r="P1807">
        <v>0</v>
      </c>
      <c r="Q1807">
        <v>0</v>
      </c>
      <c r="R1807">
        <v>0</v>
      </c>
      <c r="S1807" t="s">
        <v>718</v>
      </c>
      <c r="T1807" t="s">
        <v>2925</v>
      </c>
      <c r="U1807">
        <v>1</v>
      </c>
    </row>
    <row r="1808" spans="1:21" x14ac:dyDescent="0.3">
      <c r="A1808" t="s">
        <v>2923</v>
      </c>
      <c r="B1808" t="s">
        <v>2924</v>
      </c>
      <c r="C1808" t="s">
        <v>2862</v>
      </c>
      <c r="D1808" t="s">
        <v>222</v>
      </c>
      <c r="E1808" t="s">
        <v>30</v>
      </c>
      <c r="F1808" s="6">
        <v>44926</v>
      </c>
      <c r="G1808">
        <v>195</v>
      </c>
      <c r="H1808">
        <v>188</v>
      </c>
      <c r="I1808">
        <v>0.96410256410256412</v>
      </c>
      <c r="J1808">
        <v>0.96410256410256412</v>
      </c>
      <c r="K1808" t="s">
        <v>118</v>
      </c>
      <c r="L1808" t="s">
        <v>118</v>
      </c>
      <c r="M1808">
        <v>2022</v>
      </c>
      <c r="N1808" t="s">
        <v>57</v>
      </c>
      <c r="O1808" t="s">
        <v>90</v>
      </c>
      <c r="P1808">
        <v>0</v>
      </c>
      <c r="Q1808">
        <v>0</v>
      </c>
      <c r="R1808">
        <v>0</v>
      </c>
      <c r="S1808" t="s">
        <v>718</v>
      </c>
      <c r="T1808" t="s">
        <v>2926</v>
      </c>
      <c r="U1808">
        <v>1</v>
      </c>
    </row>
    <row r="1809" spans="1:21" x14ac:dyDescent="0.3">
      <c r="A1809" t="s">
        <v>2923</v>
      </c>
      <c r="B1809" t="s">
        <v>2924</v>
      </c>
      <c r="C1809" t="s">
        <v>2862</v>
      </c>
      <c r="D1809" t="s">
        <v>222</v>
      </c>
      <c r="E1809" t="s">
        <v>30</v>
      </c>
      <c r="F1809" s="6">
        <v>45107</v>
      </c>
      <c r="G1809">
        <v>306</v>
      </c>
      <c r="H1809">
        <v>332</v>
      </c>
      <c r="I1809">
        <v>1.0849673202614381</v>
      </c>
      <c r="J1809">
        <v>1.0849673202614381</v>
      </c>
      <c r="K1809" t="s">
        <v>118</v>
      </c>
      <c r="L1809" t="s">
        <v>118</v>
      </c>
      <c r="M1809">
        <v>2023</v>
      </c>
      <c r="N1809" t="s">
        <v>44</v>
      </c>
      <c r="O1809" t="s">
        <v>33</v>
      </c>
      <c r="P1809">
        <v>0</v>
      </c>
      <c r="Q1809">
        <v>0</v>
      </c>
      <c r="R1809">
        <v>0</v>
      </c>
      <c r="S1809" t="s">
        <v>718</v>
      </c>
      <c r="T1809" t="s">
        <v>2927</v>
      </c>
      <c r="U1809">
        <v>1</v>
      </c>
    </row>
    <row r="1810" spans="1:21" x14ac:dyDescent="0.3">
      <c r="A1810" t="s">
        <v>2923</v>
      </c>
      <c r="B1810" t="s">
        <v>2924</v>
      </c>
      <c r="C1810" t="s">
        <v>2862</v>
      </c>
      <c r="D1810" t="s">
        <v>222</v>
      </c>
      <c r="E1810" t="s">
        <v>30</v>
      </c>
      <c r="F1810" s="6">
        <v>45291</v>
      </c>
      <c r="G1810">
        <v>195</v>
      </c>
      <c r="H1810">
        <v>224</v>
      </c>
      <c r="I1810">
        <v>1.1487179487179491</v>
      </c>
      <c r="J1810">
        <v>1.1487179487179491</v>
      </c>
      <c r="K1810" t="s">
        <v>118</v>
      </c>
      <c r="L1810" t="s">
        <v>118</v>
      </c>
      <c r="M1810">
        <v>2023</v>
      </c>
      <c r="N1810" t="s">
        <v>57</v>
      </c>
      <c r="O1810" t="s">
        <v>47</v>
      </c>
      <c r="P1810">
        <v>0</v>
      </c>
      <c r="Q1810">
        <v>0</v>
      </c>
      <c r="R1810">
        <v>0</v>
      </c>
      <c r="S1810" t="s">
        <v>718</v>
      </c>
      <c r="T1810" t="s">
        <v>2928</v>
      </c>
      <c r="U1810">
        <v>1</v>
      </c>
    </row>
    <row r="1811" spans="1:21" x14ac:dyDescent="0.3">
      <c r="A1811" t="s">
        <v>2923</v>
      </c>
      <c r="B1811" t="s">
        <v>2924</v>
      </c>
      <c r="C1811" t="s">
        <v>2862</v>
      </c>
      <c r="D1811" t="s">
        <v>222</v>
      </c>
      <c r="E1811" t="s">
        <v>30</v>
      </c>
      <c r="F1811" s="6">
        <v>45473</v>
      </c>
      <c r="G1811">
        <v>363</v>
      </c>
      <c r="H1811">
        <v>361</v>
      </c>
      <c r="I1811">
        <v>0.99449035812672182</v>
      </c>
      <c r="J1811">
        <v>0.99449035812672182</v>
      </c>
      <c r="K1811" t="s">
        <v>118</v>
      </c>
      <c r="L1811" t="s">
        <v>118</v>
      </c>
      <c r="M1811">
        <v>2024</v>
      </c>
      <c r="N1811" t="s">
        <v>44</v>
      </c>
      <c r="O1811" t="s">
        <v>71</v>
      </c>
      <c r="P1811">
        <v>0</v>
      </c>
      <c r="Q1811">
        <v>0</v>
      </c>
      <c r="R1811">
        <v>0</v>
      </c>
      <c r="S1811" t="s">
        <v>718</v>
      </c>
      <c r="T1811" t="s">
        <v>2929</v>
      </c>
      <c r="U1811">
        <v>1</v>
      </c>
    </row>
    <row r="1812" spans="1:21" x14ac:dyDescent="0.3">
      <c r="A1812" t="s">
        <v>2923</v>
      </c>
      <c r="B1812" t="s">
        <v>2924</v>
      </c>
      <c r="C1812" t="s">
        <v>2862</v>
      </c>
      <c r="D1812" t="s">
        <v>222</v>
      </c>
      <c r="E1812" t="s">
        <v>30</v>
      </c>
      <c r="F1812" s="6">
        <v>45657</v>
      </c>
      <c r="G1812">
        <v>248</v>
      </c>
      <c r="H1812">
        <v>218</v>
      </c>
      <c r="I1812">
        <v>0.87903225806451613</v>
      </c>
      <c r="J1812">
        <v>0.87903225806451613</v>
      </c>
      <c r="K1812" t="s">
        <v>118</v>
      </c>
      <c r="L1812" t="s">
        <v>118</v>
      </c>
      <c r="M1812">
        <v>2024</v>
      </c>
      <c r="N1812" t="s">
        <v>57</v>
      </c>
      <c r="O1812" t="s">
        <v>78</v>
      </c>
      <c r="P1812">
        <v>0</v>
      </c>
      <c r="Q1812">
        <v>0</v>
      </c>
      <c r="R1812">
        <v>0</v>
      </c>
      <c r="S1812" t="s">
        <v>718</v>
      </c>
      <c r="T1812" t="s">
        <v>2930</v>
      </c>
      <c r="U1812">
        <v>1</v>
      </c>
    </row>
    <row r="1813" spans="1:21" x14ac:dyDescent="0.3">
      <c r="A1813" t="s">
        <v>2923</v>
      </c>
      <c r="B1813" t="s">
        <v>2924</v>
      </c>
      <c r="C1813" t="s">
        <v>2862</v>
      </c>
      <c r="D1813" t="s">
        <v>222</v>
      </c>
      <c r="E1813" t="s">
        <v>30</v>
      </c>
      <c r="F1813" s="6">
        <v>45838</v>
      </c>
      <c r="G1813">
        <v>100</v>
      </c>
      <c r="H1813" t="s">
        <v>2931</v>
      </c>
      <c r="I1813">
        <v>1.0323</v>
      </c>
      <c r="J1813">
        <v>1.0323</v>
      </c>
      <c r="K1813" t="s">
        <v>102</v>
      </c>
      <c r="L1813" t="s">
        <v>2932</v>
      </c>
      <c r="M1813">
        <v>2025</v>
      </c>
      <c r="N1813" t="s">
        <v>44</v>
      </c>
      <c r="O1813" t="s">
        <v>244</v>
      </c>
      <c r="P1813">
        <v>2</v>
      </c>
      <c r="Q1813">
        <v>2</v>
      </c>
      <c r="R1813">
        <v>0</v>
      </c>
      <c r="S1813" t="s">
        <v>718</v>
      </c>
      <c r="T1813" t="s">
        <v>2933</v>
      </c>
      <c r="U1813">
        <v>30</v>
      </c>
    </row>
    <row r="1814" spans="1:21" x14ac:dyDescent="0.3">
      <c r="A1814" t="s">
        <v>2923</v>
      </c>
      <c r="B1814" t="s">
        <v>2924</v>
      </c>
      <c r="C1814" t="s">
        <v>2862</v>
      </c>
      <c r="D1814" t="s">
        <v>222</v>
      </c>
      <c r="E1814" t="s">
        <v>30</v>
      </c>
      <c r="F1814" s="6">
        <v>46022</v>
      </c>
      <c r="G1814">
        <v>100</v>
      </c>
      <c r="H1814" t="s">
        <v>1719</v>
      </c>
      <c r="I1814">
        <v>1.0093000000000001</v>
      </c>
      <c r="J1814">
        <v>1.0093000000000001</v>
      </c>
      <c r="K1814" t="s">
        <v>102</v>
      </c>
      <c r="L1814" t="s">
        <v>1720</v>
      </c>
      <c r="M1814">
        <v>2025</v>
      </c>
      <c r="N1814" t="s">
        <v>57</v>
      </c>
      <c r="O1814" t="s">
        <v>103</v>
      </c>
      <c r="P1814">
        <v>2</v>
      </c>
      <c r="Q1814">
        <v>2</v>
      </c>
      <c r="R1814">
        <v>0</v>
      </c>
      <c r="S1814" t="s">
        <v>718</v>
      </c>
      <c r="T1814" t="s">
        <v>2934</v>
      </c>
      <c r="U1814">
        <v>31</v>
      </c>
    </row>
    <row r="1815" spans="1:21" x14ac:dyDescent="0.3">
      <c r="A1815" t="s">
        <v>2935</v>
      </c>
      <c r="B1815" t="s">
        <v>2936</v>
      </c>
      <c r="C1815" t="s">
        <v>2937</v>
      </c>
      <c r="D1815" t="s">
        <v>222</v>
      </c>
      <c r="E1815" t="s">
        <v>30</v>
      </c>
      <c r="F1815" s="6">
        <v>44742</v>
      </c>
      <c r="G1815">
        <v>4345.5951990000003</v>
      </c>
      <c r="H1815">
        <v>4697.0352290000001</v>
      </c>
      <c r="I1815">
        <v>1.0808727030260139</v>
      </c>
      <c r="J1815">
        <v>1.0808727030260139</v>
      </c>
      <c r="K1815" t="s">
        <v>335</v>
      </c>
      <c r="L1815" t="s">
        <v>335</v>
      </c>
      <c r="M1815">
        <v>2022</v>
      </c>
      <c r="N1815" t="s">
        <v>44</v>
      </c>
      <c r="O1815" t="s">
        <v>88</v>
      </c>
      <c r="P1815">
        <v>0</v>
      </c>
      <c r="Q1815">
        <v>0</v>
      </c>
      <c r="R1815">
        <v>0</v>
      </c>
      <c r="S1815" t="s">
        <v>718</v>
      </c>
      <c r="T1815" t="s">
        <v>2938</v>
      </c>
      <c r="U1815">
        <v>1</v>
      </c>
    </row>
    <row r="1816" spans="1:21" x14ac:dyDescent="0.3">
      <c r="A1816" t="s">
        <v>2935</v>
      </c>
      <c r="B1816" t="s">
        <v>2936</v>
      </c>
      <c r="C1816" t="s">
        <v>2937</v>
      </c>
      <c r="D1816" t="s">
        <v>222</v>
      </c>
      <c r="E1816" t="s">
        <v>30</v>
      </c>
      <c r="F1816" s="6">
        <v>44926</v>
      </c>
      <c r="G1816">
        <v>9015.4048010000006</v>
      </c>
      <c r="H1816">
        <v>10035.311890999999</v>
      </c>
      <c r="I1816">
        <v>0.55493512287380198</v>
      </c>
      <c r="J1816">
        <v>0.55493512287380198</v>
      </c>
      <c r="K1816" t="s">
        <v>335</v>
      </c>
      <c r="L1816" t="s">
        <v>335</v>
      </c>
      <c r="M1816">
        <v>2022</v>
      </c>
      <c r="N1816" t="s">
        <v>57</v>
      </c>
      <c r="O1816" t="s">
        <v>90</v>
      </c>
      <c r="P1816">
        <v>0</v>
      </c>
      <c r="Q1816">
        <v>0</v>
      </c>
      <c r="R1816">
        <v>0</v>
      </c>
      <c r="S1816" t="s">
        <v>718</v>
      </c>
      <c r="T1816" t="s">
        <v>2939</v>
      </c>
      <c r="U1816">
        <v>1</v>
      </c>
    </row>
    <row r="1817" spans="1:21" x14ac:dyDescent="0.3">
      <c r="A1817" t="s">
        <v>2935</v>
      </c>
      <c r="B1817" t="s">
        <v>2936</v>
      </c>
      <c r="C1817" t="s">
        <v>2937</v>
      </c>
      <c r="D1817" t="s">
        <v>222</v>
      </c>
      <c r="E1817" t="s">
        <v>30</v>
      </c>
      <c r="F1817" s="6">
        <v>45107</v>
      </c>
      <c r="G1817">
        <v>5315.2060000000001</v>
      </c>
      <c r="H1817">
        <v>5473.8577590000004</v>
      </c>
      <c r="I1817">
        <v>1.0298486566654239</v>
      </c>
      <c r="J1817">
        <v>1.0298486566654239</v>
      </c>
      <c r="K1817" t="s">
        <v>335</v>
      </c>
      <c r="L1817" t="s">
        <v>335</v>
      </c>
      <c r="M1817">
        <v>2023</v>
      </c>
      <c r="N1817" t="s">
        <v>44</v>
      </c>
      <c r="O1817" t="s">
        <v>33</v>
      </c>
      <c r="P1817">
        <v>0</v>
      </c>
      <c r="Q1817">
        <v>0</v>
      </c>
      <c r="R1817">
        <v>1</v>
      </c>
      <c r="S1817" t="s">
        <v>198</v>
      </c>
      <c r="T1817" t="s">
        <v>2940</v>
      </c>
      <c r="U1817">
        <v>1</v>
      </c>
    </row>
    <row r="1818" spans="1:21" x14ac:dyDescent="0.3">
      <c r="A1818" t="s">
        <v>2935</v>
      </c>
      <c r="B1818" t="s">
        <v>2936</v>
      </c>
      <c r="C1818" t="s">
        <v>2937</v>
      </c>
      <c r="D1818" t="s">
        <v>222</v>
      </c>
      <c r="E1818" t="s">
        <v>30</v>
      </c>
      <c r="F1818" s="6">
        <v>45291</v>
      </c>
      <c r="G1818">
        <v>14097.721</v>
      </c>
      <c r="H1818">
        <v>17697.080526999998</v>
      </c>
      <c r="I1818">
        <v>1.2553149921891631</v>
      </c>
      <c r="J1818">
        <v>1.2553149921891631</v>
      </c>
      <c r="K1818" t="s">
        <v>335</v>
      </c>
      <c r="L1818" t="s">
        <v>335</v>
      </c>
      <c r="M1818">
        <v>2023</v>
      </c>
      <c r="N1818" t="s">
        <v>57</v>
      </c>
      <c r="O1818" t="s">
        <v>47</v>
      </c>
      <c r="P1818">
        <v>0</v>
      </c>
      <c r="Q1818">
        <v>0</v>
      </c>
      <c r="R1818">
        <v>1</v>
      </c>
      <c r="S1818" t="s">
        <v>198</v>
      </c>
      <c r="T1818" t="s">
        <v>2941</v>
      </c>
      <c r="U1818">
        <v>1</v>
      </c>
    </row>
    <row r="1819" spans="1:21" x14ac:dyDescent="0.3">
      <c r="A1819" t="s">
        <v>2935</v>
      </c>
      <c r="B1819" t="s">
        <v>2936</v>
      </c>
      <c r="C1819" t="s">
        <v>2937</v>
      </c>
      <c r="D1819" t="s">
        <v>222</v>
      </c>
      <c r="E1819" t="s">
        <v>30</v>
      </c>
      <c r="F1819" s="6">
        <v>45473</v>
      </c>
      <c r="G1819">
        <v>5441.4588450000001</v>
      </c>
      <c r="H1819">
        <v>6182.8620629999996</v>
      </c>
      <c r="I1819">
        <v>1.1362508178631641</v>
      </c>
      <c r="J1819">
        <v>1.1362508178631641</v>
      </c>
      <c r="K1819" t="s">
        <v>335</v>
      </c>
      <c r="L1819" t="s">
        <v>335</v>
      </c>
      <c r="M1819">
        <v>2024</v>
      </c>
      <c r="N1819" t="s">
        <v>44</v>
      </c>
      <c r="O1819" t="s">
        <v>71</v>
      </c>
      <c r="P1819">
        <v>0</v>
      </c>
      <c r="Q1819">
        <v>0</v>
      </c>
      <c r="R1819">
        <v>1</v>
      </c>
      <c r="S1819" t="s">
        <v>198</v>
      </c>
      <c r="T1819" t="s">
        <v>2942</v>
      </c>
      <c r="U1819">
        <v>1</v>
      </c>
    </row>
    <row r="1820" spans="1:21" x14ac:dyDescent="0.3">
      <c r="A1820" t="s">
        <v>2935</v>
      </c>
      <c r="B1820" t="s">
        <v>2936</v>
      </c>
      <c r="C1820" t="s">
        <v>2937</v>
      </c>
      <c r="D1820" t="s">
        <v>222</v>
      </c>
      <c r="E1820" t="s">
        <v>30</v>
      </c>
      <c r="F1820" s="6">
        <v>45657</v>
      </c>
      <c r="G1820">
        <v>15507.4931</v>
      </c>
      <c r="H1820">
        <v>13243.138849000001</v>
      </c>
      <c r="I1820">
        <v>0.85398321724869908</v>
      </c>
      <c r="J1820">
        <v>0.85398321724869908</v>
      </c>
      <c r="K1820" t="s">
        <v>335</v>
      </c>
      <c r="L1820" t="s">
        <v>335</v>
      </c>
      <c r="M1820">
        <v>2024</v>
      </c>
      <c r="N1820" t="s">
        <v>57</v>
      </c>
      <c r="O1820" t="s">
        <v>78</v>
      </c>
      <c r="P1820">
        <v>0</v>
      </c>
      <c r="Q1820">
        <v>0</v>
      </c>
      <c r="R1820">
        <v>0</v>
      </c>
      <c r="S1820" t="s">
        <v>198</v>
      </c>
      <c r="T1820" t="s">
        <v>2943</v>
      </c>
      <c r="U1820">
        <v>1</v>
      </c>
    </row>
    <row r="1821" spans="1:21" x14ac:dyDescent="0.3">
      <c r="A1821" t="s">
        <v>2935</v>
      </c>
      <c r="B1821" t="s">
        <v>2936</v>
      </c>
      <c r="C1821" t="s">
        <v>2937</v>
      </c>
      <c r="D1821" t="s">
        <v>222</v>
      </c>
      <c r="E1821" t="s">
        <v>30</v>
      </c>
      <c r="F1821" s="6">
        <v>45838</v>
      </c>
      <c r="G1821">
        <v>100</v>
      </c>
      <c r="H1821" t="s">
        <v>2944</v>
      </c>
      <c r="I1821">
        <v>1.1892</v>
      </c>
      <c r="J1821">
        <v>1.1892</v>
      </c>
      <c r="K1821" t="s">
        <v>102</v>
      </c>
      <c r="L1821" t="s">
        <v>2945</v>
      </c>
      <c r="M1821">
        <v>2025</v>
      </c>
      <c r="N1821" t="s">
        <v>44</v>
      </c>
      <c r="O1821" t="s">
        <v>244</v>
      </c>
      <c r="P1821">
        <v>2</v>
      </c>
      <c r="Q1821">
        <v>2</v>
      </c>
      <c r="R1821">
        <v>1</v>
      </c>
      <c r="S1821" t="s">
        <v>336</v>
      </c>
      <c r="T1821" t="s">
        <v>2946</v>
      </c>
      <c r="U1821">
        <v>30</v>
      </c>
    </row>
    <row r="1822" spans="1:21" x14ac:dyDescent="0.3">
      <c r="A1822" t="s">
        <v>2935</v>
      </c>
      <c r="B1822" t="s">
        <v>2936</v>
      </c>
      <c r="C1822" t="s">
        <v>2937</v>
      </c>
      <c r="D1822" t="s">
        <v>222</v>
      </c>
      <c r="E1822" t="s">
        <v>30</v>
      </c>
      <c r="F1822" s="6">
        <v>46022</v>
      </c>
      <c r="G1822">
        <v>100</v>
      </c>
      <c r="H1822" t="s">
        <v>2947</v>
      </c>
      <c r="I1822">
        <v>1.0889</v>
      </c>
      <c r="J1822">
        <v>1.0889</v>
      </c>
      <c r="K1822" t="s">
        <v>102</v>
      </c>
      <c r="L1822" t="s">
        <v>2948</v>
      </c>
      <c r="M1822">
        <v>2025</v>
      </c>
      <c r="N1822" t="s">
        <v>57</v>
      </c>
      <c r="O1822" t="s">
        <v>103</v>
      </c>
      <c r="P1822">
        <v>2</v>
      </c>
      <c r="Q1822">
        <v>2</v>
      </c>
      <c r="R1822">
        <v>1</v>
      </c>
      <c r="S1822" t="s">
        <v>336</v>
      </c>
      <c r="T1822" t="s">
        <v>2949</v>
      </c>
      <c r="U1822">
        <v>31</v>
      </c>
    </row>
    <row r="1823" spans="1:21" x14ac:dyDescent="0.3">
      <c r="A1823" t="s">
        <v>2950</v>
      </c>
      <c r="B1823" t="s">
        <v>2951</v>
      </c>
      <c r="C1823" t="s">
        <v>2937</v>
      </c>
      <c r="D1823" t="s">
        <v>222</v>
      </c>
      <c r="E1823" t="s">
        <v>30</v>
      </c>
      <c r="F1823" s="6">
        <v>45291</v>
      </c>
      <c r="G1823">
        <v>8782.5149999999994</v>
      </c>
      <c r="H1823">
        <v>12139.120171</v>
      </c>
      <c r="I1823">
        <v>1.3</v>
      </c>
      <c r="J1823">
        <v>1.3821917948332569</v>
      </c>
      <c r="K1823" t="s">
        <v>335</v>
      </c>
      <c r="L1823" t="s">
        <v>335</v>
      </c>
      <c r="M1823">
        <v>2023</v>
      </c>
      <c r="N1823" t="s">
        <v>57</v>
      </c>
      <c r="O1823" t="s">
        <v>47</v>
      </c>
      <c r="P1823">
        <v>0</v>
      </c>
      <c r="Q1823">
        <v>0</v>
      </c>
      <c r="R1823">
        <v>1</v>
      </c>
      <c r="S1823" t="s">
        <v>198</v>
      </c>
      <c r="T1823" t="s">
        <v>2952</v>
      </c>
      <c r="U1823">
        <v>1</v>
      </c>
    </row>
    <row r="1824" spans="1:21" x14ac:dyDescent="0.3">
      <c r="A1824" t="s">
        <v>2950</v>
      </c>
      <c r="B1824" t="s">
        <v>2951</v>
      </c>
      <c r="C1824" t="s">
        <v>2937</v>
      </c>
      <c r="D1824" t="s">
        <v>222</v>
      </c>
      <c r="E1824" t="s">
        <v>30</v>
      </c>
      <c r="F1824" s="6">
        <v>45473</v>
      </c>
      <c r="G1824">
        <v>5441.4588450000001</v>
      </c>
      <c r="H1824">
        <v>6182.8620629999996</v>
      </c>
      <c r="I1824">
        <v>1.1362508178631641</v>
      </c>
      <c r="J1824">
        <v>1.1362508178631641</v>
      </c>
      <c r="K1824" t="s">
        <v>335</v>
      </c>
      <c r="L1824" t="s">
        <v>335</v>
      </c>
      <c r="M1824">
        <v>2024</v>
      </c>
      <c r="N1824" t="s">
        <v>44</v>
      </c>
      <c r="O1824" t="s">
        <v>71</v>
      </c>
      <c r="P1824">
        <v>0</v>
      </c>
      <c r="Q1824">
        <v>0</v>
      </c>
      <c r="R1824">
        <v>1</v>
      </c>
      <c r="S1824" t="s">
        <v>198</v>
      </c>
      <c r="T1824" t="s">
        <v>2953</v>
      </c>
      <c r="U1824">
        <v>1</v>
      </c>
    </row>
    <row r="1825" spans="1:21" x14ac:dyDescent="0.3">
      <c r="A1825" t="s">
        <v>2950</v>
      </c>
      <c r="B1825" t="s">
        <v>2951</v>
      </c>
      <c r="C1825" t="s">
        <v>2937</v>
      </c>
      <c r="D1825" t="s">
        <v>222</v>
      </c>
      <c r="E1825" t="s">
        <v>30</v>
      </c>
      <c r="F1825" s="6">
        <v>45657</v>
      </c>
      <c r="G1825">
        <v>10066.034255</v>
      </c>
      <c r="H1825">
        <v>7550.5316910000001</v>
      </c>
      <c r="I1825">
        <v>0.75009994002846747</v>
      </c>
      <c r="J1825">
        <v>0.75009994002846747</v>
      </c>
      <c r="K1825" t="s">
        <v>335</v>
      </c>
      <c r="L1825" t="s">
        <v>335</v>
      </c>
      <c r="M1825">
        <v>2024</v>
      </c>
      <c r="N1825" t="s">
        <v>57</v>
      </c>
      <c r="O1825" t="s">
        <v>78</v>
      </c>
      <c r="P1825">
        <v>0</v>
      </c>
      <c r="Q1825">
        <v>0</v>
      </c>
      <c r="R1825">
        <v>0</v>
      </c>
      <c r="S1825" t="s">
        <v>198</v>
      </c>
      <c r="T1825" t="s">
        <v>2954</v>
      </c>
      <c r="U1825">
        <v>1</v>
      </c>
    </row>
    <row r="1826" spans="1:21" x14ac:dyDescent="0.3">
      <c r="A1826" t="s">
        <v>2950</v>
      </c>
      <c r="B1826" t="s">
        <v>2951</v>
      </c>
      <c r="C1826" t="s">
        <v>2937</v>
      </c>
      <c r="D1826" t="s">
        <v>222</v>
      </c>
      <c r="E1826" t="s">
        <v>30</v>
      </c>
      <c r="F1826" s="6">
        <v>45838</v>
      </c>
      <c r="G1826">
        <v>100</v>
      </c>
      <c r="H1826" t="s">
        <v>2944</v>
      </c>
      <c r="I1826">
        <v>1.1892</v>
      </c>
      <c r="J1826">
        <v>1.1892</v>
      </c>
      <c r="K1826" t="s">
        <v>102</v>
      </c>
      <c r="L1826" t="s">
        <v>2945</v>
      </c>
      <c r="M1826">
        <v>2025</v>
      </c>
      <c r="N1826" t="s">
        <v>44</v>
      </c>
      <c r="O1826" t="s">
        <v>244</v>
      </c>
      <c r="P1826">
        <v>2</v>
      </c>
      <c r="Q1826">
        <v>2</v>
      </c>
      <c r="R1826">
        <v>0</v>
      </c>
      <c r="S1826" t="s">
        <v>336</v>
      </c>
      <c r="T1826" t="s">
        <v>2955</v>
      </c>
      <c r="U1826">
        <v>30</v>
      </c>
    </row>
    <row r="1827" spans="1:21" x14ac:dyDescent="0.3">
      <c r="A1827" t="s">
        <v>2950</v>
      </c>
      <c r="B1827" t="s">
        <v>2951</v>
      </c>
      <c r="C1827" t="s">
        <v>2937</v>
      </c>
      <c r="D1827" t="s">
        <v>222</v>
      </c>
      <c r="E1827" t="s">
        <v>30</v>
      </c>
      <c r="F1827" s="6">
        <v>46022</v>
      </c>
      <c r="G1827">
        <v>100</v>
      </c>
      <c r="H1827" t="s">
        <v>2956</v>
      </c>
      <c r="I1827">
        <v>1.0653999999999999</v>
      </c>
      <c r="J1827">
        <v>1.0653999999999999</v>
      </c>
      <c r="K1827" t="s">
        <v>102</v>
      </c>
      <c r="L1827" t="s">
        <v>2957</v>
      </c>
      <c r="M1827">
        <v>2025</v>
      </c>
      <c r="N1827" t="s">
        <v>57</v>
      </c>
      <c r="O1827" t="s">
        <v>103</v>
      </c>
      <c r="P1827">
        <v>2</v>
      </c>
      <c r="Q1827">
        <v>2</v>
      </c>
      <c r="R1827">
        <v>0</v>
      </c>
      <c r="S1827" t="s">
        <v>336</v>
      </c>
      <c r="T1827" t="s">
        <v>2958</v>
      </c>
      <c r="U1827">
        <v>31</v>
      </c>
    </row>
    <row r="1828" spans="1:21" x14ac:dyDescent="0.3">
      <c r="A1828" t="s">
        <v>2959</v>
      </c>
      <c r="B1828" t="s">
        <v>2960</v>
      </c>
      <c r="C1828" t="s">
        <v>2937</v>
      </c>
      <c r="D1828" t="s">
        <v>222</v>
      </c>
      <c r="E1828" t="s">
        <v>30</v>
      </c>
      <c r="F1828" s="6">
        <v>45291</v>
      </c>
      <c r="G1828">
        <v>1357.778</v>
      </c>
      <c r="H1828">
        <v>3779.9283479999999</v>
      </c>
      <c r="I1828">
        <v>1.3</v>
      </c>
      <c r="J1828">
        <v>2.7839074929774972</v>
      </c>
      <c r="K1828" t="s">
        <v>335</v>
      </c>
      <c r="L1828" t="s">
        <v>335</v>
      </c>
      <c r="M1828">
        <v>2023</v>
      </c>
      <c r="N1828" t="s">
        <v>57</v>
      </c>
      <c r="O1828" t="s">
        <v>47</v>
      </c>
      <c r="P1828">
        <v>0</v>
      </c>
      <c r="Q1828">
        <v>0</v>
      </c>
      <c r="R1828">
        <v>1</v>
      </c>
      <c r="S1828" t="s">
        <v>198</v>
      </c>
      <c r="T1828" t="s">
        <v>2961</v>
      </c>
      <c r="U1828">
        <v>1</v>
      </c>
    </row>
    <row r="1829" spans="1:21" x14ac:dyDescent="0.3">
      <c r="A1829" t="s">
        <v>2959</v>
      </c>
      <c r="B1829" t="s">
        <v>2960</v>
      </c>
      <c r="C1829" t="s">
        <v>2937</v>
      </c>
      <c r="D1829" t="s">
        <v>222</v>
      </c>
      <c r="E1829" t="s">
        <v>30</v>
      </c>
      <c r="F1829" s="6">
        <v>45473</v>
      </c>
      <c r="G1829">
        <v>817.70707000000004</v>
      </c>
      <c r="H1829">
        <v>1076.3764839999999</v>
      </c>
      <c r="I1829">
        <v>1.3</v>
      </c>
      <c r="J1829">
        <v>1.3163350587148519</v>
      </c>
      <c r="K1829" t="s">
        <v>335</v>
      </c>
      <c r="L1829" t="s">
        <v>335</v>
      </c>
      <c r="M1829">
        <v>2024</v>
      </c>
      <c r="N1829" t="s">
        <v>44</v>
      </c>
      <c r="O1829" t="s">
        <v>71</v>
      </c>
      <c r="P1829">
        <v>0</v>
      </c>
      <c r="Q1829">
        <v>0</v>
      </c>
      <c r="R1829">
        <v>1</v>
      </c>
      <c r="S1829" t="s">
        <v>198</v>
      </c>
      <c r="T1829" t="s">
        <v>2962</v>
      </c>
      <c r="U1829">
        <v>1</v>
      </c>
    </row>
    <row r="1830" spans="1:21" x14ac:dyDescent="0.3">
      <c r="A1830" t="s">
        <v>2959</v>
      </c>
      <c r="B1830" t="s">
        <v>2960</v>
      </c>
      <c r="C1830" t="s">
        <v>2937</v>
      </c>
      <c r="D1830" t="s">
        <v>222</v>
      </c>
      <c r="E1830" t="s">
        <v>30</v>
      </c>
      <c r="F1830" s="6">
        <v>45657</v>
      </c>
      <c r="G1830">
        <v>3424.207396199999</v>
      </c>
      <c r="H1830">
        <v>4694.2130900000002</v>
      </c>
      <c r="I1830">
        <v>1.3</v>
      </c>
      <c r="J1830">
        <v>1.3708904125402519</v>
      </c>
      <c r="K1830" t="s">
        <v>335</v>
      </c>
      <c r="L1830" t="s">
        <v>335</v>
      </c>
      <c r="M1830">
        <v>2024</v>
      </c>
      <c r="N1830" t="s">
        <v>57</v>
      </c>
      <c r="O1830" t="s">
        <v>78</v>
      </c>
      <c r="P1830">
        <v>0</v>
      </c>
      <c r="Q1830">
        <v>0</v>
      </c>
      <c r="R1830">
        <v>1</v>
      </c>
      <c r="S1830" t="s">
        <v>198</v>
      </c>
      <c r="T1830" t="s">
        <v>2963</v>
      </c>
      <c r="U1830">
        <v>0</v>
      </c>
    </row>
    <row r="1831" spans="1:21" x14ac:dyDescent="0.3">
      <c r="A1831" t="s">
        <v>2959</v>
      </c>
      <c r="B1831" t="s">
        <v>2960</v>
      </c>
      <c r="C1831" t="s">
        <v>2937</v>
      </c>
      <c r="D1831" t="s">
        <v>222</v>
      </c>
      <c r="E1831" t="s">
        <v>30</v>
      </c>
      <c r="F1831" s="6">
        <v>45838</v>
      </c>
      <c r="G1831">
        <v>1392.56187</v>
      </c>
      <c r="H1831">
        <v>1610.582185</v>
      </c>
      <c r="I1831">
        <v>1.1565605950419999</v>
      </c>
      <c r="J1831">
        <v>1.1565605950419999</v>
      </c>
      <c r="K1831" t="s">
        <v>335</v>
      </c>
      <c r="L1831" t="s">
        <v>335</v>
      </c>
      <c r="M1831">
        <v>2025</v>
      </c>
      <c r="N1831" t="s">
        <v>44</v>
      </c>
      <c r="O1831" t="s">
        <v>244</v>
      </c>
      <c r="P1831">
        <v>0</v>
      </c>
      <c r="Q1831">
        <v>0</v>
      </c>
      <c r="R1831">
        <v>1</v>
      </c>
      <c r="S1831" t="s">
        <v>198</v>
      </c>
      <c r="T1831" t="s">
        <v>2964</v>
      </c>
      <c r="U1831">
        <v>0</v>
      </c>
    </row>
    <row r="1832" spans="1:21" x14ac:dyDescent="0.3">
      <c r="A1832" t="s">
        <v>2965</v>
      </c>
      <c r="B1832" t="s">
        <v>2966</v>
      </c>
      <c r="C1832" t="s">
        <v>2937</v>
      </c>
      <c r="D1832" t="s">
        <v>222</v>
      </c>
      <c r="E1832" t="s">
        <v>30</v>
      </c>
      <c r="F1832" s="6">
        <v>45291</v>
      </c>
      <c r="G1832">
        <v>7082.0029999999997</v>
      </c>
      <c r="H1832">
        <v>9868.4183170000015</v>
      </c>
      <c r="I1832">
        <v>1.3</v>
      </c>
      <c r="J1832">
        <v>1.393450174618678</v>
      </c>
      <c r="K1832" t="s">
        <v>335</v>
      </c>
      <c r="L1832" t="s">
        <v>335</v>
      </c>
      <c r="M1832">
        <v>2023</v>
      </c>
      <c r="N1832" t="s">
        <v>57</v>
      </c>
      <c r="O1832" t="s">
        <v>47</v>
      </c>
      <c r="P1832">
        <v>0</v>
      </c>
      <c r="Q1832">
        <v>0</v>
      </c>
      <c r="R1832">
        <v>1</v>
      </c>
      <c r="S1832" t="s">
        <v>198</v>
      </c>
      <c r="T1832" t="s">
        <v>2967</v>
      </c>
      <c r="U1832">
        <v>1</v>
      </c>
    </row>
    <row r="1833" spans="1:21" x14ac:dyDescent="0.3">
      <c r="A1833" t="s">
        <v>2965</v>
      </c>
      <c r="B1833" t="s">
        <v>2966</v>
      </c>
      <c r="C1833" t="s">
        <v>2937</v>
      </c>
      <c r="D1833" t="s">
        <v>222</v>
      </c>
      <c r="E1833" t="s">
        <v>30</v>
      </c>
      <c r="F1833" s="6">
        <v>45473</v>
      </c>
      <c r="G1833">
        <v>2674.9657400000001</v>
      </c>
      <c r="H1833">
        <v>2915.5557789999998</v>
      </c>
      <c r="I1833">
        <v>1.089941353417109</v>
      </c>
      <c r="J1833">
        <v>1.089941353417109</v>
      </c>
      <c r="K1833" t="s">
        <v>335</v>
      </c>
      <c r="L1833" t="s">
        <v>335</v>
      </c>
      <c r="M1833">
        <v>2024</v>
      </c>
      <c r="N1833" t="s">
        <v>44</v>
      </c>
      <c r="O1833" t="s">
        <v>71</v>
      </c>
      <c r="P1833">
        <v>0</v>
      </c>
      <c r="Q1833">
        <v>0</v>
      </c>
      <c r="R1833">
        <v>1</v>
      </c>
      <c r="S1833" t="s">
        <v>198</v>
      </c>
      <c r="T1833" t="s">
        <v>2968</v>
      </c>
      <c r="U1833">
        <v>1</v>
      </c>
    </row>
    <row r="1834" spans="1:21" x14ac:dyDescent="0.3">
      <c r="A1834" t="s">
        <v>2965</v>
      </c>
      <c r="B1834" t="s">
        <v>2966</v>
      </c>
      <c r="C1834" t="s">
        <v>2937</v>
      </c>
      <c r="D1834" t="s">
        <v>222</v>
      </c>
      <c r="E1834" t="s">
        <v>30</v>
      </c>
      <c r="F1834" s="6">
        <v>45657</v>
      </c>
      <c r="G1834">
        <v>7711.1257611000001</v>
      </c>
      <c r="H1834">
        <v>4170.686009</v>
      </c>
      <c r="I1834">
        <v>0.54086603411912804</v>
      </c>
      <c r="J1834">
        <v>0.54086603411912804</v>
      </c>
      <c r="K1834" t="s">
        <v>335</v>
      </c>
      <c r="L1834" t="s">
        <v>335</v>
      </c>
      <c r="M1834">
        <v>2024</v>
      </c>
      <c r="N1834" t="s">
        <v>57</v>
      </c>
      <c r="O1834" t="s">
        <v>78</v>
      </c>
      <c r="P1834">
        <v>0</v>
      </c>
      <c r="Q1834">
        <v>0</v>
      </c>
      <c r="R1834">
        <v>1</v>
      </c>
      <c r="S1834" t="s">
        <v>198</v>
      </c>
      <c r="T1834" t="s">
        <v>2969</v>
      </c>
      <c r="U1834">
        <v>0</v>
      </c>
    </row>
    <row r="1835" spans="1:21" x14ac:dyDescent="0.3">
      <c r="A1835" t="s">
        <v>2965</v>
      </c>
      <c r="B1835" t="s">
        <v>2966</v>
      </c>
      <c r="C1835" t="s">
        <v>2937</v>
      </c>
      <c r="D1835" t="s">
        <v>222</v>
      </c>
      <c r="E1835" t="s">
        <v>30</v>
      </c>
      <c r="F1835" s="6">
        <v>45838</v>
      </c>
      <c r="G1835">
        <v>2655.6515559999998</v>
      </c>
      <c r="H1835">
        <v>3358.9061839999999</v>
      </c>
      <c r="I1835">
        <v>1.264814345244621</v>
      </c>
      <c r="J1835">
        <v>1.264814345244621</v>
      </c>
      <c r="K1835" t="s">
        <v>335</v>
      </c>
      <c r="L1835" t="s">
        <v>335</v>
      </c>
      <c r="M1835">
        <v>2025</v>
      </c>
      <c r="N1835" t="s">
        <v>44</v>
      </c>
      <c r="O1835" t="s">
        <v>244</v>
      </c>
      <c r="P1835">
        <v>0</v>
      </c>
      <c r="Q1835">
        <v>0</v>
      </c>
      <c r="R1835">
        <v>1</v>
      </c>
      <c r="S1835" t="s">
        <v>198</v>
      </c>
      <c r="T1835" t="s">
        <v>2970</v>
      </c>
      <c r="U1835">
        <v>0</v>
      </c>
    </row>
    <row r="1836" spans="1:21" x14ac:dyDescent="0.3">
      <c r="A1836" t="s">
        <v>2971</v>
      </c>
      <c r="B1836" t="s">
        <v>2972</v>
      </c>
      <c r="C1836" t="s">
        <v>2937</v>
      </c>
      <c r="D1836" t="s">
        <v>222</v>
      </c>
      <c r="E1836" t="s">
        <v>30</v>
      </c>
      <c r="F1836" s="6">
        <v>45291</v>
      </c>
      <c r="G1836">
        <v>5657.94</v>
      </c>
      <c r="H1836">
        <v>4048.733862</v>
      </c>
      <c r="I1836">
        <v>0.71558444628256934</v>
      </c>
      <c r="J1836">
        <v>0.71558444628256934</v>
      </c>
      <c r="K1836" t="s">
        <v>335</v>
      </c>
      <c r="L1836" t="s">
        <v>335</v>
      </c>
      <c r="M1836">
        <v>2023</v>
      </c>
      <c r="N1836" t="s">
        <v>57</v>
      </c>
      <c r="O1836" t="s">
        <v>47</v>
      </c>
      <c r="P1836">
        <v>0</v>
      </c>
      <c r="Q1836">
        <v>0</v>
      </c>
      <c r="R1836">
        <v>1</v>
      </c>
      <c r="S1836" t="s">
        <v>198</v>
      </c>
      <c r="T1836" t="s">
        <v>2973</v>
      </c>
      <c r="U1836">
        <v>1</v>
      </c>
    </row>
    <row r="1837" spans="1:21" x14ac:dyDescent="0.3">
      <c r="A1837" t="s">
        <v>2971</v>
      </c>
      <c r="B1837" t="s">
        <v>2972</v>
      </c>
      <c r="C1837" t="s">
        <v>2937</v>
      </c>
      <c r="D1837" t="s">
        <v>222</v>
      </c>
      <c r="E1837" t="s">
        <v>30</v>
      </c>
      <c r="F1837" s="6">
        <v>45473</v>
      </c>
      <c r="G1837">
        <v>1948.7860350000001</v>
      </c>
      <c r="H1837">
        <v>2190.9297999999999</v>
      </c>
      <c r="I1837">
        <v>1.1242536433713719</v>
      </c>
      <c r="J1837">
        <v>1.1242536433713719</v>
      </c>
      <c r="K1837" t="s">
        <v>335</v>
      </c>
      <c r="L1837" t="s">
        <v>335</v>
      </c>
      <c r="M1837">
        <v>2024</v>
      </c>
      <c r="N1837" t="s">
        <v>44</v>
      </c>
      <c r="O1837" t="s">
        <v>71</v>
      </c>
      <c r="P1837">
        <v>0</v>
      </c>
      <c r="Q1837">
        <v>0</v>
      </c>
      <c r="R1837">
        <v>1</v>
      </c>
      <c r="S1837" t="s">
        <v>198</v>
      </c>
      <c r="T1837" t="s">
        <v>2974</v>
      </c>
      <c r="U1837">
        <v>1</v>
      </c>
    </row>
    <row r="1838" spans="1:21" x14ac:dyDescent="0.3">
      <c r="A1838" t="s">
        <v>2971</v>
      </c>
      <c r="B1838" t="s">
        <v>2972</v>
      </c>
      <c r="C1838" t="s">
        <v>2937</v>
      </c>
      <c r="D1838" t="s">
        <v>222</v>
      </c>
      <c r="E1838" t="s">
        <v>30</v>
      </c>
      <c r="F1838" s="6">
        <v>45657</v>
      </c>
      <c r="G1838">
        <v>4372.1599426999992</v>
      </c>
      <c r="H1838">
        <v>4378.2397499999997</v>
      </c>
      <c r="I1838">
        <v>1.0013905729387029</v>
      </c>
      <c r="J1838">
        <v>1.0013905729387029</v>
      </c>
      <c r="K1838" t="s">
        <v>335</v>
      </c>
      <c r="L1838" t="s">
        <v>335</v>
      </c>
      <c r="M1838">
        <v>2024</v>
      </c>
      <c r="N1838" t="s">
        <v>57</v>
      </c>
      <c r="O1838" t="s">
        <v>78</v>
      </c>
      <c r="P1838">
        <v>0</v>
      </c>
      <c r="Q1838">
        <v>0</v>
      </c>
      <c r="R1838">
        <v>1</v>
      </c>
      <c r="S1838" t="s">
        <v>198</v>
      </c>
      <c r="T1838" t="s">
        <v>2975</v>
      </c>
      <c r="U1838">
        <v>0</v>
      </c>
    </row>
    <row r="1839" spans="1:21" x14ac:dyDescent="0.3">
      <c r="A1839" t="s">
        <v>2971</v>
      </c>
      <c r="B1839" t="s">
        <v>2972</v>
      </c>
      <c r="C1839" t="s">
        <v>2937</v>
      </c>
      <c r="D1839" t="s">
        <v>222</v>
      </c>
      <c r="E1839" t="s">
        <v>30</v>
      </c>
      <c r="F1839" s="6">
        <v>45838</v>
      </c>
      <c r="G1839">
        <v>2797.6638859999998</v>
      </c>
      <c r="H1839">
        <v>3821.45975</v>
      </c>
      <c r="I1839">
        <v>1.3</v>
      </c>
      <c r="J1839">
        <v>1.365946699002426</v>
      </c>
      <c r="K1839" t="s">
        <v>335</v>
      </c>
      <c r="L1839" t="s">
        <v>335</v>
      </c>
      <c r="M1839">
        <v>2025</v>
      </c>
      <c r="N1839" t="s">
        <v>44</v>
      </c>
      <c r="O1839" t="s">
        <v>244</v>
      </c>
      <c r="P1839">
        <v>0</v>
      </c>
      <c r="Q1839">
        <v>0</v>
      </c>
      <c r="R1839">
        <v>1</v>
      </c>
      <c r="S1839" t="s">
        <v>198</v>
      </c>
      <c r="T1839" t="s">
        <v>2976</v>
      </c>
      <c r="U1839">
        <v>0</v>
      </c>
    </row>
    <row r="1840" spans="1:21" x14ac:dyDescent="0.3">
      <c r="A1840" t="s">
        <v>2977</v>
      </c>
      <c r="B1840" t="s">
        <v>2978</v>
      </c>
      <c r="C1840" t="s">
        <v>28</v>
      </c>
      <c r="D1840" t="s">
        <v>222</v>
      </c>
      <c r="E1840" t="s">
        <v>30</v>
      </c>
      <c r="F1840" s="6">
        <v>45107</v>
      </c>
      <c r="G1840">
        <v>38</v>
      </c>
      <c r="H1840">
        <v>38</v>
      </c>
      <c r="I1840">
        <v>1</v>
      </c>
      <c r="J1840">
        <v>1</v>
      </c>
      <c r="K1840" t="s">
        <v>335</v>
      </c>
      <c r="L1840" t="s">
        <v>335</v>
      </c>
      <c r="M1840">
        <v>2023</v>
      </c>
      <c r="N1840" t="s">
        <v>44</v>
      </c>
      <c r="O1840" t="s">
        <v>33</v>
      </c>
      <c r="P1840">
        <v>0</v>
      </c>
      <c r="Q1840">
        <v>0</v>
      </c>
      <c r="R1840">
        <v>0</v>
      </c>
      <c r="S1840" t="s">
        <v>34</v>
      </c>
      <c r="T1840" t="s">
        <v>2979</v>
      </c>
      <c r="U1840">
        <v>1</v>
      </c>
    </row>
    <row r="1841" spans="1:21" x14ac:dyDescent="0.3">
      <c r="A1841" t="s">
        <v>2977</v>
      </c>
      <c r="B1841" t="s">
        <v>2978</v>
      </c>
      <c r="C1841" t="s">
        <v>28</v>
      </c>
      <c r="D1841" t="s">
        <v>222</v>
      </c>
      <c r="E1841" t="s">
        <v>30</v>
      </c>
      <c r="F1841" s="6">
        <v>45291</v>
      </c>
      <c r="G1841">
        <v>0</v>
      </c>
      <c r="H1841">
        <v>0</v>
      </c>
      <c r="K1841" t="s">
        <v>335</v>
      </c>
      <c r="L1841" t="s">
        <v>335</v>
      </c>
      <c r="M1841">
        <v>2023</v>
      </c>
      <c r="N1841" t="s">
        <v>57</v>
      </c>
      <c r="O1841" t="s">
        <v>47</v>
      </c>
      <c r="P1841">
        <v>0</v>
      </c>
      <c r="Q1841">
        <v>0</v>
      </c>
      <c r="R1841">
        <v>0</v>
      </c>
      <c r="S1841" t="s">
        <v>34</v>
      </c>
      <c r="T1841" t="s">
        <v>2980</v>
      </c>
      <c r="U1841">
        <v>1</v>
      </c>
    </row>
    <row r="1842" spans="1:21" x14ac:dyDescent="0.3">
      <c r="A1842" t="s">
        <v>2981</v>
      </c>
      <c r="B1842" t="s">
        <v>2982</v>
      </c>
      <c r="C1842" t="s">
        <v>28</v>
      </c>
      <c r="D1842" t="s">
        <v>222</v>
      </c>
      <c r="E1842" t="s">
        <v>30</v>
      </c>
      <c r="F1842" s="6">
        <v>45107</v>
      </c>
      <c r="G1842">
        <v>77</v>
      </c>
      <c r="H1842">
        <v>77</v>
      </c>
      <c r="I1842">
        <v>1</v>
      </c>
      <c r="J1842">
        <v>1</v>
      </c>
      <c r="K1842" t="s">
        <v>335</v>
      </c>
      <c r="L1842" t="s">
        <v>335</v>
      </c>
      <c r="M1842">
        <v>2023</v>
      </c>
      <c r="N1842" t="s">
        <v>44</v>
      </c>
      <c r="O1842" t="s">
        <v>33</v>
      </c>
      <c r="P1842">
        <v>0</v>
      </c>
      <c r="Q1842">
        <v>0</v>
      </c>
      <c r="R1842">
        <v>0</v>
      </c>
      <c r="S1842" t="s">
        <v>34</v>
      </c>
      <c r="T1842" t="s">
        <v>2983</v>
      </c>
      <c r="U1842">
        <v>1</v>
      </c>
    </row>
    <row r="1843" spans="1:21" x14ac:dyDescent="0.3">
      <c r="A1843" t="s">
        <v>2981</v>
      </c>
      <c r="B1843" t="s">
        <v>2982</v>
      </c>
      <c r="C1843" t="s">
        <v>28</v>
      </c>
      <c r="D1843" t="s">
        <v>222</v>
      </c>
      <c r="E1843" t="s">
        <v>30</v>
      </c>
      <c r="F1843" s="6">
        <v>45291</v>
      </c>
      <c r="G1843">
        <v>16</v>
      </c>
      <c r="H1843">
        <v>16</v>
      </c>
      <c r="I1843">
        <v>1</v>
      </c>
      <c r="J1843">
        <v>1</v>
      </c>
      <c r="K1843" t="s">
        <v>335</v>
      </c>
      <c r="L1843" t="s">
        <v>335</v>
      </c>
      <c r="M1843">
        <v>2023</v>
      </c>
      <c r="N1843" t="s">
        <v>57</v>
      </c>
      <c r="O1843" t="s">
        <v>47</v>
      </c>
      <c r="P1843">
        <v>0</v>
      </c>
      <c r="Q1843">
        <v>0</v>
      </c>
      <c r="R1843">
        <v>0</v>
      </c>
      <c r="S1843" t="s">
        <v>34</v>
      </c>
      <c r="T1843" t="s">
        <v>2984</v>
      </c>
      <c r="U1843">
        <v>1</v>
      </c>
    </row>
    <row r="1844" spans="1:21" x14ac:dyDescent="0.3">
      <c r="A1844" t="s">
        <v>2985</v>
      </c>
      <c r="B1844" t="s">
        <v>2986</v>
      </c>
      <c r="C1844" t="s">
        <v>730</v>
      </c>
      <c r="D1844" t="s">
        <v>222</v>
      </c>
      <c r="E1844" t="s">
        <v>30</v>
      </c>
      <c r="F1844" s="6">
        <v>45107</v>
      </c>
      <c r="G1844">
        <v>91</v>
      </c>
      <c r="H1844">
        <v>84.783333333333303</v>
      </c>
      <c r="I1844">
        <v>0.93168498168498137</v>
      </c>
      <c r="J1844">
        <v>0.93168498168498137</v>
      </c>
      <c r="K1844" t="s">
        <v>335</v>
      </c>
      <c r="L1844" t="s">
        <v>335</v>
      </c>
      <c r="M1844">
        <v>2023</v>
      </c>
      <c r="N1844" t="s">
        <v>44</v>
      </c>
      <c r="O1844" t="s">
        <v>33</v>
      </c>
      <c r="P1844">
        <v>0</v>
      </c>
      <c r="Q1844">
        <v>0</v>
      </c>
      <c r="R1844">
        <v>0</v>
      </c>
      <c r="S1844" t="s">
        <v>130</v>
      </c>
      <c r="T1844" t="s">
        <v>2987</v>
      </c>
      <c r="U1844">
        <v>1</v>
      </c>
    </row>
    <row r="1845" spans="1:21" x14ac:dyDescent="0.3">
      <c r="A1845" t="s">
        <v>2985</v>
      </c>
      <c r="B1845" t="s">
        <v>2986</v>
      </c>
      <c r="C1845" t="s">
        <v>730</v>
      </c>
      <c r="D1845" t="s">
        <v>222</v>
      </c>
      <c r="E1845" t="s">
        <v>30</v>
      </c>
      <c r="F1845" s="6">
        <v>45291</v>
      </c>
      <c r="G1845">
        <v>91</v>
      </c>
      <c r="H1845">
        <v>85.42</v>
      </c>
      <c r="I1845">
        <v>0.93868131868131865</v>
      </c>
      <c r="J1845">
        <v>0.93868131868131865</v>
      </c>
      <c r="K1845" t="s">
        <v>335</v>
      </c>
      <c r="L1845" t="s">
        <v>335</v>
      </c>
      <c r="M1845">
        <v>2023</v>
      </c>
      <c r="N1845" t="s">
        <v>57</v>
      </c>
      <c r="O1845" t="s">
        <v>47</v>
      </c>
      <c r="P1845">
        <v>0</v>
      </c>
      <c r="Q1845">
        <v>0</v>
      </c>
      <c r="R1845">
        <v>0</v>
      </c>
      <c r="S1845" t="s">
        <v>130</v>
      </c>
      <c r="T1845" t="s">
        <v>2988</v>
      </c>
      <c r="U1845">
        <v>1</v>
      </c>
    </row>
    <row r="1846" spans="1:21" x14ac:dyDescent="0.3">
      <c r="A1846" t="s">
        <v>2985</v>
      </c>
      <c r="B1846" t="s">
        <v>2986</v>
      </c>
      <c r="C1846" t="s">
        <v>730</v>
      </c>
      <c r="D1846" t="s">
        <v>222</v>
      </c>
      <c r="E1846" t="s">
        <v>30</v>
      </c>
      <c r="F1846" s="6">
        <v>45473</v>
      </c>
      <c r="G1846">
        <v>85</v>
      </c>
      <c r="H1846">
        <v>84.433333333333294</v>
      </c>
      <c r="I1846">
        <v>0.99333333333333285</v>
      </c>
      <c r="J1846">
        <v>0.99333333333333285</v>
      </c>
      <c r="K1846" t="s">
        <v>31</v>
      </c>
      <c r="L1846" t="s">
        <v>31</v>
      </c>
      <c r="M1846">
        <v>2024</v>
      </c>
      <c r="N1846" t="s">
        <v>44</v>
      </c>
      <c r="O1846" t="s">
        <v>71</v>
      </c>
      <c r="P1846">
        <v>0</v>
      </c>
      <c r="Q1846">
        <v>0</v>
      </c>
      <c r="R1846">
        <v>0</v>
      </c>
      <c r="S1846" t="s">
        <v>130</v>
      </c>
      <c r="T1846" t="s">
        <v>2989</v>
      </c>
      <c r="U1846">
        <v>1</v>
      </c>
    </row>
    <row r="1847" spans="1:21" x14ac:dyDescent="0.3">
      <c r="A1847" t="s">
        <v>2985</v>
      </c>
      <c r="B1847" t="s">
        <v>2986</v>
      </c>
      <c r="C1847" t="s">
        <v>730</v>
      </c>
      <c r="D1847" t="s">
        <v>222</v>
      </c>
      <c r="E1847" t="s">
        <v>30</v>
      </c>
      <c r="F1847" s="6">
        <v>45657</v>
      </c>
      <c r="G1847">
        <v>85</v>
      </c>
      <c r="H1847">
        <v>0</v>
      </c>
      <c r="I1847">
        <v>0</v>
      </c>
      <c r="J1847">
        <v>0</v>
      </c>
      <c r="K1847" t="s">
        <v>31</v>
      </c>
      <c r="L1847" t="s">
        <v>31</v>
      </c>
      <c r="M1847">
        <v>2024</v>
      </c>
      <c r="N1847" t="s">
        <v>57</v>
      </c>
      <c r="O1847" t="s">
        <v>78</v>
      </c>
      <c r="P1847">
        <v>0</v>
      </c>
      <c r="Q1847">
        <v>0</v>
      </c>
      <c r="R1847">
        <v>0</v>
      </c>
      <c r="S1847" t="s">
        <v>130</v>
      </c>
      <c r="T1847" t="s">
        <v>2990</v>
      </c>
      <c r="U1847">
        <v>1</v>
      </c>
    </row>
    <row r="1848" spans="1:21" x14ac:dyDescent="0.3">
      <c r="A1848" t="s">
        <v>2985</v>
      </c>
      <c r="B1848" t="s">
        <v>2986</v>
      </c>
      <c r="C1848" t="s">
        <v>2991</v>
      </c>
      <c r="D1848" t="s">
        <v>222</v>
      </c>
      <c r="E1848" t="s">
        <v>30</v>
      </c>
      <c r="F1848" s="6">
        <v>45838</v>
      </c>
      <c r="H1848" t="s">
        <v>121</v>
      </c>
      <c r="I1848">
        <v>0</v>
      </c>
      <c r="J1848">
        <v>0</v>
      </c>
      <c r="L1848" t="s">
        <v>122</v>
      </c>
      <c r="M1848">
        <v>2025</v>
      </c>
      <c r="N1848" t="s">
        <v>44</v>
      </c>
      <c r="O1848" t="s">
        <v>244</v>
      </c>
      <c r="P1848">
        <v>2</v>
      </c>
      <c r="Q1848">
        <v>2</v>
      </c>
      <c r="R1848">
        <v>0</v>
      </c>
      <c r="S1848" t="s">
        <v>130</v>
      </c>
      <c r="T1848" t="s">
        <v>2992</v>
      </c>
      <c r="U1848">
        <v>30</v>
      </c>
    </row>
    <row r="1849" spans="1:21" x14ac:dyDescent="0.3">
      <c r="A1849" t="s">
        <v>2993</v>
      </c>
      <c r="B1849" t="s">
        <v>2994</v>
      </c>
      <c r="C1849" t="s">
        <v>129</v>
      </c>
      <c r="D1849" t="s">
        <v>233</v>
      </c>
      <c r="E1849" t="s">
        <v>30</v>
      </c>
      <c r="F1849" s="6">
        <v>45107</v>
      </c>
      <c r="G1849">
        <v>100</v>
      </c>
      <c r="H1849">
        <v>110.38</v>
      </c>
      <c r="I1849">
        <v>1.1037999999999999</v>
      </c>
      <c r="J1849">
        <v>1.1037999999999999</v>
      </c>
      <c r="K1849" t="s">
        <v>31</v>
      </c>
      <c r="L1849" t="s">
        <v>31</v>
      </c>
      <c r="M1849">
        <v>2023</v>
      </c>
      <c r="N1849" t="s">
        <v>44</v>
      </c>
      <c r="O1849" t="s">
        <v>33</v>
      </c>
      <c r="P1849">
        <v>0</v>
      </c>
      <c r="Q1849">
        <v>0</v>
      </c>
      <c r="R1849">
        <v>0</v>
      </c>
      <c r="S1849" t="s">
        <v>99</v>
      </c>
      <c r="T1849" t="s">
        <v>2995</v>
      </c>
      <c r="U1849">
        <v>1</v>
      </c>
    </row>
    <row r="1850" spans="1:21" x14ac:dyDescent="0.3">
      <c r="A1850" t="s">
        <v>2993</v>
      </c>
      <c r="B1850" t="s">
        <v>2994</v>
      </c>
      <c r="C1850" t="s">
        <v>129</v>
      </c>
      <c r="D1850" t="s">
        <v>233</v>
      </c>
      <c r="E1850" t="s">
        <v>30</v>
      </c>
      <c r="F1850" s="6">
        <v>45199</v>
      </c>
      <c r="G1850">
        <v>100</v>
      </c>
      <c r="H1850">
        <v>95.34</v>
      </c>
      <c r="I1850">
        <v>0.95340000000000003</v>
      </c>
      <c r="J1850">
        <v>0.95340000000000003</v>
      </c>
      <c r="K1850" t="s">
        <v>31</v>
      </c>
      <c r="L1850" t="s">
        <v>31</v>
      </c>
      <c r="M1850">
        <v>2023</v>
      </c>
      <c r="N1850" t="s">
        <v>51</v>
      </c>
      <c r="O1850" t="s">
        <v>47</v>
      </c>
      <c r="P1850">
        <v>0</v>
      </c>
      <c r="Q1850">
        <v>0</v>
      </c>
      <c r="R1850">
        <v>0</v>
      </c>
      <c r="S1850" t="s">
        <v>99</v>
      </c>
      <c r="T1850" t="s">
        <v>2996</v>
      </c>
      <c r="U1850">
        <v>1</v>
      </c>
    </row>
    <row r="1851" spans="1:21" x14ac:dyDescent="0.3">
      <c r="A1851" t="s">
        <v>2993</v>
      </c>
      <c r="B1851" t="s">
        <v>2994</v>
      </c>
      <c r="C1851" t="s">
        <v>129</v>
      </c>
      <c r="D1851" t="s">
        <v>233</v>
      </c>
      <c r="E1851" t="s">
        <v>30</v>
      </c>
      <c r="F1851" s="6">
        <v>45291</v>
      </c>
      <c r="G1851">
        <v>100</v>
      </c>
      <c r="H1851">
        <v>99.25</v>
      </c>
      <c r="I1851">
        <v>0.99250000000000005</v>
      </c>
      <c r="J1851">
        <v>0.99250000000000005</v>
      </c>
      <c r="K1851" t="s">
        <v>31</v>
      </c>
      <c r="L1851" t="s">
        <v>31</v>
      </c>
      <c r="M1851">
        <v>2023</v>
      </c>
      <c r="N1851" t="s">
        <v>57</v>
      </c>
      <c r="O1851" t="s">
        <v>47</v>
      </c>
      <c r="P1851">
        <v>0</v>
      </c>
      <c r="Q1851">
        <v>0</v>
      </c>
      <c r="R1851">
        <v>0</v>
      </c>
      <c r="S1851" t="s">
        <v>99</v>
      </c>
      <c r="T1851" t="s">
        <v>2997</v>
      </c>
      <c r="U1851">
        <v>1</v>
      </c>
    </row>
    <row r="1852" spans="1:21" x14ac:dyDescent="0.3">
      <c r="A1852" t="s">
        <v>2993</v>
      </c>
      <c r="B1852" t="s">
        <v>2994</v>
      </c>
      <c r="C1852" t="s">
        <v>129</v>
      </c>
      <c r="D1852" t="s">
        <v>233</v>
      </c>
      <c r="E1852" t="s">
        <v>30</v>
      </c>
      <c r="F1852" s="6">
        <v>45382</v>
      </c>
      <c r="G1852">
        <v>100</v>
      </c>
      <c r="H1852">
        <v>168.53</v>
      </c>
      <c r="I1852">
        <v>1.3</v>
      </c>
      <c r="J1852">
        <v>1.6853</v>
      </c>
      <c r="M1852">
        <v>2024</v>
      </c>
      <c r="N1852" t="s">
        <v>38</v>
      </c>
      <c r="O1852" t="s">
        <v>71</v>
      </c>
      <c r="P1852">
        <v>0</v>
      </c>
      <c r="Q1852">
        <v>0</v>
      </c>
      <c r="R1852">
        <v>0</v>
      </c>
      <c r="S1852" t="s">
        <v>99</v>
      </c>
      <c r="T1852" t="s">
        <v>2998</v>
      </c>
      <c r="U1852">
        <v>1</v>
      </c>
    </row>
    <row r="1853" spans="1:21" x14ac:dyDescent="0.3">
      <c r="A1853" t="s">
        <v>2993</v>
      </c>
      <c r="B1853" t="s">
        <v>2994</v>
      </c>
      <c r="C1853" t="s">
        <v>129</v>
      </c>
      <c r="D1853" t="s">
        <v>233</v>
      </c>
      <c r="E1853" t="s">
        <v>30</v>
      </c>
      <c r="F1853" s="6">
        <v>45473</v>
      </c>
      <c r="G1853">
        <v>100</v>
      </c>
      <c r="H1853">
        <v>111.61</v>
      </c>
      <c r="I1853">
        <v>1.1161000000000001</v>
      </c>
      <c r="J1853">
        <v>1.1161000000000001</v>
      </c>
      <c r="M1853">
        <v>2024</v>
      </c>
      <c r="N1853" t="s">
        <v>44</v>
      </c>
      <c r="O1853" t="s">
        <v>71</v>
      </c>
      <c r="P1853">
        <v>0</v>
      </c>
      <c r="Q1853">
        <v>0</v>
      </c>
      <c r="R1853">
        <v>0</v>
      </c>
      <c r="S1853" t="s">
        <v>99</v>
      </c>
      <c r="T1853" t="s">
        <v>2999</v>
      </c>
      <c r="U1853">
        <v>1</v>
      </c>
    </row>
    <row r="1854" spans="1:21" x14ac:dyDescent="0.3">
      <c r="A1854" t="s">
        <v>2993</v>
      </c>
      <c r="B1854" t="s">
        <v>2994</v>
      </c>
      <c r="C1854" t="s">
        <v>129</v>
      </c>
      <c r="D1854" t="s">
        <v>233</v>
      </c>
      <c r="E1854" t="s">
        <v>30</v>
      </c>
      <c r="F1854" s="6">
        <v>45565</v>
      </c>
      <c r="G1854">
        <v>100</v>
      </c>
      <c r="H1854">
        <v>83.32</v>
      </c>
      <c r="I1854">
        <v>0.83319999999999994</v>
      </c>
      <c r="J1854">
        <v>0.83319999999999994</v>
      </c>
      <c r="M1854">
        <v>2024</v>
      </c>
      <c r="N1854" t="s">
        <v>51</v>
      </c>
      <c r="O1854" t="s">
        <v>78</v>
      </c>
      <c r="P1854">
        <v>0</v>
      </c>
      <c r="Q1854">
        <v>0</v>
      </c>
      <c r="R1854">
        <v>0</v>
      </c>
      <c r="S1854" t="s">
        <v>99</v>
      </c>
      <c r="T1854" t="s">
        <v>3000</v>
      </c>
      <c r="U1854">
        <v>1</v>
      </c>
    </row>
    <row r="1855" spans="1:21" x14ac:dyDescent="0.3">
      <c r="A1855" t="s">
        <v>2993</v>
      </c>
      <c r="B1855" t="s">
        <v>2994</v>
      </c>
      <c r="C1855" t="s">
        <v>129</v>
      </c>
      <c r="D1855" t="s">
        <v>233</v>
      </c>
      <c r="E1855" t="s">
        <v>30</v>
      </c>
      <c r="F1855" s="6">
        <v>45657</v>
      </c>
      <c r="G1855">
        <v>100</v>
      </c>
      <c r="H1855">
        <v>0</v>
      </c>
      <c r="I1855">
        <v>0</v>
      </c>
      <c r="J1855">
        <v>0</v>
      </c>
      <c r="M1855">
        <v>2024</v>
      </c>
      <c r="N1855" t="s">
        <v>57</v>
      </c>
      <c r="O1855" t="s">
        <v>78</v>
      </c>
      <c r="P1855">
        <v>0</v>
      </c>
      <c r="Q1855">
        <v>0</v>
      </c>
      <c r="R1855">
        <v>0</v>
      </c>
      <c r="S1855" t="s">
        <v>99</v>
      </c>
      <c r="T1855" t="s">
        <v>3001</v>
      </c>
      <c r="U1855">
        <v>1</v>
      </c>
    </row>
    <row r="1856" spans="1:21" x14ac:dyDescent="0.3">
      <c r="A1856" t="s">
        <v>2993</v>
      </c>
      <c r="B1856" t="s">
        <v>2994</v>
      </c>
      <c r="C1856" t="s">
        <v>129</v>
      </c>
      <c r="D1856" t="s">
        <v>233</v>
      </c>
      <c r="E1856" t="s">
        <v>30</v>
      </c>
      <c r="F1856" s="6">
        <v>45747</v>
      </c>
      <c r="G1856">
        <v>100</v>
      </c>
      <c r="H1856" t="s">
        <v>3002</v>
      </c>
      <c r="I1856">
        <v>1.3</v>
      </c>
      <c r="J1856">
        <v>1.4056999999999999</v>
      </c>
      <c r="K1856" t="s">
        <v>102</v>
      </c>
      <c r="L1856" t="s">
        <v>3003</v>
      </c>
      <c r="M1856">
        <v>2025</v>
      </c>
      <c r="N1856" t="s">
        <v>38</v>
      </c>
      <c r="O1856" t="s">
        <v>244</v>
      </c>
      <c r="P1856">
        <v>2</v>
      </c>
      <c r="Q1856">
        <v>2</v>
      </c>
      <c r="R1856">
        <v>0</v>
      </c>
      <c r="S1856" t="s">
        <v>104</v>
      </c>
      <c r="T1856" t="s">
        <v>3004</v>
      </c>
      <c r="U1856">
        <v>31</v>
      </c>
    </row>
    <row r="1857" spans="1:21" x14ac:dyDescent="0.3">
      <c r="A1857" t="s">
        <v>2993</v>
      </c>
      <c r="B1857" t="s">
        <v>2994</v>
      </c>
      <c r="C1857" t="s">
        <v>129</v>
      </c>
      <c r="D1857" t="s">
        <v>233</v>
      </c>
      <c r="E1857" t="s">
        <v>30</v>
      </c>
      <c r="F1857" s="6">
        <v>45838</v>
      </c>
      <c r="G1857">
        <v>100</v>
      </c>
      <c r="H1857" t="s">
        <v>3005</v>
      </c>
      <c r="I1857">
        <v>1.0355000000000001</v>
      </c>
      <c r="J1857">
        <v>1.0355000000000001</v>
      </c>
      <c r="K1857" t="s">
        <v>102</v>
      </c>
      <c r="L1857" t="s">
        <v>3006</v>
      </c>
      <c r="M1857">
        <v>2025</v>
      </c>
      <c r="N1857" t="s">
        <v>44</v>
      </c>
      <c r="O1857" t="s">
        <v>244</v>
      </c>
      <c r="P1857">
        <v>2</v>
      </c>
      <c r="Q1857">
        <v>2</v>
      </c>
      <c r="R1857">
        <v>0</v>
      </c>
      <c r="S1857" t="s">
        <v>104</v>
      </c>
      <c r="T1857" t="s">
        <v>3007</v>
      </c>
      <c r="U1857">
        <v>30</v>
      </c>
    </row>
    <row r="1858" spans="1:21" x14ac:dyDescent="0.3">
      <c r="A1858" t="s">
        <v>2993</v>
      </c>
      <c r="B1858" t="s">
        <v>2994</v>
      </c>
      <c r="C1858" t="s">
        <v>129</v>
      </c>
      <c r="D1858" t="s">
        <v>233</v>
      </c>
      <c r="E1858" t="s">
        <v>30</v>
      </c>
      <c r="F1858" s="6">
        <v>46022</v>
      </c>
      <c r="G1858">
        <v>100</v>
      </c>
      <c r="I1858">
        <v>0</v>
      </c>
      <c r="J1858">
        <v>0</v>
      </c>
      <c r="K1858" t="s">
        <v>102</v>
      </c>
      <c r="M1858">
        <v>2025</v>
      </c>
      <c r="N1858" t="s">
        <v>57</v>
      </c>
      <c r="O1858" t="s">
        <v>103</v>
      </c>
      <c r="P1858">
        <v>2</v>
      </c>
      <c r="Q1858">
        <v>2</v>
      </c>
      <c r="R1858">
        <v>0</v>
      </c>
      <c r="S1858" t="s">
        <v>104</v>
      </c>
      <c r="T1858" t="s">
        <v>3008</v>
      </c>
      <c r="U1858">
        <v>31</v>
      </c>
    </row>
    <row r="1859" spans="1:21" x14ac:dyDescent="0.3">
      <c r="A1859" t="s">
        <v>3009</v>
      </c>
      <c r="B1859" t="s">
        <v>3010</v>
      </c>
      <c r="C1859" t="s">
        <v>3011</v>
      </c>
      <c r="D1859" t="s">
        <v>233</v>
      </c>
      <c r="E1859" t="s">
        <v>30</v>
      </c>
      <c r="F1859" s="6">
        <v>45107</v>
      </c>
      <c r="G1859">
        <v>62.74</v>
      </c>
      <c r="H1859">
        <v>66</v>
      </c>
      <c r="I1859">
        <v>1.0519604717883331</v>
      </c>
      <c r="J1859">
        <v>1.0519604717883331</v>
      </c>
      <c r="K1859" t="s">
        <v>31</v>
      </c>
      <c r="L1859" t="s">
        <v>31</v>
      </c>
      <c r="M1859">
        <v>2023</v>
      </c>
      <c r="N1859" t="s">
        <v>44</v>
      </c>
      <c r="O1859" t="s">
        <v>33</v>
      </c>
      <c r="P1859">
        <v>0</v>
      </c>
      <c r="Q1859">
        <v>0</v>
      </c>
      <c r="R1859">
        <v>0</v>
      </c>
      <c r="S1859" t="s">
        <v>99</v>
      </c>
      <c r="T1859" t="s">
        <v>3012</v>
      </c>
      <c r="U1859">
        <v>1</v>
      </c>
    </row>
    <row r="1860" spans="1:21" x14ac:dyDescent="0.3">
      <c r="A1860" t="s">
        <v>3009</v>
      </c>
      <c r="B1860" t="s">
        <v>3013</v>
      </c>
      <c r="C1860" t="s">
        <v>3011</v>
      </c>
      <c r="D1860" t="s">
        <v>233</v>
      </c>
      <c r="E1860" t="s">
        <v>30</v>
      </c>
      <c r="F1860" s="6">
        <v>45107</v>
      </c>
      <c r="G1860">
        <v>51.82</v>
      </c>
      <c r="H1860">
        <v>58.57</v>
      </c>
      <c r="I1860">
        <v>1.1302585874179849</v>
      </c>
      <c r="J1860">
        <v>1.1302585874179849</v>
      </c>
      <c r="K1860" t="s">
        <v>31</v>
      </c>
      <c r="L1860" t="s">
        <v>31</v>
      </c>
      <c r="M1860">
        <v>2023</v>
      </c>
      <c r="N1860" t="s">
        <v>44</v>
      </c>
      <c r="O1860" t="s">
        <v>33</v>
      </c>
      <c r="P1860">
        <v>0</v>
      </c>
      <c r="Q1860">
        <v>0</v>
      </c>
      <c r="R1860">
        <v>0</v>
      </c>
      <c r="S1860" t="s">
        <v>99</v>
      </c>
      <c r="T1860" t="s">
        <v>3014</v>
      </c>
      <c r="U1860">
        <v>1</v>
      </c>
    </row>
    <row r="1861" spans="1:21" x14ac:dyDescent="0.3">
      <c r="A1861" t="s">
        <v>3009</v>
      </c>
      <c r="B1861" t="s">
        <v>3010</v>
      </c>
      <c r="C1861" t="s">
        <v>3011</v>
      </c>
      <c r="D1861" t="s">
        <v>233</v>
      </c>
      <c r="E1861" t="s">
        <v>30</v>
      </c>
      <c r="F1861" s="6">
        <v>45291</v>
      </c>
      <c r="G1861">
        <v>100</v>
      </c>
      <c r="H1861">
        <v>100</v>
      </c>
      <c r="I1861">
        <v>1</v>
      </c>
      <c r="J1861">
        <v>1</v>
      </c>
      <c r="K1861" t="s">
        <v>31</v>
      </c>
      <c r="L1861" t="s">
        <v>31</v>
      </c>
      <c r="M1861">
        <v>2023</v>
      </c>
      <c r="N1861" t="s">
        <v>57</v>
      </c>
      <c r="O1861" t="s">
        <v>47</v>
      </c>
      <c r="P1861">
        <v>0</v>
      </c>
      <c r="Q1861">
        <v>0</v>
      </c>
      <c r="R1861">
        <v>0</v>
      </c>
      <c r="S1861" t="s">
        <v>99</v>
      </c>
      <c r="T1861" t="s">
        <v>3015</v>
      </c>
      <c r="U1861">
        <v>1</v>
      </c>
    </row>
    <row r="1862" spans="1:21" x14ac:dyDescent="0.3">
      <c r="A1862" t="s">
        <v>3009</v>
      </c>
      <c r="B1862" t="s">
        <v>3013</v>
      </c>
      <c r="C1862" t="s">
        <v>3011</v>
      </c>
      <c r="D1862" t="s">
        <v>233</v>
      </c>
      <c r="E1862" t="s">
        <v>30</v>
      </c>
      <c r="F1862" s="6">
        <v>45291</v>
      </c>
      <c r="G1862">
        <v>100</v>
      </c>
      <c r="H1862">
        <v>100</v>
      </c>
      <c r="I1862">
        <v>1</v>
      </c>
      <c r="J1862">
        <v>1</v>
      </c>
      <c r="K1862" t="s">
        <v>31</v>
      </c>
      <c r="L1862" t="s">
        <v>31</v>
      </c>
      <c r="M1862">
        <v>2023</v>
      </c>
      <c r="N1862" t="s">
        <v>57</v>
      </c>
      <c r="O1862" t="s">
        <v>47</v>
      </c>
      <c r="P1862">
        <v>0</v>
      </c>
      <c r="Q1862">
        <v>0</v>
      </c>
      <c r="R1862">
        <v>0</v>
      </c>
      <c r="S1862" t="s">
        <v>99</v>
      </c>
      <c r="T1862" t="s">
        <v>3016</v>
      </c>
      <c r="U1862">
        <v>1</v>
      </c>
    </row>
    <row r="1863" spans="1:21" x14ac:dyDescent="0.3">
      <c r="A1863" t="s">
        <v>3009</v>
      </c>
      <c r="B1863" t="s">
        <v>3010</v>
      </c>
      <c r="C1863" t="s">
        <v>3011</v>
      </c>
      <c r="D1863" t="s">
        <v>233</v>
      </c>
      <c r="E1863" t="s">
        <v>30</v>
      </c>
      <c r="F1863" s="6">
        <v>45473</v>
      </c>
      <c r="G1863">
        <v>52.4</v>
      </c>
      <c r="H1863">
        <v>52.57</v>
      </c>
      <c r="I1863">
        <v>1</v>
      </c>
      <c r="J1863">
        <v>1</v>
      </c>
      <c r="K1863" t="s">
        <v>31</v>
      </c>
      <c r="L1863" t="s">
        <v>31</v>
      </c>
      <c r="M1863">
        <v>2024</v>
      </c>
      <c r="N1863" t="s">
        <v>44</v>
      </c>
      <c r="O1863" t="s">
        <v>71</v>
      </c>
      <c r="P1863">
        <v>0</v>
      </c>
      <c r="Q1863">
        <v>0</v>
      </c>
      <c r="R1863">
        <v>0</v>
      </c>
      <c r="S1863" t="s">
        <v>99</v>
      </c>
      <c r="T1863" t="s">
        <v>3017</v>
      </c>
      <c r="U1863">
        <v>1</v>
      </c>
    </row>
    <row r="1864" spans="1:21" x14ac:dyDescent="0.3">
      <c r="A1864" t="s">
        <v>3009</v>
      </c>
      <c r="B1864" t="s">
        <v>3013</v>
      </c>
      <c r="C1864" t="s">
        <v>3011</v>
      </c>
      <c r="D1864" t="s">
        <v>233</v>
      </c>
      <c r="E1864" t="s">
        <v>30</v>
      </c>
      <c r="F1864" s="6">
        <v>45473</v>
      </c>
      <c r="G1864">
        <v>38.159999999999997</v>
      </c>
      <c r="H1864">
        <v>44.36</v>
      </c>
      <c r="I1864">
        <v>1</v>
      </c>
      <c r="J1864">
        <v>1</v>
      </c>
      <c r="K1864" t="s">
        <v>31</v>
      </c>
      <c r="L1864" t="s">
        <v>31</v>
      </c>
      <c r="M1864">
        <v>2024</v>
      </c>
      <c r="N1864" t="s">
        <v>44</v>
      </c>
      <c r="O1864" t="s">
        <v>71</v>
      </c>
      <c r="P1864">
        <v>0</v>
      </c>
      <c r="Q1864">
        <v>0</v>
      </c>
      <c r="R1864">
        <v>0</v>
      </c>
      <c r="S1864" t="s">
        <v>99</v>
      </c>
      <c r="T1864" t="s">
        <v>3018</v>
      </c>
      <c r="U1864">
        <v>1</v>
      </c>
    </row>
    <row r="1865" spans="1:21" x14ac:dyDescent="0.3">
      <c r="A1865" t="s">
        <v>3019</v>
      </c>
      <c r="B1865" t="s">
        <v>3020</v>
      </c>
      <c r="C1865" t="s">
        <v>3011</v>
      </c>
      <c r="D1865" t="s">
        <v>233</v>
      </c>
      <c r="E1865" t="s">
        <v>30</v>
      </c>
      <c r="F1865" s="6">
        <v>45107</v>
      </c>
      <c r="G1865">
        <v>69.58</v>
      </c>
      <c r="H1865">
        <v>73.75</v>
      </c>
      <c r="I1865">
        <v>1.059931014659385</v>
      </c>
      <c r="J1865">
        <v>1.059931014659385</v>
      </c>
      <c r="K1865" t="s">
        <v>31</v>
      </c>
      <c r="L1865" t="s">
        <v>31</v>
      </c>
      <c r="M1865">
        <v>2023</v>
      </c>
      <c r="N1865" t="s">
        <v>44</v>
      </c>
      <c r="O1865" t="s">
        <v>33</v>
      </c>
      <c r="P1865">
        <v>0</v>
      </c>
      <c r="Q1865">
        <v>0</v>
      </c>
      <c r="R1865">
        <v>0</v>
      </c>
      <c r="S1865" t="s">
        <v>99</v>
      </c>
      <c r="T1865" t="s">
        <v>3021</v>
      </c>
      <c r="U1865">
        <v>1</v>
      </c>
    </row>
    <row r="1866" spans="1:21" x14ac:dyDescent="0.3">
      <c r="A1866" t="s">
        <v>3019</v>
      </c>
      <c r="B1866" t="s">
        <v>3020</v>
      </c>
      <c r="C1866" t="s">
        <v>3011</v>
      </c>
      <c r="D1866" t="s">
        <v>233</v>
      </c>
      <c r="E1866" t="s">
        <v>30</v>
      </c>
      <c r="F1866" s="6">
        <v>45291</v>
      </c>
      <c r="G1866">
        <v>100</v>
      </c>
      <c r="H1866">
        <v>98.75</v>
      </c>
      <c r="I1866">
        <v>0.98750000000000004</v>
      </c>
      <c r="J1866">
        <v>0.98750000000000004</v>
      </c>
      <c r="K1866" t="s">
        <v>31</v>
      </c>
      <c r="L1866" t="s">
        <v>31</v>
      </c>
      <c r="M1866">
        <v>2023</v>
      </c>
      <c r="N1866" t="s">
        <v>57</v>
      </c>
      <c r="O1866" t="s">
        <v>47</v>
      </c>
      <c r="P1866">
        <v>0</v>
      </c>
      <c r="Q1866">
        <v>0</v>
      </c>
      <c r="R1866">
        <v>0</v>
      </c>
      <c r="S1866" t="s">
        <v>99</v>
      </c>
      <c r="T1866" t="s">
        <v>3022</v>
      </c>
      <c r="U1866">
        <v>1</v>
      </c>
    </row>
    <row r="1867" spans="1:21" x14ac:dyDescent="0.3">
      <c r="A1867" t="s">
        <v>3019</v>
      </c>
      <c r="B1867" t="s">
        <v>3020</v>
      </c>
      <c r="C1867" t="s">
        <v>3011</v>
      </c>
      <c r="D1867" t="s">
        <v>233</v>
      </c>
      <c r="E1867" t="s">
        <v>30</v>
      </c>
      <c r="F1867" s="6">
        <v>45473</v>
      </c>
      <c r="G1867">
        <v>48.5</v>
      </c>
      <c r="H1867">
        <v>41.97</v>
      </c>
      <c r="I1867">
        <v>0.86536082474226805</v>
      </c>
      <c r="J1867">
        <v>0.86536082474226805</v>
      </c>
      <c r="K1867" t="s">
        <v>31</v>
      </c>
      <c r="L1867" t="s">
        <v>31</v>
      </c>
      <c r="M1867">
        <v>2024</v>
      </c>
      <c r="N1867" t="s">
        <v>44</v>
      </c>
      <c r="O1867" t="s">
        <v>71</v>
      </c>
      <c r="P1867">
        <v>0</v>
      </c>
      <c r="Q1867">
        <v>0</v>
      </c>
      <c r="R1867">
        <v>0</v>
      </c>
      <c r="S1867" t="s">
        <v>99</v>
      </c>
      <c r="T1867" t="s">
        <v>3023</v>
      </c>
      <c r="U1867">
        <v>1</v>
      </c>
    </row>
    <row r="1868" spans="1:21" x14ac:dyDescent="0.3">
      <c r="A1868" t="s">
        <v>3024</v>
      </c>
      <c r="B1868" t="s">
        <v>3025</v>
      </c>
      <c r="C1868" t="s">
        <v>3011</v>
      </c>
      <c r="D1868" t="s">
        <v>233</v>
      </c>
      <c r="E1868" t="s">
        <v>30</v>
      </c>
      <c r="F1868" s="6">
        <v>45107</v>
      </c>
      <c r="G1868">
        <v>72.27</v>
      </c>
      <c r="H1868">
        <v>70.209999999999994</v>
      </c>
      <c r="I1868">
        <v>0.97149577971495782</v>
      </c>
      <c r="J1868">
        <v>0.97149577971495782</v>
      </c>
      <c r="K1868" t="s">
        <v>31</v>
      </c>
      <c r="L1868" t="s">
        <v>31</v>
      </c>
      <c r="M1868">
        <v>2023</v>
      </c>
      <c r="N1868" t="s">
        <v>44</v>
      </c>
      <c r="O1868" t="s">
        <v>33</v>
      </c>
      <c r="P1868">
        <v>0</v>
      </c>
      <c r="Q1868">
        <v>0</v>
      </c>
      <c r="R1868">
        <v>0</v>
      </c>
      <c r="S1868" t="s">
        <v>99</v>
      </c>
      <c r="T1868" t="s">
        <v>3026</v>
      </c>
      <c r="U1868">
        <v>1</v>
      </c>
    </row>
    <row r="1869" spans="1:21" x14ac:dyDescent="0.3">
      <c r="A1869" t="s">
        <v>3024</v>
      </c>
      <c r="B1869" t="s">
        <v>3025</v>
      </c>
      <c r="C1869" t="s">
        <v>3011</v>
      </c>
      <c r="D1869" t="s">
        <v>233</v>
      </c>
      <c r="E1869" t="s">
        <v>30</v>
      </c>
      <c r="F1869" s="6">
        <v>45291</v>
      </c>
      <c r="G1869">
        <v>100</v>
      </c>
      <c r="H1869">
        <v>100</v>
      </c>
      <c r="I1869">
        <v>1</v>
      </c>
      <c r="J1869">
        <v>1</v>
      </c>
      <c r="K1869" t="s">
        <v>31</v>
      </c>
      <c r="L1869" t="s">
        <v>31</v>
      </c>
      <c r="M1869">
        <v>2023</v>
      </c>
      <c r="N1869" t="s">
        <v>57</v>
      </c>
      <c r="O1869" t="s">
        <v>47</v>
      </c>
      <c r="P1869">
        <v>0</v>
      </c>
      <c r="Q1869">
        <v>0</v>
      </c>
      <c r="R1869">
        <v>0</v>
      </c>
      <c r="S1869" t="s">
        <v>99</v>
      </c>
      <c r="T1869" t="s">
        <v>3027</v>
      </c>
      <c r="U1869">
        <v>1</v>
      </c>
    </row>
    <row r="1870" spans="1:21" x14ac:dyDescent="0.3">
      <c r="A1870" t="s">
        <v>3024</v>
      </c>
      <c r="B1870" t="s">
        <v>3025</v>
      </c>
      <c r="C1870" t="s">
        <v>3011</v>
      </c>
      <c r="D1870" t="s">
        <v>233</v>
      </c>
      <c r="E1870" t="s">
        <v>30</v>
      </c>
      <c r="F1870" s="6">
        <v>45473</v>
      </c>
      <c r="G1870">
        <v>36.78</v>
      </c>
      <c r="H1870">
        <v>44.65</v>
      </c>
      <c r="I1870">
        <v>1</v>
      </c>
      <c r="J1870">
        <v>1</v>
      </c>
      <c r="K1870" t="s">
        <v>31</v>
      </c>
      <c r="L1870" t="s">
        <v>31</v>
      </c>
      <c r="M1870">
        <v>2024</v>
      </c>
      <c r="N1870" t="s">
        <v>44</v>
      </c>
      <c r="O1870" t="s">
        <v>71</v>
      </c>
      <c r="P1870">
        <v>0</v>
      </c>
      <c r="Q1870">
        <v>0</v>
      </c>
      <c r="R1870">
        <v>0</v>
      </c>
      <c r="S1870" t="s">
        <v>99</v>
      </c>
      <c r="T1870" t="s">
        <v>3028</v>
      </c>
      <c r="U1870">
        <v>1</v>
      </c>
    </row>
    <row r="1871" spans="1:21" x14ac:dyDescent="0.3">
      <c r="A1871" t="s">
        <v>3029</v>
      </c>
      <c r="B1871" t="s">
        <v>3030</v>
      </c>
      <c r="C1871" t="s">
        <v>3011</v>
      </c>
      <c r="D1871" t="s">
        <v>233</v>
      </c>
      <c r="E1871" t="s">
        <v>30</v>
      </c>
      <c r="F1871" s="6">
        <v>45107</v>
      </c>
      <c r="G1871">
        <v>66.319999999999993</v>
      </c>
      <c r="H1871">
        <v>73</v>
      </c>
      <c r="I1871">
        <v>1.1007237635705669</v>
      </c>
      <c r="J1871">
        <v>1.1007237635705669</v>
      </c>
      <c r="K1871" t="s">
        <v>31</v>
      </c>
      <c r="L1871" t="s">
        <v>31</v>
      </c>
      <c r="M1871">
        <v>2023</v>
      </c>
      <c r="N1871" t="s">
        <v>44</v>
      </c>
      <c r="O1871" t="s">
        <v>33</v>
      </c>
      <c r="P1871">
        <v>0</v>
      </c>
      <c r="Q1871">
        <v>0</v>
      </c>
      <c r="R1871">
        <v>0</v>
      </c>
      <c r="S1871" t="s">
        <v>99</v>
      </c>
      <c r="T1871" t="s">
        <v>3031</v>
      </c>
      <c r="U1871">
        <v>1</v>
      </c>
    </row>
    <row r="1872" spans="1:21" x14ac:dyDescent="0.3">
      <c r="A1872" t="s">
        <v>3029</v>
      </c>
      <c r="B1872" t="s">
        <v>3030</v>
      </c>
      <c r="C1872" t="s">
        <v>3011</v>
      </c>
      <c r="D1872" t="s">
        <v>233</v>
      </c>
      <c r="E1872" t="s">
        <v>30</v>
      </c>
      <c r="F1872" s="6">
        <v>45291</v>
      </c>
      <c r="G1872">
        <v>100</v>
      </c>
      <c r="H1872">
        <v>100</v>
      </c>
      <c r="I1872">
        <v>1</v>
      </c>
      <c r="J1872">
        <v>1</v>
      </c>
      <c r="K1872" t="s">
        <v>31</v>
      </c>
      <c r="L1872" t="s">
        <v>31</v>
      </c>
      <c r="M1872">
        <v>2023</v>
      </c>
      <c r="N1872" t="s">
        <v>57</v>
      </c>
      <c r="O1872" t="s">
        <v>47</v>
      </c>
      <c r="P1872">
        <v>0</v>
      </c>
      <c r="Q1872">
        <v>0</v>
      </c>
      <c r="R1872">
        <v>0</v>
      </c>
      <c r="S1872" t="s">
        <v>99</v>
      </c>
      <c r="T1872" t="s">
        <v>3032</v>
      </c>
      <c r="U1872">
        <v>1</v>
      </c>
    </row>
    <row r="1873" spans="1:21" x14ac:dyDescent="0.3">
      <c r="A1873" t="s">
        <v>3029</v>
      </c>
      <c r="B1873" t="s">
        <v>3030</v>
      </c>
      <c r="C1873" t="s">
        <v>3011</v>
      </c>
      <c r="D1873" t="s">
        <v>233</v>
      </c>
      <c r="E1873" t="s">
        <v>30</v>
      </c>
      <c r="F1873" s="6">
        <v>45473</v>
      </c>
      <c r="G1873">
        <v>34.4</v>
      </c>
      <c r="H1873">
        <v>35.71</v>
      </c>
      <c r="I1873">
        <v>1</v>
      </c>
      <c r="J1873">
        <v>1</v>
      </c>
      <c r="K1873" t="s">
        <v>31</v>
      </c>
      <c r="L1873" t="s">
        <v>31</v>
      </c>
      <c r="M1873">
        <v>2024</v>
      </c>
      <c r="N1873" t="s">
        <v>44</v>
      </c>
      <c r="O1873" t="s">
        <v>71</v>
      </c>
      <c r="P1873">
        <v>0</v>
      </c>
      <c r="Q1873">
        <v>0</v>
      </c>
      <c r="R1873">
        <v>0</v>
      </c>
      <c r="S1873" t="s">
        <v>99</v>
      </c>
      <c r="T1873" t="s">
        <v>3033</v>
      </c>
      <c r="U1873">
        <v>1</v>
      </c>
    </row>
    <row r="1874" spans="1:21" x14ac:dyDescent="0.3">
      <c r="A1874" t="s">
        <v>3034</v>
      </c>
      <c r="B1874" t="s">
        <v>3035</v>
      </c>
      <c r="C1874" t="s">
        <v>3011</v>
      </c>
      <c r="D1874" t="s">
        <v>233</v>
      </c>
      <c r="E1874" t="s">
        <v>30</v>
      </c>
      <c r="F1874" s="6">
        <v>45107</v>
      </c>
      <c r="G1874">
        <v>67.81</v>
      </c>
      <c r="H1874">
        <v>77.5</v>
      </c>
      <c r="I1874">
        <v>1.1428992773927149</v>
      </c>
      <c r="J1874">
        <v>1.1428992773927149</v>
      </c>
      <c r="K1874" t="s">
        <v>31</v>
      </c>
      <c r="L1874" t="s">
        <v>31</v>
      </c>
      <c r="M1874">
        <v>2023</v>
      </c>
      <c r="N1874" t="s">
        <v>44</v>
      </c>
      <c r="O1874" t="s">
        <v>33</v>
      </c>
      <c r="P1874">
        <v>1</v>
      </c>
      <c r="Q1874">
        <v>1</v>
      </c>
      <c r="R1874">
        <v>0</v>
      </c>
      <c r="S1874" t="s">
        <v>99</v>
      </c>
      <c r="T1874" t="s">
        <v>3036</v>
      </c>
      <c r="U1874">
        <v>1</v>
      </c>
    </row>
    <row r="1875" spans="1:21" x14ac:dyDescent="0.3">
      <c r="A1875" t="s">
        <v>3034</v>
      </c>
      <c r="B1875" t="s">
        <v>3035</v>
      </c>
      <c r="C1875" t="s">
        <v>3011</v>
      </c>
      <c r="D1875" t="s">
        <v>233</v>
      </c>
      <c r="E1875" t="s">
        <v>30</v>
      </c>
      <c r="F1875" s="6">
        <v>45291</v>
      </c>
      <c r="G1875">
        <v>100</v>
      </c>
      <c r="H1875">
        <v>99.38</v>
      </c>
      <c r="I1875">
        <v>0.99379999999999991</v>
      </c>
      <c r="J1875">
        <v>0.99379999999999991</v>
      </c>
      <c r="K1875" t="s">
        <v>31</v>
      </c>
      <c r="L1875" t="s">
        <v>31</v>
      </c>
      <c r="M1875">
        <v>2023</v>
      </c>
      <c r="N1875" t="s">
        <v>57</v>
      </c>
      <c r="O1875" t="s">
        <v>47</v>
      </c>
      <c r="P1875">
        <v>1</v>
      </c>
      <c r="Q1875">
        <v>1</v>
      </c>
      <c r="R1875">
        <v>0</v>
      </c>
      <c r="S1875" t="s">
        <v>99</v>
      </c>
      <c r="T1875" t="s">
        <v>3037</v>
      </c>
      <c r="U1875">
        <v>1</v>
      </c>
    </row>
    <row r="1876" spans="1:21" x14ac:dyDescent="0.3">
      <c r="A1876" t="s">
        <v>3034</v>
      </c>
      <c r="B1876" t="s">
        <v>3035</v>
      </c>
      <c r="C1876" t="s">
        <v>3011</v>
      </c>
      <c r="D1876" t="s">
        <v>233</v>
      </c>
      <c r="E1876" t="s">
        <v>30</v>
      </c>
      <c r="F1876" s="6">
        <v>45473</v>
      </c>
      <c r="G1876">
        <v>44.99</v>
      </c>
      <c r="H1876">
        <v>60.75</v>
      </c>
      <c r="I1876">
        <v>1</v>
      </c>
      <c r="J1876">
        <v>1</v>
      </c>
      <c r="K1876" t="s">
        <v>31</v>
      </c>
      <c r="L1876" t="s">
        <v>31</v>
      </c>
      <c r="M1876">
        <v>2024</v>
      </c>
      <c r="N1876" t="s">
        <v>44</v>
      </c>
      <c r="O1876" t="s">
        <v>71</v>
      </c>
      <c r="P1876">
        <v>1</v>
      </c>
      <c r="Q1876">
        <v>1</v>
      </c>
      <c r="R1876">
        <v>0</v>
      </c>
      <c r="S1876" t="s">
        <v>99</v>
      </c>
      <c r="T1876" t="s">
        <v>3038</v>
      </c>
      <c r="U1876">
        <v>1</v>
      </c>
    </row>
    <row r="1877" spans="1:21" x14ac:dyDescent="0.3">
      <c r="A1877" t="s">
        <v>3039</v>
      </c>
      <c r="B1877" t="s">
        <v>3040</v>
      </c>
      <c r="C1877" t="s">
        <v>3011</v>
      </c>
      <c r="D1877" t="s">
        <v>233</v>
      </c>
      <c r="E1877" t="s">
        <v>30</v>
      </c>
      <c r="F1877" s="6">
        <v>45107</v>
      </c>
      <c r="G1877">
        <v>64.88</v>
      </c>
      <c r="H1877">
        <v>78.33</v>
      </c>
      <c r="I1877">
        <v>1.2073057953144271</v>
      </c>
      <c r="J1877">
        <v>1.2073057953144271</v>
      </c>
      <c r="K1877" t="s">
        <v>31</v>
      </c>
      <c r="L1877" t="s">
        <v>31</v>
      </c>
      <c r="M1877">
        <v>2023</v>
      </c>
      <c r="N1877" t="s">
        <v>44</v>
      </c>
      <c r="O1877" t="s">
        <v>33</v>
      </c>
      <c r="P1877">
        <v>0</v>
      </c>
      <c r="Q1877">
        <v>0</v>
      </c>
      <c r="R1877">
        <v>0</v>
      </c>
      <c r="S1877" t="s">
        <v>99</v>
      </c>
      <c r="T1877" t="s">
        <v>3041</v>
      </c>
      <c r="U1877">
        <v>1</v>
      </c>
    </row>
    <row r="1878" spans="1:21" x14ac:dyDescent="0.3">
      <c r="A1878" t="s">
        <v>3039</v>
      </c>
      <c r="B1878" t="s">
        <v>3040</v>
      </c>
      <c r="C1878" t="s">
        <v>3011</v>
      </c>
      <c r="D1878" t="s">
        <v>233</v>
      </c>
      <c r="E1878" t="s">
        <v>30</v>
      </c>
      <c r="F1878" s="6">
        <v>45291</v>
      </c>
      <c r="G1878">
        <v>100</v>
      </c>
      <c r="H1878">
        <v>100</v>
      </c>
      <c r="I1878">
        <v>1</v>
      </c>
      <c r="J1878">
        <v>1</v>
      </c>
      <c r="K1878" t="s">
        <v>31</v>
      </c>
      <c r="L1878" t="s">
        <v>31</v>
      </c>
      <c r="M1878">
        <v>2023</v>
      </c>
      <c r="N1878" t="s">
        <v>57</v>
      </c>
      <c r="O1878" t="s">
        <v>47</v>
      </c>
      <c r="P1878">
        <v>0</v>
      </c>
      <c r="Q1878">
        <v>0</v>
      </c>
      <c r="R1878">
        <v>0</v>
      </c>
      <c r="S1878" t="s">
        <v>99</v>
      </c>
      <c r="T1878" t="s">
        <v>3042</v>
      </c>
      <c r="U1878">
        <v>1</v>
      </c>
    </row>
    <row r="1879" spans="1:21" x14ac:dyDescent="0.3">
      <c r="A1879" t="s">
        <v>3039</v>
      </c>
      <c r="B1879" t="s">
        <v>3040</v>
      </c>
      <c r="C1879" t="s">
        <v>3011</v>
      </c>
      <c r="D1879" t="s">
        <v>233</v>
      </c>
      <c r="E1879" t="s">
        <v>30</v>
      </c>
      <c r="F1879" s="6">
        <v>45473</v>
      </c>
      <c r="G1879">
        <v>31.84</v>
      </c>
      <c r="H1879">
        <v>39.01</v>
      </c>
      <c r="I1879">
        <v>1</v>
      </c>
      <c r="J1879">
        <v>1</v>
      </c>
      <c r="K1879" t="s">
        <v>31</v>
      </c>
      <c r="L1879" t="s">
        <v>31</v>
      </c>
      <c r="M1879">
        <v>2024</v>
      </c>
      <c r="N1879" t="s">
        <v>44</v>
      </c>
      <c r="O1879" t="s">
        <v>71</v>
      </c>
      <c r="P1879">
        <v>0</v>
      </c>
      <c r="Q1879">
        <v>0</v>
      </c>
      <c r="R1879">
        <v>0</v>
      </c>
      <c r="S1879" t="s">
        <v>99</v>
      </c>
      <c r="T1879" t="s">
        <v>3043</v>
      </c>
      <c r="U1879">
        <v>1</v>
      </c>
    </row>
    <row r="1880" spans="1:21" x14ac:dyDescent="0.3">
      <c r="A1880" t="s">
        <v>3044</v>
      </c>
      <c r="B1880" t="s">
        <v>3045</v>
      </c>
      <c r="C1880" t="s">
        <v>3011</v>
      </c>
      <c r="D1880" t="s">
        <v>233</v>
      </c>
      <c r="E1880" t="s">
        <v>30</v>
      </c>
      <c r="F1880" s="6">
        <v>45107</v>
      </c>
      <c r="G1880">
        <v>51.39</v>
      </c>
      <c r="H1880">
        <v>53.93</v>
      </c>
      <c r="I1880">
        <v>1.0494259583576571</v>
      </c>
      <c r="J1880">
        <v>1.0494259583576571</v>
      </c>
      <c r="K1880" t="s">
        <v>31</v>
      </c>
      <c r="L1880" t="s">
        <v>31</v>
      </c>
      <c r="M1880">
        <v>2023</v>
      </c>
      <c r="N1880" t="s">
        <v>44</v>
      </c>
      <c r="O1880" t="s">
        <v>33</v>
      </c>
      <c r="P1880">
        <v>0</v>
      </c>
      <c r="Q1880">
        <v>0</v>
      </c>
      <c r="R1880">
        <v>0</v>
      </c>
      <c r="S1880" t="s">
        <v>99</v>
      </c>
      <c r="T1880" t="s">
        <v>3046</v>
      </c>
      <c r="U1880">
        <v>1</v>
      </c>
    </row>
    <row r="1881" spans="1:21" x14ac:dyDescent="0.3">
      <c r="A1881" t="s">
        <v>3044</v>
      </c>
      <c r="B1881" t="s">
        <v>3045</v>
      </c>
      <c r="C1881" t="s">
        <v>3011</v>
      </c>
      <c r="D1881" t="s">
        <v>233</v>
      </c>
      <c r="E1881" t="s">
        <v>30</v>
      </c>
      <c r="F1881" s="6">
        <v>45291</v>
      </c>
      <c r="G1881">
        <v>100</v>
      </c>
      <c r="H1881">
        <v>92.86</v>
      </c>
      <c r="I1881">
        <v>0.92859999999999998</v>
      </c>
      <c r="J1881">
        <v>0.92859999999999998</v>
      </c>
      <c r="K1881" t="s">
        <v>31</v>
      </c>
      <c r="L1881" t="s">
        <v>31</v>
      </c>
      <c r="M1881">
        <v>2023</v>
      </c>
      <c r="N1881" t="s">
        <v>57</v>
      </c>
      <c r="O1881" t="s">
        <v>47</v>
      </c>
      <c r="P1881">
        <v>0</v>
      </c>
      <c r="Q1881">
        <v>0</v>
      </c>
      <c r="R1881">
        <v>0</v>
      </c>
      <c r="S1881" t="s">
        <v>99</v>
      </c>
      <c r="T1881" t="s">
        <v>3047</v>
      </c>
      <c r="U1881">
        <v>1</v>
      </c>
    </row>
    <row r="1882" spans="1:21" x14ac:dyDescent="0.3">
      <c r="A1882" t="s">
        <v>3044</v>
      </c>
      <c r="B1882" t="s">
        <v>3045</v>
      </c>
      <c r="C1882" t="s">
        <v>3011</v>
      </c>
      <c r="D1882" t="s">
        <v>233</v>
      </c>
      <c r="E1882" t="s">
        <v>30</v>
      </c>
      <c r="F1882" s="6">
        <v>45473</v>
      </c>
      <c r="G1882">
        <v>65.739999999999995</v>
      </c>
      <c r="H1882">
        <v>68.33</v>
      </c>
      <c r="I1882">
        <v>1</v>
      </c>
      <c r="J1882">
        <v>1</v>
      </c>
      <c r="K1882" t="s">
        <v>31</v>
      </c>
      <c r="L1882" t="s">
        <v>31</v>
      </c>
      <c r="M1882">
        <v>2024</v>
      </c>
      <c r="N1882" t="s">
        <v>44</v>
      </c>
      <c r="O1882" t="s">
        <v>71</v>
      </c>
      <c r="P1882">
        <v>0</v>
      </c>
      <c r="Q1882">
        <v>0</v>
      </c>
      <c r="R1882">
        <v>0</v>
      </c>
      <c r="S1882" t="s">
        <v>99</v>
      </c>
      <c r="T1882" t="s">
        <v>3048</v>
      </c>
      <c r="U1882">
        <v>1</v>
      </c>
    </row>
    <row r="1883" spans="1:21" x14ac:dyDescent="0.3">
      <c r="A1883" t="s">
        <v>3049</v>
      </c>
      <c r="B1883" t="s">
        <v>3050</v>
      </c>
      <c r="C1883" t="s">
        <v>3011</v>
      </c>
      <c r="D1883" t="s">
        <v>233</v>
      </c>
      <c r="E1883" t="s">
        <v>30</v>
      </c>
      <c r="F1883" s="6">
        <v>45107</v>
      </c>
      <c r="G1883">
        <v>54.33</v>
      </c>
      <c r="H1883">
        <v>67</v>
      </c>
      <c r="I1883">
        <v>1.233204491073072</v>
      </c>
      <c r="J1883">
        <v>1.233204491073072</v>
      </c>
      <c r="K1883" t="s">
        <v>31</v>
      </c>
      <c r="L1883" t="s">
        <v>31</v>
      </c>
      <c r="M1883">
        <v>2023</v>
      </c>
      <c r="N1883" t="s">
        <v>44</v>
      </c>
      <c r="O1883" t="s">
        <v>33</v>
      </c>
      <c r="P1883">
        <v>0</v>
      </c>
      <c r="Q1883">
        <v>0</v>
      </c>
      <c r="R1883">
        <v>0</v>
      </c>
      <c r="S1883" t="s">
        <v>99</v>
      </c>
      <c r="T1883" t="s">
        <v>3051</v>
      </c>
      <c r="U1883">
        <v>1</v>
      </c>
    </row>
    <row r="1884" spans="1:21" x14ac:dyDescent="0.3">
      <c r="A1884" t="s">
        <v>3049</v>
      </c>
      <c r="B1884" t="s">
        <v>3050</v>
      </c>
      <c r="C1884" t="s">
        <v>3011</v>
      </c>
      <c r="D1884" t="s">
        <v>233</v>
      </c>
      <c r="E1884" t="s">
        <v>30</v>
      </c>
      <c r="F1884" s="6">
        <v>45291</v>
      </c>
      <c r="G1884">
        <v>100</v>
      </c>
      <c r="H1884">
        <v>100</v>
      </c>
      <c r="I1884">
        <v>1</v>
      </c>
      <c r="J1884">
        <v>1</v>
      </c>
      <c r="K1884" t="s">
        <v>31</v>
      </c>
      <c r="L1884" t="s">
        <v>31</v>
      </c>
      <c r="M1884">
        <v>2023</v>
      </c>
      <c r="N1884" t="s">
        <v>57</v>
      </c>
      <c r="O1884" t="s">
        <v>47</v>
      </c>
      <c r="P1884">
        <v>0</v>
      </c>
      <c r="Q1884">
        <v>0</v>
      </c>
      <c r="R1884">
        <v>0</v>
      </c>
      <c r="S1884" t="s">
        <v>99</v>
      </c>
      <c r="T1884" t="s">
        <v>3052</v>
      </c>
      <c r="U1884">
        <v>1</v>
      </c>
    </row>
    <row r="1885" spans="1:21" x14ac:dyDescent="0.3">
      <c r="A1885" t="s">
        <v>3049</v>
      </c>
      <c r="B1885" t="s">
        <v>3050</v>
      </c>
      <c r="C1885" t="s">
        <v>3011</v>
      </c>
      <c r="D1885" t="s">
        <v>233</v>
      </c>
      <c r="E1885" t="s">
        <v>30</v>
      </c>
      <c r="F1885" s="6">
        <v>45473</v>
      </c>
      <c r="G1885">
        <v>50.22</v>
      </c>
      <c r="H1885">
        <v>52.92</v>
      </c>
      <c r="I1885">
        <v>1</v>
      </c>
      <c r="J1885">
        <v>1</v>
      </c>
      <c r="K1885" t="s">
        <v>31</v>
      </c>
      <c r="L1885" t="s">
        <v>31</v>
      </c>
      <c r="M1885">
        <v>2024</v>
      </c>
      <c r="N1885" t="s">
        <v>44</v>
      </c>
      <c r="O1885" t="s">
        <v>71</v>
      </c>
      <c r="P1885">
        <v>0</v>
      </c>
      <c r="Q1885">
        <v>0</v>
      </c>
      <c r="R1885">
        <v>0</v>
      </c>
      <c r="S1885" t="s">
        <v>99</v>
      </c>
      <c r="T1885" t="s">
        <v>3053</v>
      </c>
      <c r="U1885">
        <v>1</v>
      </c>
    </row>
    <row r="1886" spans="1:21" x14ac:dyDescent="0.3">
      <c r="A1886" t="s">
        <v>3054</v>
      </c>
      <c r="B1886" t="s">
        <v>3055</v>
      </c>
      <c r="C1886" t="s">
        <v>3011</v>
      </c>
      <c r="D1886" t="s">
        <v>233</v>
      </c>
      <c r="E1886" t="s">
        <v>30</v>
      </c>
      <c r="F1886" s="6">
        <v>45107</v>
      </c>
      <c r="G1886">
        <v>60.38</v>
      </c>
      <c r="H1886">
        <v>73.06</v>
      </c>
      <c r="I1886">
        <v>1.210003312355084</v>
      </c>
      <c r="J1886">
        <v>1.210003312355084</v>
      </c>
      <c r="K1886" t="s">
        <v>31</v>
      </c>
      <c r="L1886" t="s">
        <v>31</v>
      </c>
      <c r="M1886">
        <v>2023</v>
      </c>
      <c r="N1886" t="s">
        <v>44</v>
      </c>
      <c r="O1886" t="s">
        <v>33</v>
      </c>
      <c r="P1886">
        <v>0</v>
      </c>
      <c r="Q1886">
        <v>0</v>
      </c>
      <c r="R1886">
        <v>0</v>
      </c>
      <c r="S1886" t="s">
        <v>99</v>
      </c>
      <c r="T1886" t="s">
        <v>3056</v>
      </c>
      <c r="U1886">
        <v>1</v>
      </c>
    </row>
    <row r="1887" spans="1:21" x14ac:dyDescent="0.3">
      <c r="A1887" t="s">
        <v>3054</v>
      </c>
      <c r="B1887" t="s">
        <v>3055</v>
      </c>
      <c r="C1887" t="s">
        <v>3011</v>
      </c>
      <c r="D1887" t="s">
        <v>233</v>
      </c>
      <c r="E1887" t="s">
        <v>30</v>
      </c>
      <c r="F1887" s="6">
        <v>45291</v>
      </c>
      <c r="G1887">
        <v>100</v>
      </c>
      <c r="H1887">
        <v>100</v>
      </c>
      <c r="I1887">
        <v>1</v>
      </c>
      <c r="J1887">
        <v>1</v>
      </c>
      <c r="K1887" t="s">
        <v>31</v>
      </c>
      <c r="L1887" t="s">
        <v>31</v>
      </c>
      <c r="M1887">
        <v>2023</v>
      </c>
      <c r="N1887" t="s">
        <v>57</v>
      </c>
      <c r="O1887" t="s">
        <v>47</v>
      </c>
      <c r="P1887">
        <v>0</v>
      </c>
      <c r="Q1887">
        <v>0</v>
      </c>
      <c r="R1887">
        <v>0</v>
      </c>
      <c r="S1887" t="s">
        <v>99</v>
      </c>
      <c r="T1887" t="s">
        <v>3057</v>
      </c>
      <c r="U1887">
        <v>1</v>
      </c>
    </row>
    <row r="1888" spans="1:21" x14ac:dyDescent="0.3">
      <c r="A1888" t="s">
        <v>3054</v>
      </c>
      <c r="B1888" t="s">
        <v>3055</v>
      </c>
      <c r="C1888" t="s">
        <v>3011</v>
      </c>
      <c r="D1888" t="s">
        <v>233</v>
      </c>
      <c r="E1888" t="s">
        <v>30</v>
      </c>
      <c r="F1888" s="6">
        <v>45473</v>
      </c>
      <c r="G1888">
        <v>58.85</v>
      </c>
      <c r="H1888">
        <v>65.08</v>
      </c>
      <c r="I1888">
        <v>1</v>
      </c>
      <c r="J1888">
        <v>1</v>
      </c>
      <c r="K1888" t="s">
        <v>31</v>
      </c>
      <c r="L1888" t="s">
        <v>31</v>
      </c>
      <c r="M1888">
        <v>2024</v>
      </c>
      <c r="N1888" t="s">
        <v>44</v>
      </c>
      <c r="O1888" t="s">
        <v>71</v>
      </c>
      <c r="P1888">
        <v>0</v>
      </c>
      <c r="Q1888">
        <v>0</v>
      </c>
      <c r="R1888">
        <v>0</v>
      </c>
      <c r="S1888" t="s">
        <v>99</v>
      </c>
      <c r="T1888" t="s">
        <v>3058</v>
      </c>
      <c r="U1888">
        <v>1</v>
      </c>
    </row>
    <row r="1889" spans="1:21" x14ac:dyDescent="0.3">
      <c r="A1889" t="s">
        <v>3059</v>
      </c>
      <c r="B1889" t="s">
        <v>3060</v>
      </c>
      <c r="C1889" t="s">
        <v>3011</v>
      </c>
      <c r="D1889" t="s">
        <v>233</v>
      </c>
      <c r="E1889" t="s">
        <v>30</v>
      </c>
      <c r="F1889" s="6">
        <v>45107</v>
      </c>
      <c r="G1889">
        <v>69.650000000000006</v>
      </c>
      <c r="H1889">
        <v>68.75</v>
      </c>
      <c r="I1889">
        <v>0.98707824838478098</v>
      </c>
      <c r="J1889">
        <v>0.98707824838478098</v>
      </c>
      <c r="K1889" t="s">
        <v>31</v>
      </c>
      <c r="L1889" t="s">
        <v>31</v>
      </c>
      <c r="M1889">
        <v>2023</v>
      </c>
      <c r="N1889" t="s">
        <v>44</v>
      </c>
      <c r="O1889" t="s">
        <v>33</v>
      </c>
      <c r="P1889">
        <v>0</v>
      </c>
      <c r="Q1889">
        <v>0</v>
      </c>
      <c r="R1889">
        <v>0</v>
      </c>
      <c r="S1889" t="s">
        <v>99</v>
      </c>
      <c r="T1889" t="s">
        <v>3061</v>
      </c>
      <c r="U1889">
        <v>1</v>
      </c>
    </row>
    <row r="1890" spans="1:21" x14ac:dyDescent="0.3">
      <c r="A1890" t="s">
        <v>3059</v>
      </c>
      <c r="B1890" t="s">
        <v>3060</v>
      </c>
      <c r="C1890" t="s">
        <v>3011</v>
      </c>
      <c r="D1890" t="s">
        <v>233</v>
      </c>
      <c r="E1890" t="s">
        <v>30</v>
      </c>
      <c r="F1890" s="6">
        <v>45291</v>
      </c>
      <c r="G1890">
        <v>100</v>
      </c>
      <c r="H1890">
        <v>100</v>
      </c>
      <c r="I1890">
        <v>1</v>
      </c>
      <c r="J1890">
        <v>1</v>
      </c>
      <c r="K1890" t="s">
        <v>31</v>
      </c>
      <c r="L1890" t="s">
        <v>31</v>
      </c>
      <c r="M1890">
        <v>2023</v>
      </c>
      <c r="N1890" t="s">
        <v>57</v>
      </c>
      <c r="O1890" t="s">
        <v>47</v>
      </c>
      <c r="P1890">
        <v>0</v>
      </c>
      <c r="Q1890">
        <v>0</v>
      </c>
      <c r="R1890">
        <v>0</v>
      </c>
      <c r="S1890" t="s">
        <v>99</v>
      </c>
      <c r="T1890" t="s">
        <v>3062</v>
      </c>
      <c r="U1890">
        <v>1</v>
      </c>
    </row>
    <row r="1891" spans="1:21" x14ac:dyDescent="0.3">
      <c r="A1891" t="s">
        <v>3059</v>
      </c>
      <c r="B1891" t="s">
        <v>3060</v>
      </c>
      <c r="C1891" t="s">
        <v>3011</v>
      </c>
      <c r="D1891" t="s">
        <v>233</v>
      </c>
      <c r="E1891" t="s">
        <v>30</v>
      </c>
      <c r="F1891" s="6">
        <v>45473</v>
      </c>
      <c r="G1891">
        <v>44.13</v>
      </c>
      <c r="H1891">
        <v>58.56</v>
      </c>
      <c r="I1891">
        <v>1</v>
      </c>
      <c r="J1891">
        <v>1</v>
      </c>
      <c r="K1891" t="s">
        <v>31</v>
      </c>
      <c r="L1891" t="s">
        <v>31</v>
      </c>
      <c r="M1891">
        <v>2024</v>
      </c>
      <c r="N1891" t="s">
        <v>44</v>
      </c>
      <c r="O1891" t="s">
        <v>71</v>
      </c>
      <c r="P1891">
        <v>0</v>
      </c>
      <c r="Q1891">
        <v>0</v>
      </c>
      <c r="R1891">
        <v>0</v>
      </c>
      <c r="S1891" t="s">
        <v>99</v>
      </c>
      <c r="T1891" t="s">
        <v>3063</v>
      </c>
      <c r="U1891">
        <v>1</v>
      </c>
    </row>
    <row r="1892" spans="1:21" x14ac:dyDescent="0.3">
      <c r="A1892" t="s">
        <v>3064</v>
      </c>
      <c r="B1892" t="s">
        <v>3065</v>
      </c>
      <c r="C1892" t="s">
        <v>3011</v>
      </c>
      <c r="D1892" t="s">
        <v>233</v>
      </c>
      <c r="E1892" t="s">
        <v>30</v>
      </c>
      <c r="F1892" s="6">
        <v>45107</v>
      </c>
      <c r="G1892">
        <v>61.42</v>
      </c>
      <c r="H1892">
        <v>67.67</v>
      </c>
      <c r="I1892">
        <v>1.1017583848909149</v>
      </c>
      <c r="J1892">
        <v>1.1017583848909149</v>
      </c>
      <c r="K1892" t="s">
        <v>31</v>
      </c>
      <c r="L1892" t="s">
        <v>31</v>
      </c>
      <c r="M1892">
        <v>2023</v>
      </c>
      <c r="N1892" t="s">
        <v>44</v>
      </c>
      <c r="O1892" t="s">
        <v>33</v>
      </c>
      <c r="P1892">
        <v>0</v>
      </c>
      <c r="Q1892">
        <v>0</v>
      </c>
      <c r="R1892">
        <v>0</v>
      </c>
      <c r="S1892" t="s">
        <v>99</v>
      </c>
      <c r="T1892" t="s">
        <v>3066</v>
      </c>
      <c r="U1892">
        <v>1</v>
      </c>
    </row>
    <row r="1893" spans="1:21" x14ac:dyDescent="0.3">
      <c r="A1893" t="s">
        <v>3064</v>
      </c>
      <c r="B1893" t="s">
        <v>3065</v>
      </c>
      <c r="C1893" t="s">
        <v>3011</v>
      </c>
      <c r="D1893" t="s">
        <v>233</v>
      </c>
      <c r="E1893" t="s">
        <v>30</v>
      </c>
      <c r="F1893" s="6">
        <v>45291</v>
      </c>
      <c r="G1893">
        <v>100</v>
      </c>
      <c r="H1893">
        <v>100</v>
      </c>
      <c r="I1893">
        <v>1</v>
      </c>
      <c r="J1893">
        <v>1</v>
      </c>
      <c r="K1893" t="s">
        <v>31</v>
      </c>
      <c r="L1893" t="s">
        <v>31</v>
      </c>
      <c r="M1893">
        <v>2023</v>
      </c>
      <c r="N1893" t="s">
        <v>57</v>
      </c>
      <c r="O1893" t="s">
        <v>47</v>
      </c>
      <c r="P1893">
        <v>0</v>
      </c>
      <c r="Q1893">
        <v>0</v>
      </c>
      <c r="R1893">
        <v>0</v>
      </c>
      <c r="S1893" t="s">
        <v>99</v>
      </c>
      <c r="T1893" t="s">
        <v>3067</v>
      </c>
      <c r="U1893">
        <v>1</v>
      </c>
    </row>
    <row r="1894" spans="1:21" x14ac:dyDescent="0.3">
      <c r="A1894" t="s">
        <v>3064</v>
      </c>
      <c r="B1894" t="s">
        <v>3065</v>
      </c>
      <c r="C1894" t="s">
        <v>3011</v>
      </c>
      <c r="D1894" t="s">
        <v>233</v>
      </c>
      <c r="E1894" t="s">
        <v>30</v>
      </c>
      <c r="F1894" s="6">
        <v>45473</v>
      </c>
      <c r="G1894">
        <v>44.29</v>
      </c>
      <c r="H1894">
        <v>44.65</v>
      </c>
      <c r="I1894">
        <v>1</v>
      </c>
      <c r="J1894">
        <v>1</v>
      </c>
      <c r="K1894" t="s">
        <v>31</v>
      </c>
      <c r="L1894" t="s">
        <v>31</v>
      </c>
      <c r="M1894">
        <v>2024</v>
      </c>
      <c r="N1894" t="s">
        <v>44</v>
      </c>
      <c r="O1894" t="s">
        <v>71</v>
      </c>
      <c r="P1894">
        <v>0</v>
      </c>
      <c r="Q1894">
        <v>0</v>
      </c>
      <c r="R1894">
        <v>0</v>
      </c>
      <c r="S1894" t="s">
        <v>99</v>
      </c>
      <c r="T1894" t="s">
        <v>3068</v>
      </c>
      <c r="U1894">
        <v>1</v>
      </c>
    </row>
    <row r="1895" spans="1:21" x14ac:dyDescent="0.3">
      <c r="A1895" t="s">
        <v>3069</v>
      </c>
      <c r="B1895" t="s">
        <v>3070</v>
      </c>
      <c r="C1895" t="s">
        <v>3071</v>
      </c>
      <c r="D1895" t="s">
        <v>222</v>
      </c>
      <c r="E1895" t="s">
        <v>30</v>
      </c>
      <c r="F1895" s="6">
        <v>45107</v>
      </c>
      <c r="G1895">
        <v>100</v>
      </c>
      <c r="H1895">
        <v>100</v>
      </c>
      <c r="I1895">
        <v>1</v>
      </c>
      <c r="J1895">
        <v>1</v>
      </c>
      <c r="K1895" t="s">
        <v>31</v>
      </c>
      <c r="L1895" t="s">
        <v>31</v>
      </c>
      <c r="M1895">
        <v>2023</v>
      </c>
      <c r="N1895" t="s">
        <v>44</v>
      </c>
      <c r="O1895" t="s">
        <v>33</v>
      </c>
      <c r="P1895">
        <v>0</v>
      </c>
      <c r="Q1895">
        <v>0</v>
      </c>
      <c r="R1895">
        <v>0</v>
      </c>
      <c r="S1895" t="s">
        <v>718</v>
      </c>
      <c r="T1895" t="s">
        <v>3072</v>
      </c>
      <c r="U1895">
        <v>1</v>
      </c>
    </row>
    <row r="1896" spans="1:21" x14ac:dyDescent="0.3">
      <c r="A1896" t="s">
        <v>3069</v>
      </c>
      <c r="B1896" t="s">
        <v>3070</v>
      </c>
      <c r="C1896" t="s">
        <v>3071</v>
      </c>
      <c r="D1896" t="s">
        <v>222</v>
      </c>
      <c r="E1896" t="s">
        <v>30</v>
      </c>
      <c r="F1896" s="6">
        <v>45291</v>
      </c>
      <c r="G1896">
        <v>100</v>
      </c>
      <c r="H1896">
        <v>100</v>
      </c>
      <c r="I1896">
        <v>1</v>
      </c>
      <c r="J1896">
        <v>1</v>
      </c>
      <c r="K1896" t="s">
        <v>31</v>
      </c>
      <c r="L1896" t="s">
        <v>31</v>
      </c>
      <c r="M1896">
        <v>2023</v>
      </c>
      <c r="N1896" t="s">
        <v>57</v>
      </c>
      <c r="O1896" t="s">
        <v>47</v>
      </c>
      <c r="P1896">
        <v>0</v>
      </c>
      <c r="Q1896">
        <v>0</v>
      </c>
      <c r="R1896">
        <v>0</v>
      </c>
      <c r="S1896" t="s">
        <v>718</v>
      </c>
      <c r="T1896" t="s">
        <v>3073</v>
      </c>
      <c r="U1896">
        <v>1</v>
      </c>
    </row>
    <row r="1897" spans="1:21" x14ac:dyDescent="0.3">
      <c r="A1897" t="s">
        <v>3069</v>
      </c>
      <c r="B1897" t="s">
        <v>3070</v>
      </c>
      <c r="C1897" t="s">
        <v>3071</v>
      </c>
      <c r="D1897" t="s">
        <v>222</v>
      </c>
      <c r="E1897" t="s">
        <v>30</v>
      </c>
      <c r="F1897" s="6">
        <v>45473</v>
      </c>
      <c r="G1897">
        <v>96</v>
      </c>
      <c r="H1897">
        <v>100</v>
      </c>
      <c r="I1897">
        <v>1.041666666666667</v>
      </c>
      <c r="J1897">
        <v>1.041666666666667</v>
      </c>
      <c r="K1897" t="s">
        <v>31</v>
      </c>
      <c r="L1897" t="s">
        <v>31</v>
      </c>
      <c r="M1897">
        <v>2024</v>
      </c>
      <c r="N1897" t="s">
        <v>44</v>
      </c>
      <c r="O1897" t="s">
        <v>71</v>
      </c>
      <c r="P1897">
        <v>0</v>
      </c>
      <c r="Q1897">
        <v>0</v>
      </c>
      <c r="R1897">
        <v>0</v>
      </c>
      <c r="S1897" t="s">
        <v>718</v>
      </c>
      <c r="T1897" t="s">
        <v>3074</v>
      </c>
      <c r="U1897">
        <v>1</v>
      </c>
    </row>
    <row r="1898" spans="1:21" x14ac:dyDescent="0.3">
      <c r="A1898" t="s">
        <v>3069</v>
      </c>
      <c r="B1898" t="s">
        <v>3070</v>
      </c>
      <c r="C1898" t="s">
        <v>3071</v>
      </c>
      <c r="D1898" t="s">
        <v>222</v>
      </c>
      <c r="E1898" t="s">
        <v>30</v>
      </c>
      <c r="F1898" s="6">
        <v>45657</v>
      </c>
      <c r="G1898">
        <v>96</v>
      </c>
      <c r="H1898">
        <v>100</v>
      </c>
      <c r="I1898">
        <v>1.041666666666667</v>
      </c>
      <c r="J1898">
        <v>1.041666666666667</v>
      </c>
      <c r="K1898" t="s">
        <v>31</v>
      </c>
      <c r="L1898" t="s">
        <v>31</v>
      </c>
      <c r="M1898">
        <v>2024</v>
      </c>
      <c r="N1898" t="s">
        <v>57</v>
      </c>
      <c r="O1898" t="s">
        <v>78</v>
      </c>
      <c r="P1898">
        <v>0</v>
      </c>
      <c r="Q1898">
        <v>0</v>
      </c>
      <c r="R1898">
        <v>0</v>
      </c>
      <c r="S1898" t="s">
        <v>718</v>
      </c>
      <c r="T1898" t="s">
        <v>3075</v>
      </c>
      <c r="U1898">
        <v>1</v>
      </c>
    </row>
    <row r="1899" spans="1:21" x14ac:dyDescent="0.3">
      <c r="A1899" t="s">
        <v>3076</v>
      </c>
      <c r="B1899" t="s">
        <v>3077</v>
      </c>
      <c r="C1899" t="s">
        <v>3071</v>
      </c>
      <c r="D1899" t="s">
        <v>222</v>
      </c>
      <c r="E1899" t="s">
        <v>30</v>
      </c>
      <c r="F1899" s="6">
        <v>45107</v>
      </c>
      <c r="G1899">
        <v>310000000</v>
      </c>
      <c r="H1899">
        <v>341285148</v>
      </c>
      <c r="I1899">
        <v>1.100919832258064</v>
      </c>
      <c r="J1899">
        <v>1.100919832258064</v>
      </c>
      <c r="K1899" t="s">
        <v>31</v>
      </c>
      <c r="L1899" t="s">
        <v>31</v>
      </c>
      <c r="M1899">
        <v>2023</v>
      </c>
      <c r="N1899" t="s">
        <v>44</v>
      </c>
      <c r="O1899" t="s">
        <v>33</v>
      </c>
      <c r="P1899">
        <v>0</v>
      </c>
      <c r="Q1899">
        <v>0</v>
      </c>
      <c r="R1899">
        <v>0</v>
      </c>
      <c r="S1899" t="s">
        <v>718</v>
      </c>
      <c r="T1899" t="s">
        <v>3078</v>
      </c>
      <c r="U1899">
        <v>1</v>
      </c>
    </row>
    <row r="1900" spans="1:21" x14ac:dyDescent="0.3">
      <c r="A1900" t="s">
        <v>3076</v>
      </c>
      <c r="B1900" t="s">
        <v>3077</v>
      </c>
      <c r="C1900" t="s">
        <v>3071</v>
      </c>
      <c r="D1900" t="s">
        <v>222</v>
      </c>
      <c r="E1900" t="s">
        <v>30</v>
      </c>
      <c r="F1900" s="6">
        <v>45291</v>
      </c>
      <c r="G1900">
        <v>420000000</v>
      </c>
      <c r="H1900">
        <v>1075863089</v>
      </c>
      <c r="I1900">
        <v>2.5615787833333332</v>
      </c>
      <c r="J1900">
        <v>2.5615787833333332</v>
      </c>
      <c r="K1900" t="s">
        <v>31</v>
      </c>
      <c r="L1900" t="s">
        <v>31</v>
      </c>
      <c r="M1900">
        <v>2023</v>
      </c>
      <c r="N1900" t="s">
        <v>57</v>
      </c>
      <c r="O1900" t="s">
        <v>47</v>
      </c>
      <c r="P1900">
        <v>0</v>
      </c>
      <c r="Q1900">
        <v>0</v>
      </c>
      <c r="R1900">
        <v>0</v>
      </c>
      <c r="S1900" t="s">
        <v>718</v>
      </c>
      <c r="T1900" t="s">
        <v>3079</v>
      </c>
      <c r="U1900">
        <v>1</v>
      </c>
    </row>
    <row r="1901" spans="1:21" x14ac:dyDescent="0.3">
      <c r="A1901" t="s">
        <v>3076</v>
      </c>
      <c r="B1901" t="s">
        <v>3077</v>
      </c>
      <c r="C1901" t="s">
        <v>3071</v>
      </c>
      <c r="D1901" t="s">
        <v>222</v>
      </c>
      <c r="E1901" t="s">
        <v>30</v>
      </c>
      <c r="F1901" s="6">
        <v>45473</v>
      </c>
      <c r="G1901">
        <v>341000000</v>
      </c>
      <c r="H1901">
        <v>334552287</v>
      </c>
      <c r="I1901">
        <v>0.98109175073313781</v>
      </c>
      <c r="J1901">
        <v>0.98109175073313781</v>
      </c>
      <c r="K1901" t="s">
        <v>335</v>
      </c>
      <c r="L1901" t="s">
        <v>335</v>
      </c>
      <c r="M1901">
        <v>2024</v>
      </c>
      <c r="N1901" t="s">
        <v>44</v>
      </c>
      <c r="O1901" t="s">
        <v>71</v>
      </c>
      <c r="P1901">
        <v>0</v>
      </c>
      <c r="Q1901">
        <v>0</v>
      </c>
      <c r="R1901">
        <v>0</v>
      </c>
      <c r="S1901" t="s">
        <v>718</v>
      </c>
      <c r="T1901" t="s">
        <v>3080</v>
      </c>
      <c r="U1901">
        <v>1</v>
      </c>
    </row>
    <row r="1902" spans="1:21" x14ac:dyDescent="0.3">
      <c r="A1902" t="s">
        <v>3076</v>
      </c>
      <c r="B1902" t="s">
        <v>3077</v>
      </c>
      <c r="C1902" t="s">
        <v>3071</v>
      </c>
      <c r="D1902" t="s">
        <v>222</v>
      </c>
      <c r="E1902" t="s">
        <v>30</v>
      </c>
      <c r="F1902" s="6">
        <v>45657</v>
      </c>
      <c r="G1902">
        <v>100</v>
      </c>
      <c r="H1902">
        <v>252.39</v>
      </c>
      <c r="I1902">
        <v>1.3</v>
      </c>
      <c r="J1902">
        <v>2.5238999999999998</v>
      </c>
      <c r="K1902" t="s">
        <v>335</v>
      </c>
      <c r="L1902" t="s">
        <v>335</v>
      </c>
      <c r="M1902">
        <v>2024</v>
      </c>
      <c r="N1902" t="s">
        <v>57</v>
      </c>
      <c r="O1902" t="s">
        <v>78</v>
      </c>
      <c r="P1902">
        <v>0</v>
      </c>
      <c r="Q1902">
        <v>0</v>
      </c>
      <c r="R1902">
        <v>0</v>
      </c>
      <c r="S1902" t="s">
        <v>718</v>
      </c>
      <c r="T1902" t="s">
        <v>3081</v>
      </c>
      <c r="U1902">
        <v>1</v>
      </c>
    </row>
    <row r="1903" spans="1:21" x14ac:dyDescent="0.3">
      <c r="A1903" t="s">
        <v>3076</v>
      </c>
      <c r="B1903" t="s">
        <v>3077</v>
      </c>
      <c r="C1903" t="s">
        <v>3071</v>
      </c>
      <c r="D1903" t="s">
        <v>98</v>
      </c>
      <c r="E1903" t="s">
        <v>30</v>
      </c>
      <c r="F1903" s="6">
        <v>46022</v>
      </c>
      <c r="G1903">
        <v>100</v>
      </c>
      <c r="H1903" t="s">
        <v>3082</v>
      </c>
      <c r="I1903">
        <v>1.008</v>
      </c>
      <c r="J1903">
        <v>1.008</v>
      </c>
      <c r="K1903" t="s">
        <v>102</v>
      </c>
      <c r="L1903" t="s">
        <v>3083</v>
      </c>
      <c r="M1903">
        <v>2025</v>
      </c>
      <c r="N1903" t="s">
        <v>57</v>
      </c>
      <c r="O1903" t="s">
        <v>103</v>
      </c>
      <c r="P1903">
        <v>2</v>
      </c>
      <c r="Q1903">
        <v>2</v>
      </c>
      <c r="R1903">
        <v>0</v>
      </c>
      <c r="S1903" t="s">
        <v>718</v>
      </c>
      <c r="T1903" t="s">
        <v>3084</v>
      </c>
      <c r="U1903">
        <v>31</v>
      </c>
    </row>
    <row r="1904" spans="1:21" x14ac:dyDescent="0.3">
      <c r="A1904" t="s">
        <v>3085</v>
      </c>
      <c r="B1904" t="s">
        <v>3086</v>
      </c>
      <c r="C1904" t="s">
        <v>3071</v>
      </c>
      <c r="D1904" t="s">
        <v>98</v>
      </c>
      <c r="E1904" t="s">
        <v>30</v>
      </c>
      <c r="F1904" s="6">
        <v>45291</v>
      </c>
      <c r="G1904">
        <v>15</v>
      </c>
      <c r="H1904">
        <v>15.45</v>
      </c>
      <c r="I1904">
        <v>0.970873786407767</v>
      </c>
      <c r="J1904">
        <v>0.970873786407767</v>
      </c>
      <c r="K1904" t="s">
        <v>335</v>
      </c>
      <c r="L1904" t="s">
        <v>335</v>
      </c>
      <c r="M1904">
        <v>2023</v>
      </c>
      <c r="N1904" t="s">
        <v>57</v>
      </c>
      <c r="O1904" t="s">
        <v>47</v>
      </c>
      <c r="P1904">
        <v>0</v>
      </c>
      <c r="Q1904">
        <v>0</v>
      </c>
      <c r="R1904">
        <v>0</v>
      </c>
      <c r="S1904" t="s">
        <v>718</v>
      </c>
      <c r="T1904" t="s">
        <v>3087</v>
      </c>
      <c r="U1904">
        <v>1</v>
      </c>
    </row>
    <row r="1905" spans="1:21" x14ac:dyDescent="0.3">
      <c r="A1905" t="s">
        <v>3085</v>
      </c>
      <c r="B1905" t="s">
        <v>3086</v>
      </c>
      <c r="C1905" t="s">
        <v>3071</v>
      </c>
      <c r="D1905" t="s">
        <v>98</v>
      </c>
      <c r="E1905" t="s">
        <v>108</v>
      </c>
      <c r="F1905" s="6">
        <v>45657</v>
      </c>
      <c r="G1905">
        <v>15</v>
      </c>
      <c r="H1905">
        <v>13</v>
      </c>
      <c r="I1905">
        <v>0.8666666666666667</v>
      </c>
      <c r="J1905">
        <v>0.8666666666666667</v>
      </c>
      <c r="M1905">
        <v>2024</v>
      </c>
      <c r="N1905" t="s">
        <v>57</v>
      </c>
      <c r="O1905" t="s">
        <v>78</v>
      </c>
      <c r="P1905">
        <v>0</v>
      </c>
      <c r="Q1905">
        <v>0</v>
      </c>
      <c r="R1905">
        <v>0</v>
      </c>
      <c r="S1905" t="s">
        <v>718</v>
      </c>
      <c r="T1905" t="s">
        <v>3088</v>
      </c>
      <c r="U1905">
        <v>1</v>
      </c>
    </row>
    <row r="1906" spans="1:21" x14ac:dyDescent="0.3">
      <c r="A1906" t="s">
        <v>3085</v>
      </c>
      <c r="B1906" t="s">
        <v>3086</v>
      </c>
      <c r="C1906" t="s">
        <v>3071</v>
      </c>
      <c r="D1906" t="s">
        <v>98</v>
      </c>
      <c r="E1906" t="s">
        <v>108</v>
      </c>
      <c r="F1906" s="6">
        <v>46022</v>
      </c>
      <c r="H1906" t="s">
        <v>314</v>
      </c>
      <c r="I1906">
        <v>0</v>
      </c>
      <c r="J1906">
        <v>0</v>
      </c>
      <c r="L1906" t="s">
        <v>3089</v>
      </c>
      <c r="M1906">
        <v>2025</v>
      </c>
      <c r="N1906" t="s">
        <v>57</v>
      </c>
      <c r="O1906" t="s">
        <v>103</v>
      </c>
      <c r="P1906">
        <v>2</v>
      </c>
      <c r="Q1906">
        <v>2</v>
      </c>
      <c r="R1906">
        <v>0</v>
      </c>
      <c r="S1906" t="s">
        <v>130</v>
      </c>
      <c r="T1906" t="s">
        <v>3090</v>
      </c>
      <c r="U1906">
        <v>31</v>
      </c>
    </row>
    <row r="1907" spans="1:21" x14ac:dyDescent="0.3">
      <c r="A1907" t="s">
        <v>3091</v>
      </c>
      <c r="B1907" t="s">
        <v>3092</v>
      </c>
      <c r="C1907" t="s">
        <v>3093</v>
      </c>
      <c r="D1907" t="s">
        <v>222</v>
      </c>
      <c r="E1907" t="s">
        <v>30</v>
      </c>
      <c r="F1907" s="6">
        <v>45107</v>
      </c>
      <c r="G1907">
        <v>175</v>
      </c>
      <c r="H1907">
        <v>482</v>
      </c>
      <c r="I1907">
        <v>1.3</v>
      </c>
      <c r="J1907">
        <v>2.754285714285714</v>
      </c>
      <c r="K1907" t="s">
        <v>118</v>
      </c>
      <c r="L1907" t="s">
        <v>118</v>
      </c>
      <c r="M1907">
        <v>2023</v>
      </c>
      <c r="N1907" t="s">
        <v>44</v>
      </c>
      <c r="O1907" t="s">
        <v>33</v>
      </c>
      <c r="P1907">
        <v>0</v>
      </c>
      <c r="Q1907">
        <v>0</v>
      </c>
      <c r="R1907">
        <v>0</v>
      </c>
      <c r="S1907" t="s">
        <v>718</v>
      </c>
      <c r="T1907" t="s">
        <v>3094</v>
      </c>
      <c r="U1907">
        <v>1</v>
      </c>
    </row>
    <row r="1908" spans="1:21" x14ac:dyDescent="0.3">
      <c r="A1908" t="s">
        <v>3091</v>
      </c>
      <c r="B1908" t="s">
        <v>3092</v>
      </c>
      <c r="C1908" t="s">
        <v>3093</v>
      </c>
      <c r="D1908" t="s">
        <v>222</v>
      </c>
      <c r="E1908" t="s">
        <v>30</v>
      </c>
      <c r="F1908" s="6">
        <v>45291</v>
      </c>
      <c r="G1908">
        <v>175</v>
      </c>
      <c r="H1908">
        <v>612</v>
      </c>
      <c r="I1908">
        <v>1.3</v>
      </c>
      <c r="J1908">
        <v>3.4971428571428569</v>
      </c>
      <c r="K1908" t="s">
        <v>118</v>
      </c>
      <c r="L1908" t="s">
        <v>118</v>
      </c>
      <c r="M1908">
        <v>2023</v>
      </c>
      <c r="N1908" t="s">
        <v>57</v>
      </c>
      <c r="O1908" t="s">
        <v>47</v>
      </c>
      <c r="P1908">
        <v>0</v>
      </c>
      <c r="Q1908">
        <v>0</v>
      </c>
      <c r="R1908">
        <v>0</v>
      </c>
      <c r="S1908" t="s">
        <v>718</v>
      </c>
      <c r="T1908" t="s">
        <v>3095</v>
      </c>
      <c r="U1908">
        <v>1</v>
      </c>
    </row>
    <row r="1909" spans="1:21" x14ac:dyDescent="0.3">
      <c r="A1909" t="s">
        <v>3091</v>
      </c>
      <c r="B1909" t="s">
        <v>3092</v>
      </c>
      <c r="C1909" t="s">
        <v>3093</v>
      </c>
      <c r="D1909" t="s">
        <v>222</v>
      </c>
      <c r="E1909" t="s">
        <v>30</v>
      </c>
      <c r="F1909" s="6">
        <v>45473</v>
      </c>
      <c r="G1909">
        <v>500</v>
      </c>
      <c r="H1909">
        <v>593</v>
      </c>
      <c r="I1909">
        <v>1.1859999999999999</v>
      </c>
      <c r="J1909">
        <v>1.1859999999999999</v>
      </c>
      <c r="K1909" t="s">
        <v>118</v>
      </c>
      <c r="L1909" t="s">
        <v>118</v>
      </c>
      <c r="M1909">
        <v>2024</v>
      </c>
      <c r="N1909" t="s">
        <v>44</v>
      </c>
      <c r="O1909" t="s">
        <v>71</v>
      </c>
      <c r="P1909">
        <v>0</v>
      </c>
      <c r="Q1909">
        <v>0</v>
      </c>
      <c r="R1909">
        <v>0</v>
      </c>
      <c r="S1909" t="s">
        <v>718</v>
      </c>
      <c r="T1909" t="s">
        <v>3096</v>
      </c>
      <c r="U1909">
        <v>1</v>
      </c>
    </row>
    <row r="1910" spans="1:21" x14ac:dyDescent="0.3">
      <c r="A1910" t="s">
        <v>3091</v>
      </c>
      <c r="B1910" t="s">
        <v>3092</v>
      </c>
      <c r="C1910" t="s">
        <v>3093</v>
      </c>
      <c r="D1910" t="s">
        <v>222</v>
      </c>
      <c r="E1910" t="s">
        <v>30</v>
      </c>
      <c r="F1910" s="6">
        <v>45657</v>
      </c>
      <c r="G1910">
        <v>500</v>
      </c>
      <c r="H1910">
        <v>960</v>
      </c>
      <c r="I1910">
        <v>1.3</v>
      </c>
      <c r="J1910">
        <v>1.92</v>
      </c>
      <c r="K1910" t="s">
        <v>118</v>
      </c>
      <c r="L1910" t="s">
        <v>118</v>
      </c>
      <c r="M1910">
        <v>2024</v>
      </c>
      <c r="N1910" t="s">
        <v>57</v>
      </c>
      <c r="O1910" t="s">
        <v>78</v>
      </c>
      <c r="P1910">
        <v>0</v>
      </c>
      <c r="Q1910">
        <v>0</v>
      </c>
      <c r="R1910">
        <v>0</v>
      </c>
      <c r="S1910" t="s">
        <v>718</v>
      </c>
      <c r="T1910" t="s">
        <v>3097</v>
      </c>
      <c r="U1910">
        <v>1</v>
      </c>
    </row>
    <row r="1911" spans="1:21" x14ac:dyDescent="0.3">
      <c r="A1911" t="s">
        <v>3091</v>
      </c>
      <c r="B1911" t="s">
        <v>3092</v>
      </c>
      <c r="C1911" t="s">
        <v>3093</v>
      </c>
      <c r="D1911" t="s">
        <v>233</v>
      </c>
      <c r="E1911" t="s">
        <v>30</v>
      </c>
      <c r="F1911" s="6">
        <v>45747</v>
      </c>
      <c r="G1911">
        <v>100</v>
      </c>
      <c r="H1911" t="s">
        <v>3098</v>
      </c>
      <c r="I1911">
        <v>1.3</v>
      </c>
      <c r="J1911">
        <v>2.2749999999999999</v>
      </c>
      <c r="K1911" t="s">
        <v>102</v>
      </c>
      <c r="L1911" t="s">
        <v>3099</v>
      </c>
      <c r="M1911">
        <v>2025</v>
      </c>
      <c r="N1911" t="s">
        <v>38</v>
      </c>
      <c r="O1911" t="s">
        <v>244</v>
      </c>
      <c r="P1911">
        <v>2</v>
      </c>
      <c r="Q1911">
        <v>2</v>
      </c>
      <c r="R1911">
        <v>0</v>
      </c>
      <c r="S1911" t="s">
        <v>130</v>
      </c>
      <c r="T1911" t="s">
        <v>3100</v>
      </c>
      <c r="U1911">
        <v>31</v>
      </c>
    </row>
    <row r="1912" spans="1:21" x14ac:dyDescent="0.3">
      <c r="A1912" t="s">
        <v>3091</v>
      </c>
      <c r="B1912" t="s">
        <v>3092</v>
      </c>
      <c r="C1912" t="s">
        <v>3093</v>
      </c>
      <c r="D1912" t="s">
        <v>233</v>
      </c>
      <c r="E1912" t="s">
        <v>30</v>
      </c>
      <c r="F1912" s="6">
        <v>45838</v>
      </c>
      <c r="G1912">
        <v>100</v>
      </c>
      <c r="H1912" t="s">
        <v>3101</v>
      </c>
      <c r="I1912">
        <v>0.96860000000000002</v>
      </c>
      <c r="J1912">
        <v>0.96860000000000002</v>
      </c>
      <c r="K1912" t="s">
        <v>102</v>
      </c>
      <c r="L1912" t="s">
        <v>3102</v>
      </c>
      <c r="M1912">
        <v>2025</v>
      </c>
      <c r="N1912" t="s">
        <v>44</v>
      </c>
      <c r="O1912" t="s">
        <v>244</v>
      </c>
      <c r="P1912">
        <v>2</v>
      </c>
      <c r="Q1912">
        <v>2</v>
      </c>
      <c r="R1912">
        <v>0</v>
      </c>
      <c r="S1912" t="s">
        <v>130</v>
      </c>
      <c r="T1912" t="s">
        <v>3103</v>
      </c>
      <c r="U1912">
        <v>30</v>
      </c>
    </row>
    <row r="1913" spans="1:21" x14ac:dyDescent="0.3">
      <c r="A1913" t="s">
        <v>3091</v>
      </c>
      <c r="B1913" t="s">
        <v>3092</v>
      </c>
      <c r="C1913" t="s">
        <v>3093</v>
      </c>
      <c r="D1913" t="s">
        <v>233</v>
      </c>
      <c r="E1913" t="s">
        <v>30</v>
      </c>
      <c r="F1913" s="6">
        <v>46022</v>
      </c>
      <c r="G1913">
        <v>100</v>
      </c>
      <c r="H1913" t="s">
        <v>3104</v>
      </c>
      <c r="I1913">
        <v>1.3</v>
      </c>
      <c r="J1913">
        <v>1.375</v>
      </c>
      <c r="K1913" t="s">
        <v>102</v>
      </c>
      <c r="L1913" t="s">
        <v>3105</v>
      </c>
      <c r="M1913">
        <v>2025</v>
      </c>
      <c r="N1913" t="s">
        <v>57</v>
      </c>
      <c r="O1913" t="s">
        <v>103</v>
      </c>
      <c r="P1913">
        <v>2</v>
      </c>
      <c r="Q1913">
        <v>2</v>
      </c>
      <c r="R1913">
        <v>0</v>
      </c>
      <c r="S1913" t="s">
        <v>130</v>
      </c>
      <c r="T1913" t="s">
        <v>3106</v>
      </c>
      <c r="U1913">
        <v>31</v>
      </c>
    </row>
    <row r="1914" spans="1:21" x14ac:dyDescent="0.3">
      <c r="A1914" t="s">
        <v>3107</v>
      </c>
      <c r="B1914" t="s">
        <v>3108</v>
      </c>
      <c r="C1914" t="s">
        <v>3093</v>
      </c>
      <c r="D1914" t="s">
        <v>222</v>
      </c>
      <c r="E1914" t="s">
        <v>30</v>
      </c>
      <c r="F1914" s="6">
        <v>45107</v>
      </c>
      <c r="G1914">
        <v>17</v>
      </c>
      <c r="H1914">
        <v>50</v>
      </c>
      <c r="I1914">
        <v>1.3</v>
      </c>
      <c r="J1914">
        <v>2.9411764705882359</v>
      </c>
      <c r="K1914" t="s">
        <v>118</v>
      </c>
      <c r="L1914" t="s">
        <v>118</v>
      </c>
      <c r="M1914">
        <v>2023</v>
      </c>
      <c r="N1914" t="s">
        <v>44</v>
      </c>
      <c r="O1914" t="s">
        <v>33</v>
      </c>
      <c r="P1914">
        <v>0</v>
      </c>
      <c r="Q1914">
        <v>0</v>
      </c>
      <c r="R1914">
        <v>0</v>
      </c>
      <c r="S1914" t="s">
        <v>718</v>
      </c>
      <c r="T1914" t="s">
        <v>3109</v>
      </c>
      <c r="U1914">
        <v>1</v>
      </c>
    </row>
    <row r="1915" spans="1:21" x14ac:dyDescent="0.3">
      <c r="A1915" t="s">
        <v>3107</v>
      </c>
      <c r="B1915" t="s">
        <v>3108</v>
      </c>
      <c r="C1915" t="s">
        <v>3093</v>
      </c>
      <c r="D1915" t="s">
        <v>222</v>
      </c>
      <c r="E1915" t="s">
        <v>30</v>
      </c>
      <c r="F1915" s="6">
        <v>45291</v>
      </c>
      <c r="G1915">
        <v>18</v>
      </c>
      <c r="H1915">
        <v>48</v>
      </c>
      <c r="I1915">
        <v>1.3</v>
      </c>
      <c r="J1915">
        <v>2.666666666666667</v>
      </c>
      <c r="K1915" t="s">
        <v>118</v>
      </c>
      <c r="L1915" t="s">
        <v>118</v>
      </c>
      <c r="M1915">
        <v>2023</v>
      </c>
      <c r="N1915" t="s">
        <v>57</v>
      </c>
      <c r="O1915" t="s">
        <v>47</v>
      </c>
      <c r="P1915">
        <v>0</v>
      </c>
      <c r="Q1915">
        <v>0</v>
      </c>
      <c r="R1915">
        <v>0</v>
      </c>
      <c r="S1915" t="s">
        <v>718</v>
      </c>
      <c r="T1915" t="s">
        <v>3110</v>
      </c>
      <c r="U1915">
        <v>1</v>
      </c>
    </row>
    <row r="1916" spans="1:21" x14ac:dyDescent="0.3">
      <c r="A1916" t="s">
        <v>3107</v>
      </c>
      <c r="B1916" t="s">
        <v>3111</v>
      </c>
      <c r="C1916" t="s">
        <v>3093</v>
      </c>
      <c r="D1916" t="s">
        <v>222</v>
      </c>
      <c r="E1916" t="s">
        <v>30</v>
      </c>
      <c r="F1916" s="6">
        <v>45473</v>
      </c>
      <c r="G1916">
        <v>90</v>
      </c>
      <c r="H1916">
        <v>99</v>
      </c>
      <c r="I1916">
        <v>1.1000000000000001</v>
      </c>
      <c r="J1916">
        <v>1.1000000000000001</v>
      </c>
      <c r="K1916" t="s">
        <v>118</v>
      </c>
      <c r="L1916" t="s">
        <v>118</v>
      </c>
      <c r="M1916">
        <v>2024</v>
      </c>
      <c r="N1916" t="s">
        <v>44</v>
      </c>
      <c r="O1916" t="s">
        <v>71</v>
      </c>
      <c r="P1916">
        <v>0</v>
      </c>
      <c r="Q1916">
        <v>0</v>
      </c>
      <c r="R1916">
        <v>0</v>
      </c>
      <c r="S1916" t="s">
        <v>718</v>
      </c>
      <c r="T1916" t="s">
        <v>3112</v>
      </c>
      <c r="U1916">
        <v>1</v>
      </c>
    </row>
    <row r="1917" spans="1:21" x14ac:dyDescent="0.3">
      <c r="A1917" t="s">
        <v>3107</v>
      </c>
      <c r="B1917" t="s">
        <v>3111</v>
      </c>
      <c r="C1917" t="s">
        <v>3093</v>
      </c>
      <c r="D1917" t="s">
        <v>222</v>
      </c>
      <c r="E1917" t="s">
        <v>30</v>
      </c>
      <c r="F1917" s="6">
        <v>45657</v>
      </c>
      <c r="G1917">
        <v>90</v>
      </c>
      <c r="H1917">
        <v>134</v>
      </c>
      <c r="I1917">
        <v>1.3</v>
      </c>
      <c r="J1917">
        <v>1.4888888888888889</v>
      </c>
      <c r="K1917" t="s">
        <v>118</v>
      </c>
      <c r="L1917" t="s">
        <v>118</v>
      </c>
      <c r="M1917">
        <v>2024</v>
      </c>
      <c r="N1917" t="s">
        <v>57</v>
      </c>
      <c r="O1917" t="s">
        <v>78</v>
      </c>
      <c r="P1917">
        <v>0</v>
      </c>
      <c r="Q1917">
        <v>0</v>
      </c>
      <c r="R1917">
        <v>0</v>
      </c>
      <c r="S1917" t="s">
        <v>718</v>
      </c>
      <c r="T1917" t="s">
        <v>3113</v>
      </c>
      <c r="U1917">
        <v>1</v>
      </c>
    </row>
    <row r="1918" spans="1:21" x14ac:dyDescent="0.3">
      <c r="A1918" t="s">
        <v>3107</v>
      </c>
      <c r="B1918" t="s">
        <v>3111</v>
      </c>
      <c r="C1918" t="s">
        <v>3093</v>
      </c>
      <c r="D1918" t="s">
        <v>233</v>
      </c>
      <c r="E1918" t="s">
        <v>30</v>
      </c>
      <c r="F1918" s="6">
        <v>45747</v>
      </c>
      <c r="G1918">
        <v>100</v>
      </c>
      <c r="H1918" t="s">
        <v>3114</v>
      </c>
      <c r="I1918">
        <v>1.3</v>
      </c>
      <c r="J1918">
        <v>2.9142999999999999</v>
      </c>
      <c r="K1918" t="s">
        <v>102</v>
      </c>
      <c r="L1918" t="s">
        <v>3115</v>
      </c>
      <c r="M1918">
        <v>2025</v>
      </c>
      <c r="N1918" t="s">
        <v>38</v>
      </c>
      <c r="O1918" t="s">
        <v>244</v>
      </c>
      <c r="P1918">
        <v>2</v>
      </c>
      <c r="Q1918">
        <v>2</v>
      </c>
      <c r="R1918">
        <v>0</v>
      </c>
      <c r="S1918" t="s">
        <v>130</v>
      </c>
      <c r="T1918" t="s">
        <v>3116</v>
      </c>
      <c r="U1918">
        <v>31</v>
      </c>
    </row>
    <row r="1919" spans="1:21" x14ac:dyDescent="0.3">
      <c r="A1919" t="s">
        <v>3107</v>
      </c>
      <c r="B1919" t="s">
        <v>3111</v>
      </c>
      <c r="C1919" t="s">
        <v>3093</v>
      </c>
      <c r="D1919" t="s">
        <v>233</v>
      </c>
      <c r="E1919" t="s">
        <v>30</v>
      </c>
      <c r="F1919" s="6">
        <v>45838</v>
      </c>
      <c r="G1919">
        <v>100</v>
      </c>
      <c r="H1919" t="s">
        <v>3117</v>
      </c>
      <c r="I1919">
        <v>1.3</v>
      </c>
      <c r="J1919">
        <v>1.6182000000000001</v>
      </c>
      <c r="K1919" t="s">
        <v>102</v>
      </c>
      <c r="L1919" t="s">
        <v>3118</v>
      </c>
      <c r="M1919">
        <v>2025</v>
      </c>
      <c r="N1919" t="s">
        <v>44</v>
      </c>
      <c r="O1919" t="s">
        <v>244</v>
      </c>
      <c r="P1919">
        <v>2</v>
      </c>
      <c r="Q1919">
        <v>2</v>
      </c>
      <c r="R1919">
        <v>0</v>
      </c>
      <c r="S1919" t="s">
        <v>130</v>
      </c>
      <c r="T1919" t="s">
        <v>3119</v>
      </c>
      <c r="U1919">
        <v>30</v>
      </c>
    </row>
    <row r="1920" spans="1:21" x14ac:dyDescent="0.3">
      <c r="A1920" t="s">
        <v>3107</v>
      </c>
      <c r="B1920" t="s">
        <v>3111</v>
      </c>
      <c r="C1920" t="s">
        <v>3093</v>
      </c>
      <c r="D1920" t="s">
        <v>233</v>
      </c>
      <c r="E1920" t="s">
        <v>30</v>
      </c>
      <c r="F1920" s="6">
        <v>46022</v>
      </c>
      <c r="G1920">
        <v>100</v>
      </c>
      <c r="H1920" t="s">
        <v>3120</v>
      </c>
      <c r="I1920">
        <v>1.3</v>
      </c>
      <c r="J1920">
        <v>1.7714000000000001</v>
      </c>
      <c r="K1920" t="s">
        <v>102</v>
      </c>
      <c r="L1920" t="s">
        <v>3121</v>
      </c>
      <c r="M1920">
        <v>2025</v>
      </c>
      <c r="N1920" t="s">
        <v>57</v>
      </c>
      <c r="O1920" t="s">
        <v>103</v>
      </c>
      <c r="P1920">
        <v>2</v>
      </c>
      <c r="Q1920">
        <v>2</v>
      </c>
      <c r="R1920">
        <v>0</v>
      </c>
      <c r="S1920" t="s">
        <v>130</v>
      </c>
      <c r="T1920" t="s">
        <v>3122</v>
      </c>
      <c r="U1920">
        <v>31</v>
      </c>
    </row>
    <row r="1921" spans="1:21" x14ac:dyDescent="0.3">
      <c r="A1921" t="s">
        <v>3123</v>
      </c>
      <c r="B1921" t="s">
        <v>3124</v>
      </c>
      <c r="C1921" t="s">
        <v>3071</v>
      </c>
      <c r="D1921" t="s">
        <v>222</v>
      </c>
      <c r="E1921" t="s">
        <v>30</v>
      </c>
      <c r="F1921" s="6">
        <v>45291</v>
      </c>
      <c r="G1921">
        <v>80</v>
      </c>
      <c r="H1921">
        <v>88.89</v>
      </c>
      <c r="I1921">
        <v>1.1111249999999999</v>
      </c>
      <c r="J1921">
        <v>1.1111249999999999</v>
      </c>
      <c r="K1921" t="s">
        <v>118</v>
      </c>
      <c r="L1921" t="s">
        <v>118</v>
      </c>
      <c r="M1921">
        <v>2023</v>
      </c>
      <c r="N1921" t="s">
        <v>57</v>
      </c>
      <c r="O1921" t="s">
        <v>47</v>
      </c>
      <c r="P1921">
        <v>0</v>
      </c>
      <c r="Q1921">
        <v>0</v>
      </c>
      <c r="R1921">
        <v>0</v>
      </c>
      <c r="S1921" t="s">
        <v>718</v>
      </c>
      <c r="T1921" t="s">
        <v>3125</v>
      </c>
      <c r="U1921">
        <v>1</v>
      </c>
    </row>
    <row r="1922" spans="1:21" x14ac:dyDescent="0.3">
      <c r="A1922" t="s">
        <v>3123</v>
      </c>
      <c r="B1922" t="s">
        <v>3124</v>
      </c>
      <c r="C1922" t="s">
        <v>3126</v>
      </c>
      <c r="D1922" t="s">
        <v>222</v>
      </c>
      <c r="E1922" t="s">
        <v>30</v>
      </c>
      <c r="F1922" s="6">
        <v>45473</v>
      </c>
      <c r="G1922">
        <v>80</v>
      </c>
      <c r="H1922">
        <v>88.1</v>
      </c>
      <c r="I1922">
        <v>1.1012500000000001</v>
      </c>
      <c r="J1922">
        <v>1.1012500000000001</v>
      </c>
      <c r="K1922" t="s">
        <v>118</v>
      </c>
      <c r="L1922" t="s">
        <v>109</v>
      </c>
      <c r="M1922">
        <v>2024</v>
      </c>
      <c r="N1922" t="s">
        <v>44</v>
      </c>
      <c r="O1922" t="s">
        <v>71</v>
      </c>
      <c r="P1922">
        <v>1</v>
      </c>
      <c r="Q1922">
        <v>1</v>
      </c>
      <c r="R1922">
        <v>0</v>
      </c>
      <c r="S1922" t="s">
        <v>718</v>
      </c>
      <c r="T1922" t="s">
        <v>3127</v>
      </c>
      <c r="U1922">
        <v>1</v>
      </c>
    </row>
    <row r="1923" spans="1:21" x14ac:dyDescent="0.3">
      <c r="A1923" t="s">
        <v>3128</v>
      </c>
      <c r="B1923" t="s">
        <v>3129</v>
      </c>
      <c r="C1923" t="s">
        <v>3071</v>
      </c>
      <c r="D1923" t="s">
        <v>222</v>
      </c>
      <c r="E1923" t="s">
        <v>30</v>
      </c>
      <c r="F1923" s="6">
        <v>45107</v>
      </c>
      <c r="G1923">
        <v>80</v>
      </c>
      <c r="H1923">
        <v>91.07</v>
      </c>
      <c r="I1923">
        <v>1.1383749999999999</v>
      </c>
      <c r="J1923">
        <v>1.1383749999999999</v>
      </c>
      <c r="K1923" t="s">
        <v>31</v>
      </c>
      <c r="L1923" t="s">
        <v>31</v>
      </c>
      <c r="M1923">
        <v>2023</v>
      </c>
      <c r="N1923" t="s">
        <v>44</v>
      </c>
      <c r="O1923" t="s">
        <v>33</v>
      </c>
      <c r="P1923">
        <v>0</v>
      </c>
      <c r="Q1923">
        <v>0</v>
      </c>
      <c r="R1923">
        <v>0</v>
      </c>
      <c r="S1923" t="s">
        <v>718</v>
      </c>
      <c r="T1923" t="s">
        <v>3130</v>
      </c>
      <c r="U1923">
        <v>1</v>
      </c>
    </row>
    <row r="1924" spans="1:21" x14ac:dyDescent="0.3">
      <c r="A1924" t="s">
        <v>3128</v>
      </c>
      <c r="B1924" t="s">
        <v>3129</v>
      </c>
      <c r="C1924" t="s">
        <v>3071</v>
      </c>
      <c r="D1924" t="s">
        <v>222</v>
      </c>
      <c r="E1924" t="s">
        <v>30</v>
      </c>
      <c r="F1924" s="6">
        <v>45291</v>
      </c>
      <c r="G1924">
        <v>80</v>
      </c>
      <c r="H1924">
        <v>92.96</v>
      </c>
      <c r="I1924">
        <v>1.1619999999999999</v>
      </c>
      <c r="J1924">
        <v>1.1619999999999999</v>
      </c>
      <c r="K1924" t="s">
        <v>31</v>
      </c>
      <c r="L1924" t="s">
        <v>31</v>
      </c>
      <c r="M1924">
        <v>2023</v>
      </c>
      <c r="N1924" t="s">
        <v>57</v>
      </c>
      <c r="O1924" t="s">
        <v>47</v>
      </c>
      <c r="P1924">
        <v>0</v>
      </c>
      <c r="Q1924">
        <v>0</v>
      </c>
      <c r="R1924">
        <v>0</v>
      </c>
      <c r="S1924" t="s">
        <v>718</v>
      </c>
      <c r="T1924" t="s">
        <v>3131</v>
      </c>
      <c r="U1924">
        <v>1</v>
      </c>
    </row>
    <row r="1925" spans="1:21" x14ac:dyDescent="0.3">
      <c r="A1925" t="s">
        <v>3128</v>
      </c>
      <c r="B1925" t="s">
        <v>3129</v>
      </c>
      <c r="C1925" t="s">
        <v>3126</v>
      </c>
      <c r="D1925" t="s">
        <v>222</v>
      </c>
      <c r="E1925" t="s">
        <v>30</v>
      </c>
      <c r="F1925" s="6">
        <v>45473</v>
      </c>
      <c r="G1925">
        <v>80</v>
      </c>
      <c r="H1925">
        <v>88.08</v>
      </c>
      <c r="I1925">
        <v>1.101</v>
      </c>
      <c r="J1925">
        <v>1.101</v>
      </c>
      <c r="K1925" t="s">
        <v>31</v>
      </c>
      <c r="L1925" t="s">
        <v>31</v>
      </c>
      <c r="M1925">
        <v>2024</v>
      </c>
      <c r="N1925" t="s">
        <v>44</v>
      </c>
      <c r="O1925" t="s">
        <v>71</v>
      </c>
      <c r="P1925">
        <v>1</v>
      </c>
      <c r="Q1925">
        <v>1</v>
      </c>
      <c r="R1925">
        <v>0</v>
      </c>
      <c r="S1925" t="s">
        <v>718</v>
      </c>
      <c r="T1925" t="s">
        <v>3132</v>
      </c>
      <c r="U1925">
        <v>1</v>
      </c>
    </row>
    <row r="1926" spans="1:21" x14ac:dyDescent="0.3">
      <c r="A1926" t="s">
        <v>3128</v>
      </c>
      <c r="B1926" t="s">
        <v>3129</v>
      </c>
      <c r="C1926" t="s">
        <v>3126</v>
      </c>
      <c r="D1926" t="s">
        <v>222</v>
      </c>
      <c r="E1926" t="s">
        <v>30</v>
      </c>
      <c r="F1926" s="6">
        <v>45657</v>
      </c>
      <c r="G1926">
        <v>80</v>
      </c>
      <c r="H1926">
        <v>94.88</v>
      </c>
      <c r="I1926">
        <v>1.1859999999999999</v>
      </c>
      <c r="J1926">
        <v>1.1859999999999999</v>
      </c>
      <c r="K1926" t="s">
        <v>31</v>
      </c>
      <c r="L1926" t="s">
        <v>31</v>
      </c>
      <c r="M1926">
        <v>2024</v>
      </c>
      <c r="N1926" t="s">
        <v>57</v>
      </c>
      <c r="O1926" t="s">
        <v>78</v>
      </c>
      <c r="P1926">
        <v>1</v>
      </c>
      <c r="Q1926">
        <v>1</v>
      </c>
      <c r="R1926">
        <v>0</v>
      </c>
      <c r="S1926" t="s">
        <v>718</v>
      </c>
      <c r="T1926" t="s">
        <v>3133</v>
      </c>
      <c r="U1926">
        <v>1</v>
      </c>
    </row>
    <row r="1927" spans="1:21" x14ac:dyDescent="0.3">
      <c r="A1927" t="s">
        <v>3128</v>
      </c>
      <c r="B1927" t="s">
        <v>3134</v>
      </c>
      <c r="C1927" t="s">
        <v>3126</v>
      </c>
      <c r="D1927" t="s">
        <v>222</v>
      </c>
      <c r="E1927" t="s">
        <v>30</v>
      </c>
      <c r="F1927" s="6">
        <v>45838</v>
      </c>
      <c r="G1927">
        <v>90</v>
      </c>
      <c r="H1927" t="s">
        <v>3135</v>
      </c>
      <c r="I1927">
        <v>1.058444444444445</v>
      </c>
      <c r="J1927">
        <v>1.058444444444445</v>
      </c>
      <c r="K1927" t="s">
        <v>256</v>
      </c>
      <c r="L1927" t="s">
        <v>3136</v>
      </c>
      <c r="M1927">
        <v>2025</v>
      </c>
      <c r="N1927" t="s">
        <v>44</v>
      </c>
      <c r="O1927" t="s">
        <v>244</v>
      </c>
      <c r="P1927">
        <v>2</v>
      </c>
      <c r="Q1927">
        <v>2</v>
      </c>
      <c r="R1927">
        <v>0</v>
      </c>
      <c r="S1927" t="s">
        <v>130</v>
      </c>
      <c r="T1927" t="s">
        <v>3137</v>
      </c>
      <c r="U1927">
        <v>30</v>
      </c>
    </row>
    <row r="1928" spans="1:21" x14ac:dyDescent="0.3">
      <c r="A1928" t="s">
        <v>3128</v>
      </c>
      <c r="B1928" t="s">
        <v>3134</v>
      </c>
      <c r="C1928" t="s">
        <v>3126</v>
      </c>
      <c r="D1928" t="s">
        <v>222</v>
      </c>
      <c r="E1928" t="s">
        <v>30</v>
      </c>
      <c r="F1928" s="6">
        <v>46022</v>
      </c>
      <c r="G1928">
        <v>90</v>
      </c>
      <c r="H1928" t="s">
        <v>3138</v>
      </c>
      <c r="I1928">
        <v>1.068222222222222</v>
      </c>
      <c r="J1928">
        <v>1.068222222222222</v>
      </c>
      <c r="K1928" t="s">
        <v>256</v>
      </c>
      <c r="L1928" t="s">
        <v>3139</v>
      </c>
      <c r="M1928">
        <v>2025</v>
      </c>
      <c r="N1928" t="s">
        <v>57</v>
      </c>
      <c r="O1928" t="s">
        <v>103</v>
      </c>
      <c r="P1928">
        <v>2</v>
      </c>
      <c r="Q1928">
        <v>2</v>
      </c>
      <c r="R1928">
        <v>0</v>
      </c>
      <c r="S1928" t="s">
        <v>130</v>
      </c>
      <c r="T1928" t="s">
        <v>3140</v>
      </c>
      <c r="U1928">
        <v>31</v>
      </c>
    </row>
    <row r="1929" spans="1:21" x14ac:dyDescent="0.3">
      <c r="A1929" t="s">
        <v>3141</v>
      </c>
      <c r="B1929" t="s">
        <v>3142</v>
      </c>
      <c r="C1929" t="s">
        <v>3143</v>
      </c>
      <c r="D1929" t="s">
        <v>222</v>
      </c>
      <c r="E1929" t="s">
        <v>30</v>
      </c>
      <c r="F1929" s="6">
        <v>45107</v>
      </c>
      <c r="G1929">
        <v>1000</v>
      </c>
      <c r="H1929">
        <v>2568</v>
      </c>
      <c r="I1929">
        <v>1.3</v>
      </c>
      <c r="J1929">
        <v>2.5680000000000001</v>
      </c>
      <c r="K1929" t="s">
        <v>118</v>
      </c>
      <c r="L1929" t="s">
        <v>118</v>
      </c>
      <c r="M1929">
        <v>2023</v>
      </c>
      <c r="N1929" t="s">
        <v>44</v>
      </c>
      <c r="O1929" t="s">
        <v>33</v>
      </c>
      <c r="P1929">
        <v>0</v>
      </c>
      <c r="Q1929">
        <v>0</v>
      </c>
      <c r="R1929">
        <v>0</v>
      </c>
      <c r="S1929" t="s">
        <v>130</v>
      </c>
      <c r="T1929" t="s">
        <v>3144</v>
      </c>
      <c r="U1929">
        <v>1</v>
      </c>
    </row>
    <row r="1930" spans="1:21" x14ac:dyDescent="0.3">
      <c r="A1930" t="s">
        <v>3141</v>
      </c>
      <c r="B1930" t="s">
        <v>3142</v>
      </c>
      <c r="C1930" t="s">
        <v>3143</v>
      </c>
      <c r="D1930" t="s">
        <v>222</v>
      </c>
      <c r="E1930" t="s">
        <v>30</v>
      </c>
      <c r="F1930" s="6">
        <v>45291</v>
      </c>
      <c r="G1930">
        <v>1000</v>
      </c>
      <c r="H1930">
        <v>2344</v>
      </c>
      <c r="I1930">
        <v>1.3</v>
      </c>
      <c r="J1930">
        <v>2.3439999999999999</v>
      </c>
      <c r="K1930" t="s">
        <v>118</v>
      </c>
      <c r="L1930" t="s">
        <v>118</v>
      </c>
      <c r="M1930">
        <v>2023</v>
      </c>
      <c r="N1930" t="s">
        <v>57</v>
      </c>
      <c r="O1930" t="s">
        <v>47</v>
      </c>
      <c r="P1930">
        <v>0</v>
      </c>
      <c r="Q1930">
        <v>0</v>
      </c>
      <c r="R1930">
        <v>0</v>
      </c>
      <c r="S1930" t="s">
        <v>130</v>
      </c>
      <c r="T1930" t="s">
        <v>3145</v>
      </c>
      <c r="U1930">
        <v>1</v>
      </c>
    </row>
    <row r="1931" spans="1:21" x14ac:dyDescent="0.3">
      <c r="A1931" t="s">
        <v>3141</v>
      </c>
      <c r="B1931" t="s">
        <v>3142</v>
      </c>
      <c r="C1931" t="s">
        <v>3143</v>
      </c>
      <c r="D1931" t="s">
        <v>222</v>
      </c>
      <c r="E1931" t="s">
        <v>30</v>
      </c>
      <c r="F1931" s="6">
        <v>45473</v>
      </c>
      <c r="G1931">
        <v>1250</v>
      </c>
      <c r="H1931">
        <v>3478</v>
      </c>
      <c r="I1931">
        <v>1.3</v>
      </c>
      <c r="J1931">
        <v>2.7824</v>
      </c>
      <c r="K1931" t="s">
        <v>118</v>
      </c>
      <c r="L1931" t="s">
        <v>118</v>
      </c>
      <c r="M1931">
        <v>2024</v>
      </c>
      <c r="N1931" t="s">
        <v>44</v>
      </c>
      <c r="O1931" t="s">
        <v>71</v>
      </c>
      <c r="P1931">
        <v>0</v>
      </c>
      <c r="Q1931">
        <v>0</v>
      </c>
      <c r="R1931">
        <v>0</v>
      </c>
      <c r="S1931" t="s">
        <v>130</v>
      </c>
      <c r="T1931" t="s">
        <v>3146</v>
      </c>
      <c r="U1931">
        <v>1</v>
      </c>
    </row>
    <row r="1932" spans="1:21" x14ac:dyDescent="0.3">
      <c r="A1932" t="s">
        <v>3141</v>
      </c>
      <c r="B1932" t="s">
        <v>3142</v>
      </c>
      <c r="C1932" t="s">
        <v>3143</v>
      </c>
      <c r="D1932" t="s">
        <v>222</v>
      </c>
      <c r="E1932" t="s">
        <v>30</v>
      </c>
      <c r="F1932" s="6">
        <v>45657</v>
      </c>
      <c r="G1932">
        <v>1250</v>
      </c>
      <c r="H1932">
        <v>2000</v>
      </c>
      <c r="I1932">
        <v>1.3</v>
      </c>
      <c r="J1932">
        <v>1.6</v>
      </c>
      <c r="K1932" t="s">
        <v>118</v>
      </c>
      <c r="L1932" t="s">
        <v>118</v>
      </c>
      <c r="M1932">
        <v>2024</v>
      </c>
      <c r="N1932" t="s">
        <v>57</v>
      </c>
      <c r="O1932" t="s">
        <v>78</v>
      </c>
      <c r="P1932">
        <v>0</v>
      </c>
      <c r="Q1932">
        <v>0</v>
      </c>
      <c r="R1932">
        <v>0</v>
      </c>
      <c r="S1932" t="s">
        <v>130</v>
      </c>
      <c r="T1932" t="s">
        <v>3147</v>
      </c>
      <c r="U1932">
        <v>1</v>
      </c>
    </row>
    <row r="1933" spans="1:21" x14ac:dyDescent="0.3">
      <c r="A1933" t="s">
        <v>3141</v>
      </c>
      <c r="B1933" t="s">
        <v>3142</v>
      </c>
      <c r="C1933" t="s">
        <v>3143</v>
      </c>
      <c r="D1933" t="s">
        <v>222</v>
      </c>
      <c r="E1933" t="s">
        <v>30</v>
      </c>
      <c r="F1933" s="6">
        <v>45838</v>
      </c>
      <c r="G1933">
        <v>100</v>
      </c>
      <c r="H1933" t="s">
        <v>3148</v>
      </c>
      <c r="I1933">
        <v>1.3</v>
      </c>
      <c r="J1933">
        <v>1.595</v>
      </c>
      <c r="K1933" t="s">
        <v>102</v>
      </c>
      <c r="L1933" t="s">
        <v>3149</v>
      </c>
      <c r="M1933">
        <v>2025</v>
      </c>
      <c r="N1933" t="s">
        <v>44</v>
      </c>
      <c r="O1933" t="s">
        <v>244</v>
      </c>
      <c r="P1933">
        <v>2</v>
      </c>
      <c r="Q1933">
        <v>2</v>
      </c>
      <c r="R1933">
        <v>0</v>
      </c>
      <c r="S1933" t="s">
        <v>336</v>
      </c>
      <c r="T1933" t="s">
        <v>3150</v>
      </c>
      <c r="U1933">
        <v>30</v>
      </c>
    </row>
    <row r="1934" spans="1:21" x14ac:dyDescent="0.3">
      <c r="A1934" t="s">
        <v>3141</v>
      </c>
      <c r="B1934" t="s">
        <v>3142</v>
      </c>
      <c r="C1934" t="s">
        <v>3143</v>
      </c>
      <c r="D1934" t="s">
        <v>222</v>
      </c>
      <c r="E1934" t="s">
        <v>30</v>
      </c>
      <c r="F1934" s="6">
        <v>46022</v>
      </c>
      <c r="G1934">
        <v>100</v>
      </c>
      <c r="H1934" t="s">
        <v>3151</v>
      </c>
      <c r="I1934">
        <v>1.3</v>
      </c>
      <c r="J1934">
        <v>1.6871</v>
      </c>
      <c r="K1934" t="s">
        <v>102</v>
      </c>
      <c r="L1934" t="s">
        <v>3152</v>
      </c>
      <c r="M1934">
        <v>2025</v>
      </c>
      <c r="N1934" t="s">
        <v>57</v>
      </c>
      <c r="O1934" t="s">
        <v>103</v>
      </c>
      <c r="P1934">
        <v>2</v>
      </c>
      <c r="Q1934">
        <v>2</v>
      </c>
      <c r="R1934">
        <v>0</v>
      </c>
      <c r="S1934" t="s">
        <v>336</v>
      </c>
      <c r="T1934" t="s">
        <v>3153</v>
      </c>
      <c r="U1934">
        <v>31</v>
      </c>
    </row>
    <row r="1935" spans="1:21" x14ac:dyDescent="0.3">
      <c r="A1935" t="s">
        <v>3154</v>
      </c>
      <c r="B1935" t="s">
        <v>3155</v>
      </c>
      <c r="C1935" t="s">
        <v>3143</v>
      </c>
      <c r="D1935" t="s">
        <v>222</v>
      </c>
      <c r="E1935" t="s">
        <v>30</v>
      </c>
      <c r="F1935" s="6">
        <v>45107</v>
      </c>
      <c r="G1935">
        <v>500</v>
      </c>
      <c r="H1935">
        <v>589</v>
      </c>
      <c r="I1935">
        <v>1.1779999999999999</v>
      </c>
      <c r="J1935">
        <v>1.1779999999999999</v>
      </c>
      <c r="K1935" t="s">
        <v>118</v>
      </c>
      <c r="L1935" t="s">
        <v>118</v>
      </c>
      <c r="M1935">
        <v>2023</v>
      </c>
      <c r="N1935" t="s">
        <v>44</v>
      </c>
      <c r="O1935" t="s">
        <v>33</v>
      </c>
      <c r="P1935">
        <v>0</v>
      </c>
      <c r="Q1935">
        <v>0</v>
      </c>
      <c r="R1935">
        <v>0</v>
      </c>
      <c r="S1935" t="s">
        <v>130</v>
      </c>
      <c r="T1935" t="s">
        <v>3156</v>
      </c>
      <c r="U1935">
        <v>1</v>
      </c>
    </row>
    <row r="1936" spans="1:21" x14ac:dyDescent="0.3">
      <c r="A1936" t="s">
        <v>3154</v>
      </c>
      <c r="B1936" t="s">
        <v>3155</v>
      </c>
      <c r="C1936" t="s">
        <v>3143</v>
      </c>
      <c r="D1936" t="s">
        <v>222</v>
      </c>
      <c r="E1936" t="s">
        <v>30</v>
      </c>
      <c r="F1936" s="6">
        <v>45291</v>
      </c>
      <c r="G1936">
        <v>500</v>
      </c>
      <c r="H1936">
        <v>745</v>
      </c>
      <c r="I1936">
        <v>1.3</v>
      </c>
      <c r="J1936">
        <v>1.49</v>
      </c>
      <c r="K1936" t="s">
        <v>118</v>
      </c>
      <c r="L1936" t="s">
        <v>118</v>
      </c>
      <c r="M1936">
        <v>2023</v>
      </c>
      <c r="N1936" t="s">
        <v>57</v>
      </c>
      <c r="O1936" t="s">
        <v>47</v>
      </c>
      <c r="P1936">
        <v>0</v>
      </c>
      <c r="Q1936">
        <v>0</v>
      </c>
      <c r="R1936">
        <v>0</v>
      </c>
      <c r="S1936" t="s">
        <v>130</v>
      </c>
      <c r="T1936" t="s">
        <v>3157</v>
      </c>
      <c r="U1936">
        <v>1</v>
      </c>
    </row>
    <row r="1937" spans="1:21" x14ac:dyDescent="0.3">
      <c r="A1937" t="s">
        <v>3154</v>
      </c>
      <c r="B1937" t="s">
        <v>3158</v>
      </c>
      <c r="C1937" t="s">
        <v>3143</v>
      </c>
      <c r="D1937" t="s">
        <v>222</v>
      </c>
      <c r="E1937" t="s">
        <v>30</v>
      </c>
      <c r="F1937" s="6">
        <v>45473</v>
      </c>
      <c r="G1937">
        <v>625</v>
      </c>
      <c r="H1937">
        <v>696</v>
      </c>
      <c r="I1937">
        <v>1.1135999999999999</v>
      </c>
      <c r="J1937">
        <v>1.1135999999999999</v>
      </c>
      <c r="K1937" t="s">
        <v>118</v>
      </c>
      <c r="L1937" t="s">
        <v>118</v>
      </c>
      <c r="M1937">
        <v>2024</v>
      </c>
      <c r="N1937" t="s">
        <v>44</v>
      </c>
      <c r="O1937" t="s">
        <v>71</v>
      </c>
      <c r="P1937">
        <v>0</v>
      </c>
      <c r="Q1937">
        <v>0</v>
      </c>
      <c r="R1937">
        <v>0</v>
      </c>
      <c r="S1937" t="s">
        <v>130</v>
      </c>
      <c r="T1937" t="s">
        <v>3159</v>
      </c>
      <c r="U1937">
        <v>1</v>
      </c>
    </row>
    <row r="1938" spans="1:21" x14ac:dyDescent="0.3">
      <c r="A1938" t="s">
        <v>3154</v>
      </c>
      <c r="B1938" t="s">
        <v>3158</v>
      </c>
      <c r="C1938" t="s">
        <v>3143</v>
      </c>
      <c r="D1938" t="s">
        <v>222</v>
      </c>
      <c r="E1938" t="s">
        <v>30</v>
      </c>
      <c r="F1938" s="6">
        <v>45657</v>
      </c>
      <c r="G1938">
        <v>625</v>
      </c>
      <c r="H1938">
        <v>696</v>
      </c>
      <c r="I1938">
        <v>1.1135999999999999</v>
      </c>
      <c r="J1938">
        <v>1.1135999999999999</v>
      </c>
      <c r="K1938" t="s">
        <v>118</v>
      </c>
      <c r="L1938" t="s">
        <v>118</v>
      </c>
      <c r="M1938">
        <v>2024</v>
      </c>
      <c r="N1938" t="s">
        <v>57</v>
      </c>
      <c r="O1938" t="s">
        <v>78</v>
      </c>
      <c r="P1938">
        <v>0</v>
      </c>
      <c r="Q1938">
        <v>0</v>
      </c>
      <c r="R1938">
        <v>0</v>
      </c>
      <c r="S1938" t="s">
        <v>130</v>
      </c>
      <c r="T1938" t="s">
        <v>3160</v>
      </c>
      <c r="U1938">
        <v>1</v>
      </c>
    </row>
    <row r="1939" spans="1:21" x14ac:dyDescent="0.3">
      <c r="A1939" t="s">
        <v>3154</v>
      </c>
      <c r="B1939" t="s">
        <v>3158</v>
      </c>
      <c r="C1939" t="s">
        <v>3143</v>
      </c>
      <c r="D1939" t="s">
        <v>222</v>
      </c>
      <c r="E1939" t="s">
        <v>30</v>
      </c>
      <c r="F1939" s="6">
        <v>45838</v>
      </c>
      <c r="G1939">
        <v>100</v>
      </c>
      <c r="H1939" t="s">
        <v>3161</v>
      </c>
      <c r="I1939">
        <v>1.0293000000000001</v>
      </c>
      <c r="J1939">
        <v>1.0293000000000001</v>
      </c>
      <c r="K1939" t="s">
        <v>102</v>
      </c>
      <c r="L1939" t="s">
        <v>3162</v>
      </c>
      <c r="M1939">
        <v>2025</v>
      </c>
      <c r="N1939" t="s">
        <v>44</v>
      </c>
      <c r="O1939" t="s">
        <v>244</v>
      </c>
      <c r="P1939">
        <v>2</v>
      </c>
      <c r="Q1939">
        <v>2</v>
      </c>
      <c r="R1939">
        <v>0</v>
      </c>
      <c r="S1939" t="s">
        <v>336</v>
      </c>
      <c r="T1939" t="s">
        <v>3163</v>
      </c>
      <c r="U1939">
        <v>30</v>
      </c>
    </row>
    <row r="1940" spans="1:21" x14ac:dyDescent="0.3">
      <c r="A1940" t="s">
        <v>3154</v>
      </c>
      <c r="B1940" t="s">
        <v>3158</v>
      </c>
      <c r="C1940" t="s">
        <v>3143</v>
      </c>
      <c r="D1940" t="s">
        <v>222</v>
      </c>
      <c r="E1940" t="s">
        <v>30</v>
      </c>
      <c r="F1940" s="6">
        <v>46022</v>
      </c>
      <c r="G1940">
        <v>100</v>
      </c>
      <c r="H1940" t="s">
        <v>3164</v>
      </c>
      <c r="I1940">
        <v>1.0612999999999999</v>
      </c>
      <c r="J1940">
        <v>1.0612999999999999</v>
      </c>
      <c r="K1940" t="s">
        <v>102</v>
      </c>
      <c r="L1940" t="s">
        <v>3165</v>
      </c>
      <c r="M1940">
        <v>2025</v>
      </c>
      <c r="N1940" t="s">
        <v>57</v>
      </c>
      <c r="O1940" t="s">
        <v>103</v>
      </c>
      <c r="P1940">
        <v>2</v>
      </c>
      <c r="Q1940">
        <v>2</v>
      </c>
      <c r="R1940">
        <v>0</v>
      </c>
      <c r="S1940" t="s">
        <v>336</v>
      </c>
      <c r="T1940" t="s">
        <v>3166</v>
      </c>
      <c r="U1940">
        <v>31</v>
      </c>
    </row>
    <row r="1941" spans="1:21" x14ac:dyDescent="0.3">
      <c r="A1941" t="s">
        <v>3167</v>
      </c>
      <c r="B1941" t="s">
        <v>3168</v>
      </c>
      <c r="C1941" t="s">
        <v>187</v>
      </c>
      <c r="D1941" t="s">
        <v>29</v>
      </c>
      <c r="E1941" t="s">
        <v>30</v>
      </c>
      <c r="F1941" s="6">
        <v>44926</v>
      </c>
      <c r="G1941">
        <v>39</v>
      </c>
      <c r="H1941">
        <v>37</v>
      </c>
      <c r="I1941">
        <v>0.94871794871794868</v>
      </c>
      <c r="J1941">
        <v>0.94871794871794868</v>
      </c>
      <c r="K1941" t="s">
        <v>31</v>
      </c>
      <c r="L1941" t="s">
        <v>31</v>
      </c>
      <c r="M1941">
        <v>2022</v>
      </c>
      <c r="N1941" t="s">
        <v>57</v>
      </c>
      <c r="O1941" t="s">
        <v>90</v>
      </c>
      <c r="P1941">
        <v>0</v>
      </c>
      <c r="Q1941">
        <v>0</v>
      </c>
      <c r="R1941">
        <v>0</v>
      </c>
      <c r="S1941" t="s">
        <v>336</v>
      </c>
      <c r="T1941" t="s">
        <v>3169</v>
      </c>
      <c r="U1941">
        <v>1</v>
      </c>
    </row>
    <row r="1942" spans="1:21" x14ac:dyDescent="0.3">
      <c r="A1942" t="s">
        <v>3167</v>
      </c>
      <c r="B1942" t="s">
        <v>3168</v>
      </c>
      <c r="C1942" t="s">
        <v>3170</v>
      </c>
      <c r="D1942" t="s">
        <v>29</v>
      </c>
      <c r="E1942" t="s">
        <v>30</v>
      </c>
      <c r="F1942" s="6">
        <v>44957</v>
      </c>
      <c r="G1942">
        <v>62</v>
      </c>
      <c r="H1942">
        <v>57</v>
      </c>
      <c r="I1942">
        <v>0.91935483870967738</v>
      </c>
      <c r="J1942">
        <v>0.91935483870967738</v>
      </c>
      <c r="K1942" t="s">
        <v>31</v>
      </c>
      <c r="L1942" t="s">
        <v>31</v>
      </c>
      <c r="M1942">
        <v>2023</v>
      </c>
      <c r="N1942" t="s">
        <v>32</v>
      </c>
      <c r="O1942" t="s">
        <v>33</v>
      </c>
      <c r="P1942">
        <v>0</v>
      </c>
      <c r="Q1942">
        <v>0</v>
      </c>
      <c r="R1942">
        <v>1</v>
      </c>
      <c r="S1942" t="s">
        <v>336</v>
      </c>
      <c r="T1942" t="s">
        <v>3171</v>
      </c>
      <c r="U1942">
        <v>1</v>
      </c>
    </row>
    <row r="1943" spans="1:21" x14ac:dyDescent="0.3">
      <c r="A1943" t="s">
        <v>3167</v>
      </c>
      <c r="B1943" t="s">
        <v>3168</v>
      </c>
      <c r="C1943" t="s">
        <v>3170</v>
      </c>
      <c r="D1943" t="s">
        <v>29</v>
      </c>
      <c r="E1943" t="s">
        <v>30</v>
      </c>
      <c r="F1943" s="6">
        <v>44985</v>
      </c>
      <c r="G1943">
        <v>76</v>
      </c>
      <c r="H1943">
        <v>75</v>
      </c>
      <c r="I1943">
        <v>0.98684210526315785</v>
      </c>
      <c r="J1943">
        <v>0.98684210526315785</v>
      </c>
      <c r="K1943" t="s">
        <v>31</v>
      </c>
      <c r="L1943" t="s">
        <v>31</v>
      </c>
      <c r="M1943">
        <v>2023</v>
      </c>
      <c r="N1943" t="s">
        <v>36</v>
      </c>
      <c r="O1943" t="s">
        <v>33</v>
      </c>
      <c r="P1943">
        <v>0</v>
      </c>
      <c r="Q1943">
        <v>0</v>
      </c>
      <c r="R1943">
        <v>1</v>
      </c>
      <c r="S1943" t="s">
        <v>336</v>
      </c>
      <c r="T1943" t="s">
        <v>3172</v>
      </c>
      <c r="U1943">
        <v>1</v>
      </c>
    </row>
    <row r="1944" spans="1:21" x14ac:dyDescent="0.3">
      <c r="A1944" t="s">
        <v>3167</v>
      </c>
      <c r="B1944" t="s">
        <v>3168</v>
      </c>
      <c r="C1944" t="s">
        <v>3170</v>
      </c>
      <c r="D1944" t="s">
        <v>29</v>
      </c>
      <c r="E1944" t="s">
        <v>30</v>
      </c>
      <c r="F1944" s="6">
        <v>45016</v>
      </c>
      <c r="G1944">
        <v>62</v>
      </c>
      <c r="H1944">
        <v>76</v>
      </c>
      <c r="I1944">
        <v>1.225806451612903</v>
      </c>
      <c r="J1944">
        <v>1.225806451612903</v>
      </c>
      <c r="K1944" t="s">
        <v>31</v>
      </c>
      <c r="L1944" t="s">
        <v>31</v>
      </c>
      <c r="M1944">
        <v>2023</v>
      </c>
      <c r="N1944" t="s">
        <v>38</v>
      </c>
      <c r="O1944" t="s">
        <v>33</v>
      </c>
      <c r="P1944">
        <v>0</v>
      </c>
      <c r="Q1944">
        <v>0</v>
      </c>
      <c r="R1944">
        <v>1</v>
      </c>
      <c r="S1944" t="s">
        <v>336</v>
      </c>
      <c r="T1944" t="s">
        <v>3173</v>
      </c>
      <c r="U1944">
        <v>1</v>
      </c>
    </row>
    <row r="1945" spans="1:21" x14ac:dyDescent="0.3">
      <c r="A1945" t="s">
        <v>3167</v>
      </c>
      <c r="B1945" t="s">
        <v>3168</v>
      </c>
      <c r="C1945" t="s">
        <v>3170</v>
      </c>
      <c r="D1945" t="s">
        <v>29</v>
      </c>
      <c r="E1945" t="s">
        <v>30</v>
      </c>
      <c r="F1945" s="6">
        <v>45046</v>
      </c>
      <c r="G1945">
        <v>87</v>
      </c>
      <c r="H1945">
        <v>89</v>
      </c>
      <c r="I1945">
        <v>1.022988505747126</v>
      </c>
      <c r="J1945">
        <v>1.022988505747126</v>
      </c>
      <c r="K1945" t="s">
        <v>31</v>
      </c>
      <c r="L1945" t="s">
        <v>31</v>
      </c>
      <c r="M1945">
        <v>2023</v>
      </c>
      <c r="N1945" t="s">
        <v>40</v>
      </c>
      <c r="O1945" t="s">
        <v>33</v>
      </c>
      <c r="P1945">
        <v>0</v>
      </c>
      <c r="Q1945">
        <v>0</v>
      </c>
      <c r="R1945">
        <v>1</v>
      </c>
      <c r="S1945" t="s">
        <v>336</v>
      </c>
      <c r="T1945" t="s">
        <v>3174</v>
      </c>
      <c r="U1945">
        <v>1</v>
      </c>
    </row>
    <row r="1946" spans="1:21" x14ac:dyDescent="0.3">
      <c r="A1946" t="s">
        <v>3167</v>
      </c>
      <c r="B1946" t="s">
        <v>3168</v>
      </c>
      <c r="C1946" t="s">
        <v>3170</v>
      </c>
      <c r="D1946" t="s">
        <v>29</v>
      </c>
      <c r="E1946" t="s">
        <v>30</v>
      </c>
      <c r="F1946" s="6">
        <v>45077</v>
      </c>
      <c r="G1946">
        <v>95</v>
      </c>
      <c r="H1946">
        <v>93</v>
      </c>
      <c r="I1946">
        <v>0.97894736842105268</v>
      </c>
      <c r="J1946">
        <v>0.97894736842105268</v>
      </c>
      <c r="K1946" t="s">
        <v>31</v>
      </c>
      <c r="L1946" t="s">
        <v>31</v>
      </c>
      <c r="M1946">
        <v>2023</v>
      </c>
      <c r="N1946" t="s">
        <v>42</v>
      </c>
      <c r="O1946" t="s">
        <v>33</v>
      </c>
      <c r="P1946">
        <v>0</v>
      </c>
      <c r="Q1946">
        <v>0</v>
      </c>
      <c r="R1946">
        <v>1</v>
      </c>
      <c r="S1946" t="s">
        <v>336</v>
      </c>
      <c r="T1946" t="s">
        <v>3175</v>
      </c>
      <c r="U1946">
        <v>1</v>
      </c>
    </row>
    <row r="1947" spans="1:21" x14ac:dyDescent="0.3">
      <c r="A1947" t="s">
        <v>3167</v>
      </c>
      <c r="B1947" t="s">
        <v>3168</v>
      </c>
      <c r="C1947" t="s">
        <v>3170</v>
      </c>
      <c r="D1947" t="s">
        <v>29</v>
      </c>
      <c r="E1947" t="s">
        <v>30</v>
      </c>
      <c r="F1947" s="6">
        <v>45107</v>
      </c>
      <c r="G1947">
        <v>95</v>
      </c>
      <c r="H1947">
        <v>93</v>
      </c>
      <c r="I1947">
        <v>0.97894736842105268</v>
      </c>
      <c r="J1947">
        <v>0.97894736842105268</v>
      </c>
      <c r="K1947" t="s">
        <v>31</v>
      </c>
      <c r="L1947" t="s">
        <v>31</v>
      </c>
      <c r="M1947">
        <v>2023</v>
      </c>
      <c r="N1947" t="s">
        <v>44</v>
      </c>
      <c r="O1947" t="s">
        <v>33</v>
      </c>
      <c r="P1947">
        <v>0</v>
      </c>
      <c r="Q1947">
        <v>0</v>
      </c>
      <c r="R1947">
        <v>1</v>
      </c>
      <c r="S1947" t="s">
        <v>336</v>
      </c>
      <c r="T1947" t="s">
        <v>3176</v>
      </c>
      <c r="U1947">
        <v>1</v>
      </c>
    </row>
    <row r="1948" spans="1:21" x14ac:dyDescent="0.3">
      <c r="A1948" t="s">
        <v>3167</v>
      </c>
      <c r="B1948" t="s">
        <v>3168</v>
      </c>
      <c r="C1948" t="s">
        <v>3170</v>
      </c>
      <c r="D1948" t="s">
        <v>29</v>
      </c>
      <c r="E1948" t="s">
        <v>30</v>
      </c>
      <c r="F1948" s="6">
        <v>45138</v>
      </c>
      <c r="G1948">
        <v>96</v>
      </c>
      <c r="H1948">
        <v>93</v>
      </c>
      <c r="I1948">
        <v>0.96875</v>
      </c>
      <c r="J1948">
        <v>0.96875</v>
      </c>
      <c r="K1948" t="s">
        <v>31</v>
      </c>
      <c r="L1948" t="s">
        <v>31</v>
      </c>
      <c r="M1948">
        <v>2023</v>
      </c>
      <c r="N1948" t="s">
        <v>46</v>
      </c>
      <c r="O1948" t="s">
        <v>47</v>
      </c>
      <c r="P1948">
        <v>0</v>
      </c>
      <c r="Q1948">
        <v>0</v>
      </c>
      <c r="R1948">
        <v>1</v>
      </c>
      <c r="S1948" t="s">
        <v>336</v>
      </c>
      <c r="T1948" t="s">
        <v>3177</v>
      </c>
      <c r="U1948">
        <v>1</v>
      </c>
    </row>
    <row r="1949" spans="1:21" x14ac:dyDescent="0.3">
      <c r="A1949" t="s">
        <v>3167</v>
      </c>
      <c r="B1949" t="s">
        <v>3168</v>
      </c>
      <c r="C1949" t="s">
        <v>3170</v>
      </c>
      <c r="D1949" t="s">
        <v>29</v>
      </c>
      <c r="E1949" t="s">
        <v>30</v>
      </c>
      <c r="F1949" s="6">
        <v>45169</v>
      </c>
      <c r="G1949">
        <v>97</v>
      </c>
      <c r="H1949">
        <v>96</v>
      </c>
      <c r="I1949">
        <v>0.98969072164948457</v>
      </c>
      <c r="J1949">
        <v>0.98969072164948457</v>
      </c>
      <c r="K1949" t="s">
        <v>31</v>
      </c>
      <c r="L1949" t="s">
        <v>31</v>
      </c>
      <c r="M1949">
        <v>2023</v>
      </c>
      <c r="N1949" t="s">
        <v>49</v>
      </c>
      <c r="O1949" t="s">
        <v>47</v>
      </c>
      <c r="P1949">
        <v>0</v>
      </c>
      <c r="Q1949">
        <v>0</v>
      </c>
      <c r="R1949">
        <v>1</v>
      </c>
      <c r="S1949" t="s">
        <v>336</v>
      </c>
      <c r="T1949" t="s">
        <v>3178</v>
      </c>
      <c r="U1949">
        <v>1</v>
      </c>
    </row>
    <row r="1950" spans="1:21" x14ac:dyDescent="0.3">
      <c r="A1950" t="s">
        <v>3167</v>
      </c>
      <c r="B1950" t="s">
        <v>3168</v>
      </c>
      <c r="C1950" t="s">
        <v>3170</v>
      </c>
      <c r="D1950" t="s">
        <v>29</v>
      </c>
      <c r="E1950" t="s">
        <v>30</v>
      </c>
      <c r="F1950" s="6">
        <v>45199</v>
      </c>
      <c r="G1950">
        <v>96</v>
      </c>
      <c r="H1950">
        <v>97</v>
      </c>
      <c r="I1950">
        <v>1.010416666666667</v>
      </c>
      <c r="J1950">
        <v>1.010416666666667</v>
      </c>
      <c r="K1950" t="s">
        <v>31</v>
      </c>
      <c r="L1950" t="s">
        <v>31</v>
      </c>
      <c r="M1950">
        <v>2023</v>
      </c>
      <c r="N1950" t="s">
        <v>51</v>
      </c>
      <c r="O1950" t="s">
        <v>47</v>
      </c>
      <c r="P1950">
        <v>0</v>
      </c>
      <c r="Q1950">
        <v>0</v>
      </c>
      <c r="R1950">
        <v>1</v>
      </c>
      <c r="S1950" t="s">
        <v>336</v>
      </c>
      <c r="T1950" t="s">
        <v>3179</v>
      </c>
      <c r="U1950">
        <v>1</v>
      </c>
    </row>
    <row r="1951" spans="1:21" x14ac:dyDescent="0.3">
      <c r="A1951" t="s">
        <v>3167</v>
      </c>
      <c r="B1951" t="s">
        <v>3168</v>
      </c>
      <c r="C1951" t="s">
        <v>3170</v>
      </c>
      <c r="D1951" t="s">
        <v>29</v>
      </c>
      <c r="E1951" t="s">
        <v>30</v>
      </c>
      <c r="F1951" s="6">
        <v>45230</v>
      </c>
      <c r="G1951">
        <v>97</v>
      </c>
      <c r="H1951">
        <v>97</v>
      </c>
      <c r="I1951">
        <v>1</v>
      </c>
      <c r="J1951">
        <v>1</v>
      </c>
      <c r="K1951" t="s">
        <v>31</v>
      </c>
      <c r="L1951" t="s">
        <v>31</v>
      </c>
      <c r="M1951">
        <v>2023</v>
      </c>
      <c r="N1951" t="s">
        <v>53</v>
      </c>
      <c r="O1951" t="s">
        <v>47</v>
      </c>
      <c r="P1951">
        <v>0</v>
      </c>
      <c r="Q1951">
        <v>0</v>
      </c>
      <c r="R1951">
        <v>1</v>
      </c>
      <c r="S1951" t="s">
        <v>336</v>
      </c>
      <c r="T1951" t="s">
        <v>3180</v>
      </c>
      <c r="U1951">
        <v>1</v>
      </c>
    </row>
    <row r="1952" spans="1:21" x14ac:dyDescent="0.3">
      <c r="A1952" t="s">
        <v>3167</v>
      </c>
      <c r="B1952" t="s">
        <v>3168</v>
      </c>
      <c r="C1952" t="s">
        <v>3170</v>
      </c>
      <c r="D1952" t="s">
        <v>29</v>
      </c>
      <c r="E1952" t="s">
        <v>30</v>
      </c>
      <c r="F1952" s="6">
        <v>45260</v>
      </c>
      <c r="G1952">
        <v>100</v>
      </c>
      <c r="H1952">
        <v>99</v>
      </c>
      <c r="I1952">
        <v>0.99</v>
      </c>
      <c r="J1952">
        <v>0.99</v>
      </c>
      <c r="K1952" t="s">
        <v>31</v>
      </c>
      <c r="L1952" t="s">
        <v>31</v>
      </c>
      <c r="M1952">
        <v>2023</v>
      </c>
      <c r="N1952" t="s">
        <v>55</v>
      </c>
      <c r="O1952" t="s">
        <v>47</v>
      </c>
      <c r="P1952">
        <v>0</v>
      </c>
      <c r="Q1952">
        <v>0</v>
      </c>
      <c r="R1952">
        <v>1</v>
      </c>
      <c r="S1952" t="s">
        <v>336</v>
      </c>
      <c r="T1952" t="s">
        <v>3181</v>
      </c>
      <c r="U1952">
        <v>1</v>
      </c>
    </row>
    <row r="1953" spans="1:21" x14ac:dyDescent="0.3">
      <c r="A1953" t="s">
        <v>3167</v>
      </c>
      <c r="B1953" t="s">
        <v>3168</v>
      </c>
      <c r="C1953" t="s">
        <v>3170</v>
      </c>
      <c r="D1953" t="s">
        <v>29</v>
      </c>
      <c r="E1953" t="s">
        <v>30</v>
      </c>
      <c r="F1953" s="6">
        <v>45291</v>
      </c>
      <c r="G1953">
        <v>100</v>
      </c>
      <c r="H1953">
        <v>100</v>
      </c>
      <c r="I1953">
        <v>1</v>
      </c>
      <c r="J1953">
        <v>1</v>
      </c>
      <c r="K1953" t="s">
        <v>31</v>
      </c>
      <c r="L1953" t="s">
        <v>31</v>
      </c>
      <c r="M1953">
        <v>2023</v>
      </c>
      <c r="N1953" t="s">
        <v>57</v>
      </c>
      <c r="O1953" t="s">
        <v>47</v>
      </c>
      <c r="P1953">
        <v>0</v>
      </c>
      <c r="Q1953">
        <v>0</v>
      </c>
      <c r="R1953">
        <v>1</v>
      </c>
      <c r="S1953" t="s">
        <v>336</v>
      </c>
      <c r="T1953" t="s">
        <v>3182</v>
      </c>
      <c r="U1953">
        <v>1</v>
      </c>
    </row>
    <row r="1954" spans="1:21" x14ac:dyDescent="0.3">
      <c r="A1954" t="s">
        <v>3183</v>
      </c>
      <c r="B1954" t="s">
        <v>3184</v>
      </c>
      <c r="C1954" t="s">
        <v>3143</v>
      </c>
      <c r="D1954" t="s">
        <v>222</v>
      </c>
      <c r="E1954" t="s">
        <v>30</v>
      </c>
      <c r="F1954" s="6">
        <v>45107</v>
      </c>
      <c r="G1954">
        <v>35</v>
      </c>
      <c r="H1954">
        <v>77</v>
      </c>
      <c r="I1954">
        <v>1.3</v>
      </c>
      <c r="J1954">
        <v>2.2000000000000002</v>
      </c>
      <c r="K1954" t="s">
        <v>118</v>
      </c>
      <c r="L1954" t="s">
        <v>118</v>
      </c>
      <c r="M1954">
        <v>2023</v>
      </c>
      <c r="N1954" t="s">
        <v>44</v>
      </c>
      <c r="O1954" t="s">
        <v>33</v>
      </c>
      <c r="P1954">
        <v>0</v>
      </c>
      <c r="Q1954">
        <v>0</v>
      </c>
      <c r="R1954">
        <v>0</v>
      </c>
      <c r="S1954" t="s">
        <v>130</v>
      </c>
      <c r="T1954" t="s">
        <v>3185</v>
      </c>
      <c r="U1954">
        <v>1</v>
      </c>
    </row>
    <row r="1955" spans="1:21" x14ac:dyDescent="0.3">
      <c r="A1955" t="s">
        <v>3183</v>
      </c>
      <c r="B1955" t="s">
        <v>3184</v>
      </c>
      <c r="C1955" t="s">
        <v>3143</v>
      </c>
      <c r="D1955" t="s">
        <v>222</v>
      </c>
      <c r="E1955" t="s">
        <v>30</v>
      </c>
      <c r="F1955" s="6">
        <v>45291</v>
      </c>
      <c r="G1955">
        <v>35</v>
      </c>
      <c r="H1955">
        <v>99</v>
      </c>
      <c r="I1955">
        <v>1.3</v>
      </c>
      <c r="J1955">
        <v>2.8285714285714292</v>
      </c>
      <c r="K1955" t="s">
        <v>118</v>
      </c>
      <c r="L1955" t="s">
        <v>118</v>
      </c>
      <c r="M1955">
        <v>2023</v>
      </c>
      <c r="N1955" t="s">
        <v>57</v>
      </c>
      <c r="O1955" t="s">
        <v>47</v>
      </c>
      <c r="P1955">
        <v>0</v>
      </c>
      <c r="Q1955">
        <v>0</v>
      </c>
      <c r="R1955">
        <v>0</v>
      </c>
      <c r="S1955" t="s">
        <v>130</v>
      </c>
      <c r="T1955" t="s">
        <v>3186</v>
      </c>
      <c r="U1955">
        <v>1</v>
      </c>
    </row>
    <row r="1956" spans="1:21" x14ac:dyDescent="0.3">
      <c r="A1956" t="s">
        <v>3183</v>
      </c>
      <c r="B1956" t="s">
        <v>3184</v>
      </c>
      <c r="C1956" t="s">
        <v>3143</v>
      </c>
      <c r="D1956" t="s">
        <v>222</v>
      </c>
      <c r="E1956" t="s">
        <v>30</v>
      </c>
      <c r="F1956" s="6">
        <v>45473</v>
      </c>
      <c r="G1956">
        <v>44</v>
      </c>
      <c r="H1956">
        <v>119</v>
      </c>
      <c r="I1956">
        <v>1.3</v>
      </c>
      <c r="J1956">
        <v>2.704545454545455</v>
      </c>
      <c r="K1956" t="s">
        <v>118</v>
      </c>
      <c r="L1956" t="s">
        <v>118</v>
      </c>
      <c r="M1956">
        <v>2024</v>
      </c>
      <c r="N1956" t="s">
        <v>44</v>
      </c>
      <c r="O1956" t="s">
        <v>71</v>
      </c>
      <c r="P1956">
        <v>0</v>
      </c>
      <c r="Q1956">
        <v>0</v>
      </c>
      <c r="R1956">
        <v>0</v>
      </c>
      <c r="S1956" t="s">
        <v>130</v>
      </c>
      <c r="T1956" t="s">
        <v>3187</v>
      </c>
      <c r="U1956">
        <v>1</v>
      </c>
    </row>
    <row r="1957" spans="1:21" x14ac:dyDescent="0.3">
      <c r="A1957" t="s">
        <v>3183</v>
      </c>
      <c r="B1957" t="s">
        <v>3184</v>
      </c>
      <c r="C1957" t="s">
        <v>3143</v>
      </c>
      <c r="D1957" t="s">
        <v>222</v>
      </c>
      <c r="E1957" t="s">
        <v>30</v>
      </c>
      <c r="F1957" s="6">
        <v>45657</v>
      </c>
      <c r="G1957">
        <v>44</v>
      </c>
      <c r="H1957">
        <v>175</v>
      </c>
      <c r="I1957">
        <v>1.3</v>
      </c>
      <c r="J1957">
        <v>3.9772727272727271</v>
      </c>
      <c r="K1957" t="s">
        <v>118</v>
      </c>
      <c r="L1957" t="s">
        <v>118</v>
      </c>
      <c r="M1957">
        <v>2024</v>
      </c>
      <c r="N1957" t="s">
        <v>57</v>
      </c>
      <c r="O1957" t="s">
        <v>78</v>
      </c>
      <c r="P1957">
        <v>0</v>
      </c>
      <c r="Q1957">
        <v>0</v>
      </c>
      <c r="R1957">
        <v>0</v>
      </c>
      <c r="S1957" t="s">
        <v>130</v>
      </c>
      <c r="T1957" t="s">
        <v>3188</v>
      </c>
      <c r="U1957">
        <v>1</v>
      </c>
    </row>
    <row r="1958" spans="1:21" x14ac:dyDescent="0.3">
      <c r="A1958" t="s">
        <v>3183</v>
      </c>
      <c r="B1958" t="s">
        <v>3184</v>
      </c>
      <c r="C1958" t="s">
        <v>3143</v>
      </c>
      <c r="D1958" t="s">
        <v>222</v>
      </c>
      <c r="E1958" t="s">
        <v>30</v>
      </c>
      <c r="F1958" s="6">
        <v>45838</v>
      </c>
      <c r="G1958">
        <v>100</v>
      </c>
      <c r="H1958" t="s">
        <v>3189</v>
      </c>
      <c r="I1958">
        <v>1.23</v>
      </c>
      <c r="J1958">
        <v>1.23</v>
      </c>
      <c r="K1958" t="s">
        <v>102</v>
      </c>
      <c r="L1958" t="s">
        <v>3190</v>
      </c>
      <c r="M1958">
        <v>2025</v>
      </c>
      <c r="N1958" t="s">
        <v>44</v>
      </c>
      <c r="O1958" t="s">
        <v>244</v>
      </c>
      <c r="P1958">
        <v>2</v>
      </c>
      <c r="Q1958">
        <v>2</v>
      </c>
      <c r="R1958">
        <v>0</v>
      </c>
      <c r="S1958" t="s">
        <v>336</v>
      </c>
      <c r="T1958" t="s">
        <v>3191</v>
      </c>
      <c r="U1958">
        <v>30</v>
      </c>
    </row>
    <row r="1959" spans="1:21" x14ac:dyDescent="0.3">
      <c r="A1959" t="s">
        <v>3183</v>
      </c>
      <c r="B1959" t="s">
        <v>3184</v>
      </c>
      <c r="C1959" t="s">
        <v>3143</v>
      </c>
      <c r="D1959" t="s">
        <v>222</v>
      </c>
      <c r="E1959" t="s">
        <v>30</v>
      </c>
      <c r="F1959" s="6">
        <v>46022</v>
      </c>
      <c r="G1959">
        <v>100</v>
      </c>
      <c r="H1959" t="s">
        <v>3192</v>
      </c>
      <c r="I1959">
        <v>1.2714000000000001</v>
      </c>
      <c r="J1959">
        <v>1.2714000000000001</v>
      </c>
      <c r="K1959" t="s">
        <v>102</v>
      </c>
      <c r="L1959" t="s">
        <v>3193</v>
      </c>
      <c r="M1959">
        <v>2025</v>
      </c>
      <c r="N1959" t="s">
        <v>57</v>
      </c>
      <c r="O1959" t="s">
        <v>103</v>
      </c>
      <c r="P1959">
        <v>2</v>
      </c>
      <c r="Q1959">
        <v>2</v>
      </c>
      <c r="R1959">
        <v>0</v>
      </c>
      <c r="S1959" t="s">
        <v>336</v>
      </c>
      <c r="T1959" t="s">
        <v>3194</v>
      </c>
      <c r="U1959">
        <v>31</v>
      </c>
    </row>
    <row r="1960" spans="1:21" x14ac:dyDescent="0.3">
      <c r="A1960" t="s">
        <v>3195</v>
      </c>
      <c r="B1960" t="s">
        <v>3196</v>
      </c>
      <c r="C1960" t="s">
        <v>3197</v>
      </c>
      <c r="D1960" t="s">
        <v>222</v>
      </c>
      <c r="E1960" t="s">
        <v>30</v>
      </c>
      <c r="F1960" s="6">
        <v>45107</v>
      </c>
      <c r="G1960">
        <v>8</v>
      </c>
      <c r="H1960">
        <v>7</v>
      </c>
      <c r="I1960">
        <v>0.875</v>
      </c>
      <c r="J1960">
        <v>0.875</v>
      </c>
      <c r="K1960" t="s">
        <v>118</v>
      </c>
      <c r="L1960" t="s">
        <v>118</v>
      </c>
      <c r="M1960">
        <v>2023</v>
      </c>
      <c r="N1960" t="s">
        <v>44</v>
      </c>
      <c r="O1960" t="s">
        <v>33</v>
      </c>
      <c r="P1960">
        <v>0</v>
      </c>
      <c r="Q1960">
        <v>0</v>
      </c>
      <c r="R1960">
        <v>0</v>
      </c>
      <c r="S1960" t="s">
        <v>34</v>
      </c>
      <c r="T1960" t="s">
        <v>3198</v>
      </c>
      <c r="U1960">
        <v>1</v>
      </c>
    </row>
    <row r="1961" spans="1:21" x14ac:dyDescent="0.3">
      <c r="A1961" t="s">
        <v>3195</v>
      </c>
      <c r="B1961" t="s">
        <v>3196</v>
      </c>
      <c r="C1961" t="s">
        <v>3197</v>
      </c>
      <c r="D1961" t="s">
        <v>222</v>
      </c>
      <c r="E1961" t="s">
        <v>30</v>
      </c>
      <c r="F1961" s="6">
        <v>45291</v>
      </c>
      <c r="G1961">
        <v>8</v>
      </c>
      <c r="H1961">
        <v>10</v>
      </c>
      <c r="I1961">
        <v>1.25</v>
      </c>
      <c r="J1961">
        <v>1.25</v>
      </c>
      <c r="K1961" t="s">
        <v>118</v>
      </c>
      <c r="L1961" t="s">
        <v>118</v>
      </c>
      <c r="M1961">
        <v>2023</v>
      </c>
      <c r="N1961" t="s">
        <v>57</v>
      </c>
      <c r="O1961" t="s">
        <v>47</v>
      </c>
      <c r="P1961">
        <v>0</v>
      </c>
      <c r="Q1961">
        <v>0</v>
      </c>
      <c r="R1961">
        <v>0</v>
      </c>
      <c r="S1961" t="s">
        <v>34</v>
      </c>
      <c r="T1961" t="s">
        <v>3199</v>
      </c>
      <c r="U1961">
        <v>1</v>
      </c>
    </row>
    <row r="1962" spans="1:21" x14ac:dyDescent="0.3">
      <c r="A1962" t="s">
        <v>3195</v>
      </c>
      <c r="B1962" t="s">
        <v>3196</v>
      </c>
      <c r="C1962" t="s">
        <v>3197</v>
      </c>
      <c r="D1962" t="s">
        <v>222</v>
      </c>
      <c r="E1962" t="s">
        <v>30</v>
      </c>
      <c r="F1962" s="6">
        <v>45473</v>
      </c>
      <c r="G1962">
        <v>8</v>
      </c>
      <c r="H1962">
        <v>9</v>
      </c>
      <c r="I1962">
        <v>1.125</v>
      </c>
      <c r="J1962">
        <v>1</v>
      </c>
      <c r="K1962" t="s">
        <v>118</v>
      </c>
      <c r="L1962" t="s">
        <v>118</v>
      </c>
      <c r="M1962">
        <v>2024</v>
      </c>
      <c r="N1962" t="s">
        <v>44</v>
      </c>
      <c r="O1962" t="s">
        <v>71</v>
      </c>
      <c r="P1962">
        <v>0</v>
      </c>
      <c r="Q1962">
        <v>0</v>
      </c>
      <c r="R1962">
        <v>0</v>
      </c>
      <c r="S1962" t="s">
        <v>34</v>
      </c>
      <c r="T1962" t="s">
        <v>3200</v>
      </c>
      <c r="U1962">
        <v>1</v>
      </c>
    </row>
    <row r="1963" spans="1:21" x14ac:dyDescent="0.3">
      <c r="A1963" t="s">
        <v>3195</v>
      </c>
      <c r="B1963" t="s">
        <v>3196</v>
      </c>
      <c r="C1963" t="s">
        <v>3197</v>
      </c>
      <c r="D1963" t="s">
        <v>222</v>
      </c>
      <c r="E1963" t="s">
        <v>30</v>
      </c>
      <c r="F1963" s="6">
        <v>45657</v>
      </c>
      <c r="G1963">
        <v>8</v>
      </c>
      <c r="H1963">
        <v>8</v>
      </c>
      <c r="I1963">
        <v>1</v>
      </c>
      <c r="J1963">
        <v>1</v>
      </c>
      <c r="K1963" t="s">
        <v>118</v>
      </c>
      <c r="L1963" t="s">
        <v>118</v>
      </c>
      <c r="M1963">
        <v>2024</v>
      </c>
      <c r="N1963" t="s">
        <v>57</v>
      </c>
      <c r="O1963" t="s">
        <v>78</v>
      </c>
      <c r="P1963">
        <v>0</v>
      </c>
      <c r="Q1963">
        <v>0</v>
      </c>
      <c r="R1963">
        <v>0</v>
      </c>
      <c r="S1963" t="s">
        <v>34</v>
      </c>
      <c r="T1963" t="s">
        <v>3201</v>
      </c>
      <c r="U1963">
        <v>1</v>
      </c>
    </row>
    <row r="1964" spans="1:21" x14ac:dyDescent="0.3">
      <c r="A1964" t="s">
        <v>3195</v>
      </c>
      <c r="B1964" t="s">
        <v>3196</v>
      </c>
      <c r="C1964" t="s">
        <v>3197</v>
      </c>
      <c r="D1964" t="s">
        <v>222</v>
      </c>
      <c r="E1964" t="s">
        <v>30</v>
      </c>
      <c r="F1964" s="6">
        <v>45838</v>
      </c>
      <c r="G1964">
        <v>100</v>
      </c>
      <c r="H1964" t="s">
        <v>95</v>
      </c>
      <c r="I1964">
        <v>1</v>
      </c>
      <c r="J1964">
        <v>1</v>
      </c>
      <c r="K1964" t="s">
        <v>102</v>
      </c>
      <c r="L1964" t="s">
        <v>102</v>
      </c>
      <c r="M1964">
        <v>2025</v>
      </c>
      <c r="N1964" t="s">
        <v>44</v>
      </c>
      <c r="O1964" t="s">
        <v>244</v>
      </c>
      <c r="P1964">
        <v>2</v>
      </c>
      <c r="Q1964">
        <v>2</v>
      </c>
      <c r="R1964">
        <v>0</v>
      </c>
      <c r="S1964" t="s">
        <v>34</v>
      </c>
      <c r="T1964" t="s">
        <v>3202</v>
      </c>
      <c r="U1964">
        <v>30</v>
      </c>
    </row>
    <row r="1965" spans="1:21" x14ac:dyDescent="0.3">
      <c r="A1965" t="s">
        <v>3195</v>
      </c>
      <c r="B1965" t="s">
        <v>3196</v>
      </c>
      <c r="C1965" t="s">
        <v>3197</v>
      </c>
      <c r="D1965" t="s">
        <v>222</v>
      </c>
      <c r="E1965" t="s">
        <v>30</v>
      </c>
      <c r="F1965" s="6">
        <v>46022</v>
      </c>
      <c r="G1965">
        <v>100</v>
      </c>
      <c r="H1965" t="s">
        <v>95</v>
      </c>
      <c r="I1965">
        <v>1</v>
      </c>
      <c r="J1965">
        <v>1</v>
      </c>
      <c r="K1965" t="s">
        <v>102</v>
      </c>
      <c r="L1965" t="s">
        <v>102</v>
      </c>
      <c r="M1965">
        <v>2025</v>
      </c>
      <c r="N1965" t="s">
        <v>57</v>
      </c>
      <c r="O1965" t="s">
        <v>103</v>
      </c>
      <c r="P1965">
        <v>2</v>
      </c>
      <c r="Q1965">
        <v>2</v>
      </c>
      <c r="R1965">
        <v>0</v>
      </c>
      <c r="S1965" t="s">
        <v>34</v>
      </c>
      <c r="T1965" t="s">
        <v>3203</v>
      </c>
      <c r="U1965">
        <v>31</v>
      </c>
    </row>
    <row r="1966" spans="1:21" x14ac:dyDescent="0.3">
      <c r="A1966" t="s">
        <v>3204</v>
      </c>
      <c r="B1966" t="s">
        <v>3205</v>
      </c>
      <c r="C1966" t="s">
        <v>3197</v>
      </c>
      <c r="D1966" t="s">
        <v>98</v>
      </c>
      <c r="E1966" t="s">
        <v>30</v>
      </c>
      <c r="F1966" s="6">
        <v>45291</v>
      </c>
      <c r="H1966">
        <v>21000</v>
      </c>
      <c r="K1966" t="s">
        <v>118</v>
      </c>
      <c r="L1966" t="s">
        <v>118</v>
      </c>
      <c r="M1966">
        <v>2023</v>
      </c>
      <c r="N1966" t="s">
        <v>57</v>
      </c>
      <c r="O1966" t="s">
        <v>47</v>
      </c>
      <c r="P1966">
        <v>0</v>
      </c>
      <c r="Q1966">
        <v>0</v>
      </c>
      <c r="R1966">
        <v>0</v>
      </c>
      <c r="S1966" t="s">
        <v>34</v>
      </c>
      <c r="T1966" t="s">
        <v>3206</v>
      </c>
      <c r="U1966">
        <v>1</v>
      </c>
    </row>
    <row r="1967" spans="1:21" x14ac:dyDescent="0.3">
      <c r="A1967" t="s">
        <v>3204</v>
      </c>
      <c r="B1967" t="s">
        <v>3205</v>
      </c>
      <c r="C1967" t="s">
        <v>3197</v>
      </c>
      <c r="D1967" t="s">
        <v>98</v>
      </c>
      <c r="E1967" t="s">
        <v>30</v>
      </c>
      <c r="F1967" s="6">
        <v>45657</v>
      </c>
      <c r="G1967">
        <v>3</v>
      </c>
      <c r="H1967">
        <v>4.76</v>
      </c>
      <c r="I1967">
        <v>1.3</v>
      </c>
      <c r="J1967">
        <v>1.5866666666666669</v>
      </c>
      <c r="M1967">
        <v>2024</v>
      </c>
      <c r="N1967" t="s">
        <v>57</v>
      </c>
      <c r="O1967" t="s">
        <v>78</v>
      </c>
      <c r="P1967">
        <v>0</v>
      </c>
      <c r="Q1967">
        <v>0</v>
      </c>
      <c r="R1967">
        <v>0</v>
      </c>
      <c r="S1967" t="s">
        <v>34</v>
      </c>
      <c r="T1967" t="s">
        <v>3207</v>
      </c>
      <c r="U1967">
        <v>1</v>
      </c>
    </row>
    <row r="1968" spans="1:21" x14ac:dyDescent="0.3">
      <c r="A1968" t="s">
        <v>3204</v>
      </c>
      <c r="B1968" t="s">
        <v>3205</v>
      </c>
      <c r="C1968" t="s">
        <v>3197</v>
      </c>
      <c r="D1968" t="s">
        <v>98</v>
      </c>
      <c r="E1968" t="s">
        <v>30</v>
      </c>
      <c r="F1968" s="6">
        <v>46022</v>
      </c>
      <c r="H1968" t="s">
        <v>3208</v>
      </c>
      <c r="I1968">
        <v>0</v>
      </c>
      <c r="J1968">
        <v>0</v>
      </c>
      <c r="L1968" t="s">
        <v>3209</v>
      </c>
      <c r="M1968">
        <v>2025</v>
      </c>
      <c r="N1968" t="s">
        <v>57</v>
      </c>
      <c r="O1968" t="s">
        <v>103</v>
      </c>
      <c r="P1968">
        <v>2</v>
      </c>
      <c r="Q1968">
        <v>2</v>
      </c>
      <c r="R1968">
        <v>0</v>
      </c>
      <c r="S1968" t="s">
        <v>34</v>
      </c>
      <c r="T1968" t="s">
        <v>3210</v>
      </c>
      <c r="U1968">
        <v>31</v>
      </c>
    </row>
    <row r="1969" spans="1:21" x14ac:dyDescent="0.3">
      <c r="A1969" t="s">
        <v>3211</v>
      </c>
      <c r="B1969" t="s">
        <v>3212</v>
      </c>
      <c r="C1969" t="s">
        <v>3197</v>
      </c>
      <c r="D1969" t="s">
        <v>222</v>
      </c>
      <c r="E1969" t="s">
        <v>30</v>
      </c>
      <c r="F1969" s="6">
        <v>45107</v>
      </c>
      <c r="H1969">
        <v>14370</v>
      </c>
      <c r="K1969" t="s">
        <v>761</v>
      </c>
      <c r="L1969" t="s">
        <v>118</v>
      </c>
      <c r="M1969">
        <v>2023</v>
      </c>
      <c r="N1969" t="s">
        <v>44</v>
      </c>
      <c r="O1969" t="s">
        <v>33</v>
      </c>
      <c r="P1969">
        <v>0</v>
      </c>
      <c r="Q1969">
        <v>0</v>
      </c>
      <c r="R1969">
        <v>0</v>
      </c>
      <c r="S1969" t="s">
        <v>34</v>
      </c>
      <c r="T1969" t="s">
        <v>3213</v>
      </c>
      <c r="U1969">
        <v>1</v>
      </c>
    </row>
    <row r="1970" spans="1:21" x14ac:dyDescent="0.3">
      <c r="A1970" t="s">
        <v>3211</v>
      </c>
      <c r="B1970" t="s">
        <v>3212</v>
      </c>
      <c r="C1970" t="s">
        <v>3197</v>
      </c>
      <c r="D1970" t="s">
        <v>222</v>
      </c>
      <c r="E1970" t="s">
        <v>30</v>
      </c>
      <c r="F1970" s="6">
        <v>45291</v>
      </c>
      <c r="H1970">
        <v>14220</v>
      </c>
      <c r="K1970" t="s">
        <v>761</v>
      </c>
      <c r="L1970" t="s">
        <v>118</v>
      </c>
      <c r="M1970">
        <v>2023</v>
      </c>
      <c r="N1970" t="s">
        <v>57</v>
      </c>
      <c r="O1970" t="s">
        <v>47</v>
      </c>
      <c r="P1970">
        <v>0</v>
      </c>
      <c r="Q1970">
        <v>0</v>
      </c>
      <c r="R1970">
        <v>0</v>
      </c>
      <c r="S1970" t="s">
        <v>34</v>
      </c>
      <c r="T1970" t="s">
        <v>3214</v>
      </c>
      <c r="U1970">
        <v>1</v>
      </c>
    </row>
    <row r="1971" spans="1:21" x14ac:dyDescent="0.3">
      <c r="A1971" t="s">
        <v>3211</v>
      </c>
      <c r="B1971" t="s">
        <v>3212</v>
      </c>
      <c r="C1971" t="s">
        <v>3197</v>
      </c>
      <c r="D1971" t="s">
        <v>222</v>
      </c>
      <c r="E1971" t="s">
        <v>30</v>
      </c>
      <c r="F1971" s="6">
        <v>45473</v>
      </c>
      <c r="H1971">
        <v>14923</v>
      </c>
      <c r="K1971" t="s">
        <v>761</v>
      </c>
      <c r="L1971" t="s">
        <v>118</v>
      </c>
      <c r="M1971">
        <v>2024</v>
      </c>
      <c r="N1971" t="s">
        <v>44</v>
      </c>
      <c r="O1971" t="s">
        <v>71</v>
      </c>
      <c r="P1971">
        <v>0</v>
      </c>
      <c r="Q1971">
        <v>0</v>
      </c>
      <c r="R1971">
        <v>0</v>
      </c>
      <c r="S1971" t="s">
        <v>34</v>
      </c>
      <c r="T1971" t="s">
        <v>3215</v>
      </c>
      <c r="U1971">
        <v>1</v>
      </c>
    </row>
    <row r="1972" spans="1:21" x14ac:dyDescent="0.3">
      <c r="A1972" t="s">
        <v>3211</v>
      </c>
      <c r="B1972" t="s">
        <v>3212</v>
      </c>
      <c r="C1972" t="s">
        <v>3197</v>
      </c>
      <c r="D1972" t="s">
        <v>222</v>
      </c>
      <c r="E1972" t="s">
        <v>30</v>
      </c>
      <c r="F1972" s="6">
        <v>45657</v>
      </c>
      <c r="H1972">
        <v>14495</v>
      </c>
      <c r="K1972" t="s">
        <v>761</v>
      </c>
      <c r="L1972" t="s">
        <v>118</v>
      </c>
      <c r="M1972">
        <v>2024</v>
      </c>
      <c r="N1972" t="s">
        <v>57</v>
      </c>
      <c r="O1972" t="s">
        <v>78</v>
      </c>
      <c r="P1972">
        <v>0</v>
      </c>
      <c r="Q1972">
        <v>0</v>
      </c>
      <c r="R1972">
        <v>0</v>
      </c>
      <c r="S1972" t="s">
        <v>34</v>
      </c>
      <c r="T1972" t="s">
        <v>3216</v>
      </c>
      <c r="U1972">
        <v>1</v>
      </c>
    </row>
    <row r="1973" spans="1:21" x14ac:dyDescent="0.3">
      <c r="A1973" t="s">
        <v>3211</v>
      </c>
      <c r="B1973" t="s">
        <v>3217</v>
      </c>
      <c r="C1973" t="s">
        <v>3197</v>
      </c>
      <c r="D1973" t="s">
        <v>222</v>
      </c>
      <c r="E1973" t="s">
        <v>30</v>
      </c>
      <c r="F1973" s="6">
        <v>45838</v>
      </c>
      <c r="H1973" t="s">
        <v>3218</v>
      </c>
      <c r="I1973">
        <v>0</v>
      </c>
      <c r="J1973">
        <v>0</v>
      </c>
      <c r="L1973" t="s">
        <v>3219</v>
      </c>
      <c r="M1973">
        <v>2025</v>
      </c>
      <c r="N1973" t="s">
        <v>44</v>
      </c>
      <c r="O1973" t="s">
        <v>244</v>
      </c>
      <c r="P1973">
        <v>2</v>
      </c>
      <c r="Q1973">
        <v>2</v>
      </c>
      <c r="R1973">
        <v>0</v>
      </c>
      <c r="S1973" t="s">
        <v>130</v>
      </c>
      <c r="T1973" t="s">
        <v>3220</v>
      </c>
      <c r="U1973">
        <v>30</v>
      </c>
    </row>
    <row r="1974" spans="1:21" x14ac:dyDescent="0.3">
      <c r="A1974" t="s">
        <v>3211</v>
      </c>
      <c r="B1974" t="s">
        <v>3217</v>
      </c>
      <c r="C1974" t="s">
        <v>3197</v>
      </c>
      <c r="D1974" t="s">
        <v>222</v>
      </c>
      <c r="E1974" t="s">
        <v>30</v>
      </c>
      <c r="F1974" s="6">
        <v>46022</v>
      </c>
      <c r="H1974" t="s">
        <v>3221</v>
      </c>
      <c r="I1974">
        <v>0</v>
      </c>
      <c r="J1974">
        <v>0</v>
      </c>
      <c r="L1974" t="s">
        <v>3222</v>
      </c>
      <c r="M1974">
        <v>2025</v>
      </c>
      <c r="N1974" t="s">
        <v>57</v>
      </c>
      <c r="O1974" t="s">
        <v>103</v>
      </c>
      <c r="P1974">
        <v>2</v>
      </c>
      <c r="Q1974">
        <v>2</v>
      </c>
      <c r="R1974">
        <v>0</v>
      </c>
      <c r="S1974" t="s">
        <v>130</v>
      </c>
      <c r="T1974" t="s">
        <v>3223</v>
      </c>
      <c r="U1974">
        <v>31</v>
      </c>
    </row>
    <row r="1975" spans="1:21" x14ac:dyDescent="0.3">
      <c r="A1975" t="s">
        <v>3224</v>
      </c>
      <c r="B1975" t="s">
        <v>3225</v>
      </c>
      <c r="C1975" t="s">
        <v>3197</v>
      </c>
      <c r="D1975" t="s">
        <v>222</v>
      </c>
      <c r="E1975" t="s">
        <v>108</v>
      </c>
      <c r="F1975" s="6">
        <v>45107</v>
      </c>
      <c r="G1975">
        <v>20</v>
      </c>
      <c r="H1975">
        <v>2</v>
      </c>
      <c r="I1975">
        <v>1</v>
      </c>
      <c r="J1975">
        <v>10</v>
      </c>
      <c r="K1975">
        <v>0</v>
      </c>
      <c r="L1975" t="s">
        <v>118</v>
      </c>
      <c r="M1975">
        <v>2023</v>
      </c>
      <c r="N1975" t="s">
        <v>44</v>
      </c>
      <c r="O1975" t="s">
        <v>33</v>
      </c>
      <c r="P1975">
        <v>0</v>
      </c>
      <c r="Q1975">
        <v>0</v>
      </c>
      <c r="R1975">
        <v>0</v>
      </c>
      <c r="S1975" t="s">
        <v>34</v>
      </c>
      <c r="T1975" t="s">
        <v>3226</v>
      </c>
      <c r="U1975">
        <v>1</v>
      </c>
    </row>
    <row r="1976" spans="1:21" x14ac:dyDescent="0.3">
      <c r="A1976" t="s">
        <v>3224</v>
      </c>
      <c r="B1976" t="s">
        <v>3225</v>
      </c>
      <c r="C1976" t="s">
        <v>3197</v>
      </c>
      <c r="D1976" t="s">
        <v>222</v>
      </c>
      <c r="E1976" t="s">
        <v>108</v>
      </c>
      <c r="F1976" s="6">
        <v>45291</v>
      </c>
      <c r="G1976">
        <v>20</v>
      </c>
      <c r="H1976">
        <v>1.31</v>
      </c>
      <c r="I1976">
        <v>1</v>
      </c>
      <c r="J1976">
        <v>15.267175572519079</v>
      </c>
      <c r="K1976">
        <v>0</v>
      </c>
      <c r="L1976" t="s">
        <v>118</v>
      </c>
      <c r="M1976">
        <v>2023</v>
      </c>
      <c r="N1976" t="s">
        <v>57</v>
      </c>
      <c r="O1976" t="s">
        <v>47</v>
      </c>
      <c r="P1976">
        <v>0</v>
      </c>
      <c r="Q1976">
        <v>0</v>
      </c>
      <c r="R1976">
        <v>0</v>
      </c>
      <c r="S1976" t="s">
        <v>34</v>
      </c>
      <c r="T1976" t="s">
        <v>3227</v>
      </c>
      <c r="U1976">
        <v>1</v>
      </c>
    </row>
    <row r="1977" spans="1:21" x14ac:dyDescent="0.3">
      <c r="A1977" t="s">
        <v>3224</v>
      </c>
      <c r="B1977" t="s">
        <v>3225</v>
      </c>
      <c r="C1977" t="s">
        <v>3197</v>
      </c>
      <c r="D1977" t="s">
        <v>222</v>
      </c>
      <c r="E1977" t="s">
        <v>108</v>
      </c>
      <c r="F1977" s="6">
        <v>45473</v>
      </c>
      <c r="G1977">
        <v>10</v>
      </c>
      <c r="H1977">
        <v>5.85</v>
      </c>
      <c r="I1977">
        <v>1</v>
      </c>
      <c r="J1977">
        <v>1</v>
      </c>
      <c r="K1977" t="s">
        <v>31</v>
      </c>
      <c r="L1977" t="s">
        <v>31</v>
      </c>
      <c r="M1977">
        <v>2024</v>
      </c>
      <c r="N1977" t="s">
        <v>44</v>
      </c>
      <c r="O1977" t="s">
        <v>71</v>
      </c>
      <c r="P1977">
        <v>0</v>
      </c>
      <c r="Q1977">
        <v>0</v>
      </c>
      <c r="R1977">
        <v>0</v>
      </c>
      <c r="S1977" t="s">
        <v>34</v>
      </c>
      <c r="T1977" t="s">
        <v>3228</v>
      </c>
      <c r="U1977">
        <v>1</v>
      </c>
    </row>
    <row r="1978" spans="1:21" x14ac:dyDescent="0.3">
      <c r="A1978" t="s">
        <v>3224</v>
      </c>
      <c r="B1978" t="s">
        <v>3225</v>
      </c>
      <c r="C1978" t="s">
        <v>3197</v>
      </c>
      <c r="D1978" t="s">
        <v>222</v>
      </c>
      <c r="E1978" t="s">
        <v>108</v>
      </c>
      <c r="F1978" s="6">
        <v>45657</v>
      </c>
      <c r="G1978">
        <v>10</v>
      </c>
      <c r="H1978">
        <v>6.02</v>
      </c>
      <c r="I1978">
        <v>0.60199999999999998</v>
      </c>
      <c r="J1978">
        <v>0.60199999999999998</v>
      </c>
      <c r="K1978" t="s">
        <v>31</v>
      </c>
      <c r="L1978" t="s">
        <v>31</v>
      </c>
      <c r="M1978">
        <v>2024</v>
      </c>
      <c r="N1978" t="s">
        <v>57</v>
      </c>
      <c r="O1978" t="s">
        <v>78</v>
      </c>
      <c r="P1978">
        <v>0</v>
      </c>
      <c r="Q1978">
        <v>0</v>
      </c>
      <c r="R1978">
        <v>0</v>
      </c>
      <c r="S1978" t="s">
        <v>34</v>
      </c>
      <c r="T1978" t="s">
        <v>3229</v>
      </c>
      <c r="U1978">
        <v>1</v>
      </c>
    </row>
    <row r="1979" spans="1:21" x14ac:dyDescent="0.3">
      <c r="A1979" t="s">
        <v>3230</v>
      </c>
      <c r="B1979" t="s">
        <v>3231</v>
      </c>
      <c r="C1979" t="s">
        <v>3197</v>
      </c>
      <c r="D1979" t="s">
        <v>222</v>
      </c>
      <c r="E1979" t="s">
        <v>30</v>
      </c>
      <c r="F1979" s="6">
        <v>45107</v>
      </c>
      <c r="G1979">
        <v>25</v>
      </c>
      <c r="H1979">
        <v>30</v>
      </c>
      <c r="I1979">
        <v>1.2</v>
      </c>
      <c r="J1979">
        <v>1.2</v>
      </c>
      <c r="K1979" t="s">
        <v>31</v>
      </c>
      <c r="L1979" t="s">
        <v>31</v>
      </c>
      <c r="M1979">
        <v>2023</v>
      </c>
      <c r="N1979" t="s">
        <v>44</v>
      </c>
      <c r="O1979" t="s">
        <v>33</v>
      </c>
      <c r="P1979">
        <v>0</v>
      </c>
      <c r="Q1979">
        <v>0</v>
      </c>
      <c r="R1979">
        <v>0</v>
      </c>
      <c r="S1979" t="s">
        <v>34</v>
      </c>
      <c r="T1979" t="s">
        <v>3232</v>
      </c>
      <c r="U1979">
        <v>1</v>
      </c>
    </row>
    <row r="1980" spans="1:21" x14ac:dyDescent="0.3">
      <c r="A1980" t="s">
        <v>3230</v>
      </c>
      <c r="B1980" t="s">
        <v>3231</v>
      </c>
      <c r="C1980" t="s">
        <v>3197</v>
      </c>
      <c r="D1980" t="s">
        <v>222</v>
      </c>
      <c r="E1980" t="s">
        <v>30</v>
      </c>
      <c r="F1980" s="6">
        <v>45291</v>
      </c>
      <c r="G1980">
        <v>50</v>
      </c>
      <c r="H1980">
        <v>62</v>
      </c>
      <c r="I1980">
        <v>1.24</v>
      </c>
      <c r="J1980">
        <v>1.24</v>
      </c>
      <c r="K1980" t="s">
        <v>31</v>
      </c>
      <c r="L1980" t="s">
        <v>31</v>
      </c>
      <c r="M1980">
        <v>2023</v>
      </c>
      <c r="N1980" t="s">
        <v>57</v>
      </c>
      <c r="O1980" t="s">
        <v>47</v>
      </c>
      <c r="P1980">
        <v>0</v>
      </c>
      <c r="Q1980">
        <v>0</v>
      </c>
      <c r="R1980">
        <v>0</v>
      </c>
      <c r="S1980" t="s">
        <v>34</v>
      </c>
      <c r="T1980" t="s">
        <v>3233</v>
      </c>
      <c r="U1980">
        <v>1</v>
      </c>
    </row>
    <row r="1981" spans="1:21" x14ac:dyDescent="0.3">
      <c r="A1981" t="s">
        <v>3230</v>
      </c>
      <c r="B1981" t="s">
        <v>3234</v>
      </c>
      <c r="C1981" t="s">
        <v>3197</v>
      </c>
      <c r="D1981" t="s">
        <v>222</v>
      </c>
      <c r="E1981" t="s">
        <v>30</v>
      </c>
      <c r="F1981" s="6">
        <v>45473</v>
      </c>
      <c r="G1981">
        <v>100</v>
      </c>
      <c r="H1981">
        <v>92</v>
      </c>
      <c r="I1981">
        <v>0.92</v>
      </c>
      <c r="J1981">
        <v>0.92</v>
      </c>
      <c r="K1981" t="s">
        <v>31</v>
      </c>
      <c r="L1981" t="s">
        <v>31</v>
      </c>
      <c r="M1981">
        <v>2024</v>
      </c>
      <c r="N1981" t="s">
        <v>44</v>
      </c>
      <c r="O1981" t="s">
        <v>71</v>
      </c>
      <c r="P1981">
        <v>0</v>
      </c>
      <c r="Q1981">
        <v>0</v>
      </c>
      <c r="R1981">
        <v>0</v>
      </c>
      <c r="S1981" t="s">
        <v>34</v>
      </c>
      <c r="T1981" t="s">
        <v>3235</v>
      </c>
      <c r="U1981">
        <v>1</v>
      </c>
    </row>
    <row r="1982" spans="1:21" x14ac:dyDescent="0.3">
      <c r="A1982" t="s">
        <v>3230</v>
      </c>
      <c r="B1982" t="s">
        <v>3234</v>
      </c>
      <c r="C1982" t="s">
        <v>3197</v>
      </c>
      <c r="D1982" t="s">
        <v>222</v>
      </c>
      <c r="E1982" t="s">
        <v>30</v>
      </c>
      <c r="F1982" s="6">
        <v>45657</v>
      </c>
      <c r="G1982">
        <v>100</v>
      </c>
      <c r="H1982">
        <v>98</v>
      </c>
      <c r="I1982">
        <v>0.98</v>
      </c>
      <c r="J1982">
        <v>0.98</v>
      </c>
      <c r="K1982" t="s">
        <v>31</v>
      </c>
      <c r="L1982" t="s">
        <v>31</v>
      </c>
      <c r="M1982">
        <v>2024</v>
      </c>
      <c r="N1982" t="s">
        <v>57</v>
      </c>
      <c r="O1982" t="s">
        <v>78</v>
      </c>
      <c r="P1982">
        <v>0</v>
      </c>
      <c r="Q1982">
        <v>0</v>
      </c>
      <c r="R1982">
        <v>0</v>
      </c>
      <c r="S1982" t="s">
        <v>34</v>
      </c>
      <c r="T1982" t="s">
        <v>3236</v>
      </c>
      <c r="U1982">
        <v>1</v>
      </c>
    </row>
    <row r="1983" spans="1:21" x14ac:dyDescent="0.3">
      <c r="A1983" t="s">
        <v>3237</v>
      </c>
      <c r="B1983" t="s">
        <v>3238</v>
      </c>
      <c r="C1983" t="s">
        <v>61</v>
      </c>
      <c r="D1983" t="s">
        <v>222</v>
      </c>
      <c r="E1983" t="s">
        <v>30</v>
      </c>
      <c r="F1983" s="6">
        <v>45291</v>
      </c>
      <c r="G1983">
        <v>5</v>
      </c>
      <c r="H1983">
        <v>5</v>
      </c>
      <c r="I1983">
        <v>1</v>
      </c>
      <c r="J1983">
        <v>1</v>
      </c>
      <c r="K1983" t="s">
        <v>31</v>
      </c>
      <c r="L1983" t="s">
        <v>31</v>
      </c>
      <c r="M1983">
        <v>2023</v>
      </c>
      <c r="N1983" t="s">
        <v>57</v>
      </c>
      <c r="O1983" t="s">
        <v>47</v>
      </c>
      <c r="P1983">
        <v>0</v>
      </c>
      <c r="Q1983">
        <v>0</v>
      </c>
      <c r="R1983">
        <v>0</v>
      </c>
      <c r="S1983" t="s">
        <v>34</v>
      </c>
      <c r="T1983" t="s">
        <v>3239</v>
      </c>
      <c r="U1983">
        <v>1</v>
      </c>
    </row>
    <row r="1984" spans="1:21" x14ac:dyDescent="0.3">
      <c r="A1984" t="s">
        <v>3237</v>
      </c>
      <c r="B1984" t="s">
        <v>3238</v>
      </c>
      <c r="C1984" t="s">
        <v>61</v>
      </c>
      <c r="D1984" t="s">
        <v>222</v>
      </c>
      <c r="E1984" t="s">
        <v>30</v>
      </c>
      <c r="F1984" s="6">
        <v>45473</v>
      </c>
      <c r="G1984">
        <v>0</v>
      </c>
      <c r="H1984">
        <v>3</v>
      </c>
      <c r="K1984" t="s">
        <v>118</v>
      </c>
      <c r="L1984" t="s">
        <v>118</v>
      </c>
      <c r="M1984">
        <v>2024</v>
      </c>
      <c r="N1984" t="s">
        <v>44</v>
      </c>
      <c r="O1984" t="s">
        <v>71</v>
      </c>
      <c r="P1984">
        <v>0</v>
      </c>
      <c r="Q1984">
        <v>0</v>
      </c>
      <c r="R1984">
        <v>0</v>
      </c>
      <c r="S1984" t="s">
        <v>34</v>
      </c>
      <c r="T1984" t="s">
        <v>3240</v>
      </c>
      <c r="U1984">
        <v>1</v>
      </c>
    </row>
    <row r="1985" spans="1:21" x14ac:dyDescent="0.3">
      <c r="A1985" t="s">
        <v>3237</v>
      </c>
      <c r="B1985" t="s">
        <v>3238</v>
      </c>
      <c r="C1985" t="s">
        <v>87</v>
      </c>
      <c r="D1985" t="s">
        <v>222</v>
      </c>
      <c r="E1985" t="s">
        <v>30</v>
      </c>
      <c r="F1985" s="6">
        <v>45657</v>
      </c>
      <c r="G1985">
        <v>0</v>
      </c>
      <c r="K1985" t="s">
        <v>118</v>
      </c>
      <c r="L1985" t="s">
        <v>118</v>
      </c>
      <c r="M1985">
        <v>2024</v>
      </c>
      <c r="N1985" t="s">
        <v>57</v>
      </c>
      <c r="O1985" t="s">
        <v>78</v>
      </c>
      <c r="P1985">
        <v>0</v>
      </c>
      <c r="Q1985">
        <v>0</v>
      </c>
      <c r="R1985">
        <v>0</v>
      </c>
      <c r="S1985" t="s">
        <v>34</v>
      </c>
      <c r="T1985" t="s">
        <v>3241</v>
      </c>
      <c r="U1985">
        <v>1</v>
      </c>
    </row>
    <row r="1986" spans="1:21" x14ac:dyDescent="0.3">
      <c r="A1986" t="s">
        <v>3242</v>
      </c>
      <c r="B1986" t="s">
        <v>3243</v>
      </c>
      <c r="C1986" t="s">
        <v>61</v>
      </c>
      <c r="D1986" t="s">
        <v>222</v>
      </c>
      <c r="E1986" t="s">
        <v>30</v>
      </c>
      <c r="F1986" s="6">
        <v>45291</v>
      </c>
      <c r="G1986">
        <v>3</v>
      </c>
      <c r="H1986">
        <v>3</v>
      </c>
      <c r="I1986">
        <v>1</v>
      </c>
      <c r="J1986">
        <v>1</v>
      </c>
      <c r="K1986" t="s">
        <v>118</v>
      </c>
      <c r="L1986" t="s">
        <v>118</v>
      </c>
      <c r="M1986">
        <v>2023</v>
      </c>
      <c r="N1986" t="s">
        <v>57</v>
      </c>
      <c r="O1986" t="s">
        <v>47</v>
      </c>
      <c r="P1986">
        <v>0</v>
      </c>
      <c r="Q1986">
        <v>0</v>
      </c>
      <c r="R1986">
        <v>0</v>
      </c>
      <c r="S1986" t="s">
        <v>34</v>
      </c>
      <c r="T1986" t="s">
        <v>3244</v>
      </c>
      <c r="U1986">
        <v>1</v>
      </c>
    </row>
    <row r="1987" spans="1:21" x14ac:dyDescent="0.3">
      <c r="A1987" t="s">
        <v>3242</v>
      </c>
      <c r="B1987" t="s">
        <v>3243</v>
      </c>
      <c r="C1987" t="s">
        <v>61</v>
      </c>
      <c r="D1987" t="s">
        <v>222</v>
      </c>
      <c r="E1987" t="s">
        <v>30</v>
      </c>
      <c r="F1987" s="6">
        <v>45473</v>
      </c>
      <c r="K1987" t="s">
        <v>118</v>
      </c>
      <c r="L1987" t="s">
        <v>118</v>
      </c>
      <c r="M1987">
        <v>2024</v>
      </c>
      <c r="N1987" t="s">
        <v>44</v>
      </c>
      <c r="O1987" t="s">
        <v>71</v>
      </c>
      <c r="P1987">
        <v>0</v>
      </c>
      <c r="Q1987">
        <v>0</v>
      </c>
      <c r="R1987">
        <v>0</v>
      </c>
      <c r="S1987" t="s">
        <v>34</v>
      </c>
      <c r="T1987" t="s">
        <v>3245</v>
      </c>
      <c r="U1987">
        <v>1</v>
      </c>
    </row>
    <row r="1988" spans="1:21" x14ac:dyDescent="0.3">
      <c r="A1988" t="s">
        <v>3242</v>
      </c>
      <c r="B1988" t="s">
        <v>3243</v>
      </c>
      <c r="C1988" t="s">
        <v>87</v>
      </c>
      <c r="D1988" t="s">
        <v>222</v>
      </c>
      <c r="E1988" t="s">
        <v>30</v>
      </c>
      <c r="F1988" s="6">
        <v>45657</v>
      </c>
      <c r="G1988">
        <v>100</v>
      </c>
      <c r="I1988">
        <v>0</v>
      </c>
      <c r="J1988">
        <v>0</v>
      </c>
      <c r="K1988" t="s">
        <v>118</v>
      </c>
      <c r="L1988" t="s">
        <v>118</v>
      </c>
      <c r="M1988">
        <v>2024</v>
      </c>
      <c r="N1988" t="s">
        <v>57</v>
      </c>
      <c r="O1988" t="s">
        <v>78</v>
      </c>
      <c r="P1988">
        <v>0</v>
      </c>
      <c r="Q1988">
        <v>0</v>
      </c>
      <c r="R1988">
        <v>0</v>
      </c>
      <c r="S1988" t="s">
        <v>34</v>
      </c>
      <c r="T1988" t="s">
        <v>3246</v>
      </c>
      <c r="U1988">
        <v>1</v>
      </c>
    </row>
    <row r="1989" spans="1:21" x14ac:dyDescent="0.3">
      <c r="A1989" t="s">
        <v>3247</v>
      </c>
      <c r="B1989" t="s">
        <v>3248</v>
      </c>
      <c r="C1989" t="s">
        <v>61</v>
      </c>
      <c r="D1989" t="s">
        <v>222</v>
      </c>
      <c r="E1989" t="s">
        <v>30</v>
      </c>
      <c r="F1989" s="6">
        <v>45291</v>
      </c>
      <c r="G1989">
        <v>12</v>
      </c>
      <c r="H1989">
        <v>12</v>
      </c>
      <c r="I1989">
        <v>1</v>
      </c>
      <c r="J1989">
        <v>1</v>
      </c>
      <c r="K1989" t="s">
        <v>118</v>
      </c>
      <c r="L1989" t="s">
        <v>118</v>
      </c>
      <c r="M1989">
        <v>2023</v>
      </c>
      <c r="N1989" t="s">
        <v>57</v>
      </c>
      <c r="O1989" t="s">
        <v>47</v>
      </c>
      <c r="P1989">
        <v>0</v>
      </c>
      <c r="Q1989">
        <v>0</v>
      </c>
      <c r="R1989">
        <v>0</v>
      </c>
      <c r="S1989" t="s">
        <v>34</v>
      </c>
      <c r="T1989" t="s">
        <v>3249</v>
      </c>
      <c r="U1989">
        <v>1</v>
      </c>
    </row>
    <row r="1990" spans="1:21" x14ac:dyDescent="0.3">
      <c r="A1990" t="s">
        <v>3247</v>
      </c>
      <c r="B1990" t="s">
        <v>3248</v>
      </c>
      <c r="C1990" t="s">
        <v>61</v>
      </c>
      <c r="D1990" t="s">
        <v>222</v>
      </c>
      <c r="E1990" t="s">
        <v>30</v>
      </c>
      <c r="F1990" s="6">
        <v>45473</v>
      </c>
      <c r="K1990" t="s">
        <v>118</v>
      </c>
      <c r="L1990" t="s">
        <v>118</v>
      </c>
      <c r="M1990">
        <v>2024</v>
      </c>
      <c r="N1990" t="s">
        <v>44</v>
      </c>
      <c r="O1990" t="s">
        <v>71</v>
      </c>
      <c r="P1990">
        <v>0</v>
      </c>
      <c r="Q1990">
        <v>0</v>
      </c>
      <c r="R1990">
        <v>0</v>
      </c>
      <c r="S1990" t="s">
        <v>34</v>
      </c>
      <c r="T1990" t="s">
        <v>3250</v>
      </c>
      <c r="U1990">
        <v>1</v>
      </c>
    </row>
    <row r="1991" spans="1:21" x14ac:dyDescent="0.3">
      <c r="A1991" t="s">
        <v>3247</v>
      </c>
      <c r="B1991" t="s">
        <v>3248</v>
      </c>
      <c r="C1991" t="s">
        <v>61</v>
      </c>
      <c r="D1991" t="s">
        <v>222</v>
      </c>
      <c r="E1991" t="s">
        <v>30</v>
      </c>
      <c r="F1991" s="6">
        <v>45657</v>
      </c>
      <c r="G1991">
        <v>100</v>
      </c>
      <c r="H1991">
        <v>100</v>
      </c>
      <c r="I1991">
        <v>1</v>
      </c>
      <c r="J1991">
        <v>1</v>
      </c>
      <c r="K1991" t="s">
        <v>118</v>
      </c>
      <c r="L1991" t="s">
        <v>118</v>
      </c>
      <c r="M1991">
        <v>2024</v>
      </c>
      <c r="N1991" t="s">
        <v>57</v>
      </c>
      <c r="O1991" t="s">
        <v>78</v>
      </c>
      <c r="P1991">
        <v>0</v>
      </c>
      <c r="Q1991">
        <v>0</v>
      </c>
      <c r="R1991">
        <v>0</v>
      </c>
      <c r="S1991" t="s">
        <v>34</v>
      </c>
      <c r="T1991" t="s">
        <v>3251</v>
      </c>
      <c r="U1991">
        <v>1</v>
      </c>
    </row>
    <row r="1992" spans="1:21" x14ac:dyDescent="0.3">
      <c r="A1992" t="s">
        <v>3247</v>
      </c>
      <c r="B1992" t="s">
        <v>3248</v>
      </c>
      <c r="C1992" t="s">
        <v>61</v>
      </c>
      <c r="D1992" t="s">
        <v>222</v>
      </c>
      <c r="E1992" t="s">
        <v>30</v>
      </c>
      <c r="F1992" s="6">
        <v>45838</v>
      </c>
      <c r="G1992">
        <v>100</v>
      </c>
      <c r="H1992" t="s">
        <v>95</v>
      </c>
      <c r="I1992">
        <v>1</v>
      </c>
      <c r="J1992">
        <v>1</v>
      </c>
      <c r="K1992" t="s">
        <v>102</v>
      </c>
      <c r="L1992" t="s">
        <v>102</v>
      </c>
      <c r="M1992">
        <v>2025</v>
      </c>
      <c r="N1992" t="s">
        <v>44</v>
      </c>
      <c r="O1992" t="s">
        <v>244</v>
      </c>
      <c r="P1992">
        <v>2</v>
      </c>
      <c r="Q1992">
        <v>2</v>
      </c>
      <c r="R1992">
        <v>0</v>
      </c>
      <c r="S1992" t="s">
        <v>34</v>
      </c>
      <c r="T1992" t="s">
        <v>3252</v>
      </c>
      <c r="U1992">
        <v>30</v>
      </c>
    </row>
    <row r="1993" spans="1:21" x14ac:dyDescent="0.3">
      <c r="A1993" t="s">
        <v>3247</v>
      </c>
      <c r="B1993" t="s">
        <v>3248</v>
      </c>
      <c r="C1993" t="s">
        <v>61</v>
      </c>
      <c r="D1993" t="s">
        <v>222</v>
      </c>
      <c r="E1993" t="s">
        <v>30</v>
      </c>
      <c r="F1993" s="6">
        <v>46022</v>
      </c>
      <c r="G1993">
        <v>100</v>
      </c>
      <c r="H1993" t="s">
        <v>95</v>
      </c>
      <c r="I1993">
        <v>1</v>
      </c>
      <c r="J1993">
        <v>1</v>
      </c>
      <c r="K1993" t="s">
        <v>102</v>
      </c>
      <c r="L1993" t="s">
        <v>102</v>
      </c>
      <c r="M1993">
        <v>2025</v>
      </c>
      <c r="N1993" t="s">
        <v>57</v>
      </c>
      <c r="O1993" t="s">
        <v>103</v>
      </c>
      <c r="P1993">
        <v>2</v>
      </c>
      <c r="Q1993">
        <v>2</v>
      </c>
      <c r="R1993">
        <v>0</v>
      </c>
      <c r="S1993" t="s">
        <v>34</v>
      </c>
      <c r="T1993" t="s">
        <v>3253</v>
      </c>
      <c r="U1993">
        <v>31</v>
      </c>
    </row>
    <row r="1994" spans="1:21" x14ac:dyDescent="0.3">
      <c r="A1994" t="s">
        <v>3254</v>
      </c>
      <c r="B1994" t="s">
        <v>3255</v>
      </c>
      <c r="C1994" t="s">
        <v>184</v>
      </c>
      <c r="D1994" t="s">
        <v>233</v>
      </c>
      <c r="E1994" t="s">
        <v>30</v>
      </c>
      <c r="F1994" s="6">
        <v>45199</v>
      </c>
      <c r="G1994">
        <v>80</v>
      </c>
      <c r="H1994">
        <v>103.71885459278499</v>
      </c>
      <c r="I1994">
        <v>1.2964856824098121</v>
      </c>
      <c r="J1994">
        <v>1.2964856824098121</v>
      </c>
      <c r="K1994" t="s">
        <v>31</v>
      </c>
      <c r="L1994" t="s">
        <v>31</v>
      </c>
      <c r="M1994">
        <v>2023</v>
      </c>
      <c r="N1994" t="s">
        <v>51</v>
      </c>
      <c r="O1994" t="s">
        <v>47</v>
      </c>
      <c r="P1994">
        <v>0</v>
      </c>
      <c r="Q1994">
        <v>0</v>
      </c>
      <c r="R1994">
        <v>0</v>
      </c>
      <c r="S1994" t="s">
        <v>99</v>
      </c>
      <c r="T1994" t="s">
        <v>3256</v>
      </c>
      <c r="U1994">
        <v>1</v>
      </c>
    </row>
    <row r="1995" spans="1:21" x14ac:dyDescent="0.3">
      <c r="A1995" t="s">
        <v>3254</v>
      </c>
      <c r="B1995" t="s">
        <v>3255</v>
      </c>
      <c r="C1995" t="s">
        <v>184</v>
      </c>
      <c r="D1995" t="s">
        <v>233</v>
      </c>
      <c r="E1995" t="s">
        <v>30</v>
      </c>
      <c r="F1995" s="6">
        <v>45291</v>
      </c>
      <c r="G1995">
        <v>80</v>
      </c>
      <c r="H1995">
        <v>100</v>
      </c>
      <c r="I1995">
        <v>1.25</v>
      </c>
      <c r="J1995">
        <v>1.25</v>
      </c>
      <c r="K1995" t="s">
        <v>31</v>
      </c>
      <c r="L1995" t="s">
        <v>31</v>
      </c>
      <c r="M1995">
        <v>2023</v>
      </c>
      <c r="N1995" t="s">
        <v>57</v>
      </c>
      <c r="O1995" t="s">
        <v>47</v>
      </c>
      <c r="P1995">
        <v>0</v>
      </c>
      <c r="Q1995">
        <v>0</v>
      </c>
      <c r="R1995">
        <v>0</v>
      </c>
      <c r="S1995" t="s">
        <v>99</v>
      </c>
      <c r="T1995" t="s">
        <v>3257</v>
      </c>
      <c r="U1995">
        <v>1</v>
      </c>
    </row>
    <row r="1996" spans="1:21" x14ac:dyDescent="0.3">
      <c r="A1996" t="s">
        <v>3254</v>
      </c>
      <c r="B1996" t="s">
        <v>3255</v>
      </c>
      <c r="C1996" t="s">
        <v>184</v>
      </c>
      <c r="D1996" t="s">
        <v>233</v>
      </c>
      <c r="E1996" t="s">
        <v>30</v>
      </c>
      <c r="F1996" s="6">
        <v>45382</v>
      </c>
      <c r="G1996">
        <v>95</v>
      </c>
      <c r="H1996">
        <v>98.02</v>
      </c>
      <c r="I1996">
        <v>1.031789473684211</v>
      </c>
      <c r="J1996">
        <v>1.031789473684211</v>
      </c>
      <c r="K1996" t="s">
        <v>31</v>
      </c>
      <c r="L1996" t="s">
        <v>31</v>
      </c>
      <c r="M1996">
        <v>2024</v>
      </c>
      <c r="N1996" t="s">
        <v>38</v>
      </c>
      <c r="O1996" t="s">
        <v>71</v>
      </c>
      <c r="P1996">
        <v>0</v>
      </c>
      <c r="Q1996">
        <v>0</v>
      </c>
      <c r="R1996">
        <v>0</v>
      </c>
      <c r="S1996" t="s">
        <v>99</v>
      </c>
      <c r="T1996" t="s">
        <v>3258</v>
      </c>
      <c r="U1996">
        <v>1</v>
      </c>
    </row>
    <row r="1997" spans="1:21" x14ac:dyDescent="0.3">
      <c r="A1997" t="s">
        <v>3254</v>
      </c>
      <c r="B1997" t="s">
        <v>3255</v>
      </c>
      <c r="C1997" t="s">
        <v>184</v>
      </c>
      <c r="D1997" t="s">
        <v>233</v>
      </c>
      <c r="E1997" t="s">
        <v>30</v>
      </c>
      <c r="F1997" s="6">
        <v>45473</v>
      </c>
      <c r="G1997">
        <v>95</v>
      </c>
      <c r="H1997">
        <v>98.4962406015037</v>
      </c>
      <c r="I1997">
        <v>1.0368025326474071</v>
      </c>
      <c r="J1997">
        <v>1.0368025326474071</v>
      </c>
      <c r="K1997" t="s">
        <v>31</v>
      </c>
      <c r="L1997" t="s">
        <v>31</v>
      </c>
      <c r="M1997">
        <v>2024</v>
      </c>
      <c r="N1997" t="s">
        <v>44</v>
      </c>
      <c r="O1997" t="s">
        <v>71</v>
      </c>
      <c r="P1997">
        <v>0</v>
      </c>
      <c r="Q1997">
        <v>0</v>
      </c>
      <c r="R1997">
        <v>0</v>
      </c>
      <c r="S1997" t="s">
        <v>99</v>
      </c>
      <c r="T1997" t="s">
        <v>3259</v>
      </c>
      <c r="U1997">
        <v>1</v>
      </c>
    </row>
    <row r="1998" spans="1:21" x14ac:dyDescent="0.3">
      <c r="A1998" t="s">
        <v>3254</v>
      </c>
      <c r="B1998" t="s">
        <v>3255</v>
      </c>
      <c r="C1998" t="s">
        <v>184</v>
      </c>
      <c r="D1998" t="s">
        <v>233</v>
      </c>
      <c r="E1998" t="s">
        <v>30</v>
      </c>
      <c r="F1998" s="6">
        <v>45565</v>
      </c>
      <c r="G1998">
        <v>95</v>
      </c>
      <c r="H1998">
        <v>97.122302158273001</v>
      </c>
      <c r="I1998">
        <v>1.022340022718663</v>
      </c>
      <c r="J1998">
        <v>1.022340022718663</v>
      </c>
      <c r="K1998" t="s">
        <v>31</v>
      </c>
      <c r="L1998" t="s">
        <v>31</v>
      </c>
      <c r="M1998">
        <v>2024</v>
      </c>
      <c r="N1998" t="s">
        <v>51</v>
      </c>
      <c r="O1998" t="s">
        <v>78</v>
      </c>
      <c r="P1998">
        <v>0</v>
      </c>
      <c r="Q1998">
        <v>0</v>
      </c>
      <c r="R1998">
        <v>0</v>
      </c>
      <c r="S1998" t="s">
        <v>99</v>
      </c>
      <c r="T1998" t="s">
        <v>3260</v>
      </c>
      <c r="U1998">
        <v>1</v>
      </c>
    </row>
    <row r="1999" spans="1:21" x14ac:dyDescent="0.3">
      <c r="A1999" t="s">
        <v>3254</v>
      </c>
      <c r="B1999" t="s">
        <v>3255</v>
      </c>
      <c r="C1999" t="s">
        <v>184</v>
      </c>
      <c r="D1999" t="s">
        <v>233</v>
      </c>
      <c r="E1999" t="s">
        <v>30</v>
      </c>
      <c r="F1999" s="6">
        <v>45657</v>
      </c>
      <c r="G1999">
        <v>95</v>
      </c>
      <c r="H1999">
        <v>96.46</v>
      </c>
      <c r="I1999">
        <v>1.015368421052631</v>
      </c>
      <c r="J1999">
        <v>1.015368421052631</v>
      </c>
      <c r="K1999" t="s">
        <v>31</v>
      </c>
      <c r="L1999" t="s">
        <v>31</v>
      </c>
      <c r="M1999">
        <v>2024</v>
      </c>
      <c r="N1999" t="s">
        <v>57</v>
      </c>
      <c r="O1999" t="s">
        <v>78</v>
      </c>
      <c r="P1999">
        <v>0</v>
      </c>
      <c r="Q1999">
        <v>0</v>
      </c>
      <c r="R1999">
        <v>0</v>
      </c>
      <c r="S1999" t="s">
        <v>99</v>
      </c>
      <c r="T1999" t="s">
        <v>3261</v>
      </c>
      <c r="U1999">
        <v>1</v>
      </c>
    </row>
    <row r="2000" spans="1:21" x14ac:dyDescent="0.3">
      <c r="A2000" t="s">
        <v>3254</v>
      </c>
      <c r="B2000" t="s">
        <v>3255</v>
      </c>
      <c r="C2000" t="s">
        <v>184</v>
      </c>
      <c r="D2000" t="s">
        <v>233</v>
      </c>
      <c r="E2000" t="s">
        <v>30</v>
      </c>
      <c r="F2000" s="6">
        <v>45747</v>
      </c>
      <c r="G2000">
        <v>95</v>
      </c>
      <c r="H2000" t="s">
        <v>95</v>
      </c>
      <c r="I2000">
        <v>1.0526315789473679</v>
      </c>
      <c r="J2000">
        <v>1.0526315789473679</v>
      </c>
      <c r="K2000" t="s">
        <v>838</v>
      </c>
      <c r="L2000" t="s">
        <v>102</v>
      </c>
      <c r="M2000">
        <v>2025</v>
      </c>
      <c r="N2000" t="s">
        <v>38</v>
      </c>
      <c r="O2000" t="s">
        <v>244</v>
      </c>
      <c r="P2000">
        <v>2</v>
      </c>
      <c r="Q2000">
        <v>2</v>
      </c>
      <c r="R2000">
        <v>0</v>
      </c>
      <c r="S2000" t="s">
        <v>130</v>
      </c>
      <c r="T2000" t="s">
        <v>3262</v>
      </c>
      <c r="U2000">
        <v>31</v>
      </c>
    </row>
    <row r="2001" spans="1:21" x14ac:dyDescent="0.3">
      <c r="A2001" t="s">
        <v>3254</v>
      </c>
      <c r="B2001" t="s">
        <v>3255</v>
      </c>
      <c r="C2001" t="s">
        <v>184</v>
      </c>
      <c r="D2001" t="s">
        <v>233</v>
      </c>
      <c r="E2001" t="s">
        <v>30</v>
      </c>
      <c r="F2001" s="6">
        <v>45838</v>
      </c>
      <c r="G2001">
        <v>95</v>
      </c>
      <c r="I2001">
        <v>0</v>
      </c>
      <c r="J2001">
        <v>0</v>
      </c>
      <c r="K2001" t="s">
        <v>838</v>
      </c>
      <c r="M2001">
        <v>2025</v>
      </c>
      <c r="N2001" t="s">
        <v>44</v>
      </c>
      <c r="O2001" t="s">
        <v>244</v>
      </c>
      <c r="P2001">
        <v>2</v>
      </c>
      <c r="Q2001">
        <v>2</v>
      </c>
      <c r="R2001">
        <v>0</v>
      </c>
      <c r="S2001" t="s">
        <v>130</v>
      </c>
      <c r="T2001" t="s">
        <v>3263</v>
      </c>
      <c r="U2001">
        <v>30</v>
      </c>
    </row>
    <row r="2002" spans="1:21" x14ac:dyDescent="0.3">
      <c r="A2002" t="s">
        <v>3264</v>
      </c>
      <c r="B2002" t="s">
        <v>3265</v>
      </c>
      <c r="C2002" t="s">
        <v>184</v>
      </c>
      <c r="D2002" t="s">
        <v>233</v>
      </c>
      <c r="E2002" t="s">
        <v>30</v>
      </c>
      <c r="F2002" s="6">
        <v>45199</v>
      </c>
      <c r="G2002">
        <v>90</v>
      </c>
      <c r="H2002">
        <v>90.31</v>
      </c>
      <c r="I2002">
        <v>1.0034444444444439</v>
      </c>
      <c r="J2002">
        <v>1.0034444444444439</v>
      </c>
      <c r="K2002" t="s">
        <v>31</v>
      </c>
      <c r="L2002" t="s">
        <v>31</v>
      </c>
      <c r="M2002">
        <v>2023</v>
      </c>
      <c r="N2002" t="s">
        <v>51</v>
      </c>
      <c r="O2002" t="s">
        <v>47</v>
      </c>
      <c r="P2002">
        <v>0</v>
      </c>
      <c r="Q2002">
        <v>0</v>
      </c>
      <c r="R2002">
        <v>0</v>
      </c>
      <c r="S2002" t="s">
        <v>99</v>
      </c>
      <c r="T2002" t="s">
        <v>3266</v>
      </c>
      <c r="U2002">
        <v>1</v>
      </c>
    </row>
    <row r="2003" spans="1:21" x14ac:dyDescent="0.3">
      <c r="A2003" t="s">
        <v>3264</v>
      </c>
      <c r="B2003" t="s">
        <v>3265</v>
      </c>
      <c r="C2003" t="s">
        <v>184</v>
      </c>
      <c r="D2003" t="s">
        <v>233</v>
      </c>
      <c r="E2003" t="s">
        <v>30</v>
      </c>
      <c r="F2003" s="6">
        <v>45291</v>
      </c>
      <c r="G2003">
        <v>90</v>
      </c>
      <c r="K2003" t="s">
        <v>31</v>
      </c>
      <c r="L2003" t="s">
        <v>31</v>
      </c>
      <c r="M2003">
        <v>2023</v>
      </c>
      <c r="N2003" t="s">
        <v>57</v>
      </c>
      <c r="O2003" t="s">
        <v>47</v>
      </c>
      <c r="P2003">
        <v>0</v>
      </c>
      <c r="Q2003">
        <v>0</v>
      </c>
      <c r="R2003">
        <v>0</v>
      </c>
      <c r="S2003" t="s">
        <v>99</v>
      </c>
      <c r="T2003" t="s">
        <v>3267</v>
      </c>
      <c r="U2003">
        <v>1</v>
      </c>
    </row>
    <row r="2004" spans="1:21" x14ac:dyDescent="0.3">
      <c r="A2004" t="s">
        <v>3268</v>
      </c>
      <c r="B2004" t="s">
        <v>3269</v>
      </c>
      <c r="C2004" t="s">
        <v>3093</v>
      </c>
      <c r="D2004" t="s">
        <v>222</v>
      </c>
      <c r="E2004" t="s">
        <v>30</v>
      </c>
      <c r="F2004" s="6">
        <v>45107</v>
      </c>
      <c r="K2004" t="s">
        <v>31</v>
      </c>
      <c r="L2004" t="s">
        <v>31</v>
      </c>
      <c r="M2004">
        <v>2023</v>
      </c>
      <c r="N2004" t="s">
        <v>44</v>
      </c>
      <c r="O2004" t="s">
        <v>33</v>
      </c>
      <c r="P2004">
        <v>0</v>
      </c>
      <c r="Q2004">
        <v>0</v>
      </c>
      <c r="R2004">
        <v>0</v>
      </c>
      <c r="S2004" t="s">
        <v>718</v>
      </c>
      <c r="T2004" t="s">
        <v>3270</v>
      </c>
      <c r="U2004">
        <v>1</v>
      </c>
    </row>
    <row r="2005" spans="1:21" x14ac:dyDescent="0.3">
      <c r="A2005" t="s">
        <v>3268</v>
      </c>
      <c r="B2005" t="s">
        <v>3269</v>
      </c>
      <c r="C2005" t="s">
        <v>3093</v>
      </c>
      <c r="D2005" t="s">
        <v>222</v>
      </c>
      <c r="E2005" t="s">
        <v>30</v>
      </c>
      <c r="F2005" s="6">
        <v>45291</v>
      </c>
      <c r="G2005">
        <v>100</v>
      </c>
      <c r="H2005">
        <v>100</v>
      </c>
      <c r="I2005">
        <v>1</v>
      </c>
      <c r="J2005">
        <v>1</v>
      </c>
      <c r="K2005" t="s">
        <v>31</v>
      </c>
      <c r="L2005" t="s">
        <v>31</v>
      </c>
      <c r="M2005">
        <v>2023</v>
      </c>
      <c r="N2005" t="s">
        <v>57</v>
      </c>
      <c r="O2005" t="s">
        <v>47</v>
      </c>
      <c r="P2005">
        <v>0</v>
      </c>
      <c r="Q2005">
        <v>0</v>
      </c>
      <c r="R2005">
        <v>0</v>
      </c>
      <c r="S2005" t="s">
        <v>718</v>
      </c>
      <c r="T2005" t="s">
        <v>3271</v>
      </c>
      <c r="U2005">
        <v>1</v>
      </c>
    </row>
    <row r="2006" spans="1:21" x14ac:dyDescent="0.3">
      <c r="A2006" t="s">
        <v>3272</v>
      </c>
      <c r="B2006" t="s">
        <v>3273</v>
      </c>
      <c r="C2006" t="s">
        <v>3093</v>
      </c>
      <c r="D2006" t="s">
        <v>98</v>
      </c>
      <c r="E2006" t="s">
        <v>30</v>
      </c>
      <c r="F2006" s="6">
        <v>45291</v>
      </c>
      <c r="G2006">
        <v>100</v>
      </c>
      <c r="H2006">
        <v>100</v>
      </c>
      <c r="I2006">
        <v>1</v>
      </c>
      <c r="J2006">
        <v>1</v>
      </c>
      <c r="K2006" t="s">
        <v>31</v>
      </c>
      <c r="L2006" t="s">
        <v>31</v>
      </c>
      <c r="M2006">
        <v>2023</v>
      </c>
      <c r="N2006" t="s">
        <v>57</v>
      </c>
      <c r="O2006" t="s">
        <v>47</v>
      </c>
      <c r="P2006">
        <v>0</v>
      </c>
      <c r="Q2006">
        <v>0</v>
      </c>
      <c r="R2006">
        <v>0</v>
      </c>
      <c r="S2006" t="s">
        <v>718</v>
      </c>
      <c r="T2006" t="s">
        <v>3274</v>
      </c>
      <c r="U2006">
        <v>1</v>
      </c>
    </row>
    <row r="2007" spans="1:21" x14ac:dyDescent="0.3">
      <c r="A2007" t="s">
        <v>3272</v>
      </c>
      <c r="B2007" t="s">
        <v>3275</v>
      </c>
      <c r="C2007" t="s">
        <v>3093</v>
      </c>
      <c r="D2007" t="s">
        <v>98</v>
      </c>
      <c r="E2007" t="s">
        <v>30</v>
      </c>
      <c r="F2007" s="6">
        <v>45657</v>
      </c>
      <c r="G2007">
        <v>100</v>
      </c>
      <c r="H2007">
        <v>100</v>
      </c>
      <c r="I2007">
        <v>1</v>
      </c>
      <c r="J2007">
        <v>1</v>
      </c>
      <c r="K2007" t="s">
        <v>31</v>
      </c>
      <c r="L2007" t="s">
        <v>31</v>
      </c>
      <c r="M2007">
        <v>2024</v>
      </c>
      <c r="N2007" t="s">
        <v>57</v>
      </c>
      <c r="O2007" t="s">
        <v>78</v>
      </c>
      <c r="P2007">
        <v>0</v>
      </c>
      <c r="Q2007">
        <v>0</v>
      </c>
      <c r="R2007">
        <v>0</v>
      </c>
      <c r="S2007" t="s">
        <v>718</v>
      </c>
      <c r="T2007" t="s">
        <v>3276</v>
      </c>
      <c r="U2007">
        <v>1</v>
      </c>
    </row>
    <row r="2008" spans="1:21" x14ac:dyDescent="0.3">
      <c r="A2008" t="s">
        <v>3277</v>
      </c>
      <c r="B2008" t="s">
        <v>3278</v>
      </c>
      <c r="C2008" t="s">
        <v>3093</v>
      </c>
      <c r="D2008" t="s">
        <v>98</v>
      </c>
      <c r="E2008" t="s">
        <v>30</v>
      </c>
      <c r="F2008" s="6">
        <v>45291</v>
      </c>
      <c r="H2008">
        <v>2</v>
      </c>
      <c r="K2008" t="s">
        <v>1041</v>
      </c>
      <c r="L2008" t="s">
        <v>31</v>
      </c>
      <c r="M2008">
        <v>2023</v>
      </c>
      <c r="N2008" t="s">
        <v>57</v>
      </c>
      <c r="O2008" t="s">
        <v>47</v>
      </c>
      <c r="P2008">
        <v>0</v>
      </c>
      <c r="Q2008">
        <v>0</v>
      </c>
      <c r="R2008">
        <v>0</v>
      </c>
      <c r="S2008" t="s">
        <v>718</v>
      </c>
      <c r="T2008" t="s">
        <v>3279</v>
      </c>
      <c r="U2008">
        <v>1</v>
      </c>
    </row>
    <row r="2009" spans="1:21" x14ac:dyDescent="0.3">
      <c r="A2009" t="s">
        <v>3277</v>
      </c>
      <c r="B2009" t="s">
        <v>3280</v>
      </c>
      <c r="C2009" t="s">
        <v>3093</v>
      </c>
      <c r="D2009" t="s">
        <v>98</v>
      </c>
      <c r="E2009" t="s">
        <v>30</v>
      </c>
      <c r="F2009" s="6">
        <v>45657</v>
      </c>
      <c r="G2009">
        <v>100</v>
      </c>
      <c r="H2009">
        <v>100</v>
      </c>
      <c r="I2009">
        <v>1</v>
      </c>
      <c r="J2009">
        <v>1</v>
      </c>
      <c r="M2009">
        <v>2024</v>
      </c>
      <c r="N2009" t="s">
        <v>57</v>
      </c>
      <c r="O2009" t="s">
        <v>78</v>
      </c>
      <c r="P2009">
        <v>0</v>
      </c>
      <c r="Q2009">
        <v>0</v>
      </c>
      <c r="R2009">
        <v>0</v>
      </c>
      <c r="S2009" t="s">
        <v>718</v>
      </c>
      <c r="T2009" t="s">
        <v>3281</v>
      </c>
      <c r="U2009">
        <v>1</v>
      </c>
    </row>
    <row r="2010" spans="1:21" x14ac:dyDescent="0.3">
      <c r="A2010" t="s">
        <v>3277</v>
      </c>
      <c r="B2010" t="s">
        <v>3280</v>
      </c>
      <c r="C2010" t="s">
        <v>3093</v>
      </c>
      <c r="D2010" t="s">
        <v>98</v>
      </c>
      <c r="E2010" t="s">
        <v>30</v>
      </c>
      <c r="F2010" s="6">
        <v>46022</v>
      </c>
      <c r="G2010">
        <v>100</v>
      </c>
      <c r="I2010">
        <v>0</v>
      </c>
      <c r="J2010">
        <v>0</v>
      </c>
      <c r="K2010" t="s">
        <v>102</v>
      </c>
      <c r="M2010">
        <v>2025</v>
      </c>
      <c r="N2010" t="s">
        <v>57</v>
      </c>
      <c r="O2010" t="s">
        <v>103</v>
      </c>
      <c r="P2010">
        <v>2</v>
      </c>
      <c r="Q2010">
        <v>2</v>
      </c>
      <c r="R2010">
        <v>0</v>
      </c>
      <c r="S2010" t="s">
        <v>130</v>
      </c>
      <c r="T2010" t="s">
        <v>3282</v>
      </c>
      <c r="U2010">
        <v>31</v>
      </c>
    </row>
    <row r="2011" spans="1:21" x14ac:dyDescent="0.3">
      <c r="A2011" t="s">
        <v>3283</v>
      </c>
      <c r="B2011" t="s">
        <v>3284</v>
      </c>
      <c r="D2011" t="s">
        <v>233</v>
      </c>
      <c r="E2011" t="s">
        <v>30</v>
      </c>
      <c r="F2011" s="6">
        <v>45107</v>
      </c>
      <c r="G2011">
        <v>100</v>
      </c>
      <c r="H2011">
        <v>110.1</v>
      </c>
      <c r="I2011">
        <v>1.101</v>
      </c>
      <c r="J2011">
        <v>1.101</v>
      </c>
      <c r="M2011">
        <v>2023</v>
      </c>
      <c r="N2011" t="s">
        <v>44</v>
      </c>
      <c r="O2011" t="s">
        <v>33</v>
      </c>
      <c r="P2011">
        <v>0</v>
      </c>
      <c r="Q2011">
        <v>0</v>
      </c>
      <c r="R2011">
        <v>0</v>
      </c>
      <c r="S2011" t="s">
        <v>99</v>
      </c>
      <c r="T2011" t="s">
        <v>3285</v>
      </c>
      <c r="U2011">
        <v>1</v>
      </c>
    </row>
    <row r="2012" spans="1:21" x14ac:dyDescent="0.3">
      <c r="A2012" t="s">
        <v>3283</v>
      </c>
      <c r="B2012" t="s">
        <v>3284</v>
      </c>
      <c r="D2012" t="s">
        <v>233</v>
      </c>
      <c r="E2012" t="s">
        <v>30</v>
      </c>
      <c r="F2012" s="6">
        <v>45199</v>
      </c>
      <c r="G2012">
        <v>100</v>
      </c>
      <c r="H2012">
        <v>93.54</v>
      </c>
      <c r="I2012">
        <v>0</v>
      </c>
      <c r="J2012">
        <v>0.93540000000000001</v>
      </c>
      <c r="M2012">
        <v>2023</v>
      </c>
      <c r="N2012" t="s">
        <v>51</v>
      </c>
      <c r="O2012" t="s">
        <v>47</v>
      </c>
      <c r="P2012">
        <v>0</v>
      </c>
      <c r="Q2012">
        <v>0</v>
      </c>
      <c r="R2012">
        <v>0</v>
      </c>
      <c r="S2012" t="s">
        <v>99</v>
      </c>
      <c r="T2012" t="s">
        <v>3286</v>
      </c>
      <c r="U2012">
        <v>1</v>
      </c>
    </row>
    <row r="2013" spans="1:21" x14ac:dyDescent="0.3">
      <c r="A2013" t="s">
        <v>3283</v>
      </c>
      <c r="B2013" t="s">
        <v>3284</v>
      </c>
      <c r="D2013" t="s">
        <v>233</v>
      </c>
      <c r="E2013" t="s">
        <v>30</v>
      </c>
      <c r="F2013" s="6">
        <v>45291</v>
      </c>
      <c r="G2013">
        <v>100</v>
      </c>
      <c r="H2013">
        <v>96.28</v>
      </c>
      <c r="I2013">
        <v>0.96279999999999999</v>
      </c>
      <c r="J2013">
        <v>0.96279999999999999</v>
      </c>
      <c r="M2013">
        <v>2023</v>
      </c>
      <c r="N2013" t="s">
        <v>57</v>
      </c>
      <c r="O2013" t="s">
        <v>47</v>
      </c>
      <c r="P2013">
        <v>0</v>
      </c>
      <c r="Q2013">
        <v>0</v>
      </c>
      <c r="R2013">
        <v>0</v>
      </c>
      <c r="S2013" t="s">
        <v>99</v>
      </c>
      <c r="T2013" t="s">
        <v>3287</v>
      </c>
      <c r="U2013">
        <v>1</v>
      </c>
    </row>
    <row r="2014" spans="1:21" x14ac:dyDescent="0.3">
      <c r="A2014" t="s">
        <v>3283</v>
      </c>
      <c r="B2014" t="s">
        <v>3284</v>
      </c>
      <c r="C2014" t="s">
        <v>129</v>
      </c>
      <c r="D2014" t="s">
        <v>233</v>
      </c>
      <c r="E2014" t="s">
        <v>30</v>
      </c>
      <c r="F2014" s="6">
        <v>45382</v>
      </c>
      <c r="G2014">
        <v>100</v>
      </c>
      <c r="H2014">
        <v>99.3</v>
      </c>
      <c r="I2014">
        <v>0.99299999999999999</v>
      </c>
      <c r="J2014">
        <v>0.99299999999999999</v>
      </c>
      <c r="M2014">
        <v>2024</v>
      </c>
      <c r="N2014" t="s">
        <v>38</v>
      </c>
      <c r="O2014" t="s">
        <v>71</v>
      </c>
      <c r="P2014">
        <v>0</v>
      </c>
      <c r="Q2014">
        <v>0</v>
      </c>
      <c r="R2014">
        <v>0</v>
      </c>
      <c r="S2014" t="s">
        <v>99</v>
      </c>
      <c r="T2014" t="s">
        <v>3288</v>
      </c>
      <c r="U2014">
        <v>1</v>
      </c>
    </row>
    <row r="2015" spans="1:21" x14ac:dyDescent="0.3">
      <c r="A2015" t="s">
        <v>3283</v>
      </c>
      <c r="B2015" t="s">
        <v>3284</v>
      </c>
      <c r="C2015" t="s">
        <v>129</v>
      </c>
      <c r="D2015" t="s">
        <v>233</v>
      </c>
      <c r="E2015" t="s">
        <v>30</v>
      </c>
      <c r="F2015" s="6">
        <v>45473</v>
      </c>
      <c r="G2015">
        <v>100</v>
      </c>
      <c r="H2015">
        <v>100.06</v>
      </c>
      <c r="I2015">
        <v>1.0005999999999999</v>
      </c>
      <c r="J2015">
        <v>1.0005999999999999</v>
      </c>
      <c r="M2015">
        <v>2024</v>
      </c>
      <c r="N2015" t="s">
        <v>44</v>
      </c>
      <c r="O2015" t="s">
        <v>71</v>
      </c>
      <c r="P2015">
        <v>0</v>
      </c>
      <c r="Q2015">
        <v>0</v>
      </c>
      <c r="R2015">
        <v>0</v>
      </c>
      <c r="S2015" t="s">
        <v>99</v>
      </c>
      <c r="T2015" t="s">
        <v>3289</v>
      </c>
      <c r="U2015">
        <v>1</v>
      </c>
    </row>
    <row r="2016" spans="1:21" x14ac:dyDescent="0.3">
      <c r="A2016" t="s">
        <v>3283</v>
      </c>
      <c r="B2016" t="s">
        <v>3284</v>
      </c>
      <c r="C2016" t="s">
        <v>129</v>
      </c>
      <c r="D2016" t="s">
        <v>233</v>
      </c>
      <c r="E2016" t="s">
        <v>30</v>
      </c>
      <c r="F2016" s="6">
        <v>45565</v>
      </c>
      <c r="G2016">
        <v>100</v>
      </c>
      <c r="H2016">
        <v>99.38</v>
      </c>
      <c r="I2016">
        <v>0.99379999999999991</v>
      </c>
      <c r="J2016">
        <v>0.99379999999999991</v>
      </c>
      <c r="M2016">
        <v>2024</v>
      </c>
      <c r="N2016" t="s">
        <v>51</v>
      </c>
      <c r="O2016" t="s">
        <v>78</v>
      </c>
      <c r="P2016">
        <v>0</v>
      </c>
      <c r="Q2016">
        <v>0</v>
      </c>
      <c r="R2016">
        <v>0</v>
      </c>
      <c r="S2016" t="s">
        <v>99</v>
      </c>
      <c r="T2016" t="s">
        <v>3290</v>
      </c>
      <c r="U2016">
        <v>1</v>
      </c>
    </row>
    <row r="2017" spans="1:21" x14ac:dyDescent="0.3">
      <c r="A2017" t="s">
        <v>3283</v>
      </c>
      <c r="B2017" t="s">
        <v>3284</v>
      </c>
      <c r="C2017" t="s">
        <v>129</v>
      </c>
      <c r="D2017" t="s">
        <v>233</v>
      </c>
      <c r="E2017" t="s">
        <v>30</v>
      </c>
      <c r="F2017" s="6">
        <v>45657</v>
      </c>
      <c r="G2017">
        <v>100</v>
      </c>
      <c r="H2017">
        <v>0</v>
      </c>
      <c r="I2017">
        <v>0</v>
      </c>
      <c r="J2017">
        <v>0</v>
      </c>
      <c r="M2017">
        <v>2024</v>
      </c>
      <c r="N2017" t="s">
        <v>57</v>
      </c>
      <c r="O2017" t="s">
        <v>78</v>
      </c>
      <c r="P2017">
        <v>0</v>
      </c>
      <c r="Q2017">
        <v>0</v>
      </c>
      <c r="R2017">
        <v>0</v>
      </c>
      <c r="S2017" t="s">
        <v>99</v>
      </c>
      <c r="T2017" t="s">
        <v>3291</v>
      </c>
      <c r="U2017">
        <v>1</v>
      </c>
    </row>
    <row r="2018" spans="1:21" x14ac:dyDescent="0.3">
      <c r="A2018" t="s">
        <v>3283</v>
      </c>
      <c r="B2018" t="s">
        <v>3284</v>
      </c>
      <c r="C2018" t="s">
        <v>129</v>
      </c>
      <c r="D2018" t="s">
        <v>233</v>
      </c>
      <c r="E2018" t="s">
        <v>30</v>
      </c>
      <c r="F2018" s="6">
        <v>45747</v>
      </c>
      <c r="G2018">
        <v>100</v>
      </c>
      <c r="H2018" t="s">
        <v>3292</v>
      </c>
      <c r="I2018">
        <v>1.1079000000000001</v>
      </c>
      <c r="J2018">
        <v>1.1079000000000001</v>
      </c>
      <c r="K2018" t="s">
        <v>102</v>
      </c>
      <c r="L2018" t="s">
        <v>3293</v>
      </c>
      <c r="M2018">
        <v>2025</v>
      </c>
      <c r="N2018" t="s">
        <v>38</v>
      </c>
      <c r="O2018" t="s">
        <v>244</v>
      </c>
      <c r="P2018">
        <v>2</v>
      </c>
      <c r="Q2018">
        <v>2</v>
      </c>
      <c r="R2018">
        <v>0</v>
      </c>
      <c r="S2018" t="s">
        <v>104</v>
      </c>
      <c r="T2018" t="s">
        <v>3294</v>
      </c>
      <c r="U2018">
        <v>31</v>
      </c>
    </row>
    <row r="2019" spans="1:21" x14ac:dyDescent="0.3">
      <c r="A2019" t="s">
        <v>3283</v>
      </c>
      <c r="B2019" t="s">
        <v>3284</v>
      </c>
      <c r="C2019" t="s">
        <v>129</v>
      </c>
      <c r="D2019" t="s">
        <v>233</v>
      </c>
      <c r="E2019" t="s">
        <v>30</v>
      </c>
      <c r="F2019" s="6">
        <v>45838</v>
      </c>
      <c r="G2019">
        <v>100</v>
      </c>
      <c r="H2019" t="s">
        <v>3295</v>
      </c>
      <c r="I2019">
        <v>1.0854999999999999</v>
      </c>
      <c r="J2019">
        <v>1.0854999999999999</v>
      </c>
      <c r="K2019" t="s">
        <v>102</v>
      </c>
      <c r="L2019" t="s">
        <v>3296</v>
      </c>
      <c r="M2019">
        <v>2025</v>
      </c>
      <c r="N2019" t="s">
        <v>44</v>
      </c>
      <c r="O2019" t="s">
        <v>244</v>
      </c>
      <c r="P2019">
        <v>2</v>
      </c>
      <c r="Q2019">
        <v>2</v>
      </c>
      <c r="R2019">
        <v>0</v>
      </c>
      <c r="S2019" t="s">
        <v>104</v>
      </c>
      <c r="T2019" t="s">
        <v>3297</v>
      </c>
      <c r="U2019">
        <v>30</v>
      </c>
    </row>
    <row r="2020" spans="1:21" x14ac:dyDescent="0.3">
      <c r="A2020" t="s">
        <v>3283</v>
      </c>
      <c r="B2020" t="s">
        <v>3284</v>
      </c>
      <c r="C2020" t="s">
        <v>129</v>
      </c>
      <c r="D2020" t="s">
        <v>233</v>
      </c>
      <c r="E2020" t="s">
        <v>30</v>
      </c>
      <c r="F2020" s="6">
        <v>46022</v>
      </c>
      <c r="G2020">
        <v>100</v>
      </c>
      <c r="I2020">
        <v>0</v>
      </c>
      <c r="J2020">
        <v>0</v>
      </c>
      <c r="K2020" t="s">
        <v>102</v>
      </c>
      <c r="M2020">
        <v>2025</v>
      </c>
      <c r="N2020" t="s">
        <v>57</v>
      </c>
      <c r="O2020" t="s">
        <v>103</v>
      </c>
      <c r="P2020">
        <v>2</v>
      </c>
      <c r="Q2020">
        <v>2</v>
      </c>
      <c r="R2020">
        <v>0</v>
      </c>
      <c r="S2020" t="s">
        <v>104</v>
      </c>
      <c r="T2020" t="s">
        <v>3298</v>
      </c>
      <c r="U2020">
        <v>31</v>
      </c>
    </row>
    <row r="2021" spans="1:21" x14ac:dyDescent="0.3">
      <c r="A2021" t="s">
        <v>3299</v>
      </c>
      <c r="B2021" t="s">
        <v>3300</v>
      </c>
      <c r="C2021" t="s">
        <v>3011</v>
      </c>
      <c r="D2021" t="s">
        <v>233</v>
      </c>
      <c r="E2021" t="s">
        <v>30</v>
      </c>
      <c r="F2021" s="6">
        <v>45107</v>
      </c>
      <c r="G2021">
        <v>71</v>
      </c>
      <c r="H2021">
        <v>78</v>
      </c>
      <c r="I2021">
        <v>1.098591549295775</v>
      </c>
      <c r="J2021">
        <v>1.098591549295775</v>
      </c>
      <c r="K2021" t="s">
        <v>31</v>
      </c>
      <c r="L2021" t="s">
        <v>31</v>
      </c>
      <c r="M2021">
        <v>2023</v>
      </c>
      <c r="N2021" t="s">
        <v>44</v>
      </c>
      <c r="O2021" t="s">
        <v>33</v>
      </c>
      <c r="P2021">
        <v>0</v>
      </c>
      <c r="Q2021">
        <v>0</v>
      </c>
      <c r="R2021">
        <v>0</v>
      </c>
      <c r="S2021" t="s">
        <v>99</v>
      </c>
      <c r="T2021" t="s">
        <v>3301</v>
      </c>
      <c r="U2021">
        <v>1</v>
      </c>
    </row>
    <row r="2022" spans="1:21" x14ac:dyDescent="0.3">
      <c r="A2022" t="s">
        <v>3299</v>
      </c>
      <c r="B2022" t="s">
        <v>3300</v>
      </c>
      <c r="C2022" t="s">
        <v>3011</v>
      </c>
      <c r="D2022" t="s">
        <v>233</v>
      </c>
      <c r="E2022" t="s">
        <v>30</v>
      </c>
      <c r="F2022" s="6">
        <v>45291</v>
      </c>
      <c r="G2022">
        <v>100</v>
      </c>
      <c r="H2022">
        <v>99.75</v>
      </c>
      <c r="I2022">
        <v>0.99750000000000005</v>
      </c>
      <c r="J2022">
        <v>0.99750000000000005</v>
      </c>
      <c r="K2022" t="s">
        <v>31</v>
      </c>
      <c r="L2022" t="s">
        <v>31</v>
      </c>
      <c r="M2022">
        <v>2023</v>
      </c>
      <c r="N2022" t="s">
        <v>57</v>
      </c>
      <c r="O2022" t="s">
        <v>47</v>
      </c>
      <c r="P2022">
        <v>0</v>
      </c>
      <c r="Q2022">
        <v>0</v>
      </c>
      <c r="R2022">
        <v>0</v>
      </c>
      <c r="S2022" t="s">
        <v>99</v>
      </c>
      <c r="T2022" t="s">
        <v>3302</v>
      </c>
      <c r="U2022">
        <v>1</v>
      </c>
    </row>
    <row r="2023" spans="1:21" x14ac:dyDescent="0.3">
      <c r="A2023" t="s">
        <v>3299</v>
      </c>
      <c r="B2023" t="s">
        <v>3300</v>
      </c>
      <c r="C2023" t="s">
        <v>3011</v>
      </c>
      <c r="D2023" t="s">
        <v>233</v>
      </c>
      <c r="E2023" t="s">
        <v>30</v>
      </c>
      <c r="F2023" s="6">
        <v>45473</v>
      </c>
      <c r="G2023">
        <v>40.79</v>
      </c>
      <c r="H2023">
        <v>42.33</v>
      </c>
      <c r="I2023">
        <v>1</v>
      </c>
      <c r="J2023">
        <v>1</v>
      </c>
      <c r="K2023" t="s">
        <v>31</v>
      </c>
      <c r="L2023" t="s">
        <v>31</v>
      </c>
      <c r="M2023">
        <v>2024</v>
      </c>
      <c r="N2023" t="s">
        <v>44</v>
      </c>
      <c r="O2023" t="s">
        <v>71</v>
      </c>
      <c r="P2023">
        <v>0</v>
      </c>
      <c r="Q2023">
        <v>0</v>
      </c>
      <c r="R2023">
        <v>0</v>
      </c>
      <c r="S2023" t="s">
        <v>99</v>
      </c>
      <c r="T2023" t="s">
        <v>3303</v>
      </c>
      <c r="U2023">
        <v>1</v>
      </c>
    </row>
    <row r="2024" spans="1:21" x14ac:dyDescent="0.3">
      <c r="A2024" t="s">
        <v>3304</v>
      </c>
      <c r="B2024" t="s">
        <v>3305</v>
      </c>
      <c r="C2024" t="s">
        <v>3011</v>
      </c>
      <c r="D2024" t="s">
        <v>233</v>
      </c>
      <c r="E2024" t="s">
        <v>30</v>
      </c>
      <c r="F2024" s="6">
        <v>45107</v>
      </c>
      <c r="G2024">
        <v>74</v>
      </c>
      <c r="H2024">
        <v>45</v>
      </c>
      <c r="I2024">
        <v>0.60810810810810811</v>
      </c>
      <c r="J2024">
        <v>0.60810810810810811</v>
      </c>
      <c r="K2024" t="s">
        <v>31</v>
      </c>
      <c r="L2024" t="s">
        <v>31</v>
      </c>
      <c r="M2024">
        <v>2023</v>
      </c>
      <c r="N2024" t="s">
        <v>44</v>
      </c>
      <c r="O2024" t="s">
        <v>33</v>
      </c>
      <c r="P2024">
        <v>0</v>
      </c>
      <c r="Q2024">
        <v>0</v>
      </c>
      <c r="R2024">
        <v>0</v>
      </c>
      <c r="S2024" t="s">
        <v>99</v>
      </c>
      <c r="T2024" t="s">
        <v>3306</v>
      </c>
      <c r="U2024">
        <v>1</v>
      </c>
    </row>
    <row r="2025" spans="1:21" x14ac:dyDescent="0.3">
      <c r="A2025" t="s">
        <v>3304</v>
      </c>
      <c r="B2025" t="s">
        <v>3305</v>
      </c>
      <c r="C2025" t="s">
        <v>3011</v>
      </c>
      <c r="D2025" t="s">
        <v>233</v>
      </c>
      <c r="E2025" t="s">
        <v>30</v>
      </c>
      <c r="F2025" s="6">
        <v>45291</v>
      </c>
      <c r="G2025">
        <v>100</v>
      </c>
      <c r="H2025">
        <v>97.4</v>
      </c>
      <c r="I2025">
        <v>0.97400000000000009</v>
      </c>
      <c r="J2025">
        <v>0.97400000000000009</v>
      </c>
      <c r="K2025" t="s">
        <v>31</v>
      </c>
      <c r="L2025" t="s">
        <v>31</v>
      </c>
      <c r="M2025">
        <v>2023</v>
      </c>
      <c r="N2025" t="s">
        <v>57</v>
      </c>
      <c r="O2025" t="s">
        <v>47</v>
      </c>
      <c r="P2025">
        <v>0</v>
      </c>
      <c r="Q2025">
        <v>0</v>
      </c>
      <c r="R2025">
        <v>0</v>
      </c>
      <c r="S2025" t="s">
        <v>99</v>
      </c>
      <c r="T2025" t="s">
        <v>3307</v>
      </c>
      <c r="U2025">
        <v>1</v>
      </c>
    </row>
    <row r="2026" spans="1:21" x14ac:dyDescent="0.3">
      <c r="A2026" t="s">
        <v>3304</v>
      </c>
      <c r="B2026" t="s">
        <v>3305</v>
      </c>
      <c r="C2026" t="s">
        <v>3011</v>
      </c>
      <c r="D2026" t="s">
        <v>233</v>
      </c>
      <c r="E2026" t="s">
        <v>30</v>
      </c>
      <c r="F2026" s="6">
        <v>45473</v>
      </c>
      <c r="G2026">
        <v>92.24</v>
      </c>
      <c r="H2026">
        <v>88</v>
      </c>
      <c r="I2026">
        <v>0.95403295750216832</v>
      </c>
      <c r="J2026">
        <v>0.95403295750216832</v>
      </c>
      <c r="K2026" t="s">
        <v>31</v>
      </c>
      <c r="L2026" t="s">
        <v>31</v>
      </c>
      <c r="M2026">
        <v>2024</v>
      </c>
      <c r="N2026" t="s">
        <v>44</v>
      </c>
      <c r="O2026" t="s">
        <v>71</v>
      </c>
      <c r="P2026">
        <v>0</v>
      </c>
      <c r="Q2026">
        <v>0</v>
      </c>
      <c r="R2026">
        <v>0</v>
      </c>
      <c r="S2026" t="s">
        <v>99</v>
      </c>
      <c r="T2026" t="s">
        <v>3308</v>
      </c>
      <c r="U2026">
        <v>1</v>
      </c>
    </row>
    <row r="2027" spans="1:21" x14ac:dyDescent="0.3">
      <c r="A2027" t="s">
        <v>3309</v>
      </c>
      <c r="B2027" t="s">
        <v>3310</v>
      </c>
      <c r="C2027" t="s">
        <v>3011</v>
      </c>
      <c r="D2027" t="s">
        <v>233</v>
      </c>
      <c r="E2027" t="s">
        <v>30</v>
      </c>
      <c r="F2027" s="6">
        <v>45107</v>
      </c>
      <c r="G2027">
        <v>52</v>
      </c>
      <c r="H2027">
        <v>65</v>
      </c>
      <c r="I2027">
        <v>1.25</v>
      </c>
      <c r="J2027">
        <v>1.25</v>
      </c>
      <c r="K2027" t="s">
        <v>31</v>
      </c>
      <c r="L2027" t="s">
        <v>31</v>
      </c>
      <c r="M2027">
        <v>2023</v>
      </c>
      <c r="N2027" t="s">
        <v>44</v>
      </c>
      <c r="O2027" t="s">
        <v>33</v>
      </c>
      <c r="P2027">
        <v>0</v>
      </c>
      <c r="Q2027">
        <v>0</v>
      </c>
      <c r="R2027">
        <v>0</v>
      </c>
      <c r="S2027" t="s">
        <v>99</v>
      </c>
      <c r="T2027" t="s">
        <v>3311</v>
      </c>
      <c r="U2027">
        <v>1</v>
      </c>
    </row>
    <row r="2028" spans="1:21" x14ac:dyDescent="0.3">
      <c r="A2028" t="s">
        <v>3309</v>
      </c>
      <c r="B2028" t="s">
        <v>3310</v>
      </c>
      <c r="C2028" t="s">
        <v>3011</v>
      </c>
      <c r="D2028" t="s">
        <v>233</v>
      </c>
      <c r="E2028" t="s">
        <v>30</v>
      </c>
      <c r="F2028" s="6">
        <v>45291</v>
      </c>
      <c r="G2028">
        <v>100</v>
      </c>
      <c r="H2028">
        <v>98.83</v>
      </c>
      <c r="I2028">
        <v>0.98829999999999996</v>
      </c>
      <c r="J2028">
        <v>0.98829999999999996</v>
      </c>
      <c r="K2028" t="s">
        <v>31</v>
      </c>
      <c r="L2028" t="s">
        <v>31</v>
      </c>
      <c r="M2028">
        <v>2023</v>
      </c>
      <c r="N2028" t="s">
        <v>57</v>
      </c>
      <c r="O2028" t="s">
        <v>47</v>
      </c>
      <c r="P2028">
        <v>0</v>
      </c>
      <c r="Q2028">
        <v>0</v>
      </c>
      <c r="R2028">
        <v>0</v>
      </c>
      <c r="S2028" t="s">
        <v>99</v>
      </c>
      <c r="T2028" t="s">
        <v>3312</v>
      </c>
      <c r="U2028">
        <v>1</v>
      </c>
    </row>
    <row r="2029" spans="1:21" x14ac:dyDescent="0.3">
      <c r="A2029" t="s">
        <v>3309</v>
      </c>
      <c r="B2029" t="s">
        <v>3310</v>
      </c>
      <c r="C2029" t="s">
        <v>3011</v>
      </c>
      <c r="D2029" t="s">
        <v>233</v>
      </c>
      <c r="E2029" t="s">
        <v>30</v>
      </c>
      <c r="F2029" s="6">
        <v>45473</v>
      </c>
      <c r="G2029">
        <v>51.84</v>
      </c>
      <c r="H2029">
        <v>48.34</v>
      </c>
      <c r="I2029">
        <v>0.93248456790123457</v>
      </c>
      <c r="J2029">
        <v>0.93248456790123457</v>
      </c>
      <c r="K2029" t="s">
        <v>31</v>
      </c>
      <c r="L2029" t="s">
        <v>31</v>
      </c>
      <c r="M2029">
        <v>2024</v>
      </c>
      <c r="N2029" t="s">
        <v>44</v>
      </c>
      <c r="O2029" t="s">
        <v>71</v>
      </c>
      <c r="P2029">
        <v>0</v>
      </c>
      <c r="Q2029">
        <v>0</v>
      </c>
      <c r="R2029">
        <v>0</v>
      </c>
      <c r="S2029" t="s">
        <v>99</v>
      </c>
      <c r="T2029" t="s">
        <v>3313</v>
      </c>
      <c r="U2029">
        <v>1</v>
      </c>
    </row>
    <row r="2030" spans="1:21" x14ac:dyDescent="0.3">
      <c r="A2030" t="s">
        <v>3314</v>
      </c>
      <c r="B2030" t="s">
        <v>3315</v>
      </c>
      <c r="C2030" t="s">
        <v>3011</v>
      </c>
      <c r="D2030" t="s">
        <v>233</v>
      </c>
      <c r="E2030" t="s">
        <v>30</v>
      </c>
      <c r="F2030" s="6">
        <v>45107</v>
      </c>
      <c r="G2030">
        <v>70</v>
      </c>
      <c r="H2030">
        <v>84</v>
      </c>
      <c r="I2030">
        <v>1.2</v>
      </c>
      <c r="J2030">
        <v>1.2</v>
      </c>
      <c r="K2030" t="s">
        <v>31</v>
      </c>
      <c r="L2030" t="s">
        <v>31</v>
      </c>
      <c r="M2030">
        <v>2023</v>
      </c>
      <c r="N2030" t="s">
        <v>44</v>
      </c>
      <c r="O2030" t="s">
        <v>33</v>
      </c>
      <c r="P2030">
        <v>0</v>
      </c>
      <c r="Q2030">
        <v>0</v>
      </c>
      <c r="R2030">
        <v>0</v>
      </c>
      <c r="S2030" t="s">
        <v>99</v>
      </c>
      <c r="T2030" t="s">
        <v>3316</v>
      </c>
      <c r="U2030">
        <v>1</v>
      </c>
    </row>
    <row r="2031" spans="1:21" x14ac:dyDescent="0.3">
      <c r="A2031" t="s">
        <v>3314</v>
      </c>
      <c r="B2031" t="s">
        <v>3315</v>
      </c>
      <c r="C2031" t="s">
        <v>3011</v>
      </c>
      <c r="D2031" t="s">
        <v>233</v>
      </c>
      <c r="E2031" t="s">
        <v>30</v>
      </c>
      <c r="F2031" s="6">
        <v>45291</v>
      </c>
      <c r="G2031">
        <v>100</v>
      </c>
      <c r="H2031">
        <v>98.75</v>
      </c>
      <c r="I2031">
        <v>0.98750000000000004</v>
      </c>
      <c r="J2031">
        <v>0.98750000000000004</v>
      </c>
      <c r="K2031" t="s">
        <v>31</v>
      </c>
      <c r="L2031" t="s">
        <v>31</v>
      </c>
      <c r="M2031">
        <v>2023</v>
      </c>
      <c r="N2031" t="s">
        <v>57</v>
      </c>
      <c r="O2031" t="s">
        <v>47</v>
      </c>
      <c r="P2031">
        <v>0</v>
      </c>
      <c r="Q2031">
        <v>0</v>
      </c>
      <c r="R2031">
        <v>0</v>
      </c>
      <c r="S2031" t="s">
        <v>99</v>
      </c>
      <c r="T2031" t="s">
        <v>3317</v>
      </c>
      <c r="U2031">
        <v>1</v>
      </c>
    </row>
    <row r="2032" spans="1:21" x14ac:dyDescent="0.3">
      <c r="A2032" t="s">
        <v>3314</v>
      </c>
      <c r="B2032" t="s">
        <v>3315</v>
      </c>
      <c r="C2032" t="s">
        <v>3011</v>
      </c>
      <c r="D2032" t="s">
        <v>233</v>
      </c>
      <c r="E2032" t="s">
        <v>30</v>
      </c>
      <c r="F2032" s="6">
        <v>45473</v>
      </c>
      <c r="G2032">
        <v>81.790000000000006</v>
      </c>
      <c r="H2032">
        <v>80</v>
      </c>
      <c r="I2032">
        <v>0.97811468394669265</v>
      </c>
      <c r="J2032">
        <v>0.97811468394669265</v>
      </c>
      <c r="K2032" t="s">
        <v>31</v>
      </c>
      <c r="L2032" t="s">
        <v>31</v>
      </c>
      <c r="M2032">
        <v>2024</v>
      </c>
      <c r="N2032" t="s">
        <v>44</v>
      </c>
      <c r="O2032" t="s">
        <v>71</v>
      </c>
      <c r="P2032">
        <v>0</v>
      </c>
      <c r="Q2032">
        <v>0</v>
      </c>
      <c r="R2032">
        <v>0</v>
      </c>
      <c r="S2032" t="s">
        <v>99</v>
      </c>
      <c r="T2032" t="s">
        <v>3318</v>
      </c>
      <c r="U2032">
        <v>1</v>
      </c>
    </row>
    <row r="2033" spans="1:21" x14ac:dyDescent="0.3">
      <c r="A2033" t="s">
        <v>3319</v>
      </c>
      <c r="B2033" t="s">
        <v>3320</v>
      </c>
      <c r="D2033" t="s">
        <v>233</v>
      </c>
      <c r="E2033" t="s">
        <v>30</v>
      </c>
      <c r="F2033" s="6">
        <v>45107</v>
      </c>
      <c r="G2033">
        <v>41</v>
      </c>
      <c r="H2033">
        <v>54</v>
      </c>
      <c r="I2033">
        <v>1.3</v>
      </c>
      <c r="J2033">
        <v>1.3170731707317069</v>
      </c>
      <c r="K2033" t="s">
        <v>31</v>
      </c>
      <c r="L2033" t="s">
        <v>31</v>
      </c>
      <c r="M2033">
        <v>2023</v>
      </c>
      <c r="N2033" t="s">
        <v>44</v>
      </c>
      <c r="O2033" t="s">
        <v>33</v>
      </c>
      <c r="P2033">
        <v>0</v>
      </c>
      <c r="Q2033">
        <v>0</v>
      </c>
      <c r="R2033">
        <v>0</v>
      </c>
      <c r="S2033" t="s">
        <v>99</v>
      </c>
      <c r="T2033" t="s">
        <v>3321</v>
      </c>
      <c r="U2033">
        <v>1</v>
      </c>
    </row>
    <row r="2034" spans="1:21" x14ac:dyDescent="0.3">
      <c r="A2034" t="s">
        <v>3319</v>
      </c>
      <c r="B2034" t="s">
        <v>3320</v>
      </c>
      <c r="D2034" t="s">
        <v>233</v>
      </c>
      <c r="E2034" t="s">
        <v>30</v>
      </c>
      <c r="F2034" s="6">
        <v>45291</v>
      </c>
      <c r="G2034">
        <v>100</v>
      </c>
      <c r="H2034">
        <v>100</v>
      </c>
      <c r="I2034">
        <v>1</v>
      </c>
      <c r="J2034">
        <v>1</v>
      </c>
      <c r="K2034" t="s">
        <v>31</v>
      </c>
      <c r="L2034" t="s">
        <v>31</v>
      </c>
      <c r="M2034">
        <v>2023</v>
      </c>
      <c r="N2034" t="s">
        <v>57</v>
      </c>
      <c r="O2034" t="s">
        <v>47</v>
      </c>
      <c r="P2034">
        <v>0</v>
      </c>
      <c r="Q2034">
        <v>0</v>
      </c>
      <c r="R2034">
        <v>0</v>
      </c>
      <c r="S2034" t="s">
        <v>99</v>
      </c>
      <c r="T2034" t="s">
        <v>3322</v>
      </c>
      <c r="U2034">
        <v>1</v>
      </c>
    </row>
    <row r="2035" spans="1:21" x14ac:dyDescent="0.3">
      <c r="A2035" t="s">
        <v>3319</v>
      </c>
      <c r="B2035" t="s">
        <v>3320</v>
      </c>
      <c r="D2035" t="s">
        <v>233</v>
      </c>
      <c r="E2035" t="s">
        <v>30</v>
      </c>
      <c r="F2035" s="6">
        <v>45473</v>
      </c>
      <c r="G2035">
        <v>65.83</v>
      </c>
      <c r="H2035">
        <v>65.63</v>
      </c>
      <c r="I2035">
        <v>0.99696187148716386</v>
      </c>
      <c r="J2035">
        <v>0.99696187148716386</v>
      </c>
      <c r="K2035" t="s">
        <v>31</v>
      </c>
      <c r="L2035" t="s">
        <v>31</v>
      </c>
      <c r="M2035">
        <v>2024</v>
      </c>
      <c r="N2035" t="s">
        <v>44</v>
      </c>
      <c r="O2035" t="s">
        <v>71</v>
      </c>
      <c r="P2035">
        <v>0</v>
      </c>
      <c r="Q2035">
        <v>0</v>
      </c>
      <c r="R2035">
        <v>0</v>
      </c>
      <c r="S2035" t="s">
        <v>99</v>
      </c>
      <c r="T2035" t="s">
        <v>3323</v>
      </c>
      <c r="U2035">
        <v>1</v>
      </c>
    </row>
    <row r="2036" spans="1:21" x14ac:dyDescent="0.3">
      <c r="A2036" t="s">
        <v>3324</v>
      </c>
      <c r="B2036" t="s">
        <v>3325</v>
      </c>
      <c r="C2036" t="s">
        <v>262</v>
      </c>
      <c r="D2036" t="s">
        <v>233</v>
      </c>
      <c r="E2036" t="s">
        <v>30</v>
      </c>
      <c r="F2036" s="6">
        <v>45107</v>
      </c>
      <c r="G2036">
        <v>56</v>
      </c>
      <c r="H2036">
        <v>70</v>
      </c>
      <c r="I2036">
        <v>1.25</v>
      </c>
      <c r="J2036">
        <v>1.25</v>
      </c>
      <c r="K2036" t="s">
        <v>31</v>
      </c>
      <c r="L2036" t="s">
        <v>31</v>
      </c>
      <c r="M2036">
        <v>2023</v>
      </c>
      <c r="N2036" t="s">
        <v>44</v>
      </c>
      <c r="O2036" t="s">
        <v>33</v>
      </c>
      <c r="P2036">
        <v>0</v>
      </c>
      <c r="Q2036">
        <v>0</v>
      </c>
      <c r="R2036">
        <v>0</v>
      </c>
      <c r="S2036" t="s">
        <v>99</v>
      </c>
      <c r="T2036" t="s">
        <v>3326</v>
      </c>
      <c r="U2036">
        <v>1</v>
      </c>
    </row>
    <row r="2037" spans="1:21" x14ac:dyDescent="0.3">
      <c r="A2037" t="s">
        <v>3324</v>
      </c>
      <c r="B2037" t="s">
        <v>3325</v>
      </c>
      <c r="C2037" t="s">
        <v>262</v>
      </c>
      <c r="D2037" t="s">
        <v>233</v>
      </c>
      <c r="E2037" t="s">
        <v>30</v>
      </c>
      <c r="F2037" s="6">
        <v>45291</v>
      </c>
      <c r="G2037">
        <v>100</v>
      </c>
      <c r="H2037">
        <v>94.51</v>
      </c>
      <c r="I2037">
        <v>0.94510000000000005</v>
      </c>
      <c r="J2037">
        <v>0.94510000000000005</v>
      </c>
      <c r="K2037" t="s">
        <v>31</v>
      </c>
      <c r="L2037" t="s">
        <v>31</v>
      </c>
      <c r="M2037">
        <v>2023</v>
      </c>
      <c r="N2037" t="s">
        <v>57</v>
      </c>
      <c r="O2037" t="s">
        <v>47</v>
      </c>
      <c r="P2037">
        <v>0</v>
      </c>
      <c r="Q2037">
        <v>0</v>
      </c>
      <c r="R2037">
        <v>0</v>
      </c>
      <c r="S2037" t="s">
        <v>99</v>
      </c>
      <c r="T2037" t="s">
        <v>3327</v>
      </c>
      <c r="U2037">
        <v>1</v>
      </c>
    </row>
    <row r="2038" spans="1:21" x14ac:dyDescent="0.3">
      <c r="A2038" t="s">
        <v>3324</v>
      </c>
      <c r="B2038" t="s">
        <v>3325</v>
      </c>
      <c r="C2038" t="s">
        <v>262</v>
      </c>
      <c r="D2038" t="s">
        <v>233</v>
      </c>
      <c r="E2038" t="s">
        <v>30</v>
      </c>
      <c r="F2038" s="6">
        <v>45473</v>
      </c>
      <c r="G2038">
        <v>51.58</v>
      </c>
      <c r="H2038">
        <v>62.5</v>
      </c>
      <c r="I2038">
        <v>1</v>
      </c>
      <c r="J2038">
        <v>1</v>
      </c>
      <c r="K2038" t="s">
        <v>31</v>
      </c>
      <c r="L2038" t="s">
        <v>31</v>
      </c>
      <c r="M2038">
        <v>2024</v>
      </c>
      <c r="N2038" t="s">
        <v>44</v>
      </c>
      <c r="O2038" t="s">
        <v>71</v>
      </c>
      <c r="P2038">
        <v>0</v>
      </c>
      <c r="Q2038">
        <v>0</v>
      </c>
      <c r="R2038">
        <v>0</v>
      </c>
      <c r="S2038" t="s">
        <v>99</v>
      </c>
      <c r="T2038" t="s">
        <v>3328</v>
      </c>
      <c r="U2038">
        <v>1</v>
      </c>
    </row>
    <row r="2039" spans="1:21" x14ac:dyDescent="0.3">
      <c r="A2039" t="s">
        <v>3329</v>
      </c>
      <c r="B2039" t="s">
        <v>3330</v>
      </c>
      <c r="C2039" t="s">
        <v>3331</v>
      </c>
      <c r="D2039" t="s">
        <v>233</v>
      </c>
      <c r="E2039" t="s">
        <v>30</v>
      </c>
      <c r="F2039" s="6">
        <v>45107</v>
      </c>
      <c r="G2039">
        <v>52</v>
      </c>
      <c r="H2039">
        <v>56</v>
      </c>
      <c r="I2039">
        <v>1.0769230769230771</v>
      </c>
      <c r="J2039">
        <v>1.0769230769230771</v>
      </c>
      <c r="K2039" t="s">
        <v>31</v>
      </c>
      <c r="L2039" t="s">
        <v>31</v>
      </c>
      <c r="M2039">
        <v>2023</v>
      </c>
      <c r="N2039" t="s">
        <v>44</v>
      </c>
      <c r="O2039" t="s">
        <v>33</v>
      </c>
      <c r="P2039">
        <v>0</v>
      </c>
      <c r="Q2039">
        <v>0</v>
      </c>
      <c r="R2039">
        <v>0</v>
      </c>
      <c r="S2039" t="s">
        <v>99</v>
      </c>
      <c r="T2039" t="s">
        <v>3332</v>
      </c>
      <c r="U2039">
        <v>1</v>
      </c>
    </row>
    <row r="2040" spans="1:21" x14ac:dyDescent="0.3">
      <c r="A2040" t="s">
        <v>3329</v>
      </c>
      <c r="B2040" t="s">
        <v>3330</v>
      </c>
      <c r="C2040" t="s">
        <v>3331</v>
      </c>
      <c r="D2040" t="s">
        <v>233</v>
      </c>
      <c r="E2040" t="s">
        <v>30</v>
      </c>
      <c r="F2040" s="6">
        <v>45291</v>
      </c>
      <c r="G2040">
        <v>100</v>
      </c>
      <c r="H2040">
        <v>86.53</v>
      </c>
      <c r="I2040">
        <v>0.86529999999999996</v>
      </c>
      <c r="J2040">
        <v>0.86529999999999996</v>
      </c>
      <c r="K2040" t="s">
        <v>31</v>
      </c>
      <c r="L2040" t="s">
        <v>31</v>
      </c>
      <c r="M2040">
        <v>2023</v>
      </c>
      <c r="N2040" t="s">
        <v>57</v>
      </c>
      <c r="O2040" t="s">
        <v>47</v>
      </c>
      <c r="P2040">
        <v>0</v>
      </c>
      <c r="Q2040">
        <v>0</v>
      </c>
      <c r="R2040">
        <v>0</v>
      </c>
      <c r="S2040" t="s">
        <v>99</v>
      </c>
      <c r="T2040" t="s">
        <v>3333</v>
      </c>
      <c r="U2040">
        <v>1</v>
      </c>
    </row>
    <row r="2041" spans="1:21" x14ac:dyDescent="0.3">
      <c r="A2041" t="s">
        <v>3329</v>
      </c>
      <c r="B2041" t="s">
        <v>3330</v>
      </c>
      <c r="C2041" t="s">
        <v>3331</v>
      </c>
      <c r="D2041" t="s">
        <v>233</v>
      </c>
      <c r="E2041" t="s">
        <v>30</v>
      </c>
      <c r="F2041" s="6">
        <v>45473</v>
      </c>
      <c r="G2041">
        <v>65.95</v>
      </c>
      <c r="H2041">
        <v>62.83</v>
      </c>
      <c r="I2041">
        <v>0.95269143290371483</v>
      </c>
      <c r="J2041">
        <v>0.95269143290371483</v>
      </c>
      <c r="K2041" t="s">
        <v>31</v>
      </c>
      <c r="L2041" t="s">
        <v>31</v>
      </c>
      <c r="M2041">
        <v>2024</v>
      </c>
      <c r="N2041" t="s">
        <v>44</v>
      </c>
      <c r="O2041" t="s">
        <v>71</v>
      </c>
      <c r="P2041">
        <v>0</v>
      </c>
      <c r="Q2041">
        <v>0</v>
      </c>
      <c r="R2041">
        <v>0</v>
      </c>
      <c r="S2041" t="s">
        <v>99</v>
      </c>
      <c r="T2041" t="s">
        <v>3334</v>
      </c>
      <c r="U2041">
        <v>1</v>
      </c>
    </row>
    <row r="2042" spans="1:21" x14ac:dyDescent="0.3">
      <c r="A2042" t="s">
        <v>3335</v>
      </c>
      <c r="B2042" t="s">
        <v>3336</v>
      </c>
      <c r="C2042" t="s">
        <v>184</v>
      </c>
      <c r="D2042" t="s">
        <v>233</v>
      </c>
      <c r="E2042" t="s">
        <v>30</v>
      </c>
      <c r="F2042" s="6">
        <v>45107</v>
      </c>
      <c r="G2042">
        <v>66</v>
      </c>
      <c r="H2042">
        <v>66</v>
      </c>
      <c r="I2042">
        <v>1</v>
      </c>
      <c r="J2042">
        <v>1</v>
      </c>
      <c r="K2042" t="s">
        <v>31</v>
      </c>
      <c r="L2042" t="s">
        <v>31</v>
      </c>
      <c r="M2042">
        <v>2023</v>
      </c>
      <c r="N2042" t="s">
        <v>44</v>
      </c>
      <c r="O2042" t="s">
        <v>33</v>
      </c>
      <c r="P2042">
        <v>0</v>
      </c>
      <c r="Q2042">
        <v>0</v>
      </c>
      <c r="R2042">
        <v>0</v>
      </c>
      <c r="S2042" t="s">
        <v>99</v>
      </c>
      <c r="T2042" t="s">
        <v>3337</v>
      </c>
      <c r="U2042">
        <v>1</v>
      </c>
    </row>
    <row r="2043" spans="1:21" x14ac:dyDescent="0.3">
      <c r="A2043" t="s">
        <v>3335</v>
      </c>
      <c r="B2043" t="s">
        <v>3336</v>
      </c>
      <c r="C2043" t="s">
        <v>184</v>
      </c>
      <c r="D2043" t="s">
        <v>233</v>
      </c>
      <c r="E2043" t="s">
        <v>30</v>
      </c>
      <c r="F2043" s="6">
        <v>45291</v>
      </c>
      <c r="G2043">
        <v>100</v>
      </c>
      <c r="H2043">
        <v>94.6</v>
      </c>
      <c r="I2043">
        <v>0.94599999999999995</v>
      </c>
      <c r="J2043">
        <v>0.94599999999999995</v>
      </c>
      <c r="K2043" t="s">
        <v>31</v>
      </c>
      <c r="L2043" t="s">
        <v>31</v>
      </c>
      <c r="M2043">
        <v>2023</v>
      </c>
      <c r="N2043" t="s">
        <v>57</v>
      </c>
      <c r="O2043" t="s">
        <v>47</v>
      </c>
      <c r="P2043">
        <v>0</v>
      </c>
      <c r="Q2043">
        <v>0</v>
      </c>
      <c r="R2043">
        <v>0</v>
      </c>
      <c r="S2043" t="s">
        <v>99</v>
      </c>
      <c r="T2043" t="s">
        <v>3338</v>
      </c>
      <c r="U2043">
        <v>1</v>
      </c>
    </row>
    <row r="2044" spans="1:21" x14ac:dyDescent="0.3">
      <c r="A2044" t="s">
        <v>3335</v>
      </c>
      <c r="B2044" t="s">
        <v>3336</v>
      </c>
      <c r="C2044" t="s">
        <v>184</v>
      </c>
      <c r="D2044" t="s">
        <v>233</v>
      </c>
      <c r="E2044" t="s">
        <v>30</v>
      </c>
      <c r="F2044" s="6">
        <v>45473</v>
      </c>
      <c r="G2044">
        <v>79.25</v>
      </c>
      <c r="H2044">
        <v>85.57</v>
      </c>
      <c r="I2044">
        <v>1</v>
      </c>
      <c r="J2044">
        <v>1</v>
      </c>
      <c r="K2044" t="s">
        <v>31</v>
      </c>
      <c r="L2044" t="s">
        <v>31</v>
      </c>
      <c r="M2044">
        <v>2024</v>
      </c>
      <c r="N2044" t="s">
        <v>44</v>
      </c>
      <c r="O2044" t="s">
        <v>71</v>
      </c>
      <c r="P2044">
        <v>0</v>
      </c>
      <c r="Q2044">
        <v>0</v>
      </c>
      <c r="R2044">
        <v>0</v>
      </c>
      <c r="S2044" t="s">
        <v>99</v>
      </c>
      <c r="T2044" t="s">
        <v>3339</v>
      </c>
      <c r="U2044">
        <v>1</v>
      </c>
    </row>
    <row r="2045" spans="1:21" x14ac:dyDescent="0.3">
      <c r="A2045" t="s">
        <v>3340</v>
      </c>
      <c r="B2045" t="s">
        <v>3341</v>
      </c>
      <c r="C2045" t="s">
        <v>184</v>
      </c>
      <c r="D2045" t="s">
        <v>233</v>
      </c>
      <c r="E2045" t="s">
        <v>30</v>
      </c>
      <c r="F2045" s="6">
        <v>45473</v>
      </c>
      <c r="G2045">
        <v>52.19</v>
      </c>
      <c r="H2045">
        <v>45</v>
      </c>
      <c r="I2045">
        <v>0.8622341444721211</v>
      </c>
      <c r="J2045">
        <v>0.8622341444721211</v>
      </c>
      <c r="K2045" t="s">
        <v>31</v>
      </c>
      <c r="L2045" t="s">
        <v>31</v>
      </c>
      <c r="M2045">
        <v>2024</v>
      </c>
      <c r="N2045" t="s">
        <v>44</v>
      </c>
      <c r="O2045" t="s">
        <v>71</v>
      </c>
      <c r="P2045">
        <v>0</v>
      </c>
      <c r="Q2045">
        <v>0</v>
      </c>
      <c r="R2045">
        <v>0</v>
      </c>
      <c r="S2045" t="s">
        <v>99</v>
      </c>
      <c r="T2045" t="s">
        <v>3342</v>
      </c>
      <c r="U2045">
        <v>1</v>
      </c>
    </row>
    <row r="2046" spans="1:21" x14ac:dyDescent="0.3">
      <c r="A2046" t="s">
        <v>3343</v>
      </c>
      <c r="B2046" t="s">
        <v>3344</v>
      </c>
      <c r="D2046" t="s">
        <v>233</v>
      </c>
      <c r="E2046" t="s">
        <v>30</v>
      </c>
      <c r="F2046" s="6">
        <v>45107</v>
      </c>
      <c r="G2046">
        <v>100</v>
      </c>
      <c r="H2046">
        <v>94.04</v>
      </c>
      <c r="I2046">
        <v>0.94040000000000001</v>
      </c>
      <c r="J2046">
        <v>0.94040000000000001</v>
      </c>
      <c r="M2046">
        <v>2023</v>
      </c>
      <c r="N2046" t="s">
        <v>44</v>
      </c>
      <c r="O2046" t="s">
        <v>33</v>
      </c>
      <c r="P2046">
        <v>0</v>
      </c>
      <c r="Q2046">
        <v>0</v>
      </c>
      <c r="R2046">
        <v>0</v>
      </c>
      <c r="S2046" t="s">
        <v>99</v>
      </c>
      <c r="T2046" t="s">
        <v>3345</v>
      </c>
      <c r="U2046">
        <v>1</v>
      </c>
    </row>
    <row r="2047" spans="1:21" x14ac:dyDescent="0.3">
      <c r="A2047" t="s">
        <v>3343</v>
      </c>
      <c r="B2047" t="s">
        <v>3344</v>
      </c>
      <c r="D2047" t="s">
        <v>233</v>
      </c>
      <c r="E2047" t="s">
        <v>30</v>
      </c>
      <c r="F2047" s="6">
        <v>45199</v>
      </c>
      <c r="G2047">
        <v>100</v>
      </c>
      <c r="H2047">
        <v>93.94</v>
      </c>
      <c r="I2047">
        <v>0</v>
      </c>
      <c r="J2047">
        <v>0.93940000000000001</v>
      </c>
      <c r="M2047">
        <v>2023</v>
      </c>
      <c r="N2047" t="s">
        <v>51</v>
      </c>
      <c r="O2047" t="s">
        <v>47</v>
      </c>
      <c r="P2047">
        <v>0</v>
      </c>
      <c r="Q2047">
        <v>0</v>
      </c>
      <c r="R2047">
        <v>0</v>
      </c>
      <c r="S2047" t="s">
        <v>99</v>
      </c>
      <c r="T2047" t="s">
        <v>3346</v>
      </c>
      <c r="U2047">
        <v>1</v>
      </c>
    </row>
    <row r="2048" spans="1:21" x14ac:dyDescent="0.3">
      <c r="A2048" t="s">
        <v>3343</v>
      </c>
      <c r="B2048" t="s">
        <v>3344</v>
      </c>
      <c r="D2048" t="s">
        <v>233</v>
      </c>
      <c r="E2048" t="s">
        <v>30</v>
      </c>
      <c r="F2048" s="6">
        <v>45291</v>
      </c>
      <c r="G2048">
        <v>100</v>
      </c>
      <c r="H2048">
        <v>96.03</v>
      </c>
      <c r="I2048">
        <v>0.96030000000000004</v>
      </c>
      <c r="J2048">
        <v>0.96030000000000004</v>
      </c>
      <c r="M2048">
        <v>2023</v>
      </c>
      <c r="N2048" t="s">
        <v>57</v>
      </c>
      <c r="O2048" t="s">
        <v>47</v>
      </c>
      <c r="P2048">
        <v>0</v>
      </c>
      <c r="Q2048">
        <v>0</v>
      </c>
      <c r="R2048">
        <v>0</v>
      </c>
      <c r="S2048" t="s">
        <v>99</v>
      </c>
      <c r="T2048" t="s">
        <v>3347</v>
      </c>
      <c r="U2048">
        <v>1</v>
      </c>
    </row>
    <row r="2049" spans="1:21" x14ac:dyDescent="0.3">
      <c r="A2049" t="s">
        <v>3343</v>
      </c>
      <c r="B2049" t="s">
        <v>3344</v>
      </c>
      <c r="C2049" t="s">
        <v>129</v>
      </c>
      <c r="D2049" t="s">
        <v>233</v>
      </c>
      <c r="E2049" t="s">
        <v>30</v>
      </c>
      <c r="F2049" s="6">
        <v>45382</v>
      </c>
      <c r="G2049">
        <v>100</v>
      </c>
      <c r="H2049">
        <v>80.790000000000006</v>
      </c>
      <c r="I2049">
        <v>0.80790000000000006</v>
      </c>
      <c r="J2049">
        <v>0.80790000000000006</v>
      </c>
      <c r="M2049">
        <v>2024</v>
      </c>
      <c r="N2049" t="s">
        <v>38</v>
      </c>
      <c r="O2049" t="s">
        <v>71</v>
      </c>
      <c r="P2049">
        <v>0</v>
      </c>
      <c r="Q2049">
        <v>0</v>
      </c>
      <c r="R2049">
        <v>0</v>
      </c>
      <c r="S2049" t="s">
        <v>99</v>
      </c>
      <c r="T2049" t="s">
        <v>3348</v>
      </c>
      <c r="U2049">
        <v>1</v>
      </c>
    </row>
    <row r="2050" spans="1:21" x14ac:dyDescent="0.3">
      <c r="A2050" t="s">
        <v>3343</v>
      </c>
      <c r="B2050" t="s">
        <v>3344</v>
      </c>
      <c r="C2050" t="s">
        <v>129</v>
      </c>
      <c r="D2050" t="s">
        <v>233</v>
      </c>
      <c r="E2050" t="s">
        <v>30</v>
      </c>
      <c r="F2050" s="6">
        <v>45473</v>
      </c>
      <c r="G2050">
        <v>100</v>
      </c>
      <c r="H2050">
        <v>93.04</v>
      </c>
      <c r="I2050">
        <v>0.93040000000000012</v>
      </c>
      <c r="J2050">
        <v>0.93040000000000012</v>
      </c>
      <c r="M2050">
        <v>2024</v>
      </c>
      <c r="N2050" t="s">
        <v>44</v>
      </c>
      <c r="O2050" t="s">
        <v>71</v>
      </c>
      <c r="P2050">
        <v>0</v>
      </c>
      <c r="Q2050">
        <v>0</v>
      </c>
      <c r="R2050">
        <v>0</v>
      </c>
      <c r="S2050" t="s">
        <v>99</v>
      </c>
      <c r="T2050" t="s">
        <v>3349</v>
      </c>
      <c r="U2050">
        <v>1</v>
      </c>
    </row>
    <row r="2051" spans="1:21" x14ac:dyDescent="0.3">
      <c r="A2051" t="s">
        <v>3343</v>
      </c>
      <c r="B2051" t="s">
        <v>3344</v>
      </c>
      <c r="C2051" t="s">
        <v>129</v>
      </c>
      <c r="D2051" t="s">
        <v>233</v>
      </c>
      <c r="E2051" t="s">
        <v>30</v>
      </c>
      <c r="F2051" s="6">
        <v>45565</v>
      </c>
      <c r="G2051">
        <v>100</v>
      </c>
      <c r="H2051">
        <v>92.46</v>
      </c>
      <c r="I2051">
        <v>0.92459999999999998</v>
      </c>
      <c r="J2051">
        <v>0.92459999999999998</v>
      </c>
      <c r="M2051">
        <v>2024</v>
      </c>
      <c r="N2051" t="s">
        <v>51</v>
      </c>
      <c r="O2051" t="s">
        <v>78</v>
      </c>
      <c r="P2051">
        <v>0</v>
      </c>
      <c r="Q2051">
        <v>0</v>
      </c>
      <c r="R2051">
        <v>0</v>
      </c>
      <c r="S2051" t="s">
        <v>99</v>
      </c>
      <c r="T2051" t="s">
        <v>3350</v>
      </c>
      <c r="U2051">
        <v>1</v>
      </c>
    </row>
    <row r="2052" spans="1:21" x14ac:dyDescent="0.3">
      <c r="A2052" t="s">
        <v>3343</v>
      </c>
      <c r="B2052" t="s">
        <v>3344</v>
      </c>
      <c r="C2052" t="s">
        <v>129</v>
      </c>
      <c r="D2052" t="s">
        <v>233</v>
      </c>
      <c r="E2052" t="s">
        <v>30</v>
      </c>
      <c r="F2052" s="6">
        <v>45657</v>
      </c>
      <c r="G2052">
        <v>100</v>
      </c>
      <c r="H2052">
        <v>0</v>
      </c>
      <c r="I2052">
        <v>0</v>
      </c>
      <c r="J2052">
        <v>0</v>
      </c>
      <c r="M2052">
        <v>2024</v>
      </c>
      <c r="N2052" t="s">
        <v>57</v>
      </c>
      <c r="O2052" t="s">
        <v>78</v>
      </c>
      <c r="P2052">
        <v>0</v>
      </c>
      <c r="Q2052">
        <v>0</v>
      </c>
      <c r="R2052">
        <v>0</v>
      </c>
      <c r="S2052" t="s">
        <v>99</v>
      </c>
      <c r="T2052" t="s">
        <v>3351</v>
      </c>
      <c r="U2052">
        <v>1</v>
      </c>
    </row>
    <row r="2053" spans="1:21" x14ac:dyDescent="0.3">
      <c r="A2053" t="s">
        <v>3343</v>
      </c>
      <c r="B2053" t="s">
        <v>3344</v>
      </c>
      <c r="C2053" t="s">
        <v>129</v>
      </c>
      <c r="D2053" t="s">
        <v>233</v>
      </c>
      <c r="E2053" t="s">
        <v>30</v>
      </c>
      <c r="F2053" s="6">
        <v>45747</v>
      </c>
      <c r="G2053">
        <v>100</v>
      </c>
      <c r="H2053" t="s">
        <v>3352</v>
      </c>
      <c r="I2053">
        <v>1.0476000000000001</v>
      </c>
      <c r="J2053">
        <v>1.0476000000000001</v>
      </c>
      <c r="K2053" t="s">
        <v>102</v>
      </c>
      <c r="L2053" t="s">
        <v>3353</v>
      </c>
      <c r="M2053">
        <v>2025</v>
      </c>
      <c r="N2053" t="s">
        <v>38</v>
      </c>
      <c r="O2053" t="s">
        <v>244</v>
      </c>
      <c r="P2053">
        <v>2</v>
      </c>
      <c r="Q2053">
        <v>2</v>
      </c>
      <c r="R2053">
        <v>0</v>
      </c>
      <c r="S2053" t="s">
        <v>104</v>
      </c>
      <c r="T2053" t="s">
        <v>3354</v>
      </c>
      <c r="U2053">
        <v>31</v>
      </c>
    </row>
    <row r="2054" spans="1:21" x14ac:dyDescent="0.3">
      <c r="A2054" t="s">
        <v>3343</v>
      </c>
      <c r="B2054" t="s">
        <v>3344</v>
      </c>
      <c r="C2054" t="s">
        <v>129</v>
      </c>
      <c r="D2054" t="s">
        <v>233</v>
      </c>
      <c r="E2054" t="s">
        <v>30</v>
      </c>
      <c r="F2054" s="6">
        <v>45838</v>
      </c>
      <c r="G2054">
        <v>100</v>
      </c>
      <c r="H2054" t="s">
        <v>3355</v>
      </c>
      <c r="I2054">
        <v>0.96439999999999992</v>
      </c>
      <c r="J2054">
        <v>0.96439999999999992</v>
      </c>
      <c r="K2054" t="s">
        <v>102</v>
      </c>
      <c r="L2054" t="s">
        <v>3356</v>
      </c>
      <c r="M2054">
        <v>2025</v>
      </c>
      <c r="N2054" t="s">
        <v>44</v>
      </c>
      <c r="O2054" t="s">
        <v>244</v>
      </c>
      <c r="P2054">
        <v>2</v>
      </c>
      <c r="Q2054">
        <v>2</v>
      </c>
      <c r="R2054">
        <v>0</v>
      </c>
      <c r="S2054" t="s">
        <v>104</v>
      </c>
      <c r="T2054" t="s">
        <v>3357</v>
      </c>
      <c r="U2054">
        <v>30</v>
      </c>
    </row>
    <row r="2055" spans="1:21" x14ac:dyDescent="0.3">
      <c r="A2055" t="s">
        <v>3343</v>
      </c>
      <c r="B2055" t="s">
        <v>3344</v>
      </c>
      <c r="C2055" t="s">
        <v>129</v>
      </c>
      <c r="D2055" t="s">
        <v>233</v>
      </c>
      <c r="E2055" t="s">
        <v>30</v>
      </c>
      <c r="F2055" s="6">
        <v>46022</v>
      </c>
      <c r="G2055">
        <v>100</v>
      </c>
      <c r="I2055">
        <v>0</v>
      </c>
      <c r="J2055">
        <v>0</v>
      </c>
      <c r="K2055" t="s">
        <v>102</v>
      </c>
      <c r="M2055">
        <v>2025</v>
      </c>
      <c r="N2055" t="s">
        <v>57</v>
      </c>
      <c r="O2055" t="s">
        <v>103</v>
      </c>
      <c r="P2055">
        <v>2</v>
      </c>
      <c r="Q2055">
        <v>2</v>
      </c>
      <c r="R2055">
        <v>0</v>
      </c>
      <c r="S2055" t="s">
        <v>104</v>
      </c>
      <c r="T2055" t="s">
        <v>3358</v>
      </c>
      <c r="U2055">
        <v>31</v>
      </c>
    </row>
    <row r="2056" spans="1:21" x14ac:dyDescent="0.3">
      <c r="A2056" t="s">
        <v>3359</v>
      </c>
      <c r="B2056" t="s">
        <v>3360</v>
      </c>
      <c r="C2056" t="s">
        <v>2688</v>
      </c>
      <c r="D2056" t="s">
        <v>233</v>
      </c>
      <c r="E2056" t="s">
        <v>30</v>
      </c>
      <c r="F2056" s="6">
        <v>45107</v>
      </c>
      <c r="G2056">
        <v>63</v>
      </c>
      <c r="H2056">
        <v>52</v>
      </c>
      <c r="I2056">
        <v>0.82539682539682535</v>
      </c>
      <c r="J2056">
        <v>0.82539682539682535</v>
      </c>
      <c r="K2056" t="s">
        <v>31</v>
      </c>
      <c r="L2056" t="s">
        <v>31</v>
      </c>
      <c r="M2056">
        <v>2023</v>
      </c>
      <c r="N2056" t="s">
        <v>44</v>
      </c>
      <c r="O2056" t="s">
        <v>33</v>
      </c>
      <c r="P2056">
        <v>0</v>
      </c>
      <c r="Q2056">
        <v>0</v>
      </c>
      <c r="R2056">
        <v>0</v>
      </c>
      <c r="S2056" t="s">
        <v>99</v>
      </c>
      <c r="T2056" t="s">
        <v>3361</v>
      </c>
      <c r="U2056">
        <v>1</v>
      </c>
    </row>
    <row r="2057" spans="1:21" x14ac:dyDescent="0.3">
      <c r="A2057" t="s">
        <v>3359</v>
      </c>
      <c r="B2057" t="s">
        <v>3362</v>
      </c>
      <c r="C2057" t="s">
        <v>266</v>
      </c>
      <c r="D2057" t="s">
        <v>233</v>
      </c>
      <c r="E2057" t="s">
        <v>30</v>
      </c>
      <c r="F2057" s="6">
        <v>45107</v>
      </c>
      <c r="G2057">
        <v>58</v>
      </c>
      <c r="H2057">
        <v>37</v>
      </c>
      <c r="I2057">
        <v>0.63793103448275867</v>
      </c>
      <c r="J2057">
        <v>0.63793103448275867</v>
      </c>
      <c r="K2057" t="s">
        <v>31</v>
      </c>
      <c r="L2057" t="s">
        <v>31</v>
      </c>
      <c r="M2057">
        <v>2023</v>
      </c>
      <c r="N2057" t="s">
        <v>44</v>
      </c>
      <c r="O2057" t="s">
        <v>33</v>
      </c>
      <c r="P2057">
        <v>0</v>
      </c>
      <c r="Q2057">
        <v>0</v>
      </c>
      <c r="R2057">
        <v>0</v>
      </c>
      <c r="S2057" t="s">
        <v>99</v>
      </c>
      <c r="T2057" t="s">
        <v>3363</v>
      </c>
      <c r="U2057">
        <v>1</v>
      </c>
    </row>
    <row r="2058" spans="1:21" x14ac:dyDescent="0.3">
      <c r="A2058" t="s">
        <v>3359</v>
      </c>
      <c r="B2058" t="s">
        <v>3360</v>
      </c>
      <c r="C2058" t="s">
        <v>2688</v>
      </c>
      <c r="D2058" t="s">
        <v>233</v>
      </c>
      <c r="E2058" t="s">
        <v>30</v>
      </c>
      <c r="F2058" s="6">
        <v>45291</v>
      </c>
      <c r="G2058">
        <v>100</v>
      </c>
      <c r="H2058">
        <v>99.86</v>
      </c>
      <c r="I2058">
        <v>0.99860000000000004</v>
      </c>
      <c r="J2058">
        <v>0.99860000000000004</v>
      </c>
      <c r="K2058" t="s">
        <v>31</v>
      </c>
      <c r="L2058" t="s">
        <v>31</v>
      </c>
      <c r="M2058">
        <v>2023</v>
      </c>
      <c r="N2058" t="s">
        <v>57</v>
      </c>
      <c r="O2058" t="s">
        <v>47</v>
      </c>
      <c r="P2058">
        <v>0</v>
      </c>
      <c r="Q2058">
        <v>1</v>
      </c>
      <c r="R2058">
        <v>0</v>
      </c>
      <c r="S2058" t="s">
        <v>99</v>
      </c>
      <c r="T2058" t="s">
        <v>3364</v>
      </c>
      <c r="U2058">
        <v>1</v>
      </c>
    </row>
    <row r="2059" spans="1:21" x14ac:dyDescent="0.3">
      <c r="A2059" t="s">
        <v>3359</v>
      </c>
      <c r="B2059" t="s">
        <v>3362</v>
      </c>
      <c r="C2059" t="s">
        <v>266</v>
      </c>
      <c r="D2059" t="s">
        <v>233</v>
      </c>
      <c r="E2059" t="s">
        <v>30</v>
      </c>
      <c r="F2059" s="6">
        <v>45291</v>
      </c>
      <c r="G2059">
        <v>100</v>
      </c>
      <c r="H2059">
        <v>84.33</v>
      </c>
      <c r="I2059">
        <v>0.84329999999999994</v>
      </c>
      <c r="J2059">
        <v>0.84329999999999994</v>
      </c>
      <c r="K2059" t="s">
        <v>31</v>
      </c>
      <c r="L2059" t="s">
        <v>31</v>
      </c>
      <c r="M2059">
        <v>2023</v>
      </c>
      <c r="N2059" t="s">
        <v>57</v>
      </c>
      <c r="O2059" t="s">
        <v>47</v>
      </c>
      <c r="P2059">
        <v>0</v>
      </c>
      <c r="Q2059">
        <v>0</v>
      </c>
      <c r="R2059">
        <v>0</v>
      </c>
      <c r="S2059" t="s">
        <v>99</v>
      </c>
      <c r="T2059" t="s">
        <v>3365</v>
      </c>
      <c r="U2059">
        <v>1</v>
      </c>
    </row>
    <row r="2060" spans="1:21" x14ac:dyDescent="0.3">
      <c r="A2060" t="s">
        <v>3359</v>
      </c>
      <c r="B2060" t="s">
        <v>3360</v>
      </c>
      <c r="C2060" t="s">
        <v>2688</v>
      </c>
      <c r="D2060" t="s">
        <v>233</v>
      </c>
      <c r="E2060" t="s">
        <v>30</v>
      </c>
      <c r="F2060" s="6">
        <v>45473</v>
      </c>
      <c r="G2060">
        <v>78.680000000000007</v>
      </c>
      <c r="H2060">
        <v>65.67</v>
      </c>
      <c r="I2060">
        <v>0.83464667005592263</v>
      </c>
      <c r="J2060">
        <v>0.83464667005592263</v>
      </c>
      <c r="K2060" t="s">
        <v>31</v>
      </c>
      <c r="L2060" t="s">
        <v>31</v>
      </c>
      <c r="M2060">
        <v>2024</v>
      </c>
      <c r="N2060" t="s">
        <v>44</v>
      </c>
      <c r="O2060" t="s">
        <v>71</v>
      </c>
      <c r="P2060">
        <v>0</v>
      </c>
      <c r="Q2060">
        <v>1</v>
      </c>
      <c r="R2060">
        <v>0</v>
      </c>
      <c r="S2060" t="s">
        <v>99</v>
      </c>
      <c r="T2060" t="s">
        <v>3366</v>
      </c>
      <c r="U2060">
        <v>1</v>
      </c>
    </row>
    <row r="2061" spans="1:21" x14ac:dyDescent="0.3">
      <c r="A2061" t="s">
        <v>3359</v>
      </c>
      <c r="B2061" t="s">
        <v>3362</v>
      </c>
      <c r="C2061" t="s">
        <v>266</v>
      </c>
      <c r="D2061" t="s">
        <v>233</v>
      </c>
      <c r="E2061" t="s">
        <v>30</v>
      </c>
      <c r="F2061" s="6">
        <v>45473</v>
      </c>
      <c r="K2061" t="s">
        <v>215</v>
      </c>
      <c r="L2061" t="s">
        <v>215</v>
      </c>
      <c r="M2061">
        <v>2024</v>
      </c>
      <c r="N2061" t="s">
        <v>44</v>
      </c>
      <c r="O2061" t="s">
        <v>71</v>
      </c>
      <c r="P2061">
        <v>0</v>
      </c>
      <c r="Q2061">
        <v>0</v>
      </c>
      <c r="R2061">
        <v>0</v>
      </c>
      <c r="S2061" t="s">
        <v>99</v>
      </c>
      <c r="T2061" t="s">
        <v>3367</v>
      </c>
      <c r="U2061">
        <v>1</v>
      </c>
    </row>
    <row r="2062" spans="1:21" x14ac:dyDescent="0.3">
      <c r="A2062" t="s">
        <v>3368</v>
      </c>
      <c r="B2062" t="s">
        <v>3369</v>
      </c>
      <c r="C2062" t="s">
        <v>2688</v>
      </c>
      <c r="D2062" t="s">
        <v>233</v>
      </c>
      <c r="E2062" t="s">
        <v>30</v>
      </c>
      <c r="F2062" s="6">
        <v>45473</v>
      </c>
      <c r="G2062">
        <v>100</v>
      </c>
      <c r="H2062">
        <v>97</v>
      </c>
      <c r="I2062">
        <v>0.97</v>
      </c>
      <c r="J2062">
        <v>0.97</v>
      </c>
      <c r="K2062" t="s">
        <v>31</v>
      </c>
      <c r="L2062" t="s">
        <v>31</v>
      </c>
      <c r="M2062">
        <v>2024</v>
      </c>
      <c r="N2062" t="s">
        <v>44</v>
      </c>
      <c r="O2062" t="s">
        <v>71</v>
      </c>
      <c r="P2062">
        <v>0</v>
      </c>
      <c r="Q2062">
        <v>0</v>
      </c>
      <c r="R2062">
        <v>0</v>
      </c>
      <c r="S2062" t="s">
        <v>99</v>
      </c>
      <c r="T2062" t="s">
        <v>3370</v>
      </c>
      <c r="U2062">
        <v>1</v>
      </c>
    </row>
    <row r="2063" spans="1:21" x14ac:dyDescent="0.3">
      <c r="A2063" t="s">
        <v>3371</v>
      </c>
      <c r="B2063" t="s">
        <v>3372</v>
      </c>
      <c r="C2063" t="s">
        <v>730</v>
      </c>
      <c r="D2063" t="s">
        <v>233</v>
      </c>
      <c r="E2063" t="s">
        <v>30</v>
      </c>
      <c r="F2063" s="6">
        <v>45473</v>
      </c>
      <c r="G2063">
        <v>87.8</v>
      </c>
      <c r="H2063">
        <v>77.5</v>
      </c>
      <c r="I2063">
        <v>0.88268792710706157</v>
      </c>
      <c r="J2063">
        <v>0.88268792710706157</v>
      </c>
      <c r="K2063" t="s">
        <v>31</v>
      </c>
      <c r="L2063" t="s">
        <v>31</v>
      </c>
      <c r="M2063">
        <v>2024</v>
      </c>
      <c r="N2063" t="s">
        <v>44</v>
      </c>
      <c r="O2063" t="s">
        <v>71</v>
      </c>
      <c r="P2063">
        <v>0</v>
      </c>
      <c r="Q2063">
        <v>0</v>
      </c>
      <c r="R2063">
        <v>0</v>
      </c>
      <c r="S2063" t="s">
        <v>99</v>
      </c>
      <c r="T2063" t="s">
        <v>3373</v>
      </c>
      <c r="U2063">
        <v>1</v>
      </c>
    </row>
    <row r="2064" spans="1:21" x14ac:dyDescent="0.3">
      <c r="A2064" t="s">
        <v>3374</v>
      </c>
      <c r="B2064" t="s">
        <v>3375</v>
      </c>
      <c r="C2064" t="s">
        <v>717</v>
      </c>
      <c r="D2064" t="s">
        <v>233</v>
      </c>
      <c r="E2064" t="s">
        <v>30</v>
      </c>
      <c r="F2064" s="6">
        <v>45473</v>
      </c>
      <c r="G2064">
        <v>100</v>
      </c>
      <c r="H2064">
        <v>85</v>
      </c>
      <c r="I2064">
        <v>0.85</v>
      </c>
      <c r="J2064">
        <v>0.85</v>
      </c>
      <c r="K2064" t="s">
        <v>31</v>
      </c>
      <c r="L2064" t="s">
        <v>31</v>
      </c>
      <c r="M2064">
        <v>2024</v>
      </c>
      <c r="N2064" t="s">
        <v>44</v>
      </c>
      <c r="O2064" t="s">
        <v>71</v>
      </c>
      <c r="P2064">
        <v>0</v>
      </c>
      <c r="Q2064">
        <v>0</v>
      </c>
      <c r="R2064">
        <v>0</v>
      </c>
      <c r="S2064" t="s">
        <v>99</v>
      </c>
      <c r="T2064" t="s">
        <v>3376</v>
      </c>
      <c r="U2064">
        <v>1</v>
      </c>
    </row>
    <row r="2065" spans="1:21" x14ac:dyDescent="0.3">
      <c r="A2065" t="s">
        <v>3377</v>
      </c>
      <c r="B2065" t="s">
        <v>3378</v>
      </c>
      <c r="C2065" t="s">
        <v>266</v>
      </c>
      <c r="D2065" t="s">
        <v>233</v>
      </c>
      <c r="E2065" t="s">
        <v>30</v>
      </c>
      <c r="F2065" s="6">
        <v>45473</v>
      </c>
      <c r="G2065">
        <v>27.99</v>
      </c>
      <c r="H2065">
        <v>26.66</v>
      </c>
      <c r="I2065">
        <v>0.95248302965344767</v>
      </c>
      <c r="J2065">
        <v>0.95248302965344767</v>
      </c>
      <c r="K2065" t="s">
        <v>31</v>
      </c>
      <c r="L2065" t="s">
        <v>31</v>
      </c>
      <c r="M2065">
        <v>2024</v>
      </c>
      <c r="N2065" t="s">
        <v>44</v>
      </c>
      <c r="O2065" t="s">
        <v>71</v>
      </c>
      <c r="P2065">
        <v>0</v>
      </c>
      <c r="Q2065">
        <v>0</v>
      </c>
      <c r="R2065">
        <v>0</v>
      </c>
      <c r="S2065" t="s">
        <v>99</v>
      </c>
      <c r="T2065" t="s">
        <v>3379</v>
      </c>
      <c r="U2065">
        <v>1</v>
      </c>
    </row>
    <row r="2066" spans="1:21" x14ac:dyDescent="0.3">
      <c r="A2066" t="s">
        <v>3380</v>
      </c>
      <c r="B2066" t="s">
        <v>3381</v>
      </c>
      <c r="C2066" t="s">
        <v>717</v>
      </c>
      <c r="D2066" t="s">
        <v>233</v>
      </c>
      <c r="E2066" t="s">
        <v>30</v>
      </c>
      <c r="F2066" s="6">
        <v>45107</v>
      </c>
      <c r="G2066">
        <v>88</v>
      </c>
      <c r="H2066">
        <v>94</v>
      </c>
      <c r="I2066">
        <v>1.0681818181818179</v>
      </c>
      <c r="J2066">
        <v>1.0681818181818179</v>
      </c>
      <c r="K2066" t="s">
        <v>31</v>
      </c>
      <c r="L2066" t="s">
        <v>31</v>
      </c>
      <c r="M2066">
        <v>2023</v>
      </c>
      <c r="N2066" t="s">
        <v>44</v>
      </c>
      <c r="O2066" t="s">
        <v>33</v>
      </c>
      <c r="P2066">
        <v>0</v>
      </c>
      <c r="Q2066">
        <v>0</v>
      </c>
      <c r="R2066">
        <v>0</v>
      </c>
      <c r="S2066" t="s">
        <v>99</v>
      </c>
      <c r="T2066" t="s">
        <v>3382</v>
      </c>
      <c r="U2066">
        <v>1</v>
      </c>
    </row>
    <row r="2067" spans="1:21" x14ac:dyDescent="0.3">
      <c r="A2067" t="s">
        <v>3380</v>
      </c>
      <c r="B2067" t="s">
        <v>3381</v>
      </c>
      <c r="C2067" t="s">
        <v>717</v>
      </c>
      <c r="D2067" t="s">
        <v>233</v>
      </c>
      <c r="E2067" t="s">
        <v>30</v>
      </c>
      <c r="F2067" s="6">
        <v>45291</v>
      </c>
      <c r="G2067">
        <v>100</v>
      </c>
      <c r="H2067">
        <v>100</v>
      </c>
      <c r="I2067">
        <v>1</v>
      </c>
      <c r="J2067">
        <v>1</v>
      </c>
      <c r="K2067" t="s">
        <v>31</v>
      </c>
      <c r="L2067" t="s">
        <v>31</v>
      </c>
      <c r="M2067">
        <v>2023</v>
      </c>
      <c r="N2067" t="s">
        <v>57</v>
      </c>
      <c r="O2067" t="s">
        <v>47</v>
      </c>
      <c r="P2067">
        <v>0</v>
      </c>
      <c r="Q2067">
        <v>0</v>
      </c>
      <c r="R2067">
        <v>0</v>
      </c>
      <c r="S2067" t="s">
        <v>99</v>
      </c>
      <c r="T2067" t="s">
        <v>3383</v>
      </c>
      <c r="U2067">
        <v>1</v>
      </c>
    </row>
    <row r="2068" spans="1:21" x14ac:dyDescent="0.3">
      <c r="A2068" t="s">
        <v>3380</v>
      </c>
      <c r="B2068" t="s">
        <v>3381</v>
      </c>
      <c r="C2068" t="s">
        <v>717</v>
      </c>
      <c r="D2068" t="s">
        <v>233</v>
      </c>
      <c r="E2068" t="s">
        <v>30</v>
      </c>
      <c r="F2068" s="6">
        <v>45473</v>
      </c>
      <c r="G2068">
        <v>79.88</v>
      </c>
      <c r="H2068">
        <v>68.599999999999994</v>
      </c>
      <c r="I2068">
        <v>0.85878818227341014</v>
      </c>
      <c r="J2068">
        <v>0.85878818227341014</v>
      </c>
      <c r="K2068" t="s">
        <v>31</v>
      </c>
      <c r="L2068" t="s">
        <v>31</v>
      </c>
      <c r="M2068">
        <v>2024</v>
      </c>
      <c r="N2068" t="s">
        <v>44</v>
      </c>
      <c r="O2068" t="s">
        <v>71</v>
      </c>
      <c r="P2068">
        <v>0</v>
      </c>
      <c r="Q2068">
        <v>0</v>
      </c>
      <c r="R2068">
        <v>0</v>
      </c>
      <c r="S2068" t="s">
        <v>99</v>
      </c>
      <c r="T2068" t="s">
        <v>3384</v>
      </c>
      <c r="U2068">
        <v>1</v>
      </c>
    </row>
    <row r="2069" spans="1:21" x14ac:dyDescent="0.3">
      <c r="A2069" t="s">
        <v>3385</v>
      </c>
      <c r="B2069" t="s">
        <v>3386</v>
      </c>
      <c r="C2069" t="s">
        <v>2619</v>
      </c>
      <c r="D2069" t="s">
        <v>233</v>
      </c>
      <c r="E2069" t="s">
        <v>30</v>
      </c>
      <c r="F2069" s="6">
        <v>45107</v>
      </c>
      <c r="G2069">
        <v>58</v>
      </c>
      <c r="H2069">
        <v>50</v>
      </c>
      <c r="I2069">
        <v>0.86206896551724133</v>
      </c>
      <c r="J2069">
        <v>0.86206896551724133</v>
      </c>
      <c r="K2069" t="s">
        <v>31</v>
      </c>
      <c r="L2069" t="s">
        <v>31</v>
      </c>
      <c r="M2069">
        <v>2023</v>
      </c>
      <c r="N2069" t="s">
        <v>44</v>
      </c>
      <c r="O2069" t="s">
        <v>33</v>
      </c>
      <c r="P2069">
        <v>0</v>
      </c>
      <c r="Q2069">
        <v>0</v>
      </c>
      <c r="R2069">
        <v>0</v>
      </c>
      <c r="S2069" t="s">
        <v>99</v>
      </c>
      <c r="T2069" t="s">
        <v>3387</v>
      </c>
      <c r="U2069">
        <v>1</v>
      </c>
    </row>
    <row r="2070" spans="1:21" x14ac:dyDescent="0.3">
      <c r="A2070" t="s">
        <v>3385</v>
      </c>
      <c r="B2070" t="s">
        <v>3386</v>
      </c>
      <c r="C2070" t="s">
        <v>2619</v>
      </c>
      <c r="D2070" t="s">
        <v>233</v>
      </c>
      <c r="E2070" t="s">
        <v>30</v>
      </c>
      <c r="F2070" s="6">
        <v>45291</v>
      </c>
      <c r="G2070">
        <v>100</v>
      </c>
      <c r="H2070">
        <v>98</v>
      </c>
      <c r="I2070">
        <v>0.98</v>
      </c>
      <c r="J2070">
        <v>0.98</v>
      </c>
      <c r="K2070" t="s">
        <v>31</v>
      </c>
      <c r="L2070" t="s">
        <v>31</v>
      </c>
      <c r="M2070">
        <v>2023</v>
      </c>
      <c r="N2070" t="s">
        <v>57</v>
      </c>
      <c r="O2070" t="s">
        <v>47</v>
      </c>
      <c r="P2070">
        <v>0</v>
      </c>
      <c r="Q2070">
        <v>0</v>
      </c>
      <c r="R2070">
        <v>0</v>
      </c>
      <c r="S2070" t="s">
        <v>99</v>
      </c>
      <c r="T2070" t="s">
        <v>3388</v>
      </c>
      <c r="U2070">
        <v>1</v>
      </c>
    </row>
    <row r="2071" spans="1:21" x14ac:dyDescent="0.3">
      <c r="A2071" t="s">
        <v>3385</v>
      </c>
      <c r="B2071" t="s">
        <v>3386</v>
      </c>
      <c r="C2071" t="s">
        <v>2619</v>
      </c>
      <c r="D2071" t="s">
        <v>233</v>
      </c>
      <c r="E2071" t="s">
        <v>30</v>
      </c>
      <c r="F2071" s="6">
        <v>45473</v>
      </c>
      <c r="G2071">
        <v>53.64</v>
      </c>
      <c r="H2071">
        <v>40</v>
      </c>
      <c r="I2071">
        <v>0.74571215510812827</v>
      </c>
      <c r="J2071">
        <v>0.74571215510812827</v>
      </c>
      <c r="K2071" t="s">
        <v>31</v>
      </c>
      <c r="L2071" t="s">
        <v>31</v>
      </c>
      <c r="M2071">
        <v>2024</v>
      </c>
      <c r="N2071" t="s">
        <v>44</v>
      </c>
      <c r="O2071" t="s">
        <v>71</v>
      </c>
      <c r="P2071">
        <v>0</v>
      </c>
      <c r="Q2071">
        <v>0</v>
      </c>
      <c r="R2071">
        <v>0</v>
      </c>
      <c r="S2071" t="s">
        <v>99</v>
      </c>
      <c r="T2071" t="s">
        <v>3389</v>
      </c>
      <c r="U2071">
        <v>1</v>
      </c>
    </row>
    <row r="2072" spans="1:21" x14ac:dyDescent="0.3">
      <c r="A2072" t="s">
        <v>3390</v>
      </c>
      <c r="B2072" t="s">
        <v>3391</v>
      </c>
      <c r="C2072" t="s">
        <v>150</v>
      </c>
      <c r="D2072" t="s">
        <v>233</v>
      </c>
      <c r="E2072" t="s">
        <v>30</v>
      </c>
      <c r="F2072" s="6">
        <v>45107</v>
      </c>
      <c r="G2072">
        <v>20</v>
      </c>
      <c r="H2072">
        <v>24</v>
      </c>
      <c r="I2072">
        <v>1.2</v>
      </c>
      <c r="J2072">
        <v>1.2</v>
      </c>
      <c r="K2072" t="s">
        <v>31</v>
      </c>
      <c r="L2072" t="s">
        <v>31</v>
      </c>
      <c r="M2072">
        <v>2023</v>
      </c>
      <c r="N2072" t="s">
        <v>44</v>
      </c>
      <c r="O2072" t="s">
        <v>33</v>
      </c>
      <c r="P2072">
        <v>0</v>
      </c>
      <c r="Q2072">
        <v>0</v>
      </c>
      <c r="R2072">
        <v>0</v>
      </c>
      <c r="S2072" t="s">
        <v>99</v>
      </c>
      <c r="T2072" t="s">
        <v>3392</v>
      </c>
      <c r="U2072">
        <v>1</v>
      </c>
    </row>
    <row r="2073" spans="1:21" x14ac:dyDescent="0.3">
      <c r="A2073" t="s">
        <v>3390</v>
      </c>
      <c r="B2073" t="s">
        <v>3391</v>
      </c>
      <c r="C2073" t="s">
        <v>150</v>
      </c>
      <c r="D2073" t="s">
        <v>233</v>
      </c>
      <c r="E2073" t="s">
        <v>30</v>
      </c>
      <c r="F2073" s="6">
        <v>45291</v>
      </c>
      <c r="G2073">
        <v>100</v>
      </c>
      <c r="H2073">
        <v>100</v>
      </c>
      <c r="I2073">
        <v>1</v>
      </c>
      <c r="J2073">
        <v>1</v>
      </c>
      <c r="K2073" t="s">
        <v>31</v>
      </c>
      <c r="L2073" t="s">
        <v>31</v>
      </c>
      <c r="M2073">
        <v>2023</v>
      </c>
      <c r="N2073" t="s">
        <v>57</v>
      </c>
      <c r="O2073" t="s">
        <v>47</v>
      </c>
      <c r="P2073">
        <v>0</v>
      </c>
      <c r="Q2073">
        <v>0</v>
      </c>
      <c r="R2073">
        <v>0</v>
      </c>
      <c r="S2073" t="s">
        <v>99</v>
      </c>
      <c r="T2073" t="s">
        <v>3393</v>
      </c>
      <c r="U2073">
        <v>1</v>
      </c>
    </row>
    <row r="2074" spans="1:21" x14ac:dyDescent="0.3">
      <c r="A2074" t="s">
        <v>3390</v>
      </c>
      <c r="B2074" t="s">
        <v>3391</v>
      </c>
      <c r="C2074" t="s">
        <v>150</v>
      </c>
      <c r="D2074" t="s">
        <v>233</v>
      </c>
      <c r="E2074" t="s">
        <v>30</v>
      </c>
      <c r="F2074" s="6">
        <v>45473</v>
      </c>
      <c r="G2074">
        <v>36.049999999999997</v>
      </c>
      <c r="H2074">
        <v>43.92</v>
      </c>
      <c r="I2074">
        <v>1</v>
      </c>
      <c r="J2074">
        <v>1</v>
      </c>
      <c r="K2074" t="s">
        <v>31</v>
      </c>
      <c r="L2074" t="s">
        <v>31</v>
      </c>
      <c r="M2074">
        <v>2024</v>
      </c>
      <c r="N2074" t="s">
        <v>44</v>
      </c>
      <c r="O2074" t="s">
        <v>71</v>
      </c>
      <c r="P2074">
        <v>0</v>
      </c>
      <c r="Q2074">
        <v>0</v>
      </c>
      <c r="R2074">
        <v>0</v>
      </c>
      <c r="S2074" t="s">
        <v>99</v>
      </c>
      <c r="T2074" t="s">
        <v>3394</v>
      </c>
      <c r="U2074">
        <v>1</v>
      </c>
    </row>
    <row r="2075" spans="1:21" x14ac:dyDescent="0.3">
      <c r="A2075" t="s">
        <v>3395</v>
      </c>
      <c r="B2075" t="s">
        <v>3396</v>
      </c>
      <c r="C2075" t="s">
        <v>649</v>
      </c>
      <c r="D2075" t="s">
        <v>233</v>
      </c>
      <c r="E2075" t="s">
        <v>30</v>
      </c>
      <c r="F2075" s="6">
        <v>45107</v>
      </c>
      <c r="G2075">
        <v>54</v>
      </c>
      <c r="H2075">
        <v>63</v>
      </c>
      <c r="I2075">
        <v>1.166666666666667</v>
      </c>
      <c r="J2075">
        <v>1.166666666666667</v>
      </c>
      <c r="K2075" t="s">
        <v>31</v>
      </c>
      <c r="L2075" t="s">
        <v>31</v>
      </c>
      <c r="M2075">
        <v>2023</v>
      </c>
      <c r="N2075" t="s">
        <v>44</v>
      </c>
      <c r="O2075" t="s">
        <v>33</v>
      </c>
      <c r="P2075">
        <v>0</v>
      </c>
      <c r="Q2075">
        <v>0</v>
      </c>
      <c r="R2075">
        <v>0</v>
      </c>
      <c r="S2075" t="s">
        <v>99</v>
      </c>
      <c r="T2075" t="s">
        <v>3397</v>
      </c>
      <c r="U2075">
        <v>1</v>
      </c>
    </row>
    <row r="2076" spans="1:21" x14ac:dyDescent="0.3">
      <c r="A2076" t="s">
        <v>3395</v>
      </c>
      <c r="B2076" t="s">
        <v>3396</v>
      </c>
      <c r="C2076" t="s">
        <v>649</v>
      </c>
      <c r="D2076" t="s">
        <v>233</v>
      </c>
      <c r="E2076" t="s">
        <v>30</v>
      </c>
      <c r="F2076" s="6">
        <v>45291</v>
      </c>
      <c r="G2076">
        <v>100</v>
      </c>
      <c r="H2076">
        <v>90</v>
      </c>
      <c r="I2076">
        <v>0.9</v>
      </c>
      <c r="J2076">
        <v>0.9</v>
      </c>
      <c r="K2076" t="s">
        <v>31</v>
      </c>
      <c r="L2076" t="s">
        <v>31</v>
      </c>
      <c r="M2076">
        <v>2023</v>
      </c>
      <c r="N2076" t="s">
        <v>57</v>
      </c>
      <c r="O2076" t="s">
        <v>47</v>
      </c>
      <c r="P2076">
        <v>0</v>
      </c>
      <c r="Q2076">
        <v>0</v>
      </c>
      <c r="R2076">
        <v>0</v>
      </c>
      <c r="S2076" t="s">
        <v>99</v>
      </c>
      <c r="T2076" t="s">
        <v>3398</v>
      </c>
      <c r="U2076">
        <v>1</v>
      </c>
    </row>
    <row r="2077" spans="1:21" x14ac:dyDescent="0.3">
      <c r="A2077" t="s">
        <v>3395</v>
      </c>
      <c r="B2077" t="s">
        <v>3396</v>
      </c>
      <c r="C2077" t="s">
        <v>649</v>
      </c>
      <c r="D2077" t="s">
        <v>233</v>
      </c>
      <c r="E2077" t="s">
        <v>30</v>
      </c>
      <c r="F2077" s="6">
        <v>45473</v>
      </c>
      <c r="G2077">
        <v>81.239999999999995</v>
      </c>
      <c r="H2077">
        <v>86.67</v>
      </c>
      <c r="I2077">
        <v>1</v>
      </c>
      <c r="J2077">
        <v>1</v>
      </c>
      <c r="K2077" t="s">
        <v>31</v>
      </c>
      <c r="L2077" t="s">
        <v>31</v>
      </c>
      <c r="M2077">
        <v>2024</v>
      </c>
      <c r="N2077" t="s">
        <v>44</v>
      </c>
      <c r="O2077" t="s">
        <v>71</v>
      </c>
      <c r="P2077">
        <v>0</v>
      </c>
      <c r="Q2077">
        <v>0</v>
      </c>
      <c r="R2077">
        <v>0</v>
      </c>
      <c r="S2077" t="s">
        <v>99</v>
      </c>
      <c r="T2077" t="s">
        <v>3399</v>
      </c>
      <c r="U2077">
        <v>1</v>
      </c>
    </row>
    <row r="2078" spans="1:21" x14ac:dyDescent="0.3">
      <c r="A2078" t="s">
        <v>3400</v>
      </c>
      <c r="B2078" t="s">
        <v>3401</v>
      </c>
      <c r="C2078" t="s">
        <v>2678</v>
      </c>
      <c r="D2078" t="s">
        <v>233</v>
      </c>
      <c r="E2078" t="s">
        <v>30</v>
      </c>
      <c r="F2078" s="6">
        <v>45107</v>
      </c>
      <c r="G2078">
        <v>62</v>
      </c>
      <c r="H2078">
        <v>51</v>
      </c>
      <c r="I2078">
        <v>0.82258064516129037</v>
      </c>
      <c r="J2078">
        <v>0.82258064516129037</v>
      </c>
      <c r="K2078" t="s">
        <v>31</v>
      </c>
      <c r="L2078" t="s">
        <v>31</v>
      </c>
      <c r="M2078">
        <v>2023</v>
      </c>
      <c r="N2078" t="s">
        <v>44</v>
      </c>
      <c r="O2078" t="s">
        <v>33</v>
      </c>
      <c r="P2078">
        <v>0</v>
      </c>
      <c r="Q2078">
        <v>0</v>
      </c>
      <c r="R2078">
        <v>0</v>
      </c>
      <c r="S2078" t="s">
        <v>99</v>
      </c>
      <c r="T2078" t="s">
        <v>3402</v>
      </c>
      <c r="U2078">
        <v>1</v>
      </c>
    </row>
    <row r="2079" spans="1:21" x14ac:dyDescent="0.3">
      <c r="A2079" t="s">
        <v>3400</v>
      </c>
      <c r="B2079" t="s">
        <v>3401</v>
      </c>
      <c r="C2079" t="s">
        <v>2678</v>
      </c>
      <c r="D2079" t="s">
        <v>233</v>
      </c>
      <c r="E2079" t="s">
        <v>30</v>
      </c>
      <c r="F2079" s="6">
        <v>45291</v>
      </c>
      <c r="G2079">
        <v>100</v>
      </c>
      <c r="H2079">
        <v>100</v>
      </c>
      <c r="I2079">
        <v>1</v>
      </c>
      <c r="J2079">
        <v>1</v>
      </c>
      <c r="K2079" t="s">
        <v>31</v>
      </c>
      <c r="L2079" t="s">
        <v>31</v>
      </c>
      <c r="M2079">
        <v>2023</v>
      </c>
      <c r="N2079" t="s">
        <v>57</v>
      </c>
      <c r="O2079" t="s">
        <v>47</v>
      </c>
      <c r="P2079">
        <v>0</v>
      </c>
      <c r="Q2079">
        <v>0</v>
      </c>
      <c r="R2079">
        <v>0</v>
      </c>
      <c r="S2079" t="s">
        <v>99</v>
      </c>
      <c r="T2079" t="s">
        <v>3403</v>
      </c>
      <c r="U2079">
        <v>1</v>
      </c>
    </row>
    <row r="2080" spans="1:21" x14ac:dyDescent="0.3">
      <c r="A2080" t="s">
        <v>3400</v>
      </c>
      <c r="B2080" t="s">
        <v>3401</v>
      </c>
      <c r="C2080" t="s">
        <v>2678</v>
      </c>
      <c r="D2080" t="s">
        <v>233</v>
      </c>
      <c r="E2080" t="s">
        <v>30</v>
      </c>
      <c r="F2080" s="6">
        <v>45473</v>
      </c>
      <c r="G2080">
        <v>71.25</v>
      </c>
      <c r="H2080">
        <v>52.22</v>
      </c>
      <c r="I2080">
        <v>0.7329122807017544</v>
      </c>
      <c r="J2080">
        <v>0.7329122807017544</v>
      </c>
      <c r="K2080" t="s">
        <v>31</v>
      </c>
      <c r="L2080" t="s">
        <v>31</v>
      </c>
      <c r="M2080">
        <v>2024</v>
      </c>
      <c r="N2080" t="s">
        <v>44</v>
      </c>
      <c r="O2080" t="s">
        <v>71</v>
      </c>
      <c r="P2080">
        <v>0</v>
      </c>
      <c r="Q2080">
        <v>0</v>
      </c>
      <c r="R2080">
        <v>0</v>
      </c>
      <c r="S2080" t="s">
        <v>99</v>
      </c>
      <c r="T2080" t="s">
        <v>3404</v>
      </c>
      <c r="U2080">
        <v>1</v>
      </c>
    </row>
    <row r="2081" spans="1:21" x14ac:dyDescent="0.3">
      <c r="A2081" t="s">
        <v>3405</v>
      </c>
      <c r="B2081" t="s">
        <v>3406</v>
      </c>
      <c r="C2081" t="s">
        <v>266</v>
      </c>
      <c r="D2081" t="s">
        <v>233</v>
      </c>
      <c r="E2081" t="s">
        <v>30</v>
      </c>
      <c r="F2081" s="6">
        <v>45473</v>
      </c>
      <c r="G2081">
        <v>46.98</v>
      </c>
      <c r="H2081">
        <v>57.83</v>
      </c>
      <c r="I2081">
        <v>1</v>
      </c>
      <c r="J2081">
        <v>1</v>
      </c>
      <c r="K2081" t="s">
        <v>31</v>
      </c>
      <c r="L2081" t="s">
        <v>31</v>
      </c>
      <c r="M2081">
        <v>2024</v>
      </c>
      <c r="N2081" t="s">
        <v>44</v>
      </c>
      <c r="O2081" t="s">
        <v>71</v>
      </c>
      <c r="P2081">
        <v>0</v>
      </c>
      <c r="Q2081">
        <v>0</v>
      </c>
      <c r="R2081">
        <v>0</v>
      </c>
      <c r="S2081" t="s">
        <v>99</v>
      </c>
      <c r="T2081" t="s">
        <v>3407</v>
      </c>
      <c r="U2081">
        <v>1</v>
      </c>
    </row>
    <row r="2082" spans="1:21" x14ac:dyDescent="0.3">
      <c r="A2082" t="s">
        <v>3408</v>
      </c>
      <c r="B2082" t="s">
        <v>3409</v>
      </c>
      <c r="D2082" t="s">
        <v>233</v>
      </c>
      <c r="E2082" t="s">
        <v>30</v>
      </c>
      <c r="F2082" s="6">
        <v>45473</v>
      </c>
      <c r="G2082">
        <v>53.64</v>
      </c>
      <c r="H2082">
        <v>48.5</v>
      </c>
      <c r="I2082">
        <v>0.90417598806860555</v>
      </c>
      <c r="J2082">
        <v>0.90417598806860555</v>
      </c>
      <c r="K2082" t="s">
        <v>31</v>
      </c>
      <c r="L2082" t="s">
        <v>31</v>
      </c>
      <c r="M2082">
        <v>2024</v>
      </c>
      <c r="N2082" t="s">
        <v>44</v>
      </c>
      <c r="O2082" t="s">
        <v>71</v>
      </c>
      <c r="P2082">
        <v>0</v>
      </c>
      <c r="Q2082">
        <v>0</v>
      </c>
      <c r="R2082">
        <v>0</v>
      </c>
      <c r="S2082" t="s">
        <v>99</v>
      </c>
      <c r="T2082" t="s">
        <v>3410</v>
      </c>
      <c r="U2082">
        <v>1</v>
      </c>
    </row>
    <row r="2083" spans="1:21" x14ac:dyDescent="0.3">
      <c r="A2083" t="s">
        <v>3411</v>
      </c>
      <c r="B2083" t="s">
        <v>3412</v>
      </c>
      <c r="C2083" t="s">
        <v>266</v>
      </c>
      <c r="D2083" t="s">
        <v>233</v>
      </c>
      <c r="E2083" t="s">
        <v>30</v>
      </c>
      <c r="F2083" s="6">
        <v>45473</v>
      </c>
      <c r="G2083">
        <v>64.53</v>
      </c>
      <c r="H2083">
        <v>54.67</v>
      </c>
      <c r="I2083">
        <v>0.84720285138695184</v>
      </c>
      <c r="J2083">
        <v>0.84720285138695184</v>
      </c>
      <c r="K2083" t="s">
        <v>31</v>
      </c>
      <c r="L2083" t="s">
        <v>31</v>
      </c>
      <c r="M2083">
        <v>2024</v>
      </c>
      <c r="N2083" t="s">
        <v>44</v>
      </c>
      <c r="O2083" t="s">
        <v>71</v>
      </c>
      <c r="P2083">
        <v>0</v>
      </c>
      <c r="Q2083">
        <v>0</v>
      </c>
      <c r="R2083">
        <v>0</v>
      </c>
      <c r="S2083" t="s">
        <v>99</v>
      </c>
      <c r="T2083" t="s">
        <v>3413</v>
      </c>
      <c r="U2083">
        <v>1</v>
      </c>
    </row>
    <row r="2084" spans="1:21" x14ac:dyDescent="0.3">
      <c r="A2084" t="s">
        <v>3414</v>
      </c>
      <c r="B2084" t="s">
        <v>3415</v>
      </c>
      <c r="D2084" t="s">
        <v>233</v>
      </c>
      <c r="E2084" t="s">
        <v>30</v>
      </c>
      <c r="F2084" s="6">
        <v>45107</v>
      </c>
      <c r="G2084">
        <v>100</v>
      </c>
      <c r="H2084">
        <v>96</v>
      </c>
      <c r="I2084">
        <v>0.96</v>
      </c>
      <c r="J2084">
        <v>0.96</v>
      </c>
      <c r="M2084">
        <v>2023</v>
      </c>
      <c r="N2084" t="s">
        <v>44</v>
      </c>
      <c r="O2084" t="s">
        <v>33</v>
      </c>
      <c r="P2084">
        <v>0</v>
      </c>
      <c r="Q2084">
        <v>0</v>
      </c>
      <c r="R2084">
        <v>0</v>
      </c>
      <c r="S2084" t="s">
        <v>99</v>
      </c>
      <c r="T2084" t="s">
        <v>3416</v>
      </c>
      <c r="U2084">
        <v>1</v>
      </c>
    </row>
    <row r="2085" spans="1:21" x14ac:dyDescent="0.3">
      <c r="A2085" t="s">
        <v>3414</v>
      </c>
      <c r="B2085" t="s">
        <v>3415</v>
      </c>
      <c r="D2085" t="s">
        <v>233</v>
      </c>
      <c r="E2085" t="s">
        <v>30</v>
      </c>
      <c r="F2085" s="6">
        <v>45199</v>
      </c>
      <c r="G2085">
        <v>100</v>
      </c>
      <c r="H2085">
        <v>87.92</v>
      </c>
      <c r="I2085">
        <v>0</v>
      </c>
      <c r="J2085">
        <v>0.87919999999999998</v>
      </c>
      <c r="M2085">
        <v>2023</v>
      </c>
      <c r="N2085" t="s">
        <v>51</v>
      </c>
      <c r="O2085" t="s">
        <v>47</v>
      </c>
      <c r="P2085">
        <v>0</v>
      </c>
      <c r="Q2085">
        <v>0</v>
      </c>
      <c r="R2085">
        <v>0</v>
      </c>
      <c r="S2085" t="s">
        <v>99</v>
      </c>
      <c r="T2085" t="s">
        <v>3417</v>
      </c>
      <c r="U2085">
        <v>1</v>
      </c>
    </row>
    <row r="2086" spans="1:21" x14ac:dyDescent="0.3">
      <c r="A2086" t="s">
        <v>3414</v>
      </c>
      <c r="B2086" t="s">
        <v>3415</v>
      </c>
      <c r="D2086" t="s">
        <v>233</v>
      </c>
      <c r="E2086" t="s">
        <v>30</v>
      </c>
      <c r="F2086" s="6">
        <v>45291</v>
      </c>
      <c r="G2086">
        <v>100</v>
      </c>
      <c r="H2086">
        <v>98</v>
      </c>
      <c r="I2086">
        <v>0.98</v>
      </c>
      <c r="J2086">
        <v>0.98</v>
      </c>
      <c r="M2086">
        <v>2023</v>
      </c>
      <c r="N2086" t="s">
        <v>57</v>
      </c>
      <c r="O2086" t="s">
        <v>47</v>
      </c>
      <c r="P2086">
        <v>0</v>
      </c>
      <c r="Q2086">
        <v>0</v>
      </c>
      <c r="R2086">
        <v>0</v>
      </c>
      <c r="S2086" t="s">
        <v>99</v>
      </c>
      <c r="T2086" t="s">
        <v>3418</v>
      </c>
      <c r="U2086">
        <v>1</v>
      </c>
    </row>
    <row r="2087" spans="1:21" x14ac:dyDescent="0.3">
      <c r="A2087" t="s">
        <v>3414</v>
      </c>
      <c r="B2087" t="s">
        <v>3415</v>
      </c>
      <c r="C2087" t="s">
        <v>129</v>
      </c>
      <c r="D2087" t="s">
        <v>233</v>
      </c>
      <c r="E2087" t="s">
        <v>30</v>
      </c>
      <c r="F2087" s="6">
        <v>45382</v>
      </c>
      <c r="G2087">
        <v>100</v>
      </c>
      <c r="H2087">
        <v>120.07</v>
      </c>
      <c r="I2087">
        <v>1.2007000000000001</v>
      </c>
      <c r="J2087">
        <v>1.2007000000000001</v>
      </c>
      <c r="M2087">
        <v>2024</v>
      </c>
      <c r="N2087" t="s">
        <v>38</v>
      </c>
      <c r="O2087" t="s">
        <v>71</v>
      </c>
      <c r="P2087">
        <v>0</v>
      </c>
      <c r="Q2087">
        <v>0</v>
      </c>
      <c r="R2087">
        <v>0</v>
      </c>
      <c r="S2087" t="s">
        <v>99</v>
      </c>
      <c r="T2087" t="s">
        <v>3419</v>
      </c>
      <c r="U2087">
        <v>1</v>
      </c>
    </row>
    <row r="2088" spans="1:21" x14ac:dyDescent="0.3">
      <c r="A2088" t="s">
        <v>3414</v>
      </c>
      <c r="B2088" t="s">
        <v>3415</v>
      </c>
      <c r="C2088" t="s">
        <v>129</v>
      </c>
      <c r="D2088" t="s">
        <v>233</v>
      </c>
      <c r="E2088" t="s">
        <v>30</v>
      </c>
      <c r="F2088" s="6">
        <v>45473</v>
      </c>
      <c r="G2088">
        <v>100</v>
      </c>
      <c r="H2088">
        <v>119.51</v>
      </c>
      <c r="I2088">
        <v>1.1951000000000001</v>
      </c>
      <c r="J2088">
        <v>1.1951000000000001</v>
      </c>
      <c r="M2088">
        <v>2024</v>
      </c>
      <c r="N2088" t="s">
        <v>44</v>
      </c>
      <c r="O2088" t="s">
        <v>71</v>
      </c>
      <c r="P2088">
        <v>0</v>
      </c>
      <c r="Q2088">
        <v>0</v>
      </c>
      <c r="R2088">
        <v>0</v>
      </c>
      <c r="S2088" t="s">
        <v>99</v>
      </c>
      <c r="T2088" t="s">
        <v>3420</v>
      </c>
      <c r="U2088">
        <v>1</v>
      </c>
    </row>
    <row r="2089" spans="1:21" x14ac:dyDescent="0.3">
      <c r="A2089" t="s">
        <v>3414</v>
      </c>
      <c r="B2089" t="s">
        <v>3415</v>
      </c>
      <c r="C2089" t="s">
        <v>129</v>
      </c>
      <c r="D2089" t="s">
        <v>233</v>
      </c>
      <c r="E2089" t="s">
        <v>30</v>
      </c>
      <c r="F2089" s="6">
        <v>45565</v>
      </c>
      <c r="G2089">
        <v>100</v>
      </c>
      <c r="H2089">
        <v>99.81</v>
      </c>
      <c r="I2089">
        <v>0.99809999999999999</v>
      </c>
      <c r="J2089">
        <v>0.99809999999999999</v>
      </c>
      <c r="M2089">
        <v>2024</v>
      </c>
      <c r="N2089" t="s">
        <v>51</v>
      </c>
      <c r="O2089" t="s">
        <v>78</v>
      </c>
      <c r="P2089">
        <v>0</v>
      </c>
      <c r="Q2089">
        <v>0</v>
      </c>
      <c r="R2089">
        <v>0</v>
      </c>
      <c r="S2089" t="s">
        <v>99</v>
      </c>
      <c r="T2089" t="s">
        <v>3421</v>
      </c>
      <c r="U2089">
        <v>1</v>
      </c>
    </row>
    <row r="2090" spans="1:21" x14ac:dyDescent="0.3">
      <c r="A2090" t="s">
        <v>3414</v>
      </c>
      <c r="B2090" t="s">
        <v>3415</v>
      </c>
      <c r="C2090" t="s">
        <v>129</v>
      </c>
      <c r="D2090" t="s">
        <v>233</v>
      </c>
      <c r="E2090" t="s">
        <v>30</v>
      </c>
      <c r="F2090" s="6">
        <v>45657</v>
      </c>
      <c r="G2090">
        <v>100</v>
      </c>
      <c r="H2090">
        <v>0</v>
      </c>
      <c r="I2090">
        <v>0</v>
      </c>
      <c r="J2090">
        <v>0</v>
      </c>
      <c r="M2090">
        <v>2024</v>
      </c>
      <c r="N2090" t="s">
        <v>57</v>
      </c>
      <c r="O2090" t="s">
        <v>78</v>
      </c>
      <c r="P2090">
        <v>0</v>
      </c>
      <c r="Q2090">
        <v>0</v>
      </c>
      <c r="R2090">
        <v>0</v>
      </c>
      <c r="S2090" t="s">
        <v>99</v>
      </c>
      <c r="T2090" t="s">
        <v>3422</v>
      </c>
      <c r="U2090">
        <v>1</v>
      </c>
    </row>
    <row r="2091" spans="1:21" x14ac:dyDescent="0.3">
      <c r="A2091" t="s">
        <v>3414</v>
      </c>
      <c r="B2091" t="s">
        <v>3415</v>
      </c>
      <c r="C2091" t="s">
        <v>129</v>
      </c>
      <c r="D2091" t="s">
        <v>233</v>
      </c>
      <c r="E2091" t="s">
        <v>30</v>
      </c>
      <c r="F2091" s="6">
        <v>45747</v>
      </c>
      <c r="G2091">
        <v>100</v>
      </c>
      <c r="H2091" t="s">
        <v>3423</v>
      </c>
      <c r="I2091">
        <v>1.3</v>
      </c>
      <c r="J2091">
        <v>1.7092000000000001</v>
      </c>
      <c r="K2091" t="s">
        <v>102</v>
      </c>
      <c r="L2091" t="s">
        <v>3424</v>
      </c>
      <c r="M2091">
        <v>2025</v>
      </c>
      <c r="N2091" t="s">
        <v>38</v>
      </c>
      <c r="O2091" t="s">
        <v>244</v>
      </c>
      <c r="P2091">
        <v>2</v>
      </c>
      <c r="Q2091">
        <v>2</v>
      </c>
      <c r="R2091">
        <v>0</v>
      </c>
      <c r="S2091" t="s">
        <v>104</v>
      </c>
      <c r="T2091" t="s">
        <v>3425</v>
      </c>
      <c r="U2091">
        <v>31</v>
      </c>
    </row>
    <row r="2092" spans="1:21" x14ac:dyDescent="0.3">
      <c r="A2092" t="s">
        <v>3414</v>
      </c>
      <c r="B2092" t="s">
        <v>3415</v>
      </c>
      <c r="C2092" t="s">
        <v>129</v>
      </c>
      <c r="D2092" t="s">
        <v>233</v>
      </c>
      <c r="E2092" t="s">
        <v>30</v>
      </c>
      <c r="F2092" s="6">
        <v>45838</v>
      </c>
      <c r="G2092">
        <v>100</v>
      </c>
      <c r="H2092" t="s">
        <v>3426</v>
      </c>
      <c r="I2092">
        <v>1.0924</v>
      </c>
      <c r="J2092">
        <v>1.0924</v>
      </c>
      <c r="K2092" t="s">
        <v>102</v>
      </c>
      <c r="L2092" t="s">
        <v>3427</v>
      </c>
      <c r="M2092">
        <v>2025</v>
      </c>
      <c r="N2092" t="s">
        <v>44</v>
      </c>
      <c r="O2092" t="s">
        <v>244</v>
      </c>
      <c r="P2092">
        <v>2</v>
      </c>
      <c r="Q2092">
        <v>2</v>
      </c>
      <c r="R2092">
        <v>0</v>
      </c>
      <c r="S2092" t="s">
        <v>104</v>
      </c>
      <c r="T2092" t="s">
        <v>3428</v>
      </c>
      <c r="U2092">
        <v>30</v>
      </c>
    </row>
    <row r="2093" spans="1:21" x14ac:dyDescent="0.3">
      <c r="A2093" t="s">
        <v>3414</v>
      </c>
      <c r="B2093" t="s">
        <v>3415</v>
      </c>
      <c r="C2093" t="s">
        <v>129</v>
      </c>
      <c r="D2093" t="s">
        <v>233</v>
      </c>
      <c r="E2093" t="s">
        <v>30</v>
      </c>
      <c r="F2093" s="6">
        <v>46022</v>
      </c>
      <c r="G2093">
        <v>100</v>
      </c>
      <c r="I2093">
        <v>0</v>
      </c>
      <c r="J2093">
        <v>0</v>
      </c>
      <c r="K2093" t="s">
        <v>102</v>
      </c>
      <c r="M2093">
        <v>2025</v>
      </c>
      <c r="N2093" t="s">
        <v>57</v>
      </c>
      <c r="O2093" t="s">
        <v>103</v>
      </c>
      <c r="P2093">
        <v>2</v>
      </c>
      <c r="Q2093">
        <v>2</v>
      </c>
      <c r="R2093">
        <v>0</v>
      </c>
      <c r="S2093" t="s">
        <v>104</v>
      </c>
      <c r="T2093" t="s">
        <v>3429</v>
      </c>
      <c r="U2093">
        <v>31</v>
      </c>
    </row>
    <row r="2094" spans="1:21" x14ac:dyDescent="0.3">
      <c r="A2094" t="s">
        <v>3430</v>
      </c>
      <c r="B2094" t="s">
        <v>3431</v>
      </c>
      <c r="C2094" t="s">
        <v>2862</v>
      </c>
      <c r="D2094" t="s">
        <v>233</v>
      </c>
      <c r="E2094" t="s">
        <v>30</v>
      </c>
      <c r="F2094" s="6">
        <v>45107</v>
      </c>
      <c r="G2094">
        <v>63</v>
      </c>
      <c r="H2094">
        <v>62</v>
      </c>
      <c r="I2094">
        <v>0.98412698412698407</v>
      </c>
      <c r="J2094">
        <v>0.98412698412698407</v>
      </c>
      <c r="K2094" t="s">
        <v>31</v>
      </c>
      <c r="L2094" t="s">
        <v>31</v>
      </c>
      <c r="M2094">
        <v>2023</v>
      </c>
      <c r="N2094" t="s">
        <v>44</v>
      </c>
      <c r="O2094" t="s">
        <v>33</v>
      </c>
      <c r="P2094">
        <v>0</v>
      </c>
      <c r="Q2094">
        <v>0</v>
      </c>
      <c r="R2094">
        <v>0</v>
      </c>
      <c r="S2094" t="s">
        <v>99</v>
      </c>
      <c r="T2094" t="s">
        <v>3432</v>
      </c>
      <c r="U2094">
        <v>1</v>
      </c>
    </row>
    <row r="2095" spans="1:21" x14ac:dyDescent="0.3">
      <c r="A2095" t="s">
        <v>3430</v>
      </c>
      <c r="B2095" t="s">
        <v>3431</v>
      </c>
      <c r="C2095" t="s">
        <v>2862</v>
      </c>
      <c r="D2095" t="s">
        <v>233</v>
      </c>
      <c r="E2095" t="s">
        <v>30</v>
      </c>
      <c r="F2095" s="6">
        <v>45291</v>
      </c>
      <c r="G2095">
        <v>100</v>
      </c>
      <c r="H2095">
        <v>100</v>
      </c>
      <c r="I2095">
        <v>1</v>
      </c>
      <c r="J2095">
        <v>1</v>
      </c>
      <c r="K2095" t="s">
        <v>31</v>
      </c>
      <c r="L2095" t="s">
        <v>31</v>
      </c>
      <c r="M2095">
        <v>2023</v>
      </c>
      <c r="N2095" t="s">
        <v>57</v>
      </c>
      <c r="O2095" t="s">
        <v>47</v>
      </c>
      <c r="P2095">
        <v>0</v>
      </c>
      <c r="Q2095">
        <v>0</v>
      </c>
      <c r="R2095">
        <v>0</v>
      </c>
      <c r="S2095" t="s">
        <v>99</v>
      </c>
      <c r="T2095" t="s">
        <v>3433</v>
      </c>
      <c r="U2095">
        <v>1</v>
      </c>
    </row>
    <row r="2096" spans="1:21" x14ac:dyDescent="0.3">
      <c r="A2096" t="s">
        <v>3430</v>
      </c>
      <c r="B2096" t="s">
        <v>3431</v>
      </c>
      <c r="C2096" t="s">
        <v>2862</v>
      </c>
      <c r="D2096" t="s">
        <v>233</v>
      </c>
      <c r="E2096" t="s">
        <v>30</v>
      </c>
      <c r="F2096" s="6">
        <v>45473</v>
      </c>
      <c r="G2096">
        <v>60.93</v>
      </c>
      <c r="H2096">
        <v>61.45</v>
      </c>
      <c r="I2096">
        <v>1</v>
      </c>
      <c r="J2096">
        <v>1</v>
      </c>
      <c r="K2096" t="s">
        <v>31</v>
      </c>
      <c r="L2096" t="s">
        <v>31</v>
      </c>
      <c r="M2096">
        <v>2024</v>
      </c>
      <c r="N2096" t="s">
        <v>44</v>
      </c>
      <c r="O2096" t="s">
        <v>71</v>
      </c>
      <c r="P2096">
        <v>0</v>
      </c>
      <c r="Q2096">
        <v>0</v>
      </c>
      <c r="R2096">
        <v>0</v>
      </c>
      <c r="S2096" t="s">
        <v>99</v>
      </c>
      <c r="T2096" t="s">
        <v>3434</v>
      </c>
      <c r="U2096">
        <v>1</v>
      </c>
    </row>
    <row r="2097" spans="1:21" x14ac:dyDescent="0.3">
      <c r="A2097" t="s">
        <v>3435</v>
      </c>
      <c r="B2097" t="s">
        <v>3436</v>
      </c>
      <c r="C2097" t="s">
        <v>3437</v>
      </c>
      <c r="D2097" t="s">
        <v>233</v>
      </c>
      <c r="E2097" t="s">
        <v>30</v>
      </c>
      <c r="F2097" s="6">
        <v>45107</v>
      </c>
      <c r="G2097">
        <v>78</v>
      </c>
      <c r="H2097">
        <v>73</v>
      </c>
      <c r="I2097">
        <v>0.9358974358974359</v>
      </c>
      <c r="J2097">
        <v>0.9358974358974359</v>
      </c>
      <c r="K2097" t="s">
        <v>31</v>
      </c>
      <c r="L2097" t="s">
        <v>31</v>
      </c>
      <c r="M2097">
        <v>2023</v>
      </c>
      <c r="N2097" t="s">
        <v>44</v>
      </c>
      <c r="O2097" t="s">
        <v>33</v>
      </c>
      <c r="P2097">
        <v>0</v>
      </c>
      <c r="Q2097">
        <v>0</v>
      </c>
      <c r="R2097">
        <v>0</v>
      </c>
      <c r="S2097" t="s">
        <v>99</v>
      </c>
      <c r="T2097" t="s">
        <v>3438</v>
      </c>
      <c r="U2097">
        <v>1</v>
      </c>
    </row>
    <row r="2098" spans="1:21" x14ac:dyDescent="0.3">
      <c r="A2098" t="s">
        <v>3435</v>
      </c>
      <c r="B2098" t="s">
        <v>3436</v>
      </c>
      <c r="C2098" t="s">
        <v>3437</v>
      </c>
      <c r="D2098" t="s">
        <v>233</v>
      </c>
      <c r="E2098" t="s">
        <v>30</v>
      </c>
      <c r="F2098" s="6">
        <v>45291</v>
      </c>
      <c r="G2098">
        <v>100</v>
      </c>
      <c r="H2098">
        <v>96</v>
      </c>
      <c r="I2098">
        <v>0.96</v>
      </c>
      <c r="J2098">
        <v>0.96</v>
      </c>
      <c r="K2098" t="s">
        <v>31</v>
      </c>
      <c r="L2098" t="s">
        <v>31</v>
      </c>
      <c r="M2098">
        <v>2023</v>
      </c>
      <c r="N2098" t="s">
        <v>57</v>
      </c>
      <c r="O2098" t="s">
        <v>47</v>
      </c>
      <c r="P2098">
        <v>0</v>
      </c>
      <c r="Q2098">
        <v>0</v>
      </c>
      <c r="R2098">
        <v>0</v>
      </c>
      <c r="S2098" t="s">
        <v>99</v>
      </c>
      <c r="T2098" t="s">
        <v>3439</v>
      </c>
      <c r="U2098">
        <v>1</v>
      </c>
    </row>
    <row r="2099" spans="1:21" x14ac:dyDescent="0.3">
      <c r="A2099" t="s">
        <v>3435</v>
      </c>
      <c r="B2099" t="s">
        <v>3436</v>
      </c>
      <c r="C2099" t="s">
        <v>3437</v>
      </c>
      <c r="D2099" t="s">
        <v>233</v>
      </c>
      <c r="E2099" t="s">
        <v>30</v>
      </c>
      <c r="F2099" s="6">
        <v>45473</v>
      </c>
      <c r="G2099">
        <v>42.89</v>
      </c>
      <c r="H2099">
        <v>41.67</v>
      </c>
      <c r="I2099">
        <v>0.97155514105852181</v>
      </c>
      <c r="J2099">
        <v>0.97155514105852181</v>
      </c>
      <c r="K2099" t="s">
        <v>31</v>
      </c>
      <c r="L2099" t="s">
        <v>31</v>
      </c>
      <c r="M2099">
        <v>2024</v>
      </c>
      <c r="N2099" t="s">
        <v>44</v>
      </c>
      <c r="O2099" t="s">
        <v>71</v>
      </c>
      <c r="P2099">
        <v>0</v>
      </c>
      <c r="Q2099">
        <v>0</v>
      </c>
      <c r="R2099">
        <v>0</v>
      </c>
      <c r="S2099" t="s">
        <v>99</v>
      </c>
      <c r="T2099" t="s">
        <v>3440</v>
      </c>
      <c r="U2099">
        <v>1</v>
      </c>
    </row>
    <row r="2100" spans="1:21" x14ac:dyDescent="0.3">
      <c r="A2100" t="s">
        <v>3441</v>
      </c>
      <c r="B2100" t="s">
        <v>3442</v>
      </c>
      <c r="C2100" t="s">
        <v>3437</v>
      </c>
      <c r="D2100" t="s">
        <v>233</v>
      </c>
      <c r="E2100" t="s">
        <v>30</v>
      </c>
      <c r="F2100" s="6">
        <v>45473</v>
      </c>
      <c r="G2100">
        <v>42.15</v>
      </c>
      <c r="H2100">
        <v>90</v>
      </c>
      <c r="I2100">
        <v>1</v>
      </c>
      <c r="J2100">
        <v>1</v>
      </c>
      <c r="K2100" t="s">
        <v>31</v>
      </c>
      <c r="L2100" t="s">
        <v>31</v>
      </c>
      <c r="M2100">
        <v>2024</v>
      </c>
      <c r="N2100" t="s">
        <v>44</v>
      </c>
      <c r="O2100" t="s">
        <v>71</v>
      </c>
      <c r="P2100">
        <v>0</v>
      </c>
      <c r="Q2100">
        <v>0</v>
      </c>
      <c r="R2100">
        <v>0</v>
      </c>
      <c r="S2100" t="s">
        <v>99</v>
      </c>
      <c r="T2100" t="s">
        <v>3443</v>
      </c>
      <c r="U2100">
        <v>1</v>
      </c>
    </row>
    <row r="2101" spans="1:21" x14ac:dyDescent="0.3">
      <c r="A2101" t="s">
        <v>3444</v>
      </c>
      <c r="B2101" t="s">
        <v>3445</v>
      </c>
      <c r="C2101" t="s">
        <v>3437</v>
      </c>
      <c r="D2101" t="s">
        <v>233</v>
      </c>
      <c r="E2101" t="s">
        <v>30</v>
      </c>
      <c r="F2101" s="6">
        <v>45473</v>
      </c>
      <c r="G2101">
        <v>58.9</v>
      </c>
      <c r="H2101">
        <v>60</v>
      </c>
      <c r="I2101">
        <v>1</v>
      </c>
      <c r="J2101">
        <v>1</v>
      </c>
      <c r="K2101" t="s">
        <v>31</v>
      </c>
      <c r="L2101" t="s">
        <v>31</v>
      </c>
      <c r="M2101">
        <v>2024</v>
      </c>
      <c r="N2101" t="s">
        <v>44</v>
      </c>
      <c r="O2101" t="s">
        <v>71</v>
      </c>
      <c r="P2101">
        <v>0</v>
      </c>
      <c r="Q2101">
        <v>0</v>
      </c>
      <c r="R2101">
        <v>0</v>
      </c>
      <c r="S2101" t="s">
        <v>99</v>
      </c>
      <c r="T2101" t="s">
        <v>3446</v>
      </c>
      <c r="U2101">
        <v>1</v>
      </c>
    </row>
    <row r="2102" spans="1:21" x14ac:dyDescent="0.3">
      <c r="A2102" t="s">
        <v>3447</v>
      </c>
      <c r="B2102" t="s">
        <v>3448</v>
      </c>
      <c r="C2102" t="s">
        <v>3437</v>
      </c>
      <c r="D2102" t="s">
        <v>233</v>
      </c>
      <c r="E2102" t="s">
        <v>30</v>
      </c>
      <c r="F2102" s="6">
        <v>45473</v>
      </c>
      <c r="G2102">
        <v>36.28</v>
      </c>
      <c r="H2102">
        <v>35</v>
      </c>
      <c r="I2102">
        <v>0.96471885336273422</v>
      </c>
      <c r="J2102">
        <v>0.96471885336273422</v>
      </c>
      <c r="K2102" t="s">
        <v>31</v>
      </c>
      <c r="L2102" t="s">
        <v>31</v>
      </c>
      <c r="M2102">
        <v>2024</v>
      </c>
      <c r="N2102" t="s">
        <v>44</v>
      </c>
      <c r="O2102" t="s">
        <v>71</v>
      </c>
      <c r="P2102">
        <v>0</v>
      </c>
      <c r="Q2102">
        <v>0</v>
      </c>
      <c r="R2102">
        <v>0</v>
      </c>
      <c r="S2102" t="s">
        <v>99</v>
      </c>
      <c r="T2102" t="s">
        <v>3449</v>
      </c>
      <c r="U2102">
        <v>1</v>
      </c>
    </row>
    <row r="2103" spans="1:21" x14ac:dyDescent="0.3">
      <c r="A2103" t="s">
        <v>3450</v>
      </c>
      <c r="B2103" t="s">
        <v>3451</v>
      </c>
      <c r="C2103" t="s">
        <v>3437</v>
      </c>
      <c r="D2103" t="s">
        <v>233</v>
      </c>
      <c r="E2103" t="s">
        <v>30</v>
      </c>
      <c r="F2103" s="6">
        <v>45473</v>
      </c>
      <c r="G2103">
        <v>57.55</v>
      </c>
      <c r="H2103">
        <v>61.67</v>
      </c>
      <c r="I2103">
        <v>1</v>
      </c>
      <c r="J2103">
        <v>1</v>
      </c>
      <c r="K2103" t="s">
        <v>31</v>
      </c>
      <c r="L2103" t="s">
        <v>31</v>
      </c>
      <c r="M2103">
        <v>2024</v>
      </c>
      <c r="N2103" t="s">
        <v>44</v>
      </c>
      <c r="O2103" t="s">
        <v>71</v>
      </c>
      <c r="P2103">
        <v>0</v>
      </c>
      <c r="Q2103">
        <v>0</v>
      </c>
      <c r="R2103">
        <v>0</v>
      </c>
      <c r="S2103" t="s">
        <v>99</v>
      </c>
      <c r="T2103" t="s">
        <v>3452</v>
      </c>
      <c r="U2103">
        <v>1</v>
      </c>
    </row>
    <row r="2104" spans="1:21" x14ac:dyDescent="0.3">
      <c r="A2104" t="s">
        <v>3453</v>
      </c>
      <c r="B2104" t="s">
        <v>3454</v>
      </c>
      <c r="C2104" t="s">
        <v>2937</v>
      </c>
      <c r="D2104" t="s">
        <v>233</v>
      </c>
      <c r="E2104" t="s">
        <v>30</v>
      </c>
      <c r="F2104" s="6">
        <v>45107</v>
      </c>
      <c r="G2104">
        <v>58</v>
      </c>
      <c r="H2104">
        <v>62</v>
      </c>
      <c r="I2104">
        <v>1.068965517241379</v>
      </c>
      <c r="J2104">
        <v>1.068965517241379</v>
      </c>
      <c r="K2104" t="s">
        <v>31</v>
      </c>
      <c r="L2104" t="s">
        <v>31</v>
      </c>
      <c r="M2104">
        <v>2023</v>
      </c>
      <c r="N2104" t="s">
        <v>44</v>
      </c>
      <c r="O2104" t="s">
        <v>33</v>
      </c>
      <c r="P2104">
        <v>0</v>
      </c>
      <c r="Q2104">
        <v>0</v>
      </c>
      <c r="R2104">
        <v>0</v>
      </c>
      <c r="S2104" t="s">
        <v>99</v>
      </c>
      <c r="T2104" t="s">
        <v>3455</v>
      </c>
      <c r="U2104">
        <v>1</v>
      </c>
    </row>
    <row r="2105" spans="1:21" x14ac:dyDescent="0.3">
      <c r="A2105" t="s">
        <v>3453</v>
      </c>
      <c r="B2105" t="s">
        <v>3454</v>
      </c>
      <c r="C2105" t="s">
        <v>2937</v>
      </c>
      <c r="D2105" t="s">
        <v>233</v>
      </c>
      <c r="E2105" t="s">
        <v>30</v>
      </c>
      <c r="F2105" s="6">
        <v>45291</v>
      </c>
      <c r="G2105">
        <v>100</v>
      </c>
      <c r="H2105">
        <v>92.5</v>
      </c>
      <c r="I2105">
        <v>0.92500000000000004</v>
      </c>
      <c r="J2105">
        <v>0.92500000000000004</v>
      </c>
      <c r="K2105" t="s">
        <v>31</v>
      </c>
      <c r="L2105" t="s">
        <v>31</v>
      </c>
      <c r="M2105">
        <v>2023</v>
      </c>
      <c r="N2105" t="s">
        <v>57</v>
      </c>
      <c r="O2105" t="s">
        <v>47</v>
      </c>
      <c r="P2105">
        <v>0</v>
      </c>
      <c r="Q2105">
        <v>0</v>
      </c>
      <c r="R2105">
        <v>0</v>
      </c>
      <c r="S2105" t="s">
        <v>99</v>
      </c>
      <c r="T2105" t="s">
        <v>3456</v>
      </c>
      <c r="U2105">
        <v>1</v>
      </c>
    </row>
    <row r="2106" spans="1:21" x14ac:dyDescent="0.3">
      <c r="A2106" t="s">
        <v>3457</v>
      </c>
      <c r="B2106" t="s">
        <v>3458</v>
      </c>
      <c r="C2106" t="s">
        <v>717</v>
      </c>
      <c r="D2106" t="s">
        <v>233</v>
      </c>
      <c r="E2106" t="s">
        <v>30</v>
      </c>
      <c r="F2106" s="6">
        <v>45107</v>
      </c>
      <c r="G2106">
        <v>94</v>
      </c>
      <c r="H2106">
        <v>91</v>
      </c>
      <c r="I2106">
        <v>0.96808510638297873</v>
      </c>
      <c r="J2106">
        <v>0.96808510638297873</v>
      </c>
      <c r="K2106" t="s">
        <v>31</v>
      </c>
      <c r="L2106" t="s">
        <v>31</v>
      </c>
      <c r="M2106">
        <v>2023</v>
      </c>
      <c r="N2106" t="s">
        <v>44</v>
      </c>
      <c r="O2106" t="s">
        <v>33</v>
      </c>
      <c r="P2106">
        <v>0</v>
      </c>
      <c r="Q2106">
        <v>0</v>
      </c>
      <c r="R2106">
        <v>0</v>
      </c>
      <c r="S2106" t="s">
        <v>99</v>
      </c>
      <c r="T2106" t="s">
        <v>3459</v>
      </c>
      <c r="U2106">
        <v>1</v>
      </c>
    </row>
    <row r="2107" spans="1:21" x14ac:dyDescent="0.3">
      <c r="A2107" t="s">
        <v>3457</v>
      </c>
      <c r="B2107" t="s">
        <v>3458</v>
      </c>
      <c r="C2107" t="s">
        <v>3331</v>
      </c>
      <c r="D2107" t="s">
        <v>233</v>
      </c>
      <c r="E2107" t="s">
        <v>30</v>
      </c>
      <c r="F2107" s="6">
        <v>45291</v>
      </c>
      <c r="G2107">
        <v>100</v>
      </c>
      <c r="H2107">
        <v>99.88</v>
      </c>
      <c r="I2107">
        <v>0.99879999999999991</v>
      </c>
      <c r="J2107">
        <v>0.99879999999999991</v>
      </c>
      <c r="K2107" t="s">
        <v>31</v>
      </c>
      <c r="L2107" t="s">
        <v>31</v>
      </c>
      <c r="M2107">
        <v>2023</v>
      </c>
      <c r="N2107" t="s">
        <v>57</v>
      </c>
      <c r="O2107" t="s">
        <v>47</v>
      </c>
      <c r="P2107">
        <v>0</v>
      </c>
      <c r="Q2107">
        <v>0</v>
      </c>
      <c r="R2107">
        <v>0</v>
      </c>
      <c r="S2107" t="s">
        <v>99</v>
      </c>
      <c r="T2107" t="s">
        <v>3460</v>
      </c>
      <c r="U2107">
        <v>1</v>
      </c>
    </row>
    <row r="2108" spans="1:21" x14ac:dyDescent="0.3">
      <c r="A2108" t="s">
        <v>3461</v>
      </c>
      <c r="B2108" t="s">
        <v>3462</v>
      </c>
      <c r="D2108" t="s">
        <v>233</v>
      </c>
      <c r="E2108" t="s">
        <v>30</v>
      </c>
      <c r="F2108" s="6">
        <v>45107</v>
      </c>
      <c r="G2108">
        <v>100</v>
      </c>
      <c r="H2108">
        <v>110.67</v>
      </c>
      <c r="I2108">
        <v>1.1067</v>
      </c>
      <c r="J2108">
        <v>1.1067</v>
      </c>
      <c r="M2108">
        <v>2023</v>
      </c>
      <c r="N2108" t="s">
        <v>44</v>
      </c>
      <c r="O2108" t="s">
        <v>33</v>
      </c>
      <c r="P2108">
        <v>0</v>
      </c>
      <c r="Q2108">
        <v>0</v>
      </c>
      <c r="R2108">
        <v>0</v>
      </c>
      <c r="S2108" t="s">
        <v>99</v>
      </c>
      <c r="T2108" t="s">
        <v>3463</v>
      </c>
      <c r="U2108">
        <v>1</v>
      </c>
    </row>
    <row r="2109" spans="1:21" x14ac:dyDescent="0.3">
      <c r="A2109" t="s">
        <v>3461</v>
      </c>
      <c r="B2109" t="s">
        <v>3462</v>
      </c>
      <c r="D2109" t="s">
        <v>233</v>
      </c>
      <c r="E2109" t="s">
        <v>30</v>
      </c>
      <c r="F2109" s="6">
        <v>45199</v>
      </c>
      <c r="G2109">
        <v>100</v>
      </c>
      <c r="H2109">
        <v>93.76</v>
      </c>
      <c r="I2109">
        <v>0</v>
      </c>
      <c r="J2109">
        <v>0.9376000000000001</v>
      </c>
      <c r="M2109">
        <v>2023</v>
      </c>
      <c r="N2109" t="s">
        <v>51</v>
      </c>
      <c r="O2109" t="s">
        <v>47</v>
      </c>
      <c r="P2109">
        <v>0</v>
      </c>
      <c r="Q2109">
        <v>0</v>
      </c>
      <c r="R2109">
        <v>0</v>
      </c>
      <c r="S2109" t="s">
        <v>99</v>
      </c>
      <c r="T2109" t="s">
        <v>3464</v>
      </c>
      <c r="U2109">
        <v>1</v>
      </c>
    </row>
    <row r="2110" spans="1:21" x14ac:dyDescent="0.3">
      <c r="A2110" t="s">
        <v>3461</v>
      </c>
      <c r="B2110" t="s">
        <v>3462</v>
      </c>
      <c r="D2110" t="s">
        <v>233</v>
      </c>
      <c r="E2110" t="s">
        <v>30</v>
      </c>
      <c r="F2110" s="6">
        <v>45291</v>
      </c>
      <c r="G2110">
        <v>100</v>
      </c>
      <c r="H2110">
        <v>94.39</v>
      </c>
      <c r="I2110">
        <v>0.94389999999999996</v>
      </c>
      <c r="J2110">
        <v>0.94389999999999996</v>
      </c>
      <c r="M2110">
        <v>2023</v>
      </c>
      <c r="N2110" t="s">
        <v>57</v>
      </c>
      <c r="O2110" t="s">
        <v>47</v>
      </c>
      <c r="P2110">
        <v>0</v>
      </c>
      <c r="Q2110">
        <v>0</v>
      </c>
      <c r="R2110">
        <v>0</v>
      </c>
      <c r="S2110" t="s">
        <v>99</v>
      </c>
      <c r="T2110" t="s">
        <v>3465</v>
      </c>
      <c r="U2110">
        <v>1</v>
      </c>
    </row>
    <row r="2111" spans="1:21" x14ac:dyDescent="0.3">
      <c r="A2111" t="s">
        <v>3461</v>
      </c>
      <c r="B2111" t="s">
        <v>3462</v>
      </c>
      <c r="C2111" t="s">
        <v>129</v>
      </c>
      <c r="D2111" t="s">
        <v>233</v>
      </c>
      <c r="E2111" t="s">
        <v>30</v>
      </c>
      <c r="F2111" s="6">
        <v>45382</v>
      </c>
      <c r="G2111">
        <v>100</v>
      </c>
      <c r="H2111">
        <v>99.01</v>
      </c>
      <c r="I2111">
        <v>0.99010000000000009</v>
      </c>
      <c r="J2111">
        <v>0.99010000000000009</v>
      </c>
      <c r="M2111">
        <v>2024</v>
      </c>
      <c r="N2111" t="s">
        <v>38</v>
      </c>
      <c r="O2111" t="s">
        <v>71</v>
      </c>
      <c r="P2111">
        <v>0</v>
      </c>
      <c r="Q2111">
        <v>0</v>
      </c>
      <c r="R2111">
        <v>0</v>
      </c>
      <c r="S2111" t="s">
        <v>99</v>
      </c>
      <c r="T2111" t="s">
        <v>3466</v>
      </c>
      <c r="U2111">
        <v>1</v>
      </c>
    </row>
    <row r="2112" spans="1:21" x14ac:dyDescent="0.3">
      <c r="A2112" t="s">
        <v>3461</v>
      </c>
      <c r="B2112" t="s">
        <v>3462</v>
      </c>
      <c r="C2112" t="s">
        <v>129</v>
      </c>
      <c r="D2112" t="s">
        <v>233</v>
      </c>
      <c r="E2112" t="s">
        <v>30</v>
      </c>
      <c r="F2112" s="6">
        <v>45473</v>
      </c>
      <c r="G2112">
        <v>100</v>
      </c>
      <c r="H2112">
        <v>112.12</v>
      </c>
      <c r="I2112">
        <v>1.1212</v>
      </c>
      <c r="J2112">
        <v>1.1212</v>
      </c>
      <c r="M2112">
        <v>2024</v>
      </c>
      <c r="N2112" t="s">
        <v>44</v>
      </c>
      <c r="O2112" t="s">
        <v>71</v>
      </c>
      <c r="P2112">
        <v>0</v>
      </c>
      <c r="Q2112">
        <v>0</v>
      </c>
      <c r="R2112">
        <v>0</v>
      </c>
      <c r="S2112" t="s">
        <v>99</v>
      </c>
      <c r="T2112" t="s">
        <v>3467</v>
      </c>
      <c r="U2112">
        <v>1</v>
      </c>
    </row>
    <row r="2113" spans="1:21" x14ac:dyDescent="0.3">
      <c r="A2113" t="s">
        <v>3461</v>
      </c>
      <c r="B2113" t="s">
        <v>3462</v>
      </c>
      <c r="C2113" t="s">
        <v>129</v>
      </c>
      <c r="D2113" t="s">
        <v>233</v>
      </c>
      <c r="E2113" t="s">
        <v>30</v>
      </c>
      <c r="F2113" s="6">
        <v>45565</v>
      </c>
      <c r="G2113">
        <v>100</v>
      </c>
      <c r="H2113">
        <v>100.19</v>
      </c>
      <c r="I2113">
        <v>1.0019</v>
      </c>
      <c r="J2113">
        <v>1.0019</v>
      </c>
      <c r="M2113">
        <v>2024</v>
      </c>
      <c r="N2113" t="s">
        <v>51</v>
      </c>
      <c r="O2113" t="s">
        <v>78</v>
      </c>
      <c r="P2113">
        <v>0</v>
      </c>
      <c r="Q2113">
        <v>0</v>
      </c>
      <c r="R2113">
        <v>0</v>
      </c>
      <c r="S2113" t="s">
        <v>99</v>
      </c>
      <c r="T2113" t="s">
        <v>3468</v>
      </c>
      <c r="U2113">
        <v>1</v>
      </c>
    </row>
    <row r="2114" spans="1:21" x14ac:dyDescent="0.3">
      <c r="A2114" t="s">
        <v>3461</v>
      </c>
      <c r="B2114" t="s">
        <v>3462</v>
      </c>
      <c r="C2114" t="s">
        <v>129</v>
      </c>
      <c r="D2114" t="s">
        <v>233</v>
      </c>
      <c r="E2114" t="s">
        <v>30</v>
      </c>
      <c r="F2114" s="6">
        <v>45657</v>
      </c>
      <c r="G2114">
        <v>100</v>
      </c>
      <c r="H2114">
        <v>0</v>
      </c>
      <c r="I2114">
        <v>0</v>
      </c>
      <c r="J2114">
        <v>0</v>
      </c>
      <c r="M2114">
        <v>2024</v>
      </c>
      <c r="N2114" t="s">
        <v>57</v>
      </c>
      <c r="O2114" t="s">
        <v>78</v>
      </c>
      <c r="P2114">
        <v>0</v>
      </c>
      <c r="Q2114">
        <v>0</v>
      </c>
      <c r="R2114">
        <v>0</v>
      </c>
      <c r="S2114" t="s">
        <v>99</v>
      </c>
      <c r="T2114" t="s">
        <v>3469</v>
      </c>
      <c r="U2114">
        <v>1</v>
      </c>
    </row>
    <row r="2115" spans="1:21" x14ac:dyDescent="0.3">
      <c r="A2115" t="s">
        <v>3461</v>
      </c>
      <c r="B2115" t="s">
        <v>3462</v>
      </c>
      <c r="C2115" t="s">
        <v>129</v>
      </c>
      <c r="D2115" t="s">
        <v>233</v>
      </c>
      <c r="E2115" t="s">
        <v>30</v>
      </c>
      <c r="F2115" s="6">
        <v>45747</v>
      </c>
      <c r="G2115">
        <v>100</v>
      </c>
      <c r="H2115" t="s">
        <v>3470</v>
      </c>
      <c r="I2115">
        <v>0.93680000000000008</v>
      </c>
      <c r="J2115">
        <v>0.93680000000000008</v>
      </c>
      <c r="K2115" t="s">
        <v>102</v>
      </c>
      <c r="L2115" t="s">
        <v>3471</v>
      </c>
      <c r="M2115">
        <v>2025</v>
      </c>
      <c r="N2115" t="s">
        <v>38</v>
      </c>
      <c r="O2115" t="s">
        <v>244</v>
      </c>
      <c r="P2115">
        <v>2</v>
      </c>
      <c r="Q2115">
        <v>2</v>
      </c>
      <c r="R2115">
        <v>0</v>
      </c>
      <c r="S2115" t="s">
        <v>104</v>
      </c>
      <c r="T2115" t="s">
        <v>3472</v>
      </c>
      <c r="U2115">
        <v>31</v>
      </c>
    </row>
    <row r="2116" spans="1:21" x14ac:dyDescent="0.3">
      <c r="A2116" t="s">
        <v>3461</v>
      </c>
      <c r="B2116" t="s">
        <v>3462</v>
      </c>
      <c r="C2116" t="s">
        <v>129</v>
      </c>
      <c r="D2116" t="s">
        <v>233</v>
      </c>
      <c r="E2116" t="s">
        <v>30</v>
      </c>
      <c r="F2116" s="6">
        <v>45838</v>
      </c>
      <c r="G2116">
        <v>100</v>
      </c>
      <c r="H2116" t="s">
        <v>3473</v>
      </c>
      <c r="I2116">
        <v>1.0127999999999999</v>
      </c>
      <c r="J2116">
        <v>1.0127999999999999</v>
      </c>
      <c r="K2116" t="s">
        <v>102</v>
      </c>
      <c r="L2116" t="s">
        <v>3474</v>
      </c>
      <c r="M2116">
        <v>2025</v>
      </c>
      <c r="N2116" t="s">
        <v>44</v>
      </c>
      <c r="O2116" t="s">
        <v>244</v>
      </c>
      <c r="P2116">
        <v>2</v>
      </c>
      <c r="Q2116">
        <v>2</v>
      </c>
      <c r="R2116">
        <v>0</v>
      </c>
      <c r="S2116" t="s">
        <v>104</v>
      </c>
      <c r="T2116" t="s">
        <v>3475</v>
      </c>
      <c r="U2116">
        <v>30</v>
      </c>
    </row>
    <row r="2117" spans="1:21" x14ac:dyDescent="0.3">
      <c r="A2117" t="s">
        <v>3461</v>
      </c>
      <c r="B2117" t="s">
        <v>3462</v>
      </c>
      <c r="C2117" t="s">
        <v>129</v>
      </c>
      <c r="D2117" t="s">
        <v>233</v>
      </c>
      <c r="E2117" t="s">
        <v>30</v>
      </c>
      <c r="F2117" s="6">
        <v>46022</v>
      </c>
      <c r="G2117">
        <v>100</v>
      </c>
      <c r="I2117">
        <v>0</v>
      </c>
      <c r="J2117">
        <v>0</v>
      </c>
      <c r="K2117" t="s">
        <v>102</v>
      </c>
      <c r="M2117">
        <v>2025</v>
      </c>
      <c r="N2117" t="s">
        <v>57</v>
      </c>
      <c r="O2117" t="s">
        <v>103</v>
      </c>
      <c r="P2117">
        <v>2</v>
      </c>
      <c r="Q2117">
        <v>2</v>
      </c>
      <c r="R2117">
        <v>0</v>
      </c>
      <c r="S2117" t="s">
        <v>104</v>
      </c>
      <c r="T2117" t="s">
        <v>3476</v>
      </c>
      <c r="U2117">
        <v>31</v>
      </c>
    </row>
    <row r="2118" spans="1:21" x14ac:dyDescent="0.3">
      <c r="A2118" t="s">
        <v>3477</v>
      </c>
      <c r="B2118" t="s">
        <v>3478</v>
      </c>
      <c r="C2118" t="s">
        <v>174</v>
      </c>
      <c r="D2118" t="s">
        <v>233</v>
      </c>
      <c r="E2118" t="s">
        <v>30</v>
      </c>
      <c r="F2118" s="6">
        <v>45107</v>
      </c>
      <c r="G2118">
        <v>50</v>
      </c>
      <c r="H2118">
        <v>56</v>
      </c>
      <c r="I2118">
        <v>1.1200000000000001</v>
      </c>
      <c r="J2118">
        <v>1.1200000000000001</v>
      </c>
      <c r="K2118" t="s">
        <v>31</v>
      </c>
      <c r="L2118" t="s">
        <v>31</v>
      </c>
      <c r="M2118">
        <v>2023</v>
      </c>
      <c r="N2118" t="s">
        <v>44</v>
      </c>
      <c r="O2118" t="s">
        <v>33</v>
      </c>
      <c r="P2118">
        <v>0</v>
      </c>
      <c r="Q2118">
        <v>0</v>
      </c>
      <c r="R2118">
        <v>0</v>
      </c>
      <c r="S2118" t="s">
        <v>99</v>
      </c>
      <c r="T2118" t="s">
        <v>3479</v>
      </c>
      <c r="U2118">
        <v>1</v>
      </c>
    </row>
    <row r="2119" spans="1:21" x14ac:dyDescent="0.3">
      <c r="A2119" t="s">
        <v>3477</v>
      </c>
      <c r="B2119" t="s">
        <v>3478</v>
      </c>
      <c r="C2119" t="s">
        <v>174</v>
      </c>
      <c r="D2119" t="s">
        <v>233</v>
      </c>
      <c r="E2119" t="s">
        <v>30</v>
      </c>
      <c r="F2119" s="6">
        <v>45291</v>
      </c>
      <c r="G2119">
        <v>100</v>
      </c>
      <c r="H2119">
        <v>94</v>
      </c>
      <c r="I2119">
        <v>0.94</v>
      </c>
      <c r="J2119">
        <v>0.94</v>
      </c>
      <c r="K2119" t="s">
        <v>31</v>
      </c>
      <c r="L2119" t="s">
        <v>31</v>
      </c>
      <c r="M2119">
        <v>2023</v>
      </c>
      <c r="N2119" t="s">
        <v>57</v>
      </c>
      <c r="O2119" t="s">
        <v>47</v>
      </c>
      <c r="P2119">
        <v>0</v>
      </c>
      <c r="Q2119">
        <v>0</v>
      </c>
      <c r="R2119">
        <v>0</v>
      </c>
      <c r="S2119" t="s">
        <v>99</v>
      </c>
      <c r="T2119" t="s">
        <v>3480</v>
      </c>
      <c r="U2119">
        <v>1</v>
      </c>
    </row>
    <row r="2120" spans="1:21" x14ac:dyDescent="0.3">
      <c r="A2120" t="s">
        <v>3477</v>
      </c>
      <c r="B2120" t="s">
        <v>3478</v>
      </c>
      <c r="C2120" t="s">
        <v>174</v>
      </c>
      <c r="D2120" t="s">
        <v>233</v>
      </c>
      <c r="E2120" t="s">
        <v>30</v>
      </c>
      <c r="F2120" s="6">
        <v>45473</v>
      </c>
      <c r="G2120">
        <v>59.24</v>
      </c>
      <c r="H2120">
        <v>58.73</v>
      </c>
      <c r="I2120">
        <v>0.99139095205941918</v>
      </c>
      <c r="J2120">
        <v>0.99139095205941918</v>
      </c>
      <c r="K2120" t="s">
        <v>31</v>
      </c>
      <c r="L2120" t="s">
        <v>31</v>
      </c>
      <c r="M2120">
        <v>2024</v>
      </c>
      <c r="N2120" t="s">
        <v>44</v>
      </c>
      <c r="O2120" t="s">
        <v>71</v>
      </c>
      <c r="P2120">
        <v>0</v>
      </c>
      <c r="Q2120">
        <v>0</v>
      </c>
      <c r="R2120">
        <v>0</v>
      </c>
      <c r="S2120" t="s">
        <v>99</v>
      </c>
      <c r="T2120" t="s">
        <v>3481</v>
      </c>
      <c r="U2120">
        <v>1</v>
      </c>
    </row>
    <row r="2121" spans="1:21" x14ac:dyDescent="0.3">
      <c r="A2121" t="s">
        <v>3482</v>
      </c>
      <c r="B2121" t="s">
        <v>3483</v>
      </c>
      <c r="C2121" t="s">
        <v>251</v>
      </c>
      <c r="D2121" t="s">
        <v>233</v>
      </c>
      <c r="E2121" t="s">
        <v>30</v>
      </c>
      <c r="F2121" s="6">
        <v>45107</v>
      </c>
      <c r="G2121">
        <v>63</v>
      </c>
      <c r="H2121">
        <v>53</v>
      </c>
      <c r="I2121">
        <v>0.84126984126984128</v>
      </c>
      <c r="J2121">
        <v>0.84126984126984128</v>
      </c>
      <c r="K2121" t="s">
        <v>31</v>
      </c>
      <c r="L2121" t="s">
        <v>31</v>
      </c>
      <c r="M2121">
        <v>2023</v>
      </c>
      <c r="N2121" t="s">
        <v>44</v>
      </c>
      <c r="O2121" t="s">
        <v>33</v>
      </c>
      <c r="P2121">
        <v>0</v>
      </c>
      <c r="Q2121">
        <v>0</v>
      </c>
      <c r="R2121">
        <v>0</v>
      </c>
      <c r="S2121" t="s">
        <v>99</v>
      </c>
      <c r="T2121" t="s">
        <v>3484</v>
      </c>
      <c r="U2121">
        <v>1</v>
      </c>
    </row>
    <row r="2122" spans="1:21" x14ac:dyDescent="0.3">
      <c r="A2122" t="s">
        <v>3482</v>
      </c>
      <c r="B2122" t="s">
        <v>3483</v>
      </c>
      <c r="C2122" t="s">
        <v>251</v>
      </c>
      <c r="D2122" t="s">
        <v>233</v>
      </c>
      <c r="E2122" t="s">
        <v>30</v>
      </c>
      <c r="F2122" s="6">
        <v>45291</v>
      </c>
      <c r="G2122">
        <v>100</v>
      </c>
      <c r="H2122">
        <v>86.67</v>
      </c>
      <c r="I2122">
        <v>0.86670000000000003</v>
      </c>
      <c r="J2122">
        <v>0.86670000000000003</v>
      </c>
      <c r="K2122" t="s">
        <v>31</v>
      </c>
      <c r="L2122" t="s">
        <v>31</v>
      </c>
      <c r="M2122">
        <v>2023</v>
      </c>
      <c r="N2122" t="s">
        <v>57</v>
      </c>
      <c r="O2122" t="s">
        <v>47</v>
      </c>
      <c r="P2122">
        <v>0</v>
      </c>
      <c r="Q2122">
        <v>0</v>
      </c>
      <c r="R2122">
        <v>0</v>
      </c>
      <c r="S2122" t="s">
        <v>99</v>
      </c>
      <c r="T2122" t="s">
        <v>3485</v>
      </c>
      <c r="U2122">
        <v>1</v>
      </c>
    </row>
    <row r="2123" spans="1:21" x14ac:dyDescent="0.3">
      <c r="A2123" t="s">
        <v>3482</v>
      </c>
      <c r="B2123" t="s">
        <v>3483</v>
      </c>
      <c r="C2123" t="s">
        <v>251</v>
      </c>
      <c r="D2123" t="s">
        <v>233</v>
      </c>
      <c r="E2123" t="s">
        <v>30</v>
      </c>
      <c r="F2123" s="6">
        <v>45473</v>
      </c>
      <c r="G2123">
        <v>70.150000000000006</v>
      </c>
      <c r="H2123">
        <v>83.25</v>
      </c>
      <c r="I2123">
        <v>1</v>
      </c>
      <c r="J2123">
        <v>1</v>
      </c>
      <c r="K2123" t="s">
        <v>31</v>
      </c>
      <c r="L2123" t="s">
        <v>31</v>
      </c>
      <c r="M2123">
        <v>2024</v>
      </c>
      <c r="N2123" t="s">
        <v>44</v>
      </c>
      <c r="O2123" t="s">
        <v>71</v>
      </c>
      <c r="P2123">
        <v>0</v>
      </c>
      <c r="Q2123">
        <v>0</v>
      </c>
      <c r="R2123">
        <v>0</v>
      </c>
      <c r="S2123" t="s">
        <v>99</v>
      </c>
      <c r="T2123" t="s">
        <v>3486</v>
      </c>
      <c r="U2123">
        <v>1</v>
      </c>
    </row>
    <row r="2124" spans="1:21" x14ac:dyDescent="0.3">
      <c r="A2124" t="s">
        <v>3487</v>
      </c>
      <c r="B2124" t="s">
        <v>3488</v>
      </c>
      <c r="C2124" t="s">
        <v>225</v>
      </c>
      <c r="D2124" t="s">
        <v>233</v>
      </c>
      <c r="E2124" t="s">
        <v>30</v>
      </c>
      <c r="F2124" s="6">
        <v>45107</v>
      </c>
      <c r="G2124">
        <v>56</v>
      </c>
      <c r="H2124">
        <v>74</v>
      </c>
      <c r="I2124">
        <v>1.3</v>
      </c>
      <c r="J2124">
        <v>1.321428571428571</v>
      </c>
      <c r="K2124" t="s">
        <v>31</v>
      </c>
      <c r="L2124" t="s">
        <v>31</v>
      </c>
      <c r="M2124">
        <v>2023</v>
      </c>
      <c r="N2124" t="s">
        <v>44</v>
      </c>
      <c r="O2124" t="s">
        <v>33</v>
      </c>
      <c r="P2124">
        <v>0</v>
      </c>
      <c r="Q2124">
        <v>0</v>
      </c>
      <c r="R2124">
        <v>0</v>
      </c>
      <c r="S2124" t="s">
        <v>99</v>
      </c>
      <c r="T2124" t="s">
        <v>3489</v>
      </c>
      <c r="U2124">
        <v>1</v>
      </c>
    </row>
    <row r="2125" spans="1:21" x14ac:dyDescent="0.3">
      <c r="A2125" t="s">
        <v>3487</v>
      </c>
      <c r="B2125" t="s">
        <v>3488</v>
      </c>
      <c r="C2125" t="s">
        <v>225</v>
      </c>
      <c r="D2125" t="s">
        <v>233</v>
      </c>
      <c r="E2125" t="s">
        <v>30</v>
      </c>
      <c r="F2125" s="6">
        <v>45291</v>
      </c>
      <c r="G2125">
        <v>100</v>
      </c>
      <c r="H2125">
        <v>93.75</v>
      </c>
      <c r="I2125">
        <v>0.9375</v>
      </c>
      <c r="J2125">
        <v>0.9375</v>
      </c>
      <c r="K2125" t="s">
        <v>31</v>
      </c>
      <c r="L2125" t="s">
        <v>31</v>
      </c>
      <c r="M2125">
        <v>2023</v>
      </c>
      <c r="N2125" t="s">
        <v>57</v>
      </c>
      <c r="O2125" t="s">
        <v>47</v>
      </c>
      <c r="P2125">
        <v>0</v>
      </c>
      <c r="Q2125">
        <v>0</v>
      </c>
      <c r="R2125">
        <v>0</v>
      </c>
      <c r="S2125" t="s">
        <v>99</v>
      </c>
      <c r="T2125" t="s">
        <v>3490</v>
      </c>
      <c r="U2125">
        <v>1</v>
      </c>
    </row>
    <row r="2126" spans="1:21" x14ac:dyDescent="0.3">
      <c r="A2126" t="s">
        <v>3487</v>
      </c>
      <c r="B2126" t="s">
        <v>3488</v>
      </c>
      <c r="C2126" t="s">
        <v>225</v>
      </c>
      <c r="D2126" t="s">
        <v>233</v>
      </c>
      <c r="E2126" t="s">
        <v>30</v>
      </c>
      <c r="F2126" s="6">
        <v>45473</v>
      </c>
      <c r="G2126">
        <v>36.979999999999997</v>
      </c>
      <c r="H2126">
        <v>52.24</v>
      </c>
      <c r="I2126">
        <v>1</v>
      </c>
      <c r="J2126">
        <v>1</v>
      </c>
      <c r="K2126" t="s">
        <v>31</v>
      </c>
      <c r="L2126" t="s">
        <v>31</v>
      </c>
      <c r="M2126">
        <v>2024</v>
      </c>
      <c r="N2126" t="s">
        <v>44</v>
      </c>
      <c r="O2126" t="s">
        <v>71</v>
      </c>
      <c r="P2126">
        <v>0</v>
      </c>
      <c r="Q2126">
        <v>0</v>
      </c>
      <c r="R2126">
        <v>0</v>
      </c>
      <c r="S2126" t="s">
        <v>99</v>
      </c>
      <c r="T2126" t="s">
        <v>3491</v>
      </c>
      <c r="U2126">
        <v>1</v>
      </c>
    </row>
    <row r="2127" spans="1:21" x14ac:dyDescent="0.3">
      <c r="A2127" t="s">
        <v>3492</v>
      </c>
      <c r="B2127" t="s">
        <v>3493</v>
      </c>
      <c r="C2127" t="s">
        <v>169</v>
      </c>
      <c r="D2127" t="s">
        <v>233</v>
      </c>
      <c r="E2127" t="s">
        <v>30</v>
      </c>
      <c r="F2127" s="6">
        <v>45107</v>
      </c>
      <c r="G2127">
        <v>44</v>
      </c>
      <c r="H2127">
        <v>49</v>
      </c>
      <c r="I2127">
        <v>1.113636363636364</v>
      </c>
      <c r="J2127">
        <v>1.113636363636364</v>
      </c>
      <c r="K2127" t="s">
        <v>31</v>
      </c>
      <c r="L2127" t="s">
        <v>31</v>
      </c>
      <c r="M2127">
        <v>2023</v>
      </c>
      <c r="N2127" t="s">
        <v>44</v>
      </c>
      <c r="O2127" t="s">
        <v>33</v>
      </c>
      <c r="P2127">
        <v>0</v>
      </c>
      <c r="Q2127">
        <v>0</v>
      </c>
      <c r="R2127">
        <v>0</v>
      </c>
      <c r="S2127" t="s">
        <v>99</v>
      </c>
      <c r="T2127" t="s">
        <v>3494</v>
      </c>
      <c r="U2127">
        <v>1</v>
      </c>
    </row>
    <row r="2128" spans="1:21" x14ac:dyDescent="0.3">
      <c r="A2128" t="s">
        <v>3492</v>
      </c>
      <c r="B2128" t="s">
        <v>3493</v>
      </c>
      <c r="C2128" t="s">
        <v>169</v>
      </c>
      <c r="D2128" t="s">
        <v>233</v>
      </c>
      <c r="E2128" t="s">
        <v>30</v>
      </c>
      <c r="F2128" s="6">
        <v>45291</v>
      </c>
      <c r="G2128">
        <v>100</v>
      </c>
      <c r="H2128">
        <v>94.17</v>
      </c>
      <c r="I2128">
        <v>0.94169999999999998</v>
      </c>
      <c r="J2128">
        <v>0.94169999999999998</v>
      </c>
      <c r="K2128" t="s">
        <v>31</v>
      </c>
      <c r="L2128" t="s">
        <v>31</v>
      </c>
      <c r="M2128">
        <v>2023</v>
      </c>
      <c r="N2128" t="s">
        <v>57</v>
      </c>
      <c r="O2128" t="s">
        <v>47</v>
      </c>
      <c r="P2128">
        <v>0</v>
      </c>
      <c r="Q2128">
        <v>0</v>
      </c>
      <c r="R2128">
        <v>0</v>
      </c>
      <c r="S2128" t="s">
        <v>99</v>
      </c>
      <c r="T2128" t="s">
        <v>3495</v>
      </c>
      <c r="U2128">
        <v>1</v>
      </c>
    </row>
    <row r="2129" spans="1:21" x14ac:dyDescent="0.3">
      <c r="A2129" t="s">
        <v>3492</v>
      </c>
      <c r="B2129" t="s">
        <v>3493</v>
      </c>
      <c r="C2129" t="s">
        <v>169</v>
      </c>
      <c r="D2129" t="s">
        <v>233</v>
      </c>
      <c r="E2129" t="s">
        <v>30</v>
      </c>
      <c r="F2129" s="6">
        <v>45473</v>
      </c>
      <c r="G2129">
        <v>39.619999999999997</v>
      </c>
      <c r="H2129">
        <v>43.31</v>
      </c>
      <c r="I2129">
        <v>1</v>
      </c>
      <c r="J2129">
        <v>1</v>
      </c>
      <c r="K2129" t="s">
        <v>31</v>
      </c>
      <c r="L2129" t="s">
        <v>31</v>
      </c>
      <c r="M2129">
        <v>2024</v>
      </c>
      <c r="N2129" t="s">
        <v>44</v>
      </c>
      <c r="O2129" t="s">
        <v>71</v>
      </c>
      <c r="P2129">
        <v>0</v>
      </c>
      <c r="Q2129">
        <v>0</v>
      </c>
      <c r="R2129">
        <v>0</v>
      </c>
      <c r="S2129" t="s">
        <v>99</v>
      </c>
      <c r="T2129" t="s">
        <v>3496</v>
      </c>
      <c r="U2129">
        <v>1</v>
      </c>
    </row>
    <row r="2130" spans="1:21" x14ac:dyDescent="0.3">
      <c r="A2130" t="s">
        <v>3497</v>
      </c>
      <c r="B2130" t="s">
        <v>3498</v>
      </c>
      <c r="C2130" t="s">
        <v>232</v>
      </c>
      <c r="D2130" t="s">
        <v>233</v>
      </c>
      <c r="E2130" t="s">
        <v>30</v>
      </c>
      <c r="F2130" s="6">
        <v>45107</v>
      </c>
      <c r="G2130">
        <v>62</v>
      </c>
      <c r="H2130">
        <v>64</v>
      </c>
      <c r="I2130">
        <v>1.032258064516129</v>
      </c>
      <c r="J2130">
        <v>1.032258064516129</v>
      </c>
      <c r="K2130" t="s">
        <v>31</v>
      </c>
      <c r="L2130" t="s">
        <v>31</v>
      </c>
      <c r="M2130">
        <v>2023</v>
      </c>
      <c r="N2130" t="s">
        <v>44</v>
      </c>
      <c r="O2130" t="s">
        <v>33</v>
      </c>
      <c r="P2130">
        <v>0</v>
      </c>
      <c r="Q2130">
        <v>0</v>
      </c>
      <c r="R2130">
        <v>0</v>
      </c>
      <c r="S2130" t="s">
        <v>99</v>
      </c>
      <c r="T2130" t="s">
        <v>3499</v>
      </c>
      <c r="U2130">
        <v>1</v>
      </c>
    </row>
    <row r="2131" spans="1:21" x14ac:dyDescent="0.3">
      <c r="A2131" t="s">
        <v>3497</v>
      </c>
      <c r="B2131" t="s">
        <v>3498</v>
      </c>
      <c r="C2131" t="s">
        <v>232</v>
      </c>
      <c r="D2131" t="s">
        <v>233</v>
      </c>
      <c r="E2131" t="s">
        <v>30</v>
      </c>
      <c r="F2131" s="6">
        <v>45291</v>
      </c>
      <c r="G2131">
        <v>100</v>
      </c>
      <c r="H2131">
        <v>99</v>
      </c>
      <c r="I2131">
        <v>0.99</v>
      </c>
      <c r="J2131">
        <v>0.99</v>
      </c>
      <c r="K2131" t="s">
        <v>31</v>
      </c>
      <c r="L2131" t="s">
        <v>31</v>
      </c>
      <c r="M2131">
        <v>2023</v>
      </c>
      <c r="N2131" t="s">
        <v>57</v>
      </c>
      <c r="O2131" t="s">
        <v>47</v>
      </c>
      <c r="P2131">
        <v>0</v>
      </c>
      <c r="Q2131">
        <v>0</v>
      </c>
      <c r="R2131">
        <v>0</v>
      </c>
      <c r="S2131" t="s">
        <v>99</v>
      </c>
      <c r="T2131" t="s">
        <v>3500</v>
      </c>
      <c r="U2131">
        <v>1</v>
      </c>
    </row>
    <row r="2132" spans="1:21" x14ac:dyDescent="0.3">
      <c r="A2132" t="s">
        <v>3497</v>
      </c>
      <c r="B2132" t="s">
        <v>3498</v>
      </c>
      <c r="C2132" t="s">
        <v>232</v>
      </c>
      <c r="D2132" t="s">
        <v>233</v>
      </c>
      <c r="E2132" t="s">
        <v>30</v>
      </c>
      <c r="F2132" s="6">
        <v>45473</v>
      </c>
      <c r="G2132">
        <v>48.75</v>
      </c>
      <c r="H2132">
        <v>48.75</v>
      </c>
      <c r="I2132">
        <v>1</v>
      </c>
      <c r="J2132">
        <v>1</v>
      </c>
      <c r="K2132" t="s">
        <v>31</v>
      </c>
      <c r="L2132" t="s">
        <v>31</v>
      </c>
      <c r="M2132">
        <v>2024</v>
      </c>
      <c r="N2132" t="s">
        <v>44</v>
      </c>
      <c r="O2132" t="s">
        <v>71</v>
      </c>
      <c r="P2132">
        <v>0</v>
      </c>
      <c r="Q2132">
        <v>0</v>
      </c>
      <c r="R2132">
        <v>0</v>
      </c>
      <c r="S2132" t="s">
        <v>99</v>
      </c>
      <c r="T2132" t="s">
        <v>3501</v>
      </c>
      <c r="U2132">
        <v>1</v>
      </c>
    </row>
    <row r="2133" spans="1:21" x14ac:dyDescent="0.3">
      <c r="A2133" t="s">
        <v>3502</v>
      </c>
      <c r="B2133" t="s">
        <v>3503</v>
      </c>
      <c r="D2133" t="s">
        <v>233</v>
      </c>
      <c r="E2133" t="s">
        <v>30</v>
      </c>
      <c r="F2133" s="6">
        <v>45107</v>
      </c>
      <c r="G2133">
        <v>52</v>
      </c>
      <c r="H2133">
        <v>63</v>
      </c>
      <c r="I2133">
        <v>1.211538461538461</v>
      </c>
      <c r="J2133">
        <v>1.211538461538461</v>
      </c>
      <c r="K2133" t="s">
        <v>31</v>
      </c>
      <c r="L2133" t="s">
        <v>31</v>
      </c>
      <c r="M2133">
        <v>2023</v>
      </c>
      <c r="N2133" t="s">
        <v>44</v>
      </c>
      <c r="O2133" t="s">
        <v>33</v>
      </c>
      <c r="P2133">
        <v>0</v>
      </c>
      <c r="Q2133">
        <v>0</v>
      </c>
      <c r="R2133">
        <v>0</v>
      </c>
      <c r="S2133" t="s">
        <v>99</v>
      </c>
      <c r="T2133" t="s">
        <v>3504</v>
      </c>
      <c r="U2133">
        <v>1</v>
      </c>
    </row>
    <row r="2134" spans="1:21" x14ac:dyDescent="0.3">
      <c r="A2134" t="s">
        <v>3502</v>
      </c>
      <c r="B2134" t="s">
        <v>3503</v>
      </c>
      <c r="D2134" t="s">
        <v>233</v>
      </c>
      <c r="E2134" t="s">
        <v>30</v>
      </c>
      <c r="F2134" s="6">
        <v>45291</v>
      </c>
      <c r="G2134">
        <v>100</v>
      </c>
      <c r="H2134">
        <v>98.75</v>
      </c>
      <c r="I2134">
        <v>0.98750000000000004</v>
      </c>
      <c r="J2134">
        <v>0.98750000000000004</v>
      </c>
      <c r="K2134" t="s">
        <v>31</v>
      </c>
      <c r="L2134" t="s">
        <v>31</v>
      </c>
      <c r="M2134">
        <v>2023</v>
      </c>
      <c r="N2134" t="s">
        <v>57</v>
      </c>
      <c r="O2134" t="s">
        <v>47</v>
      </c>
      <c r="P2134">
        <v>0</v>
      </c>
      <c r="Q2134">
        <v>0</v>
      </c>
      <c r="R2134">
        <v>0</v>
      </c>
      <c r="S2134" t="s">
        <v>99</v>
      </c>
      <c r="T2134" t="s">
        <v>3505</v>
      </c>
      <c r="U2134">
        <v>1</v>
      </c>
    </row>
    <row r="2135" spans="1:21" x14ac:dyDescent="0.3">
      <c r="A2135" t="s">
        <v>3502</v>
      </c>
      <c r="B2135" t="s">
        <v>3503</v>
      </c>
      <c r="D2135" t="s">
        <v>233</v>
      </c>
      <c r="E2135" t="s">
        <v>30</v>
      </c>
      <c r="F2135" s="6">
        <v>45473</v>
      </c>
      <c r="G2135">
        <v>47.2</v>
      </c>
      <c r="H2135">
        <v>49.23</v>
      </c>
      <c r="I2135">
        <v>1</v>
      </c>
      <c r="J2135">
        <v>1</v>
      </c>
      <c r="K2135" t="s">
        <v>31</v>
      </c>
      <c r="L2135" t="s">
        <v>31</v>
      </c>
      <c r="M2135">
        <v>2024</v>
      </c>
      <c r="N2135" t="s">
        <v>44</v>
      </c>
      <c r="O2135" t="s">
        <v>71</v>
      </c>
      <c r="P2135">
        <v>0</v>
      </c>
      <c r="Q2135">
        <v>0</v>
      </c>
      <c r="R2135">
        <v>0</v>
      </c>
      <c r="S2135" t="s">
        <v>99</v>
      </c>
      <c r="T2135" t="s">
        <v>3506</v>
      </c>
      <c r="U2135">
        <v>1</v>
      </c>
    </row>
    <row r="2136" spans="1:21" x14ac:dyDescent="0.3">
      <c r="A2136" t="s">
        <v>3507</v>
      </c>
      <c r="B2136" t="s">
        <v>3508</v>
      </c>
      <c r="D2136" t="s">
        <v>233</v>
      </c>
      <c r="E2136" t="s">
        <v>30</v>
      </c>
      <c r="F2136" s="6">
        <v>45107</v>
      </c>
      <c r="G2136">
        <v>100</v>
      </c>
      <c r="H2136">
        <v>104.36</v>
      </c>
      <c r="I2136">
        <v>1.0436000000000001</v>
      </c>
      <c r="J2136">
        <v>1.0436000000000001</v>
      </c>
      <c r="M2136">
        <v>2023</v>
      </c>
      <c r="N2136" t="s">
        <v>44</v>
      </c>
      <c r="O2136" t="s">
        <v>33</v>
      </c>
      <c r="P2136">
        <v>0</v>
      </c>
      <c r="Q2136">
        <v>0</v>
      </c>
      <c r="R2136">
        <v>0</v>
      </c>
      <c r="S2136" t="s">
        <v>99</v>
      </c>
      <c r="T2136" t="s">
        <v>3509</v>
      </c>
      <c r="U2136">
        <v>1</v>
      </c>
    </row>
    <row r="2137" spans="1:21" x14ac:dyDescent="0.3">
      <c r="A2137" t="s">
        <v>3507</v>
      </c>
      <c r="B2137" t="s">
        <v>3508</v>
      </c>
      <c r="D2137" t="s">
        <v>233</v>
      </c>
      <c r="E2137" t="s">
        <v>30</v>
      </c>
      <c r="F2137" s="6">
        <v>45199</v>
      </c>
      <c r="G2137">
        <v>100</v>
      </c>
      <c r="H2137">
        <v>85.61</v>
      </c>
      <c r="I2137">
        <v>0</v>
      </c>
      <c r="J2137">
        <v>0.85609999999999997</v>
      </c>
      <c r="M2137">
        <v>2023</v>
      </c>
      <c r="N2137" t="s">
        <v>51</v>
      </c>
      <c r="O2137" t="s">
        <v>47</v>
      </c>
      <c r="P2137">
        <v>0</v>
      </c>
      <c r="Q2137">
        <v>0</v>
      </c>
      <c r="R2137">
        <v>0</v>
      </c>
      <c r="S2137" t="s">
        <v>99</v>
      </c>
      <c r="T2137" t="s">
        <v>3510</v>
      </c>
      <c r="U2137">
        <v>1</v>
      </c>
    </row>
    <row r="2138" spans="1:21" x14ac:dyDescent="0.3">
      <c r="A2138" t="s">
        <v>3507</v>
      </c>
      <c r="B2138" t="s">
        <v>3508</v>
      </c>
      <c r="D2138" t="s">
        <v>233</v>
      </c>
      <c r="E2138" t="s">
        <v>30</v>
      </c>
      <c r="F2138" s="6">
        <v>45291</v>
      </c>
      <c r="G2138">
        <v>100</v>
      </c>
      <c r="H2138">
        <v>95.8</v>
      </c>
      <c r="I2138">
        <v>0.95799999999999996</v>
      </c>
      <c r="J2138">
        <v>0.95799999999999996</v>
      </c>
      <c r="M2138">
        <v>2023</v>
      </c>
      <c r="N2138" t="s">
        <v>57</v>
      </c>
      <c r="O2138" t="s">
        <v>47</v>
      </c>
      <c r="P2138">
        <v>0</v>
      </c>
      <c r="Q2138">
        <v>0</v>
      </c>
      <c r="R2138">
        <v>0</v>
      </c>
      <c r="S2138" t="s">
        <v>99</v>
      </c>
      <c r="T2138" t="s">
        <v>3511</v>
      </c>
      <c r="U2138">
        <v>1</v>
      </c>
    </row>
    <row r="2139" spans="1:21" x14ac:dyDescent="0.3">
      <c r="A2139" t="s">
        <v>3507</v>
      </c>
      <c r="B2139" t="s">
        <v>3508</v>
      </c>
      <c r="C2139" t="s">
        <v>129</v>
      </c>
      <c r="D2139" t="s">
        <v>233</v>
      </c>
      <c r="E2139" t="s">
        <v>30</v>
      </c>
      <c r="F2139" s="6">
        <v>45382</v>
      </c>
      <c r="G2139">
        <v>100</v>
      </c>
      <c r="H2139">
        <v>105.5</v>
      </c>
      <c r="I2139">
        <v>1.0549999999999999</v>
      </c>
      <c r="J2139">
        <v>1.0549999999999999</v>
      </c>
      <c r="M2139">
        <v>2024</v>
      </c>
      <c r="N2139" t="s">
        <v>38</v>
      </c>
      <c r="O2139" t="s">
        <v>71</v>
      </c>
      <c r="P2139">
        <v>0</v>
      </c>
      <c r="Q2139">
        <v>0</v>
      </c>
      <c r="R2139">
        <v>0</v>
      </c>
      <c r="S2139" t="s">
        <v>99</v>
      </c>
      <c r="T2139" t="s">
        <v>3512</v>
      </c>
      <c r="U2139">
        <v>1</v>
      </c>
    </row>
    <row r="2140" spans="1:21" x14ac:dyDescent="0.3">
      <c r="A2140" t="s">
        <v>3507</v>
      </c>
      <c r="B2140" t="s">
        <v>3508</v>
      </c>
      <c r="C2140" t="s">
        <v>129</v>
      </c>
      <c r="D2140" t="s">
        <v>233</v>
      </c>
      <c r="E2140" t="s">
        <v>30</v>
      </c>
      <c r="F2140" s="6">
        <v>45473</v>
      </c>
      <c r="G2140">
        <v>100</v>
      </c>
      <c r="H2140">
        <v>100.79</v>
      </c>
      <c r="I2140">
        <v>1.0079</v>
      </c>
      <c r="J2140">
        <v>1.0079</v>
      </c>
      <c r="M2140">
        <v>2024</v>
      </c>
      <c r="N2140" t="s">
        <v>44</v>
      </c>
      <c r="O2140" t="s">
        <v>71</v>
      </c>
      <c r="P2140">
        <v>0</v>
      </c>
      <c r="Q2140">
        <v>0</v>
      </c>
      <c r="R2140">
        <v>0</v>
      </c>
      <c r="S2140" t="s">
        <v>99</v>
      </c>
      <c r="T2140" t="s">
        <v>3513</v>
      </c>
      <c r="U2140">
        <v>1</v>
      </c>
    </row>
    <row r="2141" spans="1:21" x14ac:dyDescent="0.3">
      <c r="A2141" t="s">
        <v>3507</v>
      </c>
      <c r="B2141" t="s">
        <v>3508</v>
      </c>
      <c r="C2141" t="s">
        <v>129</v>
      </c>
      <c r="D2141" t="s">
        <v>233</v>
      </c>
      <c r="E2141" t="s">
        <v>30</v>
      </c>
      <c r="F2141" s="6">
        <v>45565</v>
      </c>
      <c r="G2141">
        <v>100</v>
      </c>
      <c r="H2141">
        <v>97.2</v>
      </c>
      <c r="I2141">
        <v>0.97199999999999998</v>
      </c>
      <c r="J2141">
        <v>0.97199999999999998</v>
      </c>
      <c r="M2141">
        <v>2024</v>
      </c>
      <c r="N2141" t="s">
        <v>51</v>
      </c>
      <c r="O2141" t="s">
        <v>78</v>
      </c>
      <c r="P2141">
        <v>0</v>
      </c>
      <c r="Q2141">
        <v>0</v>
      </c>
      <c r="R2141">
        <v>0</v>
      </c>
      <c r="S2141" t="s">
        <v>99</v>
      </c>
      <c r="T2141" t="s">
        <v>3514</v>
      </c>
      <c r="U2141">
        <v>1</v>
      </c>
    </row>
    <row r="2142" spans="1:21" x14ac:dyDescent="0.3">
      <c r="A2142" t="s">
        <v>3507</v>
      </c>
      <c r="B2142" t="s">
        <v>3508</v>
      </c>
      <c r="C2142" t="s">
        <v>129</v>
      </c>
      <c r="D2142" t="s">
        <v>233</v>
      </c>
      <c r="E2142" t="s">
        <v>30</v>
      </c>
      <c r="F2142" s="6">
        <v>45657</v>
      </c>
      <c r="G2142">
        <v>100</v>
      </c>
      <c r="H2142">
        <v>0</v>
      </c>
      <c r="I2142">
        <v>0</v>
      </c>
      <c r="J2142">
        <v>0</v>
      </c>
      <c r="M2142">
        <v>2024</v>
      </c>
      <c r="N2142" t="s">
        <v>57</v>
      </c>
      <c r="O2142" t="s">
        <v>78</v>
      </c>
      <c r="P2142">
        <v>0</v>
      </c>
      <c r="Q2142">
        <v>0</v>
      </c>
      <c r="R2142">
        <v>0</v>
      </c>
      <c r="S2142" t="s">
        <v>99</v>
      </c>
      <c r="T2142" t="s">
        <v>3515</v>
      </c>
      <c r="U2142">
        <v>1</v>
      </c>
    </row>
    <row r="2143" spans="1:21" x14ac:dyDescent="0.3">
      <c r="A2143" t="s">
        <v>3507</v>
      </c>
      <c r="B2143" t="s">
        <v>3508</v>
      </c>
      <c r="C2143" t="s">
        <v>129</v>
      </c>
      <c r="D2143" t="s">
        <v>233</v>
      </c>
      <c r="E2143" t="s">
        <v>30</v>
      </c>
      <c r="F2143" s="6">
        <v>45747</v>
      </c>
      <c r="G2143">
        <v>100</v>
      </c>
      <c r="H2143" t="s">
        <v>3516</v>
      </c>
      <c r="I2143">
        <v>1.3</v>
      </c>
      <c r="J2143">
        <v>2.4670000000000001</v>
      </c>
      <c r="K2143" t="s">
        <v>102</v>
      </c>
      <c r="L2143" t="s">
        <v>3517</v>
      </c>
      <c r="M2143">
        <v>2025</v>
      </c>
      <c r="N2143" t="s">
        <v>38</v>
      </c>
      <c r="O2143" t="s">
        <v>244</v>
      </c>
      <c r="P2143">
        <v>2</v>
      </c>
      <c r="Q2143">
        <v>2</v>
      </c>
      <c r="R2143">
        <v>0</v>
      </c>
      <c r="S2143" t="s">
        <v>104</v>
      </c>
      <c r="T2143" t="s">
        <v>3518</v>
      </c>
      <c r="U2143">
        <v>31</v>
      </c>
    </row>
    <row r="2144" spans="1:21" x14ac:dyDescent="0.3">
      <c r="A2144" t="s">
        <v>3507</v>
      </c>
      <c r="B2144" t="s">
        <v>3508</v>
      </c>
      <c r="C2144" t="s">
        <v>129</v>
      </c>
      <c r="D2144" t="s">
        <v>233</v>
      </c>
      <c r="E2144" t="s">
        <v>30</v>
      </c>
      <c r="F2144" s="6">
        <v>45838</v>
      </c>
      <c r="G2144">
        <v>100</v>
      </c>
      <c r="H2144" t="s">
        <v>3519</v>
      </c>
      <c r="I2144">
        <v>1.0583</v>
      </c>
      <c r="J2144">
        <v>1.0583</v>
      </c>
      <c r="K2144" t="s">
        <v>102</v>
      </c>
      <c r="L2144" t="s">
        <v>3520</v>
      </c>
      <c r="M2144">
        <v>2025</v>
      </c>
      <c r="N2144" t="s">
        <v>44</v>
      </c>
      <c r="O2144" t="s">
        <v>244</v>
      </c>
      <c r="P2144">
        <v>2</v>
      </c>
      <c r="Q2144">
        <v>2</v>
      </c>
      <c r="R2144">
        <v>0</v>
      </c>
      <c r="S2144" t="s">
        <v>104</v>
      </c>
      <c r="T2144" t="s">
        <v>3521</v>
      </c>
      <c r="U2144">
        <v>30</v>
      </c>
    </row>
    <row r="2145" spans="1:21" x14ac:dyDescent="0.3">
      <c r="A2145" t="s">
        <v>3507</v>
      </c>
      <c r="B2145" t="s">
        <v>3508</v>
      </c>
      <c r="C2145" t="s">
        <v>129</v>
      </c>
      <c r="D2145" t="s">
        <v>233</v>
      </c>
      <c r="E2145" t="s">
        <v>30</v>
      </c>
      <c r="F2145" s="6">
        <v>46022</v>
      </c>
      <c r="G2145">
        <v>100</v>
      </c>
      <c r="I2145">
        <v>0</v>
      </c>
      <c r="J2145">
        <v>0</v>
      </c>
      <c r="K2145" t="s">
        <v>102</v>
      </c>
      <c r="M2145">
        <v>2025</v>
      </c>
      <c r="N2145" t="s">
        <v>57</v>
      </c>
      <c r="O2145" t="s">
        <v>103</v>
      </c>
      <c r="P2145">
        <v>2</v>
      </c>
      <c r="Q2145">
        <v>2</v>
      </c>
      <c r="R2145">
        <v>0</v>
      </c>
      <c r="S2145" t="s">
        <v>104</v>
      </c>
      <c r="T2145" t="s">
        <v>3522</v>
      </c>
      <c r="U2145">
        <v>31</v>
      </c>
    </row>
    <row r="2146" spans="1:21" x14ac:dyDescent="0.3">
      <c r="A2146" t="s">
        <v>3523</v>
      </c>
      <c r="B2146" t="s">
        <v>3524</v>
      </c>
      <c r="C2146" t="s">
        <v>61</v>
      </c>
      <c r="D2146" t="s">
        <v>233</v>
      </c>
      <c r="E2146" t="s">
        <v>30</v>
      </c>
      <c r="F2146" s="6">
        <v>45107</v>
      </c>
      <c r="G2146">
        <v>43</v>
      </c>
      <c r="H2146">
        <v>46</v>
      </c>
      <c r="I2146">
        <v>1.069767441860465</v>
      </c>
      <c r="J2146">
        <v>1.069767441860465</v>
      </c>
      <c r="K2146" t="s">
        <v>31</v>
      </c>
      <c r="L2146" t="s">
        <v>31</v>
      </c>
      <c r="M2146">
        <v>2023</v>
      </c>
      <c r="N2146" t="s">
        <v>44</v>
      </c>
      <c r="O2146" t="s">
        <v>33</v>
      </c>
      <c r="P2146">
        <v>0</v>
      </c>
      <c r="Q2146">
        <v>0</v>
      </c>
      <c r="R2146">
        <v>0</v>
      </c>
      <c r="S2146" t="s">
        <v>99</v>
      </c>
      <c r="T2146" t="s">
        <v>3525</v>
      </c>
      <c r="U2146">
        <v>1</v>
      </c>
    </row>
    <row r="2147" spans="1:21" x14ac:dyDescent="0.3">
      <c r="A2147" t="s">
        <v>3523</v>
      </c>
      <c r="B2147" t="s">
        <v>3524</v>
      </c>
      <c r="C2147" t="s">
        <v>61</v>
      </c>
      <c r="D2147" t="s">
        <v>233</v>
      </c>
      <c r="E2147" t="s">
        <v>30</v>
      </c>
      <c r="F2147" s="6">
        <v>45291</v>
      </c>
      <c r="G2147">
        <v>100</v>
      </c>
      <c r="H2147">
        <v>87.5</v>
      </c>
      <c r="I2147">
        <v>0.875</v>
      </c>
      <c r="J2147">
        <v>0.875</v>
      </c>
      <c r="K2147" t="s">
        <v>31</v>
      </c>
      <c r="L2147" t="s">
        <v>31</v>
      </c>
      <c r="M2147">
        <v>2023</v>
      </c>
      <c r="N2147" t="s">
        <v>57</v>
      </c>
      <c r="O2147" t="s">
        <v>47</v>
      </c>
      <c r="P2147">
        <v>0</v>
      </c>
      <c r="Q2147">
        <v>0</v>
      </c>
      <c r="R2147">
        <v>0</v>
      </c>
      <c r="S2147" t="s">
        <v>99</v>
      </c>
      <c r="T2147" t="s">
        <v>3526</v>
      </c>
      <c r="U2147">
        <v>1</v>
      </c>
    </row>
    <row r="2148" spans="1:21" x14ac:dyDescent="0.3">
      <c r="A2148" t="s">
        <v>3523</v>
      </c>
      <c r="B2148" t="s">
        <v>3524</v>
      </c>
      <c r="C2148" t="s">
        <v>61</v>
      </c>
      <c r="D2148" t="s">
        <v>233</v>
      </c>
      <c r="E2148" t="s">
        <v>30</v>
      </c>
      <c r="F2148" s="6">
        <v>45473</v>
      </c>
      <c r="G2148">
        <v>49.54</v>
      </c>
      <c r="H2148">
        <v>67.12</v>
      </c>
      <c r="I2148">
        <v>1</v>
      </c>
      <c r="J2148">
        <v>1</v>
      </c>
      <c r="K2148" t="s">
        <v>31</v>
      </c>
      <c r="L2148" t="s">
        <v>31</v>
      </c>
      <c r="M2148">
        <v>2024</v>
      </c>
      <c r="N2148" t="s">
        <v>44</v>
      </c>
      <c r="O2148" t="s">
        <v>71</v>
      </c>
      <c r="P2148">
        <v>0</v>
      </c>
      <c r="Q2148">
        <v>0</v>
      </c>
      <c r="R2148">
        <v>0</v>
      </c>
      <c r="S2148" t="s">
        <v>99</v>
      </c>
      <c r="T2148" t="s">
        <v>3527</v>
      </c>
      <c r="U2148">
        <v>1</v>
      </c>
    </row>
    <row r="2149" spans="1:21" x14ac:dyDescent="0.3">
      <c r="A2149" t="s">
        <v>3528</v>
      </c>
      <c r="B2149" t="s">
        <v>3529</v>
      </c>
      <c r="C2149" t="s">
        <v>760</v>
      </c>
      <c r="D2149" t="s">
        <v>233</v>
      </c>
      <c r="E2149" t="s">
        <v>30</v>
      </c>
      <c r="F2149" s="6">
        <v>45107</v>
      </c>
      <c r="G2149">
        <v>39</v>
      </c>
      <c r="H2149">
        <v>20</v>
      </c>
      <c r="I2149">
        <v>0.51282051282051277</v>
      </c>
      <c r="J2149">
        <v>0.51282051282051277</v>
      </c>
      <c r="K2149" t="s">
        <v>31</v>
      </c>
      <c r="L2149" t="s">
        <v>31</v>
      </c>
      <c r="M2149">
        <v>2023</v>
      </c>
      <c r="N2149" t="s">
        <v>44</v>
      </c>
      <c r="O2149" t="s">
        <v>33</v>
      </c>
      <c r="P2149">
        <v>0</v>
      </c>
      <c r="Q2149">
        <v>0</v>
      </c>
      <c r="R2149">
        <v>0</v>
      </c>
      <c r="S2149" t="s">
        <v>99</v>
      </c>
      <c r="T2149" t="s">
        <v>3530</v>
      </c>
      <c r="U2149">
        <v>1</v>
      </c>
    </row>
    <row r="2150" spans="1:21" x14ac:dyDescent="0.3">
      <c r="A2150" t="s">
        <v>3528</v>
      </c>
      <c r="B2150" t="s">
        <v>3529</v>
      </c>
      <c r="C2150" t="s">
        <v>760</v>
      </c>
      <c r="D2150" t="s">
        <v>233</v>
      </c>
      <c r="E2150" t="s">
        <v>30</v>
      </c>
      <c r="F2150" s="6">
        <v>45291</v>
      </c>
      <c r="G2150">
        <v>100</v>
      </c>
      <c r="H2150">
        <v>86.25</v>
      </c>
      <c r="I2150">
        <v>0.86250000000000004</v>
      </c>
      <c r="J2150">
        <v>0.86250000000000004</v>
      </c>
      <c r="K2150" t="s">
        <v>31</v>
      </c>
      <c r="L2150" t="s">
        <v>31</v>
      </c>
      <c r="M2150">
        <v>2023</v>
      </c>
      <c r="N2150" t="s">
        <v>57</v>
      </c>
      <c r="O2150" t="s">
        <v>47</v>
      </c>
      <c r="P2150">
        <v>0</v>
      </c>
      <c r="Q2150">
        <v>0</v>
      </c>
      <c r="R2150">
        <v>0</v>
      </c>
      <c r="S2150" t="s">
        <v>99</v>
      </c>
      <c r="T2150" t="s">
        <v>3531</v>
      </c>
      <c r="U2150">
        <v>1</v>
      </c>
    </row>
    <row r="2151" spans="1:21" x14ac:dyDescent="0.3">
      <c r="A2151" t="s">
        <v>3528</v>
      </c>
      <c r="B2151" t="s">
        <v>3529</v>
      </c>
      <c r="C2151" t="s">
        <v>760</v>
      </c>
      <c r="D2151" t="s">
        <v>233</v>
      </c>
      <c r="E2151" t="s">
        <v>30</v>
      </c>
      <c r="F2151" s="6">
        <v>45473</v>
      </c>
      <c r="G2151">
        <v>89.58</v>
      </c>
      <c r="H2151">
        <v>61</v>
      </c>
      <c r="I2151">
        <v>0.68095557043983035</v>
      </c>
      <c r="J2151">
        <v>0.68095557043983035</v>
      </c>
      <c r="K2151" t="s">
        <v>31</v>
      </c>
      <c r="L2151" t="s">
        <v>31</v>
      </c>
      <c r="M2151">
        <v>2024</v>
      </c>
      <c r="N2151" t="s">
        <v>44</v>
      </c>
      <c r="O2151" t="s">
        <v>71</v>
      </c>
      <c r="P2151">
        <v>0</v>
      </c>
      <c r="Q2151">
        <v>0</v>
      </c>
      <c r="R2151">
        <v>0</v>
      </c>
      <c r="S2151" t="s">
        <v>99</v>
      </c>
      <c r="T2151" t="s">
        <v>3532</v>
      </c>
      <c r="U2151">
        <v>1</v>
      </c>
    </row>
    <row r="2152" spans="1:21" x14ac:dyDescent="0.3">
      <c r="A2152" t="s">
        <v>3533</v>
      </c>
      <c r="B2152" t="s">
        <v>3534</v>
      </c>
      <c r="C2152" t="s">
        <v>663</v>
      </c>
      <c r="D2152" t="s">
        <v>233</v>
      </c>
      <c r="E2152" t="s">
        <v>30</v>
      </c>
      <c r="F2152" s="6">
        <v>45107</v>
      </c>
      <c r="G2152">
        <v>56</v>
      </c>
      <c r="H2152">
        <v>63</v>
      </c>
      <c r="I2152">
        <v>1.125</v>
      </c>
      <c r="J2152">
        <v>1.125</v>
      </c>
      <c r="K2152" t="s">
        <v>31</v>
      </c>
      <c r="L2152" t="s">
        <v>31</v>
      </c>
      <c r="M2152">
        <v>2023</v>
      </c>
      <c r="N2152" t="s">
        <v>44</v>
      </c>
      <c r="O2152" t="s">
        <v>33</v>
      </c>
      <c r="P2152">
        <v>0</v>
      </c>
      <c r="Q2152">
        <v>0</v>
      </c>
      <c r="R2152">
        <v>0</v>
      </c>
      <c r="S2152" t="s">
        <v>99</v>
      </c>
      <c r="T2152" t="s">
        <v>3535</v>
      </c>
      <c r="U2152">
        <v>1</v>
      </c>
    </row>
    <row r="2153" spans="1:21" x14ac:dyDescent="0.3">
      <c r="A2153" t="s">
        <v>3533</v>
      </c>
      <c r="B2153" t="s">
        <v>3534</v>
      </c>
      <c r="C2153" t="s">
        <v>663</v>
      </c>
      <c r="D2153" t="s">
        <v>233</v>
      </c>
      <c r="E2153" t="s">
        <v>30</v>
      </c>
      <c r="F2153" s="6">
        <v>45291</v>
      </c>
      <c r="G2153">
        <v>100</v>
      </c>
      <c r="H2153">
        <v>90.95</v>
      </c>
      <c r="I2153">
        <v>0.90949999999999998</v>
      </c>
      <c r="J2153">
        <v>0.90949999999999998</v>
      </c>
      <c r="K2153" t="s">
        <v>31</v>
      </c>
      <c r="L2153" t="s">
        <v>31</v>
      </c>
      <c r="M2153">
        <v>2023</v>
      </c>
      <c r="N2153" t="s">
        <v>57</v>
      </c>
      <c r="O2153" t="s">
        <v>47</v>
      </c>
      <c r="P2153">
        <v>0</v>
      </c>
      <c r="Q2153">
        <v>0</v>
      </c>
      <c r="R2153">
        <v>0</v>
      </c>
      <c r="S2153" t="s">
        <v>99</v>
      </c>
      <c r="T2153" t="s">
        <v>3536</v>
      </c>
      <c r="U2153">
        <v>1</v>
      </c>
    </row>
    <row r="2154" spans="1:21" x14ac:dyDescent="0.3">
      <c r="A2154" t="s">
        <v>3533</v>
      </c>
      <c r="B2154" t="s">
        <v>3534</v>
      </c>
      <c r="C2154" t="s">
        <v>663</v>
      </c>
      <c r="D2154" t="s">
        <v>233</v>
      </c>
      <c r="E2154" t="s">
        <v>30</v>
      </c>
      <c r="F2154" s="6">
        <v>45473</v>
      </c>
      <c r="G2154">
        <v>42.15</v>
      </c>
      <c r="H2154">
        <v>45</v>
      </c>
      <c r="I2154">
        <v>1</v>
      </c>
      <c r="J2154">
        <v>1</v>
      </c>
      <c r="K2154" t="s">
        <v>31</v>
      </c>
      <c r="L2154" t="s">
        <v>31</v>
      </c>
      <c r="M2154">
        <v>2024</v>
      </c>
      <c r="N2154" t="s">
        <v>44</v>
      </c>
      <c r="O2154" t="s">
        <v>71</v>
      </c>
      <c r="P2154">
        <v>0</v>
      </c>
      <c r="Q2154">
        <v>0</v>
      </c>
      <c r="R2154">
        <v>0</v>
      </c>
      <c r="S2154" t="s">
        <v>99</v>
      </c>
      <c r="T2154" t="s">
        <v>3537</v>
      </c>
      <c r="U2154">
        <v>1</v>
      </c>
    </row>
    <row r="2155" spans="1:21" x14ac:dyDescent="0.3">
      <c r="A2155" t="s">
        <v>3538</v>
      </c>
      <c r="B2155" t="s">
        <v>3539</v>
      </c>
      <c r="C2155" t="s">
        <v>842</v>
      </c>
      <c r="D2155" t="s">
        <v>233</v>
      </c>
      <c r="E2155" t="s">
        <v>30</v>
      </c>
      <c r="F2155" s="6">
        <v>45107</v>
      </c>
      <c r="G2155">
        <v>67</v>
      </c>
      <c r="H2155">
        <v>61</v>
      </c>
      <c r="I2155">
        <v>0.91044776119402981</v>
      </c>
      <c r="J2155">
        <v>0.91044776119402981</v>
      </c>
      <c r="K2155" t="s">
        <v>31</v>
      </c>
      <c r="L2155" t="s">
        <v>31</v>
      </c>
      <c r="M2155">
        <v>2023</v>
      </c>
      <c r="N2155" t="s">
        <v>44</v>
      </c>
      <c r="O2155" t="s">
        <v>33</v>
      </c>
      <c r="P2155">
        <v>0</v>
      </c>
      <c r="Q2155">
        <v>0</v>
      </c>
      <c r="R2155">
        <v>0</v>
      </c>
      <c r="S2155" t="s">
        <v>99</v>
      </c>
      <c r="T2155" t="s">
        <v>3540</v>
      </c>
      <c r="U2155">
        <v>1</v>
      </c>
    </row>
    <row r="2156" spans="1:21" x14ac:dyDescent="0.3">
      <c r="A2156" t="s">
        <v>3538</v>
      </c>
      <c r="B2156" t="s">
        <v>3539</v>
      </c>
      <c r="C2156" t="s">
        <v>842</v>
      </c>
      <c r="D2156" t="s">
        <v>233</v>
      </c>
      <c r="E2156" t="s">
        <v>30</v>
      </c>
      <c r="F2156" s="6">
        <v>45291</v>
      </c>
      <c r="G2156">
        <v>100</v>
      </c>
      <c r="H2156">
        <v>99.78</v>
      </c>
      <c r="I2156">
        <v>0.99780000000000002</v>
      </c>
      <c r="J2156">
        <v>0.99780000000000002</v>
      </c>
      <c r="K2156" t="s">
        <v>31</v>
      </c>
      <c r="L2156" t="s">
        <v>31</v>
      </c>
      <c r="M2156">
        <v>2023</v>
      </c>
      <c r="N2156" t="s">
        <v>57</v>
      </c>
      <c r="O2156" t="s">
        <v>47</v>
      </c>
      <c r="P2156">
        <v>0</v>
      </c>
      <c r="Q2156">
        <v>0</v>
      </c>
      <c r="R2156">
        <v>0</v>
      </c>
      <c r="S2156" t="s">
        <v>99</v>
      </c>
      <c r="T2156" t="s">
        <v>3541</v>
      </c>
      <c r="U2156">
        <v>1</v>
      </c>
    </row>
    <row r="2157" spans="1:21" x14ac:dyDescent="0.3">
      <c r="A2157" t="s">
        <v>3538</v>
      </c>
      <c r="B2157" t="s">
        <v>3539</v>
      </c>
      <c r="C2157" t="s">
        <v>842</v>
      </c>
      <c r="D2157" t="s">
        <v>233</v>
      </c>
      <c r="E2157" t="s">
        <v>30</v>
      </c>
      <c r="F2157" s="6">
        <v>45473</v>
      </c>
      <c r="G2157">
        <v>51.88</v>
      </c>
      <c r="H2157">
        <v>57</v>
      </c>
      <c r="I2157">
        <v>1</v>
      </c>
      <c r="J2157">
        <v>1</v>
      </c>
      <c r="K2157" t="s">
        <v>31</v>
      </c>
      <c r="L2157" t="s">
        <v>31</v>
      </c>
      <c r="M2157">
        <v>2024</v>
      </c>
      <c r="N2157" t="s">
        <v>44</v>
      </c>
      <c r="O2157" t="s">
        <v>71</v>
      </c>
      <c r="P2157">
        <v>0</v>
      </c>
      <c r="Q2157">
        <v>0</v>
      </c>
      <c r="R2157">
        <v>0</v>
      </c>
      <c r="S2157" t="s">
        <v>99</v>
      </c>
      <c r="T2157" t="s">
        <v>3542</v>
      </c>
      <c r="U2157">
        <v>1</v>
      </c>
    </row>
    <row r="2158" spans="1:21" x14ac:dyDescent="0.3">
      <c r="A2158" t="s">
        <v>3543</v>
      </c>
      <c r="B2158" t="s">
        <v>3544</v>
      </c>
      <c r="C2158" t="s">
        <v>1997</v>
      </c>
      <c r="D2158" t="s">
        <v>233</v>
      </c>
      <c r="E2158" t="s">
        <v>30</v>
      </c>
      <c r="F2158" s="6">
        <v>45107</v>
      </c>
      <c r="G2158">
        <v>56</v>
      </c>
      <c r="H2158">
        <v>70</v>
      </c>
      <c r="I2158">
        <v>1.25</v>
      </c>
      <c r="J2158">
        <v>1.25</v>
      </c>
      <c r="K2158" t="s">
        <v>31</v>
      </c>
      <c r="L2158" t="s">
        <v>31</v>
      </c>
      <c r="M2158">
        <v>2023</v>
      </c>
      <c r="N2158" t="s">
        <v>44</v>
      </c>
      <c r="O2158" t="s">
        <v>33</v>
      </c>
      <c r="P2158">
        <v>0</v>
      </c>
      <c r="Q2158">
        <v>0</v>
      </c>
      <c r="R2158">
        <v>0</v>
      </c>
      <c r="S2158" t="s">
        <v>99</v>
      </c>
      <c r="T2158" t="s">
        <v>3545</v>
      </c>
      <c r="U2158">
        <v>1</v>
      </c>
    </row>
    <row r="2159" spans="1:21" x14ac:dyDescent="0.3">
      <c r="A2159" t="s">
        <v>3543</v>
      </c>
      <c r="B2159" t="s">
        <v>3544</v>
      </c>
      <c r="C2159" t="s">
        <v>1997</v>
      </c>
      <c r="D2159" t="s">
        <v>233</v>
      </c>
      <c r="E2159" t="s">
        <v>30</v>
      </c>
      <c r="F2159" s="6">
        <v>45291</v>
      </c>
      <c r="G2159">
        <v>100</v>
      </c>
      <c r="H2159">
        <v>100</v>
      </c>
      <c r="I2159">
        <v>1</v>
      </c>
      <c r="J2159">
        <v>1</v>
      </c>
      <c r="K2159" t="s">
        <v>31</v>
      </c>
      <c r="L2159" t="s">
        <v>31</v>
      </c>
      <c r="M2159">
        <v>2023</v>
      </c>
      <c r="N2159" t="s">
        <v>57</v>
      </c>
      <c r="O2159" t="s">
        <v>47</v>
      </c>
      <c r="P2159">
        <v>0</v>
      </c>
      <c r="Q2159">
        <v>0</v>
      </c>
      <c r="R2159">
        <v>0</v>
      </c>
      <c r="S2159" t="s">
        <v>99</v>
      </c>
      <c r="T2159" t="s">
        <v>3546</v>
      </c>
      <c r="U2159">
        <v>1</v>
      </c>
    </row>
    <row r="2160" spans="1:21" x14ac:dyDescent="0.3">
      <c r="A2160" t="s">
        <v>3543</v>
      </c>
      <c r="B2160" t="s">
        <v>3544</v>
      </c>
      <c r="C2160" t="s">
        <v>1997</v>
      </c>
      <c r="D2160" t="s">
        <v>233</v>
      </c>
      <c r="E2160" t="s">
        <v>30</v>
      </c>
      <c r="F2160" s="6">
        <v>45473</v>
      </c>
      <c r="G2160">
        <v>75.790000000000006</v>
      </c>
      <c r="H2160">
        <v>65.5</v>
      </c>
      <c r="I2160">
        <v>0.86423010951312829</v>
      </c>
      <c r="J2160">
        <v>0.86423010951312829</v>
      </c>
      <c r="K2160" t="s">
        <v>31</v>
      </c>
      <c r="L2160" t="s">
        <v>31</v>
      </c>
      <c r="M2160">
        <v>2024</v>
      </c>
      <c r="N2160" t="s">
        <v>44</v>
      </c>
      <c r="O2160" t="s">
        <v>71</v>
      </c>
      <c r="P2160">
        <v>0</v>
      </c>
      <c r="Q2160">
        <v>0</v>
      </c>
      <c r="R2160">
        <v>0</v>
      </c>
      <c r="S2160" t="s">
        <v>99</v>
      </c>
      <c r="T2160" t="s">
        <v>3547</v>
      </c>
      <c r="U2160">
        <v>1</v>
      </c>
    </row>
    <row r="2161" spans="1:21" x14ac:dyDescent="0.3">
      <c r="A2161" t="s">
        <v>3548</v>
      </c>
      <c r="B2161" t="s">
        <v>3549</v>
      </c>
      <c r="C2161" t="s">
        <v>28</v>
      </c>
      <c r="D2161" t="s">
        <v>233</v>
      </c>
      <c r="E2161" t="s">
        <v>30</v>
      </c>
      <c r="F2161" s="6">
        <v>45107</v>
      </c>
      <c r="G2161">
        <v>56</v>
      </c>
      <c r="H2161">
        <v>66</v>
      </c>
      <c r="I2161">
        <v>1.178571428571429</v>
      </c>
      <c r="J2161">
        <v>1.178571428571429</v>
      </c>
      <c r="K2161" t="s">
        <v>31</v>
      </c>
      <c r="L2161" t="s">
        <v>31</v>
      </c>
      <c r="M2161">
        <v>2023</v>
      </c>
      <c r="N2161" t="s">
        <v>44</v>
      </c>
      <c r="O2161" t="s">
        <v>33</v>
      </c>
      <c r="P2161">
        <v>0</v>
      </c>
      <c r="Q2161">
        <v>0</v>
      </c>
      <c r="R2161">
        <v>0</v>
      </c>
      <c r="S2161" t="s">
        <v>99</v>
      </c>
      <c r="T2161" t="s">
        <v>3550</v>
      </c>
      <c r="U2161">
        <v>1</v>
      </c>
    </row>
    <row r="2162" spans="1:21" x14ac:dyDescent="0.3">
      <c r="A2162" t="s">
        <v>3548</v>
      </c>
      <c r="B2162" t="s">
        <v>3549</v>
      </c>
      <c r="C2162" t="s">
        <v>28</v>
      </c>
      <c r="D2162" t="s">
        <v>233</v>
      </c>
      <c r="E2162" t="s">
        <v>30</v>
      </c>
      <c r="F2162" s="6">
        <v>45291</v>
      </c>
      <c r="G2162">
        <v>100</v>
      </c>
      <c r="H2162">
        <v>100</v>
      </c>
      <c r="I2162">
        <v>1</v>
      </c>
      <c r="J2162">
        <v>1</v>
      </c>
      <c r="K2162" t="s">
        <v>31</v>
      </c>
      <c r="L2162" t="s">
        <v>31</v>
      </c>
      <c r="M2162">
        <v>2023</v>
      </c>
      <c r="N2162" t="s">
        <v>57</v>
      </c>
      <c r="O2162" t="s">
        <v>47</v>
      </c>
      <c r="P2162">
        <v>0</v>
      </c>
      <c r="Q2162">
        <v>0</v>
      </c>
      <c r="R2162">
        <v>0</v>
      </c>
      <c r="S2162" t="s">
        <v>99</v>
      </c>
      <c r="T2162" t="s">
        <v>3551</v>
      </c>
      <c r="U2162">
        <v>1</v>
      </c>
    </row>
    <row r="2163" spans="1:21" x14ac:dyDescent="0.3">
      <c r="A2163" t="s">
        <v>3548</v>
      </c>
      <c r="B2163" t="s">
        <v>3549</v>
      </c>
      <c r="C2163" t="s">
        <v>28</v>
      </c>
      <c r="D2163" t="s">
        <v>233</v>
      </c>
      <c r="E2163" t="s">
        <v>30</v>
      </c>
      <c r="F2163" s="6">
        <v>45473</v>
      </c>
      <c r="G2163">
        <v>19.57</v>
      </c>
      <c r="H2163">
        <v>16.25</v>
      </c>
      <c r="I2163">
        <v>0.83035258048032701</v>
      </c>
      <c r="J2163">
        <v>0.83035258048032701</v>
      </c>
      <c r="K2163" t="s">
        <v>31</v>
      </c>
      <c r="L2163" t="s">
        <v>31</v>
      </c>
      <c r="M2163">
        <v>2024</v>
      </c>
      <c r="N2163" t="s">
        <v>44</v>
      </c>
      <c r="O2163" t="s">
        <v>71</v>
      </c>
      <c r="P2163">
        <v>0</v>
      </c>
      <c r="Q2163">
        <v>0</v>
      </c>
      <c r="R2163">
        <v>0</v>
      </c>
      <c r="S2163" t="s">
        <v>99</v>
      </c>
      <c r="T2163" t="s">
        <v>3552</v>
      </c>
      <c r="U2163">
        <v>1</v>
      </c>
    </row>
    <row r="2164" spans="1:21" x14ac:dyDescent="0.3">
      <c r="A2164" t="s">
        <v>3553</v>
      </c>
      <c r="B2164" t="s">
        <v>3554</v>
      </c>
      <c r="C2164" t="s">
        <v>3011</v>
      </c>
      <c r="D2164" t="s">
        <v>233</v>
      </c>
      <c r="E2164" t="s">
        <v>30</v>
      </c>
      <c r="F2164" s="6">
        <v>45107</v>
      </c>
      <c r="G2164">
        <v>61</v>
      </c>
      <c r="H2164">
        <v>69</v>
      </c>
      <c r="I2164">
        <v>1.131147540983606</v>
      </c>
      <c r="J2164">
        <v>1.131147540983606</v>
      </c>
      <c r="K2164" t="s">
        <v>31</v>
      </c>
      <c r="L2164" t="s">
        <v>31</v>
      </c>
      <c r="M2164">
        <v>2023</v>
      </c>
      <c r="N2164" t="s">
        <v>44</v>
      </c>
      <c r="O2164" t="s">
        <v>33</v>
      </c>
      <c r="P2164">
        <v>0</v>
      </c>
      <c r="Q2164">
        <v>0</v>
      </c>
      <c r="R2164">
        <v>0</v>
      </c>
      <c r="S2164" t="s">
        <v>99</v>
      </c>
      <c r="T2164" t="s">
        <v>3555</v>
      </c>
      <c r="U2164">
        <v>1</v>
      </c>
    </row>
    <row r="2165" spans="1:21" x14ac:dyDescent="0.3">
      <c r="A2165" t="s">
        <v>3553</v>
      </c>
      <c r="B2165" t="s">
        <v>3554</v>
      </c>
      <c r="C2165" t="s">
        <v>3011</v>
      </c>
      <c r="D2165" t="s">
        <v>233</v>
      </c>
      <c r="E2165" t="s">
        <v>30</v>
      </c>
      <c r="F2165" s="6">
        <v>45291</v>
      </c>
      <c r="G2165">
        <v>100</v>
      </c>
      <c r="H2165">
        <v>100</v>
      </c>
      <c r="I2165">
        <v>1</v>
      </c>
      <c r="J2165">
        <v>1</v>
      </c>
      <c r="K2165" t="s">
        <v>31</v>
      </c>
      <c r="L2165" t="s">
        <v>31</v>
      </c>
      <c r="M2165">
        <v>2023</v>
      </c>
      <c r="N2165" t="s">
        <v>57</v>
      </c>
      <c r="O2165" t="s">
        <v>47</v>
      </c>
      <c r="P2165">
        <v>0</v>
      </c>
      <c r="Q2165">
        <v>0</v>
      </c>
      <c r="R2165">
        <v>0</v>
      </c>
      <c r="S2165" t="s">
        <v>99</v>
      </c>
      <c r="T2165" t="s">
        <v>3556</v>
      </c>
      <c r="U2165">
        <v>1</v>
      </c>
    </row>
    <row r="2166" spans="1:21" x14ac:dyDescent="0.3">
      <c r="A2166" t="s">
        <v>3553</v>
      </c>
      <c r="B2166" t="s">
        <v>3554</v>
      </c>
      <c r="C2166" t="s">
        <v>3011</v>
      </c>
      <c r="D2166" t="s">
        <v>233</v>
      </c>
      <c r="E2166" t="s">
        <v>30</v>
      </c>
      <c r="F2166" s="6">
        <v>45473</v>
      </c>
      <c r="G2166">
        <v>64.13</v>
      </c>
      <c r="H2166">
        <v>67.98</v>
      </c>
      <c r="I2166">
        <v>1</v>
      </c>
      <c r="J2166">
        <v>1</v>
      </c>
      <c r="K2166" t="s">
        <v>31</v>
      </c>
      <c r="L2166" t="s">
        <v>31</v>
      </c>
      <c r="M2166">
        <v>2024</v>
      </c>
      <c r="N2166" t="s">
        <v>44</v>
      </c>
      <c r="O2166" t="s">
        <v>71</v>
      </c>
      <c r="P2166">
        <v>0</v>
      </c>
      <c r="Q2166">
        <v>0</v>
      </c>
      <c r="R2166">
        <v>0</v>
      </c>
      <c r="S2166" t="s">
        <v>99</v>
      </c>
      <c r="T2166" t="s">
        <v>3557</v>
      </c>
      <c r="U2166">
        <v>1</v>
      </c>
    </row>
    <row r="2167" spans="1:21" x14ac:dyDescent="0.3">
      <c r="A2167" t="s">
        <v>3558</v>
      </c>
      <c r="B2167" t="s">
        <v>3559</v>
      </c>
      <c r="C2167" t="s">
        <v>3011</v>
      </c>
      <c r="D2167" t="s">
        <v>233</v>
      </c>
      <c r="E2167" t="s">
        <v>30</v>
      </c>
      <c r="F2167" s="6">
        <v>45107</v>
      </c>
      <c r="G2167">
        <v>64</v>
      </c>
      <c r="H2167">
        <v>66</v>
      </c>
      <c r="I2167">
        <v>1.03125</v>
      </c>
      <c r="J2167">
        <v>1.03125</v>
      </c>
      <c r="K2167" t="s">
        <v>31</v>
      </c>
      <c r="L2167" t="s">
        <v>31</v>
      </c>
      <c r="M2167">
        <v>2023</v>
      </c>
      <c r="N2167" t="s">
        <v>44</v>
      </c>
      <c r="O2167" t="s">
        <v>33</v>
      </c>
      <c r="P2167">
        <v>0</v>
      </c>
      <c r="Q2167">
        <v>0</v>
      </c>
      <c r="R2167">
        <v>0</v>
      </c>
      <c r="S2167" t="s">
        <v>99</v>
      </c>
      <c r="T2167" t="s">
        <v>3560</v>
      </c>
      <c r="U2167">
        <v>1</v>
      </c>
    </row>
    <row r="2168" spans="1:21" x14ac:dyDescent="0.3">
      <c r="A2168" t="s">
        <v>3558</v>
      </c>
      <c r="B2168" t="s">
        <v>3559</v>
      </c>
      <c r="C2168" t="s">
        <v>3011</v>
      </c>
      <c r="D2168" t="s">
        <v>233</v>
      </c>
      <c r="E2168" t="s">
        <v>30</v>
      </c>
      <c r="F2168" s="6">
        <v>45291</v>
      </c>
      <c r="G2168">
        <v>100</v>
      </c>
      <c r="H2168">
        <v>97.74</v>
      </c>
      <c r="I2168">
        <v>0.97739999999999994</v>
      </c>
      <c r="J2168">
        <v>0.97739999999999994</v>
      </c>
      <c r="K2168" t="s">
        <v>31</v>
      </c>
      <c r="L2168" t="s">
        <v>31</v>
      </c>
      <c r="M2168">
        <v>2023</v>
      </c>
      <c r="N2168" t="s">
        <v>57</v>
      </c>
      <c r="O2168" t="s">
        <v>47</v>
      </c>
      <c r="P2168">
        <v>0</v>
      </c>
      <c r="Q2168">
        <v>0</v>
      </c>
      <c r="R2168">
        <v>0</v>
      </c>
      <c r="S2168" t="s">
        <v>99</v>
      </c>
      <c r="T2168" t="s">
        <v>3561</v>
      </c>
      <c r="U2168">
        <v>1</v>
      </c>
    </row>
    <row r="2169" spans="1:21" x14ac:dyDescent="0.3">
      <c r="A2169" t="s">
        <v>3558</v>
      </c>
      <c r="B2169" t="s">
        <v>3559</v>
      </c>
      <c r="C2169" t="s">
        <v>3011</v>
      </c>
      <c r="D2169" t="s">
        <v>233</v>
      </c>
      <c r="E2169" t="s">
        <v>30</v>
      </c>
      <c r="F2169" s="6">
        <v>45473</v>
      </c>
      <c r="G2169">
        <v>59.61</v>
      </c>
      <c r="H2169">
        <v>65.25</v>
      </c>
      <c r="I2169">
        <v>1</v>
      </c>
      <c r="J2169">
        <v>1</v>
      </c>
      <c r="K2169" t="s">
        <v>31</v>
      </c>
      <c r="L2169" t="s">
        <v>31</v>
      </c>
      <c r="M2169">
        <v>2024</v>
      </c>
      <c r="N2169" t="s">
        <v>44</v>
      </c>
      <c r="O2169" t="s">
        <v>71</v>
      </c>
      <c r="P2169">
        <v>0</v>
      </c>
      <c r="Q2169">
        <v>0</v>
      </c>
      <c r="R2169">
        <v>0</v>
      </c>
      <c r="S2169" t="s">
        <v>99</v>
      </c>
      <c r="T2169" t="s">
        <v>3562</v>
      </c>
      <c r="U2169">
        <v>1</v>
      </c>
    </row>
    <row r="2170" spans="1:21" x14ac:dyDescent="0.3">
      <c r="A2170" t="s">
        <v>3563</v>
      </c>
      <c r="B2170" t="s">
        <v>3564</v>
      </c>
      <c r="C2170" t="s">
        <v>3011</v>
      </c>
      <c r="D2170" t="s">
        <v>233</v>
      </c>
      <c r="E2170" t="s">
        <v>30</v>
      </c>
      <c r="F2170" s="6">
        <v>45107</v>
      </c>
      <c r="G2170">
        <v>71</v>
      </c>
      <c r="H2170">
        <v>84</v>
      </c>
      <c r="I2170">
        <v>1.183098591549296</v>
      </c>
      <c r="J2170">
        <v>1.183098591549296</v>
      </c>
      <c r="K2170" t="s">
        <v>31</v>
      </c>
      <c r="L2170" t="s">
        <v>31</v>
      </c>
      <c r="M2170">
        <v>2023</v>
      </c>
      <c r="N2170" t="s">
        <v>44</v>
      </c>
      <c r="O2170" t="s">
        <v>33</v>
      </c>
      <c r="P2170">
        <v>0</v>
      </c>
      <c r="Q2170">
        <v>0</v>
      </c>
      <c r="R2170">
        <v>0</v>
      </c>
      <c r="S2170" t="s">
        <v>99</v>
      </c>
      <c r="T2170" t="s">
        <v>3565</v>
      </c>
      <c r="U2170">
        <v>1</v>
      </c>
    </row>
    <row r="2171" spans="1:21" x14ac:dyDescent="0.3">
      <c r="A2171" t="s">
        <v>3563</v>
      </c>
      <c r="B2171" t="s">
        <v>3564</v>
      </c>
      <c r="C2171" t="s">
        <v>3011</v>
      </c>
      <c r="D2171" t="s">
        <v>233</v>
      </c>
      <c r="E2171" t="s">
        <v>30</v>
      </c>
      <c r="F2171" s="6">
        <v>45291</v>
      </c>
      <c r="G2171">
        <v>100</v>
      </c>
      <c r="H2171">
        <v>100</v>
      </c>
      <c r="I2171">
        <v>1</v>
      </c>
      <c r="J2171">
        <v>1</v>
      </c>
      <c r="K2171" t="s">
        <v>31</v>
      </c>
      <c r="L2171" t="s">
        <v>31</v>
      </c>
      <c r="M2171">
        <v>2023</v>
      </c>
      <c r="N2171" t="s">
        <v>57</v>
      </c>
      <c r="O2171" t="s">
        <v>47</v>
      </c>
      <c r="P2171">
        <v>0</v>
      </c>
      <c r="Q2171">
        <v>0</v>
      </c>
      <c r="R2171">
        <v>0</v>
      </c>
      <c r="S2171" t="s">
        <v>99</v>
      </c>
      <c r="T2171" t="s">
        <v>3566</v>
      </c>
      <c r="U2171">
        <v>1</v>
      </c>
    </row>
    <row r="2172" spans="1:21" x14ac:dyDescent="0.3">
      <c r="A2172" t="s">
        <v>3563</v>
      </c>
      <c r="B2172" t="s">
        <v>3564</v>
      </c>
      <c r="C2172" t="s">
        <v>3011</v>
      </c>
      <c r="D2172" t="s">
        <v>233</v>
      </c>
      <c r="E2172" t="s">
        <v>30</v>
      </c>
      <c r="F2172" s="6">
        <v>45473</v>
      </c>
      <c r="G2172">
        <v>46.42</v>
      </c>
      <c r="H2172">
        <v>47.33</v>
      </c>
      <c r="I2172">
        <v>1</v>
      </c>
      <c r="J2172">
        <v>1</v>
      </c>
      <c r="K2172" t="s">
        <v>31</v>
      </c>
      <c r="L2172" t="s">
        <v>31</v>
      </c>
      <c r="M2172">
        <v>2024</v>
      </c>
      <c r="N2172" t="s">
        <v>44</v>
      </c>
      <c r="O2172" t="s">
        <v>71</v>
      </c>
      <c r="P2172">
        <v>0</v>
      </c>
      <c r="Q2172">
        <v>0</v>
      </c>
      <c r="R2172">
        <v>0</v>
      </c>
      <c r="S2172" t="s">
        <v>99</v>
      </c>
      <c r="T2172" t="s">
        <v>3567</v>
      </c>
      <c r="U2172">
        <v>1</v>
      </c>
    </row>
    <row r="2173" spans="1:21" x14ac:dyDescent="0.3">
      <c r="A2173" t="s">
        <v>3568</v>
      </c>
      <c r="B2173" t="s">
        <v>3569</v>
      </c>
      <c r="D2173" t="s">
        <v>233</v>
      </c>
      <c r="E2173" t="s">
        <v>30</v>
      </c>
      <c r="F2173" s="6">
        <v>45107</v>
      </c>
      <c r="G2173">
        <v>100</v>
      </c>
      <c r="H2173">
        <v>108.3</v>
      </c>
      <c r="I2173">
        <v>1.083</v>
      </c>
      <c r="J2173">
        <v>1.083</v>
      </c>
      <c r="K2173" t="s">
        <v>31</v>
      </c>
      <c r="L2173" t="s">
        <v>31</v>
      </c>
      <c r="M2173">
        <v>2023</v>
      </c>
      <c r="N2173" t="s">
        <v>44</v>
      </c>
      <c r="O2173" t="s">
        <v>33</v>
      </c>
      <c r="P2173">
        <v>0</v>
      </c>
      <c r="Q2173">
        <v>0</v>
      </c>
      <c r="R2173">
        <v>0</v>
      </c>
      <c r="S2173" t="s">
        <v>99</v>
      </c>
      <c r="T2173" t="s">
        <v>3570</v>
      </c>
      <c r="U2173">
        <v>1</v>
      </c>
    </row>
    <row r="2174" spans="1:21" x14ac:dyDescent="0.3">
      <c r="A2174" t="s">
        <v>3568</v>
      </c>
      <c r="B2174" t="s">
        <v>3569</v>
      </c>
      <c r="D2174" t="s">
        <v>233</v>
      </c>
      <c r="E2174" t="s">
        <v>30</v>
      </c>
      <c r="F2174" s="6">
        <v>45199</v>
      </c>
      <c r="G2174">
        <v>100</v>
      </c>
      <c r="H2174">
        <v>88.35</v>
      </c>
      <c r="I2174">
        <v>0.88349999999999995</v>
      </c>
      <c r="J2174">
        <v>0.88349999999999995</v>
      </c>
      <c r="K2174" t="s">
        <v>31</v>
      </c>
      <c r="L2174" t="s">
        <v>31</v>
      </c>
      <c r="M2174">
        <v>2023</v>
      </c>
      <c r="N2174" t="s">
        <v>51</v>
      </c>
      <c r="O2174" t="s">
        <v>47</v>
      </c>
      <c r="P2174">
        <v>0</v>
      </c>
      <c r="Q2174">
        <v>0</v>
      </c>
      <c r="R2174">
        <v>0</v>
      </c>
      <c r="S2174" t="s">
        <v>99</v>
      </c>
      <c r="T2174" t="s">
        <v>3571</v>
      </c>
      <c r="U2174">
        <v>1</v>
      </c>
    </row>
    <row r="2175" spans="1:21" x14ac:dyDescent="0.3">
      <c r="A2175" t="s">
        <v>3568</v>
      </c>
      <c r="B2175" t="s">
        <v>3569</v>
      </c>
      <c r="D2175" t="s">
        <v>233</v>
      </c>
      <c r="E2175" t="s">
        <v>30</v>
      </c>
      <c r="F2175" s="6">
        <v>45291</v>
      </c>
      <c r="G2175">
        <v>100</v>
      </c>
      <c r="H2175">
        <v>93.56</v>
      </c>
      <c r="I2175">
        <v>0.93559999999999999</v>
      </c>
      <c r="J2175">
        <v>0.93559999999999999</v>
      </c>
      <c r="K2175" t="s">
        <v>31</v>
      </c>
      <c r="L2175" t="s">
        <v>31</v>
      </c>
      <c r="M2175">
        <v>2023</v>
      </c>
      <c r="N2175" t="s">
        <v>57</v>
      </c>
      <c r="O2175" t="s">
        <v>47</v>
      </c>
      <c r="P2175">
        <v>0</v>
      </c>
      <c r="Q2175">
        <v>0</v>
      </c>
      <c r="R2175">
        <v>0</v>
      </c>
      <c r="S2175" t="s">
        <v>99</v>
      </c>
      <c r="T2175" t="s">
        <v>3572</v>
      </c>
      <c r="U2175">
        <v>1</v>
      </c>
    </row>
    <row r="2176" spans="1:21" x14ac:dyDescent="0.3">
      <c r="A2176" t="s">
        <v>3573</v>
      </c>
      <c r="B2176" t="s">
        <v>3574</v>
      </c>
      <c r="D2176" t="s">
        <v>233</v>
      </c>
      <c r="E2176" t="s">
        <v>30</v>
      </c>
      <c r="F2176" s="6">
        <v>45107</v>
      </c>
      <c r="G2176">
        <v>100</v>
      </c>
      <c r="H2176">
        <v>112.97</v>
      </c>
      <c r="I2176">
        <v>1.1296999999999999</v>
      </c>
      <c r="J2176">
        <v>1.1296999999999999</v>
      </c>
      <c r="K2176" t="s">
        <v>31</v>
      </c>
      <c r="L2176" t="s">
        <v>31</v>
      </c>
      <c r="M2176">
        <v>2023</v>
      </c>
      <c r="N2176" t="s">
        <v>44</v>
      </c>
      <c r="O2176" t="s">
        <v>33</v>
      </c>
      <c r="P2176">
        <v>0</v>
      </c>
      <c r="Q2176">
        <v>0</v>
      </c>
      <c r="R2176">
        <v>0</v>
      </c>
      <c r="S2176" t="s">
        <v>99</v>
      </c>
      <c r="T2176" t="s">
        <v>3575</v>
      </c>
      <c r="U2176">
        <v>1</v>
      </c>
    </row>
    <row r="2177" spans="1:21" x14ac:dyDescent="0.3">
      <c r="A2177" t="s">
        <v>3573</v>
      </c>
      <c r="B2177" t="s">
        <v>3574</v>
      </c>
      <c r="D2177" t="s">
        <v>233</v>
      </c>
      <c r="E2177" t="s">
        <v>30</v>
      </c>
      <c r="F2177" s="6">
        <v>45199</v>
      </c>
      <c r="G2177">
        <v>100</v>
      </c>
      <c r="H2177">
        <v>94.59</v>
      </c>
      <c r="I2177">
        <v>0.94590000000000007</v>
      </c>
      <c r="J2177">
        <v>0.94590000000000007</v>
      </c>
      <c r="K2177" t="s">
        <v>31</v>
      </c>
      <c r="L2177" t="s">
        <v>31</v>
      </c>
      <c r="M2177">
        <v>2023</v>
      </c>
      <c r="N2177" t="s">
        <v>51</v>
      </c>
      <c r="O2177" t="s">
        <v>47</v>
      </c>
      <c r="P2177">
        <v>0</v>
      </c>
      <c r="Q2177">
        <v>0</v>
      </c>
      <c r="R2177">
        <v>0</v>
      </c>
      <c r="S2177" t="s">
        <v>99</v>
      </c>
      <c r="T2177" t="s">
        <v>3576</v>
      </c>
      <c r="U2177">
        <v>1</v>
      </c>
    </row>
    <row r="2178" spans="1:21" x14ac:dyDescent="0.3">
      <c r="A2178" t="s">
        <v>3573</v>
      </c>
      <c r="B2178" t="s">
        <v>3574</v>
      </c>
      <c r="D2178" t="s">
        <v>233</v>
      </c>
      <c r="E2178" t="s">
        <v>30</v>
      </c>
      <c r="F2178" s="6">
        <v>45291</v>
      </c>
      <c r="G2178">
        <v>100</v>
      </c>
      <c r="H2178">
        <v>100</v>
      </c>
      <c r="I2178">
        <v>1</v>
      </c>
      <c r="J2178">
        <v>1</v>
      </c>
      <c r="K2178" t="s">
        <v>31</v>
      </c>
      <c r="L2178" t="s">
        <v>31</v>
      </c>
      <c r="M2178">
        <v>2023</v>
      </c>
      <c r="N2178" t="s">
        <v>57</v>
      </c>
      <c r="O2178" t="s">
        <v>47</v>
      </c>
      <c r="P2178">
        <v>0</v>
      </c>
      <c r="Q2178">
        <v>0</v>
      </c>
      <c r="R2178">
        <v>0</v>
      </c>
      <c r="S2178" t="s">
        <v>99</v>
      </c>
      <c r="T2178" t="s">
        <v>3577</v>
      </c>
      <c r="U2178">
        <v>1</v>
      </c>
    </row>
    <row r="2179" spans="1:21" x14ac:dyDescent="0.3">
      <c r="A2179" t="s">
        <v>3573</v>
      </c>
      <c r="B2179" t="s">
        <v>3574</v>
      </c>
      <c r="C2179" t="s">
        <v>129</v>
      </c>
      <c r="D2179" t="s">
        <v>233</v>
      </c>
      <c r="E2179" t="s">
        <v>30</v>
      </c>
      <c r="F2179" s="6">
        <v>45382</v>
      </c>
      <c r="G2179">
        <v>100</v>
      </c>
      <c r="I2179">
        <v>0</v>
      </c>
      <c r="J2179">
        <v>0</v>
      </c>
      <c r="K2179" t="s">
        <v>31</v>
      </c>
      <c r="L2179" t="s">
        <v>31</v>
      </c>
      <c r="M2179">
        <v>2024</v>
      </c>
      <c r="N2179" t="s">
        <v>38</v>
      </c>
      <c r="O2179" t="s">
        <v>71</v>
      </c>
      <c r="P2179">
        <v>0</v>
      </c>
      <c r="Q2179">
        <v>0</v>
      </c>
      <c r="R2179">
        <v>0</v>
      </c>
      <c r="S2179" t="s">
        <v>99</v>
      </c>
      <c r="T2179" t="s">
        <v>3578</v>
      </c>
      <c r="U2179">
        <v>1</v>
      </c>
    </row>
    <row r="2180" spans="1:21" x14ac:dyDescent="0.3">
      <c r="A2180" t="s">
        <v>3573</v>
      </c>
      <c r="B2180" t="s">
        <v>3574</v>
      </c>
      <c r="C2180" t="s">
        <v>129</v>
      </c>
      <c r="D2180" t="s">
        <v>233</v>
      </c>
      <c r="E2180" t="s">
        <v>30</v>
      </c>
      <c r="F2180" s="6">
        <v>45473</v>
      </c>
      <c r="G2180">
        <v>100</v>
      </c>
      <c r="H2180">
        <v>89.71</v>
      </c>
      <c r="I2180">
        <v>0.8970999999999999</v>
      </c>
      <c r="J2180">
        <v>0.8970999999999999</v>
      </c>
      <c r="K2180" t="s">
        <v>31</v>
      </c>
      <c r="L2180" t="s">
        <v>31</v>
      </c>
      <c r="M2180">
        <v>2024</v>
      </c>
      <c r="N2180" t="s">
        <v>44</v>
      </c>
      <c r="O2180" t="s">
        <v>71</v>
      </c>
      <c r="P2180">
        <v>0</v>
      </c>
      <c r="Q2180">
        <v>0</v>
      </c>
      <c r="R2180">
        <v>0</v>
      </c>
      <c r="S2180" t="s">
        <v>99</v>
      </c>
      <c r="T2180" t="s">
        <v>3579</v>
      </c>
      <c r="U2180">
        <v>1</v>
      </c>
    </row>
    <row r="2181" spans="1:21" x14ac:dyDescent="0.3">
      <c r="A2181" t="s">
        <v>3573</v>
      </c>
      <c r="B2181" t="s">
        <v>3574</v>
      </c>
      <c r="C2181" t="s">
        <v>129</v>
      </c>
      <c r="D2181" t="s">
        <v>233</v>
      </c>
      <c r="E2181" t="s">
        <v>30</v>
      </c>
      <c r="F2181" s="6">
        <v>45565</v>
      </c>
      <c r="G2181">
        <v>100</v>
      </c>
      <c r="H2181">
        <v>102.36</v>
      </c>
      <c r="I2181">
        <v>1.0236000000000001</v>
      </c>
      <c r="J2181">
        <v>1.0236000000000001</v>
      </c>
      <c r="K2181" t="s">
        <v>31</v>
      </c>
      <c r="L2181" t="s">
        <v>31</v>
      </c>
      <c r="M2181">
        <v>2024</v>
      </c>
      <c r="N2181" t="s">
        <v>51</v>
      </c>
      <c r="O2181" t="s">
        <v>78</v>
      </c>
      <c r="P2181">
        <v>0</v>
      </c>
      <c r="Q2181">
        <v>0</v>
      </c>
      <c r="R2181">
        <v>0</v>
      </c>
      <c r="S2181" t="s">
        <v>99</v>
      </c>
      <c r="T2181" t="s">
        <v>3580</v>
      </c>
      <c r="U2181">
        <v>1</v>
      </c>
    </row>
    <row r="2182" spans="1:21" x14ac:dyDescent="0.3">
      <c r="A2182" t="s">
        <v>3573</v>
      </c>
      <c r="B2182" t="s">
        <v>3574</v>
      </c>
      <c r="C2182" t="s">
        <v>129</v>
      </c>
      <c r="D2182" t="s">
        <v>233</v>
      </c>
      <c r="E2182" t="s">
        <v>30</v>
      </c>
      <c r="F2182" s="6">
        <v>45657</v>
      </c>
      <c r="G2182">
        <v>100</v>
      </c>
      <c r="H2182">
        <v>0</v>
      </c>
      <c r="I2182">
        <v>0</v>
      </c>
      <c r="J2182">
        <v>0</v>
      </c>
      <c r="K2182" t="s">
        <v>31</v>
      </c>
      <c r="L2182" t="s">
        <v>31</v>
      </c>
      <c r="M2182">
        <v>2024</v>
      </c>
      <c r="N2182" t="s">
        <v>57</v>
      </c>
      <c r="O2182" t="s">
        <v>78</v>
      </c>
      <c r="P2182">
        <v>0</v>
      </c>
      <c r="Q2182">
        <v>0</v>
      </c>
      <c r="R2182">
        <v>0</v>
      </c>
      <c r="S2182" t="s">
        <v>99</v>
      </c>
      <c r="T2182" t="s">
        <v>3581</v>
      </c>
      <c r="U2182">
        <v>1</v>
      </c>
    </row>
    <row r="2183" spans="1:21" x14ac:dyDescent="0.3">
      <c r="A2183" t="s">
        <v>3573</v>
      </c>
      <c r="B2183" t="s">
        <v>3574</v>
      </c>
      <c r="C2183" t="s">
        <v>129</v>
      </c>
      <c r="D2183" t="s">
        <v>233</v>
      </c>
      <c r="E2183" t="s">
        <v>30</v>
      </c>
      <c r="F2183" s="6">
        <v>45747</v>
      </c>
      <c r="G2183">
        <v>100</v>
      </c>
      <c r="H2183" t="s">
        <v>3582</v>
      </c>
      <c r="I2183">
        <v>1.222</v>
      </c>
      <c r="J2183">
        <v>1.222</v>
      </c>
      <c r="K2183" t="s">
        <v>102</v>
      </c>
      <c r="L2183" t="s">
        <v>3583</v>
      </c>
      <c r="M2183">
        <v>2025</v>
      </c>
      <c r="N2183" t="s">
        <v>38</v>
      </c>
      <c r="O2183" t="s">
        <v>244</v>
      </c>
      <c r="P2183">
        <v>2</v>
      </c>
      <c r="Q2183">
        <v>2</v>
      </c>
      <c r="R2183">
        <v>0</v>
      </c>
      <c r="S2183" t="s">
        <v>104</v>
      </c>
      <c r="T2183" t="s">
        <v>3584</v>
      </c>
      <c r="U2183">
        <v>31</v>
      </c>
    </row>
    <row r="2184" spans="1:21" x14ac:dyDescent="0.3">
      <c r="A2184" t="s">
        <v>3573</v>
      </c>
      <c r="B2184" t="s">
        <v>3574</v>
      </c>
      <c r="C2184" t="s">
        <v>129</v>
      </c>
      <c r="D2184" t="s">
        <v>233</v>
      </c>
      <c r="E2184" t="s">
        <v>30</v>
      </c>
      <c r="F2184" s="6">
        <v>45838</v>
      </c>
      <c r="G2184">
        <v>100</v>
      </c>
      <c r="H2184" t="s">
        <v>3585</v>
      </c>
      <c r="I2184">
        <v>1.0851999999999999</v>
      </c>
      <c r="J2184">
        <v>1.0851999999999999</v>
      </c>
      <c r="K2184" t="s">
        <v>102</v>
      </c>
      <c r="L2184" t="s">
        <v>3586</v>
      </c>
      <c r="M2184">
        <v>2025</v>
      </c>
      <c r="N2184" t="s">
        <v>44</v>
      </c>
      <c r="O2184" t="s">
        <v>244</v>
      </c>
      <c r="P2184">
        <v>2</v>
      </c>
      <c r="Q2184">
        <v>2</v>
      </c>
      <c r="R2184">
        <v>0</v>
      </c>
      <c r="S2184" t="s">
        <v>104</v>
      </c>
      <c r="T2184" t="s">
        <v>3587</v>
      </c>
      <c r="U2184">
        <v>30</v>
      </c>
    </row>
    <row r="2185" spans="1:21" x14ac:dyDescent="0.3">
      <c r="A2185" t="s">
        <v>3573</v>
      </c>
      <c r="B2185" t="s">
        <v>3574</v>
      </c>
      <c r="C2185" t="s">
        <v>129</v>
      </c>
      <c r="D2185" t="s">
        <v>233</v>
      </c>
      <c r="E2185" t="s">
        <v>30</v>
      </c>
      <c r="F2185" s="6">
        <v>46022</v>
      </c>
      <c r="G2185">
        <v>100</v>
      </c>
      <c r="I2185">
        <v>0</v>
      </c>
      <c r="J2185">
        <v>0</v>
      </c>
      <c r="K2185" t="s">
        <v>102</v>
      </c>
      <c r="M2185">
        <v>2025</v>
      </c>
      <c r="N2185" t="s">
        <v>57</v>
      </c>
      <c r="O2185" t="s">
        <v>103</v>
      </c>
      <c r="P2185">
        <v>2</v>
      </c>
      <c r="Q2185">
        <v>2</v>
      </c>
      <c r="R2185">
        <v>0</v>
      </c>
      <c r="S2185" t="s">
        <v>104</v>
      </c>
      <c r="T2185" t="s">
        <v>3588</v>
      </c>
      <c r="U2185">
        <v>31</v>
      </c>
    </row>
    <row r="2186" spans="1:21" x14ac:dyDescent="0.3">
      <c r="A2186" t="s">
        <v>3589</v>
      </c>
      <c r="B2186" t="s">
        <v>3590</v>
      </c>
      <c r="C2186" t="s">
        <v>309</v>
      </c>
      <c r="D2186" t="s">
        <v>233</v>
      </c>
      <c r="E2186" t="s">
        <v>30</v>
      </c>
      <c r="F2186" s="6">
        <v>45107</v>
      </c>
      <c r="G2186">
        <v>50.8</v>
      </c>
      <c r="H2186">
        <v>47.47</v>
      </c>
      <c r="I2186">
        <v>0.93444881889763787</v>
      </c>
      <c r="J2186">
        <v>0.93444881889763787</v>
      </c>
      <c r="K2186" t="s">
        <v>31</v>
      </c>
      <c r="L2186" t="s">
        <v>31</v>
      </c>
      <c r="M2186">
        <v>2023</v>
      </c>
      <c r="N2186" t="s">
        <v>44</v>
      </c>
      <c r="O2186" t="s">
        <v>33</v>
      </c>
      <c r="P2186">
        <v>0</v>
      </c>
      <c r="Q2186">
        <v>0</v>
      </c>
      <c r="R2186">
        <v>0</v>
      </c>
      <c r="S2186" t="s">
        <v>99</v>
      </c>
      <c r="T2186" t="s">
        <v>3591</v>
      </c>
      <c r="U2186">
        <v>1</v>
      </c>
    </row>
    <row r="2187" spans="1:21" x14ac:dyDescent="0.3">
      <c r="A2187" t="s">
        <v>3589</v>
      </c>
      <c r="B2187" t="s">
        <v>3590</v>
      </c>
      <c r="C2187" t="s">
        <v>309</v>
      </c>
      <c r="D2187" t="s">
        <v>233</v>
      </c>
      <c r="E2187" t="s">
        <v>30</v>
      </c>
      <c r="F2187" s="6">
        <v>45291</v>
      </c>
      <c r="G2187">
        <v>100</v>
      </c>
      <c r="H2187">
        <v>100</v>
      </c>
      <c r="I2187">
        <v>1</v>
      </c>
      <c r="J2187">
        <v>1</v>
      </c>
      <c r="K2187" t="s">
        <v>31</v>
      </c>
      <c r="L2187" t="s">
        <v>31</v>
      </c>
      <c r="M2187">
        <v>2023</v>
      </c>
      <c r="N2187" t="s">
        <v>57</v>
      </c>
      <c r="O2187" t="s">
        <v>47</v>
      </c>
      <c r="P2187">
        <v>0</v>
      </c>
      <c r="Q2187">
        <v>0</v>
      </c>
      <c r="R2187">
        <v>0</v>
      </c>
      <c r="S2187" t="s">
        <v>99</v>
      </c>
      <c r="T2187" t="s">
        <v>3592</v>
      </c>
      <c r="U2187">
        <v>1</v>
      </c>
    </row>
    <row r="2188" spans="1:21" x14ac:dyDescent="0.3">
      <c r="A2188" t="s">
        <v>3589</v>
      </c>
      <c r="B2188" t="s">
        <v>3590</v>
      </c>
      <c r="C2188" t="s">
        <v>309</v>
      </c>
      <c r="D2188" t="s">
        <v>233</v>
      </c>
      <c r="E2188" t="s">
        <v>30</v>
      </c>
      <c r="F2188" s="6">
        <v>45473</v>
      </c>
      <c r="G2188">
        <v>72.38</v>
      </c>
      <c r="H2188">
        <v>70.209999999999994</v>
      </c>
      <c r="I2188">
        <v>0.97001934235976783</v>
      </c>
      <c r="J2188">
        <v>0.97001934235976783</v>
      </c>
      <c r="K2188" t="s">
        <v>31</v>
      </c>
      <c r="L2188" t="s">
        <v>31</v>
      </c>
      <c r="M2188">
        <v>2024</v>
      </c>
      <c r="N2188" t="s">
        <v>44</v>
      </c>
      <c r="O2188" t="s">
        <v>71</v>
      </c>
      <c r="P2188">
        <v>0</v>
      </c>
      <c r="Q2188">
        <v>0</v>
      </c>
      <c r="R2188">
        <v>0</v>
      </c>
      <c r="S2188" t="s">
        <v>99</v>
      </c>
      <c r="T2188" t="s">
        <v>3593</v>
      </c>
      <c r="U2188">
        <v>1</v>
      </c>
    </row>
    <row r="2189" spans="1:21" x14ac:dyDescent="0.3">
      <c r="A2189" t="s">
        <v>3594</v>
      </c>
      <c r="B2189" t="s">
        <v>3595</v>
      </c>
      <c r="C2189" t="s">
        <v>299</v>
      </c>
      <c r="D2189" t="s">
        <v>233</v>
      </c>
      <c r="E2189" t="s">
        <v>30</v>
      </c>
      <c r="F2189" s="6">
        <v>45107</v>
      </c>
      <c r="G2189">
        <v>31.86</v>
      </c>
      <c r="H2189">
        <v>54</v>
      </c>
      <c r="I2189">
        <v>1.3</v>
      </c>
      <c r="J2189">
        <v>1.6949152542372881</v>
      </c>
      <c r="K2189" t="s">
        <v>31</v>
      </c>
      <c r="L2189" t="s">
        <v>31</v>
      </c>
      <c r="M2189">
        <v>2023</v>
      </c>
      <c r="N2189" t="s">
        <v>44</v>
      </c>
      <c r="O2189" t="s">
        <v>33</v>
      </c>
      <c r="P2189">
        <v>0</v>
      </c>
      <c r="Q2189">
        <v>0</v>
      </c>
      <c r="R2189">
        <v>0</v>
      </c>
      <c r="S2189" t="s">
        <v>99</v>
      </c>
      <c r="T2189" t="s">
        <v>3596</v>
      </c>
      <c r="U2189">
        <v>1</v>
      </c>
    </row>
    <row r="2190" spans="1:21" x14ac:dyDescent="0.3">
      <c r="A2190" t="s">
        <v>3594</v>
      </c>
      <c r="B2190" t="s">
        <v>3595</v>
      </c>
      <c r="C2190" t="s">
        <v>299</v>
      </c>
      <c r="D2190" t="s">
        <v>233</v>
      </c>
      <c r="E2190" t="s">
        <v>30</v>
      </c>
      <c r="F2190" s="6">
        <v>45291</v>
      </c>
      <c r="G2190">
        <v>100</v>
      </c>
      <c r="H2190">
        <v>100</v>
      </c>
      <c r="I2190">
        <v>1</v>
      </c>
      <c r="J2190">
        <v>1</v>
      </c>
      <c r="K2190" t="s">
        <v>31</v>
      </c>
      <c r="L2190" t="s">
        <v>31</v>
      </c>
      <c r="M2190">
        <v>2023</v>
      </c>
      <c r="N2190" t="s">
        <v>57</v>
      </c>
      <c r="O2190" t="s">
        <v>47</v>
      </c>
      <c r="P2190">
        <v>0</v>
      </c>
      <c r="Q2190">
        <v>0</v>
      </c>
      <c r="R2190">
        <v>0</v>
      </c>
      <c r="S2190" t="s">
        <v>99</v>
      </c>
      <c r="T2190" t="s">
        <v>3597</v>
      </c>
      <c r="U2190">
        <v>1</v>
      </c>
    </row>
    <row r="2191" spans="1:21" x14ac:dyDescent="0.3">
      <c r="A2191" t="s">
        <v>3594</v>
      </c>
      <c r="B2191" t="s">
        <v>3595</v>
      </c>
      <c r="C2191" t="s">
        <v>299</v>
      </c>
      <c r="D2191" t="s">
        <v>233</v>
      </c>
      <c r="E2191" t="s">
        <v>30</v>
      </c>
      <c r="F2191" s="6">
        <v>45473</v>
      </c>
      <c r="G2191">
        <v>23.26</v>
      </c>
      <c r="H2191">
        <v>25.92</v>
      </c>
      <c r="I2191">
        <v>1</v>
      </c>
      <c r="J2191">
        <v>1</v>
      </c>
      <c r="K2191" t="s">
        <v>31</v>
      </c>
      <c r="L2191" t="s">
        <v>31</v>
      </c>
      <c r="M2191">
        <v>2024</v>
      </c>
      <c r="N2191" t="s">
        <v>44</v>
      </c>
      <c r="O2191" t="s">
        <v>71</v>
      </c>
      <c r="P2191">
        <v>0</v>
      </c>
      <c r="Q2191">
        <v>0</v>
      </c>
      <c r="R2191">
        <v>0</v>
      </c>
      <c r="S2191" t="s">
        <v>99</v>
      </c>
      <c r="T2191" t="s">
        <v>3598</v>
      </c>
      <c r="U2191">
        <v>1</v>
      </c>
    </row>
    <row r="2192" spans="1:21" x14ac:dyDescent="0.3">
      <c r="A2192" t="s">
        <v>3599</v>
      </c>
      <c r="B2192" t="s">
        <v>3600</v>
      </c>
      <c r="C2192" t="s">
        <v>2177</v>
      </c>
      <c r="D2192" t="s">
        <v>233</v>
      </c>
      <c r="E2192" t="s">
        <v>30</v>
      </c>
      <c r="F2192" s="6">
        <v>45107</v>
      </c>
      <c r="G2192">
        <v>15.06</v>
      </c>
      <c r="H2192">
        <v>17.3</v>
      </c>
      <c r="I2192">
        <v>1.1487383798140769</v>
      </c>
      <c r="J2192">
        <v>1.1487383798140769</v>
      </c>
      <c r="K2192" t="s">
        <v>31</v>
      </c>
      <c r="L2192" t="s">
        <v>31</v>
      </c>
      <c r="M2192">
        <v>2023</v>
      </c>
      <c r="N2192" t="s">
        <v>44</v>
      </c>
      <c r="O2192" t="s">
        <v>33</v>
      </c>
      <c r="P2192">
        <v>1</v>
      </c>
      <c r="Q2192">
        <v>1</v>
      </c>
      <c r="R2192">
        <v>0</v>
      </c>
      <c r="S2192" t="s">
        <v>99</v>
      </c>
      <c r="T2192" t="s">
        <v>3601</v>
      </c>
      <c r="U2192">
        <v>1</v>
      </c>
    </row>
    <row r="2193" spans="1:21" x14ac:dyDescent="0.3">
      <c r="A2193" t="s">
        <v>3599</v>
      </c>
      <c r="B2193" t="s">
        <v>3600</v>
      </c>
      <c r="C2193" t="s">
        <v>2177</v>
      </c>
      <c r="D2193" t="s">
        <v>233</v>
      </c>
      <c r="E2193" t="s">
        <v>30</v>
      </c>
      <c r="F2193" s="6">
        <v>45291</v>
      </c>
      <c r="G2193">
        <v>100</v>
      </c>
      <c r="H2193">
        <v>100</v>
      </c>
      <c r="I2193">
        <v>1</v>
      </c>
      <c r="J2193">
        <v>1</v>
      </c>
      <c r="K2193" t="s">
        <v>31</v>
      </c>
      <c r="L2193" t="s">
        <v>31</v>
      </c>
      <c r="M2193">
        <v>2023</v>
      </c>
      <c r="N2193" t="s">
        <v>57</v>
      </c>
      <c r="O2193" t="s">
        <v>47</v>
      </c>
      <c r="P2193">
        <v>1</v>
      </c>
      <c r="Q2193">
        <v>1</v>
      </c>
      <c r="R2193">
        <v>0</v>
      </c>
      <c r="S2193" t="s">
        <v>99</v>
      </c>
      <c r="T2193" t="s">
        <v>3602</v>
      </c>
      <c r="U2193">
        <v>1</v>
      </c>
    </row>
    <row r="2194" spans="1:21" x14ac:dyDescent="0.3">
      <c r="A2194" t="s">
        <v>3599</v>
      </c>
      <c r="B2194" t="s">
        <v>3600</v>
      </c>
      <c r="C2194" t="s">
        <v>2177</v>
      </c>
      <c r="D2194" t="s">
        <v>233</v>
      </c>
      <c r="E2194" t="s">
        <v>30</v>
      </c>
      <c r="F2194" s="6">
        <v>45473</v>
      </c>
      <c r="G2194">
        <v>64.03</v>
      </c>
      <c r="H2194">
        <v>66.25</v>
      </c>
      <c r="I2194">
        <v>1</v>
      </c>
      <c r="J2194">
        <v>1</v>
      </c>
      <c r="K2194" t="s">
        <v>31</v>
      </c>
      <c r="L2194" t="s">
        <v>31</v>
      </c>
      <c r="M2194">
        <v>2024</v>
      </c>
      <c r="N2194" t="s">
        <v>44</v>
      </c>
      <c r="O2194" t="s">
        <v>71</v>
      </c>
      <c r="P2194">
        <v>1</v>
      </c>
      <c r="Q2194">
        <v>1</v>
      </c>
      <c r="R2194">
        <v>0</v>
      </c>
      <c r="S2194" t="s">
        <v>99</v>
      </c>
      <c r="T2194" t="s">
        <v>3603</v>
      </c>
      <c r="U2194">
        <v>1</v>
      </c>
    </row>
    <row r="2195" spans="1:21" x14ac:dyDescent="0.3">
      <c r="A2195" t="s">
        <v>3604</v>
      </c>
      <c r="B2195" t="s">
        <v>3605</v>
      </c>
      <c r="C2195" t="s">
        <v>283</v>
      </c>
      <c r="D2195" t="s">
        <v>233</v>
      </c>
      <c r="E2195" t="s">
        <v>30</v>
      </c>
      <c r="F2195" s="6">
        <v>45107</v>
      </c>
      <c r="G2195">
        <v>57.83</v>
      </c>
      <c r="H2195">
        <v>47.72</v>
      </c>
      <c r="I2195">
        <v>0.82517724364516687</v>
      </c>
      <c r="J2195">
        <v>0.82517724364516687</v>
      </c>
      <c r="K2195" t="s">
        <v>31</v>
      </c>
      <c r="L2195" t="s">
        <v>31</v>
      </c>
      <c r="M2195">
        <v>2023</v>
      </c>
      <c r="N2195" t="s">
        <v>44</v>
      </c>
      <c r="O2195" t="s">
        <v>33</v>
      </c>
      <c r="P2195">
        <v>0</v>
      </c>
      <c r="Q2195">
        <v>0</v>
      </c>
      <c r="R2195">
        <v>0</v>
      </c>
      <c r="S2195" t="s">
        <v>99</v>
      </c>
      <c r="T2195" t="s">
        <v>3606</v>
      </c>
      <c r="U2195">
        <v>1</v>
      </c>
    </row>
    <row r="2196" spans="1:21" x14ac:dyDescent="0.3">
      <c r="A2196" t="s">
        <v>3604</v>
      </c>
      <c r="B2196" t="s">
        <v>3605</v>
      </c>
      <c r="C2196" t="s">
        <v>283</v>
      </c>
      <c r="D2196" t="s">
        <v>233</v>
      </c>
      <c r="E2196" t="s">
        <v>30</v>
      </c>
      <c r="F2196" s="6">
        <v>45291</v>
      </c>
      <c r="G2196">
        <v>100</v>
      </c>
      <c r="H2196">
        <v>100</v>
      </c>
      <c r="I2196">
        <v>1</v>
      </c>
      <c r="J2196">
        <v>1</v>
      </c>
      <c r="K2196" t="s">
        <v>31</v>
      </c>
      <c r="L2196" t="s">
        <v>31</v>
      </c>
      <c r="M2196">
        <v>2023</v>
      </c>
      <c r="N2196" t="s">
        <v>57</v>
      </c>
      <c r="O2196" t="s">
        <v>47</v>
      </c>
      <c r="P2196">
        <v>0</v>
      </c>
      <c r="Q2196">
        <v>0</v>
      </c>
      <c r="R2196">
        <v>0</v>
      </c>
      <c r="S2196" t="s">
        <v>99</v>
      </c>
      <c r="T2196" t="s">
        <v>3607</v>
      </c>
      <c r="U2196">
        <v>1</v>
      </c>
    </row>
    <row r="2197" spans="1:21" x14ac:dyDescent="0.3">
      <c r="A2197" t="s">
        <v>3604</v>
      </c>
      <c r="B2197" t="s">
        <v>3605</v>
      </c>
      <c r="C2197" t="s">
        <v>283</v>
      </c>
      <c r="D2197" t="s">
        <v>233</v>
      </c>
      <c r="E2197" t="s">
        <v>30</v>
      </c>
      <c r="F2197" s="6">
        <v>45473</v>
      </c>
      <c r="G2197">
        <v>58.34</v>
      </c>
      <c r="H2197">
        <v>45.5</v>
      </c>
      <c r="I2197">
        <v>0.77991086732944803</v>
      </c>
      <c r="J2197">
        <v>0.77991086732944803</v>
      </c>
      <c r="K2197" t="s">
        <v>31</v>
      </c>
      <c r="L2197" t="s">
        <v>31</v>
      </c>
      <c r="M2197">
        <v>2024</v>
      </c>
      <c r="N2197" t="s">
        <v>44</v>
      </c>
      <c r="O2197" t="s">
        <v>71</v>
      </c>
      <c r="P2197">
        <v>0</v>
      </c>
      <c r="Q2197">
        <v>0</v>
      </c>
      <c r="R2197">
        <v>0</v>
      </c>
      <c r="S2197" t="s">
        <v>99</v>
      </c>
      <c r="T2197" t="s">
        <v>3608</v>
      </c>
      <c r="U2197">
        <v>1</v>
      </c>
    </row>
    <row r="2198" spans="1:21" x14ac:dyDescent="0.3">
      <c r="A2198" t="s">
        <v>3609</v>
      </c>
      <c r="B2198" t="s">
        <v>3610</v>
      </c>
      <c r="C2198" t="s">
        <v>129</v>
      </c>
      <c r="D2198" t="s">
        <v>233</v>
      </c>
      <c r="E2198" t="s">
        <v>30</v>
      </c>
      <c r="F2198" s="6">
        <v>45107</v>
      </c>
      <c r="G2198">
        <v>39.369999999999997</v>
      </c>
      <c r="H2198">
        <v>41.15</v>
      </c>
      <c r="I2198">
        <v>1.0452120904241811</v>
      </c>
      <c r="J2198">
        <v>1.0452120904241811</v>
      </c>
      <c r="K2198" t="s">
        <v>31</v>
      </c>
      <c r="L2198" t="s">
        <v>31</v>
      </c>
      <c r="M2198">
        <v>2023</v>
      </c>
      <c r="N2198" t="s">
        <v>44</v>
      </c>
      <c r="O2198" t="s">
        <v>33</v>
      </c>
      <c r="P2198">
        <v>0</v>
      </c>
      <c r="Q2198">
        <v>0</v>
      </c>
      <c r="R2198">
        <v>0</v>
      </c>
      <c r="S2198" t="s">
        <v>99</v>
      </c>
      <c r="T2198" t="s">
        <v>3611</v>
      </c>
      <c r="U2198">
        <v>1</v>
      </c>
    </row>
    <row r="2199" spans="1:21" x14ac:dyDescent="0.3">
      <c r="A2199" t="s">
        <v>3609</v>
      </c>
      <c r="B2199" t="s">
        <v>3610</v>
      </c>
      <c r="C2199" t="s">
        <v>129</v>
      </c>
      <c r="D2199" t="s">
        <v>233</v>
      </c>
      <c r="E2199" t="s">
        <v>30</v>
      </c>
      <c r="F2199" s="6">
        <v>45291</v>
      </c>
      <c r="G2199">
        <v>100</v>
      </c>
      <c r="H2199">
        <v>100</v>
      </c>
      <c r="I2199">
        <v>1</v>
      </c>
      <c r="J2199">
        <v>1</v>
      </c>
      <c r="K2199" t="s">
        <v>31</v>
      </c>
      <c r="L2199" t="s">
        <v>31</v>
      </c>
      <c r="M2199">
        <v>2023</v>
      </c>
      <c r="N2199" t="s">
        <v>57</v>
      </c>
      <c r="O2199" t="s">
        <v>47</v>
      </c>
      <c r="P2199">
        <v>0</v>
      </c>
      <c r="Q2199">
        <v>0</v>
      </c>
      <c r="R2199">
        <v>0</v>
      </c>
      <c r="S2199" t="s">
        <v>99</v>
      </c>
      <c r="T2199" t="s">
        <v>3612</v>
      </c>
      <c r="U2199">
        <v>1</v>
      </c>
    </row>
    <row r="2200" spans="1:21" x14ac:dyDescent="0.3">
      <c r="A2200" t="s">
        <v>3609</v>
      </c>
      <c r="B2200" t="s">
        <v>3610</v>
      </c>
      <c r="C2200" t="s">
        <v>129</v>
      </c>
      <c r="D2200" t="s">
        <v>233</v>
      </c>
      <c r="E2200" t="s">
        <v>30</v>
      </c>
      <c r="F2200" s="6">
        <v>45473</v>
      </c>
      <c r="G2200">
        <v>58.4</v>
      </c>
      <c r="H2200">
        <v>53.96</v>
      </c>
      <c r="I2200">
        <v>0.92397260273972603</v>
      </c>
      <c r="J2200">
        <v>0.92397260273972603</v>
      </c>
      <c r="K2200" t="s">
        <v>31</v>
      </c>
      <c r="L2200" t="s">
        <v>31</v>
      </c>
      <c r="M2200">
        <v>2024</v>
      </c>
      <c r="N2200" t="s">
        <v>44</v>
      </c>
      <c r="O2200" t="s">
        <v>71</v>
      </c>
      <c r="P2200">
        <v>0</v>
      </c>
      <c r="Q2200">
        <v>0</v>
      </c>
      <c r="R2200">
        <v>0</v>
      </c>
      <c r="S2200" t="s">
        <v>99</v>
      </c>
      <c r="T2200" t="s">
        <v>3613</v>
      </c>
      <c r="U2200">
        <v>1</v>
      </c>
    </row>
    <row r="2201" spans="1:21" x14ac:dyDescent="0.3">
      <c r="A2201" t="s">
        <v>3614</v>
      </c>
      <c r="B2201" t="s">
        <v>3615</v>
      </c>
      <c r="C2201" t="s">
        <v>3616</v>
      </c>
      <c r="D2201" t="s">
        <v>233</v>
      </c>
      <c r="E2201" t="s">
        <v>30</v>
      </c>
      <c r="F2201" s="6">
        <v>45473</v>
      </c>
      <c r="G2201">
        <v>44.68</v>
      </c>
      <c r="H2201">
        <v>25</v>
      </c>
      <c r="I2201">
        <v>0.55953446732318712</v>
      </c>
      <c r="J2201">
        <v>0.55953446732318712</v>
      </c>
      <c r="K2201" t="s">
        <v>31</v>
      </c>
      <c r="L2201" t="s">
        <v>31</v>
      </c>
      <c r="M2201">
        <v>2024</v>
      </c>
      <c r="N2201" t="s">
        <v>44</v>
      </c>
      <c r="O2201" t="s">
        <v>71</v>
      </c>
      <c r="P2201">
        <v>0</v>
      </c>
      <c r="Q2201">
        <v>0</v>
      </c>
      <c r="R2201">
        <v>0</v>
      </c>
      <c r="S2201" t="s">
        <v>99</v>
      </c>
      <c r="T2201" t="s">
        <v>3617</v>
      </c>
      <c r="U2201">
        <v>1</v>
      </c>
    </row>
    <row r="2202" spans="1:21" x14ac:dyDescent="0.3">
      <c r="A2202" t="s">
        <v>3618</v>
      </c>
      <c r="B2202" t="s">
        <v>3619</v>
      </c>
      <c r="C2202" t="s">
        <v>3437</v>
      </c>
      <c r="D2202" t="s">
        <v>222</v>
      </c>
      <c r="E2202" t="s">
        <v>30</v>
      </c>
      <c r="F2202" s="6">
        <v>45107</v>
      </c>
      <c r="G2202">
        <v>104072</v>
      </c>
      <c r="H2202">
        <v>140002</v>
      </c>
      <c r="I2202">
        <v>1.3</v>
      </c>
      <c r="J2202">
        <v>1.3452417557075871</v>
      </c>
      <c r="K2202" t="s">
        <v>31</v>
      </c>
      <c r="L2202" t="s">
        <v>31</v>
      </c>
      <c r="M2202">
        <v>2023</v>
      </c>
      <c r="N2202" t="s">
        <v>44</v>
      </c>
      <c r="O2202" t="s">
        <v>33</v>
      </c>
      <c r="P2202">
        <v>0</v>
      </c>
      <c r="Q2202">
        <v>0</v>
      </c>
      <c r="R2202">
        <v>0</v>
      </c>
      <c r="S2202" t="s">
        <v>718</v>
      </c>
      <c r="T2202" t="s">
        <v>3620</v>
      </c>
      <c r="U2202">
        <v>1</v>
      </c>
    </row>
    <row r="2203" spans="1:21" x14ac:dyDescent="0.3">
      <c r="A2203" t="s">
        <v>3618</v>
      </c>
      <c r="B2203" t="s">
        <v>3619</v>
      </c>
      <c r="C2203" t="s">
        <v>3437</v>
      </c>
      <c r="D2203" t="s">
        <v>222</v>
      </c>
      <c r="E2203" t="s">
        <v>30</v>
      </c>
      <c r="F2203" s="6">
        <v>45291</v>
      </c>
      <c r="G2203">
        <v>97200</v>
      </c>
      <c r="H2203">
        <v>136199</v>
      </c>
      <c r="I2203">
        <v>1.3</v>
      </c>
      <c r="J2203">
        <v>1.4012242798353911</v>
      </c>
      <c r="K2203" t="s">
        <v>31</v>
      </c>
      <c r="L2203" t="s">
        <v>31</v>
      </c>
      <c r="M2203">
        <v>2023</v>
      </c>
      <c r="N2203" t="s">
        <v>57</v>
      </c>
      <c r="O2203" t="s">
        <v>47</v>
      </c>
      <c r="P2203">
        <v>0</v>
      </c>
      <c r="Q2203">
        <v>0</v>
      </c>
      <c r="R2203">
        <v>0</v>
      </c>
      <c r="S2203" t="s">
        <v>718</v>
      </c>
      <c r="T2203" t="s">
        <v>3621</v>
      </c>
      <c r="U2203">
        <v>1</v>
      </c>
    </row>
    <row r="2204" spans="1:21" x14ac:dyDescent="0.3">
      <c r="A2204" t="s">
        <v>3618</v>
      </c>
      <c r="B2204" t="s">
        <v>3619</v>
      </c>
      <c r="C2204" t="s">
        <v>3437</v>
      </c>
      <c r="D2204" t="s">
        <v>222</v>
      </c>
      <c r="E2204" t="s">
        <v>30</v>
      </c>
      <c r="F2204" s="6">
        <v>45473</v>
      </c>
      <c r="G2204">
        <v>147043</v>
      </c>
      <c r="H2204">
        <v>177740</v>
      </c>
      <c r="I2204">
        <v>1.2087620627979569</v>
      </c>
      <c r="J2204">
        <v>1.2087620627979569</v>
      </c>
      <c r="K2204" t="s">
        <v>31</v>
      </c>
      <c r="L2204" t="s">
        <v>31</v>
      </c>
      <c r="M2204">
        <v>2024</v>
      </c>
      <c r="N2204" t="s">
        <v>44</v>
      </c>
      <c r="O2204" t="s">
        <v>71</v>
      </c>
      <c r="P2204">
        <v>0</v>
      </c>
      <c r="Q2204">
        <v>0</v>
      </c>
      <c r="R2204">
        <v>0</v>
      </c>
      <c r="S2204" t="s">
        <v>718</v>
      </c>
      <c r="T2204" t="s">
        <v>3622</v>
      </c>
      <c r="U2204">
        <v>1</v>
      </c>
    </row>
    <row r="2205" spans="1:21" x14ac:dyDescent="0.3">
      <c r="A2205" t="s">
        <v>3618</v>
      </c>
      <c r="B2205" t="s">
        <v>3619</v>
      </c>
      <c r="C2205" t="s">
        <v>3437</v>
      </c>
      <c r="D2205" t="s">
        <v>222</v>
      </c>
      <c r="E2205" t="s">
        <v>30</v>
      </c>
      <c r="F2205" s="6">
        <v>45657</v>
      </c>
      <c r="G2205">
        <v>100</v>
      </c>
      <c r="H2205">
        <v>121.44</v>
      </c>
      <c r="I2205">
        <v>1.2143999999999999</v>
      </c>
      <c r="J2205">
        <v>1.2143999999999999</v>
      </c>
      <c r="M2205">
        <v>2024</v>
      </c>
      <c r="N2205" t="s">
        <v>57</v>
      </c>
      <c r="O2205" t="s">
        <v>78</v>
      </c>
      <c r="P2205">
        <v>0</v>
      </c>
      <c r="Q2205">
        <v>0</v>
      </c>
      <c r="R2205">
        <v>0</v>
      </c>
      <c r="S2205" t="s">
        <v>718</v>
      </c>
      <c r="T2205" t="s">
        <v>3623</v>
      </c>
      <c r="U2205">
        <v>1</v>
      </c>
    </row>
    <row r="2206" spans="1:21" x14ac:dyDescent="0.3">
      <c r="A2206" t="s">
        <v>3624</v>
      </c>
      <c r="B2206" t="s">
        <v>3625</v>
      </c>
      <c r="C2206" t="s">
        <v>3437</v>
      </c>
      <c r="D2206" t="s">
        <v>222</v>
      </c>
      <c r="E2206" t="s">
        <v>30</v>
      </c>
      <c r="F2206" s="6">
        <v>45107</v>
      </c>
      <c r="G2206">
        <v>11.7</v>
      </c>
      <c r="H2206">
        <v>11.97</v>
      </c>
      <c r="I2206">
        <v>1.023076923076923</v>
      </c>
      <c r="J2206">
        <v>1.023076923076923</v>
      </c>
      <c r="K2206" t="s">
        <v>31</v>
      </c>
      <c r="L2206" t="s">
        <v>31</v>
      </c>
      <c r="M2206">
        <v>2023</v>
      </c>
      <c r="N2206" t="s">
        <v>44</v>
      </c>
      <c r="O2206" t="s">
        <v>33</v>
      </c>
      <c r="P2206">
        <v>2</v>
      </c>
      <c r="Q2206">
        <v>2</v>
      </c>
      <c r="R2206">
        <v>0</v>
      </c>
      <c r="S2206" t="s">
        <v>718</v>
      </c>
      <c r="T2206" t="s">
        <v>3626</v>
      </c>
      <c r="U2206">
        <v>1</v>
      </c>
    </row>
    <row r="2207" spans="1:21" x14ac:dyDescent="0.3">
      <c r="A2207" t="s">
        <v>3624</v>
      </c>
      <c r="B2207" t="s">
        <v>3625</v>
      </c>
      <c r="C2207" t="s">
        <v>3437</v>
      </c>
      <c r="D2207" t="s">
        <v>222</v>
      </c>
      <c r="E2207" t="s">
        <v>30</v>
      </c>
      <c r="F2207" s="6">
        <v>45291</v>
      </c>
      <c r="G2207">
        <v>10.5</v>
      </c>
      <c r="H2207">
        <v>11.04</v>
      </c>
      <c r="I2207">
        <v>1.0514285714285709</v>
      </c>
      <c r="J2207">
        <v>1.0514285714285709</v>
      </c>
      <c r="K2207" t="s">
        <v>31</v>
      </c>
      <c r="L2207" t="s">
        <v>31</v>
      </c>
      <c r="M2207">
        <v>2023</v>
      </c>
      <c r="N2207" t="s">
        <v>57</v>
      </c>
      <c r="O2207" t="s">
        <v>47</v>
      </c>
      <c r="P2207">
        <v>2</v>
      </c>
      <c r="Q2207">
        <v>2</v>
      </c>
      <c r="R2207">
        <v>0</v>
      </c>
      <c r="S2207" t="s">
        <v>718</v>
      </c>
      <c r="T2207" t="s">
        <v>3627</v>
      </c>
      <c r="U2207">
        <v>1</v>
      </c>
    </row>
    <row r="2208" spans="1:21" x14ac:dyDescent="0.3">
      <c r="A2208" t="s">
        <v>3624</v>
      </c>
      <c r="B2208" t="s">
        <v>3625</v>
      </c>
      <c r="C2208" t="s">
        <v>3437</v>
      </c>
      <c r="D2208" t="s">
        <v>222</v>
      </c>
      <c r="E2208" t="s">
        <v>30</v>
      </c>
      <c r="F2208" s="6">
        <v>45473</v>
      </c>
      <c r="G2208">
        <v>9.25</v>
      </c>
      <c r="H2208">
        <v>8.86</v>
      </c>
      <c r="I2208">
        <v>0.95783783783783782</v>
      </c>
      <c r="J2208">
        <v>0.95783783783783782</v>
      </c>
      <c r="K2208" t="s">
        <v>31</v>
      </c>
      <c r="L2208" t="s">
        <v>31</v>
      </c>
      <c r="M2208">
        <v>2024</v>
      </c>
      <c r="N2208" t="s">
        <v>44</v>
      </c>
      <c r="O2208" t="s">
        <v>71</v>
      </c>
      <c r="P2208">
        <v>2</v>
      </c>
      <c r="Q2208">
        <v>2</v>
      </c>
      <c r="R2208">
        <v>0</v>
      </c>
      <c r="S2208" t="s">
        <v>718</v>
      </c>
      <c r="T2208" t="s">
        <v>3628</v>
      </c>
      <c r="U2208">
        <v>1</v>
      </c>
    </row>
    <row r="2209" spans="1:21" x14ac:dyDescent="0.3">
      <c r="A2209" t="s">
        <v>3624</v>
      </c>
      <c r="B2209" t="s">
        <v>3625</v>
      </c>
      <c r="C2209" t="s">
        <v>3437</v>
      </c>
      <c r="D2209" t="s">
        <v>222</v>
      </c>
      <c r="E2209" t="s">
        <v>30</v>
      </c>
      <c r="F2209" s="6">
        <v>45657</v>
      </c>
      <c r="G2209">
        <v>8.01</v>
      </c>
      <c r="H2209">
        <v>7.95</v>
      </c>
      <c r="I2209">
        <v>0.99250936329588024</v>
      </c>
      <c r="J2209">
        <v>0.99250936329588024</v>
      </c>
      <c r="K2209" t="s">
        <v>31</v>
      </c>
      <c r="L2209" t="s">
        <v>31</v>
      </c>
      <c r="M2209">
        <v>2024</v>
      </c>
      <c r="N2209" t="s">
        <v>57</v>
      </c>
      <c r="O2209" t="s">
        <v>78</v>
      </c>
      <c r="P2209">
        <v>2</v>
      </c>
      <c r="Q2209">
        <v>2</v>
      </c>
      <c r="R2209">
        <v>0</v>
      </c>
      <c r="S2209" t="s">
        <v>718</v>
      </c>
      <c r="T2209" t="s">
        <v>3629</v>
      </c>
      <c r="U2209">
        <v>1</v>
      </c>
    </row>
    <row r="2210" spans="1:21" x14ac:dyDescent="0.3">
      <c r="A2210" t="s">
        <v>3624</v>
      </c>
      <c r="B2210" t="s">
        <v>3625</v>
      </c>
      <c r="C2210" t="s">
        <v>3437</v>
      </c>
      <c r="D2210" t="s">
        <v>222</v>
      </c>
      <c r="E2210" t="s">
        <v>30</v>
      </c>
      <c r="F2210" s="6">
        <v>45838</v>
      </c>
      <c r="G2210">
        <v>7.83</v>
      </c>
      <c r="H2210" t="s">
        <v>3630</v>
      </c>
      <c r="I2210">
        <v>1.047254150702426</v>
      </c>
      <c r="J2210">
        <v>1.047254150702426</v>
      </c>
      <c r="K2210" t="s">
        <v>3631</v>
      </c>
      <c r="L2210" t="s">
        <v>3632</v>
      </c>
      <c r="M2210">
        <v>2025</v>
      </c>
      <c r="N2210" t="s">
        <v>44</v>
      </c>
      <c r="O2210" t="s">
        <v>244</v>
      </c>
      <c r="P2210">
        <v>2</v>
      </c>
      <c r="Q2210">
        <v>2</v>
      </c>
      <c r="R2210">
        <v>0</v>
      </c>
      <c r="S2210" t="s">
        <v>718</v>
      </c>
      <c r="T2210" t="s">
        <v>3633</v>
      </c>
      <c r="U2210">
        <v>30</v>
      </c>
    </row>
    <row r="2211" spans="1:21" x14ac:dyDescent="0.3">
      <c r="A2211" t="s">
        <v>3624</v>
      </c>
      <c r="B2211" t="s">
        <v>3625</v>
      </c>
      <c r="C2211" t="s">
        <v>3437</v>
      </c>
      <c r="D2211" t="s">
        <v>222</v>
      </c>
      <c r="E2211" t="s">
        <v>30</v>
      </c>
      <c r="F2211" s="6">
        <v>46022</v>
      </c>
      <c r="G2211">
        <v>7.68</v>
      </c>
      <c r="H2211" t="s">
        <v>3634</v>
      </c>
      <c r="I2211">
        <v>1.024739583333333</v>
      </c>
      <c r="J2211">
        <v>1.024739583333333</v>
      </c>
      <c r="K2211" t="s">
        <v>3635</v>
      </c>
      <c r="L2211" t="s">
        <v>3636</v>
      </c>
      <c r="M2211">
        <v>2025</v>
      </c>
      <c r="N2211" t="s">
        <v>57</v>
      </c>
      <c r="O2211" t="s">
        <v>103</v>
      </c>
      <c r="P2211">
        <v>2</v>
      </c>
      <c r="Q2211">
        <v>2</v>
      </c>
      <c r="R2211">
        <v>0</v>
      </c>
      <c r="S2211" t="s">
        <v>718</v>
      </c>
      <c r="T2211" t="s">
        <v>3637</v>
      </c>
      <c r="U2211">
        <v>31</v>
      </c>
    </row>
    <row r="2212" spans="1:21" x14ac:dyDescent="0.3">
      <c r="A2212" t="s">
        <v>3638</v>
      </c>
      <c r="B2212" t="s">
        <v>3639</v>
      </c>
      <c r="C2212" t="s">
        <v>3437</v>
      </c>
      <c r="D2212" t="s">
        <v>98</v>
      </c>
      <c r="E2212" t="s">
        <v>30</v>
      </c>
      <c r="F2212" s="6">
        <v>44926</v>
      </c>
      <c r="G2212">
        <v>8.8000000000000007</v>
      </c>
      <c r="H2212">
        <v>7.8</v>
      </c>
      <c r="I2212">
        <v>0.88636363636363624</v>
      </c>
      <c r="J2212">
        <v>0.88636363636363624</v>
      </c>
      <c r="K2212" t="s">
        <v>31</v>
      </c>
      <c r="L2212" t="s">
        <v>31</v>
      </c>
      <c r="M2212">
        <v>2022</v>
      </c>
      <c r="N2212" t="s">
        <v>57</v>
      </c>
      <c r="O2212" t="s">
        <v>90</v>
      </c>
      <c r="P2212">
        <v>1</v>
      </c>
      <c r="Q2212">
        <v>1</v>
      </c>
      <c r="R2212">
        <v>0</v>
      </c>
      <c r="S2212" t="s">
        <v>718</v>
      </c>
      <c r="T2212" t="s">
        <v>3640</v>
      </c>
      <c r="U2212">
        <v>1</v>
      </c>
    </row>
    <row r="2213" spans="1:21" x14ac:dyDescent="0.3">
      <c r="A2213" t="s">
        <v>3638</v>
      </c>
      <c r="B2213" t="s">
        <v>3639</v>
      </c>
      <c r="C2213" t="s">
        <v>3437</v>
      </c>
      <c r="D2213" t="s">
        <v>98</v>
      </c>
      <c r="E2213" t="s">
        <v>30</v>
      </c>
      <c r="F2213" s="6">
        <v>45291</v>
      </c>
      <c r="G2213">
        <v>8.4</v>
      </c>
      <c r="H2213">
        <v>7.9</v>
      </c>
      <c r="I2213">
        <v>0.94047619047619047</v>
      </c>
      <c r="J2213">
        <v>0.94047619047619047</v>
      </c>
      <c r="K2213" t="s">
        <v>31</v>
      </c>
      <c r="L2213" t="s">
        <v>31</v>
      </c>
      <c r="M2213">
        <v>2023</v>
      </c>
      <c r="N2213" t="s">
        <v>57</v>
      </c>
      <c r="O2213" t="s">
        <v>47</v>
      </c>
      <c r="P2213">
        <v>1</v>
      </c>
      <c r="Q2213">
        <v>1</v>
      </c>
      <c r="R2213">
        <v>1</v>
      </c>
      <c r="S2213" t="s">
        <v>718</v>
      </c>
      <c r="T2213" t="s">
        <v>3641</v>
      </c>
      <c r="U2213">
        <v>1</v>
      </c>
    </row>
    <row r="2214" spans="1:21" x14ac:dyDescent="0.3">
      <c r="A2214" t="s">
        <v>3638</v>
      </c>
      <c r="B2214" t="s">
        <v>3639</v>
      </c>
      <c r="C2214" t="s">
        <v>3437</v>
      </c>
      <c r="D2214" t="s">
        <v>98</v>
      </c>
      <c r="E2214" t="s">
        <v>30</v>
      </c>
      <c r="F2214" s="6">
        <v>45657</v>
      </c>
      <c r="G2214">
        <v>8.3000000000000007</v>
      </c>
      <c r="H2214">
        <v>12.3</v>
      </c>
      <c r="I2214">
        <v>1.3</v>
      </c>
      <c r="J2214">
        <v>1.481927710843373</v>
      </c>
      <c r="M2214">
        <v>2024</v>
      </c>
      <c r="N2214" t="s">
        <v>57</v>
      </c>
      <c r="O2214" t="s">
        <v>78</v>
      </c>
      <c r="P2214">
        <v>1</v>
      </c>
      <c r="Q2214">
        <v>1</v>
      </c>
      <c r="R2214">
        <v>0</v>
      </c>
      <c r="S2214" t="s">
        <v>718</v>
      </c>
      <c r="T2214" t="s">
        <v>3642</v>
      </c>
      <c r="U2214">
        <v>1</v>
      </c>
    </row>
    <row r="2215" spans="1:21" x14ac:dyDescent="0.3">
      <c r="A2215" t="s">
        <v>3638</v>
      </c>
      <c r="B2215" t="s">
        <v>3639</v>
      </c>
      <c r="C2215" t="s">
        <v>3437</v>
      </c>
      <c r="D2215" t="s">
        <v>98</v>
      </c>
      <c r="E2215" t="s">
        <v>30</v>
      </c>
      <c r="F2215" s="6">
        <v>46022</v>
      </c>
      <c r="G2215">
        <v>12.3</v>
      </c>
      <c r="H2215" t="s">
        <v>3643</v>
      </c>
      <c r="I2215">
        <v>1.2276422764227639</v>
      </c>
      <c r="J2215">
        <v>1.2276422764227639</v>
      </c>
      <c r="K2215" t="s">
        <v>3644</v>
      </c>
      <c r="L2215" t="s">
        <v>3645</v>
      </c>
      <c r="M2215">
        <v>2025</v>
      </c>
      <c r="N2215" t="s">
        <v>57</v>
      </c>
      <c r="O2215" t="s">
        <v>103</v>
      </c>
      <c r="P2215">
        <v>2</v>
      </c>
      <c r="Q2215">
        <v>2</v>
      </c>
      <c r="R2215">
        <v>1</v>
      </c>
      <c r="S2215" t="s">
        <v>718</v>
      </c>
      <c r="T2215" t="s">
        <v>3646</v>
      </c>
      <c r="U2215">
        <v>31</v>
      </c>
    </row>
    <row r="2216" spans="1:21" x14ac:dyDescent="0.3">
      <c r="A2216" t="s">
        <v>3647</v>
      </c>
      <c r="B2216" t="s">
        <v>3648</v>
      </c>
      <c r="C2216" t="s">
        <v>3437</v>
      </c>
      <c r="D2216" t="s">
        <v>98</v>
      </c>
      <c r="E2216" t="s">
        <v>30</v>
      </c>
      <c r="F2216" s="6">
        <v>44926</v>
      </c>
      <c r="G2216">
        <v>6.5</v>
      </c>
      <c r="H2216">
        <v>5</v>
      </c>
      <c r="I2216">
        <v>0.76923076923076927</v>
      </c>
      <c r="J2216">
        <v>0.76923076923076927</v>
      </c>
      <c r="M2216">
        <v>2022</v>
      </c>
      <c r="N2216" t="s">
        <v>57</v>
      </c>
      <c r="O2216" t="s">
        <v>90</v>
      </c>
      <c r="P2216">
        <v>0</v>
      </c>
      <c r="Q2216">
        <v>0</v>
      </c>
      <c r="R2216">
        <v>0</v>
      </c>
      <c r="S2216" t="s">
        <v>718</v>
      </c>
      <c r="T2216" t="s">
        <v>3649</v>
      </c>
      <c r="U2216">
        <v>1</v>
      </c>
    </row>
    <row r="2217" spans="1:21" x14ac:dyDescent="0.3">
      <c r="A2217" t="s">
        <v>3647</v>
      </c>
      <c r="B2217" t="s">
        <v>3648</v>
      </c>
      <c r="C2217" t="s">
        <v>3437</v>
      </c>
      <c r="D2217" t="s">
        <v>98</v>
      </c>
      <c r="E2217" t="s">
        <v>30</v>
      </c>
      <c r="F2217" s="6">
        <v>45291</v>
      </c>
      <c r="G2217">
        <v>6</v>
      </c>
      <c r="H2217">
        <v>6</v>
      </c>
      <c r="I2217">
        <v>1</v>
      </c>
      <c r="J2217">
        <v>1</v>
      </c>
      <c r="M2217">
        <v>2023</v>
      </c>
      <c r="N2217" t="s">
        <v>57</v>
      </c>
      <c r="O2217" t="s">
        <v>47</v>
      </c>
      <c r="P2217">
        <v>0</v>
      </c>
      <c r="Q2217">
        <v>0</v>
      </c>
      <c r="R2217">
        <v>1</v>
      </c>
      <c r="S2217" t="s">
        <v>718</v>
      </c>
      <c r="T2217" t="s">
        <v>3650</v>
      </c>
      <c r="U2217">
        <v>1</v>
      </c>
    </row>
    <row r="2218" spans="1:21" x14ac:dyDescent="0.3">
      <c r="A2218" t="s">
        <v>3647</v>
      </c>
      <c r="B2218" t="s">
        <v>3648</v>
      </c>
      <c r="C2218" t="s">
        <v>3437</v>
      </c>
      <c r="D2218" t="s">
        <v>98</v>
      </c>
      <c r="E2218" t="s">
        <v>30</v>
      </c>
      <c r="F2218" s="6">
        <v>45657</v>
      </c>
      <c r="G2218">
        <v>7</v>
      </c>
      <c r="H2218">
        <v>9</v>
      </c>
      <c r="I2218">
        <v>1.285714285714286</v>
      </c>
      <c r="J2218">
        <v>1.285714285714286</v>
      </c>
      <c r="M2218">
        <v>2024</v>
      </c>
      <c r="N2218" t="s">
        <v>57</v>
      </c>
      <c r="O2218" t="s">
        <v>78</v>
      </c>
      <c r="P2218">
        <v>0</v>
      </c>
      <c r="Q2218">
        <v>0</v>
      </c>
      <c r="R2218">
        <v>0</v>
      </c>
      <c r="S2218" t="s">
        <v>718</v>
      </c>
      <c r="T2218" t="s">
        <v>3651</v>
      </c>
      <c r="U2218">
        <v>1</v>
      </c>
    </row>
    <row r="2219" spans="1:21" x14ac:dyDescent="0.3">
      <c r="A2219" t="s">
        <v>3647</v>
      </c>
      <c r="B2219" t="s">
        <v>3652</v>
      </c>
      <c r="C2219" t="s">
        <v>3437</v>
      </c>
      <c r="D2219" t="s">
        <v>98</v>
      </c>
      <c r="E2219" t="s">
        <v>30</v>
      </c>
      <c r="F2219" s="6">
        <v>46022</v>
      </c>
      <c r="G2219">
        <v>9</v>
      </c>
      <c r="H2219" t="s">
        <v>196</v>
      </c>
      <c r="I2219">
        <v>1.2222222222222221</v>
      </c>
      <c r="J2219">
        <v>1.2222222222222221</v>
      </c>
      <c r="K2219" t="s">
        <v>3653</v>
      </c>
      <c r="L2219" t="s">
        <v>3654</v>
      </c>
      <c r="M2219">
        <v>2025</v>
      </c>
      <c r="N2219" t="s">
        <v>57</v>
      </c>
      <c r="O2219" t="s">
        <v>103</v>
      </c>
      <c r="P2219">
        <v>2</v>
      </c>
      <c r="Q2219">
        <v>2</v>
      </c>
      <c r="R2219">
        <v>1</v>
      </c>
      <c r="S2219" t="s">
        <v>718</v>
      </c>
      <c r="T2219" t="s">
        <v>3655</v>
      </c>
      <c r="U2219">
        <v>31</v>
      </c>
    </row>
    <row r="2220" spans="1:21" x14ac:dyDescent="0.3">
      <c r="A2220" t="s">
        <v>3656</v>
      </c>
      <c r="B2220" t="s">
        <v>3657</v>
      </c>
      <c r="C2220" t="s">
        <v>2937</v>
      </c>
      <c r="D2220" t="s">
        <v>98</v>
      </c>
      <c r="E2220" t="s">
        <v>30</v>
      </c>
      <c r="F2220" s="6">
        <v>45291</v>
      </c>
      <c r="G2220">
        <v>5500</v>
      </c>
      <c r="H2220">
        <v>5785</v>
      </c>
      <c r="I2220">
        <v>1.051818181818182</v>
      </c>
      <c r="J2220">
        <v>1.051818181818182</v>
      </c>
      <c r="K2220" t="s">
        <v>335</v>
      </c>
      <c r="L2220" t="s">
        <v>335</v>
      </c>
      <c r="M2220">
        <v>2023</v>
      </c>
      <c r="N2220" t="s">
        <v>57</v>
      </c>
      <c r="O2220" t="s">
        <v>47</v>
      </c>
      <c r="P2220">
        <v>0</v>
      </c>
      <c r="Q2220">
        <v>0</v>
      </c>
      <c r="R2220">
        <v>0</v>
      </c>
      <c r="S2220" t="s">
        <v>198</v>
      </c>
      <c r="T2220" t="s">
        <v>3658</v>
      </c>
      <c r="U2220">
        <v>1</v>
      </c>
    </row>
    <row r="2221" spans="1:21" x14ac:dyDescent="0.3">
      <c r="A2221" t="s">
        <v>3656</v>
      </c>
      <c r="B2221" t="s">
        <v>3657</v>
      </c>
      <c r="C2221" t="s">
        <v>2937</v>
      </c>
      <c r="D2221" t="s">
        <v>222</v>
      </c>
      <c r="E2221" t="s">
        <v>30</v>
      </c>
      <c r="F2221" s="6">
        <v>45473</v>
      </c>
      <c r="G2221">
        <v>100</v>
      </c>
      <c r="H2221">
        <v>60.69</v>
      </c>
      <c r="I2221">
        <v>0.6069</v>
      </c>
      <c r="J2221">
        <v>0.6069</v>
      </c>
      <c r="K2221" t="s">
        <v>118</v>
      </c>
      <c r="L2221" t="s">
        <v>118</v>
      </c>
      <c r="M2221">
        <v>2024</v>
      </c>
      <c r="N2221" t="s">
        <v>44</v>
      </c>
      <c r="O2221" t="s">
        <v>71</v>
      </c>
      <c r="P2221">
        <v>0</v>
      </c>
      <c r="Q2221">
        <v>0</v>
      </c>
      <c r="R2221">
        <v>0</v>
      </c>
      <c r="S2221" t="s">
        <v>198</v>
      </c>
      <c r="T2221" t="s">
        <v>3659</v>
      </c>
      <c r="U2221">
        <v>1</v>
      </c>
    </row>
    <row r="2222" spans="1:21" x14ac:dyDescent="0.3">
      <c r="A2222" t="s">
        <v>3656</v>
      </c>
      <c r="B2222" t="s">
        <v>3657</v>
      </c>
      <c r="C2222" t="s">
        <v>2937</v>
      </c>
      <c r="D2222" t="s">
        <v>222</v>
      </c>
      <c r="E2222" t="s">
        <v>30</v>
      </c>
      <c r="F2222" s="6">
        <v>45657</v>
      </c>
      <c r="G2222">
        <v>100</v>
      </c>
      <c r="H2222">
        <v>164.69</v>
      </c>
      <c r="I2222">
        <v>1.3</v>
      </c>
      <c r="J2222">
        <v>1.6469</v>
      </c>
      <c r="K2222" t="s">
        <v>118</v>
      </c>
      <c r="L2222" t="s">
        <v>118</v>
      </c>
      <c r="M2222">
        <v>2024</v>
      </c>
      <c r="N2222" t="s">
        <v>57</v>
      </c>
      <c r="O2222" t="s">
        <v>78</v>
      </c>
      <c r="P2222">
        <v>0</v>
      </c>
      <c r="Q2222">
        <v>0</v>
      </c>
      <c r="R2222">
        <v>0</v>
      </c>
      <c r="S2222" t="s">
        <v>198</v>
      </c>
      <c r="T2222" t="s">
        <v>3660</v>
      </c>
      <c r="U2222">
        <v>1</v>
      </c>
    </row>
    <row r="2223" spans="1:21" x14ac:dyDescent="0.3">
      <c r="A2223" t="s">
        <v>3661</v>
      </c>
      <c r="B2223" t="s">
        <v>3662</v>
      </c>
      <c r="C2223" t="s">
        <v>165</v>
      </c>
      <c r="D2223" t="s">
        <v>222</v>
      </c>
      <c r="E2223" t="s">
        <v>30</v>
      </c>
      <c r="F2223" s="6">
        <v>45107</v>
      </c>
      <c r="H2223">
        <v>86.98</v>
      </c>
      <c r="K2223" t="s">
        <v>1041</v>
      </c>
      <c r="L2223" t="s">
        <v>31</v>
      </c>
      <c r="M2223">
        <v>2023</v>
      </c>
      <c r="N2223" t="s">
        <v>44</v>
      </c>
      <c r="O2223" t="s">
        <v>33</v>
      </c>
      <c r="P2223">
        <v>0</v>
      </c>
      <c r="Q2223">
        <v>0</v>
      </c>
      <c r="R2223">
        <v>0</v>
      </c>
      <c r="S2223" t="s">
        <v>99</v>
      </c>
      <c r="T2223" t="s">
        <v>3663</v>
      </c>
      <c r="U2223">
        <v>1</v>
      </c>
    </row>
    <row r="2224" spans="1:21" x14ac:dyDescent="0.3">
      <c r="A2224" t="s">
        <v>3661</v>
      </c>
      <c r="B2224" t="s">
        <v>3662</v>
      </c>
      <c r="C2224" t="s">
        <v>165</v>
      </c>
      <c r="D2224" t="s">
        <v>222</v>
      </c>
      <c r="E2224" t="s">
        <v>30</v>
      </c>
      <c r="F2224" s="6">
        <v>45291</v>
      </c>
      <c r="H2224">
        <v>92.31</v>
      </c>
      <c r="K2224" t="s">
        <v>1041</v>
      </c>
      <c r="L2224" t="s">
        <v>31</v>
      </c>
      <c r="M2224">
        <v>2023</v>
      </c>
      <c r="N2224" t="s">
        <v>57</v>
      </c>
      <c r="O2224" t="s">
        <v>47</v>
      </c>
      <c r="P2224">
        <v>0</v>
      </c>
      <c r="Q2224">
        <v>0</v>
      </c>
      <c r="R2224">
        <v>0</v>
      </c>
      <c r="S2224" t="s">
        <v>99</v>
      </c>
      <c r="T2224" t="s">
        <v>3664</v>
      </c>
      <c r="U2224">
        <v>1</v>
      </c>
    </row>
    <row r="2225" spans="1:21" x14ac:dyDescent="0.3">
      <c r="A2225" t="s">
        <v>3661</v>
      </c>
      <c r="B2225" t="s">
        <v>3662</v>
      </c>
      <c r="C2225" t="s">
        <v>165</v>
      </c>
      <c r="D2225" t="s">
        <v>222</v>
      </c>
      <c r="E2225" t="s">
        <v>30</v>
      </c>
      <c r="F2225" s="6">
        <v>45473</v>
      </c>
      <c r="G2225">
        <v>90</v>
      </c>
      <c r="H2225">
        <v>67.39</v>
      </c>
      <c r="I2225">
        <v>0.74877777777777776</v>
      </c>
      <c r="J2225">
        <v>0.74877777777777776</v>
      </c>
      <c r="K2225" t="s">
        <v>1041</v>
      </c>
      <c r="L2225" t="s">
        <v>31</v>
      </c>
      <c r="M2225">
        <v>2024</v>
      </c>
      <c r="N2225" t="s">
        <v>44</v>
      </c>
      <c r="O2225" t="s">
        <v>71</v>
      </c>
      <c r="P2225">
        <v>0</v>
      </c>
      <c r="Q2225">
        <v>0</v>
      </c>
      <c r="R2225">
        <v>0</v>
      </c>
      <c r="S2225" t="s">
        <v>99</v>
      </c>
      <c r="T2225" t="s">
        <v>3665</v>
      </c>
      <c r="U2225">
        <v>1</v>
      </c>
    </row>
    <row r="2226" spans="1:21" x14ac:dyDescent="0.3">
      <c r="A2226" t="s">
        <v>3661</v>
      </c>
      <c r="B2226" t="s">
        <v>3662</v>
      </c>
      <c r="C2226" t="s">
        <v>165</v>
      </c>
      <c r="D2226" t="s">
        <v>222</v>
      </c>
      <c r="E2226" t="s">
        <v>30</v>
      </c>
      <c r="F2226" s="6">
        <v>45657</v>
      </c>
      <c r="G2226">
        <v>80</v>
      </c>
      <c r="H2226">
        <v>86.72</v>
      </c>
      <c r="I2226">
        <v>1.0840000000000001</v>
      </c>
      <c r="J2226">
        <v>1.0840000000000001</v>
      </c>
      <c r="K2226" t="s">
        <v>1041</v>
      </c>
      <c r="L2226" t="s">
        <v>31</v>
      </c>
      <c r="M2226">
        <v>2024</v>
      </c>
      <c r="N2226" t="s">
        <v>57</v>
      </c>
      <c r="O2226" t="s">
        <v>78</v>
      </c>
      <c r="P2226">
        <v>0</v>
      </c>
      <c r="Q2226">
        <v>0</v>
      </c>
      <c r="R2226">
        <v>0</v>
      </c>
      <c r="S2226" t="s">
        <v>99</v>
      </c>
      <c r="T2226" t="s">
        <v>3666</v>
      </c>
      <c r="U2226">
        <v>1</v>
      </c>
    </row>
    <row r="2227" spans="1:21" x14ac:dyDescent="0.3">
      <c r="A2227" t="s">
        <v>3667</v>
      </c>
      <c r="B2227" t="s">
        <v>3668</v>
      </c>
      <c r="C2227" t="s">
        <v>299</v>
      </c>
      <c r="D2227" t="s">
        <v>222</v>
      </c>
      <c r="E2227" t="s">
        <v>108</v>
      </c>
      <c r="F2227" s="6">
        <v>45107</v>
      </c>
      <c r="G2227">
        <v>0.2</v>
      </c>
      <c r="H2227">
        <v>0.14000000000000001</v>
      </c>
      <c r="I2227">
        <v>1</v>
      </c>
      <c r="J2227">
        <v>1</v>
      </c>
      <c r="K2227" t="s">
        <v>109</v>
      </c>
      <c r="L2227" t="s">
        <v>109</v>
      </c>
      <c r="M2227">
        <v>2023</v>
      </c>
      <c r="N2227" t="s">
        <v>44</v>
      </c>
      <c r="O2227" t="s">
        <v>33</v>
      </c>
      <c r="P2227">
        <v>1</v>
      </c>
      <c r="Q2227">
        <v>2</v>
      </c>
      <c r="R2227">
        <v>0</v>
      </c>
      <c r="S2227" t="s">
        <v>336</v>
      </c>
      <c r="T2227" t="s">
        <v>3669</v>
      </c>
      <c r="U2227">
        <v>1</v>
      </c>
    </row>
    <row r="2228" spans="1:21" x14ac:dyDescent="0.3">
      <c r="A2228" t="s">
        <v>3667</v>
      </c>
      <c r="B2228" t="s">
        <v>3668</v>
      </c>
      <c r="C2228" t="s">
        <v>299</v>
      </c>
      <c r="D2228" t="s">
        <v>222</v>
      </c>
      <c r="E2228" t="s">
        <v>108</v>
      </c>
      <c r="F2228" s="6">
        <v>45291</v>
      </c>
      <c r="G2228">
        <v>0.2</v>
      </c>
      <c r="H2228">
        <v>0.2</v>
      </c>
      <c r="I2228">
        <v>1</v>
      </c>
      <c r="J2228">
        <v>1</v>
      </c>
      <c r="K2228" t="s">
        <v>109</v>
      </c>
      <c r="L2228" t="s">
        <v>109</v>
      </c>
      <c r="M2228">
        <v>2023</v>
      </c>
      <c r="N2228" t="s">
        <v>57</v>
      </c>
      <c r="O2228" t="s">
        <v>47</v>
      </c>
      <c r="P2228">
        <v>1</v>
      </c>
      <c r="Q2228">
        <v>2</v>
      </c>
      <c r="R2228">
        <v>0</v>
      </c>
      <c r="S2228" t="s">
        <v>336</v>
      </c>
      <c r="T2228" t="s">
        <v>3670</v>
      </c>
      <c r="U2228">
        <v>1</v>
      </c>
    </row>
    <row r="2229" spans="1:21" x14ac:dyDescent="0.3">
      <c r="A2229" t="s">
        <v>3667</v>
      </c>
      <c r="B2229" t="s">
        <v>3668</v>
      </c>
      <c r="C2229" t="s">
        <v>299</v>
      </c>
      <c r="D2229" t="s">
        <v>222</v>
      </c>
      <c r="E2229" t="s">
        <v>108</v>
      </c>
      <c r="F2229" s="6">
        <v>45473</v>
      </c>
      <c r="G2229">
        <v>0.2</v>
      </c>
      <c r="H2229">
        <v>0.17</v>
      </c>
      <c r="I2229">
        <v>1</v>
      </c>
      <c r="J2229">
        <v>1</v>
      </c>
      <c r="K2229" t="s">
        <v>109</v>
      </c>
      <c r="L2229" t="s">
        <v>109</v>
      </c>
      <c r="M2229">
        <v>2024</v>
      </c>
      <c r="N2229" t="s">
        <v>44</v>
      </c>
      <c r="O2229" t="s">
        <v>71</v>
      </c>
      <c r="P2229">
        <v>1</v>
      </c>
      <c r="Q2229">
        <v>2</v>
      </c>
      <c r="R2229">
        <v>0</v>
      </c>
      <c r="S2229" t="s">
        <v>336</v>
      </c>
      <c r="T2229" t="s">
        <v>3671</v>
      </c>
      <c r="U2229">
        <v>1</v>
      </c>
    </row>
    <row r="2230" spans="1:21" x14ac:dyDescent="0.3">
      <c r="A2230" t="s">
        <v>3667</v>
      </c>
      <c r="B2230" t="s">
        <v>3668</v>
      </c>
      <c r="C2230" t="s">
        <v>299</v>
      </c>
      <c r="D2230" t="s">
        <v>222</v>
      </c>
      <c r="E2230" t="s">
        <v>108</v>
      </c>
      <c r="F2230" s="6">
        <v>45657</v>
      </c>
      <c r="G2230">
        <v>0.2</v>
      </c>
      <c r="H2230">
        <v>0.2</v>
      </c>
      <c r="I2230">
        <v>1</v>
      </c>
      <c r="J2230">
        <v>1</v>
      </c>
      <c r="K2230" t="s">
        <v>109</v>
      </c>
      <c r="L2230" t="s">
        <v>109</v>
      </c>
      <c r="M2230">
        <v>2024</v>
      </c>
      <c r="N2230" t="s">
        <v>57</v>
      </c>
      <c r="O2230" t="s">
        <v>78</v>
      </c>
      <c r="P2230">
        <v>1</v>
      </c>
      <c r="Q2230">
        <v>2</v>
      </c>
      <c r="R2230">
        <v>0</v>
      </c>
      <c r="S2230" t="s">
        <v>336</v>
      </c>
      <c r="T2230" t="s">
        <v>3672</v>
      </c>
      <c r="U2230">
        <v>1</v>
      </c>
    </row>
    <row r="2231" spans="1:21" x14ac:dyDescent="0.3">
      <c r="A2231" t="s">
        <v>3667</v>
      </c>
      <c r="B2231" t="s">
        <v>3668</v>
      </c>
      <c r="C2231" t="s">
        <v>299</v>
      </c>
      <c r="D2231" t="s">
        <v>222</v>
      </c>
      <c r="E2231" t="s">
        <v>108</v>
      </c>
      <c r="F2231" s="6">
        <v>45838</v>
      </c>
      <c r="G2231">
        <v>0.2</v>
      </c>
      <c r="H2231" t="s">
        <v>3673</v>
      </c>
      <c r="I2231">
        <v>1.3</v>
      </c>
      <c r="J2231">
        <v>1.428571428571429</v>
      </c>
      <c r="K2231" t="s">
        <v>484</v>
      </c>
      <c r="L2231" t="s">
        <v>3674</v>
      </c>
      <c r="M2231">
        <v>2025</v>
      </c>
      <c r="N2231" t="s">
        <v>44</v>
      </c>
      <c r="O2231" t="s">
        <v>244</v>
      </c>
      <c r="P2231">
        <v>2</v>
      </c>
      <c r="Q2231">
        <v>2</v>
      </c>
      <c r="R2231">
        <v>0</v>
      </c>
      <c r="S2231" t="s">
        <v>336</v>
      </c>
      <c r="T2231" t="s">
        <v>3675</v>
      </c>
      <c r="U2231">
        <v>30</v>
      </c>
    </row>
    <row r="2232" spans="1:21" x14ac:dyDescent="0.3">
      <c r="A2232" t="s">
        <v>3667</v>
      </c>
      <c r="B2232" t="s">
        <v>3668</v>
      </c>
      <c r="C2232" t="s">
        <v>299</v>
      </c>
      <c r="D2232" t="s">
        <v>222</v>
      </c>
      <c r="E2232" t="s">
        <v>108</v>
      </c>
      <c r="F2232" s="6">
        <v>46022</v>
      </c>
      <c r="G2232">
        <v>0.2</v>
      </c>
      <c r="H2232" t="s">
        <v>3676</v>
      </c>
      <c r="I2232">
        <v>1.3</v>
      </c>
      <c r="J2232">
        <v>1.333333333333333</v>
      </c>
      <c r="K2232" t="s">
        <v>484</v>
      </c>
      <c r="L2232" t="s">
        <v>3677</v>
      </c>
      <c r="M2232">
        <v>2025</v>
      </c>
      <c r="N2232" t="s">
        <v>57</v>
      </c>
      <c r="O2232" t="s">
        <v>103</v>
      </c>
      <c r="P2232">
        <v>2</v>
      </c>
      <c r="Q2232">
        <v>2</v>
      </c>
      <c r="R2232">
        <v>0</v>
      </c>
      <c r="S2232" t="s">
        <v>336</v>
      </c>
      <c r="T2232" t="s">
        <v>3678</v>
      </c>
      <c r="U2232">
        <v>31</v>
      </c>
    </row>
    <row r="2233" spans="1:21" x14ac:dyDescent="0.3">
      <c r="A2233" t="s">
        <v>3679</v>
      </c>
      <c r="B2233" t="s">
        <v>3680</v>
      </c>
      <c r="C2233" t="s">
        <v>299</v>
      </c>
      <c r="D2233" t="s">
        <v>222</v>
      </c>
      <c r="E2233" t="s">
        <v>108</v>
      </c>
      <c r="F2233" s="6">
        <v>45107</v>
      </c>
      <c r="G2233">
        <v>20</v>
      </c>
      <c r="H2233">
        <v>17.59</v>
      </c>
      <c r="I2233">
        <v>1</v>
      </c>
      <c r="J2233">
        <v>1</v>
      </c>
      <c r="K2233" t="s">
        <v>1329</v>
      </c>
      <c r="L2233" t="s">
        <v>1329</v>
      </c>
      <c r="M2233">
        <v>2023</v>
      </c>
      <c r="N2233" t="s">
        <v>44</v>
      </c>
      <c r="O2233" t="s">
        <v>33</v>
      </c>
      <c r="P2233">
        <v>0</v>
      </c>
      <c r="Q2233">
        <v>1</v>
      </c>
      <c r="R2233">
        <v>0</v>
      </c>
      <c r="S2233" t="s">
        <v>336</v>
      </c>
      <c r="T2233" t="s">
        <v>3681</v>
      </c>
      <c r="U2233">
        <v>1</v>
      </c>
    </row>
    <row r="2234" spans="1:21" x14ac:dyDescent="0.3">
      <c r="A2234" t="s">
        <v>3679</v>
      </c>
      <c r="B2234" t="s">
        <v>3680</v>
      </c>
      <c r="C2234" t="s">
        <v>299</v>
      </c>
      <c r="D2234" t="s">
        <v>222</v>
      </c>
      <c r="E2234" t="s">
        <v>108</v>
      </c>
      <c r="F2234" s="6">
        <v>45291</v>
      </c>
      <c r="G2234">
        <v>20</v>
      </c>
      <c r="H2234">
        <v>18.63</v>
      </c>
      <c r="I2234">
        <v>1</v>
      </c>
      <c r="J2234">
        <v>1</v>
      </c>
      <c r="K2234" t="s">
        <v>1329</v>
      </c>
      <c r="L2234" t="s">
        <v>1329</v>
      </c>
      <c r="M2234">
        <v>2023</v>
      </c>
      <c r="N2234" t="s">
        <v>57</v>
      </c>
      <c r="O2234" t="s">
        <v>47</v>
      </c>
      <c r="P2234">
        <v>0</v>
      </c>
      <c r="Q2234">
        <v>1</v>
      </c>
      <c r="R2234">
        <v>0</v>
      </c>
      <c r="S2234" t="s">
        <v>336</v>
      </c>
      <c r="T2234" t="s">
        <v>3682</v>
      </c>
      <c r="U2234">
        <v>1</v>
      </c>
    </row>
    <row r="2235" spans="1:21" x14ac:dyDescent="0.3">
      <c r="A2235" t="s">
        <v>3679</v>
      </c>
      <c r="B2235" t="s">
        <v>3680</v>
      </c>
      <c r="C2235" t="s">
        <v>299</v>
      </c>
      <c r="D2235" t="s">
        <v>222</v>
      </c>
      <c r="E2235" t="s">
        <v>108</v>
      </c>
      <c r="F2235" s="6">
        <v>45473</v>
      </c>
      <c r="G2235">
        <v>20</v>
      </c>
      <c r="H2235">
        <v>16.579999999999998</v>
      </c>
      <c r="I2235">
        <v>1</v>
      </c>
      <c r="J2235">
        <v>1</v>
      </c>
      <c r="K2235" t="s">
        <v>1329</v>
      </c>
      <c r="L2235" t="s">
        <v>1329</v>
      </c>
      <c r="M2235">
        <v>2024</v>
      </c>
      <c r="N2235" t="s">
        <v>44</v>
      </c>
      <c r="O2235" t="s">
        <v>71</v>
      </c>
      <c r="P2235">
        <v>0</v>
      </c>
      <c r="Q2235">
        <v>1</v>
      </c>
      <c r="R2235">
        <v>0</v>
      </c>
      <c r="S2235" t="s">
        <v>336</v>
      </c>
      <c r="T2235" t="s">
        <v>3683</v>
      </c>
      <c r="U2235">
        <v>1</v>
      </c>
    </row>
    <row r="2236" spans="1:21" x14ac:dyDescent="0.3">
      <c r="A2236" t="s">
        <v>3679</v>
      </c>
      <c r="B2236" t="s">
        <v>3680</v>
      </c>
      <c r="C2236" t="s">
        <v>299</v>
      </c>
      <c r="D2236" t="s">
        <v>222</v>
      </c>
      <c r="E2236" t="s">
        <v>108</v>
      </c>
      <c r="F2236" s="6">
        <v>45657</v>
      </c>
      <c r="G2236">
        <v>20</v>
      </c>
      <c r="H2236">
        <v>18.53</v>
      </c>
      <c r="I2236">
        <v>1</v>
      </c>
      <c r="J2236">
        <v>1</v>
      </c>
      <c r="K2236" t="s">
        <v>1329</v>
      </c>
      <c r="L2236" t="s">
        <v>1329</v>
      </c>
      <c r="M2236">
        <v>2024</v>
      </c>
      <c r="N2236" t="s">
        <v>57</v>
      </c>
      <c r="O2236" t="s">
        <v>78</v>
      </c>
      <c r="P2236">
        <v>0</v>
      </c>
      <c r="Q2236">
        <v>1</v>
      </c>
      <c r="R2236">
        <v>0</v>
      </c>
      <c r="S2236" t="s">
        <v>336</v>
      </c>
      <c r="T2236" t="s">
        <v>3684</v>
      </c>
      <c r="U2236">
        <v>1</v>
      </c>
    </row>
    <row r="2237" spans="1:21" x14ac:dyDescent="0.3">
      <c r="A2237" t="s">
        <v>3679</v>
      </c>
      <c r="B2237" t="s">
        <v>3680</v>
      </c>
      <c r="C2237" t="s">
        <v>299</v>
      </c>
      <c r="D2237" t="s">
        <v>222</v>
      </c>
      <c r="E2237" t="s">
        <v>108</v>
      </c>
      <c r="F2237" s="6">
        <v>45838</v>
      </c>
      <c r="G2237">
        <v>1</v>
      </c>
      <c r="H2237" t="s">
        <v>3685</v>
      </c>
      <c r="I2237">
        <v>6.6137566137566148E-2</v>
      </c>
      <c r="J2237">
        <v>6.6137566137566148E-2</v>
      </c>
      <c r="K2237" t="s">
        <v>617</v>
      </c>
      <c r="L2237" t="s">
        <v>3686</v>
      </c>
      <c r="M2237">
        <v>2025</v>
      </c>
      <c r="N2237" t="s">
        <v>44</v>
      </c>
      <c r="O2237" t="s">
        <v>244</v>
      </c>
      <c r="P2237">
        <v>2</v>
      </c>
      <c r="Q2237">
        <v>2</v>
      </c>
      <c r="R2237">
        <v>0</v>
      </c>
      <c r="S2237" t="s">
        <v>336</v>
      </c>
      <c r="T2237" t="s">
        <v>3687</v>
      </c>
      <c r="U2237">
        <v>30</v>
      </c>
    </row>
    <row r="2238" spans="1:21" x14ac:dyDescent="0.3">
      <c r="A2238" t="s">
        <v>3679</v>
      </c>
      <c r="B2238" t="s">
        <v>3680</v>
      </c>
      <c r="C2238" t="s">
        <v>299</v>
      </c>
      <c r="D2238" t="s">
        <v>222</v>
      </c>
      <c r="E2238" t="s">
        <v>108</v>
      </c>
      <c r="F2238" s="6">
        <v>46022</v>
      </c>
      <c r="G2238">
        <v>1</v>
      </c>
      <c r="H2238" t="s">
        <v>3688</v>
      </c>
      <c r="I2238">
        <v>5.5928411633109618E-2</v>
      </c>
      <c r="J2238">
        <v>5.5928411633109618E-2</v>
      </c>
      <c r="K2238" t="s">
        <v>617</v>
      </c>
      <c r="L2238" t="s">
        <v>3689</v>
      </c>
      <c r="M2238">
        <v>2025</v>
      </c>
      <c r="N2238" t="s">
        <v>57</v>
      </c>
      <c r="O2238" t="s">
        <v>103</v>
      </c>
      <c r="P2238">
        <v>2</v>
      </c>
      <c r="Q2238">
        <v>2</v>
      </c>
      <c r="R2238">
        <v>0</v>
      </c>
      <c r="S2238" t="s">
        <v>336</v>
      </c>
      <c r="T2238" t="s">
        <v>3690</v>
      </c>
      <c r="U2238">
        <v>31</v>
      </c>
    </row>
    <row r="2239" spans="1:21" x14ac:dyDescent="0.3">
      <c r="A2239" t="s">
        <v>3691</v>
      </c>
      <c r="B2239" t="s">
        <v>3692</v>
      </c>
      <c r="C2239" t="s">
        <v>299</v>
      </c>
      <c r="D2239" t="s">
        <v>222</v>
      </c>
      <c r="E2239" t="s">
        <v>108</v>
      </c>
      <c r="F2239" s="6">
        <v>45107</v>
      </c>
      <c r="G2239">
        <v>0.76</v>
      </c>
      <c r="H2239">
        <v>0.3</v>
      </c>
      <c r="I2239">
        <v>1</v>
      </c>
      <c r="J2239">
        <v>1</v>
      </c>
      <c r="K2239" t="s">
        <v>109</v>
      </c>
      <c r="L2239" t="s">
        <v>109</v>
      </c>
      <c r="M2239">
        <v>2023</v>
      </c>
      <c r="N2239" t="s">
        <v>44</v>
      </c>
      <c r="O2239" t="s">
        <v>33</v>
      </c>
      <c r="P2239">
        <v>1</v>
      </c>
      <c r="Q2239">
        <v>1</v>
      </c>
      <c r="R2239">
        <v>0</v>
      </c>
      <c r="S2239" t="s">
        <v>336</v>
      </c>
      <c r="T2239" t="s">
        <v>3693</v>
      </c>
      <c r="U2239">
        <v>1</v>
      </c>
    </row>
    <row r="2240" spans="1:21" x14ac:dyDescent="0.3">
      <c r="A2240" t="s">
        <v>3691</v>
      </c>
      <c r="B2240" t="s">
        <v>3692</v>
      </c>
      <c r="C2240" t="s">
        <v>299</v>
      </c>
      <c r="D2240" t="s">
        <v>222</v>
      </c>
      <c r="E2240" t="s">
        <v>108</v>
      </c>
      <c r="F2240" s="6">
        <v>45291</v>
      </c>
      <c r="G2240">
        <v>0.76</v>
      </c>
      <c r="H2240">
        <v>0.76</v>
      </c>
      <c r="I2240">
        <v>1</v>
      </c>
      <c r="J2240">
        <v>1</v>
      </c>
      <c r="K2240" t="s">
        <v>109</v>
      </c>
      <c r="L2240" t="s">
        <v>109</v>
      </c>
      <c r="M2240">
        <v>2023</v>
      </c>
      <c r="N2240" t="s">
        <v>57</v>
      </c>
      <c r="O2240" t="s">
        <v>47</v>
      </c>
      <c r="P2240">
        <v>0</v>
      </c>
      <c r="Q2240">
        <v>0</v>
      </c>
      <c r="R2240">
        <v>0</v>
      </c>
      <c r="S2240" t="s">
        <v>336</v>
      </c>
      <c r="T2240" t="s">
        <v>3694</v>
      </c>
      <c r="U2240">
        <v>1</v>
      </c>
    </row>
    <row r="2241" spans="1:21" x14ac:dyDescent="0.3">
      <c r="A2241" t="s">
        <v>3691</v>
      </c>
      <c r="B2241" t="s">
        <v>3692</v>
      </c>
      <c r="C2241" t="s">
        <v>299</v>
      </c>
      <c r="D2241" t="s">
        <v>222</v>
      </c>
      <c r="E2241" t="s">
        <v>108</v>
      </c>
      <c r="F2241" s="6">
        <v>45473</v>
      </c>
      <c r="G2241">
        <v>0.76</v>
      </c>
      <c r="H2241">
        <v>0.66</v>
      </c>
      <c r="I2241">
        <v>1</v>
      </c>
      <c r="J2241">
        <v>1</v>
      </c>
      <c r="K2241" t="s">
        <v>109</v>
      </c>
      <c r="L2241" t="s">
        <v>109</v>
      </c>
      <c r="M2241">
        <v>2024</v>
      </c>
      <c r="N2241" t="s">
        <v>44</v>
      </c>
      <c r="O2241" t="s">
        <v>71</v>
      </c>
      <c r="P2241">
        <v>1</v>
      </c>
      <c r="Q2241">
        <v>1</v>
      </c>
      <c r="R2241">
        <v>0</v>
      </c>
      <c r="S2241" t="s">
        <v>336</v>
      </c>
      <c r="T2241" t="s">
        <v>3695</v>
      </c>
      <c r="U2241">
        <v>1</v>
      </c>
    </row>
    <row r="2242" spans="1:21" x14ac:dyDescent="0.3">
      <c r="A2242" t="s">
        <v>3691</v>
      </c>
      <c r="B2242" t="s">
        <v>3692</v>
      </c>
      <c r="C2242" t="s">
        <v>299</v>
      </c>
      <c r="D2242" t="s">
        <v>222</v>
      </c>
      <c r="E2242" t="s">
        <v>108</v>
      </c>
      <c r="F2242" s="6">
        <v>45657</v>
      </c>
      <c r="G2242">
        <v>0.76</v>
      </c>
      <c r="H2242">
        <v>0.67</v>
      </c>
      <c r="I2242">
        <v>1</v>
      </c>
      <c r="J2242">
        <v>1</v>
      </c>
      <c r="K2242" t="s">
        <v>109</v>
      </c>
      <c r="L2242" t="s">
        <v>109</v>
      </c>
      <c r="M2242">
        <v>2024</v>
      </c>
      <c r="N2242" t="s">
        <v>57</v>
      </c>
      <c r="O2242" t="s">
        <v>78</v>
      </c>
      <c r="P2242">
        <v>1</v>
      </c>
      <c r="Q2242">
        <v>1</v>
      </c>
      <c r="R2242">
        <v>0</v>
      </c>
      <c r="S2242" t="s">
        <v>336</v>
      </c>
      <c r="T2242" t="s">
        <v>3696</v>
      </c>
      <c r="U2242">
        <v>1</v>
      </c>
    </row>
    <row r="2243" spans="1:21" x14ac:dyDescent="0.3">
      <c r="A2243" t="s">
        <v>3691</v>
      </c>
      <c r="B2243" t="s">
        <v>3692</v>
      </c>
      <c r="C2243" t="s">
        <v>299</v>
      </c>
      <c r="D2243" t="s">
        <v>222</v>
      </c>
      <c r="E2243" t="s">
        <v>108</v>
      </c>
      <c r="F2243" s="6">
        <v>45838</v>
      </c>
      <c r="G2243">
        <v>0.76</v>
      </c>
      <c r="H2243" t="s">
        <v>3697</v>
      </c>
      <c r="I2243">
        <v>1.2881355932203391</v>
      </c>
      <c r="J2243">
        <v>1.2881355932203391</v>
      </c>
      <c r="K2243" t="s">
        <v>3698</v>
      </c>
      <c r="L2243" t="s">
        <v>3699</v>
      </c>
      <c r="M2243">
        <v>2025</v>
      </c>
      <c r="N2243" t="s">
        <v>44</v>
      </c>
      <c r="O2243" t="s">
        <v>244</v>
      </c>
      <c r="P2243">
        <v>2</v>
      </c>
      <c r="Q2243">
        <v>2</v>
      </c>
      <c r="R2243">
        <v>0</v>
      </c>
      <c r="S2243" t="s">
        <v>336</v>
      </c>
      <c r="T2243" t="s">
        <v>3700</v>
      </c>
      <c r="U2243">
        <v>30</v>
      </c>
    </row>
    <row r="2244" spans="1:21" x14ac:dyDescent="0.3">
      <c r="A2244" t="s">
        <v>3691</v>
      </c>
      <c r="B2244" t="s">
        <v>3692</v>
      </c>
      <c r="C2244" t="s">
        <v>299</v>
      </c>
      <c r="D2244" t="s">
        <v>222</v>
      </c>
      <c r="E2244" t="s">
        <v>108</v>
      </c>
      <c r="F2244" s="6">
        <v>46022</v>
      </c>
      <c r="G2244">
        <v>0.76</v>
      </c>
      <c r="I2244">
        <v>0</v>
      </c>
      <c r="J2244">
        <v>0</v>
      </c>
      <c r="K2244" t="s">
        <v>3698</v>
      </c>
      <c r="M2244">
        <v>2025</v>
      </c>
      <c r="N2244" t="s">
        <v>57</v>
      </c>
      <c r="O2244" t="s">
        <v>103</v>
      </c>
      <c r="P2244">
        <v>2</v>
      </c>
      <c r="Q2244">
        <v>2</v>
      </c>
      <c r="R2244">
        <v>0</v>
      </c>
      <c r="S2244" t="s">
        <v>336</v>
      </c>
      <c r="T2244" t="s">
        <v>3701</v>
      </c>
      <c r="U2244">
        <v>31</v>
      </c>
    </row>
    <row r="2245" spans="1:21" x14ac:dyDescent="0.3">
      <c r="A2245" t="s">
        <v>3702</v>
      </c>
      <c r="B2245" t="s">
        <v>3703</v>
      </c>
      <c r="C2245" t="s">
        <v>225</v>
      </c>
      <c r="D2245" t="s">
        <v>222</v>
      </c>
      <c r="E2245" t="s">
        <v>30</v>
      </c>
      <c r="F2245" s="6">
        <v>45107</v>
      </c>
      <c r="G2245">
        <v>95</v>
      </c>
      <c r="H2245">
        <v>104.6</v>
      </c>
      <c r="I2245">
        <v>1.1010526315789471</v>
      </c>
      <c r="J2245">
        <v>1.1010526315789471</v>
      </c>
      <c r="K2245" t="s">
        <v>31</v>
      </c>
      <c r="L2245" t="s">
        <v>31</v>
      </c>
      <c r="M2245">
        <v>2023</v>
      </c>
      <c r="N2245" t="s">
        <v>44</v>
      </c>
      <c r="O2245" t="s">
        <v>33</v>
      </c>
      <c r="P2245">
        <v>0</v>
      </c>
      <c r="Q2245">
        <v>0</v>
      </c>
      <c r="R2245">
        <v>0</v>
      </c>
      <c r="S2245" t="s">
        <v>336</v>
      </c>
      <c r="T2245" t="s">
        <v>3704</v>
      </c>
      <c r="U2245">
        <v>1</v>
      </c>
    </row>
    <row r="2246" spans="1:21" x14ac:dyDescent="0.3">
      <c r="A2246" t="s">
        <v>3702</v>
      </c>
      <c r="B2246" t="s">
        <v>3703</v>
      </c>
      <c r="C2246" t="s">
        <v>225</v>
      </c>
      <c r="D2246" t="s">
        <v>222</v>
      </c>
      <c r="E2246" t="s">
        <v>30</v>
      </c>
      <c r="F2246" s="6">
        <v>45291</v>
      </c>
      <c r="G2246">
        <v>95</v>
      </c>
      <c r="H2246">
        <v>101.4</v>
      </c>
      <c r="I2246">
        <v>1.067368421052632</v>
      </c>
      <c r="J2246">
        <v>1.067368421052632</v>
      </c>
      <c r="K2246" t="s">
        <v>31</v>
      </c>
      <c r="L2246" t="s">
        <v>31</v>
      </c>
      <c r="M2246">
        <v>2023</v>
      </c>
      <c r="N2246" t="s">
        <v>57</v>
      </c>
      <c r="O2246" t="s">
        <v>47</v>
      </c>
      <c r="P2246">
        <v>0</v>
      </c>
      <c r="Q2246">
        <v>0</v>
      </c>
      <c r="R2246">
        <v>0</v>
      </c>
      <c r="S2246" t="s">
        <v>336</v>
      </c>
      <c r="T2246" t="s">
        <v>3705</v>
      </c>
      <c r="U2246">
        <v>1</v>
      </c>
    </row>
    <row r="2247" spans="1:21" x14ac:dyDescent="0.3">
      <c r="A2247" t="s">
        <v>3702</v>
      </c>
      <c r="B2247" t="s">
        <v>3703</v>
      </c>
      <c r="C2247" t="s">
        <v>225</v>
      </c>
      <c r="D2247" t="s">
        <v>222</v>
      </c>
      <c r="E2247" t="s">
        <v>30</v>
      </c>
      <c r="F2247" s="6">
        <v>45473</v>
      </c>
      <c r="G2247">
        <v>95</v>
      </c>
      <c r="H2247">
        <v>101.88</v>
      </c>
      <c r="I2247">
        <v>1.0724210526315789</v>
      </c>
      <c r="J2247">
        <v>1.0724210526315789</v>
      </c>
      <c r="K2247" t="s">
        <v>31</v>
      </c>
      <c r="L2247" t="s">
        <v>31</v>
      </c>
      <c r="M2247">
        <v>2024</v>
      </c>
      <c r="N2247" t="s">
        <v>44</v>
      </c>
      <c r="O2247" t="s">
        <v>71</v>
      </c>
      <c r="P2247">
        <v>0</v>
      </c>
      <c r="Q2247">
        <v>0</v>
      </c>
      <c r="R2247">
        <v>0</v>
      </c>
      <c r="S2247" t="s">
        <v>336</v>
      </c>
      <c r="T2247" t="s">
        <v>3706</v>
      </c>
      <c r="U2247">
        <v>1</v>
      </c>
    </row>
    <row r="2248" spans="1:21" x14ac:dyDescent="0.3">
      <c r="A2248" t="s">
        <v>3702</v>
      </c>
      <c r="B2248" t="s">
        <v>3703</v>
      </c>
      <c r="C2248" t="s">
        <v>225</v>
      </c>
      <c r="D2248" t="s">
        <v>222</v>
      </c>
      <c r="E2248" t="s">
        <v>30</v>
      </c>
      <c r="F2248" s="6">
        <v>45657</v>
      </c>
      <c r="G2248">
        <v>95</v>
      </c>
      <c r="H2248">
        <v>102.93749197103701</v>
      </c>
      <c r="I2248">
        <v>1.083552547063547</v>
      </c>
      <c r="J2248">
        <v>1.083552547063547</v>
      </c>
      <c r="K2248" t="s">
        <v>31</v>
      </c>
      <c r="L2248" t="s">
        <v>31</v>
      </c>
      <c r="M2248">
        <v>2024</v>
      </c>
      <c r="N2248" t="s">
        <v>57</v>
      </c>
      <c r="O2248" t="s">
        <v>78</v>
      </c>
      <c r="P2248">
        <v>0</v>
      </c>
      <c r="Q2248">
        <v>0</v>
      </c>
      <c r="R2248">
        <v>0</v>
      </c>
      <c r="S2248" t="s">
        <v>336</v>
      </c>
      <c r="T2248" t="s">
        <v>3707</v>
      </c>
      <c r="U2248">
        <v>1</v>
      </c>
    </row>
    <row r="2249" spans="1:21" x14ac:dyDescent="0.3">
      <c r="A2249" t="s">
        <v>3702</v>
      </c>
      <c r="B2249" t="s">
        <v>3703</v>
      </c>
      <c r="C2249" t="s">
        <v>225</v>
      </c>
      <c r="D2249" t="s">
        <v>222</v>
      </c>
      <c r="E2249" t="s">
        <v>30</v>
      </c>
      <c r="F2249" s="6">
        <v>45838</v>
      </c>
      <c r="G2249">
        <v>95</v>
      </c>
      <c r="H2249" t="s">
        <v>3292</v>
      </c>
      <c r="I2249">
        <v>1.16621052631579</v>
      </c>
      <c r="J2249">
        <v>1.16621052631579</v>
      </c>
      <c r="K2249" t="s">
        <v>838</v>
      </c>
      <c r="L2249" t="s">
        <v>3293</v>
      </c>
      <c r="M2249">
        <v>2025</v>
      </c>
      <c r="N2249" t="s">
        <v>44</v>
      </c>
      <c r="O2249" t="s">
        <v>244</v>
      </c>
      <c r="P2249">
        <v>2</v>
      </c>
      <c r="Q2249">
        <v>2</v>
      </c>
      <c r="R2249">
        <v>0</v>
      </c>
      <c r="S2249" t="s">
        <v>336</v>
      </c>
      <c r="T2249" t="s">
        <v>3708</v>
      </c>
      <c r="U2249">
        <v>30</v>
      </c>
    </row>
    <row r="2250" spans="1:21" x14ac:dyDescent="0.3">
      <c r="A2250" t="s">
        <v>3702</v>
      </c>
      <c r="B2250" t="s">
        <v>3703</v>
      </c>
      <c r="C2250" t="s">
        <v>225</v>
      </c>
      <c r="D2250" t="s">
        <v>222</v>
      </c>
      <c r="E2250" t="s">
        <v>30</v>
      </c>
      <c r="F2250" s="6">
        <v>46022</v>
      </c>
      <c r="G2250">
        <v>95</v>
      </c>
      <c r="H2250" t="s">
        <v>3709</v>
      </c>
      <c r="I2250">
        <v>1.176421052631579</v>
      </c>
      <c r="J2250">
        <v>1.176421052631579</v>
      </c>
      <c r="K2250" t="s">
        <v>838</v>
      </c>
      <c r="L2250" t="s">
        <v>3710</v>
      </c>
      <c r="M2250">
        <v>2025</v>
      </c>
      <c r="N2250" t="s">
        <v>57</v>
      </c>
      <c r="O2250" t="s">
        <v>103</v>
      </c>
      <c r="P2250">
        <v>2</v>
      </c>
      <c r="Q2250">
        <v>2</v>
      </c>
      <c r="R2250">
        <v>0</v>
      </c>
      <c r="S2250" t="s">
        <v>336</v>
      </c>
      <c r="T2250" t="s">
        <v>3711</v>
      </c>
      <c r="U2250">
        <v>31</v>
      </c>
    </row>
    <row r="2251" spans="1:21" x14ac:dyDescent="0.3">
      <c r="A2251" t="s">
        <v>3712</v>
      </c>
      <c r="B2251" t="s">
        <v>3713</v>
      </c>
      <c r="C2251" t="s">
        <v>97</v>
      </c>
      <c r="D2251" t="s">
        <v>233</v>
      </c>
      <c r="E2251" t="s">
        <v>30</v>
      </c>
      <c r="F2251" s="6">
        <v>45199</v>
      </c>
      <c r="G2251">
        <v>100</v>
      </c>
      <c r="H2251">
        <v>100</v>
      </c>
      <c r="I2251">
        <v>1</v>
      </c>
      <c r="J2251">
        <v>1</v>
      </c>
      <c r="K2251" t="s">
        <v>31</v>
      </c>
      <c r="L2251" t="s">
        <v>31</v>
      </c>
      <c r="M2251">
        <v>2023</v>
      </c>
      <c r="N2251" t="s">
        <v>51</v>
      </c>
      <c r="O2251" t="s">
        <v>47</v>
      </c>
      <c r="P2251">
        <v>0</v>
      </c>
      <c r="Q2251">
        <v>0</v>
      </c>
      <c r="R2251">
        <v>0</v>
      </c>
      <c r="S2251" t="s">
        <v>99</v>
      </c>
      <c r="T2251" t="s">
        <v>3714</v>
      </c>
      <c r="U2251">
        <v>1</v>
      </c>
    </row>
    <row r="2252" spans="1:21" x14ac:dyDescent="0.3">
      <c r="A2252" t="s">
        <v>3712</v>
      </c>
      <c r="B2252" t="s">
        <v>3713</v>
      </c>
      <c r="C2252" t="s">
        <v>97</v>
      </c>
      <c r="D2252" t="s">
        <v>233</v>
      </c>
      <c r="E2252" t="s">
        <v>30</v>
      </c>
      <c r="F2252" s="6">
        <v>45291</v>
      </c>
      <c r="G2252">
        <v>100</v>
      </c>
      <c r="H2252">
        <v>100</v>
      </c>
      <c r="I2252">
        <v>1</v>
      </c>
      <c r="J2252">
        <v>1</v>
      </c>
      <c r="K2252" t="s">
        <v>31</v>
      </c>
      <c r="L2252" t="s">
        <v>31</v>
      </c>
      <c r="M2252">
        <v>2023</v>
      </c>
      <c r="N2252" t="s">
        <v>57</v>
      </c>
      <c r="O2252" t="s">
        <v>47</v>
      </c>
      <c r="P2252">
        <v>0</v>
      </c>
      <c r="Q2252">
        <v>0</v>
      </c>
      <c r="R2252">
        <v>0</v>
      </c>
      <c r="S2252" t="s">
        <v>99</v>
      </c>
      <c r="T2252" t="s">
        <v>3715</v>
      </c>
      <c r="U2252">
        <v>1</v>
      </c>
    </row>
    <row r="2253" spans="1:21" x14ac:dyDescent="0.3">
      <c r="A2253" t="s">
        <v>3712</v>
      </c>
      <c r="B2253" t="s">
        <v>3713</v>
      </c>
      <c r="C2253" t="s">
        <v>97</v>
      </c>
      <c r="D2253" t="s">
        <v>233</v>
      </c>
      <c r="E2253" t="s">
        <v>30</v>
      </c>
      <c r="F2253" s="6">
        <v>45382</v>
      </c>
      <c r="G2253">
        <v>100</v>
      </c>
      <c r="H2253">
        <v>100</v>
      </c>
      <c r="I2253">
        <v>1</v>
      </c>
      <c r="J2253">
        <v>1</v>
      </c>
      <c r="K2253" t="s">
        <v>31</v>
      </c>
      <c r="L2253" t="s">
        <v>31</v>
      </c>
      <c r="M2253">
        <v>2024</v>
      </c>
      <c r="N2253" t="s">
        <v>38</v>
      </c>
      <c r="O2253" t="s">
        <v>71</v>
      </c>
      <c r="P2253">
        <v>0</v>
      </c>
      <c r="Q2253">
        <v>0</v>
      </c>
      <c r="R2253">
        <v>0</v>
      </c>
      <c r="S2253" t="s">
        <v>99</v>
      </c>
      <c r="T2253" t="s">
        <v>3716</v>
      </c>
      <c r="U2253">
        <v>1</v>
      </c>
    </row>
    <row r="2254" spans="1:21" x14ac:dyDescent="0.3">
      <c r="A2254" t="s">
        <v>3712</v>
      </c>
      <c r="B2254" t="s">
        <v>3713</v>
      </c>
      <c r="C2254" t="s">
        <v>97</v>
      </c>
      <c r="D2254" t="s">
        <v>233</v>
      </c>
      <c r="E2254" t="s">
        <v>30</v>
      </c>
      <c r="F2254" s="6">
        <v>45473</v>
      </c>
      <c r="G2254">
        <v>100</v>
      </c>
      <c r="H2254">
        <v>100</v>
      </c>
      <c r="I2254">
        <v>1</v>
      </c>
      <c r="J2254">
        <v>1</v>
      </c>
      <c r="K2254" t="s">
        <v>31</v>
      </c>
      <c r="L2254" t="s">
        <v>31</v>
      </c>
      <c r="M2254">
        <v>2024</v>
      </c>
      <c r="N2254" t="s">
        <v>44</v>
      </c>
      <c r="O2254" t="s">
        <v>71</v>
      </c>
      <c r="P2254">
        <v>0</v>
      </c>
      <c r="Q2254">
        <v>0</v>
      </c>
      <c r="R2254">
        <v>0</v>
      </c>
      <c r="S2254" t="s">
        <v>99</v>
      </c>
      <c r="T2254" t="s">
        <v>3717</v>
      </c>
      <c r="U2254">
        <v>1</v>
      </c>
    </row>
    <row r="2255" spans="1:21" x14ac:dyDescent="0.3">
      <c r="A2255" t="s">
        <v>3712</v>
      </c>
      <c r="B2255" t="s">
        <v>3713</v>
      </c>
      <c r="C2255" t="s">
        <v>97</v>
      </c>
      <c r="D2255" t="s">
        <v>233</v>
      </c>
      <c r="E2255" t="s">
        <v>30</v>
      </c>
      <c r="F2255" s="6">
        <v>45565</v>
      </c>
      <c r="G2255">
        <v>100</v>
      </c>
      <c r="H2255">
        <v>100</v>
      </c>
      <c r="I2255">
        <v>1</v>
      </c>
      <c r="J2255">
        <v>1</v>
      </c>
      <c r="K2255" t="s">
        <v>31</v>
      </c>
      <c r="L2255" t="s">
        <v>31</v>
      </c>
      <c r="M2255">
        <v>2024</v>
      </c>
      <c r="N2255" t="s">
        <v>51</v>
      </c>
      <c r="O2255" t="s">
        <v>78</v>
      </c>
      <c r="P2255">
        <v>0</v>
      </c>
      <c r="Q2255">
        <v>0</v>
      </c>
      <c r="R2255">
        <v>0</v>
      </c>
      <c r="S2255" t="s">
        <v>99</v>
      </c>
      <c r="T2255" t="s">
        <v>3718</v>
      </c>
      <c r="U2255">
        <v>1</v>
      </c>
    </row>
    <row r="2256" spans="1:21" x14ac:dyDescent="0.3">
      <c r="A2256" t="s">
        <v>3712</v>
      </c>
      <c r="B2256" t="s">
        <v>3713</v>
      </c>
      <c r="C2256" t="s">
        <v>97</v>
      </c>
      <c r="D2256" t="s">
        <v>233</v>
      </c>
      <c r="E2256" t="s">
        <v>30</v>
      </c>
      <c r="F2256" s="6">
        <v>45657</v>
      </c>
      <c r="G2256">
        <v>100</v>
      </c>
      <c r="H2256">
        <v>100</v>
      </c>
      <c r="I2256">
        <v>1</v>
      </c>
      <c r="J2256">
        <v>1</v>
      </c>
      <c r="K2256" t="s">
        <v>31</v>
      </c>
      <c r="L2256" t="s">
        <v>31</v>
      </c>
      <c r="M2256">
        <v>2024</v>
      </c>
      <c r="N2256" t="s">
        <v>57</v>
      </c>
      <c r="O2256" t="s">
        <v>78</v>
      </c>
      <c r="P2256">
        <v>0</v>
      </c>
      <c r="Q2256">
        <v>0</v>
      </c>
      <c r="R2256">
        <v>0</v>
      </c>
      <c r="S2256" t="s">
        <v>99</v>
      </c>
      <c r="T2256" t="s">
        <v>3719</v>
      </c>
      <c r="U2256">
        <v>1</v>
      </c>
    </row>
    <row r="2257" spans="1:21" x14ac:dyDescent="0.3">
      <c r="A2257" t="s">
        <v>3712</v>
      </c>
      <c r="B2257" t="s">
        <v>3713</v>
      </c>
      <c r="C2257" t="s">
        <v>97</v>
      </c>
      <c r="D2257" t="s">
        <v>233</v>
      </c>
      <c r="E2257" t="s">
        <v>30</v>
      </c>
      <c r="F2257" s="6">
        <v>45747</v>
      </c>
      <c r="G2257">
        <v>100</v>
      </c>
      <c r="H2257" t="s">
        <v>95</v>
      </c>
      <c r="I2257">
        <v>1</v>
      </c>
      <c r="J2257">
        <v>1</v>
      </c>
      <c r="K2257" t="s">
        <v>102</v>
      </c>
      <c r="L2257" t="s">
        <v>102</v>
      </c>
      <c r="M2257">
        <v>2025</v>
      </c>
      <c r="N2257" t="s">
        <v>38</v>
      </c>
      <c r="O2257" t="s">
        <v>244</v>
      </c>
      <c r="P2257">
        <v>2</v>
      </c>
      <c r="Q2257">
        <v>2</v>
      </c>
      <c r="R2257">
        <v>0</v>
      </c>
      <c r="S2257" t="s">
        <v>104</v>
      </c>
      <c r="T2257" t="s">
        <v>3720</v>
      </c>
      <c r="U2257">
        <v>31</v>
      </c>
    </row>
    <row r="2258" spans="1:21" x14ac:dyDescent="0.3">
      <c r="A2258" t="s">
        <v>3712</v>
      </c>
      <c r="B2258" t="s">
        <v>3713</v>
      </c>
      <c r="C2258" t="s">
        <v>97</v>
      </c>
      <c r="D2258" t="s">
        <v>233</v>
      </c>
      <c r="E2258" t="s">
        <v>30</v>
      </c>
      <c r="F2258" s="6">
        <v>45838</v>
      </c>
      <c r="G2258">
        <v>100</v>
      </c>
      <c r="H2258" t="s">
        <v>95</v>
      </c>
      <c r="I2258">
        <v>1</v>
      </c>
      <c r="J2258">
        <v>1</v>
      </c>
      <c r="K2258" t="s">
        <v>102</v>
      </c>
      <c r="L2258" t="s">
        <v>102</v>
      </c>
      <c r="M2258">
        <v>2025</v>
      </c>
      <c r="N2258" t="s">
        <v>44</v>
      </c>
      <c r="O2258" t="s">
        <v>244</v>
      </c>
      <c r="P2258">
        <v>2</v>
      </c>
      <c r="Q2258">
        <v>2</v>
      </c>
      <c r="R2258">
        <v>0</v>
      </c>
      <c r="S2258" t="s">
        <v>104</v>
      </c>
      <c r="T2258" t="s">
        <v>3721</v>
      </c>
      <c r="U2258">
        <v>30</v>
      </c>
    </row>
    <row r="2259" spans="1:21" x14ac:dyDescent="0.3">
      <c r="A2259" t="s">
        <v>3712</v>
      </c>
      <c r="B2259" t="s">
        <v>3713</v>
      </c>
      <c r="C2259" t="s">
        <v>97</v>
      </c>
      <c r="D2259" t="s">
        <v>233</v>
      </c>
      <c r="E2259" t="s">
        <v>30</v>
      </c>
      <c r="F2259" s="6">
        <v>46022</v>
      </c>
      <c r="G2259">
        <v>100</v>
      </c>
      <c r="H2259" t="s">
        <v>95</v>
      </c>
      <c r="I2259">
        <v>1</v>
      </c>
      <c r="J2259">
        <v>1</v>
      </c>
      <c r="K2259" t="s">
        <v>102</v>
      </c>
      <c r="L2259" t="s">
        <v>102</v>
      </c>
      <c r="M2259">
        <v>2025</v>
      </c>
      <c r="N2259" t="s">
        <v>57</v>
      </c>
      <c r="O2259" t="s">
        <v>103</v>
      </c>
      <c r="P2259">
        <v>2</v>
      </c>
      <c r="Q2259">
        <v>2</v>
      </c>
      <c r="R2259">
        <v>0</v>
      </c>
      <c r="S2259" t="s">
        <v>104</v>
      </c>
      <c r="T2259" t="s">
        <v>3722</v>
      </c>
      <c r="U2259">
        <v>31</v>
      </c>
    </row>
    <row r="2260" spans="1:21" x14ac:dyDescent="0.3">
      <c r="A2260" t="s">
        <v>3723</v>
      </c>
      <c r="B2260" t="s">
        <v>3724</v>
      </c>
      <c r="C2260" t="s">
        <v>97</v>
      </c>
      <c r="D2260" t="s">
        <v>233</v>
      </c>
      <c r="E2260" t="s">
        <v>30</v>
      </c>
      <c r="F2260" s="6">
        <v>45199</v>
      </c>
      <c r="G2260">
        <v>90</v>
      </c>
      <c r="H2260">
        <v>100</v>
      </c>
      <c r="I2260">
        <v>1.1111111111111109</v>
      </c>
      <c r="J2260">
        <v>1.1111111111111109</v>
      </c>
      <c r="K2260" t="s">
        <v>31</v>
      </c>
      <c r="L2260" t="s">
        <v>31</v>
      </c>
      <c r="M2260">
        <v>2023</v>
      </c>
      <c r="N2260" t="s">
        <v>51</v>
      </c>
      <c r="O2260" t="s">
        <v>47</v>
      </c>
      <c r="P2260">
        <v>0</v>
      </c>
      <c r="Q2260">
        <v>0</v>
      </c>
      <c r="R2260">
        <v>0</v>
      </c>
      <c r="S2260" t="s">
        <v>99</v>
      </c>
      <c r="T2260" t="s">
        <v>3725</v>
      </c>
      <c r="U2260">
        <v>1</v>
      </c>
    </row>
    <row r="2261" spans="1:21" x14ac:dyDescent="0.3">
      <c r="A2261" t="s">
        <v>3723</v>
      </c>
      <c r="B2261" t="s">
        <v>3724</v>
      </c>
      <c r="C2261" t="s">
        <v>97</v>
      </c>
      <c r="D2261" t="s">
        <v>233</v>
      </c>
      <c r="E2261" t="s">
        <v>30</v>
      </c>
      <c r="F2261" s="6">
        <v>45291</v>
      </c>
      <c r="G2261">
        <v>90</v>
      </c>
      <c r="H2261">
        <v>98.77</v>
      </c>
      <c r="I2261">
        <v>1.097444444444444</v>
      </c>
      <c r="J2261">
        <v>1.097444444444444</v>
      </c>
      <c r="K2261" t="s">
        <v>31</v>
      </c>
      <c r="L2261" t="s">
        <v>31</v>
      </c>
      <c r="M2261">
        <v>2023</v>
      </c>
      <c r="N2261" t="s">
        <v>57</v>
      </c>
      <c r="O2261" t="s">
        <v>47</v>
      </c>
      <c r="P2261">
        <v>0</v>
      </c>
      <c r="Q2261">
        <v>0</v>
      </c>
      <c r="R2261">
        <v>0</v>
      </c>
      <c r="S2261" t="s">
        <v>99</v>
      </c>
      <c r="T2261" t="s">
        <v>3726</v>
      </c>
      <c r="U2261">
        <v>1</v>
      </c>
    </row>
    <row r="2262" spans="1:21" x14ac:dyDescent="0.3">
      <c r="A2262" t="s">
        <v>3723</v>
      </c>
      <c r="B2262" t="s">
        <v>3724</v>
      </c>
      <c r="C2262" t="s">
        <v>97</v>
      </c>
      <c r="D2262" t="s">
        <v>233</v>
      </c>
      <c r="E2262" t="s">
        <v>30</v>
      </c>
      <c r="F2262" s="6">
        <v>45382</v>
      </c>
      <c r="G2262">
        <v>90</v>
      </c>
      <c r="H2262">
        <v>100</v>
      </c>
      <c r="I2262">
        <v>1.1111111111111109</v>
      </c>
      <c r="J2262">
        <v>1.1111111111111109</v>
      </c>
      <c r="K2262" t="s">
        <v>31</v>
      </c>
      <c r="L2262" t="s">
        <v>31</v>
      </c>
      <c r="M2262">
        <v>2024</v>
      </c>
      <c r="N2262" t="s">
        <v>38</v>
      </c>
      <c r="O2262" t="s">
        <v>71</v>
      </c>
      <c r="P2262">
        <v>0</v>
      </c>
      <c r="Q2262">
        <v>0</v>
      </c>
      <c r="R2262">
        <v>0</v>
      </c>
      <c r="S2262" t="s">
        <v>99</v>
      </c>
      <c r="T2262" t="s">
        <v>3727</v>
      </c>
      <c r="U2262">
        <v>1</v>
      </c>
    </row>
    <row r="2263" spans="1:21" x14ac:dyDescent="0.3">
      <c r="A2263" t="s">
        <v>3723</v>
      </c>
      <c r="B2263" t="s">
        <v>3724</v>
      </c>
      <c r="C2263" t="s">
        <v>97</v>
      </c>
      <c r="D2263" t="s">
        <v>233</v>
      </c>
      <c r="E2263" t="s">
        <v>30</v>
      </c>
      <c r="F2263" s="6">
        <v>45473</v>
      </c>
      <c r="G2263">
        <v>90</v>
      </c>
      <c r="H2263">
        <v>100</v>
      </c>
      <c r="I2263">
        <v>1</v>
      </c>
      <c r="J2263">
        <v>1.1111111111111109</v>
      </c>
      <c r="K2263" t="s">
        <v>31</v>
      </c>
      <c r="L2263" t="s">
        <v>31</v>
      </c>
      <c r="M2263">
        <v>2024</v>
      </c>
      <c r="N2263" t="s">
        <v>44</v>
      </c>
      <c r="O2263" t="s">
        <v>71</v>
      </c>
      <c r="P2263">
        <v>0</v>
      </c>
      <c r="Q2263">
        <v>0</v>
      </c>
      <c r="R2263">
        <v>0</v>
      </c>
      <c r="S2263" t="s">
        <v>99</v>
      </c>
      <c r="T2263" t="s">
        <v>3728</v>
      </c>
      <c r="U2263">
        <v>1</v>
      </c>
    </row>
    <row r="2264" spans="1:21" x14ac:dyDescent="0.3">
      <c r="A2264" t="s">
        <v>3723</v>
      </c>
      <c r="B2264" t="s">
        <v>3724</v>
      </c>
      <c r="C2264" t="s">
        <v>97</v>
      </c>
      <c r="D2264" t="s">
        <v>233</v>
      </c>
      <c r="E2264" t="s">
        <v>30</v>
      </c>
      <c r="F2264" s="6">
        <v>45565</v>
      </c>
      <c r="G2264">
        <v>90</v>
      </c>
      <c r="H2264">
        <v>100</v>
      </c>
      <c r="I2264">
        <v>1.1111111111111109</v>
      </c>
      <c r="J2264">
        <v>1.1111111111111109</v>
      </c>
      <c r="K2264" t="s">
        <v>31</v>
      </c>
      <c r="L2264" t="s">
        <v>31</v>
      </c>
      <c r="M2264">
        <v>2024</v>
      </c>
      <c r="N2264" t="s">
        <v>51</v>
      </c>
      <c r="O2264" t="s">
        <v>78</v>
      </c>
      <c r="P2264">
        <v>0</v>
      </c>
      <c r="Q2264">
        <v>0</v>
      </c>
      <c r="R2264">
        <v>0</v>
      </c>
      <c r="S2264" t="s">
        <v>99</v>
      </c>
      <c r="T2264" t="s">
        <v>3729</v>
      </c>
      <c r="U2264">
        <v>1</v>
      </c>
    </row>
    <row r="2265" spans="1:21" x14ac:dyDescent="0.3">
      <c r="A2265" t="s">
        <v>3723</v>
      </c>
      <c r="B2265" t="s">
        <v>3724</v>
      </c>
      <c r="C2265" t="s">
        <v>97</v>
      </c>
      <c r="D2265" t="s">
        <v>233</v>
      </c>
      <c r="E2265" t="s">
        <v>30</v>
      </c>
      <c r="F2265" s="6">
        <v>45657</v>
      </c>
      <c r="G2265">
        <v>90</v>
      </c>
      <c r="H2265">
        <v>100</v>
      </c>
      <c r="I2265">
        <v>1.1111111111111109</v>
      </c>
      <c r="J2265">
        <v>1.1111111111111109</v>
      </c>
      <c r="K2265" t="s">
        <v>31</v>
      </c>
      <c r="L2265" t="s">
        <v>31</v>
      </c>
      <c r="M2265">
        <v>2024</v>
      </c>
      <c r="N2265" t="s">
        <v>57</v>
      </c>
      <c r="O2265" t="s">
        <v>78</v>
      </c>
      <c r="P2265">
        <v>0</v>
      </c>
      <c r="Q2265">
        <v>0</v>
      </c>
      <c r="R2265">
        <v>0</v>
      </c>
      <c r="S2265" t="s">
        <v>99</v>
      </c>
      <c r="T2265" t="s">
        <v>3730</v>
      </c>
      <c r="U2265">
        <v>1</v>
      </c>
    </row>
    <row r="2266" spans="1:21" x14ac:dyDescent="0.3">
      <c r="A2266" t="s">
        <v>3723</v>
      </c>
      <c r="B2266" t="s">
        <v>3724</v>
      </c>
      <c r="C2266" t="s">
        <v>97</v>
      </c>
      <c r="D2266" t="s">
        <v>233</v>
      </c>
      <c r="E2266" t="s">
        <v>30</v>
      </c>
      <c r="F2266" s="6">
        <v>45747</v>
      </c>
      <c r="G2266">
        <v>90</v>
      </c>
      <c r="H2266" t="s">
        <v>95</v>
      </c>
      <c r="I2266">
        <v>1.1111111111111109</v>
      </c>
      <c r="J2266">
        <v>1.1111111111111109</v>
      </c>
      <c r="K2266" t="s">
        <v>256</v>
      </c>
      <c r="L2266" t="s">
        <v>102</v>
      </c>
      <c r="M2266">
        <v>2025</v>
      </c>
      <c r="N2266" t="s">
        <v>38</v>
      </c>
      <c r="O2266" t="s">
        <v>244</v>
      </c>
      <c r="P2266">
        <v>2</v>
      </c>
      <c r="Q2266">
        <v>2</v>
      </c>
      <c r="R2266">
        <v>0</v>
      </c>
      <c r="S2266" t="s">
        <v>104</v>
      </c>
      <c r="T2266" t="s">
        <v>3731</v>
      </c>
      <c r="U2266">
        <v>31</v>
      </c>
    </row>
    <row r="2267" spans="1:21" x14ac:dyDescent="0.3">
      <c r="A2267" t="s">
        <v>3723</v>
      </c>
      <c r="B2267" t="s">
        <v>3724</v>
      </c>
      <c r="C2267" t="s">
        <v>97</v>
      </c>
      <c r="D2267" t="s">
        <v>233</v>
      </c>
      <c r="E2267" t="s">
        <v>30</v>
      </c>
      <c r="F2267" s="6">
        <v>45838</v>
      </c>
      <c r="G2267">
        <v>90</v>
      </c>
      <c r="H2267" t="s">
        <v>95</v>
      </c>
      <c r="I2267">
        <v>1.1111111111111109</v>
      </c>
      <c r="J2267">
        <v>1.1111111111111109</v>
      </c>
      <c r="K2267" t="s">
        <v>256</v>
      </c>
      <c r="L2267" t="s">
        <v>102</v>
      </c>
      <c r="M2267">
        <v>2025</v>
      </c>
      <c r="N2267" t="s">
        <v>44</v>
      </c>
      <c r="O2267" t="s">
        <v>244</v>
      </c>
      <c r="P2267">
        <v>2</v>
      </c>
      <c r="Q2267">
        <v>2</v>
      </c>
      <c r="R2267">
        <v>0</v>
      </c>
      <c r="S2267" t="s">
        <v>104</v>
      </c>
      <c r="T2267" t="s">
        <v>3732</v>
      </c>
      <c r="U2267">
        <v>30</v>
      </c>
    </row>
    <row r="2268" spans="1:21" x14ac:dyDescent="0.3">
      <c r="A2268" t="s">
        <v>3723</v>
      </c>
      <c r="B2268" t="s">
        <v>3724</v>
      </c>
      <c r="C2268" t="s">
        <v>97</v>
      </c>
      <c r="D2268" t="s">
        <v>233</v>
      </c>
      <c r="E2268" t="s">
        <v>30</v>
      </c>
      <c r="F2268" s="6">
        <v>46022</v>
      </c>
      <c r="G2268">
        <v>90</v>
      </c>
      <c r="H2268" t="s">
        <v>95</v>
      </c>
      <c r="I2268">
        <v>1.1111111111111109</v>
      </c>
      <c r="J2268">
        <v>1.1111111111111109</v>
      </c>
      <c r="K2268" t="s">
        <v>256</v>
      </c>
      <c r="L2268" t="s">
        <v>102</v>
      </c>
      <c r="M2268">
        <v>2025</v>
      </c>
      <c r="N2268" t="s">
        <v>57</v>
      </c>
      <c r="O2268" t="s">
        <v>103</v>
      </c>
      <c r="P2268">
        <v>2</v>
      </c>
      <c r="Q2268">
        <v>2</v>
      </c>
      <c r="R2268">
        <v>0</v>
      </c>
      <c r="S2268" t="s">
        <v>104</v>
      </c>
      <c r="T2268" t="s">
        <v>3733</v>
      </c>
      <c r="U2268">
        <v>31</v>
      </c>
    </row>
    <row r="2269" spans="1:21" x14ac:dyDescent="0.3">
      <c r="A2269" t="s">
        <v>3734</v>
      </c>
      <c r="B2269" t="s">
        <v>3735</v>
      </c>
      <c r="C2269" t="s">
        <v>299</v>
      </c>
      <c r="D2269" t="s">
        <v>222</v>
      </c>
      <c r="E2269" t="s">
        <v>108</v>
      </c>
      <c r="F2269" s="6">
        <v>45107</v>
      </c>
      <c r="G2269">
        <v>0.05</v>
      </c>
      <c r="H2269">
        <v>0.02</v>
      </c>
      <c r="I2269">
        <v>1</v>
      </c>
      <c r="J2269">
        <v>1</v>
      </c>
      <c r="K2269" t="s">
        <v>109</v>
      </c>
      <c r="L2269" t="s">
        <v>109</v>
      </c>
      <c r="M2269">
        <v>2023</v>
      </c>
      <c r="N2269" t="s">
        <v>44</v>
      </c>
      <c r="O2269" t="s">
        <v>33</v>
      </c>
      <c r="P2269">
        <v>1</v>
      </c>
      <c r="Q2269">
        <v>2</v>
      </c>
      <c r="R2269">
        <v>0</v>
      </c>
      <c r="S2269" t="s">
        <v>336</v>
      </c>
      <c r="T2269" t="s">
        <v>3736</v>
      </c>
      <c r="U2269">
        <v>1</v>
      </c>
    </row>
    <row r="2270" spans="1:21" x14ac:dyDescent="0.3">
      <c r="A2270" t="s">
        <v>3734</v>
      </c>
      <c r="B2270" t="s">
        <v>3735</v>
      </c>
      <c r="C2270" t="s">
        <v>299</v>
      </c>
      <c r="D2270" t="s">
        <v>222</v>
      </c>
      <c r="E2270" t="s">
        <v>108</v>
      </c>
      <c r="F2270" s="6">
        <v>45291</v>
      </c>
      <c r="G2270">
        <v>0.05</v>
      </c>
      <c r="H2270">
        <v>0.06</v>
      </c>
      <c r="I2270">
        <v>0.83333333333333337</v>
      </c>
      <c r="J2270">
        <v>0.83333333333333337</v>
      </c>
      <c r="K2270" t="s">
        <v>109</v>
      </c>
      <c r="L2270" t="s">
        <v>109</v>
      </c>
      <c r="M2270">
        <v>2023</v>
      </c>
      <c r="N2270" t="s">
        <v>57</v>
      </c>
      <c r="O2270" t="s">
        <v>47</v>
      </c>
      <c r="P2270">
        <v>0</v>
      </c>
      <c r="Q2270">
        <v>0</v>
      </c>
      <c r="R2270">
        <v>0</v>
      </c>
      <c r="S2270" t="s">
        <v>336</v>
      </c>
      <c r="T2270" t="s">
        <v>3737</v>
      </c>
      <c r="U2270">
        <v>1</v>
      </c>
    </row>
    <row r="2271" spans="1:21" x14ac:dyDescent="0.3">
      <c r="A2271" t="s">
        <v>3734</v>
      </c>
      <c r="B2271" t="s">
        <v>3735</v>
      </c>
      <c r="C2271" t="s">
        <v>299</v>
      </c>
      <c r="D2271" t="s">
        <v>222</v>
      </c>
      <c r="E2271" t="s">
        <v>108</v>
      </c>
      <c r="F2271" s="6">
        <v>45473</v>
      </c>
      <c r="G2271">
        <v>0.05</v>
      </c>
      <c r="H2271">
        <v>7.0000000000000007E-2</v>
      </c>
      <c r="I2271">
        <v>0.7142857142857143</v>
      </c>
      <c r="J2271">
        <v>0.7142857142857143</v>
      </c>
      <c r="K2271" t="s">
        <v>109</v>
      </c>
      <c r="L2271" t="s">
        <v>109</v>
      </c>
      <c r="M2271">
        <v>2024</v>
      </c>
      <c r="N2271" t="s">
        <v>44</v>
      </c>
      <c r="O2271" t="s">
        <v>71</v>
      </c>
      <c r="P2271">
        <v>2</v>
      </c>
      <c r="Q2271">
        <v>2</v>
      </c>
      <c r="R2271">
        <v>0</v>
      </c>
      <c r="S2271" t="s">
        <v>336</v>
      </c>
      <c r="T2271" t="s">
        <v>3738</v>
      </c>
      <c r="U2271">
        <v>1</v>
      </c>
    </row>
    <row r="2272" spans="1:21" x14ac:dyDescent="0.3">
      <c r="A2272" t="s">
        <v>3734</v>
      </c>
      <c r="B2272" t="s">
        <v>3735</v>
      </c>
      <c r="C2272" t="s">
        <v>299</v>
      </c>
      <c r="D2272" t="s">
        <v>222</v>
      </c>
      <c r="E2272" t="s">
        <v>108</v>
      </c>
      <c r="F2272" s="6">
        <v>45657</v>
      </c>
      <c r="G2272">
        <v>0.05</v>
      </c>
      <c r="H2272">
        <v>0.14000000000000001</v>
      </c>
      <c r="I2272">
        <v>0</v>
      </c>
      <c r="J2272">
        <v>0</v>
      </c>
      <c r="K2272" t="s">
        <v>109</v>
      </c>
      <c r="L2272" t="s">
        <v>109</v>
      </c>
      <c r="M2272">
        <v>2024</v>
      </c>
      <c r="N2272" t="s">
        <v>57</v>
      </c>
      <c r="O2272" t="s">
        <v>78</v>
      </c>
      <c r="P2272">
        <v>2</v>
      </c>
      <c r="Q2272">
        <v>2</v>
      </c>
      <c r="R2272">
        <v>0</v>
      </c>
      <c r="S2272" t="s">
        <v>336</v>
      </c>
      <c r="T2272" t="s">
        <v>3739</v>
      </c>
      <c r="U2272">
        <v>1</v>
      </c>
    </row>
    <row r="2273" spans="1:21" x14ac:dyDescent="0.3">
      <c r="A2273" t="s">
        <v>3734</v>
      </c>
      <c r="B2273" t="s">
        <v>3735</v>
      </c>
      <c r="C2273" t="s">
        <v>299</v>
      </c>
      <c r="D2273" t="s">
        <v>222</v>
      </c>
      <c r="E2273" t="s">
        <v>108</v>
      </c>
      <c r="F2273" s="6">
        <v>45838</v>
      </c>
      <c r="G2273">
        <v>0.05</v>
      </c>
      <c r="H2273" t="s">
        <v>3740</v>
      </c>
      <c r="I2273">
        <v>1.3</v>
      </c>
      <c r="J2273">
        <v>2.5</v>
      </c>
      <c r="K2273" t="s">
        <v>3741</v>
      </c>
      <c r="L2273" t="s">
        <v>3742</v>
      </c>
      <c r="M2273">
        <v>2025</v>
      </c>
      <c r="N2273" t="s">
        <v>44</v>
      </c>
      <c r="O2273" t="s">
        <v>244</v>
      </c>
      <c r="P2273">
        <v>2</v>
      </c>
      <c r="Q2273">
        <v>2</v>
      </c>
      <c r="R2273">
        <v>0</v>
      </c>
      <c r="S2273" t="s">
        <v>336</v>
      </c>
      <c r="T2273" t="s">
        <v>3743</v>
      </c>
      <c r="U2273">
        <v>30</v>
      </c>
    </row>
    <row r="2274" spans="1:21" x14ac:dyDescent="0.3">
      <c r="A2274" t="s">
        <v>3734</v>
      </c>
      <c r="B2274" t="s">
        <v>3735</v>
      </c>
      <c r="C2274" t="s">
        <v>299</v>
      </c>
      <c r="D2274" t="s">
        <v>222</v>
      </c>
      <c r="E2274" t="s">
        <v>108</v>
      </c>
      <c r="F2274" s="6">
        <v>46022</v>
      </c>
      <c r="G2274">
        <v>0.05</v>
      </c>
      <c r="H2274" t="s">
        <v>3744</v>
      </c>
      <c r="I2274">
        <v>0.29411764705882348</v>
      </c>
      <c r="J2274">
        <v>0.29411764705882348</v>
      </c>
      <c r="K2274" t="s">
        <v>3741</v>
      </c>
      <c r="L2274" t="s">
        <v>3745</v>
      </c>
      <c r="M2274">
        <v>2025</v>
      </c>
      <c r="N2274" t="s">
        <v>57</v>
      </c>
      <c r="O2274" t="s">
        <v>103</v>
      </c>
      <c r="P2274">
        <v>2</v>
      </c>
      <c r="Q2274">
        <v>2</v>
      </c>
      <c r="R2274">
        <v>0</v>
      </c>
      <c r="S2274" t="s">
        <v>336</v>
      </c>
      <c r="T2274" t="s">
        <v>3746</v>
      </c>
      <c r="U2274">
        <v>31</v>
      </c>
    </row>
    <row r="2275" spans="1:21" x14ac:dyDescent="0.3">
      <c r="A2275" t="s">
        <v>3747</v>
      </c>
      <c r="B2275" t="s">
        <v>3748</v>
      </c>
      <c r="C2275" t="s">
        <v>299</v>
      </c>
      <c r="D2275" t="s">
        <v>29</v>
      </c>
      <c r="E2275" t="s">
        <v>108</v>
      </c>
      <c r="F2275" s="6">
        <v>45199</v>
      </c>
      <c r="G2275">
        <v>200</v>
      </c>
      <c r="H2275">
        <v>90.7</v>
      </c>
      <c r="I2275">
        <v>1</v>
      </c>
      <c r="J2275">
        <v>1</v>
      </c>
      <c r="K2275" t="s">
        <v>1197</v>
      </c>
      <c r="L2275" t="s">
        <v>1197</v>
      </c>
      <c r="M2275">
        <v>2023</v>
      </c>
      <c r="N2275" t="s">
        <v>51</v>
      </c>
      <c r="O2275" t="s">
        <v>47</v>
      </c>
      <c r="P2275">
        <v>0</v>
      </c>
      <c r="Q2275">
        <v>1</v>
      </c>
      <c r="R2275">
        <v>0</v>
      </c>
      <c r="S2275" t="s">
        <v>336</v>
      </c>
      <c r="T2275" t="s">
        <v>3749</v>
      </c>
      <c r="U2275">
        <v>1</v>
      </c>
    </row>
    <row r="2276" spans="1:21" x14ac:dyDescent="0.3">
      <c r="A2276" t="s">
        <v>3747</v>
      </c>
      <c r="B2276" t="s">
        <v>3748</v>
      </c>
      <c r="C2276" t="s">
        <v>299</v>
      </c>
      <c r="D2276" t="s">
        <v>29</v>
      </c>
      <c r="E2276" t="s">
        <v>108</v>
      </c>
      <c r="F2276" s="6">
        <v>45230</v>
      </c>
      <c r="G2276">
        <v>200</v>
      </c>
      <c r="H2276">
        <v>182.9</v>
      </c>
      <c r="I2276">
        <v>1</v>
      </c>
      <c r="J2276">
        <v>1</v>
      </c>
      <c r="K2276" t="s">
        <v>1197</v>
      </c>
      <c r="L2276" t="s">
        <v>1197</v>
      </c>
      <c r="M2276">
        <v>2023</v>
      </c>
      <c r="N2276" t="s">
        <v>53</v>
      </c>
      <c r="O2276" t="s">
        <v>47</v>
      </c>
      <c r="P2276">
        <v>0</v>
      </c>
      <c r="Q2276">
        <v>0</v>
      </c>
      <c r="R2276">
        <v>0</v>
      </c>
      <c r="S2276" t="s">
        <v>336</v>
      </c>
      <c r="T2276" t="s">
        <v>3750</v>
      </c>
      <c r="U2276">
        <v>1</v>
      </c>
    </row>
    <row r="2277" spans="1:21" x14ac:dyDescent="0.3">
      <c r="A2277" t="s">
        <v>3747</v>
      </c>
      <c r="B2277" t="s">
        <v>3748</v>
      </c>
      <c r="C2277" t="s">
        <v>299</v>
      </c>
      <c r="D2277" t="s">
        <v>29</v>
      </c>
      <c r="E2277" t="s">
        <v>108</v>
      </c>
      <c r="F2277" s="6">
        <v>45260</v>
      </c>
      <c r="G2277">
        <v>200</v>
      </c>
      <c r="H2277">
        <v>141.19999999999999</v>
      </c>
      <c r="I2277">
        <v>1</v>
      </c>
      <c r="J2277">
        <v>1</v>
      </c>
      <c r="K2277" t="s">
        <v>1197</v>
      </c>
      <c r="L2277" t="s">
        <v>1197</v>
      </c>
      <c r="M2277">
        <v>2023</v>
      </c>
      <c r="N2277" t="s">
        <v>55</v>
      </c>
      <c r="O2277" t="s">
        <v>47</v>
      </c>
      <c r="P2277">
        <v>0</v>
      </c>
      <c r="Q2277">
        <v>0</v>
      </c>
      <c r="R2277">
        <v>0</v>
      </c>
      <c r="S2277" t="s">
        <v>336</v>
      </c>
      <c r="T2277" t="s">
        <v>3751</v>
      </c>
      <c r="U2277">
        <v>1</v>
      </c>
    </row>
    <row r="2278" spans="1:21" x14ac:dyDescent="0.3">
      <c r="A2278" t="s">
        <v>3747</v>
      </c>
      <c r="B2278" t="s">
        <v>3748</v>
      </c>
      <c r="C2278" t="s">
        <v>299</v>
      </c>
      <c r="D2278" t="s">
        <v>29</v>
      </c>
      <c r="E2278" t="s">
        <v>108</v>
      </c>
      <c r="F2278" s="6">
        <v>45291</v>
      </c>
      <c r="G2278">
        <v>200</v>
      </c>
      <c r="H2278">
        <v>415.7</v>
      </c>
      <c r="I2278">
        <v>0</v>
      </c>
      <c r="J2278">
        <v>0</v>
      </c>
      <c r="K2278" t="s">
        <v>1197</v>
      </c>
      <c r="L2278" t="s">
        <v>1197</v>
      </c>
      <c r="M2278">
        <v>2023</v>
      </c>
      <c r="N2278" t="s">
        <v>57</v>
      </c>
      <c r="O2278" t="s">
        <v>47</v>
      </c>
      <c r="P2278">
        <v>0</v>
      </c>
      <c r="Q2278">
        <v>0</v>
      </c>
      <c r="R2278">
        <v>0</v>
      </c>
      <c r="S2278" t="s">
        <v>336</v>
      </c>
      <c r="T2278" t="s">
        <v>3752</v>
      </c>
      <c r="U2278">
        <v>1</v>
      </c>
    </row>
    <row r="2279" spans="1:21" x14ac:dyDescent="0.3">
      <c r="A2279" t="s">
        <v>3747</v>
      </c>
      <c r="B2279" t="s">
        <v>3748</v>
      </c>
      <c r="C2279" t="s">
        <v>299</v>
      </c>
      <c r="D2279" t="s">
        <v>29</v>
      </c>
      <c r="E2279" t="s">
        <v>108</v>
      </c>
      <c r="F2279" s="6">
        <v>45322</v>
      </c>
      <c r="G2279">
        <v>200</v>
      </c>
      <c r="H2279">
        <v>9.65</v>
      </c>
      <c r="I2279">
        <v>1</v>
      </c>
      <c r="J2279">
        <v>1</v>
      </c>
      <c r="K2279" t="s">
        <v>1197</v>
      </c>
      <c r="L2279" t="s">
        <v>1197</v>
      </c>
      <c r="M2279">
        <v>2024</v>
      </c>
      <c r="N2279" t="s">
        <v>32</v>
      </c>
      <c r="O2279" t="s">
        <v>71</v>
      </c>
      <c r="P2279">
        <v>0</v>
      </c>
      <c r="Q2279">
        <v>1</v>
      </c>
      <c r="R2279">
        <v>0</v>
      </c>
      <c r="S2279" t="s">
        <v>336</v>
      </c>
      <c r="T2279" t="s">
        <v>3753</v>
      </c>
      <c r="U2279">
        <v>1</v>
      </c>
    </row>
    <row r="2280" spans="1:21" x14ac:dyDescent="0.3">
      <c r="A2280" t="s">
        <v>3747</v>
      </c>
      <c r="B2280" t="s">
        <v>3748</v>
      </c>
      <c r="C2280" t="s">
        <v>299</v>
      </c>
      <c r="D2280" t="s">
        <v>29</v>
      </c>
      <c r="E2280" t="s">
        <v>108</v>
      </c>
      <c r="F2280" s="6">
        <v>45351</v>
      </c>
      <c r="G2280">
        <v>200</v>
      </c>
      <c r="H2280">
        <v>107.7</v>
      </c>
      <c r="I2280">
        <v>1</v>
      </c>
      <c r="J2280">
        <v>1</v>
      </c>
      <c r="K2280" t="s">
        <v>1197</v>
      </c>
      <c r="L2280" t="s">
        <v>1197</v>
      </c>
      <c r="M2280">
        <v>2024</v>
      </c>
      <c r="N2280" t="s">
        <v>36</v>
      </c>
      <c r="O2280" t="s">
        <v>71</v>
      </c>
      <c r="P2280">
        <v>0</v>
      </c>
      <c r="Q2280">
        <v>1</v>
      </c>
      <c r="R2280">
        <v>0</v>
      </c>
      <c r="S2280" t="s">
        <v>336</v>
      </c>
      <c r="T2280" t="s">
        <v>3754</v>
      </c>
      <c r="U2280">
        <v>1</v>
      </c>
    </row>
    <row r="2281" spans="1:21" x14ac:dyDescent="0.3">
      <c r="A2281" t="s">
        <v>3747</v>
      </c>
      <c r="B2281" t="s">
        <v>3748</v>
      </c>
      <c r="C2281" t="s">
        <v>299</v>
      </c>
      <c r="D2281" t="s">
        <v>29</v>
      </c>
      <c r="E2281" t="s">
        <v>108</v>
      </c>
      <c r="F2281" s="6">
        <v>45382</v>
      </c>
      <c r="G2281">
        <v>200</v>
      </c>
      <c r="H2281">
        <v>22.02</v>
      </c>
      <c r="I2281">
        <v>1</v>
      </c>
      <c r="J2281">
        <v>1</v>
      </c>
      <c r="K2281" t="s">
        <v>1197</v>
      </c>
      <c r="L2281" t="s">
        <v>1197</v>
      </c>
      <c r="M2281">
        <v>2024</v>
      </c>
      <c r="N2281" t="s">
        <v>38</v>
      </c>
      <c r="O2281" t="s">
        <v>71</v>
      </c>
      <c r="P2281">
        <v>0</v>
      </c>
      <c r="Q2281">
        <v>1</v>
      </c>
      <c r="R2281">
        <v>0</v>
      </c>
      <c r="S2281" t="s">
        <v>336</v>
      </c>
      <c r="T2281" t="s">
        <v>3755</v>
      </c>
      <c r="U2281">
        <v>1</v>
      </c>
    </row>
    <row r="2282" spans="1:21" x14ac:dyDescent="0.3">
      <c r="A2282" t="s">
        <v>3747</v>
      </c>
      <c r="B2282" t="s">
        <v>3748</v>
      </c>
      <c r="C2282" t="s">
        <v>299</v>
      </c>
      <c r="D2282" t="s">
        <v>29</v>
      </c>
      <c r="E2282" t="s">
        <v>108</v>
      </c>
      <c r="F2282" s="6">
        <v>45412</v>
      </c>
      <c r="G2282">
        <v>200</v>
      </c>
      <c r="H2282">
        <v>89.04</v>
      </c>
      <c r="I2282">
        <v>1</v>
      </c>
      <c r="J2282">
        <v>1</v>
      </c>
      <c r="K2282" t="s">
        <v>1197</v>
      </c>
      <c r="L2282" t="s">
        <v>1197</v>
      </c>
      <c r="M2282">
        <v>2024</v>
      </c>
      <c r="N2282" t="s">
        <v>40</v>
      </c>
      <c r="O2282" t="s">
        <v>71</v>
      </c>
      <c r="P2282">
        <v>0</v>
      </c>
      <c r="Q2282">
        <v>1</v>
      </c>
      <c r="R2282">
        <v>0</v>
      </c>
      <c r="S2282" t="s">
        <v>336</v>
      </c>
      <c r="T2282" t="s">
        <v>3756</v>
      </c>
      <c r="U2282">
        <v>1</v>
      </c>
    </row>
    <row r="2283" spans="1:21" x14ac:dyDescent="0.3">
      <c r="A2283" t="s">
        <v>3747</v>
      </c>
      <c r="B2283" t="s">
        <v>3748</v>
      </c>
      <c r="C2283" t="s">
        <v>299</v>
      </c>
      <c r="D2283" t="s">
        <v>29</v>
      </c>
      <c r="E2283" t="s">
        <v>108</v>
      </c>
      <c r="F2283" s="6">
        <v>45443</v>
      </c>
      <c r="G2283">
        <v>200</v>
      </c>
      <c r="H2283">
        <v>42</v>
      </c>
      <c r="I2283">
        <v>1</v>
      </c>
      <c r="J2283">
        <v>1</v>
      </c>
      <c r="K2283" t="s">
        <v>1197</v>
      </c>
      <c r="L2283" t="s">
        <v>1197</v>
      </c>
      <c r="M2283">
        <v>2024</v>
      </c>
      <c r="N2283" t="s">
        <v>42</v>
      </c>
      <c r="O2283" t="s">
        <v>71</v>
      </c>
      <c r="P2283">
        <v>0</v>
      </c>
      <c r="Q2283">
        <v>0</v>
      </c>
      <c r="R2283">
        <v>0</v>
      </c>
      <c r="S2283" t="s">
        <v>336</v>
      </c>
      <c r="T2283" t="s">
        <v>3757</v>
      </c>
      <c r="U2283">
        <v>1</v>
      </c>
    </row>
    <row r="2284" spans="1:21" x14ac:dyDescent="0.3">
      <c r="A2284" t="s">
        <v>3747</v>
      </c>
      <c r="B2284" t="s">
        <v>3748</v>
      </c>
      <c r="C2284" t="s">
        <v>299</v>
      </c>
      <c r="D2284" t="s">
        <v>29</v>
      </c>
      <c r="E2284" t="s">
        <v>108</v>
      </c>
      <c r="F2284" s="6">
        <v>45473</v>
      </c>
      <c r="G2284">
        <v>200</v>
      </c>
      <c r="H2284">
        <v>3534.6</v>
      </c>
      <c r="I2284">
        <v>0</v>
      </c>
      <c r="J2284">
        <v>0</v>
      </c>
      <c r="K2284" t="s">
        <v>1197</v>
      </c>
      <c r="L2284" t="s">
        <v>1197</v>
      </c>
      <c r="M2284">
        <v>2024</v>
      </c>
      <c r="N2284" t="s">
        <v>44</v>
      </c>
      <c r="O2284" t="s">
        <v>71</v>
      </c>
      <c r="P2284">
        <v>0</v>
      </c>
      <c r="Q2284">
        <v>1</v>
      </c>
      <c r="R2284">
        <v>0</v>
      </c>
      <c r="S2284" t="s">
        <v>336</v>
      </c>
      <c r="T2284" t="s">
        <v>3758</v>
      </c>
      <c r="U2284">
        <v>1</v>
      </c>
    </row>
    <row r="2285" spans="1:21" x14ac:dyDescent="0.3">
      <c r="A2285" t="s">
        <v>3747</v>
      </c>
      <c r="B2285" t="s">
        <v>3748</v>
      </c>
      <c r="C2285" t="s">
        <v>299</v>
      </c>
      <c r="D2285" t="s">
        <v>29</v>
      </c>
      <c r="E2285" t="s">
        <v>108</v>
      </c>
      <c r="F2285" s="6">
        <v>45504</v>
      </c>
      <c r="G2285">
        <v>200</v>
      </c>
      <c r="H2285">
        <v>1690.86</v>
      </c>
      <c r="I2285">
        <v>0</v>
      </c>
      <c r="J2285">
        <v>0</v>
      </c>
      <c r="K2285" t="s">
        <v>1197</v>
      </c>
      <c r="L2285" t="s">
        <v>1197</v>
      </c>
      <c r="M2285">
        <v>2024</v>
      </c>
      <c r="N2285" t="s">
        <v>46</v>
      </c>
      <c r="O2285" t="s">
        <v>78</v>
      </c>
      <c r="P2285">
        <v>0</v>
      </c>
      <c r="Q2285">
        <v>1</v>
      </c>
      <c r="R2285">
        <v>0</v>
      </c>
      <c r="S2285" t="s">
        <v>336</v>
      </c>
      <c r="T2285" t="s">
        <v>3759</v>
      </c>
      <c r="U2285">
        <v>1</v>
      </c>
    </row>
    <row r="2286" spans="1:21" x14ac:dyDescent="0.3">
      <c r="A2286" t="s">
        <v>3747</v>
      </c>
      <c r="B2286" t="s">
        <v>3748</v>
      </c>
      <c r="C2286" t="s">
        <v>299</v>
      </c>
      <c r="D2286" t="s">
        <v>29</v>
      </c>
      <c r="E2286" t="s">
        <v>108</v>
      </c>
      <c r="F2286" s="6">
        <v>45535</v>
      </c>
      <c r="G2286">
        <v>200</v>
      </c>
      <c r="H2286">
        <v>855.1</v>
      </c>
      <c r="I2286">
        <v>0</v>
      </c>
      <c r="J2286">
        <v>0</v>
      </c>
      <c r="K2286" t="s">
        <v>1197</v>
      </c>
      <c r="L2286" t="s">
        <v>1197</v>
      </c>
      <c r="M2286">
        <v>2024</v>
      </c>
      <c r="N2286" t="s">
        <v>49</v>
      </c>
      <c r="O2286" t="s">
        <v>78</v>
      </c>
      <c r="P2286">
        <v>0</v>
      </c>
      <c r="Q2286">
        <v>1</v>
      </c>
      <c r="R2286">
        <v>0</v>
      </c>
      <c r="S2286" t="s">
        <v>336</v>
      </c>
      <c r="T2286" t="s">
        <v>3760</v>
      </c>
      <c r="U2286">
        <v>1</v>
      </c>
    </row>
    <row r="2287" spans="1:21" x14ac:dyDescent="0.3">
      <c r="A2287" t="s">
        <v>3747</v>
      </c>
      <c r="B2287" t="s">
        <v>3748</v>
      </c>
      <c r="C2287" t="s">
        <v>299</v>
      </c>
      <c r="D2287" t="s">
        <v>29</v>
      </c>
      <c r="E2287" t="s">
        <v>108</v>
      </c>
      <c r="F2287" s="6">
        <v>45565</v>
      </c>
      <c r="G2287">
        <v>200</v>
      </c>
      <c r="H2287">
        <v>16.37</v>
      </c>
      <c r="I2287">
        <v>1</v>
      </c>
      <c r="J2287">
        <v>1</v>
      </c>
      <c r="K2287" t="s">
        <v>1197</v>
      </c>
      <c r="L2287" t="s">
        <v>1197</v>
      </c>
      <c r="M2287">
        <v>2024</v>
      </c>
      <c r="N2287" t="s">
        <v>51</v>
      </c>
      <c r="O2287" t="s">
        <v>78</v>
      </c>
      <c r="P2287">
        <v>0</v>
      </c>
      <c r="Q2287">
        <v>1</v>
      </c>
      <c r="R2287">
        <v>0</v>
      </c>
      <c r="S2287" t="s">
        <v>336</v>
      </c>
      <c r="T2287" t="s">
        <v>3761</v>
      </c>
      <c r="U2287">
        <v>1</v>
      </c>
    </row>
    <row r="2288" spans="1:21" x14ac:dyDescent="0.3">
      <c r="A2288" t="s">
        <v>3747</v>
      </c>
      <c r="B2288" t="s">
        <v>3748</v>
      </c>
      <c r="C2288" t="s">
        <v>299</v>
      </c>
      <c r="D2288" t="s">
        <v>29</v>
      </c>
      <c r="E2288" t="s">
        <v>108</v>
      </c>
      <c r="F2288" s="6">
        <v>45596</v>
      </c>
      <c r="G2288">
        <v>200</v>
      </c>
      <c r="H2288">
        <v>992.38</v>
      </c>
      <c r="I2288">
        <v>0</v>
      </c>
      <c r="J2288">
        <v>0</v>
      </c>
      <c r="K2288" t="s">
        <v>1197</v>
      </c>
      <c r="L2288" t="s">
        <v>1197</v>
      </c>
      <c r="M2288">
        <v>2024</v>
      </c>
      <c r="N2288" t="s">
        <v>53</v>
      </c>
      <c r="O2288" t="s">
        <v>78</v>
      </c>
      <c r="P2288">
        <v>0</v>
      </c>
      <c r="Q2288">
        <v>1</v>
      </c>
      <c r="R2288">
        <v>0</v>
      </c>
      <c r="S2288" t="s">
        <v>336</v>
      </c>
      <c r="T2288" t="s">
        <v>3762</v>
      </c>
      <c r="U2288">
        <v>1</v>
      </c>
    </row>
    <row r="2289" spans="1:21" x14ac:dyDescent="0.3">
      <c r="A2289" t="s">
        <v>3747</v>
      </c>
      <c r="B2289" t="s">
        <v>3748</v>
      </c>
      <c r="C2289" t="s">
        <v>299</v>
      </c>
      <c r="D2289" t="s">
        <v>29</v>
      </c>
      <c r="E2289" t="s">
        <v>108</v>
      </c>
      <c r="F2289" s="6">
        <v>45626</v>
      </c>
      <c r="G2289">
        <v>200</v>
      </c>
      <c r="H2289">
        <v>73.88</v>
      </c>
      <c r="I2289">
        <v>1</v>
      </c>
      <c r="J2289">
        <v>1</v>
      </c>
      <c r="K2289" t="s">
        <v>1197</v>
      </c>
      <c r="L2289" t="s">
        <v>1197</v>
      </c>
      <c r="M2289">
        <v>2024</v>
      </c>
      <c r="N2289" t="s">
        <v>55</v>
      </c>
      <c r="O2289" t="s">
        <v>78</v>
      </c>
      <c r="P2289">
        <v>0</v>
      </c>
      <c r="Q2289">
        <v>1</v>
      </c>
      <c r="R2289">
        <v>0</v>
      </c>
      <c r="S2289" t="s">
        <v>336</v>
      </c>
      <c r="T2289" t="s">
        <v>3763</v>
      </c>
      <c r="U2289">
        <v>1</v>
      </c>
    </row>
    <row r="2290" spans="1:21" x14ac:dyDescent="0.3">
      <c r="A2290" t="s">
        <v>3747</v>
      </c>
      <c r="B2290" t="s">
        <v>3748</v>
      </c>
      <c r="C2290" t="s">
        <v>299</v>
      </c>
      <c r="D2290" t="s">
        <v>29</v>
      </c>
      <c r="E2290" t="s">
        <v>108</v>
      </c>
      <c r="F2290" s="6">
        <v>45657</v>
      </c>
      <c r="G2290">
        <v>200</v>
      </c>
      <c r="H2290">
        <v>2364.4899999999998</v>
      </c>
      <c r="I2290">
        <v>0</v>
      </c>
      <c r="J2290">
        <v>0</v>
      </c>
      <c r="K2290" t="s">
        <v>1197</v>
      </c>
      <c r="L2290" t="s">
        <v>1197</v>
      </c>
      <c r="M2290">
        <v>2024</v>
      </c>
      <c r="N2290" t="s">
        <v>57</v>
      </c>
      <c r="O2290" t="s">
        <v>78</v>
      </c>
      <c r="P2290">
        <v>0</v>
      </c>
      <c r="Q2290">
        <v>1</v>
      </c>
      <c r="R2290">
        <v>0</v>
      </c>
      <c r="S2290" t="s">
        <v>336</v>
      </c>
      <c r="T2290" t="s">
        <v>3764</v>
      </c>
      <c r="U2290">
        <v>1</v>
      </c>
    </row>
    <row r="2291" spans="1:21" x14ac:dyDescent="0.3">
      <c r="A2291" t="s">
        <v>3747</v>
      </c>
      <c r="B2291" t="s">
        <v>3748</v>
      </c>
      <c r="C2291" t="s">
        <v>299</v>
      </c>
      <c r="D2291" t="s">
        <v>29</v>
      </c>
      <c r="E2291" t="s">
        <v>108</v>
      </c>
      <c r="F2291" s="6">
        <v>45688</v>
      </c>
      <c r="G2291">
        <v>200</v>
      </c>
      <c r="H2291" t="s">
        <v>3765</v>
      </c>
      <c r="I2291">
        <v>9.6503206319029963E-2</v>
      </c>
      <c r="J2291">
        <v>9.6503206319029963E-2</v>
      </c>
      <c r="K2291" t="s">
        <v>2396</v>
      </c>
      <c r="L2291" t="s">
        <v>3766</v>
      </c>
      <c r="M2291">
        <v>2025</v>
      </c>
      <c r="N2291" t="s">
        <v>32</v>
      </c>
      <c r="O2291" t="s">
        <v>244</v>
      </c>
      <c r="P2291">
        <v>2</v>
      </c>
      <c r="Q2291">
        <v>2</v>
      </c>
      <c r="R2291">
        <v>0</v>
      </c>
      <c r="S2291" t="s">
        <v>336</v>
      </c>
      <c r="T2291" t="s">
        <v>3767</v>
      </c>
      <c r="U2291">
        <v>31</v>
      </c>
    </row>
    <row r="2292" spans="1:21" x14ac:dyDescent="0.3">
      <c r="A2292" t="s">
        <v>3747</v>
      </c>
      <c r="B2292" t="s">
        <v>3748</v>
      </c>
      <c r="C2292" t="s">
        <v>299</v>
      </c>
      <c r="D2292" t="s">
        <v>29</v>
      </c>
      <c r="E2292" t="s">
        <v>108</v>
      </c>
      <c r="F2292" s="6">
        <v>45716</v>
      </c>
      <c r="G2292">
        <v>200</v>
      </c>
      <c r="H2292" t="s">
        <v>3768</v>
      </c>
      <c r="I2292">
        <v>1.3</v>
      </c>
      <c r="J2292">
        <v>2.7901785714285712</v>
      </c>
      <c r="K2292" t="s">
        <v>2396</v>
      </c>
      <c r="L2292" t="s">
        <v>3769</v>
      </c>
      <c r="M2292">
        <v>2025</v>
      </c>
      <c r="N2292" t="s">
        <v>36</v>
      </c>
      <c r="O2292" t="s">
        <v>244</v>
      </c>
      <c r="P2292">
        <v>2</v>
      </c>
      <c r="Q2292">
        <v>2</v>
      </c>
      <c r="R2292">
        <v>0</v>
      </c>
      <c r="S2292" t="s">
        <v>336</v>
      </c>
      <c r="T2292" t="s">
        <v>3770</v>
      </c>
      <c r="U2292">
        <v>28</v>
      </c>
    </row>
    <row r="2293" spans="1:21" x14ac:dyDescent="0.3">
      <c r="A2293" t="s">
        <v>3747</v>
      </c>
      <c r="B2293" t="s">
        <v>3748</v>
      </c>
      <c r="C2293" t="s">
        <v>299</v>
      </c>
      <c r="D2293" t="s">
        <v>29</v>
      </c>
      <c r="E2293" t="s">
        <v>108</v>
      </c>
      <c r="F2293" s="6">
        <v>45747</v>
      </c>
      <c r="G2293">
        <v>200</v>
      </c>
      <c r="H2293" t="s">
        <v>3771</v>
      </c>
      <c r="I2293">
        <v>1.3</v>
      </c>
      <c r="J2293">
        <v>3.7530493525989872</v>
      </c>
      <c r="K2293" t="s">
        <v>2396</v>
      </c>
      <c r="L2293" t="s">
        <v>3772</v>
      </c>
      <c r="M2293">
        <v>2025</v>
      </c>
      <c r="N2293" t="s">
        <v>38</v>
      </c>
      <c r="O2293" t="s">
        <v>244</v>
      </c>
      <c r="P2293">
        <v>2</v>
      </c>
      <c r="Q2293">
        <v>2</v>
      </c>
      <c r="R2293">
        <v>0</v>
      </c>
      <c r="S2293" t="s">
        <v>336</v>
      </c>
      <c r="T2293" t="s">
        <v>3773</v>
      </c>
      <c r="U2293">
        <v>31</v>
      </c>
    </row>
    <row r="2294" spans="1:21" x14ac:dyDescent="0.3">
      <c r="A2294" t="s">
        <v>3747</v>
      </c>
      <c r="B2294" t="s">
        <v>3748</v>
      </c>
      <c r="C2294" t="s">
        <v>299</v>
      </c>
      <c r="D2294" t="s">
        <v>29</v>
      </c>
      <c r="E2294" t="s">
        <v>108</v>
      </c>
      <c r="F2294" s="6">
        <v>45777</v>
      </c>
      <c r="G2294">
        <v>200</v>
      </c>
      <c r="H2294" t="s">
        <v>3774</v>
      </c>
      <c r="I2294">
        <v>1.3</v>
      </c>
      <c r="J2294">
        <v>1.5780337699226761</v>
      </c>
      <c r="K2294" t="s">
        <v>2396</v>
      </c>
      <c r="L2294" t="s">
        <v>3775</v>
      </c>
      <c r="M2294">
        <v>2025</v>
      </c>
      <c r="N2294" t="s">
        <v>40</v>
      </c>
      <c r="O2294" t="s">
        <v>244</v>
      </c>
      <c r="P2294">
        <v>2</v>
      </c>
      <c r="Q2294">
        <v>2</v>
      </c>
      <c r="R2294">
        <v>0</v>
      </c>
      <c r="S2294" t="s">
        <v>336</v>
      </c>
      <c r="T2294" t="s">
        <v>3776</v>
      </c>
      <c r="U2294">
        <v>30</v>
      </c>
    </row>
    <row r="2295" spans="1:21" x14ac:dyDescent="0.3">
      <c r="A2295" t="s">
        <v>3747</v>
      </c>
      <c r="B2295" t="s">
        <v>3748</v>
      </c>
      <c r="C2295" t="s">
        <v>299</v>
      </c>
      <c r="D2295" t="s">
        <v>29</v>
      </c>
      <c r="E2295" t="s">
        <v>108</v>
      </c>
      <c r="F2295" s="6">
        <v>45808</v>
      </c>
      <c r="G2295">
        <v>200</v>
      </c>
      <c r="H2295" t="s">
        <v>3777</v>
      </c>
      <c r="I2295">
        <v>1.3</v>
      </c>
      <c r="J2295">
        <v>15.87301587301587</v>
      </c>
      <c r="K2295" t="s">
        <v>2396</v>
      </c>
      <c r="L2295" t="s">
        <v>3778</v>
      </c>
      <c r="M2295">
        <v>2025</v>
      </c>
      <c r="N2295" t="s">
        <v>42</v>
      </c>
      <c r="O2295" t="s">
        <v>244</v>
      </c>
      <c r="P2295">
        <v>2</v>
      </c>
      <c r="Q2295">
        <v>2</v>
      </c>
      <c r="R2295">
        <v>0</v>
      </c>
      <c r="S2295" t="s">
        <v>336</v>
      </c>
      <c r="T2295" t="s">
        <v>3779</v>
      </c>
      <c r="U2295">
        <v>31</v>
      </c>
    </row>
    <row r="2296" spans="1:21" x14ac:dyDescent="0.3">
      <c r="A2296" t="s">
        <v>3747</v>
      </c>
      <c r="B2296" t="s">
        <v>3748</v>
      </c>
      <c r="C2296" t="s">
        <v>299</v>
      </c>
      <c r="D2296" t="s">
        <v>29</v>
      </c>
      <c r="E2296" t="s">
        <v>108</v>
      </c>
      <c r="F2296" s="6">
        <v>45838</v>
      </c>
      <c r="G2296">
        <v>200</v>
      </c>
      <c r="H2296" t="s">
        <v>3780</v>
      </c>
      <c r="I2296">
        <v>1.3</v>
      </c>
      <c r="J2296">
        <v>1.5316281206922959</v>
      </c>
      <c r="K2296" t="s">
        <v>2396</v>
      </c>
      <c r="L2296" t="s">
        <v>3781</v>
      </c>
      <c r="M2296">
        <v>2025</v>
      </c>
      <c r="N2296" t="s">
        <v>44</v>
      </c>
      <c r="O2296" t="s">
        <v>244</v>
      </c>
      <c r="P2296">
        <v>2</v>
      </c>
      <c r="Q2296">
        <v>2</v>
      </c>
      <c r="R2296">
        <v>0</v>
      </c>
      <c r="S2296" t="s">
        <v>336</v>
      </c>
      <c r="T2296" t="s">
        <v>3782</v>
      </c>
      <c r="U2296">
        <v>30</v>
      </c>
    </row>
    <row r="2297" spans="1:21" x14ac:dyDescent="0.3">
      <c r="A2297" t="s">
        <v>3747</v>
      </c>
      <c r="B2297" t="s">
        <v>3748</v>
      </c>
      <c r="C2297" t="s">
        <v>299</v>
      </c>
      <c r="D2297" t="s">
        <v>29</v>
      </c>
      <c r="E2297" t="s">
        <v>108</v>
      </c>
      <c r="F2297" s="6">
        <v>45869</v>
      </c>
      <c r="G2297">
        <v>200</v>
      </c>
      <c r="H2297" t="s">
        <v>3783</v>
      </c>
      <c r="I2297">
        <v>0.64079971804812408</v>
      </c>
      <c r="J2297">
        <v>0.64079971804812408</v>
      </c>
      <c r="K2297" t="s">
        <v>2396</v>
      </c>
      <c r="L2297" t="s">
        <v>3784</v>
      </c>
      <c r="M2297">
        <v>2025</v>
      </c>
      <c r="N2297" t="s">
        <v>46</v>
      </c>
      <c r="O2297" t="s">
        <v>103</v>
      </c>
      <c r="P2297">
        <v>2</v>
      </c>
      <c r="Q2297">
        <v>2</v>
      </c>
      <c r="R2297">
        <v>0</v>
      </c>
      <c r="S2297" t="s">
        <v>336</v>
      </c>
      <c r="T2297" t="s">
        <v>3785</v>
      </c>
      <c r="U2297">
        <v>31</v>
      </c>
    </row>
    <row r="2298" spans="1:21" x14ac:dyDescent="0.3">
      <c r="A2298" t="s">
        <v>3747</v>
      </c>
      <c r="B2298" t="s">
        <v>3748</v>
      </c>
      <c r="C2298" t="s">
        <v>299</v>
      </c>
      <c r="D2298" t="s">
        <v>29</v>
      </c>
      <c r="E2298" t="s">
        <v>108</v>
      </c>
      <c r="F2298" s="6">
        <v>45900</v>
      </c>
      <c r="G2298">
        <v>200</v>
      </c>
      <c r="H2298" t="s">
        <v>3786</v>
      </c>
      <c r="I2298">
        <v>1.3</v>
      </c>
      <c r="J2298">
        <v>2.359882005899705</v>
      </c>
      <c r="K2298" t="s">
        <v>2396</v>
      </c>
      <c r="L2298" t="s">
        <v>3787</v>
      </c>
      <c r="M2298">
        <v>2025</v>
      </c>
      <c r="N2298" t="s">
        <v>49</v>
      </c>
      <c r="O2298" t="s">
        <v>103</v>
      </c>
      <c r="P2298">
        <v>2</v>
      </c>
      <c r="Q2298">
        <v>2</v>
      </c>
      <c r="R2298">
        <v>0</v>
      </c>
      <c r="S2298" t="s">
        <v>336</v>
      </c>
      <c r="T2298" t="s">
        <v>3788</v>
      </c>
      <c r="U2298">
        <v>31</v>
      </c>
    </row>
    <row r="2299" spans="1:21" x14ac:dyDescent="0.3">
      <c r="A2299" t="s">
        <v>3747</v>
      </c>
      <c r="B2299" t="s">
        <v>3748</v>
      </c>
      <c r="C2299" t="s">
        <v>299</v>
      </c>
      <c r="D2299" t="s">
        <v>29</v>
      </c>
      <c r="E2299" t="s">
        <v>108</v>
      </c>
      <c r="F2299" s="6">
        <v>45961</v>
      </c>
      <c r="G2299">
        <v>200</v>
      </c>
      <c r="H2299" t="s">
        <v>3789</v>
      </c>
      <c r="I2299">
        <v>4.420417022141869E-2</v>
      </c>
      <c r="J2299">
        <v>4.420417022141869E-2</v>
      </c>
      <c r="K2299" t="s">
        <v>2396</v>
      </c>
      <c r="L2299" t="s">
        <v>3790</v>
      </c>
      <c r="M2299">
        <v>2025</v>
      </c>
      <c r="N2299" t="s">
        <v>53</v>
      </c>
      <c r="O2299" t="s">
        <v>103</v>
      </c>
      <c r="P2299">
        <v>2</v>
      </c>
      <c r="Q2299">
        <v>2</v>
      </c>
      <c r="R2299">
        <v>0</v>
      </c>
      <c r="S2299" t="s">
        <v>336</v>
      </c>
      <c r="T2299" t="s">
        <v>3791</v>
      </c>
      <c r="U2299">
        <v>31</v>
      </c>
    </row>
    <row r="2300" spans="1:21" x14ac:dyDescent="0.3">
      <c r="A2300" t="s">
        <v>3747</v>
      </c>
      <c r="B2300" t="s">
        <v>3748</v>
      </c>
      <c r="C2300" t="s">
        <v>299</v>
      </c>
      <c r="D2300" t="s">
        <v>29</v>
      </c>
      <c r="E2300" t="s">
        <v>108</v>
      </c>
      <c r="F2300" s="6">
        <v>45991</v>
      </c>
      <c r="G2300">
        <v>200</v>
      </c>
      <c r="H2300" t="s">
        <v>3792</v>
      </c>
      <c r="I2300">
        <v>0.7013852358407856</v>
      </c>
      <c r="J2300">
        <v>0.7013852358407856</v>
      </c>
      <c r="K2300" t="s">
        <v>2396</v>
      </c>
      <c r="L2300" t="s">
        <v>3793</v>
      </c>
      <c r="M2300">
        <v>2025</v>
      </c>
      <c r="N2300" t="s">
        <v>55</v>
      </c>
      <c r="O2300" t="s">
        <v>103</v>
      </c>
      <c r="P2300">
        <v>2</v>
      </c>
      <c r="Q2300">
        <v>2</v>
      </c>
      <c r="R2300">
        <v>0</v>
      </c>
      <c r="S2300" t="s">
        <v>336</v>
      </c>
      <c r="T2300" t="s">
        <v>3794</v>
      </c>
      <c r="U2300">
        <v>30</v>
      </c>
    </row>
    <row r="2301" spans="1:21" x14ac:dyDescent="0.3">
      <c r="A2301" t="s">
        <v>3747</v>
      </c>
      <c r="B2301" t="s">
        <v>3748</v>
      </c>
      <c r="C2301" t="s">
        <v>299</v>
      </c>
      <c r="D2301" t="s">
        <v>29</v>
      </c>
      <c r="E2301" t="s">
        <v>108</v>
      </c>
      <c r="F2301" s="6">
        <v>46022</v>
      </c>
      <c r="G2301">
        <v>200</v>
      </c>
      <c r="I2301">
        <v>0</v>
      </c>
      <c r="J2301">
        <v>0</v>
      </c>
      <c r="K2301" t="s">
        <v>2396</v>
      </c>
      <c r="M2301">
        <v>2025</v>
      </c>
      <c r="N2301" t="s">
        <v>57</v>
      </c>
      <c r="O2301" t="s">
        <v>103</v>
      </c>
      <c r="P2301">
        <v>2</v>
      </c>
      <c r="Q2301">
        <v>2</v>
      </c>
      <c r="R2301">
        <v>0</v>
      </c>
      <c r="S2301" t="s">
        <v>336</v>
      </c>
      <c r="T2301" t="s">
        <v>3795</v>
      </c>
      <c r="U2301">
        <v>31</v>
      </c>
    </row>
    <row r="2302" spans="1:21" x14ac:dyDescent="0.3">
      <c r="A2302" t="s">
        <v>3796</v>
      </c>
      <c r="B2302" t="s">
        <v>3797</v>
      </c>
      <c r="C2302" t="s">
        <v>299</v>
      </c>
      <c r="D2302" t="s">
        <v>222</v>
      </c>
      <c r="E2302" t="s">
        <v>30</v>
      </c>
      <c r="F2302" s="6">
        <v>45473</v>
      </c>
      <c r="G2302">
        <v>100</v>
      </c>
      <c r="H2302">
        <v>-53.341421494287999</v>
      </c>
      <c r="I2302">
        <v>0</v>
      </c>
      <c r="J2302">
        <v>0</v>
      </c>
      <c r="K2302" t="s">
        <v>31</v>
      </c>
      <c r="L2302" t="s">
        <v>31</v>
      </c>
      <c r="M2302">
        <v>2024</v>
      </c>
      <c r="N2302" t="s">
        <v>44</v>
      </c>
      <c r="O2302" t="s">
        <v>71</v>
      </c>
      <c r="P2302">
        <v>2</v>
      </c>
      <c r="Q2302">
        <v>2</v>
      </c>
      <c r="R2302">
        <v>0</v>
      </c>
      <c r="S2302" t="s">
        <v>336</v>
      </c>
      <c r="T2302" t="s">
        <v>3798</v>
      </c>
      <c r="U2302">
        <v>1</v>
      </c>
    </row>
    <row r="2303" spans="1:21" x14ac:dyDescent="0.3">
      <c r="A2303" t="s">
        <v>3796</v>
      </c>
      <c r="B2303" t="s">
        <v>3797</v>
      </c>
      <c r="C2303" t="s">
        <v>299</v>
      </c>
      <c r="D2303" t="s">
        <v>222</v>
      </c>
      <c r="E2303" t="s">
        <v>30</v>
      </c>
      <c r="F2303" s="6">
        <v>45657</v>
      </c>
      <c r="G2303">
        <v>100</v>
      </c>
      <c r="H2303">
        <v>71.09</v>
      </c>
      <c r="I2303">
        <v>0.71090000000000009</v>
      </c>
      <c r="J2303">
        <v>0.71090000000000009</v>
      </c>
      <c r="K2303" t="s">
        <v>31</v>
      </c>
      <c r="L2303" t="s">
        <v>31</v>
      </c>
      <c r="M2303">
        <v>2024</v>
      </c>
      <c r="N2303" t="s">
        <v>57</v>
      </c>
      <c r="O2303" t="s">
        <v>78</v>
      </c>
      <c r="P2303">
        <v>2</v>
      </c>
      <c r="Q2303">
        <v>2</v>
      </c>
      <c r="R2303">
        <v>0</v>
      </c>
      <c r="S2303" t="s">
        <v>336</v>
      </c>
      <c r="T2303" t="s">
        <v>3799</v>
      </c>
      <c r="U2303">
        <v>1</v>
      </c>
    </row>
    <row r="2304" spans="1:21" x14ac:dyDescent="0.3">
      <c r="A2304" t="s">
        <v>3796</v>
      </c>
      <c r="B2304" t="s">
        <v>3797</v>
      </c>
      <c r="C2304" t="s">
        <v>299</v>
      </c>
      <c r="D2304" t="s">
        <v>222</v>
      </c>
      <c r="E2304" t="s">
        <v>30</v>
      </c>
      <c r="F2304" s="6">
        <v>45838</v>
      </c>
      <c r="G2304">
        <v>100</v>
      </c>
      <c r="H2304" t="s">
        <v>3800</v>
      </c>
      <c r="I2304">
        <v>0.96090000000000009</v>
      </c>
      <c r="J2304">
        <v>0.96090000000000009</v>
      </c>
      <c r="K2304" t="s">
        <v>102</v>
      </c>
      <c r="L2304" t="s">
        <v>3801</v>
      </c>
      <c r="M2304">
        <v>2025</v>
      </c>
      <c r="N2304" t="s">
        <v>44</v>
      </c>
      <c r="O2304" t="s">
        <v>244</v>
      </c>
      <c r="P2304">
        <v>2</v>
      </c>
      <c r="Q2304">
        <v>2</v>
      </c>
      <c r="R2304">
        <v>0</v>
      </c>
      <c r="S2304" t="s">
        <v>336</v>
      </c>
      <c r="T2304" t="s">
        <v>3802</v>
      </c>
      <c r="U2304">
        <v>30</v>
      </c>
    </row>
    <row r="2305" spans="1:21" x14ac:dyDescent="0.3">
      <c r="A2305" t="s">
        <v>3796</v>
      </c>
      <c r="B2305" t="s">
        <v>3797</v>
      </c>
      <c r="C2305" t="s">
        <v>299</v>
      </c>
      <c r="D2305" t="s">
        <v>222</v>
      </c>
      <c r="E2305" t="s">
        <v>30</v>
      </c>
      <c r="F2305" s="6">
        <v>46022</v>
      </c>
      <c r="G2305">
        <v>100</v>
      </c>
      <c r="H2305" t="s">
        <v>3803</v>
      </c>
      <c r="I2305">
        <v>0</v>
      </c>
      <c r="J2305">
        <v>-7.3208000000000002</v>
      </c>
      <c r="K2305" t="s">
        <v>102</v>
      </c>
      <c r="L2305" t="s">
        <v>3804</v>
      </c>
      <c r="M2305">
        <v>2025</v>
      </c>
      <c r="N2305" t="s">
        <v>57</v>
      </c>
      <c r="O2305" t="s">
        <v>103</v>
      </c>
      <c r="P2305">
        <v>2</v>
      </c>
      <c r="Q2305">
        <v>2</v>
      </c>
      <c r="R2305">
        <v>0</v>
      </c>
      <c r="S2305" t="s">
        <v>336</v>
      </c>
      <c r="T2305" t="s">
        <v>3805</v>
      </c>
      <c r="U2305">
        <v>31</v>
      </c>
    </row>
    <row r="2306" spans="1:21" x14ac:dyDescent="0.3">
      <c r="A2306" t="s">
        <v>3806</v>
      </c>
      <c r="B2306" t="s">
        <v>863</v>
      </c>
      <c r="C2306" t="s">
        <v>309</v>
      </c>
      <c r="D2306" t="s">
        <v>29</v>
      </c>
      <c r="E2306" t="s">
        <v>108</v>
      </c>
      <c r="F2306" s="6">
        <v>45138</v>
      </c>
      <c r="G2306">
        <v>21</v>
      </c>
      <c r="H2306">
        <v>11.7</v>
      </c>
      <c r="I2306">
        <v>1.3</v>
      </c>
      <c r="J2306">
        <v>1.7948717948717949</v>
      </c>
      <c r="K2306" t="s">
        <v>3807</v>
      </c>
      <c r="L2306" t="s">
        <v>3807</v>
      </c>
      <c r="M2306">
        <v>2023</v>
      </c>
      <c r="N2306" t="s">
        <v>46</v>
      </c>
      <c r="O2306" t="s">
        <v>47</v>
      </c>
      <c r="P2306">
        <v>0</v>
      </c>
      <c r="Q2306">
        <v>0</v>
      </c>
      <c r="R2306">
        <v>0</v>
      </c>
      <c r="S2306" t="s">
        <v>99</v>
      </c>
      <c r="T2306" t="s">
        <v>3808</v>
      </c>
      <c r="U2306">
        <v>1</v>
      </c>
    </row>
    <row r="2307" spans="1:21" x14ac:dyDescent="0.3">
      <c r="A2307" t="s">
        <v>3806</v>
      </c>
      <c r="B2307" t="s">
        <v>863</v>
      </c>
      <c r="C2307" t="s">
        <v>309</v>
      </c>
      <c r="D2307" t="s">
        <v>29</v>
      </c>
      <c r="E2307" t="s">
        <v>108</v>
      </c>
      <c r="F2307" s="6">
        <v>45169</v>
      </c>
      <c r="G2307">
        <v>21</v>
      </c>
      <c r="H2307">
        <v>8.6999999999999993</v>
      </c>
      <c r="I2307">
        <v>1.3</v>
      </c>
      <c r="J2307">
        <v>2.4137931034482758</v>
      </c>
      <c r="K2307" t="s">
        <v>3807</v>
      </c>
      <c r="L2307" t="s">
        <v>3807</v>
      </c>
      <c r="M2307">
        <v>2023</v>
      </c>
      <c r="N2307" t="s">
        <v>49</v>
      </c>
      <c r="O2307" t="s">
        <v>47</v>
      </c>
      <c r="P2307">
        <v>0</v>
      </c>
      <c r="Q2307">
        <v>0</v>
      </c>
      <c r="R2307">
        <v>0</v>
      </c>
      <c r="S2307" t="s">
        <v>99</v>
      </c>
      <c r="T2307" t="s">
        <v>3809</v>
      </c>
      <c r="U2307">
        <v>1</v>
      </c>
    </row>
    <row r="2308" spans="1:21" x14ac:dyDescent="0.3">
      <c r="A2308" t="s">
        <v>3806</v>
      </c>
      <c r="B2308" t="s">
        <v>863</v>
      </c>
      <c r="C2308" t="s">
        <v>309</v>
      </c>
      <c r="D2308" t="s">
        <v>29</v>
      </c>
      <c r="E2308" t="s">
        <v>108</v>
      </c>
      <c r="F2308" s="6">
        <v>45199</v>
      </c>
      <c r="G2308">
        <v>21</v>
      </c>
      <c r="H2308">
        <v>17.3</v>
      </c>
      <c r="I2308">
        <v>1.2138728323699419</v>
      </c>
      <c r="J2308">
        <v>1.2138728323699419</v>
      </c>
      <c r="K2308" t="s">
        <v>3807</v>
      </c>
      <c r="L2308" t="s">
        <v>3807</v>
      </c>
      <c r="M2308">
        <v>2023</v>
      </c>
      <c r="N2308" t="s">
        <v>51</v>
      </c>
      <c r="O2308" t="s">
        <v>47</v>
      </c>
      <c r="P2308">
        <v>0</v>
      </c>
      <c r="Q2308">
        <v>0</v>
      </c>
      <c r="R2308">
        <v>0</v>
      </c>
      <c r="S2308" t="s">
        <v>99</v>
      </c>
      <c r="T2308" t="s">
        <v>3810</v>
      </c>
      <c r="U2308">
        <v>1</v>
      </c>
    </row>
    <row r="2309" spans="1:21" x14ac:dyDescent="0.3">
      <c r="A2309" t="s">
        <v>3806</v>
      </c>
      <c r="B2309" t="s">
        <v>863</v>
      </c>
      <c r="C2309" t="s">
        <v>309</v>
      </c>
      <c r="D2309" t="s">
        <v>29</v>
      </c>
      <c r="E2309" t="s">
        <v>108</v>
      </c>
      <c r="F2309" s="6">
        <v>45230</v>
      </c>
      <c r="G2309">
        <v>21</v>
      </c>
      <c r="H2309">
        <v>5.0999999999999996</v>
      </c>
      <c r="I2309">
        <v>1.3</v>
      </c>
      <c r="J2309">
        <v>4.1176470588235299</v>
      </c>
      <c r="K2309" t="s">
        <v>3807</v>
      </c>
      <c r="L2309" t="s">
        <v>3807</v>
      </c>
      <c r="M2309">
        <v>2023</v>
      </c>
      <c r="N2309" t="s">
        <v>53</v>
      </c>
      <c r="O2309" t="s">
        <v>47</v>
      </c>
      <c r="P2309">
        <v>0</v>
      </c>
      <c r="Q2309">
        <v>0</v>
      </c>
      <c r="R2309">
        <v>0</v>
      </c>
      <c r="S2309" t="s">
        <v>99</v>
      </c>
      <c r="T2309" t="s">
        <v>3811</v>
      </c>
      <c r="U2309">
        <v>1</v>
      </c>
    </row>
    <row r="2310" spans="1:21" x14ac:dyDescent="0.3">
      <c r="A2310" t="s">
        <v>3806</v>
      </c>
      <c r="B2310" t="s">
        <v>863</v>
      </c>
      <c r="C2310" t="s">
        <v>309</v>
      </c>
      <c r="D2310" t="s">
        <v>29</v>
      </c>
      <c r="E2310" t="s">
        <v>108</v>
      </c>
      <c r="F2310" s="6">
        <v>45260</v>
      </c>
      <c r="G2310">
        <v>21</v>
      </c>
      <c r="H2310">
        <v>10.91</v>
      </c>
      <c r="I2310">
        <v>1.3</v>
      </c>
      <c r="J2310">
        <v>1.9248395967002749</v>
      </c>
      <c r="K2310" t="s">
        <v>3807</v>
      </c>
      <c r="L2310" t="s">
        <v>3807</v>
      </c>
      <c r="M2310">
        <v>2023</v>
      </c>
      <c r="N2310" t="s">
        <v>55</v>
      </c>
      <c r="O2310" t="s">
        <v>47</v>
      </c>
      <c r="P2310">
        <v>0</v>
      </c>
      <c r="Q2310">
        <v>0</v>
      </c>
      <c r="R2310">
        <v>0</v>
      </c>
      <c r="S2310" t="s">
        <v>99</v>
      </c>
      <c r="T2310" t="s">
        <v>3812</v>
      </c>
      <c r="U2310">
        <v>1</v>
      </c>
    </row>
    <row r="2311" spans="1:21" x14ac:dyDescent="0.3">
      <c r="A2311" t="s">
        <v>3806</v>
      </c>
      <c r="B2311" t="s">
        <v>863</v>
      </c>
      <c r="C2311" t="s">
        <v>309</v>
      </c>
      <c r="D2311" t="s">
        <v>29</v>
      </c>
      <c r="E2311" t="s">
        <v>108</v>
      </c>
      <c r="F2311" s="6">
        <v>45291</v>
      </c>
      <c r="G2311">
        <v>21</v>
      </c>
      <c r="H2311">
        <v>12.7</v>
      </c>
      <c r="I2311">
        <v>1.3</v>
      </c>
      <c r="J2311">
        <v>1.6535433070866139</v>
      </c>
      <c r="K2311" t="s">
        <v>3807</v>
      </c>
      <c r="L2311" t="s">
        <v>3807</v>
      </c>
      <c r="M2311">
        <v>2023</v>
      </c>
      <c r="N2311" t="s">
        <v>57</v>
      </c>
      <c r="O2311" t="s">
        <v>47</v>
      </c>
      <c r="P2311">
        <v>0</v>
      </c>
      <c r="Q2311">
        <v>0</v>
      </c>
      <c r="R2311">
        <v>0</v>
      </c>
      <c r="S2311" t="s">
        <v>99</v>
      </c>
      <c r="T2311" t="s">
        <v>3813</v>
      </c>
      <c r="U2311">
        <v>1</v>
      </c>
    </row>
    <row r="2312" spans="1:21" x14ac:dyDescent="0.3">
      <c r="A2312" t="s">
        <v>3806</v>
      </c>
      <c r="B2312" t="s">
        <v>863</v>
      </c>
      <c r="C2312" t="s">
        <v>309</v>
      </c>
      <c r="D2312" t="s">
        <v>29</v>
      </c>
      <c r="E2312" t="s">
        <v>108</v>
      </c>
      <c r="F2312" s="6">
        <v>45322</v>
      </c>
      <c r="G2312">
        <v>14</v>
      </c>
      <c r="H2312">
        <v>9.6999999999999993</v>
      </c>
      <c r="I2312">
        <v>1.3</v>
      </c>
      <c r="J2312">
        <v>1.4432989690721649</v>
      </c>
      <c r="K2312" t="s">
        <v>3807</v>
      </c>
      <c r="L2312" t="s">
        <v>3807</v>
      </c>
      <c r="M2312">
        <v>2024</v>
      </c>
      <c r="N2312" t="s">
        <v>32</v>
      </c>
      <c r="O2312" t="s">
        <v>71</v>
      </c>
      <c r="P2312">
        <v>0</v>
      </c>
      <c r="Q2312">
        <v>0</v>
      </c>
      <c r="R2312">
        <v>0</v>
      </c>
      <c r="S2312" t="s">
        <v>99</v>
      </c>
      <c r="T2312" t="s">
        <v>3814</v>
      </c>
      <c r="U2312">
        <v>1</v>
      </c>
    </row>
    <row r="2313" spans="1:21" x14ac:dyDescent="0.3">
      <c r="A2313" t="s">
        <v>3806</v>
      </c>
      <c r="B2313" t="s">
        <v>863</v>
      </c>
      <c r="C2313" t="s">
        <v>309</v>
      </c>
      <c r="D2313" t="s">
        <v>29</v>
      </c>
      <c r="E2313" t="s">
        <v>108</v>
      </c>
      <c r="F2313" s="6">
        <v>45351</v>
      </c>
      <c r="G2313">
        <v>14</v>
      </c>
      <c r="H2313">
        <v>13.5</v>
      </c>
      <c r="I2313">
        <v>1.037037037037037</v>
      </c>
      <c r="J2313">
        <v>1.037037037037037</v>
      </c>
      <c r="K2313" t="s">
        <v>3807</v>
      </c>
      <c r="L2313" t="s">
        <v>3807</v>
      </c>
      <c r="M2313">
        <v>2024</v>
      </c>
      <c r="N2313" t="s">
        <v>36</v>
      </c>
      <c r="O2313" t="s">
        <v>71</v>
      </c>
      <c r="P2313">
        <v>0</v>
      </c>
      <c r="Q2313">
        <v>0</v>
      </c>
      <c r="R2313">
        <v>0</v>
      </c>
      <c r="S2313" t="s">
        <v>99</v>
      </c>
      <c r="T2313" t="s">
        <v>3815</v>
      </c>
      <c r="U2313">
        <v>1</v>
      </c>
    </row>
    <row r="2314" spans="1:21" x14ac:dyDescent="0.3">
      <c r="A2314" t="s">
        <v>3806</v>
      </c>
      <c r="B2314" t="s">
        <v>863</v>
      </c>
      <c r="C2314" t="s">
        <v>309</v>
      </c>
      <c r="D2314" t="s">
        <v>29</v>
      </c>
      <c r="E2314" t="s">
        <v>108</v>
      </c>
      <c r="F2314" s="6">
        <v>45382</v>
      </c>
      <c r="G2314">
        <v>14</v>
      </c>
      <c r="H2314">
        <v>15.7</v>
      </c>
      <c r="I2314">
        <v>0.89171974522292996</v>
      </c>
      <c r="J2314">
        <v>0.89171974522292996</v>
      </c>
      <c r="K2314" t="s">
        <v>3807</v>
      </c>
      <c r="L2314" t="s">
        <v>3807</v>
      </c>
      <c r="M2314">
        <v>2024</v>
      </c>
      <c r="N2314" t="s">
        <v>38</v>
      </c>
      <c r="O2314" t="s">
        <v>71</v>
      </c>
      <c r="P2314">
        <v>0</v>
      </c>
      <c r="Q2314">
        <v>0</v>
      </c>
      <c r="R2314">
        <v>0</v>
      </c>
      <c r="S2314" t="s">
        <v>99</v>
      </c>
      <c r="T2314" t="s">
        <v>3816</v>
      </c>
      <c r="U2314">
        <v>1</v>
      </c>
    </row>
    <row r="2315" spans="1:21" x14ac:dyDescent="0.3">
      <c r="A2315" t="s">
        <v>3806</v>
      </c>
      <c r="B2315" t="s">
        <v>863</v>
      </c>
      <c r="C2315" t="s">
        <v>309</v>
      </c>
      <c r="D2315" t="s">
        <v>29</v>
      </c>
      <c r="E2315" t="s">
        <v>108</v>
      </c>
      <c r="F2315" s="6">
        <v>45412</v>
      </c>
      <c r="G2315">
        <v>14</v>
      </c>
      <c r="H2315">
        <v>11.1</v>
      </c>
      <c r="I2315">
        <v>1.261261261261261</v>
      </c>
      <c r="J2315">
        <v>1.261261261261261</v>
      </c>
      <c r="K2315" t="s">
        <v>3807</v>
      </c>
      <c r="L2315" t="s">
        <v>3807</v>
      </c>
      <c r="M2315">
        <v>2024</v>
      </c>
      <c r="N2315" t="s">
        <v>40</v>
      </c>
      <c r="O2315" t="s">
        <v>71</v>
      </c>
      <c r="P2315">
        <v>0</v>
      </c>
      <c r="Q2315">
        <v>0</v>
      </c>
      <c r="R2315">
        <v>0</v>
      </c>
      <c r="S2315" t="s">
        <v>99</v>
      </c>
      <c r="T2315" t="s">
        <v>3817</v>
      </c>
      <c r="U2315">
        <v>1</v>
      </c>
    </row>
    <row r="2316" spans="1:21" x14ac:dyDescent="0.3">
      <c r="A2316" t="s">
        <v>3806</v>
      </c>
      <c r="B2316" t="s">
        <v>863</v>
      </c>
      <c r="C2316" t="s">
        <v>309</v>
      </c>
      <c r="D2316" t="s">
        <v>29</v>
      </c>
      <c r="E2316" t="s">
        <v>108</v>
      </c>
      <c r="F2316" s="6">
        <v>45443</v>
      </c>
      <c r="G2316">
        <v>14</v>
      </c>
      <c r="H2316">
        <v>10.6</v>
      </c>
      <c r="I2316">
        <v>1.3</v>
      </c>
      <c r="J2316">
        <v>1.320754716981132</v>
      </c>
      <c r="K2316" t="s">
        <v>3807</v>
      </c>
      <c r="L2316" t="s">
        <v>3807</v>
      </c>
      <c r="M2316">
        <v>2024</v>
      </c>
      <c r="N2316" t="s">
        <v>42</v>
      </c>
      <c r="O2316" t="s">
        <v>71</v>
      </c>
      <c r="P2316">
        <v>0</v>
      </c>
      <c r="Q2316">
        <v>0</v>
      </c>
      <c r="R2316">
        <v>0</v>
      </c>
      <c r="S2316" t="s">
        <v>99</v>
      </c>
      <c r="T2316" t="s">
        <v>3818</v>
      </c>
      <c r="U2316">
        <v>1</v>
      </c>
    </row>
    <row r="2317" spans="1:21" x14ac:dyDescent="0.3">
      <c r="A2317" t="s">
        <v>3806</v>
      </c>
      <c r="B2317" t="s">
        <v>863</v>
      </c>
      <c r="C2317" t="s">
        <v>309</v>
      </c>
      <c r="D2317" t="s">
        <v>29</v>
      </c>
      <c r="E2317" t="s">
        <v>108</v>
      </c>
      <c r="F2317" s="6">
        <v>45473</v>
      </c>
      <c r="G2317">
        <v>14</v>
      </c>
      <c r="H2317">
        <v>8.8000000000000007</v>
      </c>
      <c r="I2317">
        <v>1.3</v>
      </c>
      <c r="J2317">
        <v>1.5909090909090911</v>
      </c>
      <c r="K2317" t="s">
        <v>3807</v>
      </c>
      <c r="L2317" t="s">
        <v>3807</v>
      </c>
      <c r="M2317">
        <v>2024</v>
      </c>
      <c r="N2317" t="s">
        <v>44</v>
      </c>
      <c r="O2317" t="s">
        <v>71</v>
      </c>
      <c r="P2317">
        <v>0</v>
      </c>
      <c r="Q2317">
        <v>0</v>
      </c>
      <c r="R2317">
        <v>0</v>
      </c>
      <c r="S2317" t="s">
        <v>99</v>
      </c>
      <c r="T2317" t="s">
        <v>3819</v>
      </c>
      <c r="U2317">
        <v>1</v>
      </c>
    </row>
    <row r="2318" spans="1:21" x14ac:dyDescent="0.3">
      <c r="A2318" t="s">
        <v>3806</v>
      </c>
      <c r="B2318" t="s">
        <v>863</v>
      </c>
      <c r="C2318" t="s">
        <v>309</v>
      </c>
      <c r="D2318" t="s">
        <v>29</v>
      </c>
      <c r="E2318" t="s">
        <v>108</v>
      </c>
      <c r="F2318" s="6">
        <v>45504</v>
      </c>
      <c r="G2318">
        <v>14</v>
      </c>
      <c r="H2318">
        <v>9.4</v>
      </c>
      <c r="I2318">
        <v>1.3</v>
      </c>
      <c r="J2318">
        <v>1.4893617021276599</v>
      </c>
      <c r="K2318" t="s">
        <v>3807</v>
      </c>
      <c r="L2318" t="s">
        <v>3807</v>
      </c>
      <c r="M2318">
        <v>2024</v>
      </c>
      <c r="N2318" t="s">
        <v>46</v>
      </c>
      <c r="O2318" t="s">
        <v>78</v>
      </c>
      <c r="P2318">
        <v>0</v>
      </c>
      <c r="Q2318">
        <v>0</v>
      </c>
      <c r="R2318">
        <v>0</v>
      </c>
      <c r="S2318" t="s">
        <v>99</v>
      </c>
      <c r="T2318" t="s">
        <v>3820</v>
      </c>
      <c r="U2318">
        <v>1</v>
      </c>
    </row>
    <row r="2319" spans="1:21" x14ac:dyDescent="0.3">
      <c r="A2319" t="s">
        <v>3806</v>
      </c>
      <c r="B2319" t="s">
        <v>863</v>
      </c>
      <c r="C2319" t="s">
        <v>309</v>
      </c>
      <c r="D2319" t="s">
        <v>29</v>
      </c>
      <c r="E2319" t="s">
        <v>108</v>
      </c>
      <c r="F2319" s="6">
        <v>45535</v>
      </c>
      <c r="G2319">
        <v>14</v>
      </c>
      <c r="H2319">
        <v>8.5</v>
      </c>
      <c r="I2319">
        <v>1.3</v>
      </c>
      <c r="J2319">
        <v>1.6470588235294119</v>
      </c>
      <c r="K2319" t="s">
        <v>3807</v>
      </c>
      <c r="L2319" t="s">
        <v>3807</v>
      </c>
      <c r="M2319">
        <v>2024</v>
      </c>
      <c r="N2319" t="s">
        <v>49</v>
      </c>
      <c r="O2319" t="s">
        <v>78</v>
      </c>
      <c r="P2319">
        <v>0</v>
      </c>
      <c r="Q2319">
        <v>0</v>
      </c>
      <c r="R2319">
        <v>0</v>
      </c>
      <c r="S2319" t="s">
        <v>99</v>
      </c>
      <c r="T2319" t="s">
        <v>3821</v>
      </c>
      <c r="U2319">
        <v>1</v>
      </c>
    </row>
    <row r="2320" spans="1:21" x14ac:dyDescent="0.3">
      <c r="A2320" t="s">
        <v>3806</v>
      </c>
      <c r="B2320" t="s">
        <v>863</v>
      </c>
      <c r="C2320" t="s">
        <v>309</v>
      </c>
      <c r="D2320" t="s">
        <v>29</v>
      </c>
      <c r="E2320" t="s">
        <v>108</v>
      </c>
      <c r="F2320" s="6">
        <v>45565</v>
      </c>
      <c r="G2320">
        <v>14</v>
      </c>
      <c r="H2320">
        <v>10.5</v>
      </c>
      <c r="I2320">
        <v>1.3</v>
      </c>
      <c r="J2320">
        <v>1.333333333333333</v>
      </c>
      <c r="K2320" t="s">
        <v>3807</v>
      </c>
      <c r="L2320" t="s">
        <v>3807</v>
      </c>
      <c r="M2320">
        <v>2024</v>
      </c>
      <c r="N2320" t="s">
        <v>51</v>
      </c>
      <c r="O2320" t="s">
        <v>78</v>
      </c>
      <c r="P2320">
        <v>0</v>
      </c>
      <c r="Q2320">
        <v>0</v>
      </c>
      <c r="R2320">
        <v>0</v>
      </c>
      <c r="S2320" t="s">
        <v>99</v>
      </c>
      <c r="T2320" t="s">
        <v>3822</v>
      </c>
      <c r="U2320">
        <v>1</v>
      </c>
    </row>
    <row r="2321" spans="1:21" x14ac:dyDescent="0.3">
      <c r="A2321" t="s">
        <v>3806</v>
      </c>
      <c r="B2321" t="s">
        <v>863</v>
      </c>
      <c r="C2321" t="s">
        <v>309</v>
      </c>
      <c r="D2321" t="s">
        <v>29</v>
      </c>
      <c r="E2321" t="s">
        <v>108</v>
      </c>
      <c r="F2321" s="6">
        <v>45596</v>
      </c>
      <c r="G2321">
        <v>14</v>
      </c>
      <c r="H2321">
        <v>8</v>
      </c>
      <c r="I2321">
        <v>1.3</v>
      </c>
      <c r="J2321">
        <v>1.75</v>
      </c>
      <c r="K2321" t="s">
        <v>3807</v>
      </c>
      <c r="L2321" t="s">
        <v>3807</v>
      </c>
      <c r="M2321">
        <v>2024</v>
      </c>
      <c r="N2321" t="s">
        <v>53</v>
      </c>
      <c r="O2321" t="s">
        <v>78</v>
      </c>
      <c r="P2321">
        <v>0</v>
      </c>
      <c r="Q2321">
        <v>0</v>
      </c>
      <c r="R2321">
        <v>0</v>
      </c>
      <c r="S2321" t="s">
        <v>99</v>
      </c>
      <c r="T2321" t="s">
        <v>3823</v>
      </c>
      <c r="U2321">
        <v>1</v>
      </c>
    </row>
    <row r="2322" spans="1:21" x14ac:dyDescent="0.3">
      <c r="A2322" t="s">
        <v>3806</v>
      </c>
      <c r="B2322" t="s">
        <v>863</v>
      </c>
      <c r="C2322" t="s">
        <v>309</v>
      </c>
      <c r="D2322" t="s">
        <v>29</v>
      </c>
      <c r="E2322" t="s">
        <v>108</v>
      </c>
      <c r="F2322" s="6">
        <v>45626</v>
      </c>
      <c r="G2322">
        <v>14</v>
      </c>
      <c r="H2322">
        <v>10</v>
      </c>
      <c r="I2322">
        <v>1.3</v>
      </c>
      <c r="J2322">
        <v>1.4</v>
      </c>
      <c r="K2322" t="s">
        <v>3807</v>
      </c>
      <c r="L2322" t="s">
        <v>3807</v>
      </c>
      <c r="M2322">
        <v>2024</v>
      </c>
      <c r="N2322" t="s">
        <v>55</v>
      </c>
      <c r="O2322" t="s">
        <v>78</v>
      </c>
      <c r="P2322">
        <v>0</v>
      </c>
      <c r="Q2322">
        <v>0</v>
      </c>
      <c r="R2322">
        <v>0</v>
      </c>
      <c r="S2322" t="s">
        <v>99</v>
      </c>
      <c r="T2322" t="s">
        <v>3824</v>
      </c>
      <c r="U2322">
        <v>1</v>
      </c>
    </row>
    <row r="2323" spans="1:21" x14ac:dyDescent="0.3">
      <c r="A2323" t="s">
        <v>3806</v>
      </c>
      <c r="B2323" t="s">
        <v>863</v>
      </c>
      <c r="C2323" t="s">
        <v>309</v>
      </c>
      <c r="D2323" t="s">
        <v>29</v>
      </c>
      <c r="E2323" t="s">
        <v>108</v>
      </c>
      <c r="F2323" s="6">
        <v>45657</v>
      </c>
      <c r="G2323">
        <v>14</v>
      </c>
      <c r="H2323">
        <v>16.97</v>
      </c>
      <c r="I2323">
        <v>0.82498526812021222</v>
      </c>
      <c r="J2323">
        <v>0.82498526812021222</v>
      </c>
      <c r="K2323" t="s">
        <v>3807</v>
      </c>
      <c r="L2323" t="s">
        <v>3807</v>
      </c>
      <c r="M2323">
        <v>2024</v>
      </c>
      <c r="N2323" t="s">
        <v>57</v>
      </c>
      <c r="O2323" t="s">
        <v>78</v>
      </c>
      <c r="P2323">
        <v>0</v>
      </c>
      <c r="Q2323">
        <v>0</v>
      </c>
      <c r="R2323">
        <v>0</v>
      </c>
      <c r="S2323" t="s">
        <v>99</v>
      </c>
      <c r="T2323" t="s">
        <v>3825</v>
      </c>
      <c r="U2323">
        <v>1</v>
      </c>
    </row>
    <row r="2324" spans="1:21" x14ac:dyDescent="0.3">
      <c r="A2324" t="s">
        <v>3806</v>
      </c>
      <c r="B2324" t="s">
        <v>863</v>
      </c>
      <c r="C2324" t="s">
        <v>309</v>
      </c>
      <c r="D2324" t="s">
        <v>29</v>
      </c>
      <c r="E2324" t="s">
        <v>108</v>
      </c>
      <c r="F2324" s="6">
        <v>45688</v>
      </c>
      <c r="G2324">
        <v>14</v>
      </c>
      <c r="H2324" t="s">
        <v>3826</v>
      </c>
      <c r="I2324">
        <v>1.3</v>
      </c>
      <c r="J2324">
        <v>1.5217391304347829</v>
      </c>
      <c r="K2324" t="s">
        <v>3827</v>
      </c>
      <c r="L2324" t="s">
        <v>3828</v>
      </c>
      <c r="M2324">
        <v>2025</v>
      </c>
      <c r="N2324" t="s">
        <v>32</v>
      </c>
      <c r="O2324" t="s">
        <v>244</v>
      </c>
      <c r="P2324">
        <v>2</v>
      </c>
      <c r="Q2324">
        <v>2</v>
      </c>
      <c r="R2324">
        <v>0</v>
      </c>
      <c r="S2324" t="s">
        <v>104</v>
      </c>
      <c r="T2324" t="s">
        <v>3829</v>
      </c>
      <c r="U2324">
        <v>31</v>
      </c>
    </row>
    <row r="2325" spans="1:21" x14ac:dyDescent="0.3">
      <c r="A2325" t="s">
        <v>3806</v>
      </c>
      <c r="B2325" t="s">
        <v>863</v>
      </c>
      <c r="C2325" t="s">
        <v>309</v>
      </c>
      <c r="D2325" t="s">
        <v>29</v>
      </c>
      <c r="E2325" t="s">
        <v>108</v>
      </c>
      <c r="F2325" s="6">
        <v>45716</v>
      </c>
      <c r="G2325">
        <v>14</v>
      </c>
      <c r="H2325" t="s">
        <v>3830</v>
      </c>
      <c r="I2325">
        <v>1.3</v>
      </c>
      <c r="J2325">
        <v>4.1916167664670656</v>
      </c>
      <c r="K2325" t="s">
        <v>3827</v>
      </c>
      <c r="L2325" t="s">
        <v>3831</v>
      </c>
      <c r="M2325">
        <v>2025</v>
      </c>
      <c r="N2325" t="s">
        <v>36</v>
      </c>
      <c r="O2325" t="s">
        <v>244</v>
      </c>
      <c r="P2325">
        <v>2</v>
      </c>
      <c r="Q2325">
        <v>2</v>
      </c>
      <c r="R2325">
        <v>0</v>
      </c>
      <c r="S2325" t="s">
        <v>104</v>
      </c>
      <c r="T2325" t="s">
        <v>3832</v>
      </c>
      <c r="U2325">
        <v>28</v>
      </c>
    </row>
    <row r="2326" spans="1:21" x14ac:dyDescent="0.3">
      <c r="A2326" t="s">
        <v>3806</v>
      </c>
      <c r="B2326" t="s">
        <v>863</v>
      </c>
      <c r="C2326" t="s">
        <v>309</v>
      </c>
      <c r="D2326" t="s">
        <v>29</v>
      </c>
      <c r="E2326" t="s">
        <v>108</v>
      </c>
      <c r="F2326" s="6">
        <v>45747</v>
      </c>
      <c r="G2326">
        <v>14</v>
      </c>
      <c r="H2326" t="s">
        <v>3833</v>
      </c>
      <c r="I2326">
        <v>1.3</v>
      </c>
      <c r="J2326">
        <v>1.320754716981132</v>
      </c>
      <c r="K2326" t="s">
        <v>3827</v>
      </c>
      <c r="L2326" t="s">
        <v>3834</v>
      </c>
      <c r="M2326">
        <v>2025</v>
      </c>
      <c r="N2326" t="s">
        <v>38</v>
      </c>
      <c r="O2326" t="s">
        <v>244</v>
      </c>
      <c r="P2326">
        <v>2</v>
      </c>
      <c r="Q2326">
        <v>2</v>
      </c>
      <c r="R2326">
        <v>0</v>
      </c>
      <c r="S2326" t="s">
        <v>104</v>
      </c>
      <c r="T2326" t="s">
        <v>3835</v>
      </c>
      <c r="U2326">
        <v>31</v>
      </c>
    </row>
    <row r="2327" spans="1:21" x14ac:dyDescent="0.3">
      <c r="A2327" t="s">
        <v>3806</v>
      </c>
      <c r="B2327" t="s">
        <v>863</v>
      </c>
      <c r="C2327" t="s">
        <v>309</v>
      </c>
      <c r="D2327" t="s">
        <v>29</v>
      </c>
      <c r="E2327" t="s">
        <v>108</v>
      </c>
      <c r="F2327" s="6">
        <v>45777</v>
      </c>
      <c r="G2327">
        <v>14</v>
      </c>
      <c r="H2327" t="s">
        <v>3836</v>
      </c>
      <c r="I2327">
        <v>1.3</v>
      </c>
      <c r="J2327">
        <v>2.1875</v>
      </c>
      <c r="K2327" t="s">
        <v>3827</v>
      </c>
      <c r="L2327" t="s">
        <v>3837</v>
      </c>
      <c r="M2327">
        <v>2025</v>
      </c>
      <c r="N2327" t="s">
        <v>40</v>
      </c>
      <c r="O2327" t="s">
        <v>244</v>
      </c>
      <c r="P2327">
        <v>2</v>
      </c>
      <c r="Q2327">
        <v>2</v>
      </c>
      <c r="R2327">
        <v>0</v>
      </c>
      <c r="S2327" t="s">
        <v>104</v>
      </c>
      <c r="T2327" t="s">
        <v>3838</v>
      </c>
      <c r="U2327">
        <v>30</v>
      </c>
    </row>
    <row r="2328" spans="1:21" x14ac:dyDescent="0.3">
      <c r="A2328" t="s">
        <v>3806</v>
      </c>
      <c r="B2328" t="s">
        <v>863</v>
      </c>
      <c r="C2328" t="s">
        <v>309</v>
      </c>
      <c r="D2328" t="s">
        <v>29</v>
      </c>
      <c r="E2328" t="s">
        <v>108</v>
      </c>
      <c r="F2328" s="6">
        <v>45808</v>
      </c>
      <c r="G2328">
        <v>14</v>
      </c>
      <c r="H2328" t="s">
        <v>3839</v>
      </c>
      <c r="I2328">
        <v>1.3</v>
      </c>
      <c r="J2328">
        <v>1.3765978367748279</v>
      </c>
      <c r="K2328" t="s">
        <v>3827</v>
      </c>
      <c r="L2328" t="s">
        <v>3840</v>
      </c>
      <c r="M2328">
        <v>2025</v>
      </c>
      <c r="N2328" t="s">
        <v>42</v>
      </c>
      <c r="O2328" t="s">
        <v>244</v>
      </c>
      <c r="P2328">
        <v>2</v>
      </c>
      <c r="Q2328">
        <v>2</v>
      </c>
      <c r="R2328">
        <v>0</v>
      </c>
      <c r="S2328" t="s">
        <v>104</v>
      </c>
      <c r="T2328" t="s">
        <v>3841</v>
      </c>
      <c r="U2328">
        <v>31</v>
      </c>
    </row>
    <row r="2329" spans="1:21" x14ac:dyDescent="0.3">
      <c r="A2329" t="s">
        <v>3806</v>
      </c>
      <c r="B2329" t="s">
        <v>863</v>
      </c>
      <c r="C2329" t="s">
        <v>309</v>
      </c>
      <c r="D2329" t="s">
        <v>29</v>
      </c>
      <c r="E2329" t="s">
        <v>108</v>
      </c>
      <c r="F2329" s="6">
        <v>45838</v>
      </c>
      <c r="G2329">
        <v>14</v>
      </c>
      <c r="H2329" t="s">
        <v>3842</v>
      </c>
      <c r="I2329">
        <v>1.173512154233026</v>
      </c>
      <c r="J2329">
        <v>1.173512154233026</v>
      </c>
      <c r="K2329" t="s">
        <v>3827</v>
      </c>
      <c r="L2329" t="s">
        <v>3843</v>
      </c>
      <c r="M2329">
        <v>2025</v>
      </c>
      <c r="N2329" t="s">
        <v>44</v>
      </c>
      <c r="O2329" t="s">
        <v>244</v>
      </c>
      <c r="P2329">
        <v>2</v>
      </c>
      <c r="Q2329">
        <v>2</v>
      </c>
      <c r="R2329">
        <v>0</v>
      </c>
      <c r="S2329" t="s">
        <v>104</v>
      </c>
      <c r="T2329" t="s">
        <v>3844</v>
      </c>
      <c r="U2329">
        <v>30</v>
      </c>
    </row>
    <row r="2330" spans="1:21" x14ac:dyDescent="0.3">
      <c r="A2330" t="s">
        <v>3806</v>
      </c>
      <c r="B2330" t="s">
        <v>863</v>
      </c>
      <c r="C2330" t="s">
        <v>309</v>
      </c>
      <c r="D2330" t="s">
        <v>29</v>
      </c>
      <c r="E2330" t="s">
        <v>108</v>
      </c>
      <c r="F2330" s="6">
        <v>45869</v>
      </c>
      <c r="G2330">
        <v>14</v>
      </c>
      <c r="H2330" t="s">
        <v>3845</v>
      </c>
      <c r="I2330">
        <v>1.043997017151379</v>
      </c>
      <c r="J2330">
        <v>1.043997017151379</v>
      </c>
      <c r="K2330" t="s">
        <v>3827</v>
      </c>
      <c r="L2330" t="s">
        <v>3846</v>
      </c>
      <c r="M2330">
        <v>2025</v>
      </c>
      <c r="N2330" t="s">
        <v>46</v>
      </c>
      <c r="O2330" t="s">
        <v>103</v>
      </c>
      <c r="P2330">
        <v>2</v>
      </c>
      <c r="Q2330">
        <v>2</v>
      </c>
      <c r="R2330">
        <v>0</v>
      </c>
      <c r="S2330" t="s">
        <v>104</v>
      </c>
      <c r="T2330" t="s">
        <v>3847</v>
      </c>
      <c r="U2330">
        <v>31</v>
      </c>
    </row>
    <row r="2331" spans="1:21" x14ac:dyDescent="0.3">
      <c r="A2331" t="s">
        <v>3806</v>
      </c>
      <c r="B2331" t="s">
        <v>863</v>
      </c>
      <c r="C2331" t="s">
        <v>309</v>
      </c>
      <c r="D2331" t="s">
        <v>29</v>
      </c>
      <c r="E2331" t="s">
        <v>108</v>
      </c>
      <c r="F2331" s="6">
        <v>45900</v>
      </c>
      <c r="G2331">
        <v>14</v>
      </c>
      <c r="H2331" t="s">
        <v>3848</v>
      </c>
      <c r="I2331">
        <v>0.98800282286520824</v>
      </c>
      <c r="J2331">
        <v>0.98800282286520824</v>
      </c>
      <c r="K2331" t="s">
        <v>3827</v>
      </c>
      <c r="L2331" t="s">
        <v>3849</v>
      </c>
      <c r="M2331">
        <v>2025</v>
      </c>
      <c r="N2331" t="s">
        <v>49</v>
      </c>
      <c r="O2331" t="s">
        <v>103</v>
      </c>
      <c r="P2331">
        <v>2</v>
      </c>
      <c r="Q2331">
        <v>2</v>
      </c>
      <c r="R2331">
        <v>0</v>
      </c>
      <c r="S2331" t="s">
        <v>104</v>
      </c>
      <c r="T2331" t="s">
        <v>3850</v>
      </c>
      <c r="U2331">
        <v>31</v>
      </c>
    </row>
    <row r="2332" spans="1:21" x14ac:dyDescent="0.3">
      <c r="A2332" t="s">
        <v>3806</v>
      </c>
      <c r="B2332" t="s">
        <v>863</v>
      </c>
      <c r="C2332" t="s">
        <v>309</v>
      </c>
      <c r="D2332" t="s">
        <v>29</v>
      </c>
      <c r="E2332" t="s">
        <v>108</v>
      </c>
      <c r="F2332" s="6">
        <v>45961</v>
      </c>
      <c r="G2332">
        <v>14</v>
      </c>
      <c r="H2332" t="s">
        <v>3851</v>
      </c>
      <c r="I2332">
        <v>0.90380890897353128</v>
      </c>
      <c r="J2332">
        <v>0.90380890897353128</v>
      </c>
      <c r="K2332" t="s">
        <v>3827</v>
      </c>
      <c r="L2332" t="s">
        <v>3852</v>
      </c>
      <c r="M2332">
        <v>2025</v>
      </c>
      <c r="N2332" t="s">
        <v>53</v>
      </c>
      <c r="O2332" t="s">
        <v>103</v>
      </c>
      <c r="P2332">
        <v>2</v>
      </c>
      <c r="Q2332">
        <v>2</v>
      </c>
      <c r="R2332">
        <v>0</v>
      </c>
      <c r="S2332" t="s">
        <v>104</v>
      </c>
      <c r="T2332" t="s">
        <v>3853</v>
      </c>
      <c r="U2332">
        <v>31</v>
      </c>
    </row>
    <row r="2333" spans="1:21" x14ac:dyDescent="0.3">
      <c r="A2333" t="s">
        <v>3806</v>
      </c>
      <c r="B2333" t="s">
        <v>863</v>
      </c>
      <c r="C2333" t="s">
        <v>309</v>
      </c>
      <c r="D2333" t="s">
        <v>29</v>
      </c>
      <c r="E2333" t="s">
        <v>108</v>
      </c>
      <c r="F2333" s="6">
        <v>45991</v>
      </c>
      <c r="G2333">
        <v>14</v>
      </c>
      <c r="H2333" t="s">
        <v>3854</v>
      </c>
      <c r="I2333">
        <v>1.3</v>
      </c>
      <c r="J2333">
        <v>1.7241379310344831</v>
      </c>
      <c r="K2333" t="s">
        <v>3827</v>
      </c>
      <c r="L2333" t="s">
        <v>3855</v>
      </c>
      <c r="M2333">
        <v>2025</v>
      </c>
      <c r="N2333" t="s">
        <v>55</v>
      </c>
      <c r="O2333" t="s">
        <v>103</v>
      </c>
      <c r="P2333">
        <v>2</v>
      </c>
      <c r="Q2333">
        <v>2</v>
      </c>
      <c r="R2333">
        <v>0</v>
      </c>
      <c r="S2333" t="s">
        <v>104</v>
      </c>
      <c r="T2333" t="s">
        <v>3856</v>
      </c>
      <c r="U2333">
        <v>30</v>
      </c>
    </row>
    <row r="2334" spans="1:21" x14ac:dyDescent="0.3">
      <c r="A2334" t="s">
        <v>3806</v>
      </c>
      <c r="B2334" t="s">
        <v>863</v>
      </c>
      <c r="C2334" t="s">
        <v>309</v>
      </c>
      <c r="D2334" t="s">
        <v>29</v>
      </c>
      <c r="E2334" t="s">
        <v>108</v>
      </c>
      <c r="F2334" s="6">
        <v>46022</v>
      </c>
      <c r="G2334">
        <v>14</v>
      </c>
      <c r="H2334" t="s">
        <v>1540</v>
      </c>
      <c r="I2334">
        <v>1.1894647408666099</v>
      </c>
      <c r="J2334">
        <v>1.1894647408666099</v>
      </c>
      <c r="K2334" t="s">
        <v>3827</v>
      </c>
      <c r="L2334" t="s">
        <v>1541</v>
      </c>
      <c r="M2334">
        <v>2025</v>
      </c>
      <c r="N2334" t="s">
        <v>57</v>
      </c>
      <c r="O2334" t="s">
        <v>103</v>
      </c>
      <c r="P2334">
        <v>2</v>
      </c>
      <c r="Q2334">
        <v>2</v>
      </c>
      <c r="R2334">
        <v>0</v>
      </c>
      <c r="S2334" t="s">
        <v>104</v>
      </c>
      <c r="T2334" t="s">
        <v>3857</v>
      </c>
      <c r="U2334">
        <v>31</v>
      </c>
    </row>
    <row r="2335" spans="1:21" x14ac:dyDescent="0.3">
      <c r="A2335" t="s">
        <v>3806</v>
      </c>
      <c r="B2335" t="s">
        <v>863</v>
      </c>
      <c r="C2335" t="s">
        <v>309</v>
      </c>
      <c r="D2335" t="s">
        <v>29</v>
      </c>
      <c r="E2335" t="s">
        <v>108</v>
      </c>
      <c r="F2335" s="6">
        <v>46053</v>
      </c>
      <c r="G2335">
        <v>14</v>
      </c>
      <c r="H2335" t="s">
        <v>424</v>
      </c>
      <c r="I2335">
        <v>0</v>
      </c>
      <c r="J2335">
        <v>0</v>
      </c>
      <c r="K2335" t="s">
        <v>3827</v>
      </c>
      <c r="M2335">
        <v>2026</v>
      </c>
      <c r="N2335" t="s">
        <v>32</v>
      </c>
      <c r="O2335" t="s">
        <v>408</v>
      </c>
      <c r="P2335">
        <v>2</v>
      </c>
      <c r="Q2335">
        <v>2</v>
      </c>
      <c r="R2335">
        <v>0</v>
      </c>
      <c r="S2335" t="s">
        <v>104</v>
      </c>
      <c r="T2335" t="s">
        <v>3858</v>
      </c>
      <c r="U2335">
        <v>31</v>
      </c>
    </row>
    <row r="2336" spans="1:21" x14ac:dyDescent="0.3">
      <c r="A2336" t="s">
        <v>3859</v>
      </c>
      <c r="B2336" t="s">
        <v>125</v>
      </c>
      <c r="C2336" t="s">
        <v>2177</v>
      </c>
      <c r="D2336" t="s">
        <v>98</v>
      </c>
      <c r="E2336" t="s">
        <v>30</v>
      </c>
      <c r="F2336" s="6">
        <v>45230</v>
      </c>
      <c r="G2336">
        <v>80</v>
      </c>
      <c r="H2336">
        <v>96.239806704922998</v>
      </c>
      <c r="I2336">
        <v>1.202997583811537</v>
      </c>
      <c r="J2336">
        <v>1.202997583811537</v>
      </c>
      <c r="K2336" t="s">
        <v>31</v>
      </c>
      <c r="L2336" t="s">
        <v>31</v>
      </c>
      <c r="M2336">
        <v>2023</v>
      </c>
      <c r="N2336" t="s">
        <v>53</v>
      </c>
      <c r="O2336" t="s">
        <v>47</v>
      </c>
      <c r="P2336">
        <v>0</v>
      </c>
      <c r="Q2336">
        <v>0</v>
      </c>
      <c r="R2336">
        <v>0</v>
      </c>
      <c r="S2336" t="s">
        <v>130</v>
      </c>
      <c r="T2336" t="s">
        <v>3860</v>
      </c>
      <c r="U2336">
        <v>1</v>
      </c>
    </row>
    <row r="2337" spans="1:21" x14ac:dyDescent="0.3">
      <c r="A2337" t="s">
        <v>3859</v>
      </c>
      <c r="B2337" t="s">
        <v>3861</v>
      </c>
      <c r="C2337" t="s">
        <v>2177</v>
      </c>
      <c r="D2337" t="s">
        <v>98</v>
      </c>
      <c r="E2337" t="s">
        <v>30</v>
      </c>
      <c r="F2337" s="6">
        <v>45291</v>
      </c>
      <c r="G2337">
        <v>80</v>
      </c>
      <c r="H2337">
        <v>96.239806704922998</v>
      </c>
      <c r="I2337">
        <v>1.202997583811537</v>
      </c>
      <c r="J2337">
        <v>1.202997583811537</v>
      </c>
      <c r="K2337" t="s">
        <v>31</v>
      </c>
      <c r="L2337" t="s">
        <v>31</v>
      </c>
      <c r="M2337">
        <v>2023</v>
      </c>
      <c r="N2337" t="s">
        <v>57</v>
      </c>
      <c r="O2337" t="s">
        <v>47</v>
      </c>
      <c r="P2337">
        <v>0</v>
      </c>
      <c r="Q2337">
        <v>0</v>
      </c>
      <c r="R2337">
        <v>0</v>
      </c>
      <c r="S2337" t="s">
        <v>130</v>
      </c>
      <c r="T2337" t="s">
        <v>3862</v>
      </c>
      <c r="U2337">
        <v>1</v>
      </c>
    </row>
    <row r="2338" spans="1:21" x14ac:dyDescent="0.3">
      <c r="A2338" t="s">
        <v>3859</v>
      </c>
      <c r="B2338" t="s">
        <v>3861</v>
      </c>
      <c r="C2338" t="s">
        <v>2177</v>
      </c>
      <c r="D2338" t="s">
        <v>98</v>
      </c>
      <c r="E2338" t="s">
        <v>30</v>
      </c>
      <c r="F2338" s="6">
        <v>45657</v>
      </c>
      <c r="G2338">
        <v>80</v>
      </c>
      <c r="H2338">
        <v>84</v>
      </c>
      <c r="I2338">
        <v>1.05</v>
      </c>
      <c r="J2338">
        <v>1.05</v>
      </c>
      <c r="K2338" t="s">
        <v>31</v>
      </c>
      <c r="L2338" t="s">
        <v>31</v>
      </c>
      <c r="M2338">
        <v>2024</v>
      </c>
      <c r="N2338" t="s">
        <v>57</v>
      </c>
      <c r="O2338" t="s">
        <v>78</v>
      </c>
      <c r="P2338">
        <v>0</v>
      </c>
      <c r="Q2338">
        <v>0</v>
      </c>
      <c r="R2338">
        <v>0</v>
      </c>
      <c r="S2338" t="s">
        <v>130</v>
      </c>
      <c r="T2338" t="s">
        <v>3863</v>
      </c>
      <c r="U2338">
        <v>1</v>
      </c>
    </row>
    <row r="2339" spans="1:21" x14ac:dyDescent="0.3">
      <c r="A2339" t="s">
        <v>3859</v>
      </c>
      <c r="B2339" t="s">
        <v>3861</v>
      </c>
      <c r="C2339" t="s">
        <v>2177</v>
      </c>
      <c r="D2339" t="s">
        <v>98</v>
      </c>
      <c r="E2339" t="s">
        <v>30</v>
      </c>
      <c r="F2339" s="6">
        <v>46022</v>
      </c>
      <c r="G2339">
        <v>80</v>
      </c>
      <c r="H2339" t="s">
        <v>3864</v>
      </c>
      <c r="I2339">
        <v>1.2375</v>
      </c>
      <c r="J2339">
        <v>1.2375</v>
      </c>
      <c r="K2339" t="s">
        <v>193</v>
      </c>
      <c r="L2339" t="s">
        <v>2577</v>
      </c>
      <c r="M2339">
        <v>2025</v>
      </c>
      <c r="N2339" t="s">
        <v>57</v>
      </c>
      <c r="O2339" t="s">
        <v>103</v>
      </c>
      <c r="P2339">
        <v>2</v>
      </c>
      <c r="Q2339">
        <v>2</v>
      </c>
      <c r="R2339">
        <v>0</v>
      </c>
      <c r="S2339" t="s">
        <v>130</v>
      </c>
      <c r="T2339" t="s">
        <v>3865</v>
      </c>
      <c r="U2339">
        <v>31</v>
      </c>
    </row>
    <row r="2340" spans="1:21" x14ac:dyDescent="0.3">
      <c r="A2340" t="s">
        <v>3866</v>
      </c>
      <c r="B2340" t="s">
        <v>3867</v>
      </c>
      <c r="C2340" t="s">
        <v>2688</v>
      </c>
      <c r="D2340" t="s">
        <v>222</v>
      </c>
      <c r="E2340" t="s">
        <v>30</v>
      </c>
      <c r="F2340" s="6">
        <v>45291</v>
      </c>
      <c r="G2340">
        <v>100</v>
      </c>
      <c r="H2340">
        <v>100</v>
      </c>
      <c r="I2340">
        <v>1</v>
      </c>
      <c r="J2340">
        <v>1</v>
      </c>
      <c r="K2340" t="s">
        <v>31</v>
      </c>
      <c r="L2340" t="s">
        <v>31</v>
      </c>
      <c r="M2340">
        <v>2023</v>
      </c>
      <c r="N2340" t="s">
        <v>57</v>
      </c>
      <c r="O2340" t="s">
        <v>47</v>
      </c>
      <c r="P2340">
        <v>0</v>
      </c>
      <c r="Q2340">
        <v>0</v>
      </c>
      <c r="R2340">
        <v>0</v>
      </c>
      <c r="S2340" t="s">
        <v>99</v>
      </c>
      <c r="T2340" t="s">
        <v>3868</v>
      </c>
      <c r="U2340">
        <v>1</v>
      </c>
    </row>
    <row r="2341" spans="1:21" x14ac:dyDescent="0.3">
      <c r="A2341" t="s">
        <v>3869</v>
      </c>
      <c r="B2341" t="s">
        <v>3870</v>
      </c>
      <c r="C2341" t="s">
        <v>2688</v>
      </c>
      <c r="D2341" t="s">
        <v>222</v>
      </c>
      <c r="E2341" t="s">
        <v>30</v>
      </c>
      <c r="F2341" s="6">
        <v>45291</v>
      </c>
      <c r="G2341">
        <v>100</v>
      </c>
      <c r="H2341">
        <v>100</v>
      </c>
      <c r="I2341">
        <v>1</v>
      </c>
      <c r="J2341">
        <v>1</v>
      </c>
      <c r="K2341" t="s">
        <v>31</v>
      </c>
      <c r="L2341" t="s">
        <v>31</v>
      </c>
      <c r="M2341">
        <v>2023</v>
      </c>
      <c r="N2341" t="s">
        <v>57</v>
      </c>
      <c r="O2341" t="s">
        <v>47</v>
      </c>
      <c r="P2341">
        <v>0</v>
      </c>
      <c r="Q2341">
        <v>0</v>
      </c>
      <c r="R2341">
        <v>0</v>
      </c>
      <c r="S2341" t="s">
        <v>99</v>
      </c>
      <c r="T2341" t="s">
        <v>3871</v>
      </c>
      <c r="U2341">
        <v>1</v>
      </c>
    </row>
    <row r="2342" spans="1:21" x14ac:dyDescent="0.3">
      <c r="A2342" t="s">
        <v>3869</v>
      </c>
      <c r="B2342" t="s">
        <v>3870</v>
      </c>
      <c r="C2342" t="s">
        <v>2688</v>
      </c>
      <c r="D2342" t="s">
        <v>222</v>
      </c>
      <c r="E2342" t="s">
        <v>30</v>
      </c>
      <c r="F2342" s="6">
        <v>45473</v>
      </c>
      <c r="G2342">
        <v>100</v>
      </c>
      <c r="H2342">
        <v>100</v>
      </c>
      <c r="I2342">
        <v>1</v>
      </c>
      <c r="J2342">
        <v>1</v>
      </c>
      <c r="K2342" t="s">
        <v>31</v>
      </c>
      <c r="L2342" t="s">
        <v>31</v>
      </c>
      <c r="M2342">
        <v>2024</v>
      </c>
      <c r="N2342" t="s">
        <v>44</v>
      </c>
      <c r="O2342" t="s">
        <v>71</v>
      </c>
      <c r="P2342">
        <v>0</v>
      </c>
      <c r="Q2342">
        <v>0</v>
      </c>
      <c r="R2342">
        <v>0</v>
      </c>
      <c r="S2342" t="s">
        <v>99</v>
      </c>
      <c r="T2342" t="s">
        <v>3872</v>
      </c>
      <c r="U2342">
        <v>1</v>
      </c>
    </row>
    <row r="2343" spans="1:21" x14ac:dyDescent="0.3">
      <c r="A2343" t="s">
        <v>3869</v>
      </c>
      <c r="B2343" t="s">
        <v>3870</v>
      </c>
      <c r="C2343" t="s">
        <v>2688</v>
      </c>
      <c r="D2343" t="s">
        <v>222</v>
      </c>
      <c r="E2343" t="s">
        <v>30</v>
      </c>
      <c r="F2343" s="6">
        <v>45657</v>
      </c>
      <c r="G2343">
        <v>100</v>
      </c>
      <c r="H2343">
        <v>100</v>
      </c>
      <c r="I2343">
        <v>1</v>
      </c>
      <c r="J2343">
        <v>1</v>
      </c>
      <c r="K2343" t="s">
        <v>31</v>
      </c>
      <c r="L2343" t="s">
        <v>31</v>
      </c>
      <c r="M2343">
        <v>2024</v>
      </c>
      <c r="N2343" t="s">
        <v>57</v>
      </c>
      <c r="O2343" t="s">
        <v>78</v>
      </c>
      <c r="P2343">
        <v>0</v>
      </c>
      <c r="Q2343">
        <v>0</v>
      </c>
      <c r="R2343">
        <v>0</v>
      </c>
      <c r="S2343" t="s">
        <v>99</v>
      </c>
      <c r="T2343" t="s">
        <v>3873</v>
      </c>
      <c r="U2343">
        <v>1</v>
      </c>
    </row>
    <row r="2344" spans="1:21" x14ac:dyDescent="0.3">
      <c r="A2344" t="s">
        <v>3869</v>
      </c>
      <c r="B2344" t="s">
        <v>3870</v>
      </c>
      <c r="C2344" t="s">
        <v>2688</v>
      </c>
      <c r="D2344" t="s">
        <v>222</v>
      </c>
      <c r="E2344" t="s">
        <v>30</v>
      </c>
      <c r="F2344" s="6">
        <v>45838</v>
      </c>
      <c r="G2344">
        <v>100</v>
      </c>
      <c r="H2344" t="s">
        <v>95</v>
      </c>
      <c r="I2344">
        <v>1</v>
      </c>
      <c r="J2344">
        <v>1</v>
      </c>
      <c r="K2344" t="s">
        <v>102</v>
      </c>
      <c r="L2344" t="s">
        <v>102</v>
      </c>
      <c r="M2344">
        <v>2025</v>
      </c>
      <c r="N2344" t="s">
        <v>44</v>
      </c>
      <c r="O2344" t="s">
        <v>244</v>
      </c>
      <c r="P2344">
        <v>2</v>
      </c>
      <c r="Q2344">
        <v>2</v>
      </c>
      <c r="R2344">
        <v>0</v>
      </c>
      <c r="S2344" t="s">
        <v>104</v>
      </c>
      <c r="T2344" t="s">
        <v>3874</v>
      </c>
      <c r="U2344">
        <v>30</v>
      </c>
    </row>
    <row r="2345" spans="1:21" x14ac:dyDescent="0.3">
      <c r="A2345" t="s">
        <v>3869</v>
      </c>
      <c r="B2345" t="s">
        <v>3870</v>
      </c>
      <c r="C2345" t="s">
        <v>2688</v>
      </c>
      <c r="D2345" t="s">
        <v>222</v>
      </c>
      <c r="E2345" t="s">
        <v>30</v>
      </c>
      <c r="F2345" s="6">
        <v>46022</v>
      </c>
      <c r="G2345">
        <v>100</v>
      </c>
      <c r="H2345" t="s">
        <v>95</v>
      </c>
      <c r="I2345">
        <v>1</v>
      </c>
      <c r="J2345">
        <v>1</v>
      </c>
      <c r="K2345" t="s">
        <v>102</v>
      </c>
      <c r="L2345" t="s">
        <v>102</v>
      </c>
      <c r="M2345">
        <v>2025</v>
      </c>
      <c r="N2345" t="s">
        <v>57</v>
      </c>
      <c r="O2345" t="s">
        <v>103</v>
      </c>
      <c r="P2345">
        <v>2</v>
      </c>
      <c r="Q2345">
        <v>2</v>
      </c>
      <c r="R2345">
        <v>0</v>
      </c>
      <c r="S2345" t="s">
        <v>104</v>
      </c>
      <c r="T2345" t="s">
        <v>3875</v>
      </c>
      <c r="U2345">
        <v>31</v>
      </c>
    </row>
    <row r="2346" spans="1:21" x14ac:dyDescent="0.3">
      <c r="A2346" t="s">
        <v>3876</v>
      </c>
      <c r="B2346" t="s">
        <v>3877</v>
      </c>
      <c r="C2346" t="s">
        <v>2688</v>
      </c>
      <c r="D2346" t="s">
        <v>222</v>
      </c>
      <c r="E2346" t="s">
        <v>30</v>
      </c>
      <c r="F2346" s="6">
        <v>45291</v>
      </c>
      <c r="G2346">
        <v>98</v>
      </c>
      <c r="H2346">
        <v>97.75</v>
      </c>
      <c r="I2346">
        <v>0.99744897959183676</v>
      </c>
      <c r="J2346">
        <v>0.99744897959183676</v>
      </c>
      <c r="K2346" t="s">
        <v>31</v>
      </c>
      <c r="L2346" t="s">
        <v>31</v>
      </c>
      <c r="M2346">
        <v>2023</v>
      </c>
      <c r="N2346" t="s">
        <v>57</v>
      </c>
      <c r="O2346" t="s">
        <v>47</v>
      </c>
      <c r="P2346">
        <v>0</v>
      </c>
      <c r="Q2346">
        <v>1</v>
      </c>
      <c r="R2346">
        <v>0</v>
      </c>
      <c r="S2346" t="s">
        <v>99</v>
      </c>
      <c r="T2346" t="s">
        <v>3878</v>
      </c>
      <c r="U2346">
        <v>1</v>
      </c>
    </row>
    <row r="2347" spans="1:21" x14ac:dyDescent="0.3">
      <c r="A2347" t="s">
        <v>3876</v>
      </c>
      <c r="B2347" t="s">
        <v>3877</v>
      </c>
      <c r="C2347" t="s">
        <v>2688</v>
      </c>
      <c r="D2347" t="s">
        <v>222</v>
      </c>
      <c r="E2347" t="s">
        <v>30</v>
      </c>
      <c r="F2347" s="6">
        <v>45473</v>
      </c>
      <c r="G2347">
        <v>98</v>
      </c>
      <c r="H2347">
        <v>99.73</v>
      </c>
      <c r="I2347">
        <v>1.0176530612244901</v>
      </c>
      <c r="J2347">
        <v>1.0176530612244901</v>
      </c>
      <c r="K2347" t="s">
        <v>31</v>
      </c>
      <c r="L2347" t="s">
        <v>31</v>
      </c>
      <c r="M2347">
        <v>2024</v>
      </c>
      <c r="N2347" t="s">
        <v>44</v>
      </c>
      <c r="O2347" t="s">
        <v>71</v>
      </c>
      <c r="P2347">
        <v>0</v>
      </c>
      <c r="Q2347">
        <v>1</v>
      </c>
      <c r="R2347">
        <v>0</v>
      </c>
      <c r="S2347" t="s">
        <v>99</v>
      </c>
      <c r="T2347" t="s">
        <v>3879</v>
      </c>
      <c r="U2347">
        <v>1</v>
      </c>
    </row>
    <row r="2348" spans="1:21" x14ac:dyDescent="0.3">
      <c r="A2348" t="s">
        <v>3876</v>
      </c>
      <c r="B2348" t="s">
        <v>3877</v>
      </c>
      <c r="C2348" t="s">
        <v>2688</v>
      </c>
      <c r="D2348" t="s">
        <v>222</v>
      </c>
      <c r="E2348" t="s">
        <v>30</v>
      </c>
      <c r="F2348" s="6">
        <v>45657</v>
      </c>
      <c r="G2348">
        <v>98</v>
      </c>
      <c r="H2348">
        <v>99.24</v>
      </c>
      <c r="I2348">
        <v>1.0126530612244899</v>
      </c>
      <c r="J2348">
        <v>1.0126530612244899</v>
      </c>
      <c r="K2348" t="s">
        <v>31</v>
      </c>
      <c r="L2348" t="s">
        <v>31</v>
      </c>
      <c r="M2348">
        <v>2024</v>
      </c>
      <c r="N2348" t="s">
        <v>57</v>
      </c>
      <c r="O2348" t="s">
        <v>78</v>
      </c>
      <c r="P2348">
        <v>0</v>
      </c>
      <c r="Q2348">
        <v>1</v>
      </c>
      <c r="R2348">
        <v>0</v>
      </c>
      <c r="S2348" t="s">
        <v>99</v>
      </c>
      <c r="T2348" t="s">
        <v>3880</v>
      </c>
      <c r="U2348">
        <v>1</v>
      </c>
    </row>
    <row r="2349" spans="1:21" x14ac:dyDescent="0.3">
      <c r="A2349" t="s">
        <v>3876</v>
      </c>
      <c r="B2349" t="s">
        <v>3877</v>
      </c>
      <c r="C2349" t="s">
        <v>2688</v>
      </c>
      <c r="D2349" t="s">
        <v>222</v>
      </c>
      <c r="E2349" t="s">
        <v>30</v>
      </c>
      <c r="F2349" s="6">
        <v>45838</v>
      </c>
      <c r="G2349">
        <v>98</v>
      </c>
      <c r="H2349" t="s">
        <v>3881</v>
      </c>
      <c r="I2349">
        <v>1.018061224489796</v>
      </c>
      <c r="J2349">
        <v>1.018061224489796</v>
      </c>
      <c r="K2349" t="s">
        <v>312</v>
      </c>
      <c r="L2349" t="s">
        <v>3882</v>
      </c>
      <c r="M2349">
        <v>2025</v>
      </c>
      <c r="N2349" t="s">
        <v>44</v>
      </c>
      <c r="O2349" t="s">
        <v>244</v>
      </c>
      <c r="P2349">
        <v>2</v>
      </c>
      <c r="Q2349">
        <v>2</v>
      </c>
      <c r="R2349">
        <v>0</v>
      </c>
      <c r="S2349" t="s">
        <v>104</v>
      </c>
      <c r="T2349" t="s">
        <v>3883</v>
      </c>
      <c r="U2349">
        <v>30</v>
      </c>
    </row>
    <row r="2350" spans="1:21" x14ac:dyDescent="0.3">
      <c r="A2350" t="s">
        <v>3876</v>
      </c>
      <c r="B2350" t="s">
        <v>3877</v>
      </c>
      <c r="C2350" t="s">
        <v>2688</v>
      </c>
      <c r="D2350" t="s">
        <v>222</v>
      </c>
      <c r="E2350" t="s">
        <v>30</v>
      </c>
      <c r="F2350" s="6">
        <v>46022</v>
      </c>
      <c r="G2350">
        <v>98</v>
      </c>
      <c r="H2350" t="s">
        <v>3884</v>
      </c>
      <c r="I2350">
        <v>1.017755102040816</v>
      </c>
      <c r="J2350">
        <v>1.017755102040816</v>
      </c>
      <c r="K2350" t="s">
        <v>312</v>
      </c>
      <c r="L2350" t="s">
        <v>3885</v>
      </c>
      <c r="M2350">
        <v>2025</v>
      </c>
      <c r="N2350" t="s">
        <v>57</v>
      </c>
      <c r="O2350" t="s">
        <v>103</v>
      </c>
      <c r="P2350">
        <v>2</v>
      </c>
      <c r="Q2350">
        <v>2</v>
      </c>
      <c r="R2350">
        <v>0</v>
      </c>
      <c r="S2350" t="s">
        <v>104</v>
      </c>
      <c r="T2350" t="s">
        <v>3886</v>
      </c>
      <c r="U2350">
        <v>31</v>
      </c>
    </row>
    <row r="2351" spans="1:21" x14ac:dyDescent="0.3">
      <c r="A2351" t="s">
        <v>3887</v>
      </c>
      <c r="B2351" t="s">
        <v>3888</v>
      </c>
      <c r="C2351" t="s">
        <v>187</v>
      </c>
      <c r="D2351" t="s">
        <v>29</v>
      </c>
      <c r="E2351" t="s">
        <v>30</v>
      </c>
      <c r="F2351" s="6">
        <v>45322</v>
      </c>
      <c r="G2351">
        <v>90</v>
      </c>
      <c r="H2351">
        <v>87.82</v>
      </c>
      <c r="I2351">
        <v>0.97577777777777774</v>
      </c>
      <c r="J2351">
        <v>0.97577777777777774</v>
      </c>
      <c r="K2351" t="s">
        <v>31</v>
      </c>
      <c r="L2351" t="s">
        <v>31</v>
      </c>
      <c r="M2351">
        <v>2024</v>
      </c>
      <c r="N2351" t="s">
        <v>32</v>
      </c>
      <c r="O2351" t="s">
        <v>71</v>
      </c>
      <c r="P2351">
        <v>0</v>
      </c>
      <c r="Q2351">
        <v>1</v>
      </c>
      <c r="R2351">
        <v>0</v>
      </c>
      <c r="S2351" t="s">
        <v>99</v>
      </c>
      <c r="T2351" t="s">
        <v>3889</v>
      </c>
      <c r="U2351">
        <v>1</v>
      </c>
    </row>
    <row r="2352" spans="1:21" x14ac:dyDescent="0.3">
      <c r="A2352" t="s">
        <v>3887</v>
      </c>
      <c r="B2352" t="s">
        <v>3888</v>
      </c>
      <c r="C2352" t="s">
        <v>187</v>
      </c>
      <c r="D2352" t="s">
        <v>29</v>
      </c>
      <c r="E2352" t="s">
        <v>30</v>
      </c>
      <c r="F2352" s="6">
        <v>45351</v>
      </c>
      <c r="G2352">
        <v>90</v>
      </c>
      <c r="H2352">
        <v>90.88</v>
      </c>
      <c r="I2352">
        <v>1.0097777777777781</v>
      </c>
      <c r="J2352">
        <v>1.0097777777777781</v>
      </c>
      <c r="K2352" t="s">
        <v>31</v>
      </c>
      <c r="L2352" t="s">
        <v>31</v>
      </c>
      <c r="M2352">
        <v>2024</v>
      </c>
      <c r="N2352" t="s">
        <v>36</v>
      </c>
      <c r="O2352" t="s">
        <v>71</v>
      </c>
      <c r="P2352">
        <v>0</v>
      </c>
      <c r="Q2352">
        <v>1</v>
      </c>
      <c r="R2352">
        <v>0</v>
      </c>
      <c r="S2352" t="s">
        <v>99</v>
      </c>
      <c r="T2352" t="s">
        <v>3890</v>
      </c>
      <c r="U2352">
        <v>1</v>
      </c>
    </row>
    <row r="2353" spans="1:21" x14ac:dyDescent="0.3">
      <c r="A2353" t="s">
        <v>3887</v>
      </c>
      <c r="B2353" t="s">
        <v>3888</v>
      </c>
      <c r="C2353" t="s">
        <v>187</v>
      </c>
      <c r="D2353" t="s">
        <v>29</v>
      </c>
      <c r="E2353" t="s">
        <v>30</v>
      </c>
      <c r="F2353" s="6">
        <v>45382</v>
      </c>
      <c r="G2353">
        <v>90</v>
      </c>
      <c r="H2353">
        <v>91.52</v>
      </c>
      <c r="I2353">
        <v>1.016888888888889</v>
      </c>
      <c r="J2353">
        <v>1.016888888888889</v>
      </c>
      <c r="K2353" t="s">
        <v>31</v>
      </c>
      <c r="L2353" t="s">
        <v>31</v>
      </c>
      <c r="M2353">
        <v>2024</v>
      </c>
      <c r="N2353" t="s">
        <v>38</v>
      </c>
      <c r="O2353" t="s">
        <v>71</v>
      </c>
      <c r="P2353">
        <v>0</v>
      </c>
      <c r="Q2353">
        <v>1</v>
      </c>
      <c r="R2353">
        <v>0</v>
      </c>
      <c r="S2353" t="s">
        <v>99</v>
      </c>
      <c r="T2353" t="s">
        <v>3891</v>
      </c>
      <c r="U2353">
        <v>1</v>
      </c>
    </row>
    <row r="2354" spans="1:21" x14ac:dyDescent="0.3">
      <c r="A2354" t="s">
        <v>3887</v>
      </c>
      <c r="B2354" t="s">
        <v>3888</v>
      </c>
      <c r="C2354" t="s">
        <v>187</v>
      </c>
      <c r="D2354" t="s">
        <v>29</v>
      </c>
      <c r="E2354" t="s">
        <v>30</v>
      </c>
      <c r="F2354" s="6">
        <v>45412</v>
      </c>
      <c r="G2354">
        <v>90</v>
      </c>
      <c r="H2354">
        <v>95.82</v>
      </c>
      <c r="I2354">
        <v>1.0646666666666671</v>
      </c>
      <c r="J2354">
        <v>1.0646666666666671</v>
      </c>
      <c r="K2354" t="s">
        <v>31</v>
      </c>
      <c r="L2354" t="s">
        <v>31</v>
      </c>
      <c r="M2354">
        <v>2024</v>
      </c>
      <c r="N2354" t="s">
        <v>40</v>
      </c>
      <c r="O2354" t="s">
        <v>71</v>
      </c>
      <c r="P2354">
        <v>0</v>
      </c>
      <c r="Q2354">
        <v>1</v>
      </c>
      <c r="R2354">
        <v>0</v>
      </c>
      <c r="S2354" t="s">
        <v>99</v>
      </c>
      <c r="T2354" t="s">
        <v>3892</v>
      </c>
      <c r="U2354">
        <v>1</v>
      </c>
    </row>
    <row r="2355" spans="1:21" x14ac:dyDescent="0.3">
      <c r="A2355" t="s">
        <v>3887</v>
      </c>
      <c r="B2355" t="s">
        <v>3888</v>
      </c>
      <c r="C2355" t="s">
        <v>187</v>
      </c>
      <c r="D2355" t="s">
        <v>29</v>
      </c>
      <c r="E2355" t="s">
        <v>30</v>
      </c>
      <c r="F2355" s="6">
        <v>45443</v>
      </c>
      <c r="G2355">
        <v>90</v>
      </c>
      <c r="H2355">
        <v>96.89</v>
      </c>
      <c r="I2355">
        <v>1.076555555555555</v>
      </c>
      <c r="J2355">
        <v>1.076555555555555</v>
      </c>
      <c r="K2355" t="s">
        <v>31</v>
      </c>
      <c r="L2355" t="s">
        <v>31</v>
      </c>
      <c r="M2355">
        <v>2024</v>
      </c>
      <c r="N2355" t="s">
        <v>42</v>
      </c>
      <c r="O2355" t="s">
        <v>71</v>
      </c>
      <c r="P2355">
        <v>0</v>
      </c>
      <c r="Q2355">
        <v>1</v>
      </c>
      <c r="R2355">
        <v>0</v>
      </c>
      <c r="S2355" t="s">
        <v>99</v>
      </c>
      <c r="T2355" t="s">
        <v>3893</v>
      </c>
      <c r="U2355">
        <v>1</v>
      </c>
    </row>
    <row r="2356" spans="1:21" x14ac:dyDescent="0.3">
      <c r="A2356" t="s">
        <v>3887</v>
      </c>
      <c r="B2356" t="s">
        <v>3888</v>
      </c>
      <c r="C2356" t="s">
        <v>187</v>
      </c>
      <c r="D2356" t="s">
        <v>29</v>
      </c>
      <c r="E2356" t="s">
        <v>30</v>
      </c>
      <c r="F2356" s="6">
        <v>45473</v>
      </c>
      <c r="G2356">
        <v>90</v>
      </c>
      <c r="H2356">
        <v>101.44927536231801</v>
      </c>
      <c r="I2356">
        <v>1.1272141706924219</v>
      </c>
      <c r="J2356">
        <v>1.1272141706924219</v>
      </c>
      <c r="K2356" t="s">
        <v>31</v>
      </c>
      <c r="L2356" t="s">
        <v>31</v>
      </c>
      <c r="M2356">
        <v>2024</v>
      </c>
      <c r="N2356" t="s">
        <v>44</v>
      </c>
      <c r="O2356" t="s">
        <v>71</v>
      </c>
      <c r="P2356">
        <v>0</v>
      </c>
      <c r="Q2356">
        <v>0</v>
      </c>
      <c r="R2356">
        <v>0</v>
      </c>
      <c r="S2356" t="s">
        <v>99</v>
      </c>
      <c r="T2356" t="s">
        <v>3894</v>
      </c>
      <c r="U2356">
        <v>1</v>
      </c>
    </row>
    <row r="2357" spans="1:21" x14ac:dyDescent="0.3">
      <c r="A2357" t="s">
        <v>3887</v>
      </c>
      <c r="B2357" t="s">
        <v>3888</v>
      </c>
      <c r="C2357" t="s">
        <v>187</v>
      </c>
      <c r="D2357" t="s">
        <v>29</v>
      </c>
      <c r="E2357" t="s">
        <v>30</v>
      </c>
      <c r="F2357" s="6">
        <v>45504</v>
      </c>
      <c r="G2357">
        <v>90</v>
      </c>
      <c r="H2357">
        <v>91.2</v>
      </c>
      <c r="I2357">
        <v>1.013333333333333</v>
      </c>
      <c r="J2357">
        <v>1.013333333333333</v>
      </c>
      <c r="K2357" t="s">
        <v>31</v>
      </c>
      <c r="L2357" t="s">
        <v>31</v>
      </c>
      <c r="M2357">
        <v>2024</v>
      </c>
      <c r="N2357" t="s">
        <v>46</v>
      </c>
      <c r="O2357" t="s">
        <v>78</v>
      </c>
      <c r="P2357">
        <v>0</v>
      </c>
      <c r="Q2357">
        <v>0</v>
      </c>
      <c r="R2357">
        <v>0</v>
      </c>
      <c r="S2357" t="s">
        <v>99</v>
      </c>
      <c r="T2357" t="s">
        <v>3895</v>
      </c>
      <c r="U2357">
        <v>1</v>
      </c>
    </row>
    <row r="2358" spans="1:21" x14ac:dyDescent="0.3">
      <c r="A2358" t="s">
        <v>3887</v>
      </c>
      <c r="B2358" t="s">
        <v>3888</v>
      </c>
      <c r="C2358" t="s">
        <v>187</v>
      </c>
      <c r="D2358" t="s">
        <v>29</v>
      </c>
      <c r="E2358" t="s">
        <v>30</v>
      </c>
      <c r="F2358" s="6">
        <v>45535</v>
      </c>
      <c r="G2358">
        <v>90</v>
      </c>
      <c r="H2358">
        <v>98.160535117056796</v>
      </c>
      <c r="I2358">
        <v>1.0906726124117421</v>
      </c>
      <c r="J2358">
        <v>1.0906726124117421</v>
      </c>
      <c r="K2358" t="s">
        <v>31</v>
      </c>
      <c r="L2358" t="s">
        <v>31</v>
      </c>
      <c r="M2358">
        <v>2024</v>
      </c>
      <c r="N2358" t="s">
        <v>49</v>
      </c>
      <c r="O2358" t="s">
        <v>78</v>
      </c>
      <c r="P2358">
        <v>0</v>
      </c>
      <c r="Q2358">
        <v>0</v>
      </c>
      <c r="R2358">
        <v>0</v>
      </c>
      <c r="S2358" t="s">
        <v>99</v>
      </c>
      <c r="T2358" t="s">
        <v>3896</v>
      </c>
      <c r="U2358">
        <v>1</v>
      </c>
    </row>
    <row r="2359" spans="1:21" x14ac:dyDescent="0.3">
      <c r="A2359" t="s">
        <v>3887</v>
      </c>
      <c r="B2359" t="s">
        <v>3888</v>
      </c>
      <c r="C2359" t="s">
        <v>187</v>
      </c>
      <c r="D2359" t="s">
        <v>29</v>
      </c>
      <c r="E2359" t="s">
        <v>30</v>
      </c>
      <c r="F2359" s="6">
        <v>45565</v>
      </c>
      <c r="G2359">
        <v>90</v>
      </c>
      <c r="H2359">
        <v>97.789566755083996</v>
      </c>
      <c r="I2359">
        <v>1.086550741723155</v>
      </c>
      <c r="J2359">
        <v>1.086550741723155</v>
      </c>
      <c r="K2359" t="s">
        <v>31</v>
      </c>
      <c r="L2359" t="s">
        <v>31</v>
      </c>
      <c r="M2359">
        <v>2024</v>
      </c>
      <c r="N2359" t="s">
        <v>51</v>
      </c>
      <c r="O2359" t="s">
        <v>78</v>
      </c>
      <c r="P2359">
        <v>0</v>
      </c>
      <c r="Q2359">
        <v>0</v>
      </c>
      <c r="R2359">
        <v>0</v>
      </c>
      <c r="S2359" t="s">
        <v>99</v>
      </c>
      <c r="T2359" t="s">
        <v>3897</v>
      </c>
      <c r="U2359">
        <v>1</v>
      </c>
    </row>
    <row r="2360" spans="1:21" x14ac:dyDescent="0.3">
      <c r="A2360" t="s">
        <v>3887</v>
      </c>
      <c r="B2360" t="s">
        <v>3888</v>
      </c>
      <c r="C2360" t="s">
        <v>187</v>
      </c>
      <c r="D2360" t="s">
        <v>29</v>
      </c>
      <c r="E2360" t="s">
        <v>30</v>
      </c>
      <c r="F2360" s="6">
        <v>45596</v>
      </c>
      <c r="G2360">
        <v>90</v>
      </c>
      <c r="H2360">
        <v>96.619083395942894</v>
      </c>
      <c r="I2360">
        <v>1.0735453710660321</v>
      </c>
      <c r="J2360">
        <v>1.0735453710660321</v>
      </c>
      <c r="K2360" t="s">
        <v>31</v>
      </c>
      <c r="L2360" t="s">
        <v>31</v>
      </c>
      <c r="M2360">
        <v>2024</v>
      </c>
      <c r="N2360" t="s">
        <v>53</v>
      </c>
      <c r="O2360" t="s">
        <v>78</v>
      </c>
      <c r="P2360">
        <v>0</v>
      </c>
      <c r="Q2360">
        <v>0</v>
      </c>
      <c r="R2360">
        <v>0</v>
      </c>
      <c r="S2360" t="s">
        <v>99</v>
      </c>
      <c r="T2360" t="s">
        <v>3898</v>
      </c>
      <c r="U2360">
        <v>1</v>
      </c>
    </row>
    <row r="2361" spans="1:21" x14ac:dyDescent="0.3">
      <c r="A2361" t="s">
        <v>3887</v>
      </c>
      <c r="B2361" t="s">
        <v>3888</v>
      </c>
      <c r="C2361" t="s">
        <v>187</v>
      </c>
      <c r="D2361" t="s">
        <v>29</v>
      </c>
      <c r="E2361" t="s">
        <v>30</v>
      </c>
      <c r="F2361" s="6">
        <v>45626</v>
      </c>
      <c r="G2361">
        <v>90</v>
      </c>
      <c r="H2361">
        <v>97.5359342915811</v>
      </c>
      <c r="I2361">
        <v>1.08373260323979</v>
      </c>
      <c r="J2361">
        <v>1.08373260323979</v>
      </c>
      <c r="K2361" t="s">
        <v>31</v>
      </c>
      <c r="L2361" t="s">
        <v>31</v>
      </c>
      <c r="M2361">
        <v>2024</v>
      </c>
      <c r="N2361" t="s">
        <v>55</v>
      </c>
      <c r="O2361" t="s">
        <v>78</v>
      </c>
      <c r="P2361">
        <v>0</v>
      </c>
      <c r="Q2361">
        <v>0</v>
      </c>
      <c r="R2361">
        <v>0</v>
      </c>
      <c r="S2361" t="s">
        <v>99</v>
      </c>
      <c r="T2361" t="s">
        <v>3899</v>
      </c>
      <c r="U2361">
        <v>1</v>
      </c>
    </row>
    <row r="2362" spans="1:21" x14ac:dyDescent="0.3">
      <c r="A2362" t="s">
        <v>3887</v>
      </c>
      <c r="B2362" t="s">
        <v>3888</v>
      </c>
      <c r="C2362" t="s">
        <v>187</v>
      </c>
      <c r="D2362" t="s">
        <v>29</v>
      </c>
      <c r="E2362" t="s">
        <v>30</v>
      </c>
      <c r="F2362" s="6">
        <v>45657</v>
      </c>
      <c r="G2362">
        <v>90</v>
      </c>
      <c r="H2362">
        <v>99.919935948759004</v>
      </c>
      <c r="I2362">
        <v>1.110221510541767</v>
      </c>
      <c r="J2362">
        <v>1.110221510541767</v>
      </c>
      <c r="K2362" t="s">
        <v>31</v>
      </c>
      <c r="L2362" t="s">
        <v>31</v>
      </c>
      <c r="M2362">
        <v>2024</v>
      </c>
      <c r="N2362" t="s">
        <v>57</v>
      </c>
      <c r="O2362" t="s">
        <v>78</v>
      </c>
      <c r="P2362">
        <v>0</v>
      </c>
      <c r="Q2362">
        <v>0</v>
      </c>
      <c r="R2362">
        <v>0</v>
      </c>
      <c r="S2362" t="s">
        <v>99</v>
      </c>
      <c r="T2362" t="s">
        <v>3900</v>
      </c>
      <c r="U2362">
        <v>1</v>
      </c>
    </row>
    <row r="2363" spans="1:21" x14ac:dyDescent="0.3">
      <c r="A2363" t="s">
        <v>3901</v>
      </c>
      <c r="B2363" t="s">
        <v>3902</v>
      </c>
      <c r="C2363" t="s">
        <v>663</v>
      </c>
      <c r="D2363" t="s">
        <v>222</v>
      </c>
      <c r="E2363" t="s">
        <v>30</v>
      </c>
      <c r="F2363" s="6">
        <v>45473</v>
      </c>
      <c r="G2363">
        <v>100</v>
      </c>
      <c r="H2363">
        <v>80</v>
      </c>
      <c r="I2363">
        <v>0.8</v>
      </c>
      <c r="J2363">
        <v>0.8</v>
      </c>
      <c r="M2363">
        <v>2024</v>
      </c>
      <c r="N2363" t="s">
        <v>44</v>
      </c>
      <c r="O2363" t="s">
        <v>71</v>
      </c>
      <c r="P2363">
        <v>0</v>
      </c>
      <c r="Q2363">
        <v>0</v>
      </c>
      <c r="R2363">
        <v>0</v>
      </c>
      <c r="S2363" t="s">
        <v>99</v>
      </c>
      <c r="T2363" t="s">
        <v>3903</v>
      </c>
      <c r="U2363">
        <v>1</v>
      </c>
    </row>
    <row r="2364" spans="1:21" x14ac:dyDescent="0.3">
      <c r="A2364" t="s">
        <v>3901</v>
      </c>
      <c r="B2364" t="s">
        <v>3902</v>
      </c>
      <c r="C2364" t="s">
        <v>663</v>
      </c>
      <c r="D2364" t="s">
        <v>222</v>
      </c>
      <c r="E2364" t="s">
        <v>30</v>
      </c>
      <c r="F2364" s="6">
        <v>45657</v>
      </c>
      <c r="G2364">
        <v>100</v>
      </c>
      <c r="H2364">
        <v>145</v>
      </c>
      <c r="I2364">
        <v>1.3</v>
      </c>
      <c r="J2364">
        <v>1.45</v>
      </c>
      <c r="M2364">
        <v>2024</v>
      </c>
      <c r="N2364" t="s">
        <v>57</v>
      </c>
      <c r="O2364" t="s">
        <v>78</v>
      </c>
      <c r="P2364">
        <v>0</v>
      </c>
      <c r="Q2364">
        <v>0</v>
      </c>
      <c r="R2364">
        <v>0</v>
      </c>
      <c r="S2364" t="s">
        <v>99</v>
      </c>
      <c r="T2364" t="s">
        <v>3904</v>
      </c>
      <c r="U2364">
        <v>1</v>
      </c>
    </row>
    <row r="2365" spans="1:21" x14ac:dyDescent="0.3">
      <c r="A2365" t="s">
        <v>3905</v>
      </c>
      <c r="B2365" t="s">
        <v>3906</v>
      </c>
      <c r="C2365" t="s">
        <v>663</v>
      </c>
      <c r="D2365" t="s">
        <v>222</v>
      </c>
      <c r="E2365" t="s">
        <v>30</v>
      </c>
      <c r="F2365" s="6">
        <v>45473</v>
      </c>
      <c r="G2365">
        <v>100</v>
      </c>
      <c r="H2365">
        <v>114.33</v>
      </c>
      <c r="I2365">
        <v>1.1433</v>
      </c>
      <c r="J2365">
        <v>1.1433</v>
      </c>
      <c r="M2365">
        <v>2024</v>
      </c>
      <c r="N2365" t="s">
        <v>44</v>
      </c>
      <c r="O2365" t="s">
        <v>71</v>
      </c>
      <c r="P2365">
        <v>0</v>
      </c>
      <c r="Q2365">
        <v>0</v>
      </c>
      <c r="R2365">
        <v>0</v>
      </c>
      <c r="S2365" t="s">
        <v>99</v>
      </c>
      <c r="T2365" t="s">
        <v>3907</v>
      </c>
      <c r="U2365">
        <v>1</v>
      </c>
    </row>
    <row r="2366" spans="1:21" x14ac:dyDescent="0.3">
      <c r="A2366" t="s">
        <v>3905</v>
      </c>
      <c r="B2366" t="s">
        <v>3906</v>
      </c>
      <c r="C2366" t="s">
        <v>663</v>
      </c>
      <c r="D2366" t="s">
        <v>222</v>
      </c>
      <c r="E2366" t="s">
        <v>30</v>
      </c>
      <c r="F2366" s="6">
        <v>45657</v>
      </c>
      <c r="G2366">
        <v>100</v>
      </c>
      <c r="H2366">
        <v>209</v>
      </c>
      <c r="I2366">
        <v>1.3</v>
      </c>
      <c r="J2366">
        <v>2.09</v>
      </c>
      <c r="M2366">
        <v>2024</v>
      </c>
      <c r="N2366" t="s">
        <v>57</v>
      </c>
      <c r="O2366" t="s">
        <v>78</v>
      </c>
      <c r="P2366">
        <v>0</v>
      </c>
      <c r="Q2366">
        <v>0</v>
      </c>
      <c r="R2366">
        <v>0</v>
      </c>
      <c r="S2366" t="s">
        <v>99</v>
      </c>
      <c r="T2366" t="s">
        <v>3908</v>
      </c>
      <c r="U2366">
        <v>1</v>
      </c>
    </row>
    <row r="2367" spans="1:21" x14ac:dyDescent="0.3">
      <c r="A2367" t="s">
        <v>3909</v>
      </c>
      <c r="B2367" t="s">
        <v>3910</v>
      </c>
      <c r="C2367" t="s">
        <v>150</v>
      </c>
      <c r="D2367" t="s">
        <v>222</v>
      </c>
      <c r="E2367" t="s">
        <v>30</v>
      </c>
      <c r="F2367" s="6">
        <v>45657</v>
      </c>
      <c r="H2367">
        <v>2.1</v>
      </c>
      <c r="K2367" t="s">
        <v>1041</v>
      </c>
      <c r="M2367">
        <v>2024</v>
      </c>
      <c r="N2367" t="s">
        <v>57</v>
      </c>
      <c r="O2367" t="s">
        <v>78</v>
      </c>
      <c r="P2367">
        <v>0</v>
      </c>
      <c r="Q2367">
        <v>1</v>
      </c>
      <c r="R2367">
        <v>0</v>
      </c>
      <c r="S2367" t="s">
        <v>99</v>
      </c>
      <c r="T2367" t="s">
        <v>3911</v>
      </c>
      <c r="U2367">
        <v>1</v>
      </c>
    </row>
    <row r="2368" spans="1:21" x14ac:dyDescent="0.3">
      <c r="A2368" t="s">
        <v>3909</v>
      </c>
      <c r="B2368" t="s">
        <v>3910</v>
      </c>
      <c r="C2368" t="s">
        <v>150</v>
      </c>
      <c r="D2368" t="s">
        <v>222</v>
      </c>
      <c r="E2368" t="s">
        <v>108</v>
      </c>
      <c r="F2368" s="6">
        <v>45838</v>
      </c>
      <c r="G2368">
        <v>3</v>
      </c>
      <c r="H2368" t="s">
        <v>3912</v>
      </c>
      <c r="I2368">
        <v>1.3</v>
      </c>
      <c r="J2368">
        <v>1.875</v>
      </c>
      <c r="K2368" t="s">
        <v>1849</v>
      </c>
      <c r="L2368" t="s">
        <v>501</v>
      </c>
      <c r="M2368">
        <v>2025</v>
      </c>
      <c r="N2368" t="s">
        <v>44</v>
      </c>
      <c r="O2368" t="s">
        <v>244</v>
      </c>
      <c r="P2368">
        <v>2</v>
      </c>
      <c r="Q2368">
        <v>2</v>
      </c>
      <c r="R2368">
        <v>0</v>
      </c>
      <c r="S2368" t="s">
        <v>104</v>
      </c>
      <c r="T2368" t="s">
        <v>3913</v>
      </c>
      <c r="U2368">
        <v>30</v>
      </c>
    </row>
    <row r="2369" spans="1:21" x14ac:dyDescent="0.3">
      <c r="A2369" t="s">
        <v>3909</v>
      </c>
      <c r="B2369" t="s">
        <v>3910</v>
      </c>
      <c r="C2369" t="s">
        <v>150</v>
      </c>
      <c r="D2369" t="s">
        <v>222</v>
      </c>
      <c r="E2369" t="s">
        <v>108</v>
      </c>
      <c r="F2369" s="6">
        <v>46022</v>
      </c>
      <c r="G2369">
        <v>3</v>
      </c>
      <c r="H2369" t="s">
        <v>3914</v>
      </c>
      <c r="I2369">
        <v>1.3</v>
      </c>
      <c r="J2369">
        <v>1.7647058823529409</v>
      </c>
      <c r="K2369" t="s">
        <v>1849</v>
      </c>
      <c r="L2369" t="s">
        <v>3915</v>
      </c>
      <c r="M2369">
        <v>2025</v>
      </c>
      <c r="N2369" t="s">
        <v>57</v>
      </c>
      <c r="O2369" t="s">
        <v>103</v>
      </c>
      <c r="P2369">
        <v>2</v>
      </c>
      <c r="Q2369">
        <v>2</v>
      </c>
      <c r="R2369">
        <v>0</v>
      </c>
      <c r="S2369" t="s">
        <v>104</v>
      </c>
      <c r="T2369" t="s">
        <v>3916</v>
      </c>
      <c r="U2369">
        <v>31</v>
      </c>
    </row>
    <row r="2370" spans="1:21" x14ac:dyDescent="0.3">
      <c r="A2370" t="s">
        <v>3917</v>
      </c>
      <c r="B2370" t="s">
        <v>3918</v>
      </c>
      <c r="C2370" t="s">
        <v>150</v>
      </c>
      <c r="D2370" t="s">
        <v>222</v>
      </c>
      <c r="E2370" t="s">
        <v>30</v>
      </c>
      <c r="F2370" s="6">
        <v>45473</v>
      </c>
      <c r="G2370">
        <v>67.5</v>
      </c>
      <c r="H2370">
        <v>55.2</v>
      </c>
      <c r="I2370">
        <v>0.81777777777777783</v>
      </c>
      <c r="J2370">
        <v>0.81777777777777783</v>
      </c>
      <c r="K2370" t="s">
        <v>31</v>
      </c>
      <c r="L2370" t="s">
        <v>31</v>
      </c>
      <c r="M2370">
        <v>2024</v>
      </c>
      <c r="N2370" t="s">
        <v>44</v>
      </c>
      <c r="O2370" t="s">
        <v>71</v>
      </c>
      <c r="P2370">
        <v>0</v>
      </c>
      <c r="Q2370">
        <v>0</v>
      </c>
      <c r="R2370">
        <v>0</v>
      </c>
      <c r="S2370" t="s">
        <v>99</v>
      </c>
      <c r="T2370" t="s">
        <v>3919</v>
      </c>
      <c r="U2370">
        <v>1</v>
      </c>
    </row>
    <row r="2371" spans="1:21" x14ac:dyDescent="0.3">
      <c r="A2371" t="s">
        <v>3917</v>
      </c>
      <c r="B2371" t="s">
        <v>3918</v>
      </c>
      <c r="C2371" t="s">
        <v>150</v>
      </c>
      <c r="D2371" t="s">
        <v>222</v>
      </c>
      <c r="E2371" t="s">
        <v>30</v>
      </c>
      <c r="F2371" s="6">
        <v>45657</v>
      </c>
      <c r="G2371">
        <v>67.5</v>
      </c>
      <c r="H2371">
        <v>86.5</v>
      </c>
      <c r="I2371">
        <v>1.281481481481481</v>
      </c>
      <c r="J2371">
        <v>1.281481481481481</v>
      </c>
      <c r="K2371" t="s">
        <v>31</v>
      </c>
      <c r="L2371" t="s">
        <v>31</v>
      </c>
      <c r="M2371">
        <v>2024</v>
      </c>
      <c r="N2371" t="s">
        <v>57</v>
      </c>
      <c r="O2371" t="s">
        <v>78</v>
      </c>
      <c r="P2371">
        <v>0</v>
      </c>
      <c r="Q2371">
        <v>0</v>
      </c>
      <c r="R2371">
        <v>0</v>
      </c>
      <c r="S2371" t="s">
        <v>99</v>
      </c>
      <c r="T2371" t="s">
        <v>3920</v>
      </c>
      <c r="U2371">
        <v>1</v>
      </c>
    </row>
    <row r="2372" spans="1:21" x14ac:dyDescent="0.3">
      <c r="A2372" t="s">
        <v>3917</v>
      </c>
      <c r="B2372" t="s">
        <v>3918</v>
      </c>
      <c r="C2372" t="s">
        <v>150</v>
      </c>
      <c r="D2372" t="s">
        <v>222</v>
      </c>
      <c r="E2372" t="s">
        <v>30</v>
      </c>
      <c r="F2372" s="6">
        <v>45838</v>
      </c>
      <c r="G2372">
        <v>70</v>
      </c>
      <c r="H2372" t="s">
        <v>3921</v>
      </c>
      <c r="I2372">
        <v>1.081428571428571</v>
      </c>
      <c r="J2372">
        <v>1.081428571428571</v>
      </c>
      <c r="K2372" t="s">
        <v>3922</v>
      </c>
      <c r="L2372" t="s">
        <v>3923</v>
      </c>
      <c r="M2372">
        <v>2025</v>
      </c>
      <c r="N2372" t="s">
        <v>44</v>
      </c>
      <c r="O2372" t="s">
        <v>244</v>
      </c>
      <c r="P2372">
        <v>2</v>
      </c>
      <c r="Q2372">
        <v>2</v>
      </c>
      <c r="R2372">
        <v>0</v>
      </c>
      <c r="S2372" t="s">
        <v>104</v>
      </c>
      <c r="T2372" t="s">
        <v>3924</v>
      </c>
      <c r="U2372">
        <v>30</v>
      </c>
    </row>
    <row r="2373" spans="1:21" x14ac:dyDescent="0.3">
      <c r="A2373" t="s">
        <v>3917</v>
      </c>
      <c r="B2373" t="s">
        <v>3918</v>
      </c>
      <c r="C2373" t="s">
        <v>150</v>
      </c>
      <c r="D2373" t="s">
        <v>222</v>
      </c>
      <c r="E2373" t="s">
        <v>30</v>
      </c>
      <c r="F2373" s="6">
        <v>46022</v>
      </c>
      <c r="G2373">
        <v>70</v>
      </c>
      <c r="H2373" t="s">
        <v>3925</v>
      </c>
      <c r="I2373">
        <v>1.2185714285714291</v>
      </c>
      <c r="J2373">
        <v>1.2185714285714291</v>
      </c>
      <c r="K2373" t="s">
        <v>3922</v>
      </c>
      <c r="L2373" t="s">
        <v>3926</v>
      </c>
      <c r="M2373">
        <v>2025</v>
      </c>
      <c r="N2373" t="s">
        <v>57</v>
      </c>
      <c r="O2373" t="s">
        <v>103</v>
      </c>
      <c r="P2373">
        <v>2</v>
      </c>
      <c r="Q2373">
        <v>2</v>
      </c>
      <c r="R2373">
        <v>0</v>
      </c>
      <c r="S2373" t="s">
        <v>104</v>
      </c>
      <c r="T2373" t="s">
        <v>3927</v>
      </c>
      <c r="U2373">
        <v>31</v>
      </c>
    </row>
    <row r="2374" spans="1:21" x14ac:dyDescent="0.3">
      <c r="A2374" t="s">
        <v>3928</v>
      </c>
      <c r="B2374" t="s">
        <v>2162</v>
      </c>
      <c r="C2374" t="s">
        <v>672</v>
      </c>
      <c r="D2374" t="s">
        <v>222</v>
      </c>
      <c r="E2374" t="s">
        <v>30</v>
      </c>
      <c r="F2374" s="6">
        <v>45473</v>
      </c>
      <c r="G2374">
        <v>15</v>
      </c>
      <c r="H2374">
        <v>31.04</v>
      </c>
      <c r="I2374">
        <v>1.3</v>
      </c>
      <c r="J2374">
        <v>2.0693333333333328</v>
      </c>
      <c r="K2374" t="s">
        <v>31</v>
      </c>
      <c r="L2374" t="s">
        <v>31</v>
      </c>
      <c r="M2374">
        <v>2024</v>
      </c>
      <c r="N2374" t="s">
        <v>44</v>
      </c>
      <c r="O2374" t="s">
        <v>71</v>
      </c>
      <c r="P2374">
        <v>0</v>
      </c>
      <c r="Q2374">
        <v>0</v>
      </c>
      <c r="R2374">
        <v>0</v>
      </c>
      <c r="S2374" t="s">
        <v>99</v>
      </c>
      <c r="T2374" t="s">
        <v>3929</v>
      </c>
      <c r="U2374">
        <v>1</v>
      </c>
    </row>
    <row r="2375" spans="1:21" x14ac:dyDescent="0.3">
      <c r="A2375" t="s">
        <v>3928</v>
      </c>
      <c r="B2375" t="s">
        <v>2162</v>
      </c>
      <c r="C2375" t="s">
        <v>672</v>
      </c>
      <c r="D2375" t="s">
        <v>222</v>
      </c>
      <c r="E2375" t="s">
        <v>30</v>
      </c>
      <c r="F2375" s="6">
        <v>45657</v>
      </c>
      <c r="G2375">
        <v>15</v>
      </c>
      <c r="H2375">
        <v>16.16</v>
      </c>
      <c r="I2375">
        <v>1.077333333333333</v>
      </c>
      <c r="J2375">
        <v>1.077333333333333</v>
      </c>
      <c r="K2375" t="s">
        <v>31</v>
      </c>
      <c r="L2375" t="s">
        <v>31</v>
      </c>
      <c r="M2375">
        <v>2024</v>
      </c>
      <c r="N2375" t="s">
        <v>57</v>
      </c>
      <c r="O2375" t="s">
        <v>78</v>
      </c>
      <c r="P2375">
        <v>0</v>
      </c>
      <c r="Q2375">
        <v>0</v>
      </c>
      <c r="R2375">
        <v>0</v>
      </c>
      <c r="S2375" t="s">
        <v>99</v>
      </c>
      <c r="T2375" t="s">
        <v>3930</v>
      </c>
      <c r="U2375">
        <v>1</v>
      </c>
    </row>
    <row r="2376" spans="1:21" x14ac:dyDescent="0.3">
      <c r="A2376" t="s">
        <v>3928</v>
      </c>
      <c r="B2376" t="s">
        <v>2162</v>
      </c>
      <c r="C2376" t="s">
        <v>672</v>
      </c>
      <c r="D2376" t="s">
        <v>222</v>
      </c>
      <c r="E2376" t="s">
        <v>30</v>
      </c>
      <c r="F2376" s="6">
        <v>45838</v>
      </c>
      <c r="G2376">
        <v>15</v>
      </c>
      <c r="H2376" t="s">
        <v>3931</v>
      </c>
      <c r="I2376">
        <v>1.1026666666666669</v>
      </c>
      <c r="J2376">
        <v>1.1026666666666669</v>
      </c>
      <c r="K2376" t="s">
        <v>3932</v>
      </c>
      <c r="L2376" t="s">
        <v>3933</v>
      </c>
      <c r="M2376">
        <v>2025</v>
      </c>
      <c r="N2376" t="s">
        <v>44</v>
      </c>
      <c r="O2376" t="s">
        <v>244</v>
      </c>
      <c r="P2376">
        <v>2</v>
      </c>
      <c r="Q2376">
        <v>2</v>
      </c>
      <c r="R2376">
        <v>0</v>
      </c>
      <c r="S2376" t="s">
        <v>34</v>
      </c>
      <c r="T2376" t="s">
        <v>3934</v>
      </c>
      <c r="U2376">
        <v>30</v>
      </c>
    </row>
    <row r="2377" spans="1:21" x14ac:dyDescent="0.3">
      <c r="A2377" t="s">
        <v>3928</v>
      </c>
      <c r="B2377" t="s">
        <v>2162</v>
      </c>
      <c r="C2377" t="s">
        <v>672</v>
      </c>
      <c r="D2377" t="s">
        <v>222</v>
      </c>
      <c r="E2377" t="s">
        <v>30</v>
      </c>
      <c r="F2377" s="6">
        <v>46022</v>
      </c>
      <c r="G2377">
        <v>15</v>
      </c>
      <c r="H2377" t="s">
        <v>3935</v>
      </c>
      <c r="I2377">
        <v>1.000666666666667</v>
      </c>
      <c r="J2377">
        <v>1.000666666666667</v>
      </c>
      <c r="K2377" t="s">
        <v>3932</v>
      </c>
      <c r="L2377" t="s">
        <v>3936</v>
      </c>
      <c r="M2377">
        <v>2025</v>
      </c>
      <c r="N2377" t="s">
        <v>57</v>
      </c>
      <c r="O2377" t="s">
        <v>103</v>
      </c>
      <c r="P2377">
        <v>2</v>
      </c>
      <c r="Q2377">
        <v>2</v>
      </c>
      <c r="R2377">
        <v>0</v>
      </c>
      <c r="S2377" t="s">
        <v>34</v>
      </c>
      <c r="T2377" t="s">
        <v>3937</v>
      </c>
      <c r="U2377">
        <v>31</v>
      </c>
    </row>
    <row r="2378" spans="1:21" x14ac:dyDescent="0.3">
      <c r="A2378" t="s">
        <v>3938</v>
      </c>
      <c r="B2378" t="s">
        <v>3939</v>
      </c>
      <c r="C2378" t="s">
        <v>672</v>
      </c>
      <c r="D2378" t="s">
        <v>222</v>
      </c>
      <c r="E2378" t="s">
        <v>30</v>
      </c>
      <c r="F2378" s="6">
        <v>45473</v>
      </c>
      <c r="G2378">
        <v>9</v>
      </c>
      <c r="H2378">
        <v>18.93</v>
      </c>
      <c r="I2378">
        <v>1.1135294117647061</v>
      </c>
      <c r="J2378">
        <v>1.1135294117647061</v>
      </c>
      <c r="K2378" t="s">
        <v>31</v>
      </c>
      <c r="L2378" t="s">
        <v>31</v>
      </c>
      <c r="M2378">
        <v>2024</v>
      </c>
      <c r="N2378" t="s">
        <v>44</v>
      </c>
      <c r="O2378" t="s">
        <v>71</v>
      </c>
      <c r="P2378">
        <v>0</v>
      </c>
      <c r="Q2378">
        <v>0</v>
      </c>
      <c r="R2378">
        <v>0</v>
      </c>
      <c r="S2378" t="s">
        <v>99</v>
      </c>
      <c r="T2378" t="s">
        <v>3940</v>
      </c>
      <c r="U2378">
        <v>1</v>
      </c>
    </row>
    <row r="2379" spans="1:21" x14ac:dyDescent="0.3">
      <c r="A2379" t="s">
        <v>3938</v>
      </c>
      <c r="B2379" t="s">
        <v>3939</v>
      </c>
      <c r="C2379" t="s">
        <v>672</v>
      </c>
      <c r="D2379" t="s">
        <v>222</v>
      </c>
      <c r="E2379" t="s">
        <v>30</v>
      </c>
      <c r="F2379" s="6">
        <v>45657</v>
      </c>
      <c r="G2379">
        <v>9</v>
      </c>
      <c r="H2379">
        <v>9.32</v>
      </c>
      <c r="I2379">
        <v>1.035555555555556</v>
      </c>
      <c r="J2379">
        <v>1.035555555555556</v>
      </c>
      <c r="K2379" t="s">
        <v>31</v>
      </c>
      <c r="L2379" t="s">
        <v>31</v>
      </c>
      <c r="M2379">
        <v>2024</v>
      </c>
      <c r="N2379" t="s">
        <v>57</v>
      </c>
      <c r="O2379" t="s">
        <v>78</v>
      </c>
      <c r="P2379">
        <v>0</v>
      </c>
      <c r="Q2379">
        <v>0</v>
      </c>
      <c r="R2379">
        <v>0</v>
      </c>
      <c r="S2379" t="s">
        <v>99</v>
      </c>
      <c r="T2379" t="s">
        <v>3941</v>
      </c>
      <c r="U2379">
        <v>1</v>
      </c>
    </row>
    <row r="2380" spans="1:21" x14ac:dyDescent="0.3">
      <c r="A2380" t="s">
        <v>3938</v>
      </c>
      <c r="B2380" t="s">
        <v>3939</v>
      </c>
      <c r="C2380" t="s">
        <v>672</v>
      </c>
      <c r="D2380" t="s">
        <v>222</v>
      </c>
      <c r="E2380" t="s">
        <v>30</v>
      </c>
      <c r="F2380" s="6">
        <v>45838</v>
      </c>
      <c r="G2380">
        <v>17</v>
      </c>
      <c r="H2380" t="s">
        <v>3942</v>
      </c>
      <c r="I2380">
        <v>1.3</v>
      </c>
      <c r="J2380">
        <v>2.3305882352941181</v>
      </c>
      <c r="K2380" t="s">
        <v>1478</v>
      </c>
      <c r="L2380" t="s">
        <v>3943</v>
      </c>
      <c r="M2380">
        <v>2025</v>
      </c>
      <c r="N2380" t="s">
        <v>44</v>
      </c>
      <c r="O2380" t="s">
        <v>244</v>
      </c>
      <c r="P2380">
        <v>2</v>
      </c>
      <c r="Q2380">
        <v>2</v>
      </c>
      <c r="R2380">
        <v>0</v>
      </c>
      <c r="S2380" t="s">
        <v>130</v>
      </c>
      <c r="T2380" t="s">
        <v>3944</v>
      </c>
      <c r="U2380">
        <v>30</v>
      </c>
    </row>
    <row r="2381" spans="1:21" x14ac:dyDescent="0.3">
      <c r="A2381" t="s">
        <v>3938</v>
      </c>
      <c r="B2381" t="s">
        <v>3939</v>
      </c>
      <c r="C2381" t="s">
        <v>672</v>
      </c>
      <c r="D2381" t="s">
        <v>222</v>
      </c>
      <c r="E2381" t="s">
        <v>30</v>
      </c>
      <c r="F2381" s="6">
        <v>46022</v>
      </c>
      <c r="G2381">
        <v>17</v>
      </c>
      <c r="H2381" t="s">
        <v>3945</v>
      </c>
      <c r="I2381">
        <v>1.3</v>
      </c>
      <c r="J2381">
        <v>3.4917647058823529</v>
      </c>
      <c r="K2381" t="s">
        <v>1478</v>
      </c>
      <c r="L2381" t="s">
        <v>3946</v>
      </c>
      <c r="M2381">
        <v>2025</v>
      </c>
      <c r="N2381" t="s">
        <v>57</v>
      </c>
      <c r="O2381" t="s">
        <v>103</v>
      </c>
      <c r="P2381">
        <v>2</v>
      </c>
      <c r="Q2381">
        <v>2</v>
      </c>
      <c r="R2381">
        <v>0</v>
      </c>
      <c r="S2381" t="s">
        <v>130</v>
      </c>
      <c r="T2381" t="s">
        <v>3947</v>
      </c>
      <c r="U2381">
        <v>31</v>
      </c>
    </row>
    <row r="2382" spans="1:21" x14ac:dyDescent="0.3">
      <c r="A2382" t="s">
        <v>3948</v>
      </c>
      <c r="B2382" t="s">
        <v>3949</v>
      </c>
      <c r="C2382" t="s">
        <v>2177</v>
      </c>
      <c r="D2382" t="s">
        <v>233</v>
      </c>
      <c r="E2382" t="s">
        <v>30</v>
      </c>
      <c r="F2382" s="6">
        <v>45382</v>
      </c>
      <c r="G2382">
        <v>20</v>
      </c>
      <c r="H2382">
        <v>51.28</v>
      </c>
      <c r="I2382">
        <v>1.3</v>
      </c>
      <c r="J2382">
        <v>2.5640000000000001</v>
      </c>
      <c r="M2382">
        <v>2024</v>
      </c>
      <c r="N2382" t="s">
        <v>38</v>
      </c>
      <c r="O2382" t="s">
        <v>71</v>
      </c>
      <c r="P2382">
        <v>0</v>
      </c>
      <c r="Q2382">
        <v>0</v>
      </c>
      <c r="R2382">
        <v>0</v>
      </c>
      <c r="S2382" t="s">
        <v>99</v>
      </c>
      <c r="T2382" t="s">
        <v>3950</v>
      </c>
      <c r="U2382">
        <v>1</v>
      </c>
    </row>
    <row r="2383" spans="1:21" x14ac:dyDescent="0.3">
      <c r="A2383" t="s">
        <v>3948</v>
      </c>
      <c r="B2383" t="s">
        <v>3951</v>
      </c>
      <c r="C2383" t="s">
        <v>2177</v>
      </c>
      <c r="D2383" t="s">
        <v>1794</v>
      </c>
      <c r="E2383" t="s">
        <v>30</v>
      </c>
      <c r="F2383" s="6">
        <v>45473</v>
      </c>
      <c r="M2383">
        <v>2024</v>
      </c>
      <c r="N2383" t="s">
        <v>44</v>
      </c>
      <c r="O2383" t="s">
        <v>71</v>
      </c>
      <c r="P2383">
        <v>0</v>
      </c>
      <c r="Q2383">
        <v>0</v>
      </c>
      <c r="R2383">
        <v>0</v>
      </c>
      <c r="S2383" t="s">
        <v>99</v>
      </c>
      <c r="T2383" t="s">
        <v>3952</v>
      </c>
      <c r="U2383">
        <v>1</v>
      </c>
    </row>
    <row r="2384" spans="1:21" x14ac:dyDescent="0.3">
      <c r="A2384" t="s">
        <v>3948</v>
      </c>
      <c r="B2384" t="s">
        <v>3949</v>
      </c>
      <c r="C2384" t="s">
        <v>2177</v>
      </c>
      <c r="D2384" t="s">
        <v>233</v>
      </c>
      <c r="E2384" t="s">
        <v>30</v>
      </c>
      <c r="F2384" s="6">
        <v>45565</v>
      </c>
      <c r="G2384">
        <v>70</v>
      </c>
      <c r="H2384">
        <v>84.615384615384599</v>
      </c>
      <c r="I2384">
        <v>1.208791208791208</v>
      </c>
      <c r="J2384">
        <v>1.208791208791208</v>
      </c>
      <c r="M2384">
        <v>2024</v>
      </c>
      <c r="N2384" t="s">
        <v>51</v>
      </c>
      <c r="O2384" t="s">
        <v>78</v>
      </c>
      <c r="P2384">
        <v>0</v>
      </c>
      <c r="Q2384">
        <v>0</v>
      </c>
      <c r="R2384">
        <v>0</v>
      </c>
      <c r="S2384" t="s">
        <v>99</v>
      </c>
      <c r="T2384" t="s">
        <v>3953</v>
      </c>
      <c r="U2384">
        <v>1</v>
      </c>
    </row>
    <row r="2385" spans="1:21" x14ac:dyDescent="0.3">
      <c r="A2385" t="s">
        <v>3948</v>
      </c>
      <c r="B2385" t="s">
        <v>3949</v>
      </c>
      <c r="C2385" t="s">
        <v>2177</v>
      </c>
      <c r="D2385" t="s">
        <v>233</v>
      </c>
      <c r="E2385" t="s">
        <v>30</v>
      </c>
      <c r="F2385" s="6">
        <v>45657</v>
      </c>
      <c r="G2385">
        <v>100</v>
      </c>
      <c r="H2385">
        <v>100</v>
      </c>
      <c r="I2385">
        <v>1</v>
      </c>
      <c r="J2385">
        <v>1</v>
      </c>
      <c r="M2385">
        <v>2024</v>
      </c>
      <c r="N2385" t="s">
        <v>57</v>
      </c>
      <c r="O2385" t="s">
        <v>78</v>
      </c>
      <c r="P2385">
        <v>0</v>
      </c>
      <c r="Q2385">
        <v>0</v>
      </c>
      <c r="R2385">
        <v>0</v>
      </c>
      <c r="S2385" t="s">
        <v>99</v>
      </c>
      <c r="T2385" t="s">
        <v>3954</v>
      </c>
      <c r="U2385">
        <v>1</v>
      </c>
    </row>
    <row r="2386" spans="1:21" x14ac:dyDescent="0.3">
      <c r="A2386" t="s">
        <v>3955</v>
      </c>
      <c r="B2386" t="s">
        <v>3956</v>
      </c>
      <c r="C2386" t="s">
        <v>2177</v>
      </c>
      <c r="D2386" t="s">
        <v>233</v>
      </c>
      <c r="E2386" t="s">
        <v>108</v>
      </c>
      <c r="F2386" s="6">
        <v>45473</v>
      </c>
      <c r="M2386">
        <v>2024</v>
      </c>
      <c r="N2386" t="s">
        <v>44</v>
      </c>
      <c r="O2386" t="s">
        <v>71</v>
      </c>
      <c r="P2386">
        <v>0</v>
      </c>
      <c r="Q2386">
        <v>0</v>
      </c>
      <c r="R2386">
        <v>0</v>
      </c>
      <c r="S2386" t="s">
        <v>99</v>
      </c>
      <c r="T2386" t="s">
        <v>3957</v>
      </c>
      <c r="U2386">
        <v>1</v>
      </c>
    </row>
    <row r="2387" spans="1:21" x14ac:dyDescent="0.3">
      <c r="A2387" t="s">
        <v>3958</v>
      </c>
      <c r="B2387" t="s">
        <v>3959</v>
      </c>
      <c r="C2387" t="s">
        <v>3093</v>
      </c>
      <c r="D2387" t="s">
        <v>222</v>
      </c>
      <c r="E2387" t="s">
        <v>30</v>
      </c>
      <c r="F2387" s="6">
        <v>45473</v>
      </c>
      <c r="G2387">
        <v>0</v>
      </c>
      <c r="H2387">
        <v>34.9</v>
      </c>
      <c r="M2387">
        <v>2024</v>
      </c>
      <c r="N2387" t="s">
        <v>44</v>
      </c>
      <c r="O2387" t="s">
        <v>71</v>
      </c>
      <c r="P2387">
        <v>0</v>
      </c>
      <c r="Q2387">
        <v>0</v>
      </c>
      <c r="R2387">
        <v>0</v>
      </c>
      <c r="S2387" t="s">
        <v>99</v>
      </c>
      <c r="T2387" t="s">
        <v>3960</v>
      </c>
      <c r="U2387">
        <v>1</v>
      </c>
    </row>
    <row r="2388" spans="1:21" x14ac:dyDescent="0.3">
      <c r="A2388" t="s">
        <v>3958</v>
      </c>
      <c r="B2388" t="s">
        <v>3959</v>
      </c>
      <c r="C2388" t="s">
        <v>3093</v>
      </c>
      <c r="D2388" t="s">
        <v>222</v>
      </c>
      <c r="E2388" t="s">
        <v>30</v>
      </c>
      <c r="F2388" s="6">
        <v>45657</v>
      </c>
      <c r="G2388">
        <v>0</v>
      </c>
      <c r="H2388">
        <v>42.7</v>
      </c>
      <c r="M2388">
        <v>2024</v>
      </c>
      <c r="N2388" t="s">
        <v>57</v>
      </c>
      <c r="O2388" t="s">
        <v>78</v>
      </c>
      <c r="P2388">
        <v>0</v>
      </c>
      <c r="Q2388">
        <v>0</v>
      </c>
      <c r="R2388">
        <v>0</v>
      </c>
      <c r="S2388" t="s">
        <v>99</v>
      </c>
      <c r="T2388" t="s">
        <v>3961</v>
      </c>
      <c r="U2388">
        <v>1</v>
      </c>
    </row>
    <row r="2389" spans="1:21" x14ac:dyDescent="0.3">
      <c r="A2389" t="s">
        <v>3958</v>
      </c>
      <c r="B2389" t="s">
        <v>3962</v>
      </c>
      <c r="C2389" t="s">
        <v>3093</v>
      </c>
      <c r="D2389" t="s">
        <v>222</v>
      </c>
      <c r="E2389" t="s">
        <v>30</v>
      </c>
      <c r="F2389" s="6">
        <v>45838</v>
      </c>
      <c r="G2389">
        <v>100</v>
      </c>
      <c r="H2389" t="s">
        <v>3963</v>
      </c>
      <c r="I2389">
        <v>1.1950000000000001</v>
      </c>
      <c r="J2389">
        <v>1.1950000000000001</v>
      </c>
      <c r="K2389" t="s">
        <v>102</v>
      </c>
      <c r="L2389" t="s">
        <v>3964</v>
      </c>
      <c r="M2389">
        <v>2025</v>
      </c>
      <c r="N2389" t="s">
        <v>44</v>
      </c>
      <c r="O2389" t="s">
        <v>244</v>
      </c>
      <c r="P2389">
        <v>2</v>
      </c>
      <c r="Q2389">
        <v>2</v>
      </c>
      <c r="R2389">
        <v>0</v>
      </c>
      <c r="S2389" t="s">
        <v>104</v>
      </c>
      <c r="T2389" t="s">
        <v>3965</v>
      </c>
      <c r="U2389">
        <v>30</v>
      </c>
    </row>
    <row r="2390" spans="1:21" x14ac:dyDescent="0.3">
      <c r="A2390" t="s">
        <v>3958</v>
      </c>
      <c r="B2390" t="s">
        <v>3962</v>
      </c>
      <c r="C2390" t="s">
        <v>3093</v>
      </c>
      <c r="D2390" t="s">
        <v>222</v>
      </c>
      <c r="E2390" t="s">
        <v>30</v>
      </c>
      <c r="F2390" s="6">
        <v>46022</v>
      </c>
      <c r="G2390">
        <v>100</v>
      </c>
      <c r="H2390" t="s">
        <v>3966</v>
      </c>
      <c r="I2390">
        <v>1.3</v>
      </c>
      <c r="J2390">
        <v>1.3080000000000001</v>
      </c>
      <c r="K2390" t="s">
        <v>102</v>
      </c>
      <c r="L2390" t="s">
        <v>3967</v>
      </c>
      <c r="M2390">
        <v>2025</v>
      </c>
      <c r="N2390" t="s">
        <v>57</v>
      </c>
      <c r="O2390" t="s">
        <v>103</v>
      </c>
      <c r="P2390">
        <v>2</v>
      </c>
      <c r="Q2390">
        <v>2</v>
      </c>
      <c r="R2390">
        <v>0</v>
      </c>
      <c r="S2390" t="s">
        <v>104</v>
      </c>
      <c r="T2390" t="s">
        <v>3968</v>
      </c>
      <c r="U2390">
        <v>31</v>
      </c>
    </row>
    <row r="2391" spans="1:21" x14ac:dyDescent="0.3">
      <c r="A2391" t="s">
        <v>3969</v>
      </c>
      <c r="B2391" t="s">
        <v>3970</v>
      </c>
      <c r="C2391" t="s">
        <v>3093</v>
      </c>
      <c r="D2391" t="s">
        <v>222</v>
      </c>
      <c r="E2391" t="s">
        <v>30</v>
      </c>
      <c r="F2391" s="6">
        <v>45473</v>
      </c>
      <c r="M2391">
        <v>2024</v>
      </c>
      <c r="N2391" t="s">
        <v>44</v>
      </c>
      <c r="O2391" t="s">
        <v>71</v>
      </c>
      <c r="P2391">
        <v>0</v>
      </c>
      <c r="Q2391">
        <v>0</v>
      </c>
      <c r="R2391">
        <v>0</v>
      </c>
      <c r="S2391" t="s">
        <v>99</v>
      </c>
      <c r="T2391" t="s">
        <v>3971</v>
      </c>
      <c r="U2391">
        <v>1</v>
      </c>
    </row>
    <row r="2392" spans="1:21" x14ac:dyDescent="0.3">
      <c r="A2392" t="s">
        <v>3969</v>
      </c>
      <c r="B2392" t="s">
        <v>3970</v>
      </c>
      <c r="C2392" t="s">
        <v>3093</v>
      </c>
      <c r="D2392" t="s">
        <v>222</v>
      </c>
      <c r="E2392" t="s">
        <v>30</v>
      </c>
      <c r="F2392" s="6">
        <v>45657</v>
      </c>
      <c r="G2392">
        <v>100</v>
      </c>
      <c r="H2392">
        <v>160</v>
      </c>
      <c r="I2392">
        <v>1.3</v>
      </c>
      <c r="J2392">
        <v>1.6</v>
      </c>
      <c r="M2392">
        <v>2024</v>
      </c>
      <c r="N2392" t="s">
        <v>57</v>
      </c>
      <c r="O2392" t="s">
        <v>78</v>
      </c>
      <c r="P2392">
        <v>0</v>
      </c>
      <c r="Q2392">
        <v>0</v>
      </c>
      <c r="R2392">
        <v>0</v>
      </c>
      <c r="S2392" t="s">
        <v>99</v>
      </c>
      <c r="T2392" t="s">
        <v>3972</v>
      </c>
      <c r="U2392">
        <v>1</v>
      </c>
    </row>
    <row r="2393" spans="1:21" x14ac:dyDescent="0.3">
      <c r="A2393" t="s">
        <v>3969</v>
      </c>
      <c r="B2393" t="s">
        <v>3970</v>
      </c>
      <c r="C2393" t="s">
        <v>3093</v>
      </c>
      <c r="D2393" t="s">
        <v>222</v>
      </c>
      <c r="E2393" t="s">
        <v>30</v>
      </c>
      <c r="F2393" s="6">
        <v>45838</v>
      </c>
      <c r="G2393">
        <v>100</v>
      </c>
      <c r="I2393">
        <v>0</v>
      </c>
      <c r="J2393">
        <v>0</v>
      </c>
      <c r="K2393" t="s">
        <v>102</v>
      </c>
      <c r="M2393">
        <v>2025</v>
      </c>
      <c r="N2393" t="s">
        <v>44</v>
      </c>
      <c r="O2393" t="s">
        <v>244</v>
      </c>
      <c r="P2393">
        <v>2</v>
      </c>
      <c r="Q2393">
        <v>2</v>
      </c>
      <c r="R2393">
        <v>0</v>
      </c>
      <c r="S2393" t="s">
        <v>104</v>
      </c>
      <c r="T2393" t="s">
        <v>3973</v>
      </c>
      <c r="U2393">
        <v>30</v>
      </c>
    </row>
    <row r="2394" spans="1:21" x14ac:dyDescent="0.3">
      <c r="A2394" t="s">
        <v>3969</v>
      </c>
      <c r="B2394" t="s">
        <v>3970</v>
      </c>
      <c r="C2394" t="s">
        <v>3093</v>
      </c>
      <c r="D2394" t="s">
        <v>222</v>
      </c>
      <c r="E2394" t="s">
        <v>30</v>
      </c>
      <c r="F2394" s="6">
        <v>46022</v>
      </c>
      <c r="G2394">
        <v>100</v>
      </c>
      <c r="I2394">
        <v>0</v>
      </c>
      <c r="J2394">
        <v>0</v>
      </c>
      <c r="K2394" t="s">
        <v>102</v>
      </c>
      <c r="M2394">
        <v>2025</v>
      </c>
      <c r="N2394" t="s">
        <v>57</v>
      </c>
      <c r="O2394" t="s">
        <v>103</v>
      </c>
      <c r="P2394">
        <v>2</v>
      </c>
      <c r="Q2394">
        <v>2</v>
      </c>
      <c r="R2394">
        <v>0</v>
      </c>
      <c r="S2394" t="s">
        <v>104</v>
      </c>
      <c r="T2394" t="s">
        <v>3974</v>
      </c>
      <c r="U2394">
        <v>31</v>
      </c>
    </row>
    <row r="2395" spans="1:21" x14ac:dyDescent="0.3">
      <c r="A2395" t="s">
        <v>3975</v>
      </c>
      <c r="B2395" t="s">
        <v>3976</v>
      </c>
      <c r="C2395" t="s">
        <v>3126</v>
      </c>
      <c r="D2395" t="s">
        <v>233</v>
      </c>
      <c r="E2395" t="s">
        <v>30</v>
      </c>
      <c r="F2395" s="6">
        <v>45382</v>
      </c>
      <c r="G2395">
        <v>0</v>
      </c>
      <c r="H2395">
        <v>52</v>
      </c>
      <c r="M2395">
        <v>2024</v>
      </c>
      <c r="N2395" t="s">
        <v>38</v>
      </c>
      <c r="O2395" t="s">
        <v>71</v>
      </c>
      <c r="P2395">
        <v>0</v>
      </c>
      <c r="Q2395">
        <v>0</v>
      </c>
      <c r="R2395">
        <v>0</v>
      </c>
      <c r="S2395" t="s">
        <v>99</v>
      </c>
      <c r="T2395" t="s">
        <v>3977</v>
      </c>
      <c r="U2395">
        <v>1</v>
      </c>
    </row>
    <row r="2396" spans="1:21" x14ac:dyDescent="0.3">
      <c r="A2396" t="s">
        <v>3975</v>
      </c>
      <c r="B2396" t="s">
        <v>3976</v>
      </c>
      <c r="C2396" t="s">
        <v>3126</v>
      </c>
      <c r="D2396" t="s">
        <v>233</v>
      </c>
      <c r="E2396" t="s">
        <v>30</v>
      </c>
      <c r="F2396" s="6">
        <v>45473</v>
      </c>
      <c r="G2396">
        <v>25</v>
      </c>
      <c r="H2396">
        <v>35</v>
      </c>
      <c r="I2396">
        <v>1.3</v>
      </c>
      <c r="J2396">
        <v>1.4</v>
      </c>
      <c r="M2396">
        <v>2024</v>
      </c>
      <c r="N2396" t="s">
        <v>44</v>
      </c>
      <c r="O2396" t="s">
        <v>71</v>
      </c>
      <c r="P2396">
        <v>0</v>
      </c>
      <c r="Q2396">
        <v>0</v>
      </c>
      <c r="R2396">
        <v>0</v>
      </c>
      <c r="S2396" t="s">
        <v>99</v>
      </c>
      <c r="T2396" t="s">
        <v>3978</v>
      </c>
      <c r="U2396">
        <v>1</v>
      </c>
    </row>
    <row r="2397" spans="1:21" x14ac:dyDescent="0.3">
      <c r="A2397" t="s">
        <v>3975</v>
      </c>
      <c r="B2397" t="s">
        <v>3976</v>
      </c>
      <c r="C2397" t="s">
        <v>3126</v>
      </c>
      <c r="D2397" t="s">
        <v>233</v>
      </c>
      <c r="E2397" t="s">
        <v>30</v>
      </c>
      <c r="F2397" s="6">
        <v>45565</v>
      </c>
      <c r="G2397">
        <v>25</v>
      </c>
      <c r="H2397">
        <v>75</v>
      </c>
      <c r="I2397">
        <v>1.3</v>
      </c>
      <c r="J2397">
        <v>3</v>
      </c>
      <c r="M2397">
        <v>2024</v>
      </c>
      <c r="N2397" t="s">
        <v>51</v>
      </c>
      <c r="O2397" t="s">
        <v>78</v>
      </c>
      <c r="P2397">
        <v>0</v>
      </c>
      <c r="Q2397">
        <v>0</v>
      </c>
      <c r="R2397">
        <v>0</v>
      </c>
      <c r="S2397" t="s">
        <v>99</v>
      </c>
      <c r="T2397" t="s">
        <v>3979</v>
      </c>
      <c r="U2397">
        <v>1</v>
      </c>
    </row>
    <row r="2398" spans="1:21" x14ac:dyDescent="0.3">
      <c r="A2398" t="s">
        <v>3975</v>
      </c>
      <c r="B2398" t="s">
        <v>3976</v>
      </c>
      <c r="C2398" t="s">
        <v>3126</v>
      </c>
      <c r="D2398" t="s">
        <v>233</v>
      </c>
      <c r="E2398" t="s">
        <v>30</v>
      </c>
      <c r="F2398" s="6">
        <v>45657</v>
      </c>
      <c r="G2398">
        <v>25</v>
      </c>
      <c r="H2398">
        <v>37</v>
      </c>
      <c r="I2398">
        <v>1.3</v>
      </c>
      <c r="J2398">
        <v>1.48</v>
      </c>
      <c r="M2398">
        <v>2024</v>
      </c>
      <c r="N2398" t="s">
        <v>57</v>
      </c>
      <c r="O2398" t="s">
        <v>78</v>
      </c>
      <c r="P2398">
        <v>0</v>
      </c>
      <c r="Q2398">
        <v>0</v>
      </c>
      <c r="R2398">
        <v>0</v>
      </c>
      <c r="S2398" t="s">
        <v>99</v>
      </c>
      <c r="T2398" t="s">
        <v>3980</v>
      </c>
      <c r="U2398">
        <v>1</v>
      </c>
    </row>
    <row r="2399" spans="1:21" x14ac:dyDescent="0.3">
      <c r="A2399" t="s">
        <v>3975</v>
      </c>
      <c r="B2399" t="s">
        <v>3976</v>
      </c>
      <c r="C2399" t="s">
        <v>3126</v>
      </c>
      <c r="D2399" t="s">
        <v>233</v>
      </c>
      <c r="E2399" t="s">
        <v>30</v>
      </c>
      <c r="F2399" s="6">
        <v>45747</v>
      </c>
      <c r="G2399">
        <v>100</v>
      </c>
      <c r="H2399" t="s">
        <v>3981</v>
      </c>
      <c r="I2399">
        <v>0.48</v>
      </c>
      <c r="J2399">
        <v>0.48</v>
      </c>
      <c r="K2399" t="s">
        <v>102</v>
      </c>
      <c r="L2399" t="s">
        <v>3982</v>
      </c>
      <c r="M2399">
        <v>2025</v>
      </c>
      <c r="N2399" t="s">
        <v>38</v>
      </c>
      <c r="O2399" t="s">
        <v>244</v>
      </c>
      <c r="P2399">
        <v>2</v>
      </c>
      <c r="Q2399">
        <v>2</v>
      </c>
      <c r="R2399">
        <v>0</v>
      </c>
      <c r="S2399" t="s">
        <v>34</v>
      </c>
      <c r="T2399" t="s">
        <v>3983</v>
      </c>
      <c r="U2399">
        <v>31</v>
      </c>
    </row>
    <row r="2400" spans="1:21" x14ac:dyDescent="0.3">
      <c r="A2400" t="s">
        <v>3975</v>
      </c>
      <c r="B2400" t="s">
        <v>3976</v>
      </c>
      <c r="C2400" t="s">
        <v>3126</v>
      </c>
      <c r="D2400" t="s">
        <v>233</v>
      </c>
      <c r="E2400" t="s">
        <v>30</v>
      </c>
      <c r="F2400" s="6">
        <v>45838</v>
      </c>
      <c r="G2400">
        <v>100</v>
      </c>
      <c r="H2400" t="s">
        <v>95</v>
      </c>
      <c r="I2400">
        <v>1</v>
      </c>
      <c r="J2400">
        <v>1</v>
      </c>
      <c r="K2400" t="s">
        <v>102</v>
      </c>
      <c r="L2400" t="s">
        <v>102</v>
      </c>
      <c r="M2400">
        <v>2025</v>
      </c>
      <c r="N2400" t="s">
        <v>44</v>
      </c>
      <c r="O2400" t="s">
        <v>244</v>
      </c>
      <c r="P2400">
        <v>2</v>
      </c>
      <c r="Q2400">
        <v>2</v>
      </c>
      <c r="R2400">
        <v>0</v>
      </c>
      <c r="S2400" t="s">
        <v>34</v>
      </c>
      <c r="T2400" t="s">
        <v>3984</v>
      </c>
      <c r="U2400">
        <v>30</v>
      </c>
    </row>
    <row r="2401" spans="1:21" x14ac:dyDescent="0.3">
      <c r="A2401" t="s">
        <v>3975</v>
      </c>
      <c r="B2401" t="s">
        <v>3976</v>
      </c>
      <c r="C2401" t="s">
        <v>3126</v>
      </c>
      <c r="D2401" t="s">
        <v>233</v>
      </c>
      <c r="E2401" t="s">
        <v>30</v>
      </c>
      <c r="F2401" s="6">
        <v>46022</v>
      </c>
      <c r="G2401">
        <v>100</v>
      </c>
      <c r="H2401" t="s">
        <v>95</v>
      </c>
      <c r="I2401">
        <v>1</v>
      </c>
      <c r="J2401">
        <v>1</v>
      </c>
      <c r="K2401" t="s">
        <v>102</v>
      </c>
      <c r="L2401" t="s">
        <v>102</v>
      </c>
      <c r="M2401">
        <v>2025</v>
      </c>
      <c r="N2401" t="s">
        <v>57</v>
      </c>
      <c r="O2401" t="s">
        <v>103</v>
      </c>
      <c r="P2401">
        <v>2</v>
      </c>
      <c r="Q2401">
        <v>2</v>
      </c>
      <c r="R2401">
        <v>0</v>
      </c>
      <c r="S2401" t="s">
        <v>34</v>
      </c>
      <c r="T2401" t="s">
        <v>3985</v>
      </c>
      <c r="U2401">
        <v>31</v>
      </c>
    </row>
    <row r="2402" spans="1:21" x14ac:dyDescent="0.3">
      <c r="A2402" t="s">
        <v>3986</v>
      </c>
      <c r="B2402" t="s">
        <v>3987</v>
      </c>
      <c r="C2402" t="s">
        <v>3126</v>
      </c>
      <c r="D2402" t="s">
        <v>233</v>
      </c>
      <c r="E2402" t="s">
        <v>30</v>
      </c>
      <c r="F2402" s="6">
        <v>45382</v>
      </c>
      <c r="M2402">
        <v>2024</v>
      </c>
      <c r="N2402" t="s">
        <v>38</v>
      </c>
      <c r="O2402" t="s">
        <v>71</v>
      </c>
      <c r="P2402">
        <v>0</v>
      </c>
      <c r="Q2402">
        <v>0</v>
      </c>
      <c r="R2402">
        <v>0</v>
      </c>
      <c r="S2402" t="s">
        <v>99</v>
      </c>
      <c r="T2402" t="s">
        <v>3988</v>
      </c>
      <c r="U2402">
        <v>1</v>
      </c>
    </row>
    <row r="2403" spans="1:21" x14ac:dyDescent="0.3">
      <c r="A2403" t="s">
        <v>3986</v>
      </c>
      <c r="B2403" t="s">
        <v>3987</v>
      </c>
      <c r="C2403" t="s">
        <v>3126</v>
      </c>
      <c r="D2403" t="s">
        <v>233</v>
      </c>
      <c r="E2403" t="s">
        <v>30</v>
      </c>
      <c r="F2403" s="6">
        <v>45473</v>
      </c>
      <c r="M2403">
        <v>2024</v>
      </c>
      <c r="N2403" t="s">
        <v>44</v>
      </c>
      <c r="O2403" t="s">
        <v>71</v>
      </c>
      <c r="P2403">
        <v>0</v>
      </c>
      <c r="Q2403">
        <v>0</v>
      </c>
      <c r="R2403">
        <v>0</v>
      </c>
      <c r="S2403" t="s">
        <v>99</v>
      </c>
      <c r="T2403" t="s">
        <v>3989</v>
      </c>
      <c r="U2403">
        <v>1</v>
      </c>
    </row>
    <row r="2404" spans="1:21" x14ac:dyDescent="0.3">
      <c r="A2404" t="s">
        <v>3986</v>
      </c>
      <c r="B2404" t="s">
        <v>3987</v>
      </c>
      <c r="C2404" t="s">
        <v>3126</v>
      </c>
      <c r="D2404" t="s">
        <v>233</v>
      </c>
      <c r="E2404" t="s">
        <v>30</v>
      </c>
      <c r="F2404" s="6">
        <v>45565</v>
      </c>
      <c r="G2404">
        <v>0</v>
      </c>
      <c r="H2404">
        <v>88</v>
      </c>
      <c r="M2404">
        <v>2024</v>
      </c>
      <c r="N2404" t="s">
        <v>51</v>
      </c>
      <c r="O2404" t="s">
        <v>78</v>
      </c>
      <c r="P2404">
        <v>0</v>
      </c>
      <c r="Q2404">
        <v>0</v>
      </c>
      <c r="R2404">
        <v>0</v>
      </c>
      <c r="S2404" t="s">
        <v>99</v>
      </c>
      <c r="T2404" t="s">
        <v>3990</v>
      </c>
      <c r="U2404">
        <v>1</v>
      </c>
    </row>
    <row r="2405" spans="1:21" x14ac:dyDescent="0.3">
      <c r="A2405" t="s">
        <v>3986</v>
      </c>
      <c r="B2405" t="s">
        <v>3987</v>
      </c>
      <c r="C2405" t="s">
        <v>3126</v>
      </c>
      <c r="D2405" t="s">
        <v>233</v>
      </c>
      <c r="E2405" t="s">
        <v>30</v>
      </c>
      <c r="F2405" s="6">
        <v>45657</v>
      </c>
      <c r="G2405">
        <v>0</v>
      </c>
      <c r="H2405">
        <v>88</v>
      </c>
      <c r="M2405">
        <v>2024</v>
      </c>
      <c r="N2405" t="s">
        <v>57</v>
      </c>
      <c r="O2405" t="s">
        <v>78</v>
      </c>
      <c r="P2405">
        <v>0</v>
      </c>
      <c r="Q2405">
        <v>0</v>
      </c>
      <c r="R2405">
        <v>0</v>
      </c>
      <c r="S2405" t="s">
        <v>99</v>
      </c>
      <c r="T2405" t="s">
        <v>3991</v>
      </c>
      <c r="U2405">
        <v>1</v>
      </c>
    </row>
    <row r="2406" spans="1:21" x14ac:dyDescent="0.3">
      <c r="A2406" t="s">
        <v>3992</v>
      </c>
      <c r="B2406" t="s">
        <v>3993</v>
      </c>
      <c r="C2406" t="s">
        <v>3126</v>
      </c>
      <c r="D2406" t="s">
        <v>233</v>
      </c>
      <c r="E2406" t="s">
        <v>30</v>
      </c>
      <c r="F2406" s="6">
        <v>45565</v>
      </c>
      <c r="G2406">
        <v>90</v>
      </c>
      <c r="H2406">
        <v>100</v>
      </c>
      <c r="I2406">
        <v>1.1111111111111109</v>
      </c>
      <c r="J2406">
        <v>1.1111111111111109</v>
      </c>
      <c r="K2406" t="s">
        <v>31</v>
      </c>
      <c r="L2406" t="s">
        <v>31</v>
      </c>
      <c r="M2406">
        <v>2024</v>
      </c>
      <c r="N2406" t="s">
        <v>51</v>
      </c>
      <c r="O2406" t="s">
        <v>78</v>
      </c>
      <c r="P2406">
        <v>0</v>
      </c>
      <c r="Q2406">
        <v>0</v>
      </c>
      <c r="R2406">
        <v>0</v>
      </c>
      <c r="S2406" t="s">
        <v>99</v>
      </c>
      <c r="T2406" t="s">
        <v>3994</v>
      </c>
      <c r="U2406">
        <v>1</v>
      </c>
    </row>
    <row r="2407" spans="1:21" x14ac:dyDescent="0.3">
      <c r="A2407" t="s">
        <v>3992</v>
      </c>
      <c r="B2407" t="s">
        <v>3993</v>
      </c>
      <c r="C2407" t="s">
        <v>3126</v>
      </c>
      <c r="D2407" t="s">
        <v>233</v>
      </c>
      <c r="E2407" t="s">
        <v>30</v>
      </c>
      <c r="F2407" s="6">
        <v>45657</v>
      </c>
      <c r="G2407">
        <v>90</v>
      </c>
      <c r="H2407">
        <v>100</v>
      </c>
      <c r="I2407">
        <v>1.1111111111111109</v>
      </c>
      <c r="J2407">
        <v>1.1111111111111109</v>
      </c>
      <c r="K2407" t="s">
        <v>31</v>
      </c>
      <c r="L2407" t="s">
        <v>31</v>
      </c>
      <c r="M2407">
        <v>2024</v>
      </c>
      <c r="N2407" t="s">
        <v>57</v>
      </c>
      <c r="O2407" t="s">
        <v>78</v>
      </c>
      <c r="P2407">
        <v>0</v>
      </c>
      <c r="Q2407">
        <v>0</v>
      </c>
      <c r="R2407">
        <v>0</v>
      </c>
      <c r="S2407" t="s">
        <v>99</v>
      </c>
      <c r="T2407" t="s">
        <v>3995</v>
      </c>
      <c r="U2407">
        <v>1</v>
      </c>
    </row>
    <row r="2408" spans="1:21" x14ac:dyDescent="0.3">
      <c r="A2408" t="s">
        <v>3992</v>
      </c>
      <c r="B2408" t="s">
        <v>3993</v>
      </c>
      <c r="C2408" t="s">
        <v>3126</v>
      </c>
      <c r="D2408" t="s">
        <v>233</v>
      </c>
      <c r="E2408" t="s">
        <v>30</v>
      </c>
      <c r="F2408" s="6">
        <v>45747</v>
      </c>
      <c r="G2408">
        <v>100</v>
      </c>
      <c r="H2408" t="s">
        <v>95</v>
      </c>
      <c r="I2408">
        <v>1</v>
      </c>
      <c r="J2408">
        <v>1</v>
      </c>
      <c r="K2408" t="s">
        <v>102</v>
      </c>
      <c r="L2408" t="s">
        <v>102</v>
      </c>
      <c r="M2408">
        <v>2025</v>
      </c>
      <c r="N2408" t="s">
        <v>38</v>
      </c>
      <c r="O2408" t="s">
        <v>244</v>
      </c>
      <c r="P2408">
        <v>2</v>
      </c>
      <c r="Q2408">
        <v>2</v>
      </c>
      <c r="R2408">
        <v>0</v>
      </c>
      <c r="S2408" t="s">
        <v>104</v>
      </c>
      <c r="T2408" t="s">
        <v>3996</v>
      </c>
      <c r="U2408">
        <v>31</v>
      </c>
    </row>
    <row r="2409" spans="1:21" x14ac:dyDescent="0.3">
      <c r="A2409" t="s">
        <v>3992</v>
      </c>
      <c r="B2409" t="s">
        <v>3993</v>
      </c>
      <c r="C2409" t="s">
        <v>3126</v>
      </c>
      <c r="D2409" t="s">
        <v>233</v>
      </c>
      <c r="E2409" t="s">
        <v>30</v>
      </c>
      <c r="F2409" s="6">
        <v>45838</v>
      </c>
      <c r="G2409">
        <v>100</v>
      </c>
      <c r="H2409" t="s">
        <v>95</v>
      </c>
      <c r="I2409">
        <v>1</v>
      </c>
      <c r="J2409">
        <v>1</v>
      </c>
      <c r="K2409" t="s">
        <v>102</v>
      </c>
      <c r="L2409" t="s">
        <v>102</v>
      </c>
      <c r="M2409">
        <v>2025</v>
      </c>
      <c r="N2409" t="s">
        <v>44</v>
      </c>
      <c r="O2409" t="s">
        <v>244</v>
      </c>
      <c r="P2409">
        <v>2</v>
      </c>
      <c r="Q2409">
        <v>2</v>
      </c>
      <c r="R2409">
        <v>0</v>
      </c>
      <c r="S2409" t="s">
        <v>104</v>
      </c>
      <c r="T2409" t="s">
        <v>3997</v>
      </c>
      <c r="U2409">
        <v>30</v>
      </c>
    </row>
    <row r="2410" spans="1:21" x14ac:dyDescent="0.3">
      <c r="A2410" t="s">
        <v>3992</v>
      </c>
      <c r="B2410" t="s">
        <v>3993</v>
      </c>
      <c r="C2410" t="s">
        <v>3126</v>
      </c>
      <c r="D2410" t="s">
        <v>233</v>
      </c>
      <c r="E2410" t="s">
        <v>30</v>
      </c>
      <c r="F2410" s="6">
        <v>46022</v>
      </c>
      <c r="G2410">
        <v>100</v>
      </c>
      <c r="H2410" t="s">
        <v>95</v>
      </c>
      <c r="I2410">
        <v>1</v>
      </c>
      <c r="J2410">
        <v>1</v>
      </c>
      <c r="K2410" t="s">
        <v>102</v>
      </c>
      <c r="L2410" t="s">
        <v>102</v>
      </c>
      <c r="M2410">
        <v>2025</v>
      </c>
      <c r="N2410" t="s">
        <v>57</v>
      </c>
      <c r="O2410" t="s">
        <v>103</v>
      </c>
      <c r="P2410">
        <v>2</v>
      </c>
      <c r="Q2410">
        <v>2</v>
      </c>
      <c r="R2410">
        <v>0</v>
      </c>
      <c r="S2410" t="s">
        <v>104</v>
      </c>
      <c r="T2410" t="s">
        <v>3998</v>
      </c>
      <c r="U2410">
        <v>31</v>
      </c>
    </row>
    <row r="2411" spans="1:21" x14ac:dyDescent="0.3">
      <c r="A2411" t="s">
        <v>3999</v>
      </c>
      <c r="B2411" t="s">
        <v>4000</v>
      </c>
      <c r="C2411" t="s">
        <v>165</v>
      </c>
      <c r="D2411" t="s">
        <v>222</v>
      </c>
      <c r="E2411" t="s">
        <v>30</v>
      </c>
      <c r="F2411" s="6">
        <v>45473</v>
      </c>
      <c r="G2411">
        <v>100</v>
      </c>
      <c r="H2411">
        <v>100</v>
      </c>
      <c r="I2411">
        <v>1</v>
      </c>
      <c r="J2411">
        <v>1</v>
      </c>
      <c r="K2411" t="s">
        <v>31</v>
      </c>
      <c r="L2411" t="s">
        <v>31</v>
      </c>
      <c r="M2411">
        <v>2024</v>
      </c>
      <c r="N2411" t="s">
        <v>44</v>
      </c>
      <c r="O2411" t="s">
        <v>71</v>
      </c>
      <c r="P2411">
        <v>0</v>
      </c>
      <c r="Q2411">
        <v>0</v>
      </c>
      <c r="R2411">
        <v>0</v>
      </c>
      <c r="S2411" t="s">
        <v>99</v>
      </c>
      <c r="T2411" t="s">
        <v>4001</v>
      </c>
      <c r="U2411">
        <v>1</v>
      </c>
    </row>
    <row r="2412" spans="1:21" x14ac:dyDescent="0.3">
      <c r="A2412" t="s">
        <v>3999</v>
      </c>
      <c r="B2412" t="s">
        <v>4000</v>
      </c>
      <c r="C2412" t="s">
        <v>165</v>
      </c>
      <c r="D2412" t="s">
        <v>222</v>
      </c>
      <c r="E2412" t="s">
        <v>30</v>
      </c>
      <c r="F2412" s="6">
        <v>45657</v>
      </c>
      <c r="G2412">
        <v>100</v>
      </c>
      <c r="H2412">
        <v>94.69</v>
      </c>
      <c r="I2412">
        <v>0.94689999999999996</v>
      </c>
      <c r="J2412">
        <v>0.94689999999999996</v>
      </c>
      <c r="K2412" t="s">
        <v>31</v>
      </c>
      <c r="L2412" t="s">
        <v>31</v>
      </c>
      <c r="M2412">
        <v>2024</v>
      </c>
      <c r="N2412" t="s">
        <v>57</v>
      </c>
      <c r="O2412" t="s">
        <v>78</v>
      </c>
      <c r="P2412">
        <v>0</v>
      </c>
      <c r="Q2412">
        <v>0</v>
      </c>
      <c r="R2412">
        <v>0</v>
      </c>
      <c r="S2412" t="s">
        <v>99</v>
      </c>
      <c r="T2412" t="s">
        <v>4002</v>
      </c>
      <c r="U2412">
        <v>1</v>
      </c>
    </row>
    <row r="2413" spans="1:21" x14ac:dyDescent="0.3">
      <c r="A2413" t="s">
        <v>3999</v>
      </c>
      <c r="B2413" t="s">
        <v>4000</v>
      </c>
      <c r="C2413" t="s">
        <v>165</v>
      </c>
      <c r="D2413" t="s">
        <v>233</v>
      </c>
      <c r="E2413" t="s">
        <v>30</v>
      </c>
      <c r="F2413" s="6">
        <v>45747</v>
      </c>
      <c r="G2413">
        <v>100</v>
      </c>
      <c r="H2413" t="s">
        <v>4003</v>
      </c>
      <c r="I2413">
        <v>1.0625</v>
      </c>
      <c r="J2413">
        <v>1.0625</v>
      </c>
      <c r="K2413" t="s">
        <v>102</v>
      </c>
      <c r="L2413" t="s">
        <v>4004</v>
      </c>
      <c r="M2413">
        <v>2025</v>
      </c>
      <c r="N2413" t="s">
        <v>38</v>
      </c>
      <c r="O2413" t="s">
        <v>244</v>
      </c>
      <c r="P2413">
        <v>2</v>
      </c>
      <c r="Q2413">
        <v>2</v>
      </c>
      <c r="R2413">
        <v>0</v>
      </c>
      <c r="S2413" t="s">
        <v>130</v>
      </c>
      <c r="T2413" t="s">
        <v>4005</v>
      </c>
      <c r="U2413">
        <v>31</v>
      </c>
    </row>
    <row r="2414" spans="1:21" x14ac:dyDescent="0.3">
      <c r="A2414" t="s">
        <v>3999</v>
      </c>
      <c r="B2414" t="s">
        <v>4000</v>
      </c>
      <c r="C2414" t="s">
        <v>165</v>
      </c>
      <c r="D2414" t="s">
        <v>233</v>
      </c>
      <c r="E2414" t="s">
        <v>30</v>
      </c>
      <c r="F2414" s="6">
        <v>45838</v>
      </c>
      <c r="G2414">
        <v>100</v>
      </c>
      <c r="H2414" t="s">
        <v>4006</v>
      </c>
      <c r="I2414">
        <v>1.0411999999999999</v>
      </c>
      <c r="J2414">
        <v>1.0411999999999999</v>
      </c>
      <c r="K2414" t="s">
        <v>102</v>
      </c>
      <c r="L2414" t="s">
        <v>4007</v>
      </c>
      <c r="M2414">
        <v>2025</v>
      </c>
      <c r="N2414" t="s">
        <v>44</v>
      </c>
      <c r="O2414" t="s">
        <v>244</v>
      </c>
      <c r="P2414">
        <v>2</v>
      </c>
      <c r="Q2414">
        <v>2</v>
      </c>
      <c r="R2414">
        <v>0</v>
      </c>
      <c r="S2414" t="s">
        <v>130</v>
      </c>
      <c r="T2414" t="s">
        <v>4008</v>
      </c>
      <c r="U2414">
        <v>30</v>
      </c>
    </row>
    <row r="2415" spans="1:21" x14ac:dyDescent="0.3">
      <c r="A2415" t="s">
        <v>3999</v>
      </c>
      <c r="B2415" t="s">
        <v>4000</v>
      </c>
      <c r="C2415" t="s">
        <v>165</v>
      </c>
      <c r="D2415" t="s">
        <v>233</v>
      </c>
      <c r="E2415" t="s">
        <v>30</v>
      </c>
      <c r="F2415" s="6">
        <v>46022</v>
      </c>
      <c r="G2415">
        <v>100</v>
      </c>
      <c r="I2415">
        <v>0</v>
      </c>
      <c r="J2415">
        <v>0</v>
      </c>
      <c r="K2415" t="s">
        <v>102</v>
      </c>
      <c r="M2415">
        <v>2025</v>
      </c>
      <c r="N2415" t="s">
        <v>57</v>
      </c>
      <c r="O2415" t="s">
        <v>103</v>
      </c>
      <c r="P2415">
        <v>2</v>
      </c>
      <c r="Q2415">
        <v>2</v>
      </c>
      <c r="R2415">
        <v>0</v>
      </c>
      <c r="S2415" t="s">
        <v>130</v>
      </c>
      <c r="T2415" t="s">
        <v>4009</v>
      </c>
      <c r="U2415">
        <v>31</v>
      </c>
    </row>
    <row r="2416" spans="1:21" x14ac:dyDescent="0.3">
      <c r="A2416" t="s">
        <v>4010</v>
      </c>
      <c r="B2416" t="s">
        <v>4011</v>
      </c>
      <c r="C2416" t="s">
        <v>165</v>
      </c>
      <c r="D2416" t="s">
        <v>222</v>
      </c>
      <c r="E2416" t="s">
        <v>30</v>
      </c>
      <c r="F2416" s="6">
        <v>45473</v>
      </c>
      <c r="G2416">
        <v>100</v>
      </c>
      <c r="H2416">
        <v>90</v>
      </c>
      <c r="I2416">
        <v>0.9</v>
      </c>
      <c r="J2416">
        <v>0.9</v>
      </c>
      <c r="K2416" t="s">
        <v>31</v>
      </c>
      <c r="L2416" t="s">
        <v>31</v>
      </c>
      <c r="M2416">
        <v>2024</v>
      </c>
      <c r="N2416" t="s">
        <v>44</v>
      </c>
      <c r="O2416" t="s">
        <v>71</v>
      </c>
      <c r="P2416">
        <v>0</v>
      </c>
      <c r="Q2416">
        <v>0</v>
      </c>
      <c r="R2416">
        <v>0</v>
      </c>
      <c r="S2416" t="s">
        <v>99</v>
      </c>
      <c r="T2416" t="s">
        <v>4012</v>
      </c>
      <c r="U2416">
        <v>1</v>
      </c>
    </row>
    <row r="2417" spans="1:21" x14ac:dyDescent="0.3">
      <c r="A2417" t="s">
        <v>4010</v>
      </c>
      <c r="B2417" t="s">
        <v>4011</v>
      </c>
      <c r="C2417" t="s">
        <v>165</v>
      </c>
      <c r="D2417" t="s">
        <v>222</v>
      </c>
      <c r="E2417" t="s">
        <v>30</v>
      </c>
      <c r="F2417" s="6">
        <v>45657</v>
      </c>
      <c r="G2417">
        <v>100</v>
      </c>
      <c r="H2417">
        <v>70</v>
      </c>
      <c r="I2417">
        <v>0.7</v>
      </c>
      <c r="J2417">
        <v>0.7</v>
      </c>
      <c r="K2417" t="s">
        <v>31</v>
      </c>
      <c r="L2417" t="s">
        <v>31</v>
      </c>
      <c r="M2417">
        <v>2024</v>
      </c>
      <c r="N2417" t="s">
        <v>57</v>
      </c>
      <c r="O2417" t="s">
        <v>78</v>
      </c>
      <c r="P2417">
        <v>0</v>
      </c>
      <c r="Q2417">
        <v>0</v>
      </c>
      <c r="R2417">
        <v>0</v>
      </c>
      <c r="S2417" t="s">
        <v>99</v>
      </c>
      <c r="T2417" t="s">
        <v>4013</v>
      </c>
      <c r="U2417">
        <v>1</v>
      </c>
    </row>
    <row r="2418" spans="1:21" x14ac:dyDescent="0.3">
      <c r="A2418" t="s">
        <v>4010</v>
      </c>
      <c r="B2418" t="s">
        <v>4011</v>
      </c>
      <c r="C2418" t="s">
        <v>165</v>
      </c>
      <c r="D2418" t="s">
        <v>233</v>
      </c>
      <c r="E2418" t="s">
        <v>30</v>
      </c>
      <c r="F2418" s="6">
        <v>45747</v>
      </c>
      <c r="G2418">
        <v>100</v>
      </c>
      <c r="H2418" t="s">
        <v>1039</v>
      </c>
      <c r="I2418">
        <v>1.3</v>
      </c>
      <c r="J2418">
        <v>2</v>
      </c>
      <c r="K2418" t="s">
        <v>102</v>
      </c>
      <c r="L2418" t="s">
        <v>2396</v>
      </c>
      <c r="M2418">
        <v>2025</v>
      </c>
      <c r="N2418" t="s">
        <v>38</v>
      </c>
      <c r="O2418" t="s">
        <v>244</v>
      </c>
      <c r="P2418">
        <v>2</v>
      </c>
      <c r="Q2418">
        <v>2</v>
      </c>
      <c r="R2418">
        <v>0</v>
      </c>
      <c r="S2418" t="s">
        <v>130</v>
      </c>
      <c r="T2418" t="s">
        <v>4014</v>
      </c>
      <c r="U2418">
        <v>31</v>
      </c>
    </row>
    <row r="2419" spans="1:21" x14ac:dyDescent="0.3">
      <c r="A2419" t="s">
        <v>4010</v>
      </c>
      <c r="B2419" t="s">
        <v>4011</v>
      </c>
      <c r="C2419" t="s">
        <v>165</v>
      </c>
      <c r="D2419" t="s">
        <v>233</v>
      </c>
      <c r="E2419" t="s">
        <v>30</v>
      </c>
      <c r="F2419" s="6">
        <v>45838</v>
      </c>
      <c r="G2419">
        <v>100</v>
      </c>
      <c r="H2419" t="s">
        <v>901</v>
      </c>
      <c r="I2419">
        <v>0.83329999999999993</v>
      </c>
      <c r="J2419">
        <v>0.83329999999999993</v>
      </c>
      <c r="K2419" t="s">
        <v>102</v>
      </c>
      <c r="L2419" t="s">
        <v>902</v>
      </c>
      <c r="M2419">
        <v>2025</v>
      </c>
      <c r="N2419" t="s">
        <v>44</v>
      </c>
      <c r="O2419" t="s">
        <v>244</v>
      </c>
      <c r="P2419">
        <v>2</v>
      </c>
      <c r="Q2419">
        <v>2</v>
      </c>
      <c r="R2419">
        <v>0</v>
      </c>
      <c r="S2419" t="s">
        <v>130</v>
      </c>
      <c r="T2419" t="s">
        <v>4015</v>
      </c>
      <c r="U2419">
        <v>30</v>
      </c>
    </row>
    <row r="2420" spans="1:21" x14ac:dyDescent="0.3">
      <c r="A2420" t="s">
        <v>4010</v>
      </c>
      <c r="B2420" t="s">
        <v>4011</v>
      </c>
      <c r="C2420" t="s">
        <v>165</v>
      </c>
      <c r="D2420" t="s">
        <v>233</v>
      </c>
      <c r="E2420" t="s">
        <v>30</v>
      </c>
      <c r="F2420" s="6">
        <v>46022</v>
      </c>
      <c r="G2420">
        <v>100</v>
      </c>
      <c r="I2420">
        <v>0</v>
      </c>
      <c r="J2420">
        <v>0</v>
      </c>
      <c r="K2420" t="s">
        <v>102</v>
      </c>
      <c r="M2420">
        <v>2025</v>
      </c>
      <c r="N2420" t="s">
        <v>57</v>
      </c>
      <c r="O2420" t="s">
        <v>103</v>
      </c>
      <c r="P2420">
        <v>2</v>
      </c>
      <c r="Q2420">
        <v>2</v>
      </c>
      <c r="R2420">
        <v>0</v>
      </c>
      <c r="S2420" t="s">
        <v>130</v>
      </c>
      <c r="T2420" t="s">
        <v>4016</v>
      </c>
      <c r="U2420">
        <v>31</v>
      </c>
    </row>
    <row r="2421" spans="1:21" x14ac:dyDescent="0.3">
      <c r="A2421" t="s">
        <v>4017</v>
      </c>
      <c r="B2421" t="s">
        <v>4018</v>
      </c>
      <c r="C2421" t="s">
        <v>165</v>
      </c>
      <c r="D2421" t="s">
        <v>222</v>
      </c>
      <c r="E2421" t="s">
        <v>30</v>
      </c>
      <c r="F2421" s="6">
        <v>45473</v>
      </c>
      <c r="H2421">
        <v>4900000</v>
      </c>
      <c r="M2421">
        <v>2024</v>
      </c>
      <c r="N2421" t="s">
        <v>44</v>
      </c>
      <c r="O2421" t="s">
        <v>71</v>
      </c>
      <c r="P2421">
        <v>0</v>
      </c>
      <c r="Q2421">
        <v>0</v>
      </c>
      <c r="R2421">
        <v>0</v>
      </c>
      <c r="S2421" t="s">
        <v>99</v>
      </c>
      <c r="T2421" t="s">
        <v>4019</v>
      </c>
      <c r="U2421">
        <v>1</v>
      </c>
    </row>
    <row r="2422" spans="1:21" x14ac:dyDescent="0.3">
      <c r="A2422" t="s">
        <v>4020</v>
      </c>
      <c r="B2422" t="s">
        <v>4021</v>
      </c>
      <c r="C2422" t="s">
        <v>3093</v>
      </c>
      <c r="D2422" t="s">
        <v>233</v>
      </c>
      <c r="E2422" t="s">
        <v>30</v>
      </c>
      <c r="F2422" s="6">
        <v>45382</v>
      </c>
      <c r="M2422">
        <v>2024</v>
      </c>
      <c r="N2422" t="s">
        <v>38</v>
      </c>
      <c r="O2422" t="s">
        <v>71</v>
      </c>
      <c r="P2422">
        <v>0</v>
      </c>
      <c r="Q2422">
        <v>0</v>
      </c>
      <c r="R2422">
        <v>0</v>
      </c>
      <c r="S2422" t="s">
        <v>99</v>
      </c>
      <c r="T2422" t="s">
        <v>4022</v>
      </c>
      <c r="U2422">
        <v>1</v>
      </c>
    </row>
    <row r="2423" spans="1:21" x14ac:dyDescent="0.3">
      <c r="A2423" t="s">
        <v>4020</v>
      </c>
      <c r="B2423" t="s">
        <v>4021</v>
      </c>
      <c r="C2423" t="s">
        <v>3093</v>
      </c>
      <c r="D2423" t="s">
        <v>233</v>
      </c>
      <c r="E2423" t="s">
        <v>30</v>
      </c>
      <c r="F2423" s="6">
        <v>45473</v>
      </c>
      <c r="G2423">
        <v>100</v>
      </c>
      <c r="H2423">
        <v>130.43</v>
      </c>
      <c r="I2423">
        <v>1.3</v>
      </c>
      <c r="J2423">
        <v>1.3043</v>
      </c>
      <c r="M2423">
        <v>2024</v>
      </c>
      <c r="N2423" t="s">
        <v>44</v>
      </c>
      <c r="O2423" t="s">
        <v>71</v>
      </c>
      <c r="P2423">
        <v>0</v>
      </c>
      <c r="Q2423">
        <v>0</v>
      </c>
      <c r="R2423">
        <v>0</v>
      </c>
      <c r="S2423" t="s">
        <v>99</v>
      </c>
      <c r="T2423" t="s">
        <v>4023</v>
      </c>
      <c r="U2423">
        <v>1</v>
      </c>
    </row>
    <row r="2424" spans="1:21" x14ac:dyDescent="0.3">
      <c r="A2424" t="s">
        <v>4020</v>
      </c>
      <c r="B2424" t="s">
        <v>4021</v>
      </c>
      <c r="C2424" t="s">
        <v>3093</v>
      </c>
      <c r="D2424" t="s">
        <v>233</v>
      </c>
      <c r="E2424" t="s">
        <v>30</v>
      </c>
      <c r="F2424" s="6">
        <v>45565</v>
      </c>
      <c r="G2424">
        <v>100</v>
      </c>
      <c r="H2424">
        <v>147.83000000000001</v>
      </c>
      <c r="I2424">
        <v>1.3</v>
      </c>
      <c r="J2424">
        <v>1.4782999999999999</v>
      </c>
      <c r="M2424">
        <v>2024</v>
      </c>
      <c r="N2424" t="s">
        <v>51</v>
      </c>
      <c r="O2424" t="s">
        <v>78</v>
      </c>
      <c r="P2424">
        <v>0</v>
      </c>
      <c r="Q2424">
        <v>0</v>
      </c>
      <c r="R2424">
        <v>0</v>
      </c>
      <c r="S2424" t="s">
        <v>99</v>
      </c>
      <c r="T2424" t="s">
        <v>4024</v>
      </c>
      <c r="U2424">
        <v>1</v>
      </c>
    </row>
    <row r="2425" spans="1:21" x14ac:dyDescent="0.3">
      <c r="A2425" t="s">
        <v>4020</v>
      </c>
      <c r="B2425" t="s">
        <v>4021</v>
      </c>
      <c r="C2425" t="s">
        <v>3093</v>
      </c>
      <c r="D2425" t="s">
        <v>233</v>
      </c>
      <c r="E2425" t="s">
        <v>30</v>
      </c>
      <c r="F2425" s="6">
        <v>45657</v>
      </c>
      <c r="G2425">
        <v>100</v>
      </c>
      <c r="I2425">
        <v>0</v>
      </c>
      <c r="J2425">
        <v>0</v>
      </c>
      <c r="M2425">
        <v>2024</v>
      </c>
      <c r="N2425" t="s">
        <v>57</v>
      </c>
      <c r="O2425" t="s">
        <v>78</v>
      </c>
      <c r="P2425">
        <v>0</v>
      </c>
      <c r="Q2425">
        <v>0</v>
      </c>
      <c r="R2425">
        <v>0</v>
      </c>
      <c r="S2425" t="s">
        <v>99</v>
      </c>
      <c r="T2425" t="s">
        <v>4025</v>
      </c>
      <c r="U2425">
        <v>1</v>
      </c>
    </row>
    <row r="2426" spans="1:21" x14ac:dyDescent="0.3">
      <c r="A2426" t="s">
        <v>4026</v>
      </c>
      <c r="B2426" t="s">
        <v>4027</v>
      </c>
      <c r="C2426" t="s">
        <v>262</v>
      </c>
      <c r="D2426" t="s">
        <v>98</v>
      </c>
      <c r="E2426" t="s">
        <v>30</v>
      </c>
      <c r="F2426" s="6">
        <v>45657</v>
      </c>
      <c r="G2426">
        <v>80</v>
      </c>
      <c r="H2426">
        <v>91.44</v>
      </c>
      <c r="I2426">
        <v>1.143</v>
      </c>
      <c r="J2426">
        <v>1.143</v>
      </c>
      <c r="M2426">
        <v>2024</v>
      </c>
      <c r="N2426" t="s">
        <v>57</v>
      </c>
      <c r="O2426" t="s">
        <v>78</v>
      </c>
      <c r="P2426">
        <v>0</v>
      </c>
      <c r="Q2426">
        <v>0</v>
      </c>
      <c r="R2426">
        <v>0</v>
      </c>
      <c r="S2426" t="s">
        <v>99</v>
      </c>
      <c r="T2426" t="s">
        <v>4028</v>
      </c>
      <c r="U2426">
        <v>1</v>
      </c>
    </row>
    <row r="2427" spans="1:21" x14ac:dyDescent="0.3">
      <c r="A2427" t="s">
        <v>4026</v>
      </c>
      <c r="B2427" t="s">
        <v>4027</v>
      </c>
      <c r="C2427" t="s">
        <v>262</v>
      </c>
      <c r="D2427" t="s">
        <v>98</v>
      </c>
      <c r="E2427" t="s">
        <v>30</v>
      </c>
      <c r="F2427" s="6">
        <v>46022</v>
      </c>
      <c r="G2427">
        <v>80</v>
      </c>
      <c r="H2427" t="s">
        <v>2004</v>
      </c>
      <c r="I2427">
        <v>1.0522499999999999</v>
      </c>
      <c r="J2427">
        <v>1.0522499999999999</v>
      </c>
      <c r="K2427" t="s">
        <v>193</v>
      </c>
      <c r="L2427" t="s">
        <v>2005</v>
      </c>
      <c r="M2427">
        <v>2025</v>
      </c>
      <c r="N2427" t="s">
        <v>57</v>
      </c>
      <c r="O2427" t="s">
        <v>103</v>
      </c>
      <c r="P2427">
        <v>2</v>
      </c>
      <c r="Q2427">
        <v>2</v>
      </c>
      <c r="R2427">
        <v>1</v>
      </c>
      <c r="S2427" t="s">
        <v>34</v>
      </c>
      <c r="T2427" t="s">
        <v>4029</v>
      </c>
      <c r="U2427">
        <v>31</v>
      </c>
    </row>
    <row r="2428" spans="1:21" x14ac:dyDescent="0.3">
      <c r="A2428" t="s">
        <v>4030</v>
      </c>
      <c r="B2428" t="s">
        <v>4031</v>
      </c>
      <c r="C2428" t="s">
        <v>842</v>
      </c>
      <c r="D2428" t="s">
        <v>222</v>
      </c>
      <c r="E2428" t="s">
        <v>30</v>
      </c>
      <c r="F2428" s="6">
        <v>45473</v>
      </c>
      <c r="G2428">
        <v>85</v>
      </c>
      <c r="H2428">
        <v>100</v>
      </c>
      <c r="I2428">
        <v>1.1764705882352939</v>
      </c>
      <c r="J2428">
        <v>1.1764705882352939</v>
      </c>
      <c r="M2428">
        <v>2024</v>
      </c>
      <c r="N2428" t="s">
        <v>44</v>
      </c>
      <c r="O2428" t="s">
        <v>71</v>
      </c>
      <c r="P2428">
        <v>0</v>
      </c>
      <c r="Q2428">
        <v>0</v>
      </c>
      <c r="R2428">
        <v>0</v>
      </c>
      <c r="S2428" t="s">
        <v>99</v>
      </c>
      <c r="T2428" t="s">
        <v>4032</v>
      </c>
      <c r="U2428">
        <v>1</v>
      </c>
    </row>
    <row r="2429" spans="1:21" x14ac:dyDescent="0.3">
      <c r="A2429" t="s">
        <v>4030</v>
      </c>
      <c r="B2429" t="s">
        <v>4031</v>
      </c>
      <c r="C2429" t="s">
        <v>842</v>
      </c>
      <c r="D2429" t="s">
        <v>222</v>
      </c>
      <c r="E2429" t="s">
        <v>30</v>
      </c>
      <c r="F2429" s="6">
        <v>45657</v>
      </c>
      <c r="G2429">
        <v>85</v>
      </c>
      <c r="H2429">
        <v>100</v>
      </c>
      <c r="I2429">
        <v>1.1764705882352939</v>
      </c>
      <c r="J2429">
        <v>1.1764705882352939</v>
      </c>
      <c r="M2429">
        <v>2024</v>
      </c>
      <c r="N2429" t="s">
        <v>57</v>
      </c>
      <c r="O2429" t="s">
        <v>78</v>
      </c>
      <c r="P2429">
        <v>0</v>
      </c>
      <c r="Q2429">
        <v>0</v>
      </c>
      <c r="R2429">
        <v>0</v>
      </c>
      <c r="S2429" t="s">
        <v>99</v>
      </c>
      <c r="T2429" t="s">
        <v>4033</v>
      </c>
      <c r="U2429">
        <v>1</v>
      </c>
    </row>
    <row r="2430" spans="1:21" x14ac:dyDescent="0.3">
      <c r="A2430" t="s">
        <v>4034</v>
      </c>
      <c r="B2430" t="s">
        <v>4035</v>
      </c>
      <c r="C2430" t="s">
        <v>262</v>
      </c>
      <c r="D2430" t="s">
        <v>222</v>
      </c>
      <c r="E2430" t="s">
        <v>30</v>
      </c>
      <c r="F2430" s="6">
        <v>45473</v>
      </c>
      <c r="G2430">
        <v>100</v>
      </c>
      <c r="H2430">
        <v>95</v>
      </c>
      <c r="I2430">
        <v>0.95</v>
      </c>
      <c r="J2430">
        <v>0.95</v>
      </c>
      <c r="K2430" t="s">
        <v>31</v>
      </c>
      <c r="L2430" t="s">
        <v>31</v>
      </c>
      <c r="M2430">
        <v>2024</v>
      </c>
      <c r="N2430" t="s">
        <v>44</v>
      </c>
      <c r="O2430" t="s">
        <v>71</v>
      </c>
      <c r="P2430">
        <v>0</v>
      </c>
      <c r="Q2430">
        <v>0</v>
      </c>
      <c r="R2430">
        <v>0</v>
      </c>
      <c r="S2430" t="s">
        <v>99</v>
      </c>
      <c r="T2430" t="s">
        <v>4036</v>
      </c>
      <c r="U2430">
        <v>1</v>
      </c>
    </row>
    <row r="2431" spans="1:21" x14ac:dyDescent="0.3">
      <c r="A2431" t="s">
        <v>4034</v>
      </c>
      <c r="B2431" t="s">
        <v>4035</v>
      </c>
      <c r="C2431" t="s">
        <v>262</v>
      </c>
      <c r="D2431" t="s">
        <v>222</v>
      </c>
      <c r="E2431" t="s">
        <v>30</v>
      </c>
      <c r="F2431" s="6">
        <v>45657</v>
      </c>
      <c r="G2431">
        <v>100</v>
      </c>
      <c r="H2431">
        <v>100</v>
      </c>
      <c r="I2431">
        <v>1</v>
      </c>
      <c r="J2431">
        <v>1</v>
      </c>
      <c r="K2431" t="s">
        <v>31</v>
      </c>
      <c r="L2431" t="s">
        <v>31</v>
      </c>
      <c r="M2431">
        <v>2024</v>
      </c>
      <c r="N2431" t="s">
        <v>57</v>
      </c>
      <c r="O2431" t="s">
        <v>78</v>
      </c>
      <c r="P2431">
        <v>0</v>
      </c>
      <c r="Q2431">
        <v>0</v>
      </c>
      <c r="R2431">
        <v>0</v>
      </c>
      <c r="S2431" t="s">
        <v>99</v>
      </c>
      <c r="T2431" t="s">
        <v>4037</v>
      </c>
      <c r="U2431">
        <v>1</v>
      </c>
    </row>
    <row r="2432" spans="1:21" x14ac:dyDescent="0.3">
      <c r="A2432" t="s">
        <v>4038</v>
      </c>
      <c r="B2432" t="s">
        <v>4039</v>
      </c>
      <c r="C2432" t="s">
        <v>2619</v>
      </c>
      <c r="D2432" t="s">
        <v>222</v>
      </c>
      <c r="E2432" t="s">
        <v>30</v>
      </c>
      <c r="F2432" s="6">
        <v>45473</v>
      </c>
      <c r="G2432">
        <v>75</v>
      </c>
      <c r="H2432">
        <v>57.86</v>
      </c>
      <c r="I2432">
        <v>0.77146666666666663</v>
      </c>
      <c r="J2432">
        <v>0.77146666666666663</v>
      </c>
      <c r="K2432" t="s">
        <v>31</v>
      </c>
      <c r="L2432" t="s">
        <v>31</v>
      </c>
      <c r="M2432">
        <v>2024</v>
      </c>
      <c r="N2432" t="s">
        <v>44</v>
      </c>
      <c r="O2432" t="s">
        <v>71</v>
      </c>
      <c r="P2432">
        <v>0</v>
      </c>
      <c r="Q2432">
        <v>0</v>
      </c>
      <c r="R2432">
        <v>0</v>
      </c>
      <c r="S2432" t="s">
        <v>99</v>
      </c>
      <c r="T2432" t="s">
        <v>4040</v>
      </c>
      <c r="U2432">
        <v>1</v>
      </c>
    </row>
    <row r="2433" spans="1:21" x14ac:dyDescent="0.3">
      <c r="A2433" t="s">
        <v>4038</v>
      </c>
      <c r="B2433" t="s">
        <v>4039</v>
      </c>
      <c r="C2433" t="s">
        <v>2619</v>
      </c>
      <c r="D2433" t="s">
        <v>222</v>
      </c>
      <c r="E2433" t="s">
        <v>30</v>
      </c>
      <c r="F2433" s="6">
        <v>45657</v>
      </c>
      <c r="G2433">
        <v>100</v>
      </c>
      <c r="H2433">
        <v>56.83</v>
      </c>
      <c r="I2433">
        <v>0.56830000000000003</v>
      </c>
      <c r="J2433">
        <v>0.56830000000000003</v>
      </c>
      <c r="M2433">
        <v>2024</v>
      </c>
      <c r="N2433" t="s">
        <v>57</v>
      </c>
      <c r="O2433" t="s">
        <v>78</v>
      </c>
      <c r="P2433">
        <v>0</v>
      </c>
      <c r="Q2433">
        <v>0</v>
      </c>
      <c r="R2433">
        <v>0</v>
      </c>
      <c r="S2433" t="s">
        <v>99</v>
      </c>
      <c r="T2433" t="s">
        <v>4041</v>
      </c>
      <c r="U2433">
        <v>1</v>
      </c>
    </row>
    <row r="2434" spans="1:21" x14ac:dyDescent="0.3">
      <c r="A2434" t="s">
        <v>4042</v>
      </c>
      <c r="B2434" t="s">
        <v>4043</v>
      </c>
      <c r="C2434" t="s">
        <v>1988</v>
      </c>
      <c r="D2434" t="s">
        <v>222</v>
      </c>
      <c r="E2434" t="s">
        <v>30</v>
      </c>
      <c r="F2434" s="6">
        <v>45473</v>
      </c>
      <c r="G2434">
        <v>50</v>
      </c>
      <c r="H2434">
        <v>59.6</v>
      </c>
      <c r="I2434">
        <v>1.1919999999999999</v>
      </c>
      <c r="J2434">
        <v>1.1919999999999999</v>
      </c>
      <c r="K2434" t="s">
        <v>118</v>
      </c>
      <c r="L2434" t="s">
        <v>118</v>
      </c>
      <c r="M2434">
        <v>2024</v>
      </c>
      <c r="N2434" t="s">
        <v>44</v>
      </c>
      <c r="O2434" t="s">
        <v>71</v>
      </c>
      <c r="P2434">
        <v>0</v>
      </c>
      <c r="Q2434">
        <v>1</v>
      </c>
      <c r="R2434">
        <v>0</v>
      </c>
      <c r="S2434" t="s">
        <v>99</v>
      </c>
      <c r="T2434" t="s">
        <v>4044</v>
      </c>
      <c r="U2434">
        <v>1</v>
      </c>
    </row>
    <row r="2435" spans="1:21" x14ac:dyDescent="0.3">
      <c r="A2435" t="s">
        <v>4042</v>
      </c>
      <c r="B2435" t="s">
        <v>4043</v>
      </c>
      <c r="C2435" t="s">
        <v>1988</v>
      </c>
      <c r="D2435" t="s">
        <v>222</v>
      </c>
      <c r="E2435" t="s">
        <v>30</v>
      </c>
      <c r="F2435" s="6">
        <v>45657</v>
      </c>
      <c r="G2435">
        <v>50</v>
      </c>
      <c r="H2435">
        <v>53.8</v>
      </c>
      <c r="I2435">
        <v>1.0760000000000001</v>
      </c>
      <c r="J2435">
        <v>1.0760000000000001</v>
      </c>
      <c r="K2435" t="s">
        <v>118</v>
      </c>
      <c r="L2435" t="s">
        <v>109</v>
      </c>
      <c r="M2435">
        <v>2024</v>
      </c>
      <c r="N2435" t="s">
        <v>57</v>
      </c>
      <c r="O2435" t="s">
        <v>78</v>
      </c>
      <c r="P2435">
        <v>0</v>
      </c>
      <c r="Q2435">
        <v>1</v>
      </c>
      <c r="R2435">
        <v>0</v>
      </c>
      <c r="S2435" t="s">
        <v>99</v>
      </c>
      <c r="T2435" t="s">
        <v>4045</v>
      </c>
      <c r="U2435">
        <v>1</v>
      </c>
    </row>
    <row r="2436" spans="1:21" x14ac:dyDescent="0.3">
      <c r="A2436" t="s">
        <v>4042</v>
      </c>
      <c r="B2436" t="s">
        <v>4043</v>
      </c>
      <c r="C2436" t="s">
        <v>1988</v>
      </c>
      <c r="D2436" t="s">
        <v>222</v>
      </c>
      <c r="E2436" t="s">
        <v>30</v>
      </c>
      <c r="F2436" s="6">
        <v>45838</v>
      </c>
      <c r="G2436">
        <v>100</v>
      </c>
      <c r="H2436" t="s">
        <v>424</v>
      </c>
      <c r="I2436">
        <v>0</v>
      </c>
      <c r="J2436">
        <v>0</v>
      </c>
      <c r="K2436" t="s">
        <v>102</v>
      </c>
      <c r="M2436">
        <v>2025</v>
      </c>
      <c r="N2436" t="s">
        <v>44</v>
      </c>
      <c r="O2436" t="s">
        <v>244</v>
      </c>
      <c r="P2436">
        <v>2</v>
      </c>
      <c r="Q2436">
        <v>2</v>
      </c>
      <c r="R2436">
        <v>1</v>
      </c>
      <c r="S2436" t="s">
        <v>130</v>
      </c>
      <c r="T2436" t="s">
        <v>4046</v>
      </c>
      <c r="U2436">
        <v>30</v>
      </c>
    </row>
    <row r="2437" spans="1:21" x14ac:dyDescent="0.3">
      <c r="A2437" t="s">
        <v>4042</v>
      </c>
      <c r="B2437" t="s">
        <v>4043</v>
      </c>
      <c r="C2437" t="s">
        <v>1988</v>
      </c>
      <c r="D2437" t="s">
        <v>222</v>
      </c>
      <c r="E2437" t="s">
        <v>30</v>
      </c>
      <c r="F2437" s="6">
        <v>46022</v>
      </c>
      <c r="G2437">
        <v>100</v>
      </c>
      <c r="H2437" t="s">
        <v>4047</v>
      </c>
      <c r="I2437">
        <v>1.0654999999999999</v>
      </c>
      <c r="J2437">
        <v>1.0654999999999999</v>
      </c>
      <c r="K2437" t="s">
        <v>102</v>
      </c>
      <c r="L2437" t="s">
        <v>4048</v>
      </c>
      <c r="M2437">
        <v>2025</v>
      </c>
      <c r="N2437" t="s">
        <v>57</v>
      </c>
      <c r="O2437" t="s">
        <v>103</v>
      </c>
      <c r="P2437">
        <v>2</v>
      </c>
      <c r="Q2437">
        <v>2</v>
      </c>
      <c r="R2437">
        <v>1</v>
      </c>
      <c r="S2437" t="s">
        <v>130</v>
      </c>
      <c r="T2437" t="s">
        <v>4049</v>
      </c>
      <c r="U2437">
        <v>31</v>
      </c>
    </row>
    <row r="2438" spans="1:21" x14ac:dyDescent="0.3">
      <c r="A2438" t="s">
        <v>4050</v>
      </c>
      <c r="B2438" t="s">
        <v>4051</v>
      </c>
      <c r="C2438" t="s">
        <v>1988</v>
      </c>
      <c r="D2438" t="s">
        <v>222</v>
      </c>
      <c r="E2438" t="s">
        <v>30</v>
      </c>
      <c r="F2438" s="6">
        <v>45473</v>
      </c>
      <c r="G2438">
        <v>60</v>
      </c>
      <c r="H2438">
        <v>72.75</v>
      </c>
      <c r="I2438">
        <v>1.2124999999999999</v>
      </c>
      <c r="J2438">
        <v>1.2124999999999999</v>
      </c>
      <c r="K2438" t="s">
        <v>118</v>
      </c>
      <c r="L2438" t="s">
        <v>109</v>
      </c>
      <c r="M2438">
        <v>2024</v>
      </c>
      <c r="N2438" t="s">
        <v>44</v>
      </c>
      <c r="O2438" t="s">
        <v>71</v>
      </c>
      <c r="P2438">
        <v>0</v>
      </c>
      <c r="Q2438">
        <v>1</v>
      </c>
      <c r="R2438">
        <v>0</v>
      </c>
      <c r="S2438" t="s">
        <v>99</v>
      </c>
      <c r="T2438" t="s">
        <v>4052</v>
      </c>
      <c r="U2438">
        <v>1</v>
      </c>
    </row>
    <row r="2439" spans="1:21" x14ac:dyDescent="0.3">
      <c r="A2439" t="s">
        <v>4050</v>
      </c>
      <c r="B2439" t="s">
        <v>4051</v>
      </c>
      <c r="C2439" t="s">
        <v>1988</v>
      </c>
      <c r="D2439" t="s">
        <v>222</v>
      </c>
      <c r="E2439" t="s">
        <v>30</v>
      </c>
      <c r="F2439" s="6">
        <v>45657</v>
      </c>
      <c r="G2439">
        <v>60</v>
      </c>
      <c r="H2439">
        <v>73.099999999999994</v>
      </c>
      <c r="I2439">
        <v>1.218333333333333</v>
      </c>
      <c r="J2439">
        <v>1.218333333333333</v>
      </c>
      <c r="K2439" t="s">
        <v>118</v>
      </c>
      <c r="L2439" t="s">
        <v>109</v>
      </c>
      <c r="M2439">
        <v>2024</v>
      </c>
      <c r="N2439" t="s">
        <v>57</v>
      </c>
      <c r="O2439" t="s">
        <v>78</v>
      </c>
      <c r="P2439">
        <v>0</v>
      </c>
      <c r="Q2439">
        <v>1</v>
      </c>
      <c r="R2439">
        <v>0</v>
      </c>
      <c r="S2439" t="s">
        <v>99</v>
      </c>
      <c r="T2439" t="s">
        <v>4053</v>
      </c>
      <c r="U2439">
        <v>1</v>
      </c>
    </row>
    <row r="2440" spans="1:21" x14ac:dyDescent="0.3">
      <c r="A2440" t="s">
        <v>4050</v>
      </c>
      <c r="B2440" t="s">
        <v>4051</v>
      </c>
      <c r="C2440" t="s">
        <v>1988</v>
      </c>
      <c r="D2440" t="s">
        <v>222</v>
      </c>
      <c r="E2440" t="s">
        <v>30</v>
      </c>
      <c r="F2440" s="6">
        <v>45838</v>
      </c>
      <c r="G2440">
        <v>100</v>
      </c>
      <c r="H2440" t="s">
        <v>304</v>
      </c>
      <c r="I2440">
        <v>1.18</v>
      </c>
      <c r="J2440">
        <v>1.18</v>
      </c>
      <c r="K2440" t="s">
        <v>102</v>
      </c>
      <c r="L2440" t="s">
        <v>4054</v>
      </c>
      <c r="M2440">
        <v>2025</v>
      </c>
      <c r="N2440" t="s">
        <v>44</v>
      </c>
      <c r="O2440" t="s">
        <v>244</v>
      </c>
      <c r="P2440">
        <v>2</v>
      </c>
      <c r="Q2440">
        <v>2</v>
      </c>
      <c r="R2440">
        <v>0</v>
      </c>
      <c r="S2440" t="s">
        <v>130</v>
      </c>
      <c r="T2440" t="s">
        <v>4055</v>
      </c>
      <c r="U2440">
        <v>30</v>
      </c>
    </row>
    <row r="2441" spans="1:21" x14ac:dyDescent="0.3">
      <c r="A2441" t="s">
        <v>4050</v>
      </c>
      <c r="B2441" t="s">
        <v>4051</v>
      </c>
      <c r="C2441" t="s">
        <v>1988</v>
      </c>
      <c r="D2441" t="s">
        <v>222</v>
      </c>
      <c r="E2441" t="s">
        <v>30</v>
      </c>
      <c r="F2441" s="6">
        <v>46022</v>
      </c>
      <c r="G2441">
        <v>100</v>
      </c>
      <c r="H2441" t="s">
        <v>4056</v>
      </c>
      <c r="I2441">
        <v>0.995</v>
      </c>
      <c r="J2441">
        <v>0.995</v>
      </c>
      <c r="K2441" t="s">
        <v>102</v>
      </c>
      <c r="L2441" t="s">
        <v>4057</v>
      </c>
      <c r="M2441">
        <v>2025</v>
      </c>
      <c r="N2441" t="s">
        <v>57</v>
      </c>
      <c r="O2441" t="s">
        <v>103</v>
      </c>
      <c r="P2441">
        <v>2</v>
      </c>
      <c r="Q2441">
        <v>2</v>
      </c>
      <c r="R2441">
        <v>0</v>
      </c>
      <c r="S2441" t="s">
        <v>130</v>
      </c>
      <c r="T2441" t="s">
        <v>4058</v>
      </c>
      <c r="U2441">
        <v>31</v>
      </c>
    </row>
    <row r="2442" spans="1:21" x14ac:dyDescent="0.3">
      <c r="A2442" t="s">
        <v>4059</v>
      </c>
      <c r="B2442" t="s">
        <v>4060</v>
      </c>
      <c r="C2442" t="s">
        <v>1988</v>
      </c>
      <c r="D2442" t="s">
        <v>222</v>
      </c>
      <c r="E2442" t="s">
        <v>108</v>
      </c>
      <c r="F2442" s="6">
        <v>45473</v>
      </c>
      <c r="G2442">
        <v>3</v>
      </c>
      <c r="H2442">
        <v>2.85</v>
      </c>
      <c r="I2442">
        <v>1.0526315789473679</v>
      </c>
      <c r="J2442">
        <v>1.0526315789473679</v>
      </c>
      <c r="K2442" t="s">
        <v>118</v>
      </c>
      <c r="L2442" t="s">
        <v>109</v>
      </c>
      <c r="M2442">
        <v>2024</v>
      </c>
      <c r="N2442" t="s">
        <v>44</v>
      </c>
      <c r="O2442" t="s">
        <v>71</v>
      </c>
      <c r="P2442">
        <v>0</v>
      </c>
      <c r="Q2442">
        <v>1</v>
      </c>
      <c r="R2442">
        <v>0</v>
      </c>
      <c r="S2442" t="s">
        <v>99</v>
      </c>
      <c r="T2442" t="s">
        <v>4061</v>
      </c>
      <c r="U2442">
        <v>1</v>
      </c>
    </row>
    <row r="2443" spans="1:21" x14ac:dyDescent="0.3">
      <c r="A2443" t="s">
        <v>4059</v>
      </c>
      <c r="B2443" t="s">
        <v>4060</v>
      </c>
      <c r="C2443" t="s">
        <v>1988</v>
      </c>
      <c r="D2443" t="s">
        <v>222</v>
      </c>
      <c r="E2443" t="s">
        <v>108</v>
      </c>
      <c r="F2443" s="6">
        <v>45657</v>
      </c>
      <c r="G2443">
        <v>3</v>
      </c>
      <c r="H2443">
        <v>2.6</v>
      </c>
      <c r="I2443">
        <v>1.153846153846154</v>
      </c>
      <c r="J2443">
        <v>1.153846153846154</v>
      </c>
      <c r="K2443" t="s">
        <v>118</v>
      </c>
      <c r="L2443" t="s">
        <v>109</v>
      </c>
      <c r="M2443">
        <v>2024</v>
      </c>
      <c r="N2443" t="s">
        <v>57</v>
      </c>
      <c r="O2443" t="s">
        <v>78</v>
      </c>
      <c r="P2443">
        <v>0</v>
      </c>
      <c r="Q2443">
        <v>1</v>
      </c>
      <c r="R2443">
        <v>0</v>
      </c>
      <c r="S2443" t="s">
        <v>99</v>
      </c>
      <c r="T2443" t="s">
        <v>4062</v>
      </c>
      <c r="U2443">
        <v>1</v>
      </c>
    </row>
    <row r="2444" spans="1:21" x14ac:dyDescent="0.3">
      <c r="A2444" t="s">
        <v>4059</v>
      </c>
      <c r="B2444" t="s">
        <v>4060</v>
      </c>
      <c r="C2444" t="s">
        <v>1988</v>
      </c>
      <c r="D2444" t="s">
        <v>222</v>
      </c>
      <c r="E2444" t="s">
        <v>108</v>
      </c>
      <c r="F2444" s="6">
        <v>45838</v>
      </c>
      <c r="G2444">
        <v>2.5</v>
      </c>
      <c r="H2444" t="s">
        <v>4063</v>
      </c>
      <c r="I2444">
        <v>1.041666666666667</v>
      </c>
      <c r="J2444">
        <v>1.041666666666667</v>
      </c>
      <c r="K2444" t="s">
        <v>4064</v>
      </c>
      <c r="L2444" t="s">
        <v>4065</v>
      </c>
      <c r="M2444">
        <v>2025</v>
      </c>
      <c r="N2444" t="s">
        <v>44</v>
      </c>
      <c r="O2444" t="s">
        <v>244</v>
      </c>
      <c r="P2444">
        <v>2</v>
      </c>
      <c r="Q2444">
        <v>2</v>
      </c>
      <c r="R2444">
        <v>0</v>
      </c>
      <c r="S2444" t="s">
        <v>104</v>
      </c>
      <c r="T2444" t="s">
        <v>4066</v>
      </c>
      <c r="U2444">
        <v>30</v>
      </c>
    </row>
    <row r="2445" spans="1:21" x14ac:dyDescent="0.3">
      <c r="A2445" t="s">
        <v>4059</v>
      </c>
      <c r="B2445" t="s">
        <v>4060</v>
      </c>
      <c r="C2445" t="s">
        <v>1988</v>
      </c>
      <c r="D2445" t="s">
        <v>222</v>
      </c>
      <c r="E2445" t="s">
        <v>108</v>
      </c>
      <c r="F2445" s="6">
        <v>46022</v>
      </c>
      <c r="G2445">
        <v>2.5</v>
      </c>
      <c r="H2445" t="s">
        <v>1852</v>
      </c>
      <c r="I2445">
        <v>1.19047619047619</v>
      </c>
      <c r="J2445">
        <v>1.19047619047619</v>
      </c>
      <c r="K2445" t="s">
        <v>4064</v>
      </c>
      <c r="L2445" t="s">
        <v>1840</v>
      </c>
      <c r="M2445">
        <v>2025</v>
      </c>
      <c r="N2445" t="s">
        <v>57</v>
      </c>
      <c r="O2445" t="s">
        <v>103</v>
      </c>
      <c r="P2445">
        <v>2</v>
      </c>
      <c r="Q2445">
        <v>2</v>
      </c>
      <c r="R2445">
        <v>0</v>
      </c>
      <c r="S2445" t="s">
        <v>104</v>
      </c>
      <c r="T2445" t="s">
        <v>4067</v>
      </c>
      <c r="U2445">
        <v>31</v>
      </c>
    </row>
    <row r="2446" spans="1:21" x14ac:dyDescent="0.3">
      <c r="A2446" t="s">
        <v>4068</v>
      </c>
      <c r="B2446" t="s">
        <v>4069</v>
      </c>
      <c r="C2446" t="s">
        <v>3011</v>
      </c>
      <c r="D2446" t="s">
        <v>233</v>
      </c>
      <c r="E2446" t="s">
        <v>30</v>
      </c>
      <c r="F2446" s="6">
        <v>45107</v>
      </c>
      <c r="G2446">
        <v>53</v>
      </c>
      <c r="H2446">
        <v>33</v>
      </c>
      <c r="I2446">
        <v>0.62264150943396224</v>
      </c>
      <c r="J2446">
        <v>0.62264150943396224</v>
      </c>
      <c r="K2446" t="s">
        <v>31</v>
      </c>
      <c r="L2446" t="s">
        <v>31</v>
      </c>
      <c r="M2446">
        <v>2023</v>
      </c>
      <c r="N2446" t="s">
        <v>44</v>
      </c>
      <c r="O2446" t="s">
        <v>33</v>
      </c>
      <c r="P2446">
        <v>0</v>
      </c>
      <c r="Q2446">
        <v>0</v>
      </c>
      <c r="R2446">
        <v>0</v>
      </c>
      <c r="S2446" t="s">
        <v>99</v>
      </c>
      <c r="T2446" t="s">
        <v>4070</v>
      </c>
      <c r="U2446">
        <v>1</v>
      </c>
    </row>
    <row r="2447" spans="1:21" x14ac:dyDescent="0.3">
      <c r="A2447" t="s">
        <v>4068</v>
      </c>
      <c r="B2447" t="s">
        <v>4069</v>
      </c>
      <c r="C2447" t="s">
        <v>3011</v>
      </c>
      <c r="D2447" t="s">
        <v>233</v>
      </c>
      <c r="E2447" t="s">
        <v>30</v>
      </c>
      <c r="F2447" s="6">
        <v>45291</v>
      </c>
      <c r="G2447">
        <v>100</v>
      </c>
      <c r="H2447">
        <v>55</v>
      </c>
      <c r="I2447">
        <v>0.55000000000000004</v>
      </c>
      <c r="J2447">
        <v>0.55000000000000004</v>
      </c>
      <c r="K2447" t="s">
        <v>31</v>
      </c>
      <c r="L2447" t="s">
        <v>31</v>
      </c>
      <c r="M2447">
        <v>2023</v>
      </c>
      <c r="N2447" t="s">
        <v>57</v>
      </c>
      <c r="O2447" t="s">
        <v>47</v>
      </c>
      <c r="P2447">
        <v>0</v>
      </c>
      <c r="Q2447">
        <v>0</v>
      </c>
      <c r="R2447">
        <v>0</v>
      </c>
      <c r="S2447" t="s">
        <v>99</v>
      </c>
      <c r="T2447" t="s">
        <v>4071</v>
      </c>
      <c r="U2447">
        <v>1</v>
      </c>
    </row>
    <row r="2448" spans="1:21" x14ac:dyDescent="0.3">
      <c r="A2448" t="s">
        <v>4068</v>
      </c>
      <c r="B2448" t="s">
        <v>3569</v>
      </c>
      <c r="C2448" t="s">
        <v>129</v>
      </c>
      <c r="D2448" t="s">
        <v>233</v>
      </c>
      <c r="E2448" t="s">
        <v>30</v>
      </c>
      <c r="F2448" s="6">
        <v>45382</v>
      </c>
      <c r="G2448">
        <v>100</v>
      </c>
      <c r="H2448">
        <v>195.07</v>
      </c>
      <c r="I2448">
        <v>1.3</v>
      </c>
      <c r="J2448">
        <v>1.9507000000000001</v>
      </c>
      <c r="K2448" t="s">
        <v>31</v>
      </c>
      <c r="L2448" t="s">
        <v>31</v>
      </c>
      <c r="M2448">
        <v>2024</v>
      </c>
      <c r="N2448" t="s">
        <v>38</v>
      </c>
      <c r="O2448" t="s">
        <v>71</v>
      </c>
      <c r="P2448">
        <v>1</v>
      </c>
      <c r="Q2448">
        <v>1</v>
      </c>
      <c r="R2448">
        <v>0</v>
      </c>
      <c r="S2448" t="s">
        <v>99</v>
      </c>
      <c r="T2448" t="s">
        <v>4072</v>
      </c>
      <c r="U2448">
        <v>1</v>
      </c>
    </row>
    <row r="2449" spans="1:21" x14ac:dyDescent="0.3">
      <c r="A2449" t="s">
        <v>4068</v>
      </c>
      <c r="B2449" t="s">
        <v>3569</v>
      </c>
      <c r="C2449" t="s">
        <v>3331</v>
      </c>
      <c r="D2449" t="s">
        <v>233</v>
      </c>
      <c r="E2449" t="s">
        <v>30</v>
      </c>
      <c r="F2449" s="6">
        <v>45473</v>
      </c>
      <c r="G2449">
        <v>100</v>
      </c>
      <c r="H2449">
        <v>114.33</v>
      </c>
      <c r="I2449">
        <v>1.1433</v>
      </c>
      <c r="J2449">
        <v>1.1433</v>
      </c>
      <c r="K2449" t="s">
        <v>31</v>
      </c>
      <c r="L2449" t="s">
        <v>31</v>
      </c>
      <c r="M2449">
        <v>2024</v>
      </c>
      <c r="N2449" t="s">
        <v>44</v>
      </c>
      <c r="O2449" t="s">
        <v>71</v>
      </c>
      <c r="P2449">
        <v>0</v>
      </c>
      <c r="Q2449">
        <v>0</v>
      </c>
      <c r="R2449">
        <v>0</v>
      </c>
      <c r="S2449" t="s">
        <v>99</v>
      </c>
      <c r="T2449" t="s">
        <v>4073</v>
      </c>
      <c r="U2449">
        <v>1</v>
      </c>
    </row>
    <row r="2450" spans="1:21" x14ac:dyDescent="0.3">
      <c r="A2450" t="s">
        <v>4068</v>
      </c>
      <c r="B2450" t="s">
        <v>3569</v>
      </c>
      <c r="C2450" t="s">
        <v>129</v>
      </c>
      <c r="D2450" t="s">
        <v>233</v>
      </c>
      <c r="E2450" t="s">
        <v>30</v>
      </c>
      <c r="F2450" s="6">
        <v>45565</v>
      </c>
      <c r="G2450">
        <v>100</v>
      </c>
      <c r="H2450">
        <v>94.86</v>
      </c>
      <c r="I2450">
        <v>0.9486</v>
      </c>
      <c r="J2450">
        <v>0.9486</v>
      </c>
      <c r="K2450" t="s">
        <v>31</v>
      </c>
      <c r="L2450" t="s">
        <v>31</v>
      </c>
      <c r="M2450">
        <v>2024</v>
      </c>
      <c r="N2450" t="s">
        <v>51</v>
      </c>
      <c r="O2450" t="s">
        <v>78</v>
      </c>
      <c r="P2450">
        <v>0</v>
      </c>
      <c r="Q2450">
        <v>0</v>
      </c>
      <c r="R2450">
        <v>0</v>
      </c>
      <c r="S2450" t="s">
        <v>99</v>
      </c>
      <c r="T2450" t="s">
        <v>4074</v>
      </c>
      <c r="U2450">
        <v>1</v>
      </c>
    </row>
    <row r="2451" spans="1:21" x14ac:dyDescent="0.3">
      <c r="A2451" t="s">
        <v>4068</v>
      </c>
      <c r="B2451" t="s">
        <v>3569</v>
      </c>
      <c r="C2451" t="s">
        <v>129</v>
      </c>
      <c r="D2451" t="s">
        <v>233</v>
      </c>
      <c r="E2451" t="s">
        <v>30</v>
      </c>
      <c r="F2451" s="6">
        <v>45657</v>
      </c>
      <c r="G2451">
        <v>100</v>
      </c>
      <c r="H2451">
        <v>0</v>
      </c>
      <c r="I2451">
        <v>0</v>
      </c>
      <c r="J2451">
        <v>0</v>
      </c>
      <c r="K2451" t="s">
        <v>31</v>
      </c>
      <c r="L2451" t="s">
        <v>31</v>
      </c>
      <c r="M2451">
        <v>2024</v>
      </c>
      <c r="N2451" t="s">
        <v>57</v>
      </c>
      <c r="O2451" t="s">
        <v>78</v>
      </c>
      <c r="P2451">
        <v>0</v>
      </c>
      <c r="Q2451">
        <v>0</v>
      </c>
      <c r="R2451">
        <v>0</v>
      </c>
      <c r="S2451" t="s">
        <v>99</v>
      </c>
      <c r="T2451" t="s">
        <v>4075</v>
      </c>
      <c r="U2451">
        <v>1</v>
      </c>
    </row>
    <row r="2452" spans="1:21" x14ac:dyDescent="0.3">
      <c r="A2452" t="s">
        <v>4068</v>
      </c>
      <c r="B2452" t="s">
        <v>3569</v>
      </c>
      <c r="C2452" t="s">
        <v>129</v>
      </c>
      <c r="D2452" t="s">
        <v>233</v>
      </c>
      <c r="E2452" t="s">
        <v>30</v>
      </c>
      <c r="F2452" s="6">
        <v>45747</v>
      </c>
      <c r="G2452">
        <v>100</v>
      </c>
      <c r="H2452" t="s">
        <v>4076</v>
      </c>
      <c r="I2452">
        <v>1.1802999999999999</v>
      </c>
      <c r="J2452">
        <v>1.1802999999999999</v>
      </c>
      <c r="K2452" t="s">
        <v>102</v>
      </c>
      <c r="L2452" t="s">
        <v>4077</v>
      </c>
      <c r="M2452">
        <v>2025</v>
      </c>
      <c r="N2452" t="s">
        <v>38</v>
      </c>
      <c r="O2452" t="s">
        <v>244</v>
      </c>
      <c r="P2452">
        <v>2</v>
      </c>
      <c r="Q2452">
        <v>2</v>
      </c>
      <c r="R2452">
        <v>0</v>
      </c>
      <c r="S2452" t="s">
        <v>104</v>
      </c>
      <c r="T2452" t="s">
        <v>4078</v>
      </c>
      <c r="U2452">
        <v>31</v>
      </c>
    </row>
    <row r="2453" spans="1:21" x14ac:dyDescent="0.3">
      <c r="A2453" t="s">
        <v>4068</v>
      </c>
      <c r="B2453" t="s">
        <v>3569</v>
      </c>
      <c r="C2453" t="s">
        <v>129</v>
      </c>
      <c r="D2453" t="s">
        <v>233</v>
      </c>
      <c r="E2453" t="s">
        <v>30</v>
      </c>
      <c r="F2453" s="6">
        <v>45838</v>
      </c>
      <c r="G2453">
        <v>100</v>
      </c>
      <c r="H2453" t="s">
        <v>4079</v>
      </c>
      <c r="I2453">
        <v>1.0351999999999999</v>
      </c>
      <c r="J2453">
        <v>1.0351999999999999</v>
      </c>
      <c r="K2453" t="s">
        <v>102</v>
      </c>
      <c r="L2453" t="s">
        <v>4080</v>
      </c>
      <c r="M2453">
        <v>2025</v>
      </c>
      <c r="N2453" t="s">
        <v>44</v>
      </c>
      <c r="O2453" t="s">
        <v>244</v>
      </c>
      <c r="P2453">
        <v>2</v>
      </c>
      <c r="Q2453">
        <v>2</v>
      </c>
      <c r="R2453">
        <v>0</v>
      </c>
      <c r="S2453" t="s">
        <v>104</v>
      </c>
      <c r="T2453" t="s">
        <v>4081</v>
      </c>
      <c r="U2453">
        <v>30</v>
      </c>
    </row>
    <row r="2454" spans="1:21" x14ac:dyDescent="0.3">
      <c r="A2454" t="s">
        <v>4068</v>
      </c>
      <c r="B2454" t="s">
        <v>3569</v>
      </c>
      <c r="C2454" t="s">
        <v>129</v>
      </c>
      <c r="D2454" t="s">
        <v>233</v>
      </c>
      <c r="E2454" t="s">
        <v>30</v>
      </c>
      <c r="F2454" s="6">
        <v>46022</v>
      </c>
      <c r="G2454">
        <v>100</v>
      </c>
      <c r="I2454">
        <v>0</v>
      </c>
      <c r="J2454">
        <v>0</v>
      </c>
      <c r="K2454" t="s">
        <v>102</v>
      </c>
      <c r="M2454">
        <v>2025</v>
      </c>
      <c r="N2454" t="s">
        <v>57</v>
      </c>
      <c r="O2454" t="s">
        <v>103</v>
      </c>
      <c r="P2454">
        <v>2</v>
      </c>
      <c r="Q2454">
        <v>2</v>
      </c>
      <c r="R2454">
        <v>0</v>
      </c>
      <c r="S2454" t="s">
        <v>104</v>
      </c>
      <c r="T2454" t="s">
        <v>4082</v>
      </c>
      <c r="U2454">
        <v>31</v>
      </c>
    </row>
    <row r="2455" spans="1:21" x14ac:dyDescent="0.3">
      <c r="A2455" t="s">
        <v>4083</v>
      </c>
      <c r="B2455" t="s">
        <v>4084</v>
      </c>
      <c r="C2455" t="s">
        <v>2862</v>
      </c>
      <c r="D2455" t="s">
        <v>233</v>
      </c>
      <c r="E2455" t="s">
        <v>30</v>
      </c>
      <c r="F2455" s="6">
        <v>45107</v>
      </c>
      <c r="G2455">
        <v>59</v>
      </c>
      <c r="H2455">
        <v>62</v>
      </c>
      <c r="I2455">
        <v>1.050847457627119</v>
      </c>
      <c r="J2455">
        <v>1.050847457627119</v>
      </c>
      <c r="K2455" t="s">
        <v>31</v>
      </c>
      <c r="L2455" t="s">
        <v>31</v>
      </c>
      <c r="M2455">
        <v>2023</v>
      </c>
      <c r="N2455" t="s">
        <v>44</v>
      </c>
      <c r="O2455" t="s">
        <v>33</v>
      </c>
      <c r="P2455">
        <v>0</v>
      </c>
      <c r="Q2455">
        <v>0</v>
      </c>
      <c r="R2455">
        <v>0</v>
      </c>
      <c r="S2455" t="s">
        <v>99</v>
      </c>
      <c r="T2455" t="s">
        <v>4085</v>
      </c>
      <c r="U2455">
        <v>1</v>
      </c>
    </row>
    <row r="2456" spans="1:21" x14ac:dyDescent="0.3">
      <c r="A2456" t="s">
        <v>4083</v>
      </c>
      <c r="B2456" t="s">
        <v>4084</v>
      </c>
      <c r="C2456" t="s">
        <v>3331</v>
      </c>
      <c r="D2456" t="s">
        <v>233</v>
      </c>
      <c r="E2456" t="s">
        <v>30</v>
      </c>
      <c r="F2456" s="6">
        <v>45291</v>
      </c>
      <c r="G2456">
        <v>100</v>
      </c>
      <c r="H2456">
        <v>100</v>
      </c>
      <c r="I2456">
        <v>1</v>
      </c>
      <c r="J2456">
        <v>1</v>
      </c>
      <c r="K2456" t="s">
        <v>31</v>
      </c>
      <c r="L2456" t="s">
        <v>31</v>
      </c>
      <c r="M2456">
        <v>2023</v>
      </c>
      <c r="N2456" t="s">
        <v>57</v>
      </c>
      <c r="O2456" t="s">
        <v>47</v>
      </c>
      <c r="P2456">
        <v>0</v>
      </c>
      <c r="Q2456">
        <v>0</v>
      </c>
      <c r="R2456">
        <v>0</v>
      </c>
      <c r="S2456" t="s">
        <v>99</v>
      </c>
      <c r="T2456" t="s">
        <v>4086</v>
      </c>
      <c r="U2456">
        <v>1</v>
      </c>
    </row>
    <row r="2457" spans="1:21" x14ac:dyDescent="0.3">
      <c r="A2457" t="s">
        <v>4083</v>
      </c>
      <c r="B2457" t="s">
        <v>4084</v>
      </c>
      <c r="C2457" t="s">
        <v>3011</v>
      </c>
      <c r="D2457" t="s">
        <v>233</v>
      </c>
      <c r="E2457" t="s">
        <v>30</v>
      </c>
      <c r="F2457" s="6">
        <v>45473</v>
      </c>
      <c r="G2457">
        <v>100</v>
      </c>
      <c r="H2457">
        <v>100</v>
      </c>
      <c r="I2457">
        <v>1</v>
      </c>
      <c r="J2457">
        <v>1</v>
      </c>
      <c r="K2457" t="s">
        <v>31</v>
      </c>
      <c r="L2457" t="s">
        <v>31</v>
      </c>
      <c r="M2457">
        <v>2024</v>
      </c>
      <c r="N2457" t="s">
        <v>44</v>
      </c>
      <c r="O2457" t="s">
        <v>71</v>
      </c>
      <c r="P2457">
        <v>0</v>
      </c>
      <c r="Q2457">
        <v>0</v>
      </c>
      <c r="R2457">
        <v>0</v>
      </c>
      <c r="S2457" t="s">
        <v>99</v>
      </c>
      <c r="T2457" t="s">
        <v>4087</v>
      </c>
      <c r="U2457">
        <v>1</v>
      </c>
    </row>
    <row r="2458" spans="1:21" x14ac:dyDescent="0.3">
      <c r="A2458" t="s">
        <v>4083</v>
      </c>
      <c r="B2458" t="s">
        <v>4088</v>
      </c>
      <c r="C2458" t="s">
        <v>3331</v>
      </c>
      <c r="D2458" t="s">
        <v>233</v>
      </c>
      <c r="E2458" t="s">
        <v>30</v>
      </c>
      <c r="F2458" s="6">
        <v>45473</v>
      </c>
      <c r="G2458">
        <v>34.58</v>
      </c>
      <c r="H2458">
        <v>50</v>
      </c>
      <c r="I2458">
        <v>1</v>
      </c>
      <c r="J2458">
        <v>1</v>
      </c>
      <c r="K2458" t="s">
        <v>31</v>
      </c>
      <c r="L2458" t="s">
        <v>31</v>
      </c>
      <c r="M2458">
        <v>2024</v>
      </c>
      <c r="N2458" t="s">
        <v>44</v>
      </c>
      <c r="O2458" t="s">
        <v>71</v>
      </c>
      <c r="P2458">
        <v>0</v>
      </c>
      <c r="Q2458">
        <v>0</v>
      </c>
      <c r="R2458">
        <v>0</v>
      </c>
      <c r="S2458" t="s">
        <v>99</v>
      </c>
      <c r="T2458" t="s">
        <v>4089</v>
      </c>
      <c r="U2458">
        <v>1</v>
      </c>
    </row>
    <row r="2459" spans="1:21" x14ac:dyDescent="0.3">
      <c r="A2459" t="s">
        <v>4090</v>
      </c>
      <c r="B2459" t="s">
        <v>4091</v>
      </c>
      <c r="C2459" t="s">
        <v>3011</v>
      </c>
      <c r="D2459" t="s">
        <v>233</v>
      </c>
      <c r="E2459" t="s">
        <v>30</v>
      </c>
      <c r="F2459" s="6">
        <v>45107</v>
      </c>
      <c r="G2459">
        <v>63</v>
      </c>
      <c r="H2459">
        <v>50</v>
      </c>
      <c r="I2459">
        <v>0.79365079365079361</v>
      </c>
      <c r="J2459">
        <v>0.79365079365079361</v>
      </c>
      <c r="K2459" t="s">
        <v>31</v>
      </c>
      <c r="L2459" t="s">
        <v>31</v>
      </c>
      <c r="M2459">
        <v>2023</v>
      </c>
      <c r="N2459" t="s">
        <v>44</v>
      </c>
      <c r="O2459" t="s">
        <v>33</v>
      </c>
      <c r="P2459">
        <v>0</v>
      </c>
      <c r="Q2459">
        <v>0</v>
      </c>
      <c r="R2459">
        <v>0</v>
      </c>
      <c r="S2459" t="s">
        <v>99</v>
      </c>
      <c r="T2459" t="s">
        <v>4092</v>
      </c>
      <c r="U2459">
        <v>1</v>
      </c>
    </row>
    <row r="2460" spans="1:21" x14ac:dyDescent="0.3">
      <c r="A2460" t="s">
        <v>4090</v>
      </c>
      <c r="B2460" t="s">
        <v>4091</v>
      </c>
      <c r="C2460" t="s">
        <v>3011</v>
      </c>
      <c r="D2460" t="s">
        <v>233</v>
      </c>
      <c r="E2460" t="s">
        <v>30</v>
      </c>
      <c r="F2460" s="6">
        <v>45291</v>
      </c>
      <c r="G2460">
        <v>100</v>
      </c>
      <c r="H2460">
        <v>83.33</v>
      </c>
      <c r="I2460">
        <v>0.83329999999999993</v>
      </c>
      <c r="J2460">
        <v>0.83329999999999993</v>
      </c>
      <c r="K2460" t="s">
        <v>31</v>
      </c>
      <c r="L2460" t="s">
        <v>31</v>
      </c>
      <c r="M2460">
        <v>2023</v>
      </c>
      <c r="N2460" t="s">
        <v>57</v>
      </c>
      <c r="O2460" t="s">
        <v>47</v>
      </c>
      <c r="P2460">
        <v>0</v>
      </c>
      <c r="Q2460">
        <v>0</v>
      </c>
      <c r="R2460">
        <v>0</v>
      </c>
      <c r="S2460" t="s">
        <v>99</v>
      </c>
      <c r="T2460" t="s">
        <v>4093</v>
      </c>
      <c r="U2460">
        <v>1</v>
      </c>
    </row>
    <row r="2461" spans="1:21" x14ac:dyDescent="0.3">
      <c r="A2461" t="s">
        <v>4090</v>
      </c>
      <c r="B2461" t="s">
        <v>4091</v>
      </c>
      <c r="C2461" t="s">
        <v>3011</v>
      </c>
      <c r="D2461" t="s">
        <v>233</v>
      </c>
      <c r="E2461" t="s">
        <v>30</v>
      </c>
      <c r="F2461" s="6">
        <v>45473</v>
      </c>
      <c r="G2461">
        <v>89.9</v>
      </c>
      <c r="H2461">
        <v>82</v>
      </c>
      <c r="I2461">
        <v>0.91212458286985532</v>
      </c>
      <c r="J2461">
        <v>0.91212458286985532</v>
      </c>
      <c r="K2461" t="s">
        <v>31</v>
      </c>
      <c r="L2461" t="s">
        <v>31</v>
      </c>
      <c r="M2461">
        <v>2024</v>
      </c>
      <c r="N2461" t="s">
        <v>44</v>
      </c>
      <c r="O2461" t="s">
        <v>71</v>
      </c>
      <c r="P2461">
        <v>0</v>
      </c>
      <c r="Q2461">
        <v>0</v>
      </c>
      <c r="R2461">
        <v>0</v>
      </c>
      <c r="S2461" t="s">
        <v>99</v>
      </c>
      <c r="T2461" t="s">
        <v>4094</v>
      </c>
      <c r="U2461">
        <v>1</v>
      </c>
    </row>
    <row r="2462" spans="1:21" x14ac:dyDescent="0.3">
      <c r="A2462" t="s">
        <v>4095</v>
      </c>
      <c r="B2462" t="s">
        <v>4096</v>
      </c>
      <c r="C2462" t="s">
        <v>3011</v>
      </c>
      <c r="D2462" t="s">
        <v>233</v>
      </c>
      <c r="E2462" t="s">
        <v>30</v>
      </c>
      <c r="F2462" s="6">
        <v>45107</v>
      </c>
      <c r="G2462">
        <v>50</v>
      </c>
      <c r="H2462">
        <v>78</v>
      </c>
      <c r="I2462">
        <v>1.3</v>
      </c>
      <c r="J2462">
        <v>1.56</v>
      </c>
      <c r="K2462" t="s">
        <v>31</v>
      </c>
      <c r="L2462" t="s">
        <v>31</v>
      </c>
      <c r="M2462">
        <v>2023</v>
      </c>
      <c r="N2462" t="s">
        <v>44</v>
      </c>
      <c r="O2462" t="s">
        <v>33</v>
      </c>
      <c r="P2462">
        <v>0</v>
      </c>
      <c r="Q2462">
        <v>0</v>
      </c>
      <c r="R2462">
        <v>0</v>
      </c>
      <c r="S2462" t="s">
        <v>99</v>
      </c>
      <c r="T2462" t="s">
        <v>4097</v>
      </c>
      <c r="U2462">
        <v>1</v>
      </c>
    </row>
    <row r="2463" spans="1:21" x14ac:dyDescent="0.3">
      <c r="A2463" t="s">
        <v>4095</v>
      </c>
      <c r="B2463" t="s">
        <v>4096</v>
      </c>
      <c r="C2463" t="s">
        <v>3011</v>
      </c>
      <c r="D2463" t="s">
        <v>233</v>
      </c>
      <c r="E2463" t="s">
        <v>30</v>
      </c>
      <c r="F2463" s="6">
        <v>45291</v>
      </c>
      <c r="G2463">
        <v>100</v>
      </c>
      <c r="H2463">
        <v>100</v>
      </c>
      <c r="I2463">
        <v>1</v>
      </c>
      <c r="J2463">
        <v>1</v>
      </c>
      <c r="K2463" t="s">
        <v>31</v>
      </c>
      <c r="L2463" t="s">
        <v>31</v>
      </c>
      <c r="M2463">
        <v>2023</v>
      </c>
      <c r="N2463" t="s">
        <v>57</v>
      </c>
      <c r="O2463" t="s">
        <v>47</v>
      </c>
      <c r="P2463">
        <v>0</v>
      </c>
      <c r="Q2463">
        <v>0</v>
      </c>
      <c r="R2463">
        <v>0</v>
      </c>
      <c r="S2463" t="s">
        <v>99</v>
      </c>
      <c r="T2463" t="s">
        <v>4098</v>
      </c>
      <c r="U2463">
        <v>1</v>
      </c>
    </row>
    <row r="2464" spans="1:21" x14ac:dyDescent="0.3">
      <c r="A2464" t="s">
        <v>4095</v>
      </c>
      <c r="B2464" t="s">
        <v>4096</v>
      </c>
      <c r="C2464" t="s">
        <v>3011</v>
      </c>
      <c r="D2464" t="s">
        <v>233</v>
      </c>
      <c r="E2464" t="s">
        <v>30</v>
      </c>
      <c r="F2464" s="6">
        <v>45473</v>
      </c>
      <c r="G2464">
        <v>39.950000000000003</v>
      </c>
      <c r="H2464">
        <v>43.61</v>
      </c>
      <c r="I2464">
        <v>1</v>
      </c>
      <c r="J2464">
        <v>1</v>
      </c>
      <c r="K2464" t="s">
        <v>31</v>
      </c>
      <c r="L2464" t="s">
        <v>31</v>
      </c>
      <c r="M2464">
        <v>2024</v>
      </c>
      <c r="N2464" t="s">
        <v>44</v>
      </c>
      <c r="O2464" t="s">
        <v>71</v>
      </c>
      <c r="P2464">
        <v>0</v>
      </c>
      <c r="Q2464">
        <v>0</v>
      </c>
      <c r="R2464">
        <v>0</v>
      </c>
      <c r="S2464" t="s">
        <v>99</v>
      </c>
      <c r="T2464" t="s">
        <v>4099</v>
      </c>
      <c r="U2464">
        <v>1</v>
      </c>
    </row>
    <row r="2465" spans="1:21" x14ac:dyDescent="0.3">
      <c r="A2465" t="s">
        <v>4100</v>
      </c>
      <c r="B2465" t="s">
        <v>4101</v>
      </c>
      <c r="C2465" t="s">
        <v>3011</v>
      </c>
      <c r="D2465" t="s">
        <v>233</v>
      </c>
      <c r="E2465" t="s">
        <v>30</v>
      </c>
      <c r="F2465" s="6">
        <v>45107</v>
      </c>
      <c r="G2465">
        <v>68</v>
      </c>
      <c r="H2465">
        <v>71</v>
      </c>
      <c r="I2465">
        <v>1.044117647058824</v>
      </c>
      <c r="J2465">
        <v>1.044117647058824</v>
      </c>
      <c r="K2465" t="s">
        <v>31</v>
      </c>
      <c r="L2465" t="s">
        <v>31</v>
      </c>
      <c r="M2465">
        <v>2023</v>
      </c>
      <c r="N2465" t="s">
        <v>44</v>
      </c>
      <c r="O2465" t="s">
        <v>33</v>
      </c>
      <c r="P2465">
        <v>0</v>
      </c>
      <c r="Q2465">
        <v>0</v>
      </c>
      <c r="R2465">
        <v>0</v>
      </c>
      <c r="S2465" t="s">
        <v>99</v>
      </c>
      <c r="T2465" t="s">
        <v>4102</v>
      </c>
      <c r="U2465">
        <v>1</v>
      </c>
    </row>
    <row r="2466" spans="1:21" x14ac:dyDescent="0.3">
      <c r="A2466" t="s">
        <v>4100</v>
      </c>
      <c r="B2466" t="s">
        <v>4101</v>
      </c>
      <c r="C2466" t="s">
        <v>3011</v>
      </c>
      <c r="D2466" t="s">
        <v>233</v>
      </c>
      <c r="E2466" t="s">
        <v>30</v>
      </c>
      <c r="F2466" s="6">
        <v>45291</v>
      </c>
      <c r="G2466">
        <v>100</v>
      </c>
      <c r="H2466">
        <v>100</v>
      </c>
      <c r="I2466">
        <v>1</v>
      </c>
      <c r="J2466">
        <v>1</v>
      </c>
      <c r="K2466" t="s">
        <v>31</v>
      </c>
      <c r="L2466" t="s">
        <v>31</v>
      </c>
      <c r="M2466">
        <v>2023</v>
      </c>
      <c r="N2466" t="s">
        <v>57</v>
      </c>
      <c r="O2466" t="s">
        <v>47</v>
      </c>
      <c r="P2466">
        <v>0</v>
      </c>
      <c r="Q2466">
        <v>0</v>
      </c>
      <c r="R2466">
        <v>0</v>
      </c>
      <c r="S2466" t="s">
        <v>99</v>
      </c>
      <c r="T2466" t="s">
        <v>4103</v>
      </c>
      <c r="U2466">
        <v>1</v>
      </c>
    </row>
    <row r="2467" spans="1:21" x14ac:dyDescent="0.3">
      <c r="A2467" t="s">
        <v>4100</v>
      </c>
      <c r="B2467" t="s">
        <v>4101</v>
      </c>
      <c r="C2467" t="s">
        <v>3011</v>
      </c>
      <c r="D2467" t="s">
        <v>233</v>
      </c>
      <c r="E2467" t="s">
        <v>30</v>
      </c>
      <c r="F2467" s="6">
        <v>45473</v>
      </c>
      <c r="G2467">
        <v>29.69</v>
      </c>
      <c r="H2467">
        <v>40.36</v>
      </c>
      <c r="I2467">
        <v>1</v>
      </c>
      <c r="J2467">
        <v>1</v>
      </c>
      <c r="K2467" t="s">
        <v>31</v>
      </c>
      <c r="L2467" t="s">
        <v>31</v>
      </c>
      <c r="M2467">
        <v>2024</v>
      </c>
      <c r="N2467" t="s">
        <v>44</v>
      </c>
      <c r="O2467" t="s">
        <v>71</v>
      </c>
      <c r="P2467">
        <v>0</v>
      </c>
      <c r="Q2467">
        <v>0</v>
      </c>
      <c r="R2467">
        <v>0</v>
      </c>
      <c r="S2467" t="s">
        <v>99</v>
      </c>
      <c r="T2467" t="s">
        <v>4104</v>
      </c>
      <c r="U2467">
        <v>1</v>
      </c>
    </row>
    <row r="2468" spans="1:21" x14ac:dyDescent="0.3">
      <c r="A2468" t="s">
        <v>4105</v>
      </c>
      <c r="B2468" t="s">
        <v>4106</v>
      </c>
      <c r="C2468" t="s">
        <v>3011</v>
      </c>
      <c r="D2468" t="s">
        <v>233</v>
      </c>
      <c r="E2468" t="s">
        <v>30</v>
      </c>
      <c r="F2468" s="6">
        <v>45107</v>
      </c>
      <c r="G2468">
        <v>53</v>
      </c>
      <c r="H2468">
        <v>63</v>
      </c>
      <c r="I2468">
        <v>1.188679245283019</v>
      </c>
      <c r="J2468">
        <v>1.188679245283019</v>
      </c>
      <c r="K2468" t="s">
        <v>31</v>
      </c>
      <c r="L2468" t="s">
        <v>31</v>
      </c>
      <c r="M2468">
        <v>2023</v>
      </c>
      <c r="N2468" t="s">
        <v>44</v>
      </c>
      <c r="O2468" t="s">
        <v>33</v>
      </c>
      <c r="P2468">
        <v>0</v>
      </c>
      <c r="Q2468">
        <v>0</v>
      </c>
      <c r="R2468">
        <v>0</v>
      </c>
      <c r="S2468" t="s">
        <v>99</v>
      </c>
      <c r="T2468" t="s">
        <v>4107</v>
      </c>
      <c r="U2468">
        <v>1</v>
      </c>
    </row>
    <row r="2469" spans="1:21" x14ac:dyDescent="0.3">
      <c r="A2469" t="s">
        <v>4105</v>
      </c>
      <c r="B2469" t="s">
        <v>4106</v>
      </c>
      <c r="C2469" t="s">
        <v>3011</v>
      </c>
      <c r="D2469" t="s">
        <v>233</v>
      </c>
      <c r="E2469" t="s">
        <v>30</v>
      </c>
      <c r="F2469" s="6">
        <v>45291</v>
      </c>
      <c r="G2469">
        <v>100</v>
      </c>
      <c r="H2469">
        <v>100</v>
      </c>
      <c r="I2469">
        <v>1</v>
      </c>
      <c r="J2469">
        <v>1</v>
      </c>
      <c r="K2469" t="s">
        <v>31</v>
      </c>
      <c r="L2469" t="s">
        <v>31</v>
      </c>
      <c r="M2469">
        <v>2023</v>
      </c>
      <c r="N2469" t="s">
        <v>57</v>
      </c>
      <c r="O2469" t="s">
        <v>47</v>
      </c>
      <c r="P2469">
        <v>0</v>
      </c>
      <c r="Q2469">
        <v>0</v>
      </c>
      <c r="R2469">
        <v>0</v>
      </c>
      <c r="S2469" t="s">
        <v>99</v>
      </c>
      <c r="T2469" t="s">
        <v>4108</v>
      </c>
      <c r="U2469">
        <v>1</v>
      </c>
    </row>
    <row r="2470" spans="1:21" x14ac:dyDescent="0.3">
      <c r="A2470" t="s">
        <v>4105</v>
      </c>
      <c r="B2470" t="s">
        <v>4106</v>
      </c>
      <c r="C2470" t="s">
        <v>3011</v>
      </c>
      <c r="D2470" t="s">
        <v>233</v>
      </c>
      <c r="E2470" t="s">
        <v>30</v>
      </c>
      <c r="F2470" s="6">
        <v>45473</v>
      </c>
      <c r="G2470">
        <v>40.85</v>
      </c>
      <c r="H2470">
        <v>45.75</v>
      </c>
      <c r="I2470">
        <v>1</v>
      </c>
      <c r="J2470">
        <v>1</v>
      </c>
      <c r="K2470" t="s">
        <v>31</v>
      </c>
      <c r="L2470" t="s">
        <v>31</v>
      </c>
      <c r="M2470">
        <v>2024</v>
      </c>
      <c r="N2470" t="s">
        <v>44</v>
      </c>
      <c r="O2470" t="s">
        <v>71</v>
      </c>
      <c r="P2470">
        <v>0</v>
      </c>
      <c r="Q2470">
        <v>0</v>
      </c>
      <c r="R2470">
        <v>0</v>
      </c>
      <c r="S2470" t="s">
        <v>99</v>
      </c>
      <c r="T2470" t="s">
        <v>4109</v>
      </c>
      <c r="U2470">
        <v>1</v>
      </c>
    </row>
    <row r="2471" spans="1:21" x14ac:dyDescent="0.3">
      <c r="A2471" t="s">
        <v>4110</v>
      </c>
      <c r="B2471" t="s">
        <v>4111</v>
      </c>
      <c r="C2471" t="s">
        <v>3011</v>
      </c>
      <c r="D2471" t="s">
        <v>233</v>
      </c>
      <c r="E2471" t="s">
        <v>30</v>
      </c>
      <c r="F2471" s="6">
        <v>45107</v>
      </c>
      <c r="G2471">
        <v>65</v>
      </c>
      <c r="H2471">
        <v>67</v>
      </c>
      <c r="I2471">
        <v>1.0307692307692311</v>
      </c>
      <c r="J2471">
        <v>1.0307692307692311</v>
      </c>
      <c r="K2471" t="s">
        <v>31</v>
      </c>
      <c r="L2471" t="s">
        <v>31</v>
      </c>
      <c r="M2471">
        <v>2023</v>
      </c>
      <c r="N2471" t="s">
        <v>44</v>
      </c>
      <c r="O2471" t="s">
        <v>33</v>
      </c>
      <c r="P2471">
        <v>0</v>
      </c>
      <c r="Q2471">
        <v>0</v>
      </c>
      <c r="R2471">
        <v>0</v>
      </c>
      <c r="S2471" t="s">
        <v>99</v>
      </c>
      <c r="T2471" t="s">
        <v>4112</v>
      </c>
      <c r="U2471">
        <v>1</v>
      </c>
    </row>
    <row r="2472" spans="1:21" x14ac:dyDescent="0.3">
      <c r="A2472" t="s">
        <v>4110</v>
      </c>
      <c r="B2472" t="s">
        <v>4111</v>
      </c>
      <c r="C2472" t="s">
        <v>3011</v>
      </c>
      <c r="D2472" t="s">
        <v>233</v>
      </c>
      <c r="E2472" t="s">
        <v>30</v>
      </c>
      <c r="F2472" s="6">
        <v>45291</v>
      </c>
      <c r="G2472">
        <v>100</v>
      </c>
      <c r="H2472">
        <v>100</v>
      </c>
      <c r="I2472">
        <v>1</v>
      </c>
      <c r="J2472">
        <v>1</v>
      </c>
      <c r="K2472" t="s">
        <v>31</v>
      </c>
      <c r="L2472" t="s">
        <v>31</v>
      </c>
      <c r="M2472">
        <v>2023</v>
      </c>
      <c r="N2472" t="s">
        <v>57</v>
      </c>
      <c r="O2472" t="s">
        <v>47</v>
      </c>
      <c r="P2472">
        <v>0</v>
      </c>
      <c r="Q2472">
        <v>0</v>
      </c>
      <c r="R2472">
        <v>0</v>
      </c>
      <c r="S2472" t="s">
        <v>99</v>
      </c>
      <c r="T2472" t="s">
        <v>4113</v>
      </c>
      <c r="U2472">
        <v>1</v>
      </c>
    </row>
    <row r="2473" spans="1:21" x14ac:dyDescent="0.3">
      <c r="A2473" t="s">
        <v>4110</v>
      </c>
      <c r="B2473" t="s">
        <v>4111</v>
      </c>
      <c r="C2473" t="s">
        <v>3011</v>
      </c>
      <c r="D2473" t="s">
        <v>233</v>
      </c>
      <c r="E2473" t="s">
        <v>30</v>
      </c>
      <c r="F2473" s="6">
        <v>45473</v>
      </c>
      <c r="G2473">
        <v>57.31</v>
      </c>
      <c r="H2473">
        <v>72.5</v>
      </c>
      <c r="I2473">
        <v>1</v>
      </c>
      <c r="J2473">
        <v>1</v>
      </c>
      <c r="K2473" t="s">
        <v>31</v>
      </c>
      <c r="L2473" t="s">
        <v>31</v>
      </c>
      <c r="M2473">
        <v>2024</v>
      </c>
      <c r="N2473" t="s">
        <v>44</v>
      </c>
      <c r="O2473" t="s">
        <v>71</v>
      </c>
      <c r="P2473">
        <v>0</v>
      </c>
      <c r="Q2473">
        <v>0</v>
      </c>
      <c r="R2473">
        <v>0</v>
      </c>
      <c r="S2473" t="s">
        <v>99</v>
      </c>
      <c r="T2473" t="s">
        <v>4114</v>
      </c>
      <c r="U2473">
        <v>1</v>
      </c>
    </row>
    <row r="2474" spans="1:21" x14ac:dyDescent="0.3">
      <c r="A2474" t="s">
        <v>4115</v>
      </c>
      <c r="B2474" t="s">
        <v>4116</v>
      </c>
      <c r="C2474" t="s">
        <v>3011</v>
      </c>
      <c r="D2474" t="s">
        <v>233</v>
      </c>
      <c r="E2474" t="s">
        <v>30</v>
      </c>
      <c r="F2474" s="6">
        <v>45107</v>
      </c>
      <c r="G2474">
        <v>52</v>
      </c>
      <c r="H2474">
        <v>67</v>
      </c>
      <c r="I2474">
        <v>1.288461538461539</v>
      </c>
      <c r="J2474">
        <v>1.288461538461539</v>
      </c>
      <c r="K2474" t="s">
        <v>31</v>
      </c>
      <c r="L2474" t="s">
        <v>31</v>
      </c>
      <c r="M2474">
        <v>2023</v>
      </c>
      <c r="N2474" t="s">
        <v>44</v>
      </c>
      <c r="O2474" t="s">
        <v>33</v>
      </c>
      <c r="P2474">
        <v>0</v>
      </c>
      <c r="Q2474">
        <v>0</v>
      </c>
      <c r="R2474">
        <v>0</v>
      </c>
      <c r="S2474" t="s">
        <v>99</v>
      </c>
      <c r="T2474" t="s">
        <v>4117</v>
      </c>
      <c r="U2474">
        <v>1</v>
      </c>
    </row>
    <row r="2475" spans="1:21" x14ac:dyDescent="0.3">
      <c r="A2475" t="s">
        <v>4115</v>
      </c>
      <c r="B2475" t="s">
        <v>4116</v>
      </c>
      <c r="C2475" t="s">
        <v>3011</v>
      </c>
      <c r="D2475" t="s">
        <v>233</v>
      </c>
      <c r="E2475" t="s">
        <v>30</v>
      </c>
      <c r="F2475" s="6">
        <v>45291</v>
      </c>
      <c r="G2475">
        <v>100</v>
      </c>
      <c r="H2475">
        <v>100</v>
      </c>
      <c r="I2475">
        <v>1</v>
      </c>
      <c r="J2475">
        <v>1</v>
      </c>
      <c r="K2475" t="s">
        <v>31</v>
      </c>
      <c r="L2475" t="s">
        <v>31</v>
      </c>
      <c r="M2475">
        <v>2023</v>
      </c>
      <c r="N2475" t="s">
        <v>57</v>
      </c>
      <c r="O2475" t="s">
        <v>47</v>
      </c>
      <c r="P2475">
        <v>0</v>
      </c>
      <c r="Q2475">
        <v>0</v>
      </c>
      <c r="R2475">
        <v>0</v>
      </c>
      <c r="S2475" t="s">
        <v>99</v>
      </c>
      <c r="T2475" t="s">
        <v>4118</v>
      </c>
      <c r="U2475">
        <v>1</v>
      </c>
    </row>
    <row r="2476" spans="1:21" x14ac:dyDescent="0.3">
      <c r="A2476" t="s">
        <v>4115</v>
      </c>
      <c r="B2476" t="s">
        <v>4116</v>
      </c>
      <c r="C2476" t="s">
        <v>3011</v>
      </c>
      <c r="D2476" t="s">
        <v>233</v>
      </c>
      <c r="E2476" t="s">
        <v>30</v>
      </c>
      <c r="F2476" s="6">
        <v>45473</v>
      </c>
      <c r="G2476">
        <v>54.94</v>
      </c>
      <c r="H2476">
        <v>68.75</v>
      </c>
      <c r="I2476">
        <v>1</v>
      </c>
      <c r="J2476">
        <v>1</v>
      </c>
      <c r="K2476" t="s">
        <v>31</v>
      </c>
      <c r="L2476" t="s">
        <v>31</v>
      </c>
      <c r="M2476">
        <v>2024</v>
      </c>
      <c r="N2476" t="s">
        <v>44</v>
      </c>
      <c r="O2476" t="s">
        <v>71</v>
      </c>
      <c r="P2476">
        <v>0</v>
      </c>
      <c r="Q2476">
        <v>0</v>
      </c>
      <c r="R2476">
        <v>0</v>
      </c>
      <c r="S2476" t="s">
        <v>99</v>
      </c>
      <c r="T2476" t="s">
        <v>4119</v>
      </c>
      <c r="U2476">
        <v>1</v>
      </c>
    </row>
    <row r="2477" spans="1:21" x14ac:dyDescent="0.3">
      <c r="A2477" t="s">
        <v>4120</v>
      </c>
      <c r="B2477" t="s">
        <v>4121</v>
      </c>
      <c r="C2477" t="s">
        <v>3011</v>
      </c>
      <c r="D2477" t="s">
        <v>233</v>
      </c>
      <c r="E2477" t="s">
        <v>30</v>
      </c>
      <c r="F2477" s="6">
        <v>45473</v>
      </c>
      <c r="G2477">
        <v>50.46</v>
      </c>
      <c r="H2477">
        <v>50</v>
      </c>
      <c r="I2477">
        <v>0.99088386841062226</v>
      </c>
      <c r="J2477">
        <v>0.99088386841062226</v>
      </c>
      <c r="K2477" t="s">
        <v>31</v>
      </c>
      <c r="L2477" t="s">
        <v>31</v>
      </c>
      <c r="M2477">
        <v>2024</v>
      </c>
      <c r="N2477" t="s">
        <v>44</v>
      </c>
      <c r="O2477" t="s">
        <v>71</v>
      </c>
      <c r="P2477">
        <v>0</v>
      </c>
      <c r="Q2477">
        <v>0</v>
      </c>
      <c r="R2477">
        <v>0</v>
      </c>
      <c r="S2477" t="s">
        <v>99</v>
      </c>
      <c r="T2477" t="s">
        <v>4122</v>
      </c>
      <c r="U2477">
        <v>1</v>
      </c>
    </row>
    <row r="2478" spans="1:21" x14ac:dyDescent="0.3">
      <c r="A2478" t="s">
        <v>4123</v>
      </c>
      <c r="B2478" t="s">
        <v>4124</v>
      </c>
      <c r="C2478" t="s">
        <v>3011</v>
      </c>
      <c r="D2478" t="s">
        <v>233</v>
      </c>
      <c r="E2478" t="s">
        <v>30</v>
      </c>
      <c r="F2478" s="6">
        <v>45107</v>
      </c>
      <c r="G2478">
        <v>54</v>
      </c>
      <c r="H2478">
        <v>70</v>
      </c>
      <c r="I2478">
        <v>1.2962962962962961</v>
      </c>
      <c r="J2478">
        <v>1.2962962962962961</v>
      </c>
      <c r="K2478" t="s">
        <v>31</v>
      </c>
      <c r="L2478" t="s">
        <v>31</v>
      </c>
      <c r="M2478">
        <v>2023</v>
      </c>
      <c r="N2478" t="s">
        <v>44</v>
      </c>
      <c r="O2478" t="s">
        <v>33</v>
      </c>
      <c r="P2478">
        <v>0</v>
      </c>
      <c r="Q2478">
        <v>0</v>
      </c>
      <c r="R2478">
        <v>0</v>
      </c>
      <c r="S2478" t="s">
        <v>99</v>
      </c>
      <c r="T2478" t="s">
        <v>4125</v>
      </c>
      <c r="U2478">
        <v>1</v>
      </c>
    </row>
    <row r="2479" spans="1:21" x14ac:dyDescent="0.3">
      <c r="A2479" t="s">
        <v>4123</v>
      </c>
      <c r="B2479" t="s">
        <v>4124</v>
      </c>
      <c r="C2479" t="s">
        <v>3011</v>
      </c>
      <c r="D2479" t="s">
        <v>233</v>
      </c>
      <c r="E2479" t="s">
        <v>30</v>
      </c>
      <c r="F2479" s="6">
        <v>45291</v>
      </c>
      <c r="G2479">
        <v>100</v>
      </c>
      <c r="H2479">
        <v>98.4</v>
      </c>
      <c r="I2479">
        <v>0.9840000000000001</v>
      </c>
      <c r="J2479">
        <v>0.9840000000000001</v>
      </c>
      <c r="K2479" t="s">
        <v>31</v>
      </c>
      <c r="L2479" t="s">
        <v>31</v>
      </c>
      <c r="M2479">
        <v>2023</v>
      </c>
      <c r="N2479" t="s">
        <v>57</v>
      </c>
      <c r="O2479" t="s">
        <v>47</v>
      </c>
      <c r="P2479">
        <v>0</v>
      </c>
      <c r="Q2479">
        <v>0</v>
      </c>
      <c r="R2479">
        <v>0</v>
      </c>
      <c r="S2479" t="s">
        <v>99</v>
      </c>
      <c r="T2479" t="s">
        <v>4126</v>
      </c>
      <c r="U2479">
        <v>1</v>
      </c>
    </row>
    <row r="2480" spans="1:21" x14ac:dyDescent="0.3">
      <c r="A2480" t="s">
        <v>4123</v>
      </c>
      <c r="B2480" t="s">
        <v>4124</v>
      </c>
      <c r="C2480" t="s">
        <v>3331</v>
      </c>
      <c r="D2480" t="s">
        <v>233</v>
      </c>
      <c r="E2480" t="s">
        <v>30</v>
      </c>
      <c r="F2480" s="6">
        <v>45473</v>
      </c>
      <c r="G2480">
        <v>68.98</v>
      </c>
      <c r="H2480">
        <v>68.75</v>
      </c>
      <c r="I2480">
        <v>0.99666570020295731</v>
      </c>
      <c r="J2480">
        <v>0.99666570020295731</v>
      </c>
      <c r="K2480" t="s">
        <v>31</v>
      </c>
      <c r="L2480" t="s">
        <v>31</v>
      </c>
      <c r="M2480">
        <v>2024</v>
      </c>
      <c r="N2480" t="s">
        <v>44</v>
      </c>
      <c r="O2480" t="s">
        <v>71</v>
      </c>
      <c r="P2480">
        <v>0</v>
      </c>
      <c r="Q2480">
        <v>0</v>
      </c>
      <c r="R2480">
        <v>0</v>
      </c>
      <c r="S2480" t="s">
        <v>99</v>
      </c>
      <c r="T2480" t="s">
        <v>4127</v>
      </c>
      <c r="U2480">
        <v>1</v>
      </c>
    </row>
    <row r="2481" spans="1:21" x14ac:dyDescent="0.3">
      <c r="A2481" t="s">
        <v>4128</v>
      </c>
      <c r="B2481" t="s">
        <v>4129</v>
      </c>
      <c r="C2481" t="s">
        <v>129</v>
      </c>
      <c r="D2481" t="s">
        <v>233</v>
      </c>
      <c r="E2481" t="s">
        <v>30</v>
      </c>
      <c r="F2481" s="6">
        <v>45382</v>
      </c>
      <c r="G2481">
        <v>100</v>
      </c>
      <c r="H2481">
        <v>79.599999999999994</v>
      </c>
      <c r="I2481">
        <v>0.79599999999999993</v>
      </c>
      <c r="J2481">
        <v>0.79599999999999993</v>
      </c>
      <c r="K2481" t="s">
        <v>31</v>
      </c>
      <c r="L2481" t="s">
        <v>31</v>
      </c>
      <c r="M2481">
        <v>2024</v>
      </c>
      <c r="N2481" t="s">
        <v>38</v>
      </c>
      <c r="O2481" t="s">
        <v>71</v>
      </c>
      <c r="P2481">
        <v>0</v>
      </c>
      <c r="Q2481">
        <v>0</v>
      </c>
      <c r="R2481">
        <v>0</v>
      </c>
      <c r="S2481" t="s">
        <v>99</v>
      </c>
      <c r="T2481" t="s">
        <v>4130</v>
      </c>
      <c r="U2481">
        <v>1</v>
      </c>
    </row>
    <row r="2482" spans="1:21" x14ac:dyDescent="0.3">
      <c r="A2482" t="s">
        <v>4128</v>
      </c>
      <c r="B2482" t="s">
        <v>4129</v>
      </c>
      <c r="C2482" t="s">
        <v>129</v>
      </c>
      <c r="D2482" t="s">
        <v>233</v>
      </c>
      <c r="E2482" t="s">
        <v>30</v>
      </c>
      <c r="F2482" s="6">
        <v>45473</v>
      </c>
      <c r="G2482">
        <v>100</v>
      </c>
      <c r="H2482">
        <v>118.1</v>
      </c>
      <c r="I2482">
        <v>1.181</v>
      </c>
      <c r="J2482">
        <v>1.181</v>
      </c>
      <c r="K2482" t="s">
        <v>31</v>
      </c>
      <c r="L2482" t="s">
        <v>31</v>
      </c>
      <c r="M2482">
        <v>2024</v>
      </c>
      <c r="N2482" t="s">
        <v>44</v>
      </c>
      <c r="O2482" t="s">
        <v>71</v>
      </c>
      <c r="P2482">
        <v>0</v>
      </c>
      <c r="Q2482">
        <v>0</v>
      </c>
      <c r="R2482">
        <v>0</v>
      </c>
      <c r="S2482" t="s">
        <v>99</v>
      </c>
      <c r="T2482" t="s">
        <v>4131</v>
      </c>
      <c r="U2482">
        <v>1</v>
      </c>
    </row>
    <row r="2483" spans="1:21" x14ac:dyDescent="0.3">
      <c r="A2483" t="s">
        <v>4128</v>
      </c>
      <c r="B2483" t="s">
        <v>4129</v>
      </c>
      <c r="C2483" t="s">
        <v>129</v>
      </c>
      <c r="D2483" t="s">
        <v>233</v>
      </c>
      <c r="E2483" t="s">
        <v>30</v>
      </c>
      <c r="F2483" s="6">
        <v>45565</v>
      </c>
      <c r="G2483">
        <v>100</v>
      </c>
      <c r="H2483">
        <v>104.86</v>
      </c>
      <c r="I2483">
        <v>1.0486</v>
      </c>
      <c r="J2483">
        <v>1.0486</v>
      </c>
      <c r="K2483" t="s">
        <v>31</v>
      </c>
      <c r="L2483" t="s">
        <v>31</v>
      </c>
      <c r="M2483">
        <v>2024</v>
      </c>
      <c r="N2483" t="s">
        <v>51</v>
      </c>
      <c r="O2483" t="s">
        <v>78</v>
      </c>
      <c r="P2483">
        <v>0</v>
      </c>
      <c r="Q2483">
        <v>0</v>
      </c>
      <c r="R2483">
        <v>0</v>
      </c>
      <c r="S2483" t="s">
        <v>99</v>
      </c>
      <c r="T2483" t="s">
        <v>4132</v>
      </c>
      <c r="U2483">
        <v>1</v>
      </c>
    </row>
    <row r="2484" spans="1:21" x14ac:dyDescent="0.3">
      <c r="A2484" t="s">
        <v>4128</v>
      </c>
      <c r="B2484" t="s">
        <v>4129</v>
      </c>
      <c r="C2484" t="s">
        <v>129</v>
      </c>
      <c r="D2484" t="s">
        <v>233</v>
      </c>
      <c r="E2484" t="s">
        <v>30</v>
      </c>
      <c r="F2484" s="6">
        <v>45657</v>
      </c>
      <c r="G2484">
        <v>100</v>
      </c>
      <c r="H2484">
        <v>0</v>
      </c>
      <c r="I2484">
        <v>0</v>
      </c>
      <c r="J2484">
        <v>0</v>
      </c>
      <c r="K2484" t="s">
        <v>31</v>
      </c>
      <c r="L2484" t="s">
        <v>31</v>
      </c>
      <c r="M2484">
        <v>2024</v>
      </c>
      <c r="N2484" t="s">
        <v>57</v>
      </c>
      <c r="O2484" t="s">
        <v>78</v>
      </c>
      <c r="P2484">
        <v>0</v>
      </c>
      <c r="Q2484">
        <v>0</v>
      </c>
      <c r="R2484">
        <v>0</v>
      </c>
      <c r="S2484" t="s">
        <v>99</v>
      </c>
      <c r="T2484" t="s">
        <v>4133</v>
      </c>
      <c r="U2484">
        <v>1</v>
      </c>
    </row>
    <row r="2485" spans="1:21" x14ac:dyDescent="0.3">
      <c r="A2485" t="s">
        <v>4128</v>
      </c>
      <c r="B2485" t="s">
        <v>4129</v>
      </c>
      <c r="C2485" t="s">
        <v>129</v>
      </c>
      <c r="D2485" t="s">
        <v>233</v>
      </c>
      <c r="E2485" t="s">
        <v>30</v>
      </c>
      <c r="F2485" s="6">
        <v>45747</v>
      </c>
      <c r="G2485">
        <v>100</v>
      </c>
      <c r="H2485" t="s">
        <v>4134</v>
      </c>
      <c r="I2485">
        <v>1.3</v>
      </c>
      <c r="J2485">
        <v>3.5280999999999998</v>
      </c>
      <c r="K2485" t="s">
        <v>102</v>
      </c>
      <c r="L2485" t="s">
        <v>4135</v>
      </c>
      <c r="M2485">
        <v>2025</v>
      </c>
      <c r="N2485" t="s">
        <v>38</v>
      </c>
      <c r="O2485" t="s">
        <v>244</v>
      </c>
      <c r="P2485">
        <v>2</v>
      </c>
      <c r="Q2485">
        <v>2</v>
      </c>
      <c r="R2485">
        <v>0</v>
      </c>
      <c r="S2485" t="s">
        <v>104</v>
      </c>
      <c r="T2485" t="s">
        <v>4136</v>
      </c>
      <c r="U2485">
        <v>31</v>
      </c>
    </row>
    <row r="2486" spans="1:21" x14ac:dyDescent="0.3">
      <c r="A2486" t="s">
        <v>4128</v>
      </c>
      <c r="B2486" t="s">
        <v>4129</v>
      </c>
      <c r="C2486" t="s">
        <v>129</v>
      </c>
      <c r="D2486" t="s">
        <v>233</v>
      </c>
      <c r="E2486" t="s">
        <v>30</v>
      </c>
      <c r="F2486" s="6">
        <v>45838</v>
      </c>
      <c r="G2486">
        <v>100</v>
      </c>
      <c r="H2486" t="s">
        <v>4137</v>
      </c>
      <c r="I2486">
        <v>1.3</v>
      </c>
      <c r="J2486">
        <v>1.4838</v>
      </c>
      <c r="K2486" t="s">
        <v>102</v>
      </c>
      <c r="L2486" t="s">
        <v>4138</v>
      </c>
      <c r="M2486">
        <v>2025</v>
      </c>
      <c r="N2486" t="s">
        <v>44</v>
      </c>
      <c r="O2486" t="s">
        <v>244</v>
      </c>
      <c r="P2486">
        <v>2</v>
      </c>
      <c r="Q2486">
        <v>2</v>
      </c>
      <c r="R2486">
        <v>0</v>
      </c>
      <c r="S2486" t="s">
        <v>104</v>
      </c>
      <c r="T2486" t="s">
        <v>4139</v>
      </c>
      <c r="U2486">
        <v>30</v>
      </c>
    </row>
    <row r="2487" spans="1:21" x14ac:dyDescent="0.3">
      <c r="A2487" t="s">
        <v>4128</v>
      </c>
      <c r="B2487" t="s">
        <v>4129</v>
      </c>
      <c r="C2487" t="s">
        <v>129</v>
      </c>
      <c r="D2487" t="s">
        <v>233</v>
      </c>
      <c r="E2487" t="s">
        <v>30</v>
      </c>
      <c r="F2487" s="6">
        <v>46022</v>
      </c>
      <c r="G2487">
        <v>100</v>
      </c>
      <c r="I2487">
        <v>0</v>
      </c>
      <c r="J2487">
        <v>0</v>
      </c>
      <c r="K2487" t="s">
        <v>102</v>
      </c>
      <c r="M2487">
        <v>2025</v>
      </c>
      <c r="N2487" t="s">
        <v>57</v>
      </c>
      <c r="O2487" t="s">
        <v>103</v>
      </c>
      <c r="P2487">
        <v>2</v>
      </c>
      <c r="Q2487">
        <v>2</v>
      </c>
      <c r="R2487">
        <v>0</v>
      </c>
      <c r="S2487" t="s">
        <v>104</v>
      </c>
      <c r="T2487" t="s">
        <v>4140</v>
      </c>
      <c r="U2487">
        <v>31</v>
      </c>
    </row>
    <row r="2488" spans="1:21" x14ac:dyDescent="0.3">
      <c r="A2488" t="s">
        <v>4141</v>
      </c>
      <c r="B2488" t="s">
        <v>4142</v>
      </c>
      <c r="C2488" t="s">
        <v>672</v>
      </c>
      <c r="D2488" t="s">
        <v>233</v>
      </c>
      <c r="E2488" t="s">
        <v>30</v>
      </c>
      <c r="F2488" s="6">
        <v>45473</v>
      </c>
      <c r="G2488">
        <v>56.79</v>
      </c>
      <c r="H2488">
        <v>60</v>
      </c>
      <c r="I2488">
        <v>1</v>
      </c>
      <c r="J2488">
        <v>1</v>
      </c>
      <c r="K2488" t="s">
        <v>31</v>
      </c>
      <c r="L2488" t="s">
        <v>31</v>
      </c>
      <c r="M2488">
        <v>2024</v>
      </c>
      <c r="N2488" t="s">
        <v>44</v>
      </c>
      <c r="O2488" t="s">
        <v>71</v>
      </c>
      <c r="P2488">
        <v>0</v>
      </c>
      <c r="Q2488">
        <v>0</v>
      </c>
      <c r="R2488">
        <v>0</v>
      </c>
      <c r="S2488" t="s">
        <v>99</v>
      </c>
      <c r="T2488" t="s">
        <v>4143</v>
      </c>
      <c r="U2488">
        <v>1</v>
      </c>
    </row>
    <row r="2489" spans="1:21" x14ac:dyDescent="0.3">
      <c r="A2489" t="s">
        <v>4144</v>
      </c>
      <c r="B2489" t="s">
        <v>4145</v>
      </c>
      <c r="C2489" t="s">
        <v>842</v>
      </c>
      <c r="D2489" t="s">
        <v>233</v>
      </c>
      <c r="E2489" t="s">
        <v>30</v>
      </c>
      <c r="F2489" s="6">
        <v>45473</v>
      </c>
      <c r="G2489">
        <v>67.84</v>
      </c>
      <c r="H2489">
        <v>63.75</v>
      </c>
      <c r="I2489">
        <v>0.93971108490566035</v>
      </c>
      <c r="J2489">
        <v>0.93971108490566035</v>
      </c>
      <c r="K2489" t="s">
        <v>31</v>
      </c>
      <c r="L2489" t="s">
        <v>31</v>
      </c>
      <c r="M2489">
        <v>2024</v>
      </c>
      <c r="N2489" t="s">
        <v>44</v>
      </c>
      <c r="O2489" t="s">
        <v>71</v>
      </c>
      <c r="P2489">
        <v>0</v>
      </c>
      <c r="Q2489">
        <v>0</v>
      </c>
      <c r="R2489">
        <v>0</v>
      </c>
      <c r="S2489" t="s">
        <v>99</v>
      </c>
      <c r="T2489" t="s">
        <v>4146</v>
      </c>
      <c r="U2489">
        <v>1</v>
      </c>
    </row>
    <row r="2490" spans="1:21" x14ac:dyDescent="0.3">
      <c r="A2490" t="s">
        <v>4147</v>
      </c>
      <c r="B2490" t="s">
        <v>4148</v>
      </c>
      <c r="C2490" t="s">
        <v>133</v>
      </c>
      <c r="D2490" t="s">
        <v>233</v>
      </c>
      <c r="E2490" t="s">
        <v>30</v>
      </c>
      <c r="F2490" s="6">
        <v>45473</v>
      </c>
      <c r="G2490">
        <v>71.58</v>
      </c>
      <c r="H2490">
        <v>80</v>
      </c>
      <c r="I2490">
        <v>1</v>
      </c>
      <c r="J2490">
        <v>1</v>
      </c>
      <c r="K2490" t="s">
        <v>31</v>
      </c>
      <c r="L2490" t="s">
        <v>31</v>
      </c>
      <c r="M2490">
        <v>2024</v>
      </c>
      <c r="N2490" t="s">
        <v>44</v>
      </c>
      <c r="O2490" t="s">
        <v>71</v>
      </c>
      <c r="P2490">
        <v>0</v>
      </c>
      <c r="Q2490">
        <v>0</v>
      </c>
      <c r="R2490">
        <v>0</v>
      </c>
      <c r="S2490" t="s">
        <v>99</v>
      </c>
      <c r="T2490" t="s">
        <v>4149</v>
      </c>
      <c r="U2490">
        <v>1</v>
      </c>
    </row>
    <row r="2491" spans="1:21" x14ac:dyDescent="0.3">
      <c r="A2491" t="s">
        <v>4150</v>
      </c>
      <c r="B2491" t="s">
        <v>4151</v>
      </c>
      <c r="C2491" t="s">
        <v>3093</v>
      </c>
      <c r="D2491" t="s">
        <v>233</v>
      </c>
      <c r="E2491" t="s">
        <v>30</v>
      </c>
      <c r="F2491" s="6">
        <v>45473</v>
      </c>
      <c r="G2491">
        <v>74.19</v>
      </c>
      <c r="H2491">
        <v>90</v>
      </c>
      <c r="I2491">
        <v>1</v>
      </c>
      <c r="J2491">
        <v>1</v>
      </c>
      <c r="K2491" t="s">
        <v>31</v>
      </c>
      <c r="L2491" t="s">
        <v>31</v>
      </c>
      <c r="M2491">
        <v>2024</v>
      </c>
      <c r="N2491" t="s">
        <v>44</v>
      </c>
      <c r="O2491" t="s">
        <v>71</v>
      </c>
      <c r="P2491">
        <v>0</v>
      </c>
      <c r="Q2491">
        <v>0</v>
      </c>
      <c r="R2491">
        <v>0</v>
      </c>
      <c r="S2491" t="s">
        <v>99</v>
      </c>
      <c r="T2491" t="s">
        <v>4152</v>
      </c>
      <c r="U2491">
        <v>1</v>
      </c>
    </row>
    <row r="2492" spans="1:21" x14ac:dyDescent="0.3">
      <c r="A2492" t="s">
        <v>4153</v>
      </c>
      <c r="B2492" t="s">
        <v>4154</v>
      </c>
      <c r="C2492" t="s">
        <v>2437</v>
      </c>
      <c r="D2492" t="s">
        <v>233</v>
      </c>
      <c r="E2492" t="s">
        <v>30</v>
      </c>
      <c r="F2492" s="6">
        <v>45473</v>
      </c>
      <c r="G2492">
        <v>34.85</v>
      </c>
      <c r="H2492">
        <v>55</v>
      </c>
      <c r="I2492">
        <v>1</v>
      </c>
      <c r="J2492">
        <v>1</v>
      </c>
      <c r="K2492" t="s">
        <v>31</v>
      </c>
      <c r="L2492" t="s">
        <v>31</v>
      </c>
      <c r="M2492">
        <v>2024</v>
      </c>
      <c r="N2492" t="s">
        <v>44</v>
      </c>
      <c r="O2492" t="s">
        <v>71</v>
      </c>
      <c r="P2492">
        <v>0</v>
      </c>
      <c r="Q2492">
        <v>0</v>
      </c>
      <c r="R2492">
        <v>0</v>
      </c>
      <c r="S2492" t="s">
        <v>99</v>
      </c>
      <c r="T2492" t="s">
        <v>4155</v>
      </c>
      <c r="U2492">
        <v>1</v>
      </c>
    </row>
    <row r="2493" spans="1:21" x14ac:dyDescent="0.3">
      <c r="A2493" t="s">
        <v>4156</v>
      </c>
      <c r="B2493" t="s">
        <v>4157</v>
      </c>
      <c r="C2493" t="s">
        <v>129</v>
      </c>
      <c r="D2493" t="s">
        <v>233</v>
      </c>
      <c r="E2493" t="s">
        <v>30</v>
      </c>
      <c r="F2493" s="6">
        <v>45382</v>
      </c>
      <c r="G2493">
        <v>100</v>
      </c>
      <c r="H2493">
        <v>108.48</v>
      </c>
      <c r="I2493">
        <v>1.0848</v>
      </c>
      <c r="J2493">
        <v>1.0848</v>
      </c>
      <c r="K2493" t="s">
        <v>31</v>
      </c>
      <c r="L2493" t="s">
        <v>31</v>
      </c>
      <c r="M2493">
        <v>2024</v>
      </c>
      <c r="N2493" t="s">
        <v>38</v>
      </c>
      <c r="O2493" t="s">
        <v>71</v>
      </c>
      <c r="P2493">
        <v>0</v>
      </c>
      <c r="Q2493">
        <v>0</v>
      </c>
      <c r="R2493">
        <v>0</v>
      </c>
      <c r="S2493" t="s">
        <v>99</v>
      </c>
      <c r="T2493" t="s">
        <v>4158</v>
      </c>
      <c r="U2493">
        <v>1</v>
      </c>
    </row>
    <row r="2494" spans="1:21" x14ac:dyDescent="0.3">
      <c r="A2494" t="s">
        <v>4156</v>
      </c>
      <c r="B2494" t="s">
        <v>4157</v>
      </c>
      <c r="C2494" t="s">
        <v>262</v>
      </c>
      <c r="D2494" t="s">
        <v>233</v>
      </c>
      <c r="E2494" t="s">
        <v>30</v>
      </c>
      <c r="F2494" s="6">
        <v>45473</v>
      </c>
      <c r="G2494">
        <v>100</v>
      </c>
      <c r="H2494">
        <v>105.56</v>
      </c>
      <c r="I2494">
        <v>1</v>
      </c>
      <c r="J2494">
        <v>1</v>
      </c>
      <c r="K2494" t="s">
        <v>31</v>
      </c>
      <c r="L2494" t="s">
        <v>31</v>
      </c>
      <c r="M2494">
        <v>2024</v>
      </c>
      <c r="N2494" t="s">
        <v>44</v>
      </c>
      <c r="O2494" t="s">
        <v>71</v>
      </c>
      <c r="P2494">
        <v>0</v>
      </c>
      <c r="Q2494">
        <v>0</v>
      </c>
      <c r="R2494">
        <v>0</v>
      </c>
      <c r="S2494" t="s">
        <v>99</v>
      </c>
      <c r="T2494" t="s">
        <v>4159</v>
      </c>
      <c r="U2494">
        <v>1</v>
      </c>
    </row>
    <row r="2495" spans="1:21" x14ac:dyDescent="0.3">
      <c r="A2495" t="s">
        <v>4156</v>
      </c>
      <c r="B2495" t="s">
        <v>4157</v>
      </c>
      <c r="C2495" t="s">
        <v>129</v>
      </c>
      <c r="D2495" t="s">
        <v>233</v>
      </c>
      <c r="E2495" t="s">
        <v>30</v>
      </c>
      <c r="F2495" s="6">
        <v>45565</v>
      </c>
      <c r="G2495">
        <v>100</v>
      </c>
      <c r="H2495">
        <v>91.07</v>
      </c>
      <c r="I2495">
        <v>0.91069999999999995</v>
      </c>
      <c r="J2495">
        <v>0.91069999999999995</v>
      </c>
      <c r="K2495" t="s">
        <v>31</v>
      </c>
      <c r="L2495" t="s">
        <v>31</v>
      </c>
      <c r="M2495">
        <v>2024</v>
      </c>
      <c r="N2495" t="s">
        <v>51</v>
      </c>
      <c r="O2495" t="s">
        <v>78</v>
      </c>
      <c r="P2495">
        <v>0</v>
      </c>
      <c r="Q2495">
        <v>0</v>
      </c>
      <c r="R2495">
        <v>0</v>
      </c>
      <c r="S2495" t="s">
        <v>99</v>
      </c>
      <c r="T2495" t="s">
        <v>4160</v>
      </c>
      <c r="U2495">
        <v>1</v>
      </c>
    </row>
    <row r="2496" spans="1:21" x14ac:dyDescent="0.3">
      <c r="A2496" t="s">
        <v>4156</v>
      </c>
      <c r="B2496" t="s">
        <v>4157</v>
      </c>
      <c r="C2496" t="s">
        <v>129</v>
      </c>
      <c r="D2496" t="s">
        <v>233</v>
      </c>
      <c r="E2496" t="s">
        <v>30</v>
      </c>
      <c r="F2496" s="6">
        <v>45657</v>
      </c>
      <c r="G2496">
        <v>100</v>
      </c>
      <c r="H2496">
        <v>0</v>
      </c>
      <c r="I2496">
        <v>0</v>
      </c>
      <c r="J2496">
        <v>0</v>
      </c>
      <c r="K2496" t="s">
        <v>31</v>
      </c>
      <c r="L2496" t="s">
        <v>31</v>
      </c>
      <c r="M2496">
        <v>2024</v>
      </c>
      <c r="N2496" t="s">
        <v>57</v>
      </c>
      <c r="O2496" t="s">
        <v>78</v>
      </c>
      <c r="P2496">
        <v>0</v>
      </c>
      <c r="Q2496">
        <v>0</v>
      </c>
      <c r="R2496">
        <v>0</v>
      </c>
      <c r="S2496" t="s">
        <v>99</v>
      </c>
      <c r="T2496" t="s">
        <v>4161</v>
      </c>
      <c r="U2496">
        <v>1</v>
      </c>
    </row>
    <row r="2497" spans="1:21" x14ac:dyDescent="0.3">
      <c r="A2497" t="s">
        <v>4156</v>
      </c>
      <c r="B2497" t="s">
        <v>4157</v>
      </c>
      <c r="C2497" t="s">
        <v>129</v>
      </c>
      <c r="D2497" t="s">
        <v>233</v>
      </c>
      <c r="E2497" t="s">
        <v>30</v>
      </c>
      <c r="F2497" s="6">
        <v>45747</v>
      </c>
      <c r="G2497">
        <v>100</v>
      </c>
      <c r="H2497" t="s">
        <v>4162</v>
      </c>
      <c r="I2497">
        <v>1.0350999999999999</v>
      </c>
      <c r="J2497">
        <v>1.0350999999999999</v>
      </c>
      <c r="K2497" t="s">
        <v>102</v>
      </c>
      <c r="L2497" t="s">
        <v>4163</v>
      </c>
      <c r="M2497">
        <v>2025</v>
      </c>
      <c r="N2497" t="s">
        <v>38</v>
      </c>
      <c r="O2497" t="s">
        <v>244</v>
      </c>
      <c r="P2497">
        <v>2</v>
      </c>
      <c r="Q2497">
        <v>2</v>
      </c>
      <c r="R2497">
        <v>0</v>
      </c>
      <c r="S2497" t="s">
        <v>104</v>
      </c>
      <c r="T2497" t="s">
        <v>4164</v>
      </c>
      <c r="U2497">
        <v>31</v>
      </c>
    </row>
    <row r="2498" spans="1:21" x14ac:dyDescent="0.3">
      <c r="A2498" t="s">
        <v>4156</v>
      </c>
      <c r="B2498" t="s">
        <v>4157</v>
      </c>
      <c r="C2498" t="s">
        <v>129</v>
      </c>
      <c r="D2498" t="s">
        <v>233</v>
      </c>
      <c r="E2498" t="s">
        <v>30</v>
      </c>
      <c r="F2498" s="6">
        <v>45838</v>
      </c>
      <c r="G2498">
        <v>100</v>
      </c>
      <c r="H2498" t="s">
        <v>4165</v>
      </c>
      <c r="I2498">
        <v>0.94019999999999992</v>
      </c>
      <c r="J2498">
        <v>0.94019999999999992</v>
      </c>
      <c r="K2498" t="s">
        <v>102</v>
      </c>
      <c r="L2498" t="s">
        <v>4166</v>
      </c>
      <c r="M2498">
        <v>2025</v>
      </c>
      <c r="N2498" t="s">
        <v>44</v>
      </c>
      <c r="O2498" t="s">
        <v>244</v>
      </c>
      <c r="P2498">
        <v>2</v>
      </c>
      <c r="Q2498">
        <v>2</v>
      </c>
      <c r="R2498">
        <v>0</v>
      </c>
      <c r="S2498" t="s">
        <v>104</v>
      </c>
      <c r="T2498" t="s">
        <v>4167</v>
      </c>
      <c r="U2498">
        <v>30</v>
      </c>
    </row>
    <row r="2499" spans="1:21" x14ac:dyDescent="0.3">
      <c r="A2499" t="s">
        <v>4156</v>
      </c>
      <c r="B2499" t="s">
        <v>4157</v>
      </c>
      <c r="C2499" t="s">
        <v>129</v>
      </c>
      <c r="D2499" t="s">
        <v>233</v>
      </c>
      <c r="E2499" t="s">
        <v>30</v>
      </c>
      <c r="F2499" s="6">
        <v>46022</v>
      </c>
      <c r="G2499">
        <v>100</v>
      </c>
      <c r="I2499">
        <v>0</v>
      </c>
      <c r="J2499">
        <v>0</v>
      </c>
      <c r="K2499" t="s">
        <v>102</v>
      </c>
      <c r="M2499">
        <v>2025</v>
      </c>
      <c r="N2499" t="s">
        <v>57</v>
      </c>
      <c r="O2499" t="s">
        <v>103</v>
      </c>
      <c r="P2499">
        <v>2</v>
      </c>
      <c r="Q2499">
        <v>2</v>
      </c>
      <c r="R2499">
        <v>0</v>
      </c>
      <c r="S2499" t="s">
        <v>104</v>
      </c>
      <c r="T2499" t="s">
        <v>4168</v>
      </c>
      <c r="U2499">
        <v>31</v>
      </c>
    </row>
    <row r="2500" spans="1:21" x14ac:dyDescent="0.3">
      <c r="A2500" t="s">
        <v>4169</v>
      </c>
      <c r="B2500" t="s">
        <v>4170</v>
      </c>
      <c r="C2500" t="s">
        <v>2619</v>
      </c>
      <c r="D2500" t="s">
        <v>222</v>
      </c>
      <c r="E2500" t="s">
        <v>30</v>
      </c>
      <c r="F2500" s="6">
        <v>45473</v>
      </c>
      <c r="G2500">
        <v>100</v>
      </c>
      <c r="H2500">
        <v>82.1</v>
      </c>
      <c r="I2500">
        <v>0.82099999999999995</v>
      </c>
      <c r="J2500">
        <v>0.82099999999999995</v>
      </c>
      <c r="K2500" t="s">
        <v>31</v>
      </c>
      <c r="L2500" t="s">
        <v>31</v>
      </c>
      <c r="M2500">
        <v>2024</v>
      </c>
      <c r="N2500" t="s">
        <v>44</v>
      </c>
      <c r="O2500" t="s">
        <v>71</v>
      </c>
      <c r="P2500">
        <v>0</v>
      </c>
      <c r="Q2500">
        <v>0</v>
      </c>
      <c r="R2500">
        <v>0</v>
      </c>
      <c r="S2500" t="s">
        <v>99</v>
      </c>
      <c r="T2500" t="s">
        <v>4171</v>
      </c>
      <c r="U2500">
        <v>1</v>
      </c>
    </row>
    <row r="2501" spans="1:21" x14ac:dyDescent="0.3">
      <c r="A2501" t="s">
        <v>4169</v>
      </c>
      <c r="B2501" t="s">
        <v>4170</v>
      </c>
      <c r="C2501" t="s">
        <v>2619</v>
      </c>
      <c r="D2501" t="s">
        <v>222</v>
      </c>
      <c r="E2501" t="s">
        <v>30</v>
      </c>
      <c r="F2501" s="6">
        <v>45657</v>
      </c>
      <c r="G2501">
        <v>100</v>
      </c>
      <c r="H2501">
        <v>100</v>
      </c>
      <c r="I2501">
        <v>1</v>
      </c>
      <c r="J2501">
        <v>1</v>
      </c>
      <c r="K2501" t="s">
        <v>31</v>
      </c>
      <c r="L2501" t="s">
        <v>31</v>
      </c>
      <c r="M2501">
        <v>2024</v>
      </c>
      <c r="N2501" t="s">
        <v>57</v>
      </c>
      <c r="O2501" t="s">
        <v>78</v>
      </c>
      <c r="P2501">
        <v>0</v>
      </c>
      <c r="Q2501">
        <v>0</v>
      </c>
      <c r="R2501">
        <v>0</v>
      </c>
      <c r="S2501" t="s">
        <v>99</v>
      </c>
      <c r="T2501" t="s">
        <v>4172</v>
      </c>
      <c r="U2501">
        <v>1</v>
      </c>
    </row>
    <row r="2502" spans="1:21" x14ac:dyDescent="0.3">
      <c r="A2502" t="s">
        <v>4173</v>
      </c>
      <c r="B2502" t="s">
        <v>4174</v>
      </c>
      <c r="C2502" t="s">
        <v>28</v>
      </c>
      <c r="D2502" t="s">
        <v>222</v>
      </c>
      <c r="E2502" t="s">
        <v>30</v>
      </c>
      <c r="F2502" s="6">
        <v>45473</v>
      </c>
      <c r="G2502">
        <v>16</v>
      </c>
      <c r="H2502">
        <v>16</v>
      </c>
      <c r="I2502">
        <v>1</v>
      </c>
      <c r="J2502">
        <v>1</v>
      </c>
      <c r="K2502" t="s">
        <v>118</v>
      </c>
      <c r="L2502" t="s">
        <v>118</v>
      </c>
      <c r="M2502">
        <v>2024</v>
      </c>
      <c r="N2502" t="s">
        <v>44</v>
      </c>
      <c r="O2502" t="s">
        <v>71</v>
      </c>
      <c r="P2502">
        <v>0</v>
      </c>
      <c r="Q2502">
        <v>0</v>
      </c>
      <c r="R2502">
        <v>1</v>
      </c>
      <c r="S2502" t="s">
        <v>34</v>
      </c>
      <c r="T2502" t="s">
        <v>4175</v>
      </c>
      <c r="U2502">
        <v>1</v>
      </c>
    </row>
    <row r="2503" spans="1:21" x14ac:dyDescent="0.3">
      <c r="A2503" t="s">
        <v>4173</v>
      </c>
      <c r="B2503" t="s">
        <v>4176</v>
      </c>
      <c r="C2503" t="s">
        <v>28</v>
      </c>
      <c r="D2503" t="s">
        <v>222</v>
      </c>
      <c r="E2503" t="s">
        <v>30</v>
      </c>
      <c r="F2503" s="6">
        <v>45657</v>
      </c>
      <c r="G2503">
        <v>17</v>
      </c>
      <c r="H2503">
        <v>17</v>
      </c>
      <c r="I2503">
        <v>1</v>
      </c>
      <c r="J2503">
        <v>1</v>
      </c>
      <c r="K2503" t="s">
        <v>118</v>
      </c>
      <c r="L2503" t="s">
        <v>118</v>
      </c>
      <c r="M2503">
        <v>2024</v>
      </c>
      <c r="N2503" t="s">
        <v>57</v>
      </c>
      <c r="O2503" t="s">
        <v>78</v>
      </c>
      <c r="P2503">
        <v>0</v>
      </c>
      <c r="Q2503">
        <v>0</v>
      </c>
      <c r="R2503">
        <v>0</v>
      </c>
      <c r="S2503" t="s">
        <v>34</v>
      </c>
      <c r="T2503" t="s">
        <v>4177</v>
      </c>
      <c r="U2503">
        <v>1</v>
      </c>
    </row>
    <row r="2504" spans="1:21" x14ac:dyDescent="0.3">
      <c r="A2504" t="s">
        <v>4173</v>
      </c>
      <c r="B2504" t="s">
        <v>4176</v>
      </c>
      <c r="C2504" t="s">
        <v>28</v>
      </c>
      <c r="D2504" t="s">
        <v>222</v>
      </c>
      <c r="E2504" t="s">
        <v>30</v>
      </c>
      <c r="F2504" s="6">
        <v>45838</v>
      </c>
      <c r="G2504">
        <v>100</v>
      </c>
      <c r="H2504" t="s">
        <v>95</v>
      </c>
      <c r="I2504">
        <v>1</v>
      </c>
      <c r="J2504">
        <v>1</v>
      </c>
      <c r="K2504" t="s">
        <v>102</v>
      </c>
      <c r="L2504" t="s">
        <v>102</v>
      </c>
      <c r="M2504">
        <v>2025</v>
      </c>
      <c r="N2504" t="s">
        <v>44</v>
      </c>
      <c r="O2504" t="s">
        <v>244</v>
      </c>
      <c r="P2504">
        <v>2</v>
      </c>
      <c r="Q2504">
        <v>2</v>
      </c>
      <c r="R2504">
        <v>0</v>
      </c>
      <c r="S2504" t="s">
        <v>34</v>
      </c>
      <c r="T2504" t="s">
        <v>4178</v>
      </c>
      <c r="U2504">
        <v>30</v>
      </c>
    </row>
    <row r="2505" spans="1:21" x14ac:dyDescent="0.3">
      <c r="A2505" t="s">
        <v>4173</v>
      </c>
      <c r="B2505" t="s">
        <v>4176</v>
      </c>
      <c r="C2505" t="s">
        <v>28</v>
      </c>
      <c r="D2505" t="s">
        <v>222</v>
      </c>
      <c r="E2505" t="s">
        <v>30</v>
      </c>
      <c r="F2505" s="6">
        <v>46022</v>
      </c>
      <c r="G2505">
        <v>100</v>
      </c>
      <c r="H2505" t="s">
        <v>424</v>
      </c>
      <c r="I2505">
        <v>0</v>
      </c>
      <c r="J2505">
        <v>0</v>
      </c>
      <c r="K2505" t="s">
        <v>102</v>
      </c>
      <c r="M2505">
        <v>2025</v>
      </c>
      <c r="N2505" t="s">
        <v>57</v>
      </c>
      <c r="O2505" t="s">
        <v>103</v>
      </c>
      <c r="P2505">
        <v>2</v>
      </c>
      <c r="Q2505">
        <v>2</v>
      </c>
      <c r="R2505">
        <v>0</v>
      </c>
      <c r="S2505" t="s">
        <v>34</v>
      </c>
      <c r="T2505" t="s">
        <v>4179</v>
      </c>
      <c r="U2505">
        <v>31</v>
      </c>
    </row>
    <row r="2506" spans="1:21" x14ac:dyDescent="0.3">
      <c r="A2506" t="s">
        <v>4180</v>
      </c>
      <c r="B2506" t="s">
        <v>4181</v>
      </c>
      <c r="C2506" t="s">
        <v>2991</v>
      </c>
      <c r="D2506" t="s">
        <v>222</v>
      </c>
      <c r="E2506" t="s">
        <v>30</v>
      </c>
      <c r="F2506" s="6">
        <v>45473</v>
      </c>
      <c r="G2506">
        <v>100</v>
      </c>
      <c r="H2506">
        <v>100</v>
      </c>
      <c r="I2506">
        <v>1</v>
      </c>
      <c r="J2506">
        <v>1</v>
      </c>
      <c r="K2506" t="s">
        <v>118</v>
      </c>
      <c r="L2506" t="s">
        <v>118</v>
      </c>
      <c r="M2506">
        <v>2024</v>
      </c>
      <c r="N2506" t="s">
        <v>44</v>
      </c>
      <c r="O2506" t="s">
        <v>71</v>
      </c>
      <c r="P2506">
        <v>0</v>
      </c>
      <c r="Q2506">
        <v>0</v>
      </c>
      <c r="R2506">
        <v>0</v>
      </c>
      <c r="S2506" t="s">
        <v>34</v>
      </c>
      <c r="T2506" t="s">
        <v>4182</v>
      </c>
      <c r="U2506">
        <v>1</v>
      </c>
    </row>
    <row r="2507" spans="1:21" x14ac:dyDescent="0.3">
      <c r="A2507" t="s">
        <v>4180</v>
      </c>
      <c r="B2507" t="s">
        <v>4183</v>
      </c>
      <c r="C2507" t="s">
        <v>2991</v>
      </c>
      <c r="D2507" t="s">
        <v>222</v>
      </c>
      <c r="E2507" t="s">
        <v>30</v>
      </c>
      <c r="F2507" s="6">
        <v>45657</v>
      </c>
      <c r="G2507">
        <v>100</v>
      </c>
      <c r="H2507">
        <v>100</v>
      </c>
      <c r="I2507">
        <v>1</v>
      </c>
      <c r="J2507">
        <v>1</v>
      </c>
      <c r="K2507" t="s">
        <v>118</v>
      </c>
      <c r="L2507" t="s">
        <v>118</v>
      </c>
      <c r="M2507">
        <v>2024</v>
      </c>
      <c r="N2507" t="s">
        <v>57</v>
      </c>
      <c r="O2507" t="s">
        <v>78</v>
      </c>
      <c r="P2507">
        <v>0</v>
      </c>
      <c r="Q2507">
        <v>0</v>
      </c>
      <c r="R2507">
        <v>0</v>
      </c>
      <c r="S2507" t="s">
        <v>34</v>
      </c>
      <c r="T2507" t="s">
        <v>4184</v>
      </c>
      <c r="U2507">
        <v>1</v>
      </c>
    </row>
    <row r="2508" spans="1:21" x14ac:dyDescent="0.3">
      <c r="A2508" t="s">
        <v>4180</v>
      </c>
      <c r="B2508" t="s">
        <v>4183</v>
      </c>
      <c r="C2508" t="s">
        <v>2991</v>
      </c>
      <c r="D2508" t="s">
        <v>222</v>
      </c>
      <c r="E2508" t="s">
        <v>30</v>
      </c>
      <c r="F2508" s="6">
        <v>45838</v>
      </c>
      <c r="H2508" t="s">
        <v>121</v>
      </c>
      <c r="I2508">
        <v>0</v>
      </c>
      <c r="J2508">
        <v>0</v>
      </c>
      <c r="L2508" t="s">
        <v>122</v>
      </c>
      <c r="M2508">
        <v>2025</v>
      </c>
      <c r="N2508" t="s">
        <v>44</v>
      </c>
      <c r="O2508" t="s">
        <v>244</v>
      </c>
      <c r="P2508">
        <v>2</v>
      </c>
      <c r="Q2508">
        <v>2</v>
      </c>
      <c r="R2508">
        <v>0</v>
      </c>
      <c r="S2508" t="s">
        <v>34</v>
      </c>
      <c r="T2508" t="s">
        <v>4185</v>
      </c>
      <c r="U2508">
        <v>30</v>
      </c>
    </row>
    <row r="2509" spans="1:21" x14ac:dyDescent="0.3">
      <c r="A2509" t="s">
        <v>4186</v>
      </c>
      <c r="B2509" t="s">
        <v>4187</v>
      </c>
      <c r="C2509" t="s">
        <v>61</v>
      </c>
      <c r="D2509" t="s">
        <v>222</v>
      </c>
      <c r="E2509" t="s">
        <v>30</v>
      </c>
      <c r="F2509" s="6">
        <v>45473</v>
      </c>
      <c r="M2509">
        <v>2024</v>
      </c>
      <c r="N2509" t="s">
        <v>44</v>
      </c>
      <c r="O2509" t="s">
        <v>71</v>
      </c>
      <c r="P2509">
        <v>0</v>
      </c>
      <c r="Q2509">
        <v>0</v>
      </c>
      <c r="R2509">
        <v>0</v>
      </c>
      <c r="S2509" t="s">
        <v>34</v>
      </c>
      <c r="T2509" t="s">
        <v>4188</v>
      </c>
      <c r="U2509">
        <v>1</v>
      </c>
    </row>
    <row r="2510" spans="1:21" x14ac:dyDescent="0.3">
      <c r="A2510" t="s">
        <v>4186</v>
      </c>
      <c r="B2510" t="s">
        <v>4187</v>
      </c>
      <c r="C2510" t="s">
        <v>61</v>
      </c>
      <c r="D2510" t="s">
        <v>222</v>
      </c>
      <c r="E2510" t="s">
        <v>30</v>
      </c>
      <c r="F2510" s="6">
        <v>45657</v>
      </c>
      <c r="G2510">
        <v>100</v>
      </c>
      <c r="H2510">
        <v>100</v>
      </c>
      <c r="I2510">
        <v>1</v>
      </c>
      <c r="J2510">
        <v>1</v>
      </c>
      <c r="M2510">
        <v>2024</v>
      </c>
      <c r="N2510" t="s">
        <v>57</v>
      </c>
      <c r="O2510" t="s">
        <v>78</v>
      </c>
      <c r="P2510">
        <v>0</v>
      </c>
      <c r="Q2510">
        <v>0</v>
      </c>
      <c r="R2510">
        <v>0</v>
      </c>
      <c r="S2510" t="s">
        <v>34</v>
      </c>
      <c r="T2510" t="s">
        <v>4189</v>
      </c>
      <c r="U2510">
        <v>1</v>
      </c>
    </row>
    <row r="2511" spans="1:21" x14ac:dyDescent="0.3">
      <c r="A2511" t="s">
        <v>4186</v>
      </c>
      <c r="B2511" t="s">
        <v>4187</v>
      </c>
      <c r="C2511" t="s">
        <v>61</v>
      </c>
      <c r="D2511" t="s">
        <v>222</v>
      </c>
      <c r="E2511" t="s">
        <v>30</v>
      </c>
      <c r="F2511" s="6">
        <v>45838</v>
      </c>
      <c r="G2511">
        <v>100</v>
      </c>
      <c r="H2511" t="s">
        <v>424</v>
      </c>
      <c r="I2511">
        <v>0</v>
      </c>
      <c r="J2511">
        <v>0</v>
      </c>
      <c r="K2511" t="s">
        <v>102</v>
      </c>
      <c r="M2511">
        <v>2025</v>
      </c>
      <c r="N2511" t="s">
        <v>44</v>
      </c>
      <c r="O2511" t="s">
        <v>244</v>
      </c>
      <c r="P2511">
        <v>2</v>
      </c>
      <c r="Q2511">
        <v>2</v>
      </c>
      <c r="R2511">
        <v>0</v>
      </c>
      <c r="T2511" t="s">
        <v>4190</v>
      </c>
      <c r="U2511">
        <v>30</v>
      </c>
    </row>
    <row r="2512" spans="1:21" x14ac:dyDescent="0.3">
      <c r="A2512" t="s">
        <v>4186</v>
      </c>
      <c r="B2512" t="s">
        <v>4187</v>
      </c>
      <c r="C2512" t="s">
        <v>61</v>
      </c>
      <c r="D2512" t="s">
        <v>222</v>
      </c>
      <c r="E2512" t="s">
        <v>30</v>
      </c>
      <c r="F2512" s="6">
        <v>46022</v>
      </c>
      <c r="G2512">
        <v>100</v>
      </c>
      <c r="H2512" t="s">
        <v>95</v>
      </c>
      <c r="I2512">
        <v>1</v>
      </c>
      <c r="J2512">
        <v>1</v>
      </c>
      <c r="K2512" t="s">
        <v>102</v>
      </c>
      <c r="L2512" t="s">
        <v>102</v>
      </c>
      <c r="M2512">
        <v>2025</v>
      </c>
      <c r="N2512" t="s">
        <v>57</v>
      </c>
      <c r="O2512" t="s">
        <v>103</v>
      </c>
      <c r="P2512">
        <v>2</v>
      </c>
      <c r="Q2512">
        <v>2</v>
      </c>
      <c r="R2512">
        <v>0</v>
      </c>
      <c r="T2512" t="s">
        <v>4191</v>
      </c>
      <c r="U2512">
        <v>31</v>
      </c>
    </row>
    <row r="2513" spans="1:21" x14ac:dyDescent="0.3">
      <c r="A2513" t="s">
        <v>4192</v>
      </c>
      <c r="B2513" t="s">
        <v>4193</v>
      </c>
      <c r="C2513" t="s">
        <v>28</v>
      </c>
      <c r="D2513" t="s">
        <v>222</v>
      </c>
      <c r="E2513" t="s">
        <v>30</v>
      </c>
      <c r="F2513" s="6">
        <v>45473</v>
      </c>
      <c r="G2513">
        <v>15</v>
      </c>
      <c r="H2513">
        <v>15</v>
      </c>
      <c r="I2513">
        <v>1</v>
      </c>
      <c r="J2513">
        <v>1</v>
      </c>
      <c r="M2513">
        <v>2024</v>
      </c>
      <c r="N2513" t="s">
        <v>44</v>
      </c>
      <c r="O2513" t="s">
        <v>71</v>
      </c>
      <c r="P2513">
        <v>0</v>
      </c>
      <c r="Q2513">
        <v>0</v>
      </c>
      <c r="R2513">
        <v>0</v>
      </c>
      <c r="S2513" t="s">
        <v>34</v>
      </c>
      <c r="T2513" t="s">
        <v>4194</v>
      </c>
      <c r="U2513">
        <v>1</v>
      </c>
    </row>
    <row r="2514" spans="1:21" x14ac:dyDescent="0.3">
      <c r="A2514" t="s">
        <v>4192</v>
      </c>
      <c r="B2514" t="s">
        <v>4193</v>
      </c>
      <c r="C2514" t="s">
        <v>28</v>
      </c>
      <c r="D2514" t="s">
        <v>222</v>
      </c>
      <c r="E2514" t="s">
        <v>30</v>
      </c>
      <c r="F2514" s="6">
        <v>45657</v>
      </c>
      <c r="G2514">
        <v>15</v>
      </c>
      <c r="H2514">
        <v>15</v>
      </c>
      <c r="I2514">
        <v>1</v>
      </c>
      <c r="J2514">
        <v>1</v>
      </c>
      <c r="M2514">
        <v>2024</v>
      </c>
      <c r="N2514" t="s">
        <v>57</v>
      </c>
      <c r="O2514" t="s">
        <v>78</v>
      </c>
      <c r="P2514">
        <v>0</v>
      </c>
      <c r="Q2514">
        <v>0</v>
      </c>
      <c r="R2514">
        <v>0</v>
      </c>
      <c r="S2514" t="s">
        <v>34</v>
      </c>
      <c r="T2514" t="s">
        <v>4195</v>
      </c>
      <c r="U2514">
        <v>1</v>
      </c>
    </row>
    <row r="2515" spans="1:21" x14ac:dyDescent="0.3">
      <c r="A2515" t="s">
        <v>4192</v>
      </c>
      <c r="B2515" t="s">
        <v>4193</v>
      </c>
      <c r="C2515" t="s">
        <v>28</v>
      </c>
      <c r="D2515" t="s">
        <v>222</v>
      </c>
      <c r="E2515" t="s">
        <v>30</v>
      </c>
      <c r="F2515" s="6">
        <v>45838</v>
      </c>
      <c r="G2515">
        <v>100</v>
      </c>
      <c r="H2515" t="s">
        <v>95</v>
      </c>
      <c r="I2515">
        <v>1</v>
      </c>
      <c r="J2515">
        <v>1</v>
      </c>
      <c r="K2515" t="s">
        <v>102</v>
      </c>
      <c r="L2515" t="s">
        <v>102</v>
      </c>
      <c r="M2515">
        <v>2025</v>
      </c>
      <c r="N2515" t="s">
        <v>44</v>
      </c>
      <c r="O2515" t="s">
        <v>244</v>
      </c>
      <c r="P2515">
        <v>2</v>
      </c>
      <c r="Q2515">
        <v>2</v>
      </c>
      <c r="R2515">
        <v>1</v>
      </c>
      <c r="S2515" t="s">
        <v>34</v>
      </c>
      <c r="T2515" t="s">
        <v>4196</v>
      </c>
      <c r="U2515">
        <v>30</v>
      </c>
    </row>
    <row r="2516" spans="1:21" x14ac:dyDescent="0.3">
      <c r="A2516" t="s">
        <v>4192</v>
      </c>
      <c r="B2516" t="s">
        <v>4193</v>
      </c>
      <c r="C2516" t="s">
        <v>28</v>
      </c>
      <c r="D2516" t="s">
        <v>222</v>
      </c>
      <c r="E2516" t="s">
        <v>30</v>
      </c>
      <c r="F2516" s="6">
        <v>46022</v>
      </c>
      <c r="G2516">
        <v>100</v>
      </c>
      <c r="H2516" t="s">
        <v>95</v>
      </c>
      <c r="I2516">
        <v>1</v>
      </c>
      <c r="J2516">
        <v>1</v>
      </c>
      <c r="K2516" t="s">
        <v>102</v>
      </c>
      <c r="L2516" t="s">
        <v>102</v>
      </c>
      <c r="M2516">
        <v>2025</v>
      </c>
      <c r="N2516" t="s">
        <v>57</v>
      </c>
      <c r="O2516" t="s">
        <v>103</v>
      </c>
      <c r="P2516">
        <v>2</v>
      </c>
      <c r="Q2516">
        <v>2</v>
      </c>
      <c r="R2516">
        <v>1</v>
      </c>
      <c r="S2516" t="s">
        <v>34</v>
      </c>
      <c r="T2516" t="s">
        <v>4197</v>
      </c>
      <c r="U2516">
        <v>31</v>
      </c>
    </row>
    <row r="2517" spans="1:21" x14ac:dyDescent="0.3">
      <c r="A2517" t="s">
        <v>4198</v>
      </c>
      <c r="B2517" t="s">
        <v>4199</v>
      </c>
      <c r="C2517" t="s">
        <v>2991</v>
      </c>
      <c r="D2517" t="s">
        <v>222</v>
      </c>
      <c r="E2517" t="s">
        <v>30</v>
      </c>
      <c r="F2517" s="6">
        <v>45473</v>
      </c>
      <c r="G2517">
        <v>100</v>
      </c>
      <c r="H2517">
        <v>100</v>
      </c>
      <c r="I2517">
        <v>1</v>
      </c>
      <c r="J2517">
        <v>1</v>
      </c>
      <c r="M2517">
        <v>2024</v>
      </c>
      <c r="N2517" t="s">
        <v>44</v>
      </c>
      <c r="O2517" t="s">
        <v>71</v>
      </c>
      <c r="P2517">
        <v>0</v>
      </c>
      <c r="Q2517">
        <v>0</v>
      </c>
      <c r="R2517">
        <v>0</v>
      </c>
      <c r="S2517" t="s">
        <v>34</v>
      </c>
      <c r="T2517" t="s">
        <v>4200</v>
      </c>
      <c r="U2517">
        <v>1</v>
      </c>
    </row>
    <row r="2518" spans="1:21" x14ac:dyDescent="0.3">
      <c r="A2518" t="s">
        <v>4198</v>
      </c>
      <c r="B2518" t="s">
        <v>4199</v>
      </c>
      <c r="C2518" t="s">
        <v>2991</v>
      </c>
      <c r="D2518" t="s">
        <v>222</v>
      </c>
      <c r="E2518" t="s">
        <v>30</v>
      </c>
      <c r="F2518" s="6">
        <v>45657</v>
      </c>
      <c r="G2518">
        <v>100</v>
      </c>
      <c r="H2518">
        <v>100</v>
      </c>
      <c r="I2518">
        <v>1</v>
      </c>
      <c r="J2518">
        <v>1</v>
      </c>
      <c r="M2518">
        <v>2024</v>
      </c>
      <c r="N2518" t="s">
        <v>57</v>
      </c>
      <c r="O2518" t="s">
        <v>78</v>
      </c>
      <c r="P2518">
        <v>0</v>
      </c>
      <c r="Q2518">
        <v>0</v>
      </c>
      <c r="R2518">
        <v>0</v>
      </c>
      <c r="S2518" t="s">
        <v>34</v>
      </c>
      <c r="T2518" t="s">
        <v>4201</v>
      </c>
      <c r="U2518">
        <v>1</v>
      </c>
    </row>
    <row r="2519" spans="1:21" x14ac:dyDescent="0.3">
      <c r="A2519" t="s">
        <v>4202</v>
      </c>
      <c r="B2519" t="s">
        <v>4203</v>
      </c>
      <c r="C2519" t="s">
        <v>2991</v>
      </c>
      <c r="D2519" t="s">
        <v>222</v>
      </c>
      <c r="E2519" t="s">
        <v>30</v>
      </c>
      <c r="F2519" s="6">
        <v>45473</v>
      </c>
      <c r="G2519">
        <v>100</v>
      </c>
      <c r="I2519">
        <v>0</v>
      </c>
      <c r="J2519">
        <v>0</v>
      </c>
      <c r="K2519" t="s">
        <v>215</v>
      </c>
      <c r="L2519" t="s">
        <v>215</v>
      </c>
      <c r="M2519">
        <v>2024</v>
      </c>
      <c r="N2519" t="s">
        <v>44</v>
      </c>
      <c r="O2519" t="s">
        <v>71</v>
      </c>
      <c r="P2519">
        <v>0</v>
      </c>
      <c r="Q2519">
        <v>0</v>
      </c>
      <c r="R2519">
        <v>0</v>
      </c>
      <c r="S2519" t="s">
        <v>34</v>
      </c>
      <c r="T2519" t="s">
        <v>4204</v>
      </c>
      <c r="U2519">
        <v>1</v>
      </c>
    </row>
    <row r="2520" spans="1:21" x14ac:dyDescent="0.3">
      <c r="A2520" t="s">
        <v>4202</v>
      </c>
      <c r="B2520" t="s">
        <v>4203</v>
      </c>
      <c r="C2520" t="s">
        <v>2991</v>
      </c>
      <c r="D2520" t="s">
        <v>222</v>
      </c>
      <c r="E2520" t="s">
        <v>30</v>
      </c>
      <c r="F2520" s="6">
        <v>45657</v>
      </c>
      <c r="G2520">
        <v>100</v>
      </c>
      <c r="H2520">
        <v>100</v>
      </c>
      <c r="I2520">
        <v>1</v>
      </c>
      <c r="J2520">
        <v>1</v>
      </c>
      <c r="M2520">
        <v>2024</v>
      </c>
      <c r="N2520" t="s">
        <v>57</v>
      </c>
      <c r="O2520" t="s">
        <v>78</v>
      </c>
      <c r="P2520">
        <v>0</v>
      </c>
      <c r="Q2520">
        <v>0</v>
      </c>
      <c r="R2520">
        <v>0</v>
      </c>
      <c r="S2520" t="s">
        <v>34</v>
      </c>
      <c r="T2520" t="s">
        <v>4205</v>
      </c>
      <c r="U2520">
        <v>1</v>
      </c>
    </row>
    <row r="2521" spans="1:21" x14ac:dyDescent="0.3">
      <c r="A2521" t="s">
        <v>4202</v>
      </c>
      <c r="B2521" t="s">
        <v>4203</v>
      </c>
      <c r="C2521" t="s">
        <v>2991</v>
      </c>
      <c r="D2521" t="s">
        <v>222</v>
      </c>
      <c r="E2521" t="s">
        <v>30</v>
      </c>
      <c r="F2521" s="6">
        <v>45838</v>
      </c>
      <c r="H2521" t="s">
        <v>121</v>
      </c>
      <c r="I2521">
        <v>0</v>
      </c>
      <c r="J2521">
        <v>0</v>
      </c>
      <c r="L2521" t="s">
        <v>122</v>
      </c>
      <c r="M2521">
        <v>2025</v>
      </c>
      <c r="N2521" t="s">
        <v>44</v>
      </c>
      <c r="O2521" t="s">
        <v>244</v>
      </c>
      <c r="P2521">
        <v>2</v>
      </c>
      <c r="Q2521">
        <v>2</v>
      </c>
      <c r="R2521">
        <v>0</v>
      </c>
      <c r="T2521" t="s">
        <v>4206</v>
      </c>
      <c r="U2521">
        <v>30</v>
      </c>
    </row>
    <row r="2522" spans="1:21" x14ac:dyDescent="0.3">
      <c r="A2522" t="s">
        <v>4207</v>
      </c>
      <c r="B2522" t="s">
        <v>4208</v>
      </c>
      <c r="C2522" t="s">
        <v>2991</v>
      </c>
      <c r="D2522" t="s">
        <v>222</v>
      </c>
      <c r="E2522" t="s">
        <v>30</v>
      </c>
      <c r="F2522" s="6">
        <v>45473</v>
      </c>
      <c r="G2522">
        <v>100</v>
      </c>
      <c r="H2522">
        <v>100</v>
      </c>
      <c r="I2522">
        <v>1</v>
      </c>
      <c r="J2522">
        <v>1</v>
      </c>
      <c r="M2522">
        <v>2024</v>
      </c>
      <c r="N2522" t="s">
        <v>44</v>
      </c>
      <c r="O2522" t="s">
        <v>71</v>
      </c>
      <c r="P2522">
        <v>0</v>
      </c>
      <c r="Q2522">
        <v>0</v>
      </c>
      <c r="R2522">
        <v>0</v>
      </c>
      <c r="S2522" t="s">
        <v>34</v>
      </c>
      <c r="T2522" t="s">
        <v>4209</v>
      </c>
      <c r="U2522">
        <v>1</v>
      </c>
    </row>
    <row r="2523" spans="1:21" x14ac:dyDescent="0.3">
      <c r="A2523" t="s">
        <v>4207</v>
      </c>
      <c r="B2523" t="s">
        <v>4208</v>
      </c>
      <c r="C2523" t="s">
        <v>2991</v>
      </c>
      <c r="D2523" t="s">
        <v>222</v>
      </c>
      <c r="E2523" t="s">
        <v>30</v>
      </c>
      <c r="F2523" s="6">
        <v>45657</v>
      </c>
      <c r="G2523">
        <v>100</v>
      </c>
      <c r="H2523">
        <v>100</v>
      </c>
      <c r="I2523">
        <v>1</v>
      </c>
      <c r="J2523">
        <v>1</v>
      </c>
      <c r="M2523">
        <v>2024</v>
      </c>
      <c r="N2523" t="s">
        <v>57</v>
      </c>
      <c r="O2523" t="s">
        <v>78</v>
      </c>
      <c r="P2523">
        <v>0</v>
      </c>
      <c r="Q2523">
        <v>0</v>
      </c>
      <c r="R2523">
        <v>0</v>
      </c>
      <c r="S2523" t="s">
        <v>34</v>
      </c>
      <c r="T2523" t="s">
        <v>4210</v>
      </c>
      <c r="U2523">
        <v>1</v>
      </c>
    </row>
    <row r="2524" spans="1:21" x14ac:dyDescent="0.3">
      <c r="A2524" t="s">
        <v>4207</v>
      </c>
      <c r="B2524" t="s">
        <v>4208</v>
      </c>
      <c r="C2524" t="s">
        <v>2991</v>
      </c>
      <c r="D2524" t="s">
        <v>222</v>
      </c>
      <c r="E2524" t="s">
        <v>30</v>
      </c>
      <c r="F2524" s="6">
        <v>45838</v>
      </c>
      <c r="G2524">
        <v>100</v>
      </c>
      <c r="I2524">
        <v>0</v>
      </c>
      <c r="J2524">
        <v>0</v>
      </c>
      <c r="K2524" t="s">
        <v>102</v>
      </c>
      <c r="M2524">
        <v>2025</v>
      </c>
      <c r="N2524" t="s">
        <v>44</v>
      </c>
      <c r="O2524" t="s">
        <v>244</v>
      </c>
      <c r="P2524">
        <v>2</v>
      </c>
      <c r="Q2524">
        <v>2</v>
      </c>
      <c r="R2524">
        <v>0</v>
      </c>
      <c r="T2524" t="s">
        <v>4211</v>
      </c>
      <c r="U2524">
        <v>30</v>
      </c>
    </row>
    <row r="2525" spans="1:21" x14ac:dyDescent="0.3">
      <c r="A2525" t="s">
        <v>4212</v>
      </c>
      <c r="B2525" t="s">
        <v>4213</v>
      </c>
      <c r="C2525" t="s">
        <v>2991</v>
      </c>
      <c r="D2525" t="s">
        <v>222</v>
      </c>
      <c r="E2525" t="s">
        <v>30</v>
      </c>
      <c r="F2525" s="6">
        <v>45473</v>
      </c>
      <c r="G2525">
        <v>100</v>
      </c>
      <c r="H2525">
        <v>100</v>
      </c>
      <c r="I2525">
        <v>1</v>
      </c>
      <c r="J2525">
        <v>1</v>
      </c>
      <c r="M2525">
        <v>2024</v>
      </c>
      <c r="N2525" t="s">
        <v>44</v>
      </c>
      <c r="O2525" t="s">
        <v>71</v>
      </c>
      <c r="P2525">
        <v>0</v>
      </c>
      <c r="Q2525">
        <v>0</v>
      </c>
      <c r="R2525">
        <v>0</v>
      </c>
      <c r="S2525" t="s">
        <v>34</v>
      </c>
      <c r="T2525" t="s">
        <v>4214</v>
      </c>
      <c r="U2525">
        <v>1</v>
      </c>
    </row>
    <row r="2526" spans="1:21" x14ac:dyDescent="0.3">
      <c r="A2526" t="s">
        <v>4212</v>
      </c>
      <c r="B2526" t="s">
        <v>4213</v>
      </c>
      <c r="C2526" t="s">
        <v>2991</v>
      </c>
      <c r="D2526" t="s">
        <v>222</v>
      </c>
      <c r="E2526" t="s">
        <v>30</v>
      </c>
      <c r="F2526" s="6">
        <v>45657</v>
      </c>
      <c r="G2526">
        <v>100</v>
      </c>
      <c r="H2526">
        <v>100</v>
      </c>
      <c r="I2526">
        <v>1</v>
      </c>
      <c r="J2526">
        <v>1</v>
      </c>
      <c r="M2526">
        <v>2024</v>
      </c>
      <c r="N2526" t="s">
        <v>57</v>
      </c>
      <c r="O2526" t="s">
        <v>78</v>
      </c>
      <c r="P2526">
        <v>0</v>
      </c>
      <c r="Q2526">
        <v>0</v>
      </c>
      <c r="R2526">
        <v>0</v>
      </c>
      <c r="S2526" t="s">
        <v>34</v>
      </c>
      <c r="T2526" t="s">
        <v>4215</v>
      </c>
      <c r="U2526">
        <v>1</v>
      </c>
    </row>
    <row r="2527" spans="1:21" x14ac:dyDescent="0.3">
      <c r="A2527" t="s">
        <v>4212</v>
      </c>
      <c r="B2527" t="s">
        <v>4213</v>
      </c>
      <c r="C2527" t="s">
        <v>2991</v>
      </c>
      <c r="D2527" t="s">
        <v>222</v>
      </c>
      <c r="E2527" t="s">
        <v>30</v>
      </c>
      <c r="F2527" s="6">
        <v>45838</v>
      </c>
      <c r="G2527">
        <v>100</v>
      </c>
      <c r="I2527">
        <v>0</v>
      </c>
      <c r="J2527">
        <v>0</v>
      </c>
      <c r="K2527" t="s">
        <v>102</v>
      </c>
      <c r="M2527">
        <v>2025</v>
      </c>
      <c r="N2527" t="s">
        <v>44</v>
      </c>
      <c r="O2527" t="s">
        <v>244</v>
      </c>
      <c r="P2527">
        <v>2</v>
      </c>
      <c r="Q2527">
        <v>2</v>
      </c>
      <c r="R2527">
        <v>0</v>
      </c>
      <c r="T2527" t="s">
        <v>4216</v>
      </c>
      <c r="U2527">
        <v>30</v>
      </c>
    </row>
    <row r="2528" spans="1:21" x14ac:dyDescent="0.3">
      <c r="A2528" t="s">
        <v>4217</v>
      </c>
      <c r="B2528" t="s">
        <v>4218</v>
      </c>
      <c r="C2528" t="s">
        <v>28</v>
      </c>
      <c r="D2528" t="s">
        <v>222</v>
      </c>
      <c r="E2528" t="s">
        <v>30</v>
      </c>
      <c r="F2528" s="6">
        <v>45473</v>
      </c>
      <c r="G2528">
        <v>100</v>
      </c>
      <c r="H2528">
        <v>100</v>
      </c>
      <c r="I2528">
        <v>1</v>
      </c>
      <c r="J2528">
        <v>1</v>
      </c>
      <c r="M2528">
        <v>2024</v>
      </c>
      <c r="N2528" t="s">
        <v>44</v>
      </c>
      <c r="O2528" t="s">
        <v>71</v>
      </c>
      <c r="P2528">
        <v>0</v>
      </c>
      <c r="Q2528">
        <v>0</v>
      </c>
      <c r="R2528">
        <v>0</v>
      </c>
      <c r="S2528" t="s">
        <v>34</v>
      </c>
      <c r="T2528" t="s">
        <v>4219</v>
      </c>
      <c r="U2528">
        <v>1</v>
      </c>
    </row>
    <row r="2529" spans="1:21" x14ac:dyDescent="0.3">
      <c r="A2529" t="s">
        <v>4217</v>
      </c>
      <c r="B2529" t="s">
        <v>4218</v>
      </c>
      <c r="C2529" t="s">
        <v>28</v>
      </c>
      <c r="D2529" t="s">
        <v>222</v>
      </c>
      <c r="E2529" t="s">
        <v>30</v>
      </c>
      <c r="F2529" s="6">
        <v>45657</v>
      </c>
      <c r="K2529" t="s">
        <v>215</v>
      </c>
      <c r="L2529" t="s">
        <v>215</v>
      </c>
      <c r="M2529">
        <v>2024</v>
      </c>
      <c r="N2529" t="s">
        <v>57</v>
      </c>
      <c r="O2529" t="s">
        <v>78</v>
      </c>
      <c r="P2529">
        <v>0</v>
      </c>
      <c r="Q2529">
        <v>0</v>
      </c>
      <c r="R2529">
        <v>0</v>
      </c>
      <c r="S2529" t="s">
        <v>34</v>
      </c>
      <c r="T2529" t="s">
        <v>4220</v>
      </c>
      <c r="U2529">
        <v>1</v>
      </c>
    </row>
    <row r="2530" spans="1:21" x14ac:dyDescent="0.3">
      <c r="A2530" t="s">
        <v>4217</v>
      </c>
      <c r="B2530" t="s">
        <v>4218</v>
      </c>
      <c r="C2530" t="s">
        <v>28</v>
      </c>
      <c r="D2530" t="s">
        <v>222</v>
      </c>
      <c r="E2530" t="s">
        <v>30</v>
      </c>
      <c r="F2530" s="6">
        <v>45838</v>
      </c>
      <c r="G2530">
        <v>100</v>
      </c>
      <c r="H2530" t="s">
        <v>95</v>
      </c>
      <c r="I2530">
        <v>1</v>
      </c>
      <c r="J2530">
        <v>1</v>
      </c>
      <c r="K2530" t="s">
        <v>102</v>
      </c>
      <c r="L2530" t="s">
        <v>102</v>
      </c>
      <c r="M2530">
        <v>2025</v>
      </c>
      <c r="N2530" t="s">
        <v>44</v>
      </c>
      <c r="O2530" t="s">
        <v>244</v>
      </c>
      <c r="P2530">
        <v>2</v>
      </c>
      <c r="Q2530">
        <v>2</v>
      </c>
      <c r="R2530">
        <v>0</v>
      </c>
      <c r="T2530" t="s">
        <v>4221</v>
      </c>
      <c r="U2530">
        <v>30</v>
      </c>
    </row>
    <row r="2531" spans="1:21" x14ac:dyDescent="0.3">
      <c r="A2531" t="s">
        <v>4217</v>
      </c>
      <c r="B2531" t="s">
        <v>4218</v>
      </c>
      <c r="C2531" t="s">
        <v>28</v>
      </c>
      <c r="D2531" t="s">
        <v>222</v>
      </c>
      <c r="E2531" t="s">
        <v>30</v>
      </c>
      <c r="F2531" s="6">
        <v>46022</v>
      </c>
      <c r="G2531">
        <v>100</v>
      </c>
      <c r="H2531" t="s">
        <v>424</v>
      </c>
      <c r="I2531">
        <v>0</v>
      </c>
      <c r="J2531">
        <v>0</v>
      </c>
      <c r="K2531" t="s">
        <v>102</v>
      </c>
      <c r="M2531">
        <v>2025</v>
      </c>
      <c r="N2531" t="s">
        <v>57</v>
      </c>
      <c r="O2531" t="s">
        <v>103</v>
      </c>
      <c r="P2531">
        <v>2</v>
      </c>
      <c r="Q2531">
        <v>2</v>
      </c>
      <c r="R2531">
        <v>0</v>
      </c>
      <c r="T2531" t="s">
        <v>4222</v>
      </c>
      <c r="U2531">
        <v>31</v>
      </c>
    </row>
    <row r="2532" spans="1:21" x14ac:dyDescent="0.3">
      <c r="A2532" t="s">
        <v>4223</v>
      </c>
      <c r="B2532" t="s">
        <v>4224</v>
      </c>
      <c r="C2532" t="s">
        <v>3071</v>
      </c>
      <c r="D2532" t="s">
        <v>98</v>
      </c>
      <c r="E2532" t="s">
        <v>30</v>
      </c>
      <c r="F2532" s="6">
        <v>45657</v>
      </c>
      <c r="G2532">
        <v>10</v>
      </c>
      <c r="H2532">
        <v>91.65</v>
      </c>
      <c r="I2532">
        <v>1.3</v>
      </c>
      <c r="J2532">
        <v>9.1650000000000009</v>
      </c>
      <c r="M2532">
        <v>2024</v>
      </c>
      <c r="N2532" t="s">
        <v>57</v>
      </c>
      <c r="O2532" t="s">
        <v>78</v>
      </c>
      <c r="P2532">
        <v>0</v>
      </c>
      <c r="Q2532">
        <v>0</v>
      </c>
      <c r="R2532">
        <v>0</v>
      </c>
      <c r="S2532" t="s">
        <v>34</v>
      </c>
      <c r="T2532" t="s">
        <v>4225</v>
      </c>
      <c r="U2532">
        <v>1</v>
      </c>
    </row>
    <row r="2533" spans="1:21" x14ac:dyDescent="0.3">
      <c r="A2533" t="s">
        <v>4226</v>
      </c>
      <c r="B2533" t="s">
        <v>4227</v>
      </c>
      <c r="C2533" t="s">
        <v>97</v>
      </c>
      <c r="D2533" t="s">
        <v>233</v>
      </c>
      <c r="E2533" t="s">
        <v>30</v>
      </c>
      <c r="F2533" s="6">
        <v>45473</v>
      </c>
      <c r="G2533">
        <v>90</v>
      </c>
      <c r="H2533">
        <v>100</v>
      </c>
      <c r="I2533">
        <v>1</v>
      </c>
      <c r="J2533">
        <v>1.1111111111111109</v>
      </c>
      <c r="K2533" t="s">
        <v>31</v>
      </c>
      <c r="L2533" t="s">
        <v>31</v>
      </c>
      <c r="M2533">
        <v>2024</v>
      </c>
      <c r="N2533" t="s">
        <v>44</v>
      </c>
      <c r="O2533" t="s">
        <v>71</v>
      </c>
      <c r="P2533">
        <v>0</v>
      </c>
      <c r="Q2533">
        <v>0</v>
      </c>
      <c r="R2533">
        <v>0</v>
      </c>
      <c r="S2533" t="s">
        <v>34</v>
      </c>
      <c r="T2533" t="s">
        <v>4228</v>
      </c>
      <c r="U2533">
        <v>1</v>
      </c>
    </row>
    <row r="2534" spans="1:21" x14ac:dyDescent="0.3">
      <c r="A2534" t="s">
        <v>4226</v>
      </c>
      <c r="B2534" t="s">
        <v>4227</v>
      </c>
      <c r="C2534" t="s">
        <v>97</v>
      </c>
      <c r="D2534" t="s">
        <v>233</v>
      </c>
      <c r="E2534" t="s">
        <v>30</v>
      </c>
      <c r="F2534" s="6">
        <v>45565</v>
      </c>
      <c r="G2534">
        <v>90</v>
      </c>
      <c r="H2534">
        <v>100</v>
      </c>
      <c r="I2534">
        <v>1.1111111111111109</v>
      </c>
      <c r="J2534">
        <v>1.1111111111111109</v>
      </c>
      <c r="K2534" t="s">
        <v>31</v>
      </c>
      <c r="L2534" t="s">
        <v>31</v>
      </c>
      <c r="M2534">
        <v>2024</v>
      </c>
      <c r="N2534" t="s">
        <v>51</v>
      </c>
      <c r="O2534" t="s">
        <v>78</v>
      </c>
      <c r="P2534">
        <v>0</v>
      </c>
      <c r="Q2534">
        <v>0</v>
      </c>
      <c r="R2534">
        <v>0</v>
      </c>
      <c r="S2534" t="s">
        <v>34</v>
      </c>
      <c r="T2534" t="s">
        <v>4229</v>
      </c>
      <c r="U2534">
        <v>1</v>
      </c>
    </row>
    <row r="2535" spans="1:21" x14ac:dyDescent="0.3">
      <c r="A2535" t="s">
        <v>4226</v>
      </c>
      <c r="B2535" t="s">
        <v>4227</v>
      </c>
      <c r="C2535" t="s">
        <v>97</v>
      </c>
      <c r="D2535" t="s">
        <v>233</v>
      </c>
      <c r="E2535" t="s">
        <v>30</v>
      </c>
      <c r="F2535" s="6">
        <v>45657</v>
      </c>
      <c r="G2535">
        <v>90</v>
      </c>
      <c r="H2535">
        <v>100</v>
      </c>
      <c r="I2535">
        <v>1.1111111111111109</v>
      </c>
      <c r="J2535">
        <v>1.1111111111111109</v>
      </c>
      <c r="K2535" t="s">
        <v>31</v>
      </c>
      <c r="L2535" t="s">
        <v>31</v>
      </c>
      <c r="M2535">
        <v>2024</v>
      </c>
      <c r="N2535" t="s">
        <v>57</v>
      </c>
      <c r="O2535" t="s">
        <v>78</v>
      </c>
      <c r="P2535">
        <v>0</v>
      </c>
      <c r="Q2535">
        <v>0</v>
      </c>
      <c r="R2535">
        <v>0</v>
      </c>
      <c r="S2535" t="s">
        <v>34</v>
      </c>
      <c r="T2535" t="s">
        <v>4230</v>
      </c>
      <c r="U2535">
        <v>1</v>
      </c>
    </row>
    <row r="2536" spans="1:21" x14ac:dyDescent="0.3">
      <c r="A2536" t="s">
        <v>4226</v>
      </c>
      <c r="B2536" t="s">
        <v>4227</v>
      </c>
      <c r="C2536" t="s">
        <v>97</v>
      </c>
      <c r="D2536" t="s">
        <v>233</v>
      </c>
      <c r="E2536" t="s">
        <v>30</v>
      </c>
      <c r="F2536" s="6">
        <v>45747</v>
      </c>
      <c r="G2536">
        <v>90</v>
      </c>
      <c r="H2536" t="s">
        <v>95</v>
      </c>
      <c r="I2536">
        <v>1.1111111111111109</v>
      </c>
      <c r="J2536">
        <v>1.1111111111111109</v>
      </c>
      <c r="K2536" t="s">
        <v>256</v>
      </c>
      <c r="L2536" t="s">
        <v>102</v>
      </c>
      <c r="M2536">
        <v>2025</v>
      </c>
      <c r="N2536" t="s">
        <v>38</v>
      </c>
      <c r="O2536" t="s">
        <v>244</v>
      </c>
      <c r="P2536">
        <v>2</v>
      </c>
      <c r="Q2536">
        <v>2</v>
      </c>
      <c r="R2536">
        <v>0</v>
      </c>
      <c r="S2536" t="s">
        <v>104</v>
      </c>
      <c r="T2536" t="s">
        <v>4231</v>
      </c>
      <c r="U2536">
        <v>31</v>
      </c>
    </row>
    <row r="2537" spans="1:21" x14ac:dyDescent="0.3">
      <c r="A2537" t="s">
        <v>4226</v>
      </c>
      <c r="B2537" t="s">
        <v>4227</v>
      </c>
      <c r="C2537" t="s">
        <v>97</v>
      </c>
      <c r="D2537" t="s">
        <v>233</v>
      </c>
      <c r="E2537" t="s">
        <v>30</v>
      </c>
      <c r="F2537" s="6">
        <v>45838</v>
      </c>
      <c r="G2537">
        <v>90</v>
      </c>
      <c r="H2537" t="s">
        <v>95</v>
      </c>
      <c r="I2537">
        <v>1.1111111111111109</v>
      </c>
      <c r="J2537">
        <v>1.1111111111111109</v>
      </c>
      <c r="K2537" t="s">
        <v>256</v>
      </c>
      <c r="L2537" t="s">
        <v>102</v>
      </c>
      <c r="M2537">
        <v>2025</v>
      </c>
      <c r="N2537" t="s">
        <v>44</v>
      </c>
      <c r="O2537" t="s">
        <v>244</v>
      </c>
      <c r="P2537">
        <v>2</v>
      </c>
      <c r="Q2537">
        <v>2</v>
      </c>
      <c r="R2537">
        <v>0</v>
      </c>
      <c r="S2537" t="s">
        <v>104</v>
      </c>
      <c r="T2537" t="s">
        <v>4232</v>
      </c>
      <c r="U2537">
        <v>30</v>
      </c>
    </row>
    <row r="2538" spans="1:21" x14ac:dyDescent="0.3">
      <c r="A2538" t="s">
        <v>4226</v>
      </c>
      <c r="B2538" t="s">
        <v>4227</v>
      </c>
      <c r="C2538" t="s">
        <v>97</v>
      </c>
      <c r="D2538" t="s">
        <v>233</v>
      </c>
      <c r="E2538" t="s">
        <v>30</v>
      </c>
      <c r="F2538" s="6">
        <v>46022</v>
      </c>
      <c r="G2538">
        <v>90</v>
      </c>
      <c r="H2538" t="s">
        <v>95</v>
      </c>
      <c r="I2538">
        <v>1.1111111111111109</v>
      </c>
      <c r="J2538">
        <v>1.1111111111111109</v>
      </c>
      <c r="K2538" t="s">
        <v>256</v>
      </c>
      <c r="L2538" t="s">
        <v>102</v>
      </c>
      <c r="M2538">
        <v>2025</v>
      </c>
      <c r="N2538" t="s">
        <v>57</v>
      </c>
      <c r="O2538" t="s">
        <v>103</v>
      </c>
      <c r="P2538">
        <v>2</v>
      </c>
      <c r="Q2538">
        <v>2</v>
      </c>
      <c r="R2538">
        <v>0</v>
      </c>
      <c r="S2538" t="s">
        <v>104</v>
      </c>
      <c r="T2538" t="s">
        <v>4233</v>
      </c>
      <c r="U2538">
        <v>31</v>
      </c>
    </row>
    <row r="2539" spans="1:21" x14ac:dyDescent="0.3">
      <c r="A2539" t="s">
        <v>4234</v>
      </c>
      <c r="B2539" t="s">
        <v>4235</v>
      </c>
      <c r="C2539" t="s">
        <v>309</v>
      </c>
      <c r="D2539" t="s">
        <v>29</v>
      </c>
      <c r="E2539" t="s">
        <v>30</v>
      </c>
      <c r="F2539" s="6">
        <v>45565</v>
      </c>
      <c r="G2539">
        <v>80</v>
      </c>
      <c r="H2539">
        <v>100</v>
      </c>
      <c r="I2539">
        <v>1.25</v>
      </c>
      <c r="J2539">
        <v>1.25</v>
      </c>
      <c r="M2539">
        <v>2024</v>
      </c>
      <c r="N2539" t="s">
        <v>51</v>
      </c>
      <c r="O2539" t="s">
        <v>78</v>
      </c>
      <c r="P2539">
        <v>0</v>
      </c>
      <c r="Q2539">
        <v>0</v>
      </c>
      <c r="R2539">
        <v>0</v>
      </c>
      <c r="S2539" t="s">
        <v>34</v>
      </c>
      <c r="T2539" t="s">
        <v>4236</v>
      </c>
      <c r="U2539">
        <v>1</v>
      </c>
    </row>
    <row r="2540" spans="1:21" x14ac:dyDescent="0.3">
      <c r="A2540" t="s">
        <v>4234</v>
      </c>
      <c r="B2540" t="s">
        <v>4235</v>
      </c>
      <c r="C2540" t="s">
        <v>309</v>
      </c>
      <c r="D2540" t="s">
        <v>29</v>
      </c>
      <c r="E2540" t="s">
        <v>30</v>
      </c>
      <c r="F2540" s="6">
        <v>45596</v>
      </c>
      <c r="G2540">
        <v>80</v>
      </c>
      <c r="H2540">
        <v>100</v>
      </c>
      <c r="I2540">
        <v>1.25</v>
      </c>
      <c r="J2540">
        <v>1.25</v>
      </c>
      <c r="M2540">
        <v>2024</v>
      </c>
      <c r="N2540" t="s">
        <v>53</v>
      </c>
      <c r="O2540" t="s">
        <v>78</v>
      </c>
      <c r="P2540">
        <v>0</v>
      </c>
      <c r="Q2540">
        <v>0</v>
      </c>
      <c r="R2540">
        <v>0</v>
      </c>
      <c r="S2540" t="s">
        <v>34</v>
      </c>
      <c r="T2540" t="s">
        <v>4237</v>
      </c>
      <c r="U2540">
        <v>1</v>
      </c>
    </row>
    <row r="2541" spans="1:21" x14ac:dyDescent="0.3">
      <c r="A2541" t="s">
        <v>4234</v>
      </c>
      <c r="B2541" t="s">
        <v>4235</v>
      </c>
      <c r="C2541" t="s">
        <v>309</v>
      </c>
      <c r="D2541" t="s">
        <v>29</v>
      </c>
      <c r="E2541" t="s">
        <v>30</v>
      </c>
      <c r="F2541" s="6">
        <v>45626</v>
      </c>
      <c r="G2541">
        <v>80</v>
      </c>
      <c r="H2541">
        <v>100</v>
      </c>
      <c r="I2541">
        <v>1.25</v>
      </c>
      <c r="J2541">
        <v>1.25</v>
      </c>
      <c r="M2541">
        <v>2024</v>
      </c>
      <c r="N2541" t="s">
        <v>55</v>
      </c>
      <c r="O2541" t="s">
        <v>78</v>
      </c>
      <c r="P2541">
        <v>0</v>
      </c>
      <c r="Q2541">
        <v>0</v>
      </c>
      <c r="R2541">
        <v>0</v>
      </c>
      <c r="S2541" t="s">
        <v>34</v>
      </c>
      <c r="T2541" t="s">
        <v>4238</v>
      </c>
      <c r="U2541">
        <v>1</v>
      </c>
    </row>
    <row r="2542" spans="1:21" x14ac:dyDescent="0.3">
      <c r="A2542" t="s">
        <v>4234</v>
      </c>
      <c r="B2542" t="s">
        <v>4235</v>
      </c>
      <c r="C2542" t="s">
        <v>309</v>
      </c>
      <c r="D2542" t="s">
        <v>29</v>
      </c>
      <c r="E2542" t="s">
        <v>30</v>
      </c>
      <c r="F2542" s="6">
        <v>45657</v>
      </c>
      <c r="G2542">
        <v>80</v>
      </c>
      <c r="H2542">
        <v>66.67</v>
      </c>
      <c r="I2542">
        <v>0.83337499999999998</v>
      </c>
      <c r="J2542">
        <v>0.83337499999999998</v>
      </c>
      <c r="M2542">
        <v>2024</v>
      </c>
      <c r="N2542" t="s">
        <v>57</v>
      </c>
      <c r="O2542" t="s">
        <v>78</v>
      </c>
      <c r="P2542">
        <v>0</v>
      </c>
      <c r="Q2542">
        <v>0</v>
      </c>
      <c r="R2542">
        <v>0</v>
      </c>
      <c r="S2542" t="s">
        <v>34</v>
      </c>
      <c r="T2542" t="s">
        <v>4239</v>
      </c>
      <c r="U2542">
        <v>1</v>
      </c>
    </row>
    <row r="2543" spans="1:21" x14ac:dyDescent="0.3">
      <c r="A2543" t="s">
        <v>4234</v>
      </c>
      <c r="B2543" t="s">
        <v>4235</v>
      </c>
      <c r="C2543" t="s">
        <v>309</v>
      </c>
      <c r="D2543" t="s">
        <v>29</v>
      </c>
      <c r="E2543" t="s">
        <v>30</v>
      </c>
      <c r="F2543" s="6">
        <v>45688</v>
      </c>
      <c r="G2543">
        <v>80</v>
      </c>
      <c r="H2543" t="s">
        <v>95</v>
      </c>
      <c r="I2543">
        <v>1.25</v>
      </c>
      <c r="J2543">
        <v>1.25</v>
      </c>
      <c r="K2543" t="s">
        <v>193</v>
      </c>
      <c r="L2543" t="s">
        <v>102</v>
      </c>
      <c r="M2543">
        <v>2025</v>
      </c>
      <c r="N2543" t="s">
        <v>32</v>
      </c>
      <c r="O2543" t="s">
        <v>244</v>
      </c>
      <c r="P2543">
        <v>2</v>
      </c>
      <c r="Q2543">
        <v>2</v>
      </c>
      <c r="R2543">
        <v>0</v>
      </c>
      <c r="S2543" t="s">
        <v>104</v>
      </c>
      <c r="T2543" t="s">
        <v>4240</v>
      </c>
      <c r="U2543">
        <v>31</v>
      </c>
    </row>
    <row r="2544" spans="1:21" x14ac:dyDescent="0.3">
      <c r="A2544" t="s">
        <v>4234</v>
      </c>
      <c r="B2544" t="s">
        <v>4235</v>
      </c>
      <c r="C2544" t="s">
        <v>309</v>
      </c>
      <c r="D2544" t="s">
        <v>29</v>
      </c>
      <c r="E2544" t="s">
        <v>30</v>
      </c>
      <c r="F2544" s="6">
        <v>45716</v>
      </c>
      <c r="G2544">
        <v>80</v>
      </c>
      <c r="H2544" t="s">
        <v>4241</v>
      </c>
      <c r="I2544">
        <v>0.625</v>
      </c>
      <c r="J2544">
        <v>0.625</v>
      </c>
      <c r="K2544" t="s">
        <v>193</v>
      </c>
      <c r="L2544" t="s">
        <v>4242</v>
      </c>
      <c r="M2544">
        <v>2025</v>
      </c>
      <c r="N2544" t="s">
        <v>36</v>
      </c>
      <c r="O2544" t="s">
        <v>244</v>
      </c>
      <c r="P2544">
        <v>2</v>
      </c>
      <c r="Q2544">
        <v>2</v>
      </c>
      <c r="R2544">
        <v>0</v>
      </c>
      <c r="S2544" t="s">
        <v>104</v>
      </c>
      <c r="T2544" t="s">
        <v>4243</v>
      </c>
      <c r="U2544">
        <v>28</v>
      </c>
    </row>
    <row r="2545" spans="1:21" x14ac:dyDescent="0.3">
      <c r="A2545" t="s">
        <v>4234</v>
      </c>
      <c r="B2545" t="s">
        <v>4235</v>
      </c>
      <c r="C2545" t="s">
        <v>309</v>
      </c>
      <c r="D2545" t="s">
        <v>29</v>
      </c>
      <c r="E2545" t="s">
        <v>30</v>
      </c>
      <c r="F2545" s="6">
        <v>45747</v>
      </c>
      <c r="G2545">
        <v>80</v>
      </c>
      <c r="H2545" t="s">
        <v>95</v>
      </c>
      <c r="I2545">
        <v>1.25</v>
      </c>
      <c r="J2545">
        <v>1.25</v>
      </c>
      <c r="K2545" t="s">
        <v>193</v>
      </c>
      <c r="L2545" t="s">
        <v>102</v>
      </c>
      <c r="M2545">
        <v>2025</v>
      </c>
      <c r="N2545" t="s">
        <v>38</v>
      </c>
      <c r="O2545" t="s">
        <v>244</v>
      </c>
      <c r="P2545">
        <v>2</v>
      </c>
      <c r="Q2545">
        <v>2</v>
      </c>
      <c r="R2545">
        <v>0</v>
      </c>
      <c r="S2545" t="s">
        <v>104</v>
      </c>
      <c r="T2545" t="s">
        <v>4244</v>
      </c>
      <c r="U2545">
        <v>31</v>
      </c>
    </row>
    <row r="2546" spans="1:21" x14ac:dyDescent="0.3">
      <c r="A2546" t="s">
        <v>4234</v>
      </c>
      <c r="B2546" t="s">
        <v>4235</v>
      </c>
      <c r="C2546" t="s">
        <v>309</v>
      </c>
      <c r="D2546" t="s">
        <v>29</v>
      </c>
      <c r="E2546" t="s">
        <v>30</v>
      </c>
      <c r="F2546" s="6">
        <v>45777</v>
      </c>
      <c r="G2546">
        <v>80</v>
      </c>
      <c r="H2546" t="s">
        <v>95</v>
      </c>
      <c r="I2546">
        <v>1.25</v>
      </c>
      <c r="J2546">
        <v>1.25</v>
      </c>
      <c r="K2546" t="s">
        <v>193</v>
      </c>
      <c r="L2546" t="s">
        <v>102</v>
      </c>
      <c r="M2546">
        <v>2025</v>
      </c>
      <c r="N2546" t="s">
        <v>40</v>
      </c>
      <c r="O2546" t="s">
        <v>244</v>
      </c>
      <c r="P2546">
        <v>2</v>
      </c>
      <c r="Q2546">
        <v>2</v>
      </c>
      <c r="R2546">
        <v>0</v>
      </c>
      <c r="S2546" t="s">
        <v>104</v>
      </c>
      <c r="T2546" t="s">
        <v>4245</v>
      </c>
      <c r="U2546">
        <v>30</v>
      </c>
    </row>
    <row r="2547" spans="1:21" x14ac:dyDescent="0.3">
      <c r="A2547" t="s">
        <v>4234</v>
      </c>
      <c r="B2547" t="s">
        <v>4235</v>
      </c>
      <c r="C2547" t="s">
        <v>309</v>
      </c>
      <c r="D2547" t="s">
        <v>29</v>
      </c>
      <c r="E2547" t="s">
        <v>30</v>
      </c>
      <c r="F2547" s="6">
        <v>45808</v>
      </c>
      <c r="G2547">
        <v>80</v>
      </c>
      <c r="H2547" t="s">
        <v>95</v>
      </c>
      <c r="I2547">
        <v>1.25</v>
      </c>
      <c r="J2547">
        <v>1.25</v>
      </c>
      <c r="K2547" t="s">
        <v>193</v>
      </c>
      <c r="L2547" t="s">
        <v>102</v>
      </c>
      <c r="M2547">
        <v>2025</v>
      </c>
      <c r="N2547" t="s">
        <v>42</v>
      </c>
      <c r="O2547" t="s">
        <v>244</v>
      </c>
      <c r="P2547">
        <v>2</v>
      </c>
      <c r="Q2547">
        <v>2</v>
      </c>
      <c r="R2547">
        <v>0</v>
      </c>
      <c r="S2547" t="s">
        <v>104</v>
      </c>
      <c r="T2547" t="s">
        <v>4246</v>
      </c>
      <c r="U2547">
        <v>31</v>
      </c>
    </row>
    <row r="2548" spans="1:21" x14ac:dyDescent="0.3">
      <c r="A2548" t="s">
        <v>4234</v>
      </c>
      <c r="B2548" t="s">
        <v>4235</v>
      </c>
      <c r="C2548" t="s">
        <v>309</v>
      </c>
      <c r="D2548" t="s">
        <v>29</v>
      </c>
      <c r="E2548" t="s">
        <v>30</v>
      </c>
      <c r="F2548" s="6">
        <v>45838</v>
      </c>
      <c r="G2548">
        <v>80</v>
      </c>
      <c r="H2548" t="s">
        <v>4247</v>
      </c>
      <c r="I2548">
        <v>0.83337499999999998</v>
      </c>
      <c r="J2548">
        <v>0.83337499999999998</v>
      </c>
      <c r="K2548" t="s">
        <v>193</v>
      </c>
      <c r="L2548" t="s">
        <v>4248</v>
      </c>
      <c r="M2548">
        <v>2025</v>
      </c>
      <c r="N2548" t="s">
        <v>44</v>
      </c>
      <c r="O2548" t="s">
        <v>244</v>
      </c>
      <c r="P2548">
        <v>2</v>
      </c>
      <c r="Q2548">
        <v>2</v>
      </c>
      <c r="R2548">
        <v>0</v>
      </c>
      <c r="S2548" t="s">
        <v>104</v>
      </c>
      <c r="T2548" t="s">
        <v>4249</v>
      </c>
      <c r="U2548">
        <v>30</v>
      </c>
    </row>
    <row r="2549" spans="1:21" x14ac:dyDescent="0.3">
      <c r="A2549" t="s">
        <v>4234</v>
      </c>
      <c r="B2549" t="s">
        <v>4235</v>
      </c>
      <c r="C2549" t="s">
        <v>309</v>
      </c>
      <c r="D2549" t="s">
        <v>29</v>
      </c>
      <c r="E2549" t="s">
        <v>30</v>
      </c>
      <c r="F2549" s="6">
        <v>45869</v>
      </c>
      <c r="G2549">
        <v>80</v>
      </c>
      <c r="H2549" t="s">
        <v>4247</v>
      </c>
      <c r="I2549">
        <v>0.83337499999999998</v>
      </c>
      <c r="J2549">
        <v>0.83337499999999998</v>
      </c>
      <c r="K2549" t="s">
        <v>193</v>
      </c>
      <c r="L2549" t="s">
        <v>4248</v>
      </c>
      <c r="M2549">
        <v>2025</v>
      </c>
      <c r="N2549" t="s">
        <v>46</v>
      </c>
      <c r="O2549" t="s">
        <v>103</v>
      </c>
      <c r="P2549">
        <v>2</v>
      </c>
      <c r="Q2549">
        <v>2</v>
      </c>
      <c r="R2549">
        <v>0</v>
      </c>
      <c r="S2549" t="s">
        <v>104</v>
      </c>
      <c r="T2549" t="s">
        <v>4250</v>
      </c>
      <c r="U2549">
        <v>31</v>
      </c>
    </row>
    <row r="2550" spans="1:21" x14ac:dyDescent="0.3">
      <c r="A2550" t="s">
        <v>4234</v>
      </c>
      <c r="B2550" t="s">
        <v>4235</v>
      </c>
      <c r="C2550" t="s">
        <v>309</v>
      </c>
      <c r="D2550" t="s">
        <v>29</v>
      </c>
      <c r="E2550" t="s">
        <v>30</v>
      </c>
      <c r="F2550" s="6">
        <v>45900</v>
      </c>
      <c r="G2550">
        <v>80</v>
      </c>
      <c r="I2550">
        <v>0</v>
      </c>
      <c r="J2550">
        <v>0</v>
      </c>
      <c r="K2550" t="s">
        <v>193</v>
      </c>
      <c r="M2550">
        <v>2025</v>
      </c>
      <c r="N2550" t="s">
        <v>49</v>
      </c>
      <c r="O2550" t="s">
        <v>103</v>
      </c>
      <c r="P2550">
        <v>2</v>
      </c>
      <c r="Q2550">
        <v>2</v>
      </c>
      <c r="R2550">
        <v>0</v>
      </c>
      <c r="S2550" t="s">
        <v>104</v>
      </c>
      <c r="T2550" t="s">
        <v>4251</v>
      </c>
      <c r="U2550">
        <v>31</v>
      </c>
    </row>
    <row r="2551" spans="1:21" x14ac:dyDescent="0.3">
      <c r="A2551" t="s">
        <v>4234</v>
      </c>
      <c r="B2551" t="s">
        <v>4235</v>
      </c>
      <c r="C2551" t="s">
        <v>309</v>
      </c>
      <c r="D2551" t="s">
        <v>29</v>
      </c>
      <c r="E2551" t="s">
        <v>30</v>
      </c>
      <c r="F2551" s="6">
        <v>45961</v>
      </c>
      <c r="G2551">
        <v>80</v>
      </c>
      <c r="H2551" t="s">
        <v>95</v>
      </c>
      <c r="I2551">
        <v>1.25</v>
      </c>
      <c r="J2551">
        <v>1.25</v>
      </c>
      <c r="K2551" t="s">
        <v>193</v>
      </c>
      <c r="L2551" t="s">
        <v>102</v>
      </c>
      <c r="M2551">
        <v>2025</v>
      </c>
      <c r="N2551" t="s">
        <v>53</v>
      </c>
      <c r="O2551" t="s">
        <v>103</v>
      </c>
      <c r="P2551">
        <v>2</v>
      </c>
      <c r="Q2551">
        <v>2</v>
      </c>
      <c r="R2551">
        <v>0</v>
      </c>
      <c r="S2551" t="s">
        <v>104</v>
      </c>
      <c r="T2551" t="s">
        <v>4252</v>
      </c>
      <c r="U2551">
        <v>31</v>
      </c>
    </row>
    <row r="2552" spans="1:21" x14ac:dyDescent="0.3">
      <c r="A2552" t="s">
        <v>4234</v>
      </c>
      <c r="B2552" t="s">
        <v>4235</v>
      </c>
      <c r="C2552" t="s">
        <v>309</v>
      </c>
      <c r="D2552" t="s">
        <v>29</v>
      </c>
      <c r="E2552" t="s">
        <v>30</v>
      </c>
      <c r="F2552" s="6">
        <v>45991</v>
      </c>
      <c r="G2552">
        <v>80</v>
      </c>
      <c r="H2552" t="s">
        <v>4253</v>
      </c>
      <c r="I2552">
        <v>1.071375</v>
      </c>
      <c r="J2552">
        <v>1.071375</v>
      </c>
      <c r="K2552" t="s">
        <v>193</v>
      </c>
      <c r="L2552" t="s">
        <v>4254</v>
      </c>
      <c r="M2552">
        <v>2025</v>
      </c>
      <c r="N2552" t="s">
        <v>55</v>
      </c>
      <c r="O2552" t="s">
        <v>103</v>
      </c>
      <c r="P2552">
        <v>2</v>
      </c>
      <c r="Q2552">
        <v>2</v>
      </c>
      <c r="R2552">
        <v>0</v>
      </c>
      <c r="S2552" t="s">
        <v>104</v>
      </c>
      <c r="T2552" t="s">
        <v>4255</v>
      </c>
      <c r="U2552">
        <v>30</v>
      </c>
    </row>
    <row r="2553" spans="1:21" x14ac:dyDescent="0.3">
      <c r="A2553" t="s">
        <v>4234</v>
      </c>
      <c r="B2553" t="s">
        <v>4235</v>
      </c>
      <c r="C2553" t="s">
        <v>309</v>
      </c>
      <c r="D2553" t="s">
        <v>29</v>
      </c>
      <c r="E2553" t="s">
        <v>30</v>
      </c>
      <c r="F2553" s="6">
        <v>46022</v>
      </c>
      <c r="G2553">
        <v>80</v>
      </c>
      <c r="H2553" t="s">
        <v>424</v>
      </c>
      <c r="I2553">
        <v>0</v>
      </c>
      <c r="J2553">
        <v>0</v>
      </c>
      <c r="K2553" t="s">
        <v>193</v>
      </c>
      <c r="M2553">
        <v>2025</v>
      </c>
      <c r="N2553" t="s">
        <v>57</v>
      </c>
      <c r="O2553" t="s">
        <v>103</v>
      </c>
      <c r="P2553">
        <v>2</v>
      </c>
      <c r="Q2553">
        <v>2</v>
      </c>
      <c r="R2553">
        <v>0</v>
      </c>
      <c r="S2553" t="s">
        <v>104</v>
      </c>
      <c r="T2553" t="s">
        <v>4256</v>
      </c>
      <c r="U2553">
        <v>31</v>
      </c>
    </row>
    <row r="2554" spans="1:21" x14ac:dyDescent="0.3">
      <c r="A2554" t="s">
        <v>4257</v>
      </c>
      <c r="B2554" t="s">
        <v>4258</v>
      </c>
      <c r="C2554" t="s">
        <v>165</v>
      </c>
      <c r="D2554" t="s">
        <v>222</v>
      </c>
      <c r="E2554" t="s">
        <v>30</v>
      </c>
      <c r="F2554" s="6">
        <v>45473</v>
      </c>
      <c r="H2554">
        <v>4900000</v>
      </c>
      <c r="K2554" t="s">
        <v>215</v>
      </c>
      <c r="L2554" t="s">
        <v>215</v>
      </c>
      <c r="M2554">
        <v>2024</v>
      </c>
      <c r="N2554" t="s">
        <v>44</v>
      </c>
      <c r="O2554" t="s">
        <v>71</v>
      </c>
      <c r="P2554">
        <v>0</v>
      </c>
      <c r="Q2554">
        <v>0</v>
      </c>
      <c r="R2554">
        <v>0</v>
      </c>
      <c r="S2554" t="s">
        <v>34</v>
      </c>
      <c r="T2554" t="s">
        <v>4259</v>
      </c>
      <c r="U2554">
        <v>1</v>
      </c>
    </row>
    <row r="2555" spans="1:21" x14ac:dyDescent="0.3">
      <c r="A2555" t="s">
        <v>4257</v>
      </c>
      <c r="B2555" t="s">
        <v>4258</v>
      </c>
      <c r="C2555" t="s">
        <v>165</v>
      </c>
      <c r="D2555" t="s">
        <v>222</v>
      </c>
      <c r="E2555" t="s">
        <v>30</v>
      </c>
      <c r="F2555" s="6">
        <v>45657</v>
      </c>
      <c r="H2555">
        <v>2700000</v>
      </c>
      <c r="K2555" t="s">
        <v>215</v>
      </c>
      <c r="L2555" t="s">
        <v>215</v>
      </c>
      <c r="M2555">
        <v>2024</v>
      </c>
      <c r="N2555" t="s">
        <v>57</v>
      </c>
      <c r="O2555" t="s">
        <v>78</v>
      </c>
      <c r="P2555">
        <v>0</v>
      </c>
      <c r="Q2555">
        <v>0</v>
      </c>
      <c r="R2555">
        <v>0</v>
      </c>
      <c r="S2555" t="s">
        <v>34</v>
      </c>
      <c r="T2555" t="s">
        <v>4260</v>
      </c>
      <c r="U2555">
        <v>1</v>
      </c>
    </row>
    <row r="2556" spans="1:21" x14ac:dyDescent="0.3">
      <c r="A2556" t="s">
        <v>4257</v>
      </c>
      <c r="B2556" t="s">
        <v>4258</v>
      </c>
      <c r="C2556" t="s">
        <v>165</v>
      </c>
      <c r="D2556" t="s">
        <v>222</v>
      </c>
      <c r="E2556" t="s">
        <v>30</v>
      </c>
      <c r="F2556" s="6">
        <v>45838</v>
      </c>
      <c r="H2556" t="s">
        <v>4261</v>
      </c>
      <c r="I2556">
        <v>0</v>
      </c>
      <c r="J2556">
        <v>0</v>
      </c>
      <c r="L2556" t="s">
        <v>4262</v>
      </c>
      <c r="M2556">
        <v>2025</v>
      </c>
      <c r="N2556" t="s">
        <v>44</v>
      </c>
      <c r="O2556" t="s">
        <v>244</v>
      </c>
      <c r="P2556">
        <v>2</v>
      </c>
      <c r="Q2556">
        <v>2</v>
      </c>
      <c r="R2556">
        <v>0</v>
      </c>
      <c r="S2556" t="s">
        <v>130</v>
      </c>
      <c r="T2556" t="s">
        <v>4263</v>
      </c>
      <c r="U2556">
        <v>30</v>
      </c>
    </row>
    <row r="2557" spans="1:21" x14ac:dyDescent="0.3">
      <c r="A2557" t="s">
        <v>4264</v>
      </c>
      <c r="B2557" t="s">
        <v>4265</v>
      </c>
      <c r="C2557" t="s">
        <v>133</v>
      </c>
      <c r="D2557" t="s">
        <v>98</v>
      </c>
      <c r="E2557" t="s">
        <v>30</v>
      </c>
      <c r="F2557" s="6">
        <v>45657</v>
      </c>
      <c r="G2557">
        <v>20</v>
      </c>
      <c r="H2557">
        <v>164.17</v>
      </c>
      <c r="I2557">
        <v>1.3</v>
      </c>
      <c r="J2557">
        <v>8.208499999999999</v>
      </c>
      <c r="M2557">
        <v>2024</v>
      </c>
      <c r="N2557" t="s">
        <v>57</v>
      </c>
      <c r="O2557" t="s">
        <v>78</v>
      </c>
      <c r="P2557">
        <v>0</v>
      </c>
      <c r="Q2557">
        <v>0</v>
      </c>
      <c r="R2557">
        <v>0</v>
      </c>
      <c r="S2557" t="s">
        <v>34</v>
      </c>
      <c r="T2557" t="s">
        <v>4266</v>
      </c>
      <c r="U2557">
        <v>1</v>
      </c>
    </row>
    <row r="2558" spans="1:21" x14ac:dyDescent="0.3">
      <c r="A2558" t="s">
        <v>4264</v>
      </c>
      <c r="B2558" t="s">
        <v>4267</v>
      </c>
      <c r="C2558" t="s">
        <v>133</v>
      </c>
      <c r="D2558" t="s">
        <v>98</v>
      </c>
      <c r="E2558" t="s">
        <v>30</v>
      </c>
      <c r="F2558" s="6">
        <v>46022</v>
      </c>
      <c r="G2558">
        <v>20</v>
      </c>
      <c r="H2558" t="s">
        <v>4268</v>
      </c>
      <c r="I2558">
        <v>1.3</v>
      </c>
      <c r="J2558">
        <v>2.9430000000000001</v>
      </c>
      <c r="K2558" t="s">
        <v>1298</v>
      </c>
      <c r="L2558" t="s">
        <v>4269</v>
      </c>
      <c r="M2558">
        <v>2025</v>
      </c>
      <c r="N2558" t="s">
        <v>57</v>
      </c>
      <c r="O2558" t="s">
        <v>103</v>
      </c>
      <c r="P2558">
        <v>2</v>
      </c>
      <c r="Q2558">
        <v>2</v>
      </c>
      <c r="R2558">
        <v>0</v>
      </c>
      <c r="T2558" t="s">
        <v>4270</v>
      </c>
      <c r="U2558">
        <v>31</v>
      </c>
    </row>
    <row r="2559" spans="1:21" x14ac:dyDescent="0.3">
      <c r="A2559" t="s">
        <v>4271</v>
      </c>
      <c r="B2559" t="s">
        <v>4272</v>
      </c>
      <c r="C2559" t="s">
        <v>309</v>
      </c>
      <c r="D2559" t="s">
        <v>29</v>
      </c>
      <c r="E2559" t="s">
        <v>30</v>
      </c>
      <c r="F2559" s="6">
        <v>45596</v>
      </c>
      <c r="G2559">
        <v>85</v>
      </c>
      <c r="H2559">
        <v>91.78</v>
      </c>
      <c r="I2559">
        <v>1.079764705882353</v>
      </c>
      <c r="J2559">
        <v>1.079764705882353</v>
      </c>
      <c r="K2559" t="s">
        <v>31</v>
      </c>
      <c r="L2559" t="s">
        <v>31</v>
      </c>
      <c r="M2559">
        <v>2024</v>
      </c>
      <c r="N2559" t="s">
        <v>53</v>
      </c>
      <c r="O2559" t="s">
        <v>78</v>
      </c>
      <c r="P2559">
        <v>0</v>
      </c>
      <c r="Q2559">
        <v>0</v>
      </c>
      <c r="R2559">
        <v>0</v>
      </c>
      <c r="S2559" t="s">
        <v>34</v>
      </c>
      <c r="T2559" t="s">
        <v>4273</v>
      </c>
      <c r="U2559">
        <v>1</v>
      </c>
    </row>
    <row r="2560" spans="1:21" x14ac:dyDescent="0.3">
      <c r="A2560" t="s">
        <v>4271</v>
      </c>
      <c r="B2560" t="s">
        <v>4272</v>
      </c>
      <c r="C2560" t="s">
        <v>309</v>
      </c>
      <c r="D2560" t="s">
        <v>29</v>
      </c>
      <c r="E2560" t="s">
        <v>30</v>
      </c>
      <c r="F2560" s="6">
        <v>45626</v>
      </c>
      <c r="G2560">
        <v>85</v>
      </c>
      <c r="H2560">
        <v>95.79</v>
      </c>
      <c r="I2560">
        <v>1.1269411764705879</v>
      </c>
      <c r="J2560">
        <v>1.1269411764705879</v>
      </c>
      <c r="K2560" t="s">
        <v>31</v>
      </c>
      <c r="L2560" t="s">
        <v>31</v>
      </c>
      <c r="M2560">
        <v>2024</v>
      </c>
      <c r="N2560" t="s">
        <v>55</v>
      </c>
      <c r="O2560" t="s">
        <v>78</v>
      </c>
      <c r="P2560">
        <v>0</v>
      </c>
      <c r="Q2560">
        <v>0</v>
      </c>
      <c r="R2560">
        <v>0</v>
      </c>
      <c r="S2560" t="s">
        <v>34</v>
      </c>
      <c r="T2560" t="s">
        <v>4274</v>
      </c>
      <c r="U2560">
        <v>1</v>
      </c>
    </row>
    <row r="2561" spans="1:21" x14ac:dyDescent="0.3">
      <c r="A2561" t="s">
        <v>4271</v>
      </c>
      <c r="B2561" t="s">
        <v>4272</v>
      </c>
      <c r="C2561" t="s">
        <v>309</v>
      </c>
      <c r="D2561" t="s">
        <v>29</v>
      </c>
      <c r="E2561" t="s">
        <v>30</v>
      </c>
      <c r="F2561" s="6">
        <v>45657</v>
      </c>
      <c r="G2561">
        <v>85</v>
      </c>
      <c r="H2561">
        <v>91.32</v>
      </c>
      <c r="I2561">
        <v>1.074352941176471</v>
      </c>
      <c r="J2561">
        <v>1.074352941176471</v>
      </c>
      <c r="K2561" t="s">
        <v>31</v>
      </c>
      <c r="L2561" t="s">
        <v>31</v>
      </c>
      <c r="M2561">
        <v>2024</v>
      </c>
      <c r="N2561" t="s">
        <v>57</v>
      </c>
      <c r="O2561" t="s">
        <v>78</v>
      </c>
      <c r="P2561">
        <v>0</v>
      </c>
      <c r="Q2561">
        <v>0</v>
      </c>
      <c r="R2561">
        <v>0</v>
      </c>
      <c r="S2561" t="s">
        <v>34</v>
      </c>
      <c r="T2561" t="s">
        <v>4275</v>
      </c>
      <c r="U2561">
        <v>1</v>
      </c>
    </row>
    <row r="2562" spans="1:21" x14ac:dyDescent="0.3">
      <c r="A2562" t="s">
        <v>4271</v>
      </c>
      <c r="B2562" t="s">
        <v>4272</v>
      </c>
      <c r="C2562" t="s">
        <v>309</v>
      </c>
      <c r="D2562" t="s">
        <v>29</v>
      </c>
      <c r="E2562" t="s">
        <v>30</v>
      </c>
      <c r="F2562" s="6">
        <v>45688</v>
      </c>
      <c r="G2562">
        <v>85</v>
      </c>
      <c r="H2562" t="s">
        <v>4276</v>
      </c>
      <c r="I2562">
        <v>0.9182209469153515</v>
      </c>
      <c r="J2562">
        <v>0.9182209469153515</v>
      </c>
      <c r="K2562" t="s">
        <v>2357</v>
      </c>
      <c r="L2562" t="s">
        <v>4277</v>
      </c>
      <c r="M2562">
        <v>2025</v>
      </c>
      <c r="N2562" t="s">
        <v>32</v>
      </c>
      <c r="O2562" t="s">
        <v>244</v>
      </c>
      <c r="P2562">
        <v>2</v>
      </c>
      <c r="Q2562">
        <v>2</v>
      </c>
      <c r="R2562">
        <v>0</v>
      </c>
      <c r="T2562" t="s">
        <v>4278</v>
      </c>
      <c r="U2562">
        <v>31</v>
      </c>
    </row>
    <row r="2563" spans="1:21" x14ac:dyDescent="0.3">
      <c r="A2563" t="s">
        <v>4271</v>
      </c>
      <c r="B2563" t="s">
        <v>4272</v>
      </c>
      <c r="C2563" t="s">
        <v>309</v>
      </c>
      <c r="D2563" t="s">
        <v>29</v>
      </c>
      <c r="E2563" t="s">
        <v>30</v>
      </c>
      <c r="F2563" s="6">
        <v>45716</v>
      </c>
      <c r="G2563">
        <v>85</v>
      </c>
      <c r="H2563" t="s">
        <v>4279</v>
      </c>
      <c r="I2563">
        <v>0.90830449826989612</v>
      </c>
      <c r="J2563">
        <v>0.90830449826989612</v>
      </c>
      <c r="K2563" t="s">
        <v>2357</v>
      </c>
      <c r="L2563" t="s">
        <v>4280</v>
      </c>
      <c r="M2563">
        <v>2025</v>
      </c>
      <c r="N2563" t="s">
        <v>36</v>
      </c>
      <c r="O2563" t="s">
        <v>244</v>
      </c>
      <c r="P2563">
        <v>2</v>
      </c>
      <c r="Q2563">
        <v>2</v>
      </c>
      <c r="R2563">
        <v>0</v>
      </c>
      <c r="T2563" t="s">
        <v>4281</v>
      </c>
      <c r="U2563">
        <v>28</v>
      </c>
    </row>
    <row r="2564" spans="1:21" x14ac:dyDescent="0.3">
      <c r="A2564" t="s">
        <v>4271</v>
      </c>
      <c r="B2564" t="s">
        <v>4272</v>
      </c>
      <c r="C2564" t="s">
        <v>309</v>
      </c>
      <c r="D2564" t="s">
        <v>29</v>
      </c>
      <c r="E2564" t="s">
        <v>30</v>
      </c>
      <c r="F2564" s="6">
        <v>45747</v>
      </c>
      <c r="G2564">
        <v>85</v>
      </c>
      <c r="H2564" t="s">
        <v>424</v>
      </c>
      <c r="I2564">
        <v>0</v>
      </c>
      <c r="J2564">
        <v>0</v>
      </c>
      <c r="K2564" t="s">
        <v>2357</v>
      </c>
      <c r="M2564">
        <v>2025</v>
      </c>
      <c r="N2564" t="s">
        <v>38</v>
      </c>
      <c r="O2564" t="s">
        <v>244</v>
      </c>
      <c r="P2564">
        <v>2</v>
      </c>
      <c r="Q2564">
        <v>2</v>
      </c>
      <c r="R2564">
        <v>0</v>
      </c>
      <c r="T2564" t="s">
        <v>4282</v>
      </c>
      <c r="U2564">
        <v>31</v>
      </c>
    </row>
    <row r="2565" spans="1:21" x14ac:dyDescent="0.3">
      <c r="A2565" t="s">
        <v>4271</v>
      </c>
      <c r="B2565" t="s">
        <v>4272</v>
      </c>
      <c r="C2565" t="s">
        <v>309</v>
      </c>
      <c r="D2565" t="s">
        <v>29</v>
      </c>
      <c r="E2565" t="s">
        <v>30</v>
      </c>
      <c r="F2565" s="6">
        <v>45777</v>
      </c>
      <c r="G2565">
        <v>85</v>
      </c>
      <c r="H2565" t="s">
        <v>4283</v>
      </c>
      <c r="I2565">
        <v>0.76364705882352935</v>
      </c>
      <c r="J2565">
        <v>0.76364705882352935</v>
      </c>
      <c r="K2565" t="s">
        <v>2357</v>
      </c>
      <c r="L2565" t="s">
        <v>4284</v>
      </c>
      <c r="M2565">
        <v>2025</v>
      </c>
      <c r="N2565" t="s">
        <v>40</v>
      </c>
      <c r="O2565" t="s">
        <v>244</v>
      </c>
      <c r="P2565">
        <v>2</v>
      </c>
      <c r="Q2565">
        <v>2</v>
      </c>
      <c r="R2565">
        <v>0</v>
      </c>
      <c r="T2565" t="s">
        <v>4285</v>
      </c>
      <c r="U2565">
        <v>30</v>
      </c>
    </row>
    <row r="2566" spans="1:21" x14ac:dyDescent="0.3">
      <c r="A2566" t="s">
        <v>4271</v>
      </c>
      <c r="B2566" t="s">
        <v>4272</v>
      </c>
      <c r="C2566" t="s">
        <v>309</v>
      </c>
      <c r="D2566" t="s">
        <v>29</v>
      </c>
      <c r="E2566" t="s">
        <v>30</v>
      </c>
      <c r="F2566" s="6">
        <v>45808</v>
      </c>
      <c r="G2566">
        <v>85</v>
      </c>
      <c r="H2566" t="s">
        <v>4286</v>
      </c>
      <c r="I2566">
        <v>0.7983529411764706</v>
      </c>
      <c r="J2566">
        <v>0.7983529411764706</v>
      </c>
      <c r="K2566" t="s">
        <v>2357</v>
      </c>
      <c r="L2566" t="s">
        <v>4287</v>
      </c>
      <c r="M2566">
        <v>2025</v>
      </c>
      <c r="N2566" t="s">
        <v>42</v>
      </c>
      <c r="O2566" t="s">
        <v>244</v>
      </c>
      <c r="P2566">
        <v>2</v>
      </c>
      <c r="Q2566">
        <v>2</v>
      </c>
      <c r="R2566">
        <v>0</v>
      </c>
      <c r="T2566" t="s">
        <v>4288</v>
      </c>
      <c r="U2566">
        <v>31</v>
      </c>
    </row>
    <row r="2567" spans="1:21" x14ac:dyDescent="0.3">
      <c r="A2567" t="s">
        <v>4271</v>
      </c>
      <c r="B2567" t="s">
        <v>4272</v>
      </c>
      <c r="C2567" t="s">
        <v>309</v>
      </c>
      <c r="D2567" t="s">
        <v>29</v>
      </c>
      <c r="E2567" t="s">
        <v>30</v>
      </c>
      <c r="F2567" s="6">
        <v>45838</v>
      </c>
      <c r="G2567">
        <v>85</v>
      </c>
      <c r="H2567" t="s">
        <v>4289</v>
      </c>
      <c r="I2567">
        <v>0.85188235294117642</v>
      </c>
      <c r="J2567">
        <v>0.85188235294117642</v>
      </c>
      <c r="K2567" t="s">
        <v>2357</v>
      </c>
      <c r="L2567" t="s">
        <v>4290</v>
      </c>
      <c r="M2567">
        <v>2025</v>
      </c>
      <c r="N2567" t="s">
        <v>44</v>
      </c>
      <c r="O2567" t="s">
        <v>244</v>
      </c>
      <c r="P2567">
        <v>2</v>
      </c>
      <c r="Q2567">
        <v>2</v>
      </c>
      <c r="R2567">
        <v>0</v>
      </c>
      <c r="T2567" t="s">
        <v>4291</v>
      </c>
      <c r="U2567">
        <v>30</v>
      </c>
    </row>
    <row r="2568" spans="1:21" x14ac:dyDescent="0.3">
      <c r="A2568" t="s">
        <v>4271</v>
      </c>
      <c r="B2568" t="s">
        <v>4272</v>
      </c>
      <c r="C2568" t="s">
        <v>309</v>
      </c>
      <c r="D2568" t="s">
        <v>29</v>
      </c>
      <c r="E2568" t="s">
        <v>30</v>
      </c>
      <c r="F2568" s="6">
        <v>45869</v>
      </c>
      <c r="G2568">
        <v>85</v>
      </c>
      <c r="H2568" t="s">
        <v>4292</v>
      </c>
      <c r="I2568">
        <v>0.98282352941176476</v>
      </c>
      <c r="J2568">
        <v>0.98282352941176476</v>
      </c>
      <c r="K2568" t="s">
        <v>2357</v>
      </c>
      <c r="L2568" t="s">
        <v>4293</v>
      </c>
      <c r="M2568">
        <v>2025</v>
      </c>
      <c r="N2568" t="s">
        <v>46</v>
      </c>
      <c r="O2568" t="s">
        <v>103</v>
      </c>
      <c r="P2568">
        <v>2</v>
      </c>
      <c r="Q2568">
        <v>2</v>
      </c>
      <c r="R2568">
        <v>0</v>
      </c>
      <c r="T2568" t="s">
        <v>4294</v>
      </c>
      <c r="U2568">
        <v>31</v>
      </c>
    </row>
    <row r="2569" spans="1:21" x14ac:dyDescent="0.3">
      <c r="A2569" t="s">
        <v>4271</v>
      </c>
      <c r="B2569" t="s">
        <v>4272</v>
      </c>
      <c r="C2569" t="s">
        <v>309</v>
      </c>
      <c r="D2569" t="s">
        <v>29</v>
      </c>
      <c r="E2569" t="s">
        <v>30</v>
      </c>
      <c r="F2569" s="6">
        <v>45900</v>
      </c>
      <c r="G2569">
        <v>85</v>
      </c>
      <c r="H2569" t="s">
        <v>4295</v>
      </c>
      <c r="I2569">
        <v>0.95305882352941185</v>
      </c>
      <c r="J2569">
        <v>0.95305882352941185</v>
      </c>
      <c r="K2569" t="s">
        <v>2357</v>
      </c>
      <c r="L2569" t="s">
        <v>4296</v>
      </c>
      <c r="M2569">
        <v>2025</v>
      </c>
      <c r="N2569" t="s">
        <v>49</v>
      </c>
      <c r="O2569" t="s">
        <v>103</v>
      </c>
      <c r="P2569">
        <v>2</v>
      </c>
      <c r="Q2569">
        <v>2</v>
      </c>
      <c r="R2569">
        <v>0</v>
      </c>
      <c r="T2569" t="s">
        <v>4297</v>
      </c>
      <c r="U2569">
        <v>31</v>
      </c>
    </row>
    <row r="2570" spans="1:21" x14ac:dyDescent="0.3">
      <c r="A2570" t="s">
        <v>4271</v>
      </c>
      <c r="B2570" t="s">
        <v>4272</v>
      </c>
      <c r="C2570" t="s">
        <v>309</v>
      </c>
      <c r="D2570" t="s">
        <v>29</v>
      </c>
      <c r="E2570" t="s">
        <v>30</v>
      </c>
      <c r="F2570" s="6">
        <v>45961</v>
      </c>
      <c r="G2570">
        <v>85</v>
      </c>
      <c r="H2570" t="s">
        <v>4298</v>
      </c>
      <c r="I2570">
        <v>1.006941176470588</v>
      </c>
      <c r="J2570">
        <v>1.006941176470588</v>
      </c>
      <c r="K2570" t="s">
        <v>2357</v>
      </c>
      <c r="L2570" t="s">
        <v>4299</v>
      </c>
      <c r="M2570">
        <v>2025</v>
      </c>
      <c r="N2570" t="s">
        <v>53</v>
      </c>
      <c r="O2570" t="s">
        <v>103</v>
      </c>
      <c r="P2570">
        <v>2</v>
      </c>
      <c r="Q2570">
        <v>2</v>
      </c>
      <c r="R2570">
        <v>0</v>
      </c>
      <c r="T2570" t="s">
        <v>4300</v>
      </c>
      <c r="U2570">
        <v>31</v>
      </c>
    </row>
    <row r="2571" spans="1:21" x14ac:dyDescent="0.3">
      <c r="A2571" t="s">
        <v>4271</v>
      </c>
      <c r="B2571" t="s">
        <v>4272</v>
      </c>
      <c r="C2571" t="s">
        <v>309</v>
      </c>
      <c r="D2571" t="s">
        <v>29</v>
      </c>
      <c r="E2571" t="s">
        <v>30</v>
      </c>
      <c r="F2571" s="6">
        <v>45991</v>
      </c>
      <c r="G2571">
        <v>85</v>
      </c>
      <c r="H2571" t="s">
        <v>4301</v>
      </c>
      <c r="I2571">
        <v>0.88235294117647056</v>
      </c>
      <c r="J2571">
        <v>0.88235294117647056</v>
      </c>
      <c r="K2571" t="s">
        <v>2357</v>
      </c>
      <c r="L2571" t="s">
        <v>4302</v>
      </c>
      <c r="M2571">
        <v>2025</v>
      </c>
      <c r="N2571" t="s">
        <v>55</v>
      </c>
      <c r="O2571" t="s">
        <v>103</v>
      </c>
      <c r="P2571">
        <v>2</v>
      </c>
      <c r="Q2571">
        <v>2</v>
      </c>
      <c r="R2571">
        <v>0</v>
      </c>
      <c r="T2571" t="s">
        <v>4303</v>
      </c>
      <c r="U2571">
        <v>30</v>
      </c>
    </row>
    <row r="2572" spans="1:21" x14ac:dyDescent="0.3">
      <c r="A2572" t="s">
        <v>4271</v>
      </c>
      <c r="B2572" t="s">
        <v>4272</v>
      </c>
      <c r="C2572" t="s">
        <v>309</v>
      </c>
      <c r="D2572" t="s">
        <v>29</v>
      </c>
      <c r="E2572" t="s">
        <v>30</v>
      </c>
      <c r="F2572" s="6">
        <v>46022</v>
      </c>
      <c r="G2572">
        <v>85</v>
      </c>
      <c r="H2572" t="s">
        <v>4304</v>
      </c>
      <c r="I2572">
        <v>0.90282352941176469</v>
      </c>
      <c r="J2572">
        <v>0.90282352941176469</v>
      </c>
      <c r="K2572" t="s">
        <v>2357</v>
      </c>
      <c r="L2572" t="s">
        <v>4305</v>
      </c>
      <c r="M2572">
        <v>2025</v>
      </c>
      <c r="N2572" t="s">
        <v>57</v>
      </c>
      <c r="O2572" t="s">
        <v>103</v>
      </c>
      <c r="P2572">
        <v>2</v>
      </c>
      <c r="Q2572">
        <v>2</v>
      </c>
      <c r="R2572">
        <v>0</v>
      </c>
      <c r="T2572" t="s">
        <v>4306</v>
      </c>
      <c r="U2572">
        <v>31</v>
      </c>
    </row>
    <row r="2573" spans="1:21" x14ac:dyDescent="0.3">
      <c r="A2573" t="s">
        <v>4271</v>
      </c>
      <c r="B2573" t="s">
        <v>4272</v>
      </c>
      <c r="C2573" t="s">
        <v>309</v>
      </c>
      <c r="D2573" t="s">
        <v>29</v>
      </c>
      <c r="E2573" t="s">
        <v>30</v>
      </c>
      <c r="F2573" s="6">
        <v>46053</v>
      </c>
      <c r="H2573" t="s">
        <v>4307</v>
      </c>
      <c r="I2573">
        <v>0</v>
      </c>
      <c r="J2573">
        <v>0</v>
      </c>
      <c r="L2573" t="s">
        <v>4308</v>
      </c>
      <c r="M2573">
        <v>2026</v>
      </c>
      <c r="N2573" t="s">
        <v>32</v>
      </c>
      <c r="O2573" t="s">
        <v>408</v>
      </c>
      <c r="P2573">
        <v>2</v>
      </c>
      <c r="Q2573">
        <v>2</v>
      </c>
      <c r="R2573">
        <v>0</v>
      </c>
      <c r="T2573" t="s">
        <v>4309</v>
      </c>
      <c r="U2573">
        <v>31</v>
      </c>
    </row>
    <row r="2574" spans="1:21" x14ac:dyDescent="0.3">
      <c r="A2574" t="s">
        <v>4310</v>
      </c>
      <c r="B2574" t="s">
        <v>4311</v>
      </c>
      <c r="C2574" t="s">
        <v>309</v>
      </c>
      <c r="D2574" t="s">
        <v>29</v>
      </c>
      <c r="E2574" t="s">
        <v>30</v>
      </c>
      <c r="F2574" s="6">
        <v>45596</v>
      </c>
      <c r="G2574">
        <v>80</v>
      </c>
      <c r="H2574">
        <v>80</v>
      </c>
      <c r="I2574">
        <v>1</v>
      </c>
      <c r="J2574">
        <v>1</v>
      </c>
      <c r="K2574" t="s">
        <v>31</v>
      </c>
      <c r="L2574" t="s">
        <v>31</v>
      </c>
      <c r="M2574">
        <v>2024</v>
      </c>
      <c r="N2574" t="s">
        <v>53</v>
      </c>
      <c r="O2574" t="s">
        <v>78</v>
      </c>
      <c r="P2574">
        <v>0</v>
      </c>
      <c r="Q2574">
        <v>0</v>
      </c>
      <c r="R2574">
        <v>0</v>
      </c>
      <c r="S2574" t="s">
        <v>34</v>
      </c>
      <c r="T2574" t="s">
        <v>4312</v>
      </c>
      <c r="U2574">
        <v>1</v>
      </c>
    </row>
    <row r="2575" spans="1:21" x14ac:dyDescent="0.3">
      <c r="A2575" t="s">
        <v>4310</v>
      </c>
      <c r="B2575" t="s">
        <v>4311</v>
      </c>
      <c r="C2575" t="s">
        <v>309</v>
      </c>
      <c r="D2575" t="s">
        <v>29</v>
      </c>
      <c r="E2575" t="s">
        <v>30</v>
      </c>
      <c r="F2575" s="6">
        <v>45626</v>
      </c>
      <c r="G2575">
        <v>80</v>
      </c>
      <c r="H2575">
        <v>100</v>
      </c>
      <c r="I2575">
        <v>1.25</v>
      </c>
      <c r="J2575">
        <v>1.25</v>
      </c>
      <c r="K2575" t="s">
        <v>31</v>
      </c>
      <c r="L2575" t="s">
        <v>31</v>
      </c>
      <c r="M2575">
        <v>2024</v>
      </c>
      <c r="N2575" t="s">
        <v>55</v>
      </c>
      <c r="O2575" t="s">
        <v>78</v>
      </c>
      <c r="P2575">
        <v>0</v>
      </c>
      <c r="Q2575">
        <v>0</v>
      </c>
      <c r="R2575">
        <v>0</v>
      </c>
      <c r="S2575" t="s">
        <v>34</v>
      </c>
      <c r="T2575" t="s">
        <v>4313</v>
      </c>
      <c r="U2575">
        <v>1</v>
      </c>
    </row>
    <row r="2576" spans="1:21" x14ac:dyDescent="0.3">
      <c r="A2576" t="s">
        <v>4310</v>
      </c>
      <c r="B2576" t="s">
        <v>4311</v>
      </c>
      <c r="C2576" t="s">
        <v>309</v>
      </c>
      <c r="D2576" t="s">
        <v>29</v>
      </c>
      <c r="E2576" t="s">
        <v>30</v>
      </c>
      <c r="F2576" s="6">
        <v>45657</v>
      </c>
      <c r="G2576">
        <v>80</v>
      </c>
      <c r="H2576">
        <v>100</v>
      </c>
      <c r="I2576">
        <v>1.25</v>
      </c>
      <c r="J2576">
        <v>1.25</v>
      </c>
      <c r="K2576" t="s">
        <v>31</v>
      </c>
      <c r="L2576" t="s">
        <v>31</v>
      </c>
      <c r="M2576">
        <v>2024</v>
      </c>
      <c r="N2576" t="s">
        <v>57</v>
      </c>
      <c r="O2576" t="s">
        <v>78</v>
      </c>
      <c r="P2576">
        <v>0</v>
      </c>
      <c r="Q2576">
        <v>0</v>
      </c>
      <c r="R2576">
        <v>0</v>
      </c>
      <c r="S2576" t="s">
        <v>34</v>
      </c>
      <c r="T2576" t="s">
        <v>4314</v>
      </c>
      <c r="U2576">
        <v>1</v>
      </c>
    </row>
    <row r="2577" spans="1:21" x14ac:dyDescent="0.3">
      <c r="A2577" t="s">
        <v>4315</v>
      </c>
      <c r="B2577" t="s">
        <v>4316</v>
      </c>
      <c r="C2577" t="s">
        <v>129</v>
      </c>
      <c r="D2577" t="s">
        <v>98</v>
      </c>
      <c r="E2577" t="s">
        <v>30</v>
      </c>
      <c r="F2577" s="6">
        <v>45657</v>
      </c>
      <c r="G2577">
        <v>80</v>
      </c>
      <c r="H2577">
        <v>88</v>
      </c>
      <c r="I2577">
        <v>1.1000000000000001</v>
      </c>
      <c r="J2577">
        <v>1.1000000000000001</v>
      </c>
      <c r="K2577" t="s">
        <v>31</v>
      </c>
      <c r="L2577" t="s">
        <v>31</v>
      </c>
      <c r="M2577">
        <v>2024</v>
      </c>
      <c r="N2577" t="s">
        <v>57</v>
      </c>
      <c r="O2577" t="s">
        <v>78</v>
      </c>
      <c r="P2577">
        <v>0</v>
      </c>
      <c r="Q2577">
        <v>0</v>
      </c>
      <c r="R2577">
        <v>0</v>
      </c>
      <c r="S2577" t="s">
        <v>34</v>
      </c>
      <c r="T2577" t="s">
        <v>4317</v>
      </c>
      <c r="U2577">
        <v>1</v>
      </c>
    </row>
    <row r="2578" spans="1:21" x14ac:dyDescent="0.3">
      <c r="A2578" t="s">
        <v>4315</v>
      </c>
      <c r="B2578" t="s">
        <v>4316</v>
      </c>
      <c r="C2578" t="s">
        <v>129</v>
      </c>
      <c r="D2578" t="s">
        <v>98</v>
      </c>
      <c r="E2578" t="s">
        <v>30</v>
      </c>
      <c r="F2578" s="6">
        <v>46022</v>
      </c>
      <c r="G2578">
        <v>80</v>
      </c>
      <c r="H2578" t="s">
        <v>95</v>
      </c>
      <c r="I2578">
        <v>1.25</v>
      </c>
      <c r="J2578">
        <v>1.25</v>
      </c>
      <c r="K2578" t="s">
        <v>193</v>
      </c>
      <c r="L2578" t="s">
        <v>102</v>
      </c>
      <c r="M2578">
        <v>2025</v>
      </c>
      <c r="N2578" t="s">
        <v>57</v>
      </c>
      <c r="O2578" t="s">
        <v>103</v>
      </c>
      <c r="P2578">
        <v>2</v>
      </c>
      <c r="Q2578">
        <v>2</v>
      </c>
      <c r="R2578">
        <v>0</v>
      </c>
      <c r="S2578" t="s">
        <v>130</v>
      </c>
      <c r="T2578" t="s">
        <v>4318</v>
      </c>
      <c r="U2578">
        <v>31</v>
      </c>
    </row>
    <row r="2579" spans="1:21" x14ac:dyDescent="0.3">
      <c r="A2579" t="s">
        <v>4319</v>
      </c>
      <c r="B2579" t="s">
        <v>4320</v>
      </c>
      <c r="C2579" t="s">
        <v>187</v>
      </c>
      <c r="D2579" t="s">
        <v>98</v>
      </c>
      <c r="E2579" t="s">
        <v>30</v>
      </c>
      <c r="F2579" s="6">
        <v>45657</v>
      </c>
      <c r="G2579">
        <v>80</v>
      </c>
      <c r="H2579">
        <v>88</v>
      </c>
      <c r="I2579">
        <v>1.1000000000000001</v>
      </c>
      <c r="J2579">
        <v>1.1000000000000001</v>
      </c>
      <c r="K2579" t="s">
        <v>31</v>
      </c>
      <c r="L2579" t="s">
        <v>31</v>
      </c>
      <c r="M2579">
        <v>2024</v>
      </c>
      <c r="N2579" t="s">
        <v>57</v>
      </c>
      <c r="O2579" t="s">
        <v>78</v>
      </c>
      <c r="P2579">
        <v>0</v>
      </c>
      <c r="Q2579">
        <v>0</v>
      </c>
      <c r="R2579">
        <v>0</v>
      </c>
      <c r="S2579" t="s">
        <v>34</v>
      </c>
      <c r="T2579" t="s">
        <v>4321</v>
      </c>
      <c r="U2579">
        <v>1</v>
      </c>
    </row>
    <row r="2580" spans="1:21" x14ac:dyDescent="0.3">
      <c r="A2580" t="s">
        <v>4319</v>
      </c>
      <c r="B2580" t="s">
        <v>4320</v>
      </c>
      <c r="C2580" t="s">
        <v>187</v>
      </c>
      <c r="D2580" t="s">
        <v>98</v>
      </c>
      <c r="E2580" t="s">
        <v>30</v>
      </c>
      <c r="F2580" s="6">
        <v>46022</v>
      </c>
      <c r="G2580">
        <v>80</v>
      </c>
      <c r="H2580" t="s">
        <v>95</v>
      </c>
      <c r="I2580">
        <v>1.25</v>
      </c>
      <c r="J2580">
        <v>1.25</v>
      </c>
      <c r="K2580" t="s">
        <v>193</v>
      </c>
      <c r="L2580" t="s">
        <v>102</v>
      </c>
      <c r="M2580">
        <v>2025</v>
      </c>
      <c r="N2580" t="s">
        <v>57</v>
      </c>
      <c r="O2580" t="s">
        <v>103</v>
      </c>
      <c r="P2580">
        <v>2</v>
      </c>
      <c r="Q2580">
        <v>2</v>
      </c>
      <c r="R2580">
        <v>0</v>
      </c>
      <c r="S2580" t="s">
        <v>130</v>
      </c>
      <c r="T2580" t="s">
        <v>4322</v>
      </c>
      <c r="U2580">
        <v>31</v>
      </c>
    </row>
    <row r="2581" spans="1:21" x14ac:dyDescent="0.3">
      <c r="A2581" t="s">
        <v>4323</v>
      </c>
      <c r="B2581" t="s">
        <v>4324</v>
      </c>
      <c r="C2581" t="s">
        <v>138</v>
      </c>
      <c r="D2581" t="s">
        <v>98</v>
      </c>
      <c r="E2581" t="s">
        <v>30</v>
      </c>
      <c r="F2581" s="6">
        <v>45657</v>
      </c>
      <c r="G2581">
        <v>80</v>
      </c>
      <c r="H2581">
        <v>83</v>
      </c>
      <c r="I2581">
        <v>1.0375000000000001</v>
      </c>
      <c r="J2581">
        <v>1.0375000000000001</v>
      </c>
      <c r="K2581" t="s">
        <v>31</v>
      </c>
      <c r="L2581" t="s">
        <v>31</v>
      </c>
      <c r="M2581">
        <v>2024</v>
      </c>
      <c r="N2581" t="s">
        <v>57</v>
      </c>
      <c r="O2581" t="s">
        <v>78</v>
      </c>
      <c r="P2581">
        <v>0</v>
      </c>
      <c r="Q2581">
        <v>0</v>
      </c>
      <c r="R2581">
        <v>0</v>
      </c>
      <c r="S2581" t="s">
        <v>34</v>
      </c>
      <c r="T2581" t="s">
        <v>4325</v>
      </c>
      <c r="U2581">
        <v>1</v>
      </c>
    </row>
    <row r="2582" spans="1:21" x14ac:dyDescent="0.3">
      <c r="A2582" t="s">
        <v>4323</v>
      </c>
      <c r="B2582" t="s">
        <v>4324</v>
      </c>
      <c r="C2582" t="s">
        <v>138</v>
      </c>
      <c r="D2582" t="s">
        <v>98</v>
      </c>
      <c r="E2582" t="s">
        <v>30</v>
      </c>
      <c r="F2582" s="6">
        <v>46022</v>
      </c>
      <c r="G2582">
        <v>80</v>
      </c>
      <c r="H2582" t="s">
        <v>837</v>
      </c>
      <c r="I2582">
        <v>1.1875</v>
      </c>
      <c r="J2582">
        <v>1.1875</v>
      </c>
      <c r="K2582" t="s">
        <v>193</v>
      </c>
      <c r="L2582" t="s">
        <v>838</v>
      </c>
      <c r="M2582">
        <v>2025</v>
      </c>
      <c r="N2582" t="s">
        <v>57</v>
      </c>
      <c r="O2582" t="s">
        <v>103</v>
      </c>
      <c r="P2582">
        <v>2</v>
      </c>
      <c r="Q2582">
        <v>2</v>
      </c>
      <c r="R2582">
        <v>0</v>
      </c>
      <c r="S2582" t="s">
        <v>130</v>
      </c>
      <c r="T2582" t="s">
        <v>4326</v>
      </c>
      <c r="U2582">
        <v>31</v>
      </c>
    </row>
    <row r="2583" spans="1:21" x14ac:dyDescent="0.3">
      <c r="A2583" t="s">
        <v>4327</v>
      </c>
      <c r="B2583" t="s">
        <v>4328</v>
      </c>
      <c r="C2583" t="s">
        <v>184</v>
      </c>
      <c r="D2583" t="s">
        <v>98</v>
      </c>
      <c r="E2583" t="s">
        <v>30</v>
      </c>
      <c r="F2583" s="6">
        <v>45657</v>
      </c>
      <c r="G2583">
        <v>80</v>
      </c>
      <c r="H2583">
        <v>81</v>
      </c>
      <c r="I2583">
        <v>1.0125</v>
      </c>
      <c r="J2583">
        <v>1.0125</v>
      </c>
      <c r="K2583" t="s">
        <v>31</v>
      </c>
      <c r="L2583" t="s">
        <v>31</v>
      </c>
      <c r="M2583">
        <v>2024</v>
      </c>
      <c r="N2583" t="s">
        <v>57</v>
      </c>
      <c r="O2583" t="s">
        <v>78</v>
      </c>
      <c r="P2583">
        <v>0</v>
      </c>
      <c r="Q2583">
        <v>0</v>
      </c>
      <c r="R2583">
        <v>0</v>
      </c>
      <c r="S2583" t="s">
        <v>34</v>
      </c>
      <c r="T2583" t="s">
        <v>4329</v>
      </c>
      <c r="U2583">
        <v>1</v>
      </c>
    </row>
    <row r="2584" spans="1:21" x14ac:dyDescent="0.3">
      <c r="A2584" t="s">
        <v>4327</v>
      </c>
      <c r="B2584" t="s">
        <v>4328</v>
      </c>
      <c r="C2584" t="s">
        <v>184</v>
      </c>
      <c r="D2584" t="s">
        <v>98</v>
      </c>
      <c r="E2584" t="s">
        <v>30</v>
      </c>
      <c r="F2584" s="6">
        <v>46022</v>
      </c>
      <c r="G2584">
        <v>80</v>
      </c>
      <c r="H2584" t="s">
        <v>4330</v>
      </c>
      <c r="I2584">
        <v>0.96250000000000002</v>
      </c>
      <c r="J2584">
        <v>0.96250000000000002</v>
      </c>
      <c r="K2584" t="s">
        <v>193</v>
      </c>
      <c r="L2584" t="s">
        <v>4331</v>
      </c>
      <c r="M2584">
        <v>2025</v>
      </c>
      <c r="N2584" t="s">
        <v>57</v>
      </c>
      <c r="O2584" t="s">
        <v>103</v>
      </c>
      <c r="P2584">
        <v>2</v>
      </c>
      <c r="Q2584">
        <v>2</v>
      </c>
      <c r="R2584">
        <v>0</v>
      </c>
      <c r="S2584" t="s">
        <v>130</v>
      </c>
      <c r="T2584" t="s">
        <v>4332</v>
      </c>
      <c r="U2584">
        <v>31</v>
      </c>
    </row>
    <row r="2585" spans="1:21" x14ac:dyDescent="0.3">
      <c r="A2585" t="s">
        <v>4333</v>
      </c>
      <c r="B2585" t="s">
        <v>4334</v>
      </c>
      <c r="C2585" t="s">
        <v>169</v>
      </c>
      <c r="D2585" t="s">
        <v>98</v>
      </c>
      <c r="E2585" t="s">
        <v>30</v>
      </c>
      <c r="F2585" s="6">
        <v>45657</v>
      </c>
      <c r="G2585">
        <v>80</v>
      </c>
      <c r="H2585">
        <v>89</v>
      </c>
      <c r="I2585">
        <v>1.1125</v>
      </c>
      <c r="J2585">
        <v>1.1125</v>
      </c>
      <c r="K2585" t="s">
        <v>31</v>
      </c>
      <c r="L2585" t="s">
        <v>31</v>
      </c>
      <c r="M2585">
        <v>2024</v>
      </c>
      <c r="N2585" t="s">
        <v>57</v>
      </c>
      <c r="O2585" t="s">
        <v>78</v>
      </c>
      <c r="P2585">
        <v>0</v>
      </c>
      <c r="Q2585">
        <v>0</v>
      </c>
      <c r="R2585">
        <v>0</v>
      </c>
      <c r="S2585" t="s">
        <v>34</v>
      </c>
      <c r="T2585" t="s">
        <v>4335</v>
      </c>
      <c r="U2585">
        <v>1</v>
      </c>
    </row>
    <row r="2586" spans="1:21" x14ac:dyDescent="0.3">
      <c r="A2586" t="s">
        <v>4333</v>
      </c>
      <c r="B2586" t="s">
        <v>4334</v>
      </c>
      <c r="C2586" t="s">
        <v>169</v>
      </c>
      <c r="D2586" t="s">
        <v>98</v>
      </c>
      <c r="E2586" t="s">
        <v>30</v>
      </c>
      <c r="F2586" s="6">
        <v>46022</v>
      </c>
      <c r="G2586">
        <v>80</v>
      </c>
      <c r="H2586" t="s">
        <v>4336</v>
      </c>
      <c r="I2586">
        <v>1.1625000000000001</v>
      </c>
      <c r="J2586">
        <v>1.1625000000000001</v>
      </c>
      <c r="K2586" t="s">
        <v>193</v>
      </c>
      <c r="L2586" t="s">
        <v>971</v>
      </c>
      <c r="M2586">
        <v>2025</v>
      </c>
      <c r="N2586" t="s">
        <v>57</v>
      </c>
      <c r="O2586" t="s">
        <v>103</v>
      </c>
      <c r="P2586">
        <v>2</v>
      </c>
      <c r="Q2586">
        <v>2</v>
      </c>
      <c r="R2586">
        <v>0</v>
      </c>
      <c r="S2586" t="s">
        <v>130</v>
      </c>
      <c r="T2586" t="s">
        <v>4337</v>
      </c>
      <c r="U2586">
        <v>31</v>
      </c>
    </row>
    <row r="2587" spans="1:21" x14ac:dyDescent="0.3">
      <c r="A2587" t="s">
        <v>4338</v>
      </c>
      <c r="B2587" t="s">
        <v>4339</v>
      </c>
      <c r="C2587" t="s">
        <v>174</v>
      </c>
      <c r="D2587" t="s">
        <v>98</v>
      </c>
      <c r="E2587" t="s">
        <v>30</v>
      </c>
      <c r="F2587" s="6">
        <v>45657</v>
      </c>
      <c r="G2587">
        <v>80</v>
      </c>
      <c r="H2587">
        <v>92</v>
      </c>
      <c r="I2587">
        <v>1.1499999999999999</v>
      </c>
      <c r="J2587">
        <v>1.1499999999999999</v>
      </c>
      <c r="K2587" t="s">
        <v>31</v>
      </c>
      <c r="L2587" t="s">
        <v>31</v>
      </c>
      <c r="M2587">
        <v>2024</v>
      </c>
      <c r="N2587" t="s">
        <v>57</v>
      </c>
      <c r="O2587" t="s">
        <v>78</v>
      </c>
      <c r="P2587">
        <v>0</v>
      </c>
      <c r="Q2587">
        <v>0</v>
      </c>
      <c r="R2587">
        <v>0</v>
      </c>
      <c r="S2587" t="s">
        <v>34</v>
      </c>
      <c r="T2587" t="s">
        <v>4340</v>
      </c>
      <c r="U2587">
        <v>1</v>
      </c>
    </row>
    <row r="2588" spans="1:21" x14ac:dyDescent="0.3">
      <c r="A2588" t="s">
        <v>4338</v>
      </c>
      <c r="B2588" t="s">
        <v>4339</v>
      </c>
      <c r="C2588" t="s">
        <v>174</v>
      </c>
      <c r="D2588" t="s">
        <v>98</v>
      </c>
      <c r="E2588" t="s">
        <v>30</v>
      </c>
      <c r="F2588" s="6">
        <v>46022</v>
      </c>
      <c r="G2588">
        <v>80</v>
      </c>
      <c r="H2588" t="s">
        <v>4341</v>
      </c>
      <c r="I2588">
        <v>0.78749999999999998</v>
      </c>
      <c r="J2588">
        <v>0.78749999999999998</v>
      </c>
      <c r="K2588" t="s">
        <v>193</v>
      </c>
      <c r="L2588" t="s">
        <v>4342</v>
      </c>
      <c r="M2588">
        <v>2025</v>
      </c>
      <c r="N2588" t="s">
        <v>57</v>
      </c>
      <c r="O2588" t="s">
        <v>103</v>
      </c>
      <c r="P2588">
        <v>2</v>
      </c>
      <c r="Q2588">
        <v>2</v>
      </c>
      <c r="R2588">
        <v>0</v>
      </c>
      <c r="S2588" t="s">
        <v>130</v>
      </c>
      <c r="T2588" t="s">
        <v>4343</v>
      </c>
      <c r="U2588">
        <v>31</v>
      </c>
    </row>
    <row r="2589" spans="1:21" x14ac:dyDescent="0.3">
      <c r="A2589" t="s">
        <v>4344</v>
      </c>
      <c r="B2589" t="s">
        <v>4345</v>
      </c>
      <c r="C2589" t="s">
        <v>225</v>
      </c>
      <c r="D2589" t="s">
        <v>98</v>
      </c>
      <c r="E2589" t="s">
        <v>30</v>
      </c>
      <c r="F2589" s="6">
        <v>45657</v>
      </c>
      <c r="G2589">
        <v>80</v>
      </c>
      <c r="H2589">
        <v>88</v>
      </c>
      <c r="I2589">
        <v>1.1000000000000001</v>
      </c>
      <c r="J2589">
        <v>1.1000000000000001</v>
      </c>
      <c r="K2589" t="s">
        <v>31</v>
      </c>
      <c r="L2589" t="s">
        <v>31</v>
      </c>
      <c r="M2589">
        <v>2024</v>
      </c>
      <c r="N2589" t="s">
        <v>57</v>
      </c>
      <c r="O2589" t="s">
        <v>78</v>
      </c>
      <c r="P2589">
        <v>0</v>
      </c>
      <c r="Q2589">
        <v>0</v>
      </c>
      <c r="R2589">
        <v>0</v>
      </c>
      <c r="S2589" t="s">
        <v>34</v>
      </c>
      <c r="T2589" t="s">
        <v>4346</v>
      </c>
      <c r="U2589">
        <v>1</v>
      </c>
    </row>
    <row r="2590" spans="1:21" x14ac:dyDescent="0.3">
      <c r="A2590" t="s">
        <v>4344</v>
      </c>
      <c r="B2590" t="s">
        <v>4345</v>
      </c>
      <c r="C2590" t="s">
        <v>225</v>
      </c>
      <c r="D2590" t="s">
        <v>98</v>
      </c>
      <c r="E2590" t="s">
        <v>30</v>
      </c>
      <c r="F2590" s="6">
        <v>46022</v>
      </c>
      <c r="G2590">
        <v>80</v>
      </c>
      <c r="H2590" t="s">
        <v>95</v>
      </c>
      <c r="I2590">
        <v>1.25</v>
      </c>
      <c r="J2590">
        <v>1.25</v>
      </c>
      <c r="K2590" t="s">
        <v>193</v>
      </c>
      <c r="L2590" t="s">
        <v>102</v>
      </c>
      <c r="M2590">
        <v>2025</v>
      </c>
      <c r="N2590" t="s">
        <v>57</v>
      </c>
      <c r="O2590" t="s">
        <v>103</v>
      </c>
      <c r="P2590">
        <v>2</v>
      </c>
      <c r="Q2590">
        <v>2</v>
      </c>
      <c r="R2590">
        <v>0</v>
      </c>
      <c r="S2590" t="s">
        <v>130</v>
      </c>
      <c r="T2590" t="s">
        <v>4347</v>
      </c>
      <c r="U2590">
        <v>31</v>
      </c>
    </row>
    <row r="2591" spans="1:21" x14ac:dyDescent="0.3">
      <c r="A2591" t="s">
        <v>4348</v>
      </c>
      <c r="B2591" t="s">
        <v>4349</v>
      </c>
      <c r="C2591" t="s">
        <v>178</v>
      </c>
      <c r="D2591" t="s">
        <v>98</v>
      </c>
      <c r="E2591" t="s">
        <v>30</v>
      </c>
      <c r="F2591" s="6">
        <v>45657</v>
      </c>
      <c r="G2591">
        <v>80</v>
      </c>
      <c r="H2591">
        <v>83</v>
      </c>
      <c r="I2591">
        <v>1.0375000000000001</v>
      </c>
      <c r="J2591">
        <v>1.0375000000000001</v>
      </c>
      <c r="K2591" t="s">
        <v>31</v>
      </c>
      <c r="L2591" t="s">
        <v>31</v>
      </c>
      <c r="M2591">
        <v>2024</v>
      </c>
      <c r="N2591" t="s">
        <v>57</v>
      </c>
      <c r="O2591" t="s">
        <v>78</v>
      </c>
      <c r="P2591">
        <v>0</v>
      </c>
      <c r="Q2591">
        <v>0</v>
      </c>
      <c r="R2591">
        <v>0</v>
      </c>
      <c r="S2591" t="s">
        <v>34</v>
      </c>
      <c r="T2591" t="s">
        <v>4350</v>
      </c>
      <c r="U2591">
        <v>1</v>
      </c>
    </row>
    <row r="2592" spans="1:21" x14ac:dyDescent="0.3">
      <c r="A2592" t="s">
        <v>4351</v>
      </c>
      <c r="B2592" t="s">
        <v>4352</v>
      </c>
      <c r="C2592" t="s">
        <v>133</v>
      </c>
      <c r="D2592" t="s">
        <v>98</v>
      </c>
      <c r="E2592" t="s">
        <v>30</v>
      </c>
      <c r="F2592" s="6">
        <v>45657</v>
      </c>
      <c r="G2592">
        <v>80</v>
      </c>
      <c r="H2592">
        <v>92</v>
      </c>
      <c r="I2592">
        <v>1.1499999999999999</v>
      </c>
      <c r="J2592">
        <v>1.1499999999999999</v>
      </c>
      <c r="K2592" t="s">
        <v>31</v>
      </c>
      <c r="L2592" t="s">
        <v>31</v>
      </c>
      <c r="M2592">
        <v>2024</v>
      </c>
      <c r="N2592" t="s">
        <v>57</v>
      </c>
      <c r="O2592" t="s">
        <v>78</v>
      </c>
      <c r="P2592">
        <v>0</v>
      </c>
      <c r="Q2592">
        <v>0</v>
      </c>
      <c r="R2592">
        <v>0</v>
      </c>
      <c r="S2592" t="s">
        <v>34</v>
      </c>
      <c r="T2592" t="s">
        <v>4353</v>
      </c>
      <c r="U2592">
        <v>1</v>
      </c>
    </row>
    <row r="2593" spans="1:21" x14ac:dyDescent="0.3">
      <c r="A2593" t="s">
        <v>4351</v>
      </c>
      <c r="B2593" t="s">
        <v>4352</v>
      </c>
      <c r="C2593" t="s">
        <v>133</v>
      </c>
      <c r="D2593" t="s">
        <v>98</v>
      </c>
      <c r="E2593" t="s">
        <v>30</v>
      </c>
      <c r="F2593" s="6">
        <v>46022</v>
      </c>
      <c r="G2593">
        <v>80</v>
      </c>
      <c r="H2593" t="s">
        <v>837</v>
      </c>
      <c r="I2593">
        <v>1.1875</v>
      </c>
      <c r="J2593">
        <v>1.1875</v>
      </c>
      <c r="K2593" t="s">
        <v>193</v>
      </c>
      <c r="L2593" t="s">
        <v>838</v>
      </c>
      <c r="M2593">
        <v>2025</v>
      </c>
      <c r="N2593" t="s">
        <v>57</v>
      </c>
      <c r="O2593" t="s">
        <v>103</v>
      </c>
      <c r="P2593">
        <v>2</v>
      </c>
      <c r="Q2593">
        <v>2</v>
      </c>
      <c r="R2593">
        <v>0</v>
      </c>
      <c r="S2593" t="s">
        <v>130</v>
      </c>
      <c r="T2593" t="s">
        <v>4354</v>
      </c>
      <c r="U2593">
        <v>31</v>
      </c>
    </row>
    <row r="2594" spans="1:21" x14ac:dyDescent="0.3">
      <c r="A2594" t="s">
        <v>4355</v>
      </c>
      <c r="B2594" t="s">
        <v>4356</v>
      </c>
      <c r="C2594" t="s">
        <v>2619</v>
      </c>
      <c r="D2594" t="s">
        <v>98</v>
      </c>
      <c r="E2594" t="s">
        <v>30</v>
      </c>
      <c r="F2594" s="6">
        <v>45657</v>
      </c>
      <c r="G2594">
        <v>80</v>
      </c>
      <c r="H2594">
        <v>87</v>
      </c>
      <c r="I2594">
        <v>1.0874999999999999</v>
      </c>
      <c r="J2594">
        <v>1.0874999999999999</v>
      </c>
      <c r="K2594" t="s">
        <v>31</v>
      </c>
      <c r="L2594" t="s">
        <v>31</v>
      </c>
      <c r="M2594">
        <v>2024</v>
      </c>
      <c r="N2594" t="s">
        <v>57</v>
      </c>
      <c r="O2594" t="s">
        <v>78</v>
      </c>
      <c r="P2594">
        <v>0</v>
      </c>
      <c r="Q2594">
        <v>0</v>
      </c>
      <c r="R2594">
        <v>0</v>
      </c>
      <c r="S2594" t="s">
        <v>34</v>
      </c>
      <c r="T2594" t="s">
        <v>4357</v>
      </c>
      <c r="U2594">
        <v>1</v>
      </c>
    </row>
    <row r="2595" spans="1:21" x14ac:dyDescent="0.3">
      <c r="A2595" t="s">
        <v>4358</v>
      </c>
      <c r="B2595" t="s">
        <v>4359</v>
      </c>
      <c r="C2595" t="s">
        <v>2678</v>
      </c>
      <c r="D2595" t="s">
        <v>29</v>
      </c>
      <c r="E2595" t="s">
        <v>30</v>
      </c>
      <c r="F2595" s="6">
        <v>44957</v>
      </c>
      <c r="G2595">
        <v>36</v>
      </c>
      <c r="H2595">
        <v>40</v>
      </c>
      <c r="I2595">
        <v>1.1111111111111109</v>
      </c>
      <c r="J2595">
        <v>1.1111111111111109</v>
      </c>
      <c r="K2595" t="s">
        <v>31</v>
      </c>
      <c r="L2595" t="s">
        <v>31</v>
      </c>
      <c r="M2595">
        <v>2023</v>
      </c>
      <c r="N2595" t="s">
        <v>32</v>
      </c>
      <c r="O2595" t="s">
        <v>33</v>
      </c>
      <c r="P2595">
        <v>0</v>
      </c>
      <c r="Q2595">
        <v>0</v>
      </c>
      <c r="R2595">
        <v>0</v>
      </c>
      <c r="S2595" t="s">
        <v>336</v>
      </c>
      <c r="T2595" t="s">
        <v>4360</v>
      </c>
      <c r="U2595">
        <v>1</v>
      </c>
    </row>
    <row r="2596" spans="1:21" x14ac:dyDescent="0.3">
      <c r="A2596" t="s">
        <v>4358</v>
      </c>
      <c r="B2596" t="s">
        <v>4359</v>
      </c>
      <c r="C2596" t="s">
        <v>2678</v>
      </c>
      <c r="D2596" t="s">
        <v>29</v>
      </c>
      <c r="E2596" t="s">
        <v>30</v>
      </c>
      <c r="F2596" s="6">
        <v>44985</v>
      </c>
      <c r="G2596">
        <v>42</v>
      </c>
      <c r="H2596">
        <v>42</v>
      </c>
      <c r="I2596">
        <v>1</v>
      </c>
      <c r="J2596">
        <v>1</v>
      </c>
      <c r="K2596" t="s">
        <v>31</v>
      </c>
      <c r="L2596" t="s">
        <v>31</v>
      </c>
      <c r="M2596">
        <v>2023</v>
      </c>
      <c r="N2596" t="s">
        <v>36</v>
      </c>
      <c r="O2596" t="s">
        <v>33</v>
      </c>
      <c r="P2596">
        <v>0</v>
      </c>
      <c r="Q2596">
        <v>0</v>
      </c>
      <c r="R2596">
        <v>0</v>
      </c>
      <c r="S2596" t="s">
        <v>336</v>
      </c>
      <c r="T2596" t="s">
        <v>4361</v>
      </c>
      <c r="U2596">
        <v>1</v>
      </c>
    </row>
    <row r="2597" spans="1:21" x14ac:dyDescent="0.3">
      <c r="A2597" t="s">
        <v>4358</v>
      </c>
      <c r="B2597" t="s">
        <v>4359</v>
      </c>
      <c r="C2597" t="s">
        <v>2678</v>
      </c>
      <c r="D2597" t="s">
        <v>29</v>
      </c>
      <c r="E2597" t="s">
        <v>30</v>
      </c>
      <c r="F2597" s="6">
        <v>45016</v>
      </c>
      <c r="G2597">
        <v>50</v>
      </c>
      <c r="H2597">
        <v>54</v>
      </c>
      <c r="I2597">
        <v>1.08</v>
      </c>
      <c r="J2597">
        <v>1.08</v>
      </c>
      <c r="K2597" t="s">
        <v>31</v>
      </c>
      <c r="L2597" t="s">
        <v>31</v>
      </c>
      <c r="M2597">
        <v>2023</v>
      </c>
      <c r="N2597" t="s">
        <v>38</v>
      </c>
      <c r="O2597" t="s">
        <v>33</v>
      </c>
      <c r="P2597">
        <v>0</v>
      </c>
      <c r="Q2597">
        <v>0</v>
      </c>
      <c r="R2597">
        <v>0</v>
      </c>
      <c r="S2597" t="s">
        <v>336</v>
      </c>
      <c r="T2597" t="s">
        <v>4362</v>
      </c>
      <c r="U2597">
        <v>1</v>
      </c>
    </row>
    <row r="2598" spans="1:21" x14ac:dyDescent="0.3">
      <c r="A2598" t="s">
        <v>4358</v>
      </c>
      <c r="B2598" t="s">
        <v>4359</v>
      </c>
      <c r="C2598" t="s">
        <v>2678</v>
      </c>
      <c r="D2598" t="s">
        <v>29</v>
      </c>
      <c r="E2598" t="s">
        <v>30</v>
      </c>
      <c r="F2598" s="6">
        <v>45046</v>
      </c>
      <c r="G2598">
        <v>53</v>
      </c>
      <c r="H2598">
        <v>55</v>
      </c>
      <c r="I2598">
        <v>1.037735849056604</v>
      </c>
      <c r="J2598">
        <v>1.037735849056604</v>
      </c>
      <c r="K2598" t="s">
        <v>31</v>
      </c>
      <c r="L2598" t="s">
        <v>31</v>
      </c>
      <c r="M2598">
        <v>2023</v>
      </c>
      <c r="N2598" t="s">
        <v>40</v>
      </c>
      <c r="O2598" t="s">
        <v>33</v>
      </c>
      <c r="P2598">
        <v>0</v>
      </c>
      <c r="Q2598">
        <v>0</v>
      </c>
      <c r="R2598">
        <v>0</v>
      </c>
      <c r="S2598" t="s">
        <v>336</v>
      </c>
      <c r="T2598" t="s">
        <v>4363</v>
      </c>
      <c r="U2598">
        <v>1</v>
      </c>
    </row>
    <row r="2599" spans="1:21" x14ac:dyDescent="0.3">
      <c r="A2599" t="s">
        <v>4358</v>
      </c>
      <c r="B2599" t="s">
        <v>4359</v>
      </c>
      <c r="C2599" t="s">
        <v>2678</v>
      </c>
      <c r="D2599" t="s">
        <v>29</v>
      </c>
      <c r="E2599" t="s">
        <v>30</v>
      </c>
      <c r="F2599" s="6">
        <v>45077</v>
      </c>
      <c r="G2599">
        <v>58</v>
      </c>
      <c r="H2599">
        <v>59</v>
      </c>
      <c r="I2599">
        <v>1.017241379310345</v>
      </c>
      <c r="J2599">
        <v>1.017241379310345</v>
      </c>
      <c r="K2599" t="s">
        <v>31</v>
      </c>
      <c r="L2599" t="s">
        <v>31</v>
      </c>
      <c r="M2599">
        <v>2023</v>
      </c>
      <c r="N2599" t="s">
        <v>42</v>
      </c>
      <c r="O2599" t="s">
        <v>33</v>
      </c>
      <c r="P2599">
        <v>0</v>
      </c>
      <c r="Q2599">
        <v>0</v>
      </c>
      <c r="R2599">
        <v>0</v>
      </c>
      <c r="S2599" t="s">
        <v>336</v>
      </c>
      <c r="T2599" t="s">
        <v>4364</v>
      </c>
      <c r="U2599">
        <v>1</v>
      </c>
    </row>
    <row r="2600" spans="1:21" x14ac:dyDescent="0.3">
      <c r="A2600" t="s">
        <v>4358</v>
      </c>
      <c r="B2600" t="s">
        <v>4359</v>
      </c>
      <c r="C2600" t="s">
        <v>2678</v>
      </c>
      <c r="D2600" t="s">
        <v>29</v>
      </c>
      <c r="E2600" t="s">
        <v>30</v>
      </c>
      <c r="F2600" s="6">
        <v>45107</v>
      </c>
      <c r="G2600">
        <v>64</v>
      </c>
      <c r="H2600">
        <v>64</v>
      </c>
      <c r="I2600">
        <v>1</v>
      </c>
      <c r="J2600">
        <v>1</v>
      </c>
      <c r="K2600" t="s">
        <v>31</v>
      </c>
      <c r="L2600" t="s">
        <v>31</v>
      </c>
      <c r="M2600">
        <v>2023</v>
      </c>
      <c r="N2600" t="s">
        <v>44</v>
      </c>
      <c r="O2600" t="s">
        <v>33</v>
      </c>
      <c r="P2600">
        <v>0</v>
      </c>
      <c r="Q2600">
        <v>0</v>
      </c>
      <c r="R2600">
        <v>0</v>
      </c>
      <c r="S2600" t="s">
        <v>336</v>
      </c>
      <c r="T2600" t="s">
        <v>4365</v>
      </c>
      <c r="U2600">
        <v>1</v>
      </c>
    </row>
    <row r="2601" spans="1:21" x14ac:dyDescent="0.3">
      <c r="A2601" t="s">
        <v>4358</v>
      </c>
      <c r="B2601" t="s">
        <v>4359</v>
      </c>
      <c r="C2601" t="s">
        <v>2678</v>
      </c>
      <c r="D2601" t="s">
        <v>29</v>
      </c>
      <c r="E2601" t="s">
        <v>30</v>
      </c>
      <c r="F2601" s="6">
        <v>45138</v>
      </c>
      <c r="G2601">
        <v>69</v>
      </c>
      <c r="H2601">
        <v>66</v>
      </c>
      <c r="I2601">
        <v>0.95652173913043481</v>
      </c>
      <c r="J2601">
        <v>0.95652173913043481</v>
      </c>
      <c r="K2601" t="s">
        <v>31</v>
      </c>
      <c r="L2601" t="s">
        <v>31</v>
      </c>
      <c r="M2601">
        <v>2023</v>
      </c>
      <c r="N2601" t="s">
        <v>46</v>
      </c>
      <c r="O2601" t="s">
        <v>47</v>
      </c>
      <c r="P2601">
        <v>0</v>
      </c>
      <c r="Q2601">
        <v>0</v>
      </c>
      <c r="R2601">
        <v>0</v>
      </c>
      <c r="S2601" t="s">
        <v>336</v>
      </c>
      <c r="T2601" t="s">
        <v>4366</v>
      </c>
      <c r="U2601">
        <v>1</v>
      </c>
    </row>
    <row r="2602" spans="1:21" x14ac:dyDescent="0.3">
      <c r="A2602" t="s">
        <v>4358</v>
      </c>
      <c r="B2602" t="s">
        <v>4359</v>
      </c>
      <c r="C2602" t="s">
        <v>2678</v>
      </c>
      <c r="D2602" t="s">
        <v>29</v>
      </c>
      <c r="E2602" t="s">
        <v>30</v>
      </c>
      <c r="F2602" s="6">
        <v>45169</v>
      </c>
      <c r="G2602">
        <v>75</v>
      </c>
      <c r="H2602">
        <v>80</v>
      </c>
      <c r="I2602">
        <v>1.0666666666666671</v>
      </c>
      <c r="J2602">
        <v>1.0666666666666671</v>
      </c>
      <c r="K2602" t="s">
        <v>31</v>
      </c>
      <c r="L2602" t="s">
        <v>31</v>
      </c>
      <c r="M2602">
        <v>2023</v>
      </c>
      <c r="N2602" t="s">
        <v>49</v>
      </c>
      <c r="O2602" t="s">
        <v>47</v>
      </c>
      <c r="P2602">
        <v>0</v>
      </c>
      <c r="Q2602">
        <v>0</v>
      </c>
      <c r="R2602">
        <v>0</v>
      </c>
      <c r="S2602" t="s">
        <v>336</v>
      </c>
      <c r="T2602" t="s">
        <v>4367</v>
      </c>
      <c r="U2602">
        <v>1</v>
      </c>
    </row>
    <row r="2603" spans="1:21" x14ac:dyDescent="0.3">
      <c r="A2603" t="s">
        <v>4358</v>
      </c>
      <c r="B2603" t="s">
        <v>4359</v>
      </c>
      <c r="C2603" t="s">
        <v>2678</v>
      </c>
      <c r="D2603" t="s">
        <v>29</v>
      </c>
      <c r="E2603" t="s">
        <v>30</v>
      </c>
      <c r="F2603" s="6">
        <v>45199</v>
      </c>
      <c r="G2603">
        <v>75</v>
      </c>
      <c r="H2603">
        <v>80</v>
      </c>
      <c r="I2603">
        <v>1.0666666666666671</v>
      </c>
      <c r="J2603">
        <v>1.0666666666666671</v>
      </c>
      <c r="K2603" t="s">
        <v>31</v>
      </c>
      <c r="L2603" t="s">
        <v>31</v>
      </c>
      <c r="M2603">
        <v>2023</v>
      </c>
      <c r="N2603" t="s">
        <v>51</v>
      </c>
      <c r="O2603" t="s">
        <v>47</v>
      </c>
      <c r="P2603">
        <v>0</v>
      </c>
      <c r="Q2603">
        <v>0</v>
      </c>
      <c r="R2603">
        <v>0</v>
      </c>
      <c r="S2603" t="s">
        <v>336</v>
      </c>
      <c r="T2603" t="s">
        <v>4368</v>
      </c>
      <c r="U2603">
        <v>1</v>
      </c>
    </row>
    <row r="2604" spans="1:21" x14ac:dyDescent="0.3">
      <c r="A2604" t="s">
        <v>4358</v>
      </c>
      <c r="B2604" t="s">
        <v>4359</v>
      </c>
      <c r="C2604" t="s">
        <v>2678</v>
      </c>
      <c r="D2604" t="s">
        <v>29</v>
      </c>
      <c r="E2604" t="s">
        <v>30</v>
      </c>
      <c r="F2604" s="6">
        <v>45230</v>
      </c>
      <c r="G2604">
        <v>91</v>
      </c>
      <c r="H2604">
        <v>84</v>
      </c>
      <c r="I2604">
        <v>0.92307692307692313</v>
      </c>
      <c r="J2604">
        <v>0.92307692307692313</v>
      </c>
      <c r="K2604" t="s">
        <v>31</v>
      </c>
      <c r="L2604" t="s">
        <v>31</v>
      </c>
      <c r="M2604">
        <v>2023</v>
      </c>
      <c r="N2604" t="s">
        <v>53</v>
      </c>
      <c r="O2604" t="s">
        <v>47</v>
      </c>
      <c r="P2604">
        <v>0</v>
      </c>
      <c r="Q2604">
        <v>0</v>
      </c>
      <c r="R2604">
        <v>0</v>
      </c>
      <c r="S2604" t="s">
        <v>336</v>
      </c>
      <c r="T2604" t="s">
        <v>4369</v>
      </c>
      <c r="U2604">
        <v>1</v>
      </c>
    </row>
    <row r="2605" spans="1:21" x14ac:dyDescent="0.3">
      <c r="A2605" t="s">
        <v>4358</v>
      </c>
      <c r="B2605" t="s">
        <v>4359</v>
      </c>
      <c r="C2605" t="s">
        <v>2678</v>
      </c>
      <c r="D2605" t="s">
        <v>29</v>
      </c>
      <c r="E2605" t="s">
        <v>30</v>
      </c>
      <c r="F2605" s="6">
        <v>45260</v>
      </c>
      <c r="G2605">
        <v>92</v>
      </c>
      <c r="H2605">
        <v>85</v>
      </c>
      <c r="I2605">
        <v>0.92391304347826086</v>
      </c>
      <c r="J2605">
        <v>0.92391304347826086</v>
      </c>
      <c r="K2605" t="s">
        <v>31</v>
      </c>
      <c r="L2605" t="s">
        <v>31</v>
      </c>
      <c r="M2605">
        <v>2023</v>
      </c>
      <c r="N2605" t="s">
        <v>55</v>
      </c>
      <c r="O2605" t="s">
        <v>47</v>
      </c>
      <c r="P2605">
        <v>0</v>
      </c>
      <c r="Q2605">
        <v>0</v>
      </c>
      <c r="R2605">
        <v>0</v>
      </c>
      <c r="S2605" t="s">
        <v>336</v>
      </c>
      <c r="T2605" t="s">
        <v>4370</v>
      </c>
      <c r="U2605">
        <v>1</v>
      </c>
    </row>
    <row r="2606" spans="1:21" x14ac:dyDescent="0.3">
      <c r="A2606" t="s">
        <v>4358</v>
      </c>
      <c r="B2606" t="s">
        <v>4359</v>
      </c>
      <c r="C2606" t="s">
        <v>2678</v>
      </c>
      <c r="D2606" t="s">
        <v>29</v>
      </c>
      <c r="E2606" t="s">
        <v>30</v>
      </c>
      <c r="F2606" s="6">
        <v>45291</v>
      </c>
      <c r="G2606">
        <v>78</v>
      </c>
      <c r="H2606">
        <v>74</v>
      </c>
      <c r="I2606">
        <v>0.94871794871794868</v>
      </c>
      <c r="J2606">
        <v>0.94871794871794868</v>
      </c>
      <c r="K2606" t="s">
        <v>31</v>
      </c>
      <c r="L2606" t="s">
        <v>31</v>
      </c>
      <c r="M2606">
        <v>2023</v>
      </c>
      <c r="N2606" t="s">
        <v>57</v>
      </c>
      <c r="O2606" t="s">
        <v>47</v>
      </c>
      <c r="P2606">
        <v>0</v>
      </c>
      <c r="Q2606">
        <v>0</v>
      </c>
      <c r="R2606">
        <v>0</v>
      </c>
      <c r="S2606" t="s">
        <v>336</v>
      </c>
      <c r="T2606" t="s">
        <v>4371</v>
      </c>
      <c r="U2606">
        <v>1</v>
      </c>
    </row>
    <row r="2607" spans="1:21" x14ac:dyDescent="0.3">
      <c r="A2607" t="s">
        <v>4358</v>
      </c>
      <c r="B2607" t="s">
        <v>4359</v>
      </c>
      <c r="C2607" t="s">
        <v>2678</v>
      </c>
      <c r="D2607" t="s">
        <v>29</v>
      </c>
      <c r="E2607" t="s">
        <v>30</v>
      </c>
      <c r="F2607" s="6">
        <v>45322</v>
      </c>
      <c r="G2607">
        <v>74</v>
      </c>
      <c r="H2607">
        <v>78</v>
      </c>
      <c r="I2607">
        <v>1.0540540540540539</v>
      </c>
      <c r="J2607">
        <v>1.0540540540540539</v>
      </c>
      <c r="K2607" t="s">
        <v>31</v>
      </c>
      <c r="L2607" t="s">
        <v>31</v>
      </c>
      <c r="M2607">
        <v>2024</v>
      </c>
      <c r="N2607" t="s">
        <v>32</v>
      </c>
      <c r="O2607" t="s">
        <v>71</v>
      </c>
      <c r="P2607">
        <v>0</v>
      </c>
      <c r="Q2607">
        <v>0</v>
      </c>
      <c r="R2607">
        <v>0</v>
      </c>
      <c r="S2607" t="s">
        <v>336</v>
      </c>
      <c r="T2607" t="s">
        <v>4372</v>
      </c>
      <c r="U2607">
        <v>1</v>
      </c>
    </row>
    <row r="2608" spans="1:21" x14ac:dyDescent="0.3">
      <c r="A2608" t="s">
        <v>4358</v>
      </c>
      <c r="B2608" t="s">
        <v>4359</v>
      </c>
      <c r="C2608" t="s">
        <v>2678</v>
      </c>
      <c r="D2608" t="s">
        <v>29</v>
      </c>
      <c r="E2608" t="s">
        <v>30</v>
      </c>
      <c r="F2608" s="6">
        <v>45351</v>
      </c>
      <c r="G2608">
        <v>78</v>
      </c>
      <c r="H2608">
        <v>74</v>
      </c>
      <c r="I2608">
        <v>0.94871794871794868</v>
      </c>
      <c r="J2608">
        <v>0.94871794871794868</v>
      </c>
      <c r="K2608" t="s">
        <v>31</v>
      </c>
      <c r="L2608" t="s">
        <v>31</v>
      </c>
      <c r="M2608">
        <v>2024</v>
      </c>
      <c r="N2608" t="s">
        <v>36</v>
      </c>
      <c r="O2608" t="s">
        <v>71</v>
      </c>
      <c r="P2608">
        <v>0</v>
      </c>
      <c r="Q2608">
        <v>0</v>
      </c>
      <c r="R2608">
        <v>0</v>
      </c>
      <c r="S2608" t="s">
        <v>336</v>
      </c>
      <c r="T2608" t="s">
        <v>4373</v>
      </c>
      <c r="U2608">
        <v>1</v>
      </c>
    </row>
    <row r="2609" spans="1:21" x14ac:dyDescent="0.3">
      <c r="A2609" t="s">
        <v>4358</v>
      </c>
      <c r="B2609" t="s">
        <v>4359</v>
      </c>
      <c r="C2609" t="s">
        <v>2678</v>
      </c>
      <c r="D2609" t="s">
        <v>29</v>
      </c>
      <c r="E2609" t="s">
        <v>30</v>
      </c>
      <c r="F2609" s="6">
        <v>45382</v>
      </c>
      <c r="G2609">
        <v>100</v>
      </c>
      <c r="H2609">
        <v>98</v>
      </c>
      <c r="I2609">
        <v>0.98</v>
      </c>
      <c r="J2609">
        <v>0.98</v>
      </c>
      <c r="K2609" t="s">
        <v>31</v>
      </c>
      <c r="L2609" t="s">
        <v>31</v>
      </c>
      <c r="M2609">
        <v>2024</v>
      </c>
      <c r="N2609" t="s">
        <v>38</v>
      </c>
      <c r="O2609" t="s">
        <v>71</v>
      </c>
      <c r="P2609">
        <v>0</v>
      </c>
      <c r="Q2609">
        <v>0</v>
      </c>
      <c r="R2609">
        <v>0</v>
      </c>
      <c r="S2609" t="s">
        <v>336</v>
      </c>
      <c r="T2609" t="s">
        <v>4374</v>
      </c>
      <c r="U2609">
        <v>1</v>
      </c>
    </row>
    <row r="2610" spans="1:21" x14ac:dyDescent="0.3">
      <c r="A2610" t="s">
        <v>4358</v>
      </c>
      <c r="B2610" t="s">
        <v>4359</v>
      </c>
      <c r="C2610" t="s">
        <v>2678</v>
      </c>
      <c r="D2610" t="s">
        <v>29</v>
      </c>
      <c r="E2610" t="s">
        <v>30</v>
      </c>
      <c r="F2610" s="6">
        <v>45412</v>
      </c>
      <c r="G2610">
        <v>100</v>
      </c>
      <c r="H2610">
        <v>98</v>
      </c>
      <c r="I2610">
        <v>0.98</v>
      </c>
      <c r="J2610">
        <v>0.98</v>
      </c>
      <c r="K2610" t="s">
        <v>31</v>
      </c>
      <c r="L2610" t="s">
        <v>31</v>
      </c>
      <c r="M2610">
        <v>2024</v>
      </c>
      <c r="N2610" t="s">
        <v>40</v>
      </c>
      <c r="O2610" t="s">
        <v>71</v>
      </c>
      <c r="P2610">
        <v>0</v>
      </c>
      <c r="Q2610">
        <v>0</v>
      </c>
      <c r="R2610">
        <v>0</v>
      </c>
      <c r="S2610" t="s">
        <v>336</v>
      </c>
      <c r="T2610" t="s">
        <v>4375</v>
      </c>
      <c r="U2610">
        <v>1</v>
      </c>
    </row>
    <row r="2611" spans="1:21" x14ac:dyDescent="0.3">
      <c r="A2611" t="s">
        <v>4358</v>
      </c>
      <c r="B2611" t="s">
        <v>4359</v>
      </c>
      <c r="C2611" t="s">
        <v>2678</v>
      </c>
      <c r="D2611" t="s">
        <v>29</v>
      </c>
      <c r="E2611" t="s">
        <v>30</v>
      </c>
      <c r="F2611" s="6">
        <v>45443</v>
      </c>
      <c r="G2611">
        <v>100</v>
      </c>
      <c r="H2611">
        <v>98</v>
      </c>
      <c r="I2611">
        <v>0.98</v>
      </c>
      <c r="J2611">
        <v>0.98</v>
      </c>
      <c r="K2611" t="s">
        <v>31</v>
      </c>
      <c r="L2611" t="s">
        <v>31</v>
      </c>
      <c r="M2611">
        <v>2024</v>
      </c>
      <c r="N2611" t="s">
        <v>42</v>
      </c>
      <c r="O2611" t="s">
        <v>71</v>
      </c>
      <c r="P2611">
        <v>0</v>
      </c>
      <c r="Q2611">
        <v>0</v>
      </c>
      <c r="R2611">
        <v>0</v>
      </c>
      <c r="S2611" t="s">
        <v>336</v>
      </c>
      <c r="T2611" t="s">
        <v>4376</v>
      </c>
      <c r="U2611">
        <v>1</v>
      </c>
    </row>
    <row r="2612" spans="1:21" x14ac:dyDescent="0.3">
      <c r="A2612" t="s">
        <v>4358</v>
      </c>
      <c r="B2612" t="s">
        <v>4359</v>
      </c>
      <c r="C2612" t="s">
        <v>2678</v>
      </c>
      <c r="D2612" t="s">
        <v>29</v>
      </c>
      <c r="E2612" t="s">
        <v>30</v>
      </c>
      <c r="F2612" s="6">
        <v>45473</v>
      </c>
      <c r="G2612">
        <v>100</v>
      </c>
      <c r="H2612">
        <v>100</v>
      </c>
      <c r="I2612">
        <v>1</v>
      </c>
      <c r="J2612">
        <v>1</v>
      </c>
      <c r="K2612" t="s">
        <v>31</v>
      </c>
      <c r="L2612" t="s">
        <v>31</v>
      </c>
      <c r="M2612">
        <v>2024</v>
      </c>
      <c r="N2612" t="s">
        <v>44</v>
      </c>
      <c r="O2612" t="s">
        <v>71</v>
      </c>
      <c r="P2612">
        <v>0</v>
      </c>
      <c r="Q2612">
        <v>0</v>
      </c>
      <c r="R2612">
        <v>0</v>
      </c>
      <c r="S2612" t="s">
        <v>336</v>
      </c>
      <c r="T2612" t="s">
        <v>4377</v>
      </c>
      <c r="U2612">
        <v>1</v>
      </c>
    </row>
    <row r="2613" spans="1:21" x14ac:dyDescent="0.3">
      <c r="A2613" t="s">
        <v>4358</v>
      </c>
      <c r="B2613" t="s">
        <v>4359</v>
      </c>
      <c r="C2613" t="s">
        <v>2678</v>
      </c>
      <c r="D2613" t="s">
        <v>29</v>
      </c>
      <c r="E2613" t="s">
        <v>30</v>
      </c>
      <c r="F2613" s="6">
        <v>45504</v>
      </c>
      <c r="G2613">
        <v>100</v>
      </c>
      <c r="H2613">
        <v>99</v>
      </c>
      <c r="I2613">
        <v>0.99</v>
      </c>
      <c r="J2613">
        <v>0.99</v>
      </c>
      <c r="K2613" t="s">
        <v>31</v>
      </c>
      <c r="L2613" t="s">
        <v>31</v>
      </c>
      <c r="M2613">
        <v>2024</v>
      </c>
      <c r="N2613" t="s">
        <v>46</v>
      </c>
      <c r="O2613" t="s">
        <v>78</v>
      </c>
      <c r="P2613">
        <v>0</v>
      </c>
      <c r="Q2613">
        <v>0</v>
      </c>
      <c r="R2613">
        <v>0</v>
      </c>
      <c r="S2613" t="s">
        <v>336</v>
      </c>
      <c r="T2613" t="s">
        <v>4378</v>
      </c>
      <c r="U2613">
        <v>1</v>
      </c>
    </row>
    <row r="2614" spans="1:21" x14ac:dyDescent="0.3">
      <c r="A2614" t="s">
        <v>4358</v>
      </c>
      <c r="B2614" t="s">
        <v>4359</v>
      </c>
      <c r="C2614" t="s">
        <v>2678</v>
      </c>
      <c r="D2614" t="s">
        <v>29</v>
      </c>
      <c r="E2614" t="s">
        <v>30</v>
      </c>
      <c r="F2614" s="6">
        <v>45535</v>
      </c>
      <c r="G2614">
        <v>100</v>
      </c>
      <c r="H2614">
        <v>100</v>
      </c>
      <c r="I2614">
        <v>1</v>
      </c>
      <c r="J2614">
        <v>1</v>
      </c>
      <c r="K2614" t="s">
        <v>31</v>
      </c>
      <c r="L2614" t="s">
        <v>31</v>
      </c>
      <c r="M2614">
        <v>2024</v>
      </c>
      <c r="N2614" t="s">
        <v>49</v>
      </c>
      <c r="O2614" t="s">
        <v>78</v>
      </c>
      <c r="P2614">
        <v>0</v>
      </c>
      <c r="Q2614">
        <v>0</v>
      </c>
      <c r="R2614">
        <v>0</v>
      </c>
      <c r="S2614" t="s">
        <v>336</v>
      </c>
      <c r="T2614" t="s">
        <v>4379</v>
      </c>
      <c r="U2614">
        <v>1</v>
      </c>
    </row>
    <row r="2615" spans="1:21" x14ac:dyDescent="0.3">
      <c r="A2615" t="s">
        <v>4358</v>
      </c>
      <c r="B2615" t="s">
        <v>4359</v>
      </c>
      <c r="C2615" t="s">
        <v>2678</v>
      </c>
      <c r="D2615" t="s">
        <v>29</v>
      </c>
      <c r="E2615" t="s">
        <v>30</v>
      </c>
      <c r="F2615" s="6">
        <v>45565</v>
      </c>
      <c r="G2615">
        <v>100</v>
      </c>
      <c r="H2615">
        <v>100</v>
      </c>
      <c r="I2615">
        <v>1</v>
      </c>
      <c r="J2615">
        <v>1</v>
      </c>
      <c r="K2615" t="s">
        <v>31</v>
      </c>
      <c r="L2615" t="s">
        <v>31</v>
      </c>
      <c r="M2615">
        <v>2024</v>
      </c>
      <c r="N2615" t="s">
        <v>51</v>
      </c>
      <c r="O2615" t="s">
        <v>78</v>
      </c>
      <c r="P2615">
        <v>0</v>
      </c>
      <c r="Q2615">
        <v>0</v>
      </c>
      <c r="R2615">
        <v>0</v>
      </c>
      <c r="S2615" t="s">
        <v>336</v>
      </c>
      <c r="T2615" t="s">
        <v>4380</v>
      </c>
      <c r="U2615">
        <v>1</v>
      </c>
    </row>
    <row r="2616" spans="1:21" x14ac:dyDescent="0.3">
      <c r="A2616" t="s">
        <v>4358</v>
      </c>
      <c r="B2616" t="s">
        <v>4359</v>
      </c>
      <c r="C2616" t="s">
        <v>2678</v>
      </c>
      <c r="D2616" t="s">
        <v>29</v>
      </c>
      <c r="E2616" t="s">
        <v>30</v>
      </c>
      <c r="F2616" s="6">
        <v>45596</v>
      </c>
      <c r="G2616">
        <v>100</v>
      </c>
      <c r="H2616">
        <v>100</v>
      </c>
      <c r="I2616">
        <v>1</v>
      </c>
      <c r="J2616">
        <v>1</v>
      </c>
      <c r="K2616" t="s">
        <v>31</v>
      </c>
      <c r="L2616" t="s">
        <v>31</v>
      </c>
      <c r="M2616">
        <v>2024</v>
      </c>
      <c r="N2616" t="s">
        <v>53</v>
      </c>
      <c r="O2616" t="s">
        <v>78</v>
      </c>
      <c r="P2616">
        <v>0</v>
      </c>
      <c r="Q2616">
        <v>0</v>
      </c>
      <c r="R2616">
        <v>0</v>
      </c>
      <c r="S2616" t="s">
        <v>336</v>
      </c>
      <c r="T2616" t="s">
        <v>4381</v>
      </c>
      <c r="U2616">
        <v>1</v>
      </c>
    </row>
    <row r="2617" spans="1:21" x14ac:dyDescent="0.3">
      <c r="A2617" t="s">
        <v>4358</v>
      </c>
      <c r="B2617" t="s">
        <v>4359</v>
      </c>
      <c r="C2617" t="s">
        <v>2678</v>
      </c>
      <c r="D2617" t="s">
        <v>29</v>
      </c>
      <c r="E2617" t="s">
        <v>30</v>
      </c>
      <c r="F2617" s="6">
        <v>45626</v>
      </c>
      <c r="G2617">
        <v>100</v>
      </c>
      <c r="H2617">
        <v>100</v>
      </c>
      <c r="I2617">
        <v>1</v>
      </c>
      <c r="J2617">
        <v>1</v>
      </c>
      <c r="K2617" t="s">
        <v>31</v>
      </c>
      <c r="L2617" t="s">
        <v>31</v>
      </c>
      <c r="M2617">
        <v>2024</v>
      </c>
      <c r="N2617" t="s">
        <v>55</v>
      </c>
      <c r="O2617" t="s">
        <v>78</v>
      </c>
      <c r="P2617">
        <v>0</v>
      </c>
      <c r="Q2617">
        <v>0</v>
      </c>
      <c r="R2617">
        <v>0</v>
      </c>
      <c r="S2617" t="s">
        <v>336</v>
      </c>
      <c r="T2617" t="s">
        <v>4382</v>
      </c>
      <c r="U2617">
        <v>1</v>
      </c>
    </row>
    <row r="2618" spans="1:21" x14ac:dyDescent="0.3">
      <c r="A2618" t="s">
        <v>4358</v>
      </c>
      <c r="B2618" t="s">
        <v>4359</v>
      </c>
      <c r="C2618" t="s">
        <v>2678</v>
      </c>
      <c r="D2618" t="s">
        <v>29</v>
      </c>
      <c r="E2618" t="s">
        <v>30</v>
      </c>
      <c r="F2618" s="6">
        <v>45657</v>
      </c>
      <c r="G2618">
        <v>100</v>
      </c>
      <c r="H2618">
        <v>100</v>
      </c>
      <c r="I2618">
        <v>1</v>
      </c>
      <c r="J2618">
        <v>1</v>
      </c>
      <c r="K2618" t="s">
        <v>31</v>
      </c>
      <c r="L2618" t="s">
        <v>31</v>
      </c>
      <c r="M2618">
        <v>2024</v>
      </c>
      <c r="N2618" t="s">
        <v>57</v>
      </c>
      <c r="O2618" t="s">
        <v>78</v>
      </c>
      <c r="P2618">
        <v>0</v>
      </c>
      <c r="Q2618">
        <v>0</v>
      </c>
      <c r="R2618">
        <v>0</v>
      </c>
      <c r="S2618" t="s">
        <v>336</v>
      </c>
      <c r="T2618" t="s">
        <v>4383</v>
      </c>
      <c r="U2618">
        <v>1</v>
      </c>
    </row>
    <row r="2619" spans="1:21" x14ac:dyDescent="0.3">
      <c r="A2619" t="s">
        <v>4384</v>
      </c>
      <c r="B2619" t="s">
        <v>4385</v>
      </c>
      <c r="C2619" t="s">
        <v>161</v>
      </c>
      <c r="D2619" t="s">
        <v>98</v>
      </c>
      <c r="E2619" t="s">
        <v>30</v>
      </c>
      <c r="F2619" s="6">
        <v>45657</v>
      </c>
      <c r="G2619">
        <v>80</v>
      </c>
      <c r="H2619">
        <v>89</v>
      </c>
      <c r="I2619">
        <v>1.1125</v>
      </c>
      <c r="J2619">
        <v>1.1125</v>
      </c>
      <c r="K2619" t="s">
        <v>31</v>
      </c>
      <c r="L2619" t="s">
        <v>31</v>
      </c>
      <c r="M2619">
        <v>2024</v>
      </c>
      <c r="N2619" t="s">
        <v>57</v>
      </c>
      <c r="O2619" t="s">
        <v>78</v>
      </c>
      <c r="P2619">
        <v>0</v>
      </c>
      <c r="Q2619">
        <v>0</v>
      </c>
      <c r="R2619">
        <v>0</v>
      </c>
      <c r="S2619" t="s">
        <v>34</v>
      </c>
      <c r="T2619" t="s">
        <v>4386</v>
      </c>
      <c r="U2619">
        <v>1</v>
      </c>
    </row>
    <row r="2620" spans="1:21" x14ac:dyDescent="0.3">
      <c r="A2620" t="s">
        <v>4384</v>
      </c>
      <c r="B2620" t="s">
        <v>4385</v>
      </c>
      <c r="C2620" t="s">
        <v>161</v>
      </c>
      <c r="D2620" t="s">
        <v>98</v>
      </c>
      <c r="E2620" t="s">
        <v>30</v>
      </c>
      <c r="F2620" s="6">
        <v>46022</v>
      </c>
      <c r="G2620">
        <v>80</v>
      </c>
      <c r="H2620" t="s">
        <v>95</v>
      </c>
      <c r="I2620">
        <v>1.25</v>
      </c>
      <c r="J2620">
        <v>1.25</v>
      </c>
      <c r="K2620" t="s">
        <v>193</v>
      </c>
      <c r="L2620" t="s">
        <v>102</v>
      </c>
      <c r="M2620">
        <v>2025</v>
      </c>
      <c r="N2620" t="s">
        <v>57</v>
      </c>
      <c r="O2620" t="s">
        <v>103</v>
      </c>
      <c r="P2620">
        <v>2</v>
      </c>
      <c r="Q2620">
        <v>2</v>
      </c>
      <c r="R2620">
        <v>0</v>
      </c>
      <c r="S2620" t="s">
        <v>130</v>
      </c>
      <c r="T2620" t="s">
        <v>4387</v>
      </c>
      <c r="U2620">
        <v>31</v>
      </c>
    </row>
    <row r="2621" spans="1:21" x14ac:dyDescent="0.3">
      <c r="A2621" t="s">
        <v>4388</v>
      </c>
      <c r="B2621" t="s">
        <v>4389</v>
      </c>
      <c r="C2621" t="s">
        <v>28</v>
      </c>
      <c r="D2621" t="s">
        <v>98</v>
      </c>
      <c r="E2621" t="s">
        <v>30</v>
      </c>
      <c r="F2621" s="6">
        <v>45657</v>
      </c>
      <c r="G2621">
        <v>80</v>
      </c>
      <c r="H2621">
        <v>88</v>
      </c>
      <c r="I2621">
        <v>1.1000000000000001</v>
      </c>
      <c r="J2621">
        <v>1.1000000000000001</v>
      </c>
      <c r="K2621" t="s">
        <v>31</v>
      </c>
      <c r="L2621" t="s">
        <v>31</v>
      </c>
      <c r="M2621">
        <v>2024</v>
      </c>
      <c r="N2621" t="s">
        <v>57</v>
      </c>
      <c r="O2621" t="s">
        <v>78</v>
      </c>
      <c r="P2621">
        <v>0</v>
      </c>
      <c r="Q2621">
        <v>0</v>
      </c>
      <c r="R2621">
        <v>0</v>
      </c>
      <c r="S2621" t="s">
        <v>34</v>
      </c>
      <c r="T2621" t="s">
        <v>4390</v>
      </c>
      <c r="U2621">
        <v>1</v>
      </c>
    </row>
    <row r="2622" spans="1:21" x14ac:dyDescent="0.3">
      <c r="A2622" t="s">
        <v>4388</v>
      </c>
      <c r="B2622" t="s">
        <v>4389</v>
      </c>
      <c r="C2622" t="s">
        <v>28</v>
      </c>
      <c r="D2622" t="s">
        <v>98</v>
      </c>
      <c r="E2622" t="s">
        <v>30</v>
      </c>
      <c r="F2622" s="6">
        <v>46022</v>
      </c>
      <c r="G2622">
        <v>80</v>
      </c>
      <c r="H2622" t="s">
        <v>95</v>
      </c>
      <c r="I2622">
        <v>1.25</v>
      </c>
      <c r="J2622">
        <v>1.25</v>
      </c>
      <c r="K2622" t="s">
        <v>193</v>
      </c>
      <c r="L2622" t="s">
        <v>102</v>
      </c>
      <c r="M2622">
        <v>2025</v>
      </c>
      <c r="N2622" t="s">
        <v>57</v>
      </c>
      <c r="O2622" t="s">
        <v>103</v>
      </c>
      <c r="P2622">
        <v>2</v>
      </c>
      <c r="Q2622">
        <v>2</v>
      </c>
      <c r="R2622">
        <v>0</v>
      </c>
      <c r="S2622" t="s">
        <v>130</v>
      </c>
      <c r="T2622" t="s">
        <v>4391</v>
      </c>
      <c r="U2622">
        <v>31</v>
      </c>
    </row>
    <row r="2623" spans="1:21" x14ac:dyDescent="0.3">
      <c r="A2623" t="s">
        <v>4392</v>
      </c>
      <c r="B2623" t="s">
        <v>4393</v>
      </c>
      <c r="C2623" t="s">
        <v>146</v>
      </c>
      <c r="D2623" t="s">
        <v>98</v>
      </c>
      <c r="E2623" t="s">
        <v>30</v>
      </c>
      <c r="F2623" s="6">
        <v>45657</v>
      </c>
      <c r="G2623">
        <v>80</v>
      </c>
      <c r="H2623">
        <v>90</v>
      </c>
      <c r="I2623">
        <v>1.125</v>
      </c>
      <c r="J2623">
        <v>1.125</v>
      </c>
      <c r="K2623" t="s">
        <v>31</v>
      </c>
      <c r="L2623" t="s">
        <v>31</v>
      </c>
      <c r="M2623">
        <v>2024</v>
      </c>
      <c r="N2623" t="s">
        <v>57</v>
      </c>
      <c r="O2623" t="s">
        <v>78</v>
      </c>
      <c r="P2623">
        <v>0</v>
      </c>
      <c r="Q2623">
        <v>0</v>
      </c>
      <c r="R2623">
        <v>0</v>
      </c>
      <c r="S2623" t="s">
        <v>34</v>
      </c>
      <c r="T2623" t="s">
        <v>4394</v>
      </c>
      <c r="U2623">
        <v>1</v>
      </c>
    </row>
    <row r="2624" spans="1:21" x14ac:dyDescent="0.3">
      <c r="A2624" t="s">
        <v>4392</v>
      </c>
      <c r="B2624" t="s">
        <v>4393</v>
      </c>
      <c r="C2624" t="s">
        <v>146</v>
      </c>
      <c r="D2624" t="s">
        <v>98</v>
      </c>
      <c r="E2624" t="s">
        <v>30</v>
      </c>
      <c r="F2624" s="6">
        <v>46022</v>
      </c>
      <c r="G2624">
        <v>80</v>
      </c>
      <c r="H2624" t="s">
        <v>2782</v>
      </c>
      <c r="I2624">
        <v>1.2124999999999999</v>
      </c>
      <c r="J2624">
        <v>1.2124999999999999</v>
      </c>
      <c r="K2624" t="s">
        <v>193</v>
      </c>
      <c r="L2624" t="s">
        <v>1005</v>
      </c>
      <c r="M2624">
        <v>2025</v>
      </c>
      <c r="N2624" t="s">
        <v>57</v>
      </c>
      <c r="O2624" t="s">
        <v>103</v>
      </c>
      <c r="P2624">
        <v>2</v>
      </c>
      <c r="Q2624">
        <v>2</v>
      </c>
      <c r="R2624">
        <v>0</v>
      </c>
      <c r="S2624" t="s">
        <v>130</v>
      </c>
      <c r="T2624" t="s">
        <v>4395</v>
      </c>
      <c r="U2624">
        <v>31</v>
      </c>
    </row>
    <row r="2625" spans="1:21" x14ac:dyDescent="0.3">
      <c r="A2625" t="s">
        <v>4396</v>
      </c>
      <c r="B2625" t="s">
        <v>4397</v>
      </c>
      <c r="C2625" t="s">
        <v>2991</v>
      </c>
      <c r="D2625" t="s">
        <v>98</v>
      </c>
      <c r="E2625" t="s">
        <v>30</v>
      </c>
      <c r="F2625" s="6">
        <v>45657</v>
      </c>
      <c r="G2625">
        <v>80</v>
      </c>
      <c r="H2625">
        <v>86</v>
      </c>
      <c r="I2625">
        <v>1.075</v>
      </c>
      <c r="J2625">
        <v>1.075</v>
      </c>
      <c r="K2625" t="s">
        <v>31</v>
      </c>
      <c r="L2625" t="s">
        <v>31</v>
      </c>
      <c r="M2625">
        <v>2024</v>
      </c>
      <c r="N2625" t="s">
        <v>57</v>
      </c>
      <c r="O2625" t="s">
        <v>78</v>
      </c>
      <c r="P2625">
        <v>0</v>
      </c>
      <c r="Q2625">
        <v>0</v>
      </c>
      <c r="R2625">
        <v>0</v>
      </c>
      <c r="S2625" t="s">
        <v>34</v>
      </c>
      <c r="T2625" t="s">
        <v>4398</v>
      </c>
      <c r="U2625">
        <v>1</v>
      </c>
    </row>
    <row r="2626" spans="1:21" x14ac:dyDescent="0.3">
      <c r="A2626" t="s">
        <v>4396</v>
      </c>
      <c r="B2626" t="s">
        <v>4397</v>
      </c>
      <c r="C2626" t="s">
        <v>2991</v>
      </c>
      <c r="D2626" t="s">
        <v>98</v>
      </c>
      <c r="E2626" t="s">
        <v>30</v>
      </c>
      <c r="F2626" s="6">
        <v>46022</v>
      </c>
      <c r="G2626">
        <v>80</v>
      </c>
      <c r="H2626" t="s">
        <v>192</v>
      </c>
      <c r="I2626">
        <v>1.175</v>
      </c>
      <c r="J2626">
        <v>1.175</v>
      </c>
      <c r="K2626" t="s">
        <v>193</v>
      </c>
      <c r="L2626" t="s">
        <v>194</v>
      </c>
      <c r="M2626">
        <v>2025</v>
      </c>
      <c r="N2626" t="s">
        <v>57</v>
      </c>
      <c r="O2626" t="s">
        <v>103</v>
      </c>
      <c r="P2626">
        <v>2</v>
      </c>
      <c r="Q2626">
        <v>2</v>
      </c>
      <c r="R2626">
        <v>0</v>
      </c>
      <c r="S2626" t="s">
        <v>130</v>
      </c>
      <c r="T2626" t="s">
        <v>4399</v>
      </c>
      <c r="U2626">
        <v>31</v>
      </c>
    </row>
    <row r="2627" spans="1:21" x14ac:dyDescent="0.3">
      <c r="A2627" t="s">
        <v>4400</v>
      </c>
      <c r="B2627" t="s">
        <v>4401</v>
      </c>
      <c r="C2627" t="s">
        <v>3197</v>
      </c>
      <c r="D2627" t="s">
        <v>98</v>
      </c>
      <c r="E2627" t="s">
        <v>30</v>
      </c>
      <c r="F2627" s="6">
        <v>45657</v>
      </c>
      <c r="G2627">
        <v>80</v>
      </c>
      <c r="H2627">
        <v>88</v>
      </c>
      <c r="I2627">
        <v>1.1000000000000001</v>
      </c>
      <c r="J2627">
        <v>1.1000000000000001</v>
      </c>
      <c r="K2627" t="s">
        <v>31</v>
      </c>
      <c r="L2627" t="s">
        <v>31</v>
      </c>
      <c r="M2627">
        <v>2024</v>
      </c>
      <c r="N2627" t="s">
        <v>57</v>
      </c>
      <c r="O2627" t="s">
        <v>78</v>
      </c>
      <c r="P2627">
        <v>0</v>
      </c>
      <c r="Q2627">
        <v>0</v>
      </c>
      <c r="R2627">
        <v>0</v>
      </c>
      <c r="S2627" t="s">
        <v>34</v>
      </c>
      <c r="T2627" t="s">
        <v>4402</v>
      </c>
      <c r="U2627">
        <v>1</v>
      </c>
    </row>
    <row r="2628" spans="1:21" x14ac:dyDescent="0.3">
      <c r="A2628" t="s">
        <v>4400</v>
      </c>
      <c r="B2628" t="s">
        <v>4401</v>
      </c>
      <c r="C2628" t="s">
        <v>3197</v>
      </c>
      <c r="D2628" t="s">
        <v>98</v>
      </c>
      <c r="E2628" t="s">
        <v>30</v>
      </c>
      <c r="F2628" s="6">
        <v>46022</v>
      </c>
      <c r="G2628">
        <v>80</v>
      </c>
      <c r="H2628" t="s">
        <v>4403</v>
      </c>
      <c r="I2628">
        <v>1.1000000000000001</v>
      </c>
      <c r="J2628">
        <v>1.1000000000000001</v>
      </c>
      <c r="K2628" t="s">
        <v>193</v>
      </c>
      <c r="L2628" t="s">
        <v>4404</v>
      </c>
      <c r="M2628">
        <v>2025</v>
      </c>
      <c r="N2628" t="s">
        <v>57</v>
      </c>
      <c r="O2628" t="s">
        <v>103</v>
      </c>
      <c r="P2628">
        <v>2</v>
      </c>
      <c r="Q2628">
        <v>2</v>
      </c>
      <c r="R2628">
        <v>0</v>
      </c>
      <c r="S2628" t="s">
        <v>130</v>
      </c>
      <c r="T2628" t="s">
        <v>4405</v>
      </c>
      <c r="U2628">
        <v>31</v>
      </c>
    </row>
    <row r="2629" spans="1:21" x14ac:dyDescent="0.3">
      <c r="A2629" t="s">
        <v>4406</v>
      </c>
      <c r="B2629" t="s">
        <v>4407</v>
      </c>
      <c r="C2629" t="s">
        <v>3437</v>
      </c>
      <c r="D2629" t="s">
        <v>98</v>
      </c>
      <c r="E2629" t="s">
        <v>30</v>
      </c>
      <c r="F2629" s="6">
        <v>45657</v>
      </c>
      <c r="G2629">
        <v>80</v>
      </c>
      <c r="H2629">
        <v>85</v>
      </c>
      <c r="I2629">
        <v>1.0625</v>
      </c>
      <c r="J2629">
        <v>1.0625</v>
      </c>
      <c r="K2629" t="s">
        <v>31</v>
      </c>
      <c r="L2629" t="s">
        <v>31</v>
      </c>
      <c r="M2629">
        <v>2024</v>
      </c>
      <c r="N2629" t="s">
        <v>57</v>
      </c>
      <c r="O2629" t="s">
        <v>78</v>
      </c>
      <c r="P2629">
        <v>0</v>
      </c>
      <c r="Q2629">
        <v>0</v>
      </c>
      <c r="R2629">
        <v>0</v>
      </c>
      <c r="S2629" t="s">
        <v>34</v>
      </c>
      <c r="T2629" t="s">
        <v>4408</v>
      </c>
      <c r="U2629">
        <v>1</v>
      </c>
    </row>
    <row r="2630" spans="1:21" x14ac:dyDescent="0.3">
      <c r="A2630" t="s">
        <v>4406</v>
      </c>
      <c r="B2630" t="s">
        <v>4407</v>
      </c>
      <c r="C2630" t="s">
        <v>3437</v>
      </c>
      <c r="D2630" t="s">
        <v>98</v>
      </c>
      <c r="E2630" t="s">
        <v>30</v>
      </c>
      <c r="F2630" s="6">
        <v>46022</v>
      </c>
      <c r="G2630">
        <v>80</v>
      </c>
      <c r="H2630" t="s">
        <v>4409</v>
      </c>
      <c r="I2630">
        <v>1.075</v>
      </c>
      <c r="J2630">
        <v>1.075</v>
      </c>
      <c r="K2630" t="s">
        <v>193</v>
      </c>
      <c r="L2630" t="s">
        <v>4410</v>
      </c>
      <c r="M2630">
        <v>2025</v>
      </c>
      <c r="N2630" t="s">
        <v>57</v>
      </c>
      <c r="O2630" t="s">
        <v>103</v>
      </c>
      <c r="P2630">
        <v>2</v>
      </c>
      <c r="Q2630">
        <v>2</v>
      </c>
      <c r="R2630">
        <v>0</v>
      </c>
      <c r="S2630" t="s">
        <v>130</v>
      </c>
      <c r="T2630" t="s">
        <v>4411</v>
      </c>
      <c r="U2630">
        <v>31</v>
      </c>
    </row>
    <row r="2631" spans="1:21" x14ac:dyDescent="0.3">
      <c r="A2631" t="s">
        <v>4412</v>
      </c>
      <c r="B2631" t="s">
        <v>4413</v>
      </c>
      <c r="C2631" t="s">
        <v>2656</v>
      </c>
      <c r="D2631" t="s">
        <v>98</v>
      </c>
      <c r="E2631" t="s">
        <v>30</v>
      </c>
      <c r="F2631" s="6">
        <v>45657</v>
      </c>
      <c r="G2631">
        <v>80</v>
      </c>
      <c r="H2631">
        <v>67</v>
      </c>
      <c r="I2631">
        <v>0.83750000000000002</v>
      </c>
      <c r="J2631">
        <v>0.83750000000000002</v>
      </c>
      <c r="K2631" t="s">
        <v>31</v>
      </c>
      <c r="L2631" t="s">
        <v>31</v>
      </c>
      <c r="M2631">
        <v>2024</v>
      </c>
      <c r="N2631" t="s">
        <v>57</v>
      </c>
      <c r="O2631" t="s">
        <v>78</v>
      </c>
      <c r="P2631">
        <v>0</v>
      </c>
      <c r="Q2631">
        <v>0</v>
      </c>
      <c r="R2631">
        <v>0</v>
      </c>
      <c r="S2631" t="s">
        <v>34</v>
      </c>
      <c r="T2631" t="s">
        <v>4414</v>
      </c>
      <c r="U2631">
        <v>1</v>
      </c>
    </row>
    <row r="2632" spans="1:21" x14ac:dyDescent="0.3">
      <c r="A2632" t="s">
        <v>4412</v>
      </c>
      <c r="B2632" t="s">
        <v>4413</v>
      </c>
      <c r="C2632" t="s">
        <v>2656</v>
      </c>
      <c r="D2632" t="s">
        <v>222</v>
      </c>
      <c r="E2632" t="s">
        <v>30</v>
      </c>
      <c r="F2632" s="6">
        <v>45838</v>
      </c>
      <c r="G2632">
        <v>80</v>
      </c>
      <c r="H2632" t="s">
        <v>837</v>
      </c>
      <c r="I2632">
        <v>1.1875</v>
      </c>
      <c r="J2632">
        <v>1.1875</v>
      </c>
      <c r="K2632" t="s">
        <v>193</v>
      </c>
      <c r="L2632" t="s">
        <v>838</v>
      </c>
      <c r="M2632">
        <v>2025</v>
      </c>
      <c r="N2632" t="s">
        <v>44</v>
      </c>
      <c r="O2632" t="s">
        <v>244</v>
      </c>
      <c r="P2632">
        <v>2</v>
      </c>
      <c r="Q2632">
        <v>2</v>
      </c>
      <c r="R2632">
        <v>0</v>
      </c>
      <c r="S2632" t="s">
        <v>130</v>
      </c>
      <c r="T2632" t="s">
        <v>4415</v>
      </c>
      <c r="U2632">
        <v>30</v>
      </c>
    </row>
    <row r="2633" spans="1:21" x14ac:dyDescent="0.3">
      <c r="A2633" t="s">
        <v>4412</v>
      </c>
      <c r="B2633" t="s">
        <v>4413</v>
      </c>
      <c r="C2633" t="s">
        <v>2656</v>
      </c>
      <c r="D2633" t="s">
        <v>222</v>
      </c>
      <c r="E2633" t="s">
        <v>30</v>
      </c>
      <c r="F2633" s="6">
        <v>46022</v>
      </c>
      <c r="G2633">
        <v>80</v>
      </c>
      <c r="H2633" t="s">
        <v>4416</v>
      </c>
      <c r="I2633">
        <v>1.15625</v>
      </c>
      <c r="J2633">
        <v>1.15625</v>
      </c>
      <c r="K2633" t="s">
        <v>193</v>
      </c>
      <c r="L2633" t="s">
        <v>4417</v>
      </c>
      <c r="M2633">
        <v>2025</v>
      </c>
      <c r="N2633" t="s">
        <v>57</v>
      </c>
      <c r="O2633" t="s">
        <v>103</v>
      </c>
      <c r="P2633">
        <v>2</v>
      </c>
      <c r="Q2633">
        <v>2</v>
      </c>
      <c r="R2633">
        <v>0</v>
      </c>
      <c r="S2633" t="s">
        <v>130</v>
      </c>
      <c r="T2633" t="s">
        <v>4418</v>
      </c>
      <c r="U2633">
        <v>31</v>
      </c>
    </row>
    <row r="2634" spans="1:21" x14ac:dyDescent="0.3">
      <c r="A2634" t="s">
        <v>4419</v>
      </c>
      <c r="B2634" t="s">
        <v>4420</v>
      </c>
      <c r="C2634" t="s">
        <v>2133</v>
      </c>
      <c r="D2634" t="s">
        <v>98</v>
      </c>
      <c r="E2634" t="s">
        <v>30</v>
      </c>
      <c r="F2634" s="6">
        <v>45657</v>
      </c>
      <c r="G2634">
        <v>80</v>
      </c>
      <c r="H2634">
        <v>77</v>
      </c>
      <c r="I2634">
        <v>0.96250000000000002</v>
      </c>
      <c r="J2634">
        <v>0.96250000000000002</v>
      </c>
      <c r="K2634" t="s">
        <v>31</v>
      </c>
      <c r="L2634" t="s">
        <v>31</v>
      </c>
      <c r="M2634">
        <v>2024</v>
      </c>
      <c r="N2634" t="s">
        <v>57</v>
      </c>
      <c r="O2634" t="s">
        <v>78</v>
      </c>
      <c r="P2634">
        <v>0</v>
      </c>
      <c r="Q2634">
        <v>0</v>
      </c>
      <c r="R2634">
        <v>0</v>
      </c>
      <c r="S2634" t="s">
        <v>34</v>
      </c>
      <c r="T2634" t="s">
        <v>4421</v>
      </c>
      <c r="U2634">
        <v>1</v>
      </c>
    </row>
    <row r="2635" spans="1:21" x14ac:dyDescent="0.3">
      <c r="A2635" t="s">
        <v>4419</v>
      </c>
      <c r="B2635" t="s">
        <v>4420</v>
      </c>
      <c r="C2635" t="s">
        <v>2133</v>
      </c>
      <c r="D2635" t="s">
        <v>222</v>
      </c>
      <c r="E2635" t="s">
        <v>30</v>
      </c>
      <c r="F2635" s="6">
        <v>45838</v>
      </c>
      <c r="G2635">
        <v>80</v>
      </c>
      <c r="H2635" t="s">
        <v>4422</v>
      </c>
      <c r="I2635">
        <v>1.234375</v>
      </c>
      <c r="J2635">
        <v>1.234375</v>
      </c>
      <c r="K2635" t="s">
        <v>193</v>
      </c>
      <c r="L2635" t="s">
        <v>4423</v>
      </c>
      <c r="M2635">
        <v>2025</v>
      </c>
      <c r="N2635" t="s">
        <v>44</v>
      </c>
      <c r="O2635" t="s">
        <v>244</v>
      </c>
      <c r="P2635">
        <v>2</v>
      </c>
      <c r="Q2635">
        <v>2</v>
      </c>
      <c r="R2635">
        <v>0</v>
      </c>
      <c r="S2635" t="s">
        <v>130</v>
      </c>
      <c r="T2635" t="s">
        <v>4424</v>
      </c>
      <c r="U2635">
        <v>30</v>
      </c>
    </row>
    <row r="2636" spans="1:21" x14ac:dyDescent="0.3">
      <c r="A2636" t="s">
        <v>4419</v>
      </c>
      <c r="B2636" t="s">
        <v>4420</v>
      </c>
      <c r="C2636" t="s">
        <v>2133</v>
      </c>
      <c r="D2636" t="s">
        <v>222</v>
      </c>
      <c r="E2636" t="s">
        <v>30</v>
      </c>
      <c r="F2636" s="6">
        <v>46022</v>
      </c>
      <c r="G2636">
        <v>80</v>
      </c>
      <c r="H2636" t="s">
        <v>3864</v>
      </c>
      <c r="I2636">
        <v>1.2375</v>
      </c>
      <c r="J2636">
        <v>1.2375</v>
      </c>
      <c r="K2636" t="s">
        <v>193</v>
      </c>
      <c r="L2636" t="s">
        <v>2577</v>
      </c>
      <c r="M2636">
        <v>2025</v>
      </c>
      <c r="N2636" t="s">
        <v>57</v>
      </c>
      <c r="O2636" t="s">
        <v>103</v>
      </c>
      <c r="P2636">
        <v>2</v>
      </c>
      <c r="Q2636">
        <v>2</v>
      </c>
      <c r="R2636">
        <v>0</v>
      </c>
      <c r="S2636" t="s">
        <v>130</v>
      </c>
      <c r="T2636" t="s">
        <v>4425</v>
      </c>
      <c r="U2636">
        <v>31</v>
      </c>
    </row>
    <row r="2637" spans="1:21" x14ac:dyDescent="0.3">
      <c r="A2637" t="s">
        <v>4426</v>
      </c>
      <c r="B2637" t="s">
        <v>4427</v>
      </c>
      <c r="C2637" t="s">
        <v>3126</v>
      </c>
      <c r="D2637" t="s">
        <v>98</v>
      </c>
      <c r="E2637" t="s">
        <v>30</v>
      </c>
      <c r="F2637" s="6">
        <v>45657</v>
      </c>
      <c r="G2637">
        <v>80</v>
      </c>
      <c r="H2637">
        <v>88</v>
      </c>
      <c r="I2637">
        <v>1.1000000000000001</v>
      </c>
      <c r="J2637">
        <v>1.1000000000000001</v>
      </c>
      <c r="K2637" t="s">
        <v>31</v>
      </c>
      <c r="L2637" t="s">
        <v>31</v>
      </c>
      <c r="M2637">
        <v>2024</v>
      </c>
      <c r="N2637" t="s">
        <v>57</v>
      </c>
      <c r="O2637" t="s">
        <v>78</v>
      </c>
      <c r="P2637">
        <v>0</v>
      </c>
      <c r="Q2637">
        <v>0</v>
      </c>
      <c r="R2637">
        <v>0</v>
      </c>
      <c r="S2637" t="s">
        <v>34</v>
      </c>
      <c r="T2637" t="s">
        <v>4428</v>
      </c>
      <c r="U2637">
        <v>1</v>
      </c>
    </row>
    <row r="2638" spans="1:21" x14ac:dyDescent="0.3">
      <c r="A2638" t="s">
        <v>4426</v>
      </c>
      <c r="B2638" t="s">
        <v>4427</v>
      </c>
      <c r="C2638" t="s">
        <v>3126</v>
      </c>
      <c r="D2638" t="s">
        <v>98</v>
      </c>
      <c r="E2638" t="s">
        <v>30</v>
      </c>
      <c r="F2638" s="6">
        <v>46022</v>
      </c>
      <c r="G2638">
        <v>80</v>
      </c>
      <c r="H2638" t="s">
        <v>279</v>
      </c>
      <c r="I2638">
        <v>1.1125</v>
      </c>
      <c r="J2638">
        <v>1.1125</v>
      </c>
      <c r="K2638" t="s">
        <v>193</v>
      </c>
      <c r="L2638" t="s">
        <v>280</v>
      </c>
      <c r="M2638">
        <v>2025</v>
      </c>
      <c r="N2638" t="s">
        <v>57</v>
      </c>
      <c r="O2638" t="s">
        <v>103</v>
      </c>
      <c r="P2638">
        <v>2</v>
      </c>
      <c r="Q2638">
        <v>2</v>
      </c>
      <c r="R2638">
        <v>0</v>
      </c>
      <c r="S2638" t="s">
        <v>130</v>
      </c>
      <c r="T2638" t="s">
        <v>4429</v>
      </c>
      <c r="U2638">
        <v>31</v>
      </c>
    </row>
    <row r="2639" spans="1:21" x14ac:dyDescent="0.3">
      <c r="A2639" t="s">
        <v>4430</v>
      </c>
      <c r="B2639" t="s">
        <v>4431</v>
      </c>
      <c r="C2639" t="s">
        <v>187</v>
      </c>
      <c r="D2639" t="s">
        <v>29</v>
      </c>
      <c r="E2639" t="s">
        <v>30</v>
      </c>
      <c r="F2639" s="6">
        <v>45688</v>
      </c>
      <c r="G2639">
        <v>90</v>
      </c>
      <c r="H2639" t="s">
        <v>4432</v>
      </c>
      <c r="I2639">
        <v>1.105</v>
      </c>
      <c r="J2639">
        <v>1.105</v>
      </c>
      <c r="K2639" t="s">
        <v>256</v>
      </c>
      <c r="L2639" t="s">
        <v>4433</v>
      </c>
      <c r="M2639">
        <v>2025</v>
      </c>
      <c r="N2639" t="s">
        <v>32</v>
      </c>
      <c r="O2639" t="s">
        <v>244</v>
      </c>
      <c r="P2639">
        <v>2</v>
      </c>
      <c r="Q2639">
        <v>2</v>
      </c>
      <c r="R2639">
        <v>0</v>
      </c>
      <c r="S2639" t="s">
        <v>104</v>
      </c>
      <c r="T2639" t="s">
        <v>4434</v>
      </c>
      <c r="U2639">
        <v>31</v>
      </c>
    </row>
    <row r="2640" spans="1:21" x14ac:dyDescent="0.3">
      <c r="A2640" t="s">
        <v>4430</v>
      </c>
      <c r="B2640" t="s">
        <v>4431</v>
      </c>
      <c r="C2640" t="s">
        <v>187</v>
      </c>
      <c r="D2640" t="s">
        <v>29</v>
      </c>
      <c r="E2640" t="s">
        <v>30</v>
      </c>
      <c r="F2640" s="6">
        <v>45716</v>
      </c>
      <c r="G2640">
        <v>90</v>
      </c>
      <c r="I2640">
        <v>0</v>
      </c>
      <c r="J2640">
        <v>0</v>
      </c>
      <c r="K2640" t="s">
        <v>256</v>
      </c>
      <c r="M2640">
        <v>2025</v>
      </c>
      <c r="N2640" t="s">
        <v>36</v>
      </c>
      <c r="O2640" t="s">
        <v>244</v>
      </c>
      <c r="P2640">
        <v>2</v>
      </c>
      <c r="Q2640">
        <v>2</v>
      </c>
      <c r="R2640">
        <v>0</v>
      </c>
      <c r="S2640" t="s">
        <v>104</v>
      </c>
      <c r="T2640" t="s">
        <v>4435</v>
      </c>
      <c r="U2640">
        <v>28</v>
      </c>
    </row>
    <row r="2641" spans="1:21" x14ac:dyDescent="0.3">
      <c r="A2641" t="s">
        <v>4430</v>
      </c>
      <c r="B2641" t="s">
        <v>4431</v>
      </c>
      <c r="C2641" t="s">
        <v>187</v>
      </c>
      <c r="D2641" t="s">
        <v>29</v>
      </c>
      <c r="E2641" t="s">
        <v>30</v>
      </c>
      <c r="F2641" s="6">
        <v>45747</v>
      </c>
      <c r="G2641">
        <v>90</v>
      </c>
      <c r="I2641">
        <v>0</v>
      </c>
      <c r="J2641">
        <v>0</v>
      </c>
      <c r="K2641" t="s">
        <v>256</v>
      </c>
      <c r="M2641">
        <v>2025</v>
      </c>
      <c r="N2641" t="s">
        <v>38</v>
      </c>
      <c r="O2641" t="s">
        <v>244</v>
      </c>
      <c r="P2641">
        <v>2</v>
      </c>
      <c r="Q2641">
        <v>2</v>
      </c>
      <c r="R2641">
        <v>0</v>
      </c>
      <c r="S2641" t="s">
        <v>104</v>
      </c>
      <c r="T2641" t="s">
        <v>4436</v>
      </c>
      <c r="U2641">
        <v>31</v>
      </c>
    </row>
    <row r="2642" spans="1:21" x14ac:dyDescent="0.3">
      <c r="A2642" t="s">
        <v>4430</v>
      </c>
      <c r="B2642" t="s">
        <v>4431</v>
      </c>
      <c r="C2642" t="s">
        <v>187</v>
      </c>
      <c r="D2642" t="s">
        <v>29</v>
      </c>
      <c r="E2642" t="s">
        <v>30</v>
      </c>
      <c r="F2642" s="6">
        <v>45777</v>
      </c>
      <c r="G2642">
        <v>90</v>
      </c>
      <c r="I2642">
        <v>0</v>
      </c>
      <c r="J2642">
        <v>0</v>
      </c>
      <c r="K2642" t="s">
        <v>256</v>
      </c>
      <c r="M2642">
        <v>2025</v>
      </c>
      <c r="N2642" t="s">
        <v>40</v>
      </c>
      <c r="O2642" t="s">
        <v>244</v>
      </c>
      <c r="P2642">
        <v>2</v>
      </c>
      <c r="Q2642">
        <v>2</v>
      </c>
      <c r="R2642">
        <v>0</v>
      </c>
      <c r="S2642" t="s">
        <v>104</v>
      </c>
      <c r="T2642" t="s">
        <v>4437</v>
      </c>
      <c r="U2642">
        <v>30</v>
      </c>
    </row>
    <row r="2643" spans="1:21" x14ac:dyDescent="0.3">
      <c r="A2643" t="s">
        <v>4430</v>
      </c>
      <c r="B2643" t="s">
        <v>4431</v>
      </c>
      <c r="C2643" t="s">
        <v>187</v>
      </c>
      <c r="D2643" t="s">
        <v>29</v>
      </c>
      <c r="E2643" t="s">
        <v>30</v>
      </c>
      <c r="F2643" s="6">
        <v>45808</v>
      </c>
      <c r="G2643">
        <v>90</v>
      </c>
      <c r="I2643">
        <v>0</v>
      </c>
      <c r="J2643">
        <v>0</v>
      </c>
      <c r="K2643" t="s">
        <v>256</v>
      </c>
      <c r="M2643">
        <v>2025</v>
      </c>
      <c r="N2643" t="s">
        <v>42</v>
      </c>
      <c r="O2643" t="s">
        <v>244</v>
      </c>
      <c r="P2643">
        <v>2</v>
      </c>
      <c r="Q2643">
        <v>2</v>
      </c>
      <c r="R2643">
        <v>0</v>
      </c>
      <c r="S2643" t="s">
        <v>104</v>
      </c>
      <c r="T2643" t="s">
        <v>4438</v>
      </c>
      <c r="U2643">
        <v>31</v>
      </c>
    </row>
    <row r="2644" spans="1:21" x14ac:dyDescent="0.3">
      <c r="A2644" t="s">
        <v>4430</v>
      </c>
      <c r="B2644" t="s">
        <v>4431</v>
      </c>
      <c r="C2644" t="s">
        <v>187</v>
      </c>
      <c r="D2644" t="s">
        <v>29</v>
      </c>
      <c r="E2644" t="s">
        <v>30</v>
      </c>
      <c r="F2644" s="6">
        <v>45838</v>
      </c>
      <c r="G2644">
        <v>90</v>
      </c>
      <c r="H2644" t="s">
        <v>4439</v>
      </c>
      <c r="I2644">
        <v>1.117666666666667</v>
      </c>
      <c r="J2644">
        <v>1.117666666666667</v>
      </c>
      <c r="K2644" t="s">
        <v>256</v>
      </c>
      <c r="L2644" t="s">
        <v>4440</v>
      </c>
      <c r="M2644">
        <v>2025</v>
      </c>
      <c r="N2644" t="s">
        <v>44</v>
      </c>
      <c r="O2644" t="s">
        <v>244</v>
      </c>
      <c r="P2644">
        <v>2</v>
      </c>
      <c r="Q2644">
        <v>2</v>
      </c>
      <c r="R2644">
        <v>0</v>
      </c>
      <c r="S2644" t="s">
        <v>104</v>
      </c>
      <c r="T2644" t="s">
        <v>4441</v>
      </c>
      <c r="U2644">
        <v>30</v>
      </c>
    </row>
    <row r="2645" spans="1:21" x14ac:dyDescent="0.3">
      <c r="A2645" t="s">
        <v>4430</v>
      </c>
      <c r="B2645" t="s">
        <v>4431</v>
      </c>
      <c r="C2645" t="s">
        <v>187</v>
      </c>
      <c r="D2645" t="s">
        <v>29</v>
      </c>
      <c r="E2645" t="s">
        <v>30</v>
      </c>
      <c r="F2645" s="6">
        <v>45869</v>
      </c>
      <c r="G2645">
        <v>90</v>
      </c>
      <c r="H2645" t="s">
        <v>4442</v>
      </c>
      <c r="I2645">
        <v>1.0671111111111109</v>
      </c>
      <c r="J2645">
        <v>1.0671111111111109</v>
      </c>
      <c r="K2645" t="s">
        <v>256</v>
      </c>
      <c r="L2645" t="s">
        <v>4443</v>
      </c>
      <c r="M2645">
        <v>2025</v>
      </c>
      <c r="N2645" t="s">
        <v>46</v>
      </c>
      <c r="O2645" t="s">
        <v>103</v>
      </c>
      <c r="P2645">
        <v>2</v>
      </c>
      <c r="Q2645">
        <v>2</v>
      </c>
      <c r="R2645">
        <v>0</v>
      </c>
      <c r="S2645" t="s">
        <v>104</v>
      </c>
      <c r="T2645" t="s">
        <v>4444</v>
      </c>
      <c r="U2645">
        <v>31</v>
      </c>
    </row>
    <row r="2646" spans="1:21" x14ac:dyDescent="0.3">
      <c r="A2646" t="s">
        <v>4430</v>
      </c>
      <c r="B2646" t="s">
        <v>4431</v>
      </c>
      <c r="C2646" t="s">
        <v>187</v>
      </c>
      <c r="D2646" t="s">
        <v>29</v>
      </c>
      <c r="E2646" t="s">
        <v>30</v>
      </c>
      <c r="F2646" s="6">
        <v>45900</v>
      </c>
      <c r="G2646">
        <v>90</v>
      </c>
      <c r="H2646" t="s">
        <v>4445</v>
      </c>
      <c r="I2646">
        <v>1.016888888888889</v>
      </c>
      <c r="J2646">
        <v>1.016888888888889</v>
      </c>
      <c r="K2646" t="s">
        <v>256</v>
      </c>
      <c r="L2646" t="s">
        <v>4446</v>
      </c>
      <c r="M2646">
        <v>2025</v>
      </c>
      <c r="N2646" t="s">
        <v>49</v>
      </c>
      <c r="O2646" t="s">
        <v>103</v>
      </c>
      <c r="P2646">
        <v>2</v>
      </c>
      <c r="Q2646">
        <v>2</v>
      </c>
      <c r="R2646">
        <v>0</v>
      </c>
      <c r="S2646" t="s">
        <v>104</v>
      </c>
      <c r="T2646" t="s">
        <v>4447</v>
      </c>
      <c r="U2646">
        <v>31</v>
      </c>
    </row>
    <row r="2647" spans="1:21" x14ac:dyDescent="0.3">
      <c r="A2647" t="s">
        <v>4448</v>
      </c>
      <c r="B2647" t="s">
        <v>4449</v>
      </c>
      <c r="C2647" t="s">
        <v>2177</v>
      </c>
      <c r="D2647" t="s">
        <v>233</v>
      </c>
      <c r="E2647" t="s">
        <v>30</v>
      </c>
      <c r="F2647" s="6">
        <v>45747</v>
      </c>
      <c r="H2647" t="s">
        <v>121</v>
      </c>
      <c r="I2647">
        <v>0</v>
      </c>
      <c r="J2647">
        <v>0</v>
      </c>
      <c r="L2647" t="s">
        <v>122</v>
      </c>
      <c r="M2647">
        <v>2025</v>
      </c>
      <c r="N2647" t="s">
        <v>38</v>
      </c>
      <c r="O2647" t="s">
        <v>244</v>
      </c>
      <c r="P2647">
        <v>2</v>
      </c>
      <c r="Q2647">
        <v>2</v>
      </c>
      <c r="R2647">
        <v>0</v>
      </c>
      <c r="S2647" t="s">
        <v>104</v>
      </c>
      <c r="T2647" t="s">
        <v>4450</v>
      </c>
      <c r="U2647">
        <v>31</v>
      </c>
    </row>
    <row r="2648" spans="1:21" x14ac:dyDescent="0.3">
      <c r="A2648" t="s">
        <v>4448</v>
      </c>
      <c r="B2648" t="s">
        <v>4449</v>
      </c>
      <c r="C2648" t="s">
        <v>2177</v>
      </c>
      <c r="D2648" t="s">
        <v>233</v>
      </c>
      <c r="E2648" t="s">
        <v>30</v>
      </c>
      <c r="F2648" s="6">
        <v>45838</v>
      </c>
      <c r="H2648" t="s">
        <v>121</v>
      </c>
      <c r="I2648">
        <v>0</v>
      </c>
      <c r="J2648">
        <v>0</v>
      </c>
      <c r="L2648" t="s">
        <v>122</v>
      </c>
      <c r="M2648">
        <v>2025</v>
      </c>
      <c r="N2648" t="s">
        <v>44</v>
      </c>
      <c r="O2648" t="s">
        <v>244</v>
      </c>
      <c r="P2648">
        <v>2</v>
      </c>
      <c r="Q2648">
        <v>2</v>
      </c>
      <c r="R2648">
        <v>0</v>
      </c>
      <c r="S2648" t="s">
        <v>104</v>
      </c>
      <c r="T2648" t="s">
        <v>4451</v>
      </c>
      <c r="U2648">
        <v>30</v>
      </c>
    </row>
    <row r="2649" spans="1:21" x14ac:dyDescent="0.3">
      <c r="A2649" t="s">
        <v>4448</v>
      </c>
      <c r="B2649" t="s">
        <v>4449</v>
      </c>
      <c r="C2649" t="s">
        <v>2177</v>
      </c>
      <c r="D2649" t="s">
        <v>233</v>
      </c>
      <c r="E2649" t="s">
        <v>30</v>
      </c>
      <c r="F2649" s="6">
        <v>46022</v>
      </c>
      <c r="H2649" t="s">
        <v>121</v>
      </c>
      <c r="I2649">
        <v>0</v>
      </c>
      <c r="J2649">
        <v>0</v>
      </c>
      <c r="L2649" t="s">
        <v>122</v>
      </c>
      <c r="M2649">
        <v>2025</v>
      </c>
      <c r="N2649" t="s">
        <v>57</v>
      </c>
      <c r="O2649" t="s">
        <v>103</v>
      </c>
      <c r="P2649">
        <v>2</v>
      </c>
      <c r="Q2649">
        <v>2</v>
      </c>
      <c r="R2649">
        <v>0</v>
      </c>
      <c r="S2649" t="s">
        <v>104</v>
      </c>
      <c r="T2649" t="s">
        <v>4452</v>
      </c>
      <c r="U2649">
        <v>31</v>
      </c>
    </row>
    <row r="2650" spans="1:21" x14ac:dyDescent="0.3">
      <c r="A2650" t="s">
        <v>4453</v>
      </c>
      <c r="B2650" t="s">
        <v>4454</v>
      </c>
      <c r="C2650" t="s">
        <v>2177</v>
      </c>
      <c r="D2650" t="s">
        <v>233</v>
      </c>
      <c r="E2650" t="s">
        <v>30</v>
      </c>
      <c r="F2650" s="6">
        <v>45747</v>
      </c>
      <c r="H2650" t="s">
        <v>424</v>
      </c>
      <c r="I2650">
        <v>0</v>
      </c>
      <c r="J2650">
        <v>0</v>
      </c>
      <c r="M2650">
        <v>2025</v>
      </c>
      <c r="N2650" t="s">
        <v>38</v>
      </c>
      <c r="O2650" t="s">
        <v>244</v>
      </c>
      <c r="P2650">
        <v>2</v>
      </c>
      <c r="Q2650">
        <v>2</v>
      </c>
      <c r="R2650">
        <v>0</v>
      </c>
      <c r="S2650" t="s">
        <v>104</v>
      </c>
      <c r="T2650" t="s">
        <v>4455</v>
      </c>
      <c r="U2650">
        <v>31</v>
      </c>
    </row>
    <row r="2651" spans="1:21" x14ac:dyDescent="0.3">
      <c r="A2651" t="s">
        <v>4453</v>
      </c>
      <c r="B2651" t="s">
        <v>4454</v>
      </c>
      <c r="C2651" t="s">
        <v>2177</v>
      </c>
      <c r="D2651" t="s">
        <v>233</v>
      </c>
      <c r="E2651" t="s">
        <v>30</v>
      </c>
      <c r="F2651" s="6">
        <v>45838</v>
      </c>
      <c r="H2651" t="s">
        <v>914</v>
      </c>
      <c r="I2651">
        <v>0</v>
      </c>
      <c r="J2651">
        <v>0</v>
      </c>
      <c r="L2651" t="s">
        <v>915</v>
      </c>
      <c r="M2651">
        <v>2025</v>
      </c>
      <c r="N2651" t="s">
        <v>44</v>
      </c>
      <c r="O2651" t="s">
        <v>244</v>
      </c>
      <c r="P2651">
        <v>2</v>
      </c>
      <c r="Q2651">
        <v>2</v>
      </c>
      <c r="R2651">
        <v>0</v>
      </c>
      <c r="S2651" t="s">
        <v>104</v>
      </c>
      <c r="T2651" t="s">
        <v>4456</v>
      </c>
      <c r="U2651">
        <v>30</v>
      </c>
    </row>
    <row r="2652" spans="1:21" x14ac:dyDescent="0.3">
      <c r="A2652" t="s">
        <v>4453</v>
      </c>
      <c r="B2652" t="s">
        <v>4454</v>
      </c>
      <c r="C2652" t="s">
        <v>2177</v>
      </c>
      <c r="D2652" t="s">
        <v>233</v>
      </c>
      <c r="E2652" t="s">
        <v>30</v>
      </c>
      <c r="F2652" s="6">
        <v>46022</v>
      </c>
      <c r="H2652" t="s">
        <v>4457</v>
      </c>
      <c r="I2652">
        <v>0</v>
      </c>
      <c r="J2652">
        <v>0</v>
      </c>
      <c r="L2652" t="s">
        <v>4458</v>
      </c>
      <c r="M2652">
        <v>2025</v>
      </c>
      <c r="N2652" t="s">
        <v>57</v>
      </c>
      <c r="O2652" t="s">
        <v>103</v>
      </c>
      <c r="P2652">
        <v>2</v>
      </c>
      <c r="Q2652">
        <v>2</v>
      </c>
      <c r="R2652">
        <v>0</v>
      </c>
      <c r="S2652" t="s">
        <v>104</v>
      </c>
      <c r="T2652" t="s">
        <v>4459</v>
      </c>
      <c r="U2652">
        <v>31</v>
      </c>
    </row>
    <row r="2653" spans="1:21" x14ac:dyDescent="0.3">
      <c r="A2653" t="s">
        <v>4460</v>
      </c>
      <c r="B2653" t="s">
        <v>4461</v>
      </c>
      <c r="C2653" t="s">
        <v>2177</v>
      </c>
      <c r="D2653" t="s">
        <v>233</v>
      </c>
      <c r="E2653" t="s">
        <v>30</v>
      </c>
      <c r="F2653" s="6">
        <v>45747</v>
      </c>
      <c r="H2653" t="s">
        <v>95</v>
      </c>
      <c r="I2653">
        <v>0</v>
      </c>
      <c r="J2653">
        <v>0</v>
      </c>
      <c r="L2653" t="s">
        <v>102</v>
      </c>
      <c r="M2653">
        <v>2025</v>
      </c>
      <c r="N2653" t="s">
        <v>38</v>
      </c>
      <c r="O2653" t="s">
        <v>244</v>
      </c>
      <c r="P2653">
        <v>2</v>
      </c>
      <c r="Q2653">
        <v>2</v>
      </c>
      <c r="R2653">
        <v>0</v>
      </c>
      <c r="S2653" t="s">
        <v>104</v>
      </c>
      <c r="T2653" t="s">
        <v>4462</v>
      </c>
      <c r="U2653">
        <v>31</v>
      </c>
    </row>
    <row r="2654" spans="1:21" x14ac:dyDescent="0.3">
      <c r="A2654" t="s">
        <v>4460</v>
      </c>
      <c r="B2654" t="s">
        <v>4461</v>
      </c>
      <c r="C2654" t="s">
        <v>2177</v>
      </c>
      <c r="D2654" t="s">
        <v>233</v>
      </c>
      <c r="E2654" t="s">
        <v>30</v>
      </c>
      <c r="F2654" s="6">
        <v>45838</v>
      </c>
      <c r="H2654" t="s">
        <v>95</v>
      </c>
      <c r="I2654">
        <v>0</v>
      </c>
      <c r="J2654">
        <v>0</v>
      </c>
      <c r="L2654" t="s">
        <v>102</v>
      </c>
      <c r="M2654">
        <v>2025</v>
      </c>
      <c r="N2654" t="s">
        <v>44</v>
      </c>
      <c r="O2654" t="s">
        <v>244</v>
      </c>
      <c r="P2654">
        <v>2</v>
      </c>
      <c r="Q2654">
        <v>2</v>
      </c>
      <c r="R2654">
        <v>0</v>
      </c>
      <c r="S2654" t="s">
        <v>104</v>
      </c>
      <c r="T2654" t="s">
        <v>4463</v>
      </c>
      <c r="U2654">
        <v>30</v>
      </c>
    </row>
    <row r="2655" spans="1:21" x14ac:dyDescent="0.3">
      <c r="A2655" t="s">
        <v>4464</v>
      </c>
      <c r="B2655" t="s">
        <v>4465</v>
      </c>
      <c r="C2655" t="s">
        <v>2177</v>
      </c>
      <c r="D2655" t="s">
        <v>222</v>
      </c>
      <c r="E2655" t="s">
        <v>30</v>
      </c>
      <c r="F2655" s="6">
        <v>45838</v>
      </c>
      <c r="G2655">
        <v>70</v>
      </c>
      <c r="H2655" t="s">
        <v>4466</v>
      </c>
      <c r="I2655">
        <v>1.3</v>
      </c>
      <c r="J2655">
        <v>1.3117142857142861</v>
      </c>
      <c r="K2655" t="s">
        <v>3922</v>
      </c>
      <c r="L2655" t="s">
        <v>4467</v>
      </c>
      <c r="M2655">
        <v>2025</v>
      </c>
      <c r="N2655" t="s">
        <v>44</v>
      </c>
      <c r="O2655" t="s">
        <v>244</v>
      </c>
      <c r="P2655">
        <v>2</v>
      </c>
      <c r="Q2655">
        <v>2</v>
      </c>
      <c r="R2655">
        <v>0</v>
      </c>
      <c r="S2655" t="s">
        <v>104</v>
      </c>
      <c r="T2655" t="s">
        <v>4468</v>
      </c>
      <c r="U2655">
        <v>30</v>
      </c>
    </row>
    <row r="2656" spans="1:21" x14ac:dyDescent="0.3">
      <c r="A2656" t="s">
        <v>4464</v>
      </c>
      <c r="B2656" t="s">
        <v>4465</v>
      </c>
      <c r="C2656" t="s">
        <v>2177</v>
      </c>
      <c r="D2656" t="s">
        <v>222</v>
      </c>
      <c r="E2656" t="s">
        <v>30</v>
      </c>
      <c r="F2656" s="6">
        <v>46022</v>
      </c>
      <c r="G2656">
        <v>70</v>
      </c>
      <c r="H2656" t="s">
        <v>4469</v>
      </c>
      <c r="I2656">
        <v>0.65657142857142858</v>
      </c>
      <c r="J2656">
        <v>0.65657142857142858</v>
      </c>
      <c r="K2656" t="s">
        <v>3922</v>
      </c>
      <c r="L2656" t="s">
        <v>4470</v>
      </c>
      <c r="M2656">
        <v>2025</v>
      </c>
      <c r="N2656" t="s">
        <v>57</v>
      </c>
      <c r="O2656" t="s">
        <v>103</v>
      </c>
      <c r="P2656">
        <v>2</v>
      </c>
      <c r="Q2656">
        <v>2</v>
      </c>
      <c r="R2656">
        <v>0</v>
      </c>
      <c r="S2656" t="s">
        <v>104</v>
      </c>
      <c r="T2656" t="s">
        <v>4471</v>
      </c>
      <c r="U2656">
        <v>31</v>
      </c>
    </row>
    <row r="2657" spans="1:21" x14ac:dyDescent="0.3">
      <c r="A2657" t="s">
        <v>4472</v>
      </c>
      <c r="B2657" t="s">
        <v>4473</v>
      </c>
      <c r="C2657" t="s">
        <v>270</v>
      </c>
      <c r="D2657" t="s">
        <v>222</v>
      </c>
      <c r="E2657" t="s">
        <v>30</v>
      </c>
      <c r="F2657" s="6">
        <v>46022</v>
      </c>
      <c r="G2657">
        <v>97</v>
      </c>
      <c r="H2657" t="s">
        <v>4247</v>
      </c>
      <c r="I2657">
        <v>0.68731958762886602</v>
      </c>
      <c r="J2657">
        <v>0.68731958762886602</v>
      </c>
      <c r="K2657" t="s">
        <v>1005</v>
      </c>
      <c r="L2657" t="s">
        <v>4248</v>
      </c>
      <c r="M2657">
        <v>2025</v>
      </c>
      <c r="N2657" t="s">
        <v>57</v>
      </c>
      <c r="O2657" t="s">
        <v>103</v>
      </c>
      <c r="P2657">
        <v>2</v>
      </c>
      <c r="Q2657">
        <v>2</v>
      </c>
      <c r="R2657">
        <v>0</v>
      </c>
      <c r="S2657" t="s">
        <v>104</v>
      </c>
      <c r="T2657" t="s">
        <v>4474</v>
      </c>
      <c r="U2657">
        <v>31</v>
      </c>
    </row>
    <row r="2658" spans="1:21" x14ac:dyDescent="0.3">
      <c r="A2658" t="s">
        <v>4475</v>
      </c>
      <c r="B2658" t="s">
        <v>4476</v>
      </c>
      <c r="C2658" t="s">
        <v>270</v>
      </c>
      <c r="D2658" t="s">
        <v>222</v>
      </c>
      <c r="E2658" t="s">
        <v>30</v>
      </c>
      <c r="F2658" s="6">
        <v>46022</v>
      </c>
      <c r="G2658">
        <v>97</v>
      </c>
      <c r="H2658" t="s">
        <v>4477</v>
      </c>
      <c r="I2658">
        <v>1.3</v>
      </c>
      <c r="J2658">
        <v>3.255567010309278</v>
      </c>
      <c r="K2658" t="s">
        <v>1005</v>
      </c>
      <c r="L2658" t="s">
        <v>4478</v>
      </c>
      <c r="M2658">
        <v>2025</v>
      </c>
      <c r="N2658" t="s">
        <v>57</v>
      </c>
      <c r="O2658" t="s">
        <v>103</v>
      </c>
      <c r="P2658">
        <v>2</v>
      </c>
      <c r="Q2658">
        <v>2</v>
      </c>
      <c r="R2658">
        <v>0</v>
      </c>
      <c r="S2658" t="s">
        <v>104</v>
      </c>
      <c r="T2658" t="s">
        <v>4479</v>
      </c>
      <c r="U2658">
        <v>31</v>
      </c>
    </row>
    <row r="2659" spans="1:21" x14ac:dyDescent="0.3">
      <c r="A2659" t="s">
        <v>4480</v>
      </c>
      <c r="B2659" t="s">
        <v>4481</v>
      </c>
      <c r="C2659" t="s">
        <v>283</v>
      </c>
      <c r="D2659" t="s">
        <v>284</v>
      </c>
      <c r="E2659" t="s">
        <v>30</v>
      </c>
      <c r="F2659" s="6">
        <v>45046</v>
      </c>
      <c r="G2659">
        <v>100</v>
      </c>
      <c r="H2659">
        <v>100</v>
      </c>
      <c r="I2659">
        <v>1</v>
      </c>
      <c r="J2659">
        <v>1</v>
      </c>
      <c r="K2659" t="s">
        <v>31</v>
      </c>
      <c r="L2659" t="s">
        <v>31</v>
      </c>
      <c r="M2659">
        <v>2023</v>
      </c>
      <c r="N2659" t="s">
        <v>40</v>
      </c>
      <c r="O2659" t="s">
        <v>33</v>
      </c>
      <c r="P2659">
        <v>0</v>
      </c>
      <c r="Q2659">
        <v>0</v>
      </c>
      <c r="R2659">
        <v>0</v>
      </c>
      <c r="S2659" t="s">
        <v>99</v>
      </c>
      <c r="T2659" t="s">
        <v>4482</v>
      </c>
      <c r="U2659">
        <v>1</v>
      </c>
    </row>
    <row r="2660" spans="1:21" x14ac:dyDescent="0.3">
      <c r="A2660" t="s">
        <v>4480</v>
      </c>
      <c r="B2660" t="s">
        <v>4481</v>
      </c>
      <c r="C2660" t="s">
        <v>283</v>
      </c>
      <c r="D2660" t="s">
        <v>284</v>
      </c>
      <c r="E2660" t="s">
        <v>30</v>
      </c>
      <c r="F2660" s="6">
        <v>45107</v>
      </c>
      <c r="G2660">
        <v>100</v>
      </c>
      <c r="H2660">
        <v>100</v>
      </c>
      <c r="I2660">
        <v>1</v>
      </c>
      <c r="J2660">
        <v>1</v>
      </c>
      <c r="K2660" t="s">
        <v>31</v>
      </c>
      <c r="L2660" t="s">
        <v>31</v>
      </c>
      <c r="M2660">
        <v>2023</v>
      </c>
      <c r="N2660" t="s">
        <v>44</v>
      </c>
      <c r="O2660" t="s">
        <v>33</v>
      </c>
      <c r="P2660">
        <v>0</v>
      </c>
      <c r="Q2660">
        <v>0</v>
      </c>
      <c r="R2660">
        <v>0</v>
      </c>
      <c r="S2660" t="s">
        <v>99</v>
      </c>
      <c r="T2660" t="s">
        <v>4483</v>
      </c>
      <c r="U2660">
        <v>1</v>
      </c>
    </row>
    <row r="2661" spans="1:21" x14ac:dyDescent="0.3">
      <c r="A2661" t="s">
        <v>4480</v>
      </c>
      <c r="B2661" t="s">
        <v>4481</v>
      </c>
      <c r="C2661" t="s">
        <v>283</v>
      </c>
      <c r="D2661" t="s">
        <v>284</v>
      </c>
      <c r="E2661" t="s">
        <v>30</v>
      </c>
      <c r="F2661" s="6">
        <v>45169</v>
      </c>
      <c r="G2661">
        <v>100</v>
      </c>
      <c r="H2661">
        <v>100</v>
      </c>
      <c r="I2661">
        <v>1</v>
      </c>
      <c r="J2661">
        <v>1</v>
      </c>
      <c r="K2661" t="s">
        <v>31</v>
      </c>
      <c r="L2661" t="s">
        <v>31</v>
      </c>
      <c r="M2661">
        <v>2023</v>
      </c>
      <c r="N2661" t="s">
        <v>49</v>
      </c>
      <c r="O2661" t="s">
        <v>47</v>
      </c>
      <c r="P2661">
        <v>0</v>
      </c>
      <c r="Q2661">
        <v>0</v>
      </c>
      <c r="R2661">
        <v>0</v>
      </c>
      <c r="S2661" t="s">
        <v>99</v>
      </c>
      <c r="T2661" t="s">
        <v>4484</v>
      </c>
      <c r="U2661">
        <v>1</v>
      </c>
    </row>
    <row r="2662" spans="1:21" x14ac:dyDescent="0.3">
      <c r="A2662" t="s">
        <v>4480</v>
      </c>
      <c r="B2662" t="s">
        <v>4481</v>
      </c>
      <c r="C2662" t="s">
        <v>283</v>
      </c>
      <c r="D2662" t="s">
        <v>284</v>
      </c>
      <c r="E2662" t="s">
        <v>30</v>
      </c>
      <c r="F2662" s="6">
        <v>45230</v>
      </c>
      <c r="G2662">
        <v>100</v>
      </c>
      <c r="H2662">
        <v>100</v>
      </c>
      <c r="I2662">
        <v>1</v>
      </c>
      <c r="J2662">
        <v>1</v>
      </c>
      <c r="K2662" t="s">
        <v>31</v>
      </c>
      <c r="L2662" t="s">
        <v>31</v>
      </c>
      <c r="M2662">
        <v>2023</v>
      </c>
      <c r="N2662" t="s">
        <v>53</v>
      </c>
      <c r="O2662" t="s">
        <v>47</v>
      </c>
      <c r="P2662">
        <v>0</v>
      </c>
      <c r="Q2662">
        <v>0</v>
      </c>
      <c r="R2662">
        <v>0</v>
      </c>
      <c r="S2662" t="s">
        <v>99</v>
      </c>
      <c r="T2662" t="s">
        <v>4485</v>
      </c>
      <c r="U2662">
        <v>1</v>
      </c>
    </row>
    <row r="2663" spans="1:21" x14ac:dyDescent="0.3">
      <c r="A2663" t="s">
        <v>4480</v>
      </c>
      <c r="B2663" t="s">
        <v>4481</v>
      </c>
      <c r="C2663" t="s">
        <v>283</v>
      </c>
      <c r="D2663" t="s">
        <v>284</v>
      </c>
      <c r="E2663" t="s">
        <v>30</v>
      </c>
      <c r="F2663" s="6">
        <v>45291</v>
      </c>
      <c r="G2663">
        <v>100</v>
      </c>
      <c r="H2663">
        <v>122.22</v>
      </c>
      <c r="I2663">
        <v>1.2222</v>
      </c>
      <c r="J2663">
        <v>1.2222</v>
      </c>
      <c r="K2663" t="s">
        <v>31</v>
      </c>
      <c r="L2663" t="s">
        <v>31</v>
      </c>
      <c r="M2663">
        <v>2023</v>
      </c>
      <c r="N2663" t="s">
        <v>57</v>
      </c>
      <c r="O2663" t="s">
        <v>47</v>
      </c>
      <c r="P2663">
        <v>0</v>
      </c>
      <c r="Q2663">
        <v>0</v>
      </c>
      <c r="R2663">
        <v>0</v>
      </c>
      <c r="S2663" t="s">
        <v>99</v>
      </c>
      <c r="T2663" t="s">
        <v>4486</v>
      </c>
      <c r="U2663">
        <v>1</v>
      </c>
    </row>
    <row r="2664" spans="1:21" x14ac:dyDescent="0.3">
      <c r="A2664" t="s">
        <v>4480</v>
      </c>
      <c r="B2664" t="s">
        <v>4481</v>
      </c>
      <c r="C2664" t="s">
        <v>283</v>
      </c>
      <c r="D2664" t="s">
        <v>284</v>
      </c>
      <c r="E2664" t="s">
        <v>30</v>
      </c>
      <c r="F2664" s="6">
        <v>45351</v>
      </c>
      <c r="K2664" t="s">
        <v>215</v>
      </c>
      <c r="L2664" t="s">
        <v>215</v>
      </c>
      <c r="M2664">
        <v>2024</v>
      </c>
      <c r="N2664" t="s">
        <v>36</v>
      </c>
      <c r="O2664" t="s">
        <v>71</v>
      </c>
      <c r="P2664">
        <v>0</v>
      </c>
      <c r="Q2664">
        <v>0</v>
      </c>
      <c r="R2664">
        <v>0</v>
      </c>
      <c r="S2664" t="s">
        <v>99</v>
      </c>
      <c r="T2664" t="s">
        <v>4487</v>
      </c>
      <c r="U2664">
        <v>1</v>
      </c>
    </row>
    <row r="2665" spans="1:21" x14ac:dyDescent="0.3">
      <c r="A2665" t="s">
        <v>4480</v>
      </c>
      <c r="B2665" t="s">
        <v>4481</v>
      </c>
      <c r="C2665" t="s">
        <v>283</v>
      </c>
      <c r="D2665" t="s">
        <v>284</v>
      </c>
      <c r="E2665" t="s">
        <v>30</v>
      </c>
      <c r="F2665" s="6">
        <v>45412</v>
      </c>
      <c r="G2665">
        <v>100</v>
      </c>
      <c r="H2665">
        <v>100</v>
      </c>
      <c r="I2665">
        <v>1</v>
      </c>
      <c r="J2665">
        <v>1</v>
      </c>
      <c r="K2665" t="s">
        <v>31</v>
      </c>
      <c r="L2665" t="s">
        <v>31</v>
      </c>
      <c r="M2665">
        <v>2024</v>
      </c>
      <c r="N2665" t="s">
        <v>40</v>
      </c>
      <c r="O2665" t="s">
        <v>71</v>
      </c>
      <c r="P2665">
        <v>0</v>
      </c>
      <c r="Q2665">
        <v>0</v>
      </c>
      <c r="R2665">
        <v>0</v>
      </c>
      <c r="S2665" t="s">
        <v>99</v>
      </c>
      <c r="T2665" t="s">
        <v>4488</v>
      </c>
      <c r="U2665">
        <v>1</v>
      </c>
    </row>
    <row r="2666" spans="1:21" x14ac:dyDescent="0.3">
      <c r="A2666" t="s">
        <v>4480</v>
      </c>
      <c r="B2666" t="s">
        <v>4481</v>
      </c>
      <c r="C2666" t="s">
        <v>283</v>
      </c>
      <c r="D2666" t="s">
        <v>284</v>
      </c>
      <c r="E2666" t="s">
        <v>30</v>
      </c>
      <c r="F2666" s="6">
        <v>45473</v>
      </c>
      <c r="G2666">
        <v>100</v>
      </c>
      <c r="H2666">
        <v>80</v>
      </c>
      <c r="I2666">
        <v>0.8</v>
      </c>
      <c r="J2666">
        <v>0.8</v>
      </c>
      <c r="K2666" t="s">
        <v>31</v>
      </c>
      <c r="L2666" t="s">
        <v>31</v>
      </c>
      <c r="M2666">
        <v>2024</v>
      </c>
      <c r="N2666" t="s">
        <v>44</v>
      </c>
      <c r="O2666" t="s">
        <v>71</v>
      </c>
      <c r="P2666">
        <v>0</v>
      </c>
      <c r="Q2666">
        <v>0</v>
      </c>
      <c r="R2666">
        <v>0</v>
      </c>
      <c r="S2666" t="s">
        <v>99</v>
      </c>
      <c r="T2666" t="s">
        <v>4489</v>
      </c>
      <c r="U2666">
        <v>1</v>
      </c>
    </row>
    <row r="2667" spans="1:21" x14ac:dyDescent="0.3">
      <c r="A2667" t="s">
        <v>4480</v>
      </c>
      <c r="B2667" t="s">
        <v>4481</v>
      </c>
      <c r="C2667" t="s">
        <v>283</v>
      </c>
      <c r="D2667" t="s">
        <v>284</v>
      </c>
      <c r="E2667" t="s">
        <v>30</v>
      </c>
      <c r="F2667" s="6">
        <v>45535</v>
      </c>
      <c r="G2667">
        <v>100</v>
      </c>
      <c r="H2667">
        <v>100</v>
      </c>
      <c r="I2667">
        <v>1</v>
      </c>
      <c r="J2667">
        <v>1</v>
      </c>
      <c r="K2667" t="s">
        <v>31</v>
      </c>
      <c r="L2667" t="s">
        <v>31</v>
      </c>
      <c r="M2667">
        <v>2024</v>
      </c>
      <c r="N2667" t="s">
        <v>49</v>
      </c>
      <c r="O2667" t="s">
        <v>78</v>
      </c>
      <c r="P2667">
        <v>0</v>
      </c>
      <c r="Q2667">
        <v>0</v>
      </c>
      <c r="R2667">
        <v>0</v>
      </c>
      <c r="S2667" t="s">
        <v>99</v>
      </c>
      <c r="T2667" t="s">
        <v>4490</v>
      </c>
      <c r="U2667">
        <v>1</v>
      </c>
    </row>
    <row r="2668" spans="1:21" x14ac:dyDescent="0.3">
      <c r="A2668" t="s">
        <v>4480</v>
      </c>
      <c r="B2668" t="s">
        <v>4481</v>
      </c>
      <c r="C2668" t="s">
        <v>283</v>
      </c>
      <c r="D2668" t="s">
        <v>284</v>
      </c>
      <c r="E2668" t="s">
        <v>30</v>
      </c>
      <c r="F2668" s="6">
        <v>45596</v>
      </c>
      <c r="G2668">
        <v>100</v>
      </c>
      <c r="H2668">
        <v>100</v>
      </c>
      <c r="I2668">
        <v>1</v>
      </c>
      <c r="J2668">
        <v>1</v>
      </c>
      <c r="K2668" t="s">
        <v>31</v>
      </c>
      <c r="L2668" t="s">
        <v>31</v>
      </c>
      <c r="M2668">
        <v>2024</v>
      </c>
      <c r="N2668" t="s">
        <v>53</v>
      </c>
      <c r="O2668" t="s">
        <v>78</v>
      </c>
      <c r="P2668">
        <v>0</v>
      </c>
      <c r="Q2668">
        <v>0</v>
      </c>
      <c r="R2668">
        <v>0</v>
      </c>
      <c r="S2668" t="s">
        <v>99</v>
      </c>
      <c r="T2668" t="s">
        <v>4491</v>
      </c>
      <c r="U2668">
        <v>1</v>
      </c>
    </row>
    <row r="2669" spans="1:21" x14ac:dyDescent="0.3">
      <c r="A2669" t="s">
        <v>4480</v>
      </c>
      <c r="B2669" t="s">
        <v>4481</v>
      </c>
      <c r="C2669" t="s">
        <v>283</v>
      </c>
      <c r="D2669" t="s">
        <v>284</v>
      </c>
      <c r="E2669" t="s">
        <v>30</v>
      </c>
      <c r="F2669" s="6">
        <v>45657</v>
      </c>
      <c r="G2669">
        <v>100</v>
      </c>
      <c r="H2669">
        <v>112.5</v>
      </c>
      <c r="I2669">
        <v>1.125</v>
      </c>
      <c r="J2669">
        <v>1.125</v>
      </c>
      <c r="K2669" t="s">
        <v>31</v>
      </c>
      <c r="L2669" t="s">
        <v>31</v>
      </c>
      <c r="M2669">
        <v>2024</v>
      </c>
      <c r="N2669" t="s">
        <v>57</v>
      </c>
      <c r="O2669" t="s">
        <v>78</v>
      </c>
      <c r="P2669">
        <v>0</v>
      </c>
      <c r="Q2669">
        <v>0</v>
      </c>
      <c r="R2669">
        <v>0</v>
      </c>
      <c r="S2669" t="s">
        <v>99</v>
      </c>
      <c r="T2669" t="s">
        <v>4492</v>
      </c>
      <c r="U2669">
        <v>1</v>
      </c>
    </row>
    <row r="2670" spans="1:21" x14ac:dyDescent="0.3">
      <c r="A2670" t="s">
        <v>4480</v>
      </c>
      <c r="B2670" t="s">
        <v>4481</v>
      </c>
      <c r="C2670" t="s">
        <v>283</v>
      </c>
      <c r="D2670" t="s">
        <v>233</v>
      </c>
      <c r="E2670" t="s">
        <v>30</v>
      </c>
      <c r="F2670" s="6">
        <v>45747</v>
      </c>
      <c r="G2670">
        <v>100</v>
      </c>
      <c r="H2670" t="s">
        <v>4493</v>
      </c>
      <c r="I2670">
        <v>0.83333333333333004</v>
      </c>
      <c r="J2670">
        <v>0.83333333333333004</v>
      </c>
      <c r="K2670" t="s">
        <v>102</v>
      </c>
      <c r="L2670" t="s">
        <v>902</v>
      </c>
      <c r="M2670">
        <v>2025</v>
      </c>
      <c r="N2670" t="s">
        <v>38</v>
      </c>
      <c r="O2670" t="s">
        <v>244</v>
      </c>
      <c r="P2670">
        <v>2</v>
      </c>
      <c r="Q2670">
        <v>2</v>
      </c>
      <c r="R2670">
        <v>0</v>
      </c>
      <c r="T2670" t="s">
        <v>4494</v>
      </c>
      <c r="U2670">
        <v>31</v>
      </c>
    </row>
    <row r="2671" spans="1:21" x14ac:dyDescent="0.3">
      <c r="A2671" t="s">
        <v>4480</v>
      </c>
      <c r="B2671" t="s">
        <v>4481</v>
      </c>
      <c r="C2671" t="s">
        <v>283</v>
      </c>
      <c r="D2671" t="s">
        <v>233</v>
      </c>
      <c r="E2671" t="s">
        <v>30</v>
      </c>
      <c r="F2671" s="6">
        <v>45838</v>
      </c>
      <c r="G2671">
        <v>100</v>
      </c>
      <c r="H2671" t="s">
        <v>4495</v>
      </c>
      <c r="I2671">
        <v>0.875</v>
      </c>
      <c r="J2671">
        <v>0.875</v>
      </c>
      <c r="K2671" t="s">
        <v>102</v>
      </c>
      <c r="L2671" t="s">
        <v>4496</v>
      </c>
      <c r="M2671">
        <v>2025</v>
      </c>
      <c r="N2671" t="s">
        <v>44</v>
      </c>
      <c r="O2671" t="s">
        <v>244</v>
      </c>
      <c r="P2671">
        <v>2</v>
      </c>
      <c r="Q2671">
        <v>2</v>
      </c>
      <c r="R2671">
        <v>0</v>
      </c>
      <c r="T2671" t="s">
        <v>4497</v>
      </c>
      <c r="U2671">
        <v>30</v>
      </c>
    </row>
    <row r="2672" spans="1:21" x14ac:dyDescent="0.3">
      <c r="A2672" t="s">
        <v>4480</v>
      </c>
      <c r="B2672" t="s">
        <v>4481</v>
      </c>
      <c r="C2672" t="s">
        <v>283</v>
      </c>
      <c r="D2672" t="s">
        <v>233</v>
      </c>
      <c r="E2672" t="s">
        <v>30</v>
      </c>
      <c r="F2672" s="6">
        <v>46022</v>
      </c>
      <c r="G2672">
        <v>100</v>
      </c>
      <c r="H2672" t="s">
        <v>3104</v>
      </c>
      <c r="I2672">
        <v>1.3</v>
      </c>
      <c r="J2672">
        <v>1.375</v>
      </c>
      <c r="K2672" t="s">
        <v>102</v>
      </c>
      <c r="L2672" t="s">
        <v>3105</v>
      </c>
      <c r="M2672">
        <v>2025</v>
      </c>
      <c r="N2672" t="s">
        <v>57</v>
      </c>
      <c r="O2672" t="s">
        <v>103</v>
      </c>
      <c r="P2672">
        <v>2</v>
      </c>
      <c r="Q2672">
        <v>2</v>
      </c>
      <c r="R2672">
        <v>0</v>
      </c>
      <c r="T2672" t="s">
        <v>4498</v>
      </c>
      <c r="U2672">
        <v>31</v>
      </c>
    </row>
    <row r="2673" spans="1:21" x14ac:dyDescent="0.3">
      <c r="A2673" t="s">
        <v>4499</v>
      </c>
      <c r="B2673" t="s">
        <v>4500</v>
      </c>
      <c r="C2673" t="s">
        <v>3093</v>
      </c>
      <c r="D2673" t="s">
        <v>222</v>
      </c>
      <c r="E2673" t="s">
        <v>30</v>
      </c>
      <c r="F2673" s="6">
        <v>45838</v>
      </c>
      <c r="G2673">
        <v>100</v>
      </c>
      <c r="H2673" t="s">
        <v>4501</v>
      </c>
      <c r="I2673">
        <v>1.3</v>
      </c>
      <c r="J2673">
        <v>4.3144999999999998</v>
      </c>
      <c r="K2673" t="s">
        <v>102</v>
      </c>
      <c r="L2673" t="s">
        <v>4502</v>
      </c>
      <c r="M2673">
        <v>2025</v>
      </c>
      <c r="N2673" t="s">
        <v>44</v>
      </c>
      <c r="O2673" t="s">
        <v>244</v>
      </c>
      <c r="P2673">
        <v>2</v>
      </c>
      <c r="Q2673">
        <v>2</v>
      </c>
      <c r="R2673">
        <v>0</v>
      </c>
      <c r="T2673" t="s">
        <v>4503</v>
      </c>
      <c r="U2673">
        <v>30</v>
      </c>
    </row>
    <row r="2674" spans="1:21" x14ac:dyDescent="0.3">
      <c r="A2674" t="s">
        <v>4499</v>
      </c>
      <c r="B2674" t="s">
        <v>4500</v>
      </c>
      <c r="C2674" t="s">
        <v>3093</v>
      </c>
      <c r="D2674" t="s">
        <v>222</v>
      </c>
      <c r="E2674" t="s">
        <v>30</v>
      </c>
      <c r="F2674" s="6">
        <v>46022</v>
      </c>
      <c r="G2674">
        <v>100</v>
      </c>
      <c r="H2674" t="s">
        <v>4504</v>
      </c>
      <c r="I2674">
        <v>1.3</v>
      </c>
      <c r="J2674">
        <v>1.3112999999999999</v>
      </c>
      <c r="K2674" t="s">
        <v>102</v>
      </c>
      <c r="L2674" t="s">
        <v>4505</v>
      </c>
      <c r="M2674">
        <v>2025</v>
      </c>
      <c r="N2674" t="s">
        <v>57</v>
      </c>
      <c r="O2674" t="s">
        <v>103</v>
      </c>
      <c r="P2674">
        <v>2</v>
      </c>
      <c r="Q2674">
        <v>2</v>
      </c>
      <c r="R2674">
        <v>0</v>
      </c>
      <c r="T2674" t="s">
        <v>4506</v>
      </c>
      <c r="U2674">
        <v>31</v>
      </c>
    </row>
    <row r="2675" spans="1:21" x14ac:dyDescent="0.3">
      <c r="A2675" t="s">
        <v>4507</v>
      </c>
      <c r="B2675" t="s">
        <v>4508</v>
      </c>
      <c r="C2675" t="s">
        <v>28</v>
      </c>
      <c r="D2675" t="s">
        <v>98</v>
      </c>
      <c r="E2675" t="s">
        <v>30</v>
      </c>
      <c r="F2675" s="6">
        <v>46022</v>
      </c>
      <c r="H2675" t="s">
        <v>95</v>
      </c>
      <c r="I2675">
        <v>0</v>
      </c>
      <c r="J2675">
        <v>0</v>
      </c>
      <c r="L2675" t="s">
        <v>102</v>
      </c>
      <c r="M2675">
        <v>2025</v>
      </c>
      <c r="N2675" t="s">
        <v>57</v>
      </c>
      <c r="O2675" t="s">
        <v>103</v>
      </c>
      <c r="P2675">
        <v>2</v>
      </c>
      <c r="Q2675">
        <v>2</v>
      </c>
      <c r="R2675">
        <v>0</v>
      </c>
      <c r="S2675" t="s">
        <v>34</v>
      </c>
      <c r="T2675" t="s">
        <v>4509</v>
      </c>
      <c r="U2675">
        <v>31</v>
      </c>
    </row>
    <row r="2676" spans="1:21" x14ac:dyDescent="0.3">
      <c r="A2676" t="s">
        <v>4510</v>
      </c>
      <c r="B2676" t="s">
        <v>2936</v>
      </c>
      <c r="C2676" t="s">
        <v>225</v>
      </c>
      <c r="D2676" t="s">
        <v>222</v>
      </c>
      <c r="E2676" t="s">
        <v>30</v>
      </c>
      <c r="F2676" s="6">
        <v>45838</v>
      </c>
      <c r="G2676">
        <v>95</v>
      </c>
      <c r="H2676" t="s">
        <v>4511</v>
      </c>
      <c r="I2676">
        <v>1.3</v>
      </c>
      <c r="J2676">
        <v>1.323578947368421</v>
      </c>
      <c r="K2676" t="s">
        <v>838</v>
      </c>
      <c r="L2676" t="s">
        <v>4512</v>
      </c>
      <c r="M2676">
        <v>2025</v>
      </c>
      <c r="N2676" t="s">
        <v>44</v>
      </c>
      <c r="O2676" t="s">
        <v>244</v>
      </c>
      <c r="P2676">
        <v>2</v>
      </c>
      <c r="Q2676">
        <v>2</v>
      </c>
      <c r="R2676">
        <v>0</v>
      </c>
      <c r="T2676" t="s">
        <v>4513</v>
      </c>
      <c r="U2676">
        <v>30</v>
      </c>
    </row>
    <row r="2677" spans="1:21" x14ac:dyDescent="0.3">
      <c r="A2677" t="s">
        <v>4510</v>
      </c>
      <c r="B2677" t="s">
        <v>2936</v>
      </c>
      <c r="C2677" t="s">
        <v>225</v>
      </c>
      <c r="D2677" t="s">
        <v>222</v>
      </c>
      <c r="E2677" t="s">
        <v>30</v>
      </c>
      <c r="F2677" s="6">
        <v>46022</v>
      </c>
      <c r="G2677">
        <v>95</v>
      </c>
      <c r="H2677" t="s">
        <v>4514</v>
      </c>
      <c r="I2677">
        <v>1.0086315789473681</v>
      </c>
      <c r="J2677">
        <v>1.0086315789473681</v>
      </c>
      <c r="K2677" t="s">
        <v>838</v>
      </c>
      <c r="L2677" t="s">
        <v>4515</v>
      </c>
      <c r="M2677">
        <v>2025</v>
      </c>
      <c r="N2677" t="s">
        <v>57</v>
      </c>
      <c r="O2677" t="s">
        <v>103</v>
      </c>
      <c r="P2677">
        <v>2</v>
      </c>
      <c r="Q2677">
        <v>2</v>
      </c>
      <c r="R2677">
        <v>0</v>
      </c>
      <c r="T2677" t="s">
        <v>4516</v>
      </c>
      <c r="U2677">
        <v>31</v>
      </c>
    </row>
    <row r="2678" spans="1:21" x14ac:dyDescent="0.3">
      <c r="A2678" t="s">
        <v>4517</v>
      </c>
      <c r="B2678" t="s">
        <v>3619</v>
      </c>
      <c r="C2678" t="s">
        <v>3437</v>
      </c>
      <c r="D2678" t="s">
        <v>222</v>
      </c>
      <c r="E2678" t="s">
        <v>30</v>
      </c>
      <c r="F2678" s="6">
        <v>45838</v>
      </c>
      <c r="G2678">
        <v>100</v>
      </c>
      <c r="H2678" t="s">
        <v>4518</v>
      </c>
      <c r="I2678">
        <v>0.99379999999999991</v>
      </c>
      <c r="J2678">
        <v>0.99379999999999991</v>
      </c>
      <c r="K2678" t="s">
        <v>102</v>
      </c>
      <c r="L2678" t="s">
        <v>4519</v>
      </c>
      <c r="M2678">
        <v>2025</v>
      </c>
      <c r="N2678" t="s">
        <v>44</v>
      </c>
      <c r="O2678" t="s">
        <v>244</v>
      </c>
      <c r="P2678">
        <v>2</v>
      </c>
      <c r="Q2678">
        <v>2</v>
      </c>
      <c r="R2678">
        <v>0</v>
      </c>
      <c r="S2678" t="s">
        <v>718</v>
      </c>
      <c r="T2678" t="s">
        <v>4520</v>
      </c>
      <c r="U2678">
        <v>30</v>
      </c>
    </row>
    <row r="2679" spans="1:21" x14ac:dyDescent="0.3">
      <c r="A2679" t="s">
        <v>4517</v>
      </c>
      <c r="B2679" t="s">
        <v>3619</v>
      </c>
      <c r="C2679" t="s">
        <v>3437</v>
      </c>
      <c r="D2679" t="s">
        <v>222</v>
      </c>
      <c r="E2679" t="s">
        <v>30</v>
      </c>
      <c r="F2679" s="6">
        <v>46022</v>
      </c>
      <c r="G2679">
        <v>143.41200000000001</v>
      </c>
      <c r="H2679" t="s">
        <v>4521</v>
      </c>
      <c r="I2679">
        <v>0.73961732630463273</v>
      </c>
      <c r="J2679">
        <v>0.73961732630463273</v>
      </c>
      <c r="K2679" t="s">
        <v>4522</v>
      </c>
      <c r="L2679" t="s">
        <v>4523</v>
      </c>
      <c r="M2679">
        <v>2025</v>
      </c>
      <c r="N2679" t="s">
        <v>57</v>
      </c>
      <c r="O2679" t="s">
        <v>103</v>
      </c>
      <c r="P2679">
        <v>2</v>
      </c>
      <c r="Q2679">
        <v>2</v>
      </c>
      <c r="R2679">
        <v>0</v>
      </c>
      <c r="S2679" t="s">
        <v>718</v>
      </c>
      <c r="T2679" t="s">
        <v>4524</v>
      </c>
      <c r="U2679">
        <v>31</v>
      </c>
    </row>
    <row r="2680" spans="1:21" x14ac:dyDescent="0.3">
      <c r="A2680" t="s">
        <v>4525</v>
      </c>
      <c r="B2680" t="s">
        <v>4526</v>
      </c>
      <c r="C2680" t="s">
        <v>2114</v>
      </c>
      <c r="D2680" t="s">
        <v>233</v>
      </c>
      <c r="E2680" t="s">
        <v>30</v>
      </c>
      <c r="F2680" s="6">
        <v>45838</v>
      </c>
      <c r="G2680">
        <v>95</v>
      </c>
      <c r="H2680" t="s">
        <v>424</v>
      </c>
      <c r="I2680">
        <v>0</v>
      </c>
      <c r="J2680">
        <v>0</v>
      </c>
      <c r="K2680" t="s">
        <v>838</v>
      </c>
      <c r="M2680">
        <v>2025</v>
      </c>
      <c r="N2680" t="s">
        <v>44</v>
      </c>
      <c r="O2680" t="s">
        <v>244</v>
      </c>
      <c r="P2680">
        <v>2</v>
      </c>
      <c r="Q2680">
        <v>2</v>
      </c>
      <c r="R2680">
        <v>0</v>
      </c>
      <c r="S2680" t="s">
        <v>104</v>
      </c>
      <c r="T2680" t="s">
        <v>4527</v>
      </c>
      <c r="U2680">
        <v>30</v>
      </c>
    </row>
    <row r="2681" spans="1:21" x14ac:dyDescent="0.3">
      <c r="A2681" t="s">
        <v>4528</v>
      </c>
      <c r="B2681" t="s">
        <v>4529</v>
      </c>
      <c r="C2681" t="s">
        <v>129</v>
      </c>
      <c r="D2681" t="s">
        <v>98</v>
      </c>
      <c r="E2681" t="s">
        <v>30</v>
      </c>
      <c r="F2681" s="6">
        <v>45838</v>
      </c>
      <c r="G2681">
        <v>100</v>
      </c>
      <c r="H2681" t="s">
        <v>4530</v>
      </c>
      <c r="I2681">
        <v>1.3</v>
      </c>
      <c r="J2681">
        <v>1.7392055267702999</v>
      </c>
      <c r="K2681" t="s">
        <v>102</v>
      </c>
      <c r="L2681" t="s">
        <v>4531</v>
      </c>
      <c r="M2681">
        <v>2025</v>
      </c>
      <c r="N2681" t="s">
        <v>44</v>
      </c>
      <c r="O2681" t="s">
        <v>244</v>
      </c>
      <c r="P2681">
        <v>2</v>
      </c>
      <c r="Q2681">
        <v>2</v>
      </c>
      <c r="R2681">
        <v>0</v>
      </c>
      <c r="S2681" t="s">
        <v>104</v>
      </c>
      <c r="T2681" t="s">
        <v>4532</v>
      </c>
      <c r="U2681">
        <v>30</v>
      </c>
    </row>
    <row r="2682" spans="1:21" x14ac:dyDescent="0.3">
      <c r="A2682" t="s">
        <v>4528</v>
      </c>
      <c r="B2682" t="s">
        <v>4529</v>
      </c>
      <c r="C2682" t="s">
        <v>129</v>
      </c>
      <c r="D2682" t="s">
        <v>98</v>
      </c>
      <c r="E2682" t="s">
        <v>30</v>
      </c>
      <c r="F2682" s="6">
        <v>46022</v>
      </c>
      <c r="G2682">
        <v>100</v>
      </c>
      <c r="I2682">
        <v>0</v>
      </c>
      <c r="J2682">
        <v>0</v>
      </c>
      <c r="K2682" t="s">
        <v>102</v>
      </c>
      <c r="M2682">
        <v>2025</v>
      </c>
      <c r="N2682" t="s">
        <v>57</v>
      </c>
      <c r="O2682" t="s">
        <v>103</v>
      </c>
      <c r="P2682">
        <v>2</v>
      </c>
      <c r="Q2682">
        <v>2</v>
      </c>
      <c r="R2682">
        <v>0</v>
      </c>
      <c r="S2682" t="s">
        <v>104</v>
      </c>
      <c r="T2682" t="s">
        <v>4533</v>
      </c>
      <c r="U2682">
        <v>31</v>
      </c>
    </row>
    <row r="2683" spans="1:21" x14ac:dyDescent="0.3">
      <c r="A2683" t="s">
        <v>4534</v>
      </c>
      <c r="B2683" t="s">
        <v>4535</v>
      </c>
      <c r="C2683" t="s">
        <v>251</v>
      </c>
      <c r="D2683" t="s">
        <v>233</v>
      </c>
      <c r="E2683" t="s">
        <v>30</v>
      </c>
      <c r="F2683" s="6">
        <v>45716</v>
      </c>
      <c r="H2683" t="s">
        <v>424</v>
      </c>
      <c r="I2683">
        <v>0</v>
      </c>
      <c r="J2683">
        <v>0</v>
      </c>
      <c r="M2683">
        <v>2025</v>
      </c>
      <c r="N2683" t="s">
        <v>36</v>
      </c>
      <c r="O2683" t="s">
        <v>244</v>
      </c>
      <c r="P2683">
        <v>2</v>
      </c>
      <c r="Q2683">
        <v>2</v>
      </c>
      <c r="R2683">
        <v>0</v>
      </c>
      <c r="S2683" t="s">
        <v>104</v>
      </c>
      <c r="T2683" t="s">
        <v>4536</v>
      </c>
      <c r="U2683">
        <v>28</v>
      </c>
    </row>
    <row r="2684" spans="1:21" x14ac:dyDescent="0.3">
      <c r="A2684" t="s">
        <v>4534</v>
      </c>
      <c r="B2684" t="s">
        <v>4535</v>
      </c>
      <c r="C2684" t="s">
        <v>251</v>
      </c>
      <c r="D2684" t="s">
        <v>233</v>
      </c>
      <c r="E2684" t="s">
        <v>30</v>
      </c>
      <c r="F2684" s="6">
        <v>45747</v>
      </c>
      <c r="H2684" t="s">
        <v>424</v>
      </c>
      <c r="I2684">
        <v>0</v>
      </c>
      <c r="J2684">
        <v>0</v>
      </c>
      <c r="M2684">
        <v>2025</v>
      </c>
      <c r="N2684" t="s">
        <v>38</v>
      </c>
      <c r="O2684" t="s">
        <v>244</v>
      </c>
      <c r="P2684">
        <v>2</v>
      </c>
      <c r="Q2684">
        <v>2</v>
      </c>
      <c r="R2684">
        <v>0</v>
      </c>
      <c r="S2684" t="s">
        <v>104</v>
      </c>
      <c r="T2684" t="s">
        <v>4537</v>
      </c>
      <c r="U2684">
        <v>31</v>
      </c>
    </row>
    <row r="2685" spans="1:21" x14ac:dyDescent="0.3">
      <c r="A2685" t="s">
        <v>4534</v>
      </c>
      <c r="B2685" t="s">
        <v>4535</v>
      </c>
      <c r="C2685" t="s">
        <v>251</v>
      </c>
      <c r="D2685" t="s">
        <v>233</v>
      </c>
      <c r="E2685" t="s">
        <v>30</v>
      </c>
      <c r="F2685" s="6">
        <v>45777</v>
      </c>
      <c r="H2685" t="s">
        <v>424</v>
      </c>
      <c r="I2685">
        <v>0</v>
      </c>
      <c r="J2685">
        <v>0</v>
      </c>
      <c r="M2685">
        <v>2025</v>
      </c>
      <c r="N2685" t="s">
        <v>40</v>
      </c>
      <c r="O2685" t="s">
        <v>244</v>
      </c>
      <c r="P2685">
        <v>2</v>
      </c>
      <c r="Q2685">
        <v>2</v>
      </c>
      <c r="R2685">
        <v>0</v>
      </c>
      <c r="S2685" t="s">
        <v>104</v>
      </c>
      <c r="T2685" t="s">
        <v>4538</v>
      </c>
      <c r="U2685">
        <v>30</v>
      </c>
    </row>
    <row r="2686" spans="1:21" x14ac:dyDescent="0.3">
      <c r="A2686" t="s">
        <v>4534</v>
      </c>
      <c r="B2686" t="s">
        <v>4535</v>
      </c>
      <c r="C2686" t="s">
        <v>251</v>
      </c>
      <c r="D2686" t="s">
        <v>233</v>
      </c>
      <c r="E2686" t="s">
        <v>30</v>
      </c>
      <c r="F2686" s="6">
        <v>45838</v>
      </c>
      <c r="H2686" t="s">
        <v>424</v>
      </c>
      <c r="I2686">
        <v>0</v>
      </c>
      <c r="J2686">
        <v>0</v>
      </c>
      <c r="M2686">
        <v>2025</v>
      </c>
      <c r="N2686" t="s">
        <v>44</v>
      </c>
      <c r="O2686" t="s">
        <v>244</v>
      </c>
      <c r="P2686">
        <v>2</v>
      </c>
      <c r="Q2686">
        <v>2</v>
      </c>
      <c r="R2686">
        <v>0</v>
      </c>
      <c r="S2686" t="s">
        <v>104</v>
      </c>
      <c r="T2686" t="s">
        <v>4539</v>
      </c>
      <c r="U2686">
        <v>30</v>
      </c>
    </row>
    <row r="2687" spans="1:21" x14ac:dyDescent="0.3">
      <c r="A2687" t="s">
        <v>4540</v>
      </c>
      <c r="B2687" t="s">
        <v>4541</v>
      </c>
      <c r="C2687" t="s">
        <v>663</v>
      </c>
      <c r="D2687" t="s">
        <v>222</v>
      </c>
      <c r="E2687" t="s">
        <v>30</v>
      </c>
      <c r="F2687" s="6">
        <v>45838</v>
      </c>
      <c r="G2687">
        <v>100</v>
      </c>
      <c r="H2687" t="s">
        <v>4542</v>
      </c>
      <c r="I2687">
        <v>1.3</v>
      </c>
      <c r="J2687">
        <v>1.3314999999999999</v>
      </c>
      <c r="K2687" t="s">
        <v>102</v>
      </c>
      <c r="L2687" t="s">
        <v>4543</v>
      </c>
      <c r="M2687">
        <v>2025</v>
      </c>
      <c r="N2687" t="s">
        <v>44</v>
      </c>
      <c r="O2687" t="s">
        <v>244</v>
      </c>
      <c r="P2687">
        <v>2</v>
      </c>
      <c r="Q2687">
        <v>2</v>
      </c>
      <c r="R2687">
        <v>0</v>
      </c>
      <c r="T2687" t="s">
        <v>4544</v>
      </c>
      <c r="U2687">
        <v>30</v>
      </c>
    </row>
    <row r="2688" spans="1:21" x14ac:dyDescent="0.3">
      <c r="A2688" t="s">
        <v>4540</v>
      </c>
      <c r="B2688" t="s">
        <v>4541</v>
      </c>
      <c r="C2688" t="s">
        <v>663</v>
      </c>
      <c r="D2688" t="s">
        <v>222</v>
      </c>
      <c r="E2688" t="s">
        <v>30</v>
      </c>
      <c r="F2688" s="6">
        <v>46022</v>
      </c>
      <c r="G2688">
        <v>100</v>
      </c>
      <c r="H2688" t="s">
        <v>4545</v>
      </c>
      <c r="I2688">
        <v>1.3</v>
      </c>
      <c r="J2688">
        <v>1.3478000000000001</v>
      </c>
      <c r="K2688" t="s">
        <v>102</v>
      </c>
      <c r="L2688" t="s">
        <v>4546</v>
      </c>
      <c r="M2688">
        <v>2025</v>
      </c>
      <c r="N2688" t="s">
        <v>57</v>
      </c>
      <c r="O2688" t="s">
        <v>103</v>
      </c>
      <c r="P2688">
        <v>2</v>
      </c>
      <c r="Q2688">
        <v>2</v>
      </c>
      <c r="R2688">
        <v>0</v>
      </c>
      <c r="T2688" t="s">
        <v>4547</v>
      </c>
      <c r="U2688">
        <v>31</v>
      </c>
    </row>
    <row r="2689" spans="1:21" x14ac:dyDescent="0.3">
      <c r="A2689" t="s">
        <v>4548</v>
      </c>
      <c r="B2689" t="s">
        <v>4549</v>
      </c>
      <c r="C2689" t="s">
        <v>663</v>
      </c>
      <c r="D2689" t="s">
        <v>222</v>
      </c>
      <c r="E2689" t="s">
        <v>30</v>
      </c>
      <c r="F2689" s="6">
        <v>45838</v>
      </c>
      <c r="G2689">
        <v>100</v>
      </c>
      <c r="H2689" t="s">
        <v>4550</v>
      </c>
      <c r="I2689">
        <v>1.2488999999999999</v>
      </c>
      <c r="J2689">
        <v>1.2488999999999999</v>
      </c>
      <c r="K2689" t="s">
        <v>102</v>
      </c>
      <c r="L2689" t="s">
        <v>4551</v>
      </c>
      <c r="M2689">
        <v>2025</v>
      </c>
      <c r="N2689" t="s">
        <v>44</v>
      </c>
      <c r="O2689" t="s">
        <v>244</v>
      </c>
      <c r="P2689">
        <v>2</v>
      </c>
      <c r="Q2689">
        <v>2</v>
      </c>
      <c r="R2689">
        <v>0</v>
      </c>
      <c r="T2689" t="s">
        <v>4552</v>
      </c>
      <c r="U2689">
        <v>30</v>
      </c>
    </row>
    <row r="2690" spans="1:21" x14ac:dyDescent="0.3">
      <c r="A2690" t="s">
        <v>4548</v>
      </c>
      <c r="B2690" t="s">
        <v>4549</v>
      </c>
      <c r="C2690" t="s">
        <v>663</v>
      </c>
      <c r="D2690" t="s">
        <v>222</v>
      </c>
      <c r="E2690" t="s">
        <v>30</v>
      </c>
      <c r="F2690" s="6">
        <v>46022</v>
      </c>
      <c r="G2690">
        <v>100</v>
      </c>
      <c r="H2690" t="s">
        <v>4553</v>
      </c>
      <c r="I2690">
        <v>1.3</v>
      </c>
      <c r="J2690">
        <v>1.7795000000000001</v>
      </c>
      <c r="K2690" t="s">
        <v>102</v>
      </c>
      <c r="L2690" t="s">
        <v>4554</v>
      </c>
      <c r="M2690">
        <v>2025</v>
      </c>
      <c r="N2690" t="s">
        <v>57</v>
      </c>
      <c r="O2690" t="s">
        <v>103</v>
      </c>
      <c r="P2690">
        <v>2</v>
      </c>
      <c r="Q2690">
        <v>2</v>
      </c>
      <c r="R2690">
        <v>0</v>
      </c>
      <c r="T2690" t="s">
        <v>4555</v>
      </c>
      <c r="U2690">
        <v>31</v>
      </c>
    </row>
    <row r="2691" spans="1:21" x14ac:dyDescent="0.3">
      <c r="A2691" t="s">
        <v>4556</v>
      </c>
      <c r="B2691" t="s">
        <v>4557</v>
      </c>
      <c r="C2691" t="s">
        <v>663</v>
      </c>
      <c r="D2691" t="s">
        <v>222</v>
      </c>
      <c r="E2691" t="s">
        <v>30</v>
      </c>
      <c r="F2691" s="6">
        <v>45838</v>
      </c>
      <c r="G2691">
        <v>100</v>
      </c>
      <c r="H2691" t="s">
        <v>4558</v>
      </c>
      <c r="I2691">
        <v>1.3</v>
      </c>
      <c r="J2691">
        <v>1.3409</v>
      </c>
      <c r="K2691" t="s">
        <v>102</v>
      </c>
      <c r="L2691" t="s">
        <v>4559</v>
      </c>
      <c r="M2691">
        <v>2025</v>
      </c>
      <c r="N2691" t="s">
        <v>44</v>
      </c>
      <c r="O2691" t="s">
        <v>244</v>
      </c>
      <c r="P2691">
        <v>2</v>
      </c>
      <c r="Q2691">
        <v>2</v>
      </c>
      <c r="R2691">
        <v>0</v>
      </c>
      <c r="T2691" t="s">
        <v>4560</v>
      </c>
      <c r="U2691">
        <v>30</v>
      </c>
    </row>
    <row r="2692" spans="1:21" x14ac:dyDescent="0.3">
      <c r="A2692" t="s">
        <v>4556</v>
      </c>
      <c r="B2692" t="s">
        <v>4557</v>
      </c>
      <c r="C2692" t="s">
        <v>663</v>
      </c>
      <c r="D2692" t="s">
        <v>222</v>
      </c>
      <c r="E2692" t="s">
        <v>30</v>
      </c>
      <c r="F2692" s="6">
        <v>46022</v>
      </c>
      <c r="G2692">
        <v>100</v>
      </c>
      <c r="H2692" t="s">
        <v>4561</v>
      </c>
      <c r="I2692">
        <v>1.3</v>
      </c>
      <c r="J2692">
        <v>1.3452999999999999</v>
      </c>
      <c r="K2692" t="s">
        <v>102</v>
      </c>
      <c r="L2692" t="s">
        <v>4562</v>
      </c>
      <c r="M2692">
        <v>2025</v>
      </c>
      <c r="N2692" t="s">
        <v>57</v>
      </c>
      <c r="O2692" t="s">
        <v>103</v>
      </c>
      <c r="P2692">
        <v>2</v>
      </c>
      <c r="Q2692">
        <v>2</v>
      </c>
      <c r="R2692">
        <v>0</v>
      </c>
      <c r="T2692" t="s">
        <v>4563</v>
      </c>
      <c r="U2692">
        <v>31</v>
      </c>
    </row>
    <row r="2693" spans="1:21" x14ac:dyDescent="0.3">
      <c r="A2693" t="s">
        <v>4564</v>
      </c>
      <c r="B2693" t="s">
        <v>4565</v>
      </c>
      <c r="C2693" t="s">
        <v>663</v>
      </c>
      <c r="D2693" t="s">
        <v>222</v>
      </c>
      <c r="E2693" t="s">
        <v>30</v>
      </c>
      <c r="F2693" s="6">
        <v>45838</v>
      </c>
      <c r="G2693">
        <v>100</v>
      </c>
      <c r="H2693" t="s">
        <v>4566</v>
      </c>
      <c r="I2693">
        <v>1.3</v>
      </c>
      <c r="J2693">
        <v>1.3267</v>
      </c>
      <c r="K2693" t="s">
        <v>102</v>
      </c>
      <c r="L2693" t="s">
        <v>4567</v>
      </c>
      <c r="M2693">
        <v>2025</v>
      </c>
      <c r="N2693" t="s">
        <v>44</v>
      </c>
      <c r="O2693" t="s">
        <v>244</v>
      </c>
      <c r="P2693">
        <v>2</v>
      </c>
      <c r="Q2693">
        <v>2</v>
      </c>
      <c r="R2693">
        <v>0</v>
      </c>
      <c r="T2693" t="s">
        <v>4568</v>
      </c>
      <c r="U2693">
        <v>30</v>
      </c>
    </row>
    <row r="2694" spans="1:21" x14ac:dyDescent="0.3">
      <c r="A2694" t="s">
        <v>4564</v>
      </c>
      <c r="B2694" t="s">
        <v>4565</v>
      </c>
      <c r="C2694" t="s">
        <v>663</v>
      </c>
      <c r="D2694" t="s">
        <v>222</v>
      </c>
      <c r="E2694" t="s">
        <v>30</v>
      </c>
      <c r="F2694" s="6">
        <v>46022</v>
      </c>
      <c r="G2694">
        <v>100</v>
      </c>
      <c r="H2694" t="s">
        <v>4569</v>
      </c>
      <c r="I2694">
        <v>1.3</v>
      </c>
      <c r="J2694">
        <v>2.0962999999999998</v>
      </c>
      <c r="K2694" t="s">
        <v>102</v>
      </c>
      <c r="L2694" t="s">
        <v>4570</v>
      </c>
      <c r="M2694">
        <v>2025</v>
      </c>
      <c r="N2694" t="s">
        <v>57</v>
      </c>
      <c r="O2694" t="s">
        <v>103</v>
      </c>
      <c r="P2694">
        <v>2</v>
      </c>
      <c r="Q2694">
        <v>2</v>
      </c>
      <c r="R2694">
        <v>0</v>
      </c>
      <c r="T2694" t="s">
        <v>4571</v>
      </c>
      <c r="U2694">
        <v>31</v>
      </c>
    </row>
    <row r="2695" spans="1:21" x14ac:dyDescent="0.3">
      <c r="A2695" t="s">
        <v>4572</v>
      </c>
      <c r="B2695" t="s">
        <v>4573</v>
      </c>
      <c r="C2695" t="s">
        <v>663</v>
      </c>
      <c r="D2695" t="s">
        <v>222</v>
      </c>
      <c r="E2695" t="s">
        <v>30</v>
      </c>
      <c r="F2695" s="6">
        <v>45838</v>
      </c>
      <c r="G2695">
        <v>100</v>
      </c>
      <c r="H2695" t="s">
        <v>4574</v>
      </c>
      <c r="I2695">
        <v>1.0932999999999999</v>
      </c>
      <c r="J2695">
        <v>1.0932999999999999</v>
      </c>
      <c r="K2695" t="s">
        <v>102</v>
      </c>
      <c r="L2695" t="s">
        <v>4575</v>
      </c>
      <c r="M2695">
        <v>2025</v>
      </c>
      <c r="N2695" t="s">
        <v>44</v>
      </c>
      <c r="O2695" t="s">
        <v>244</v>
      </c>
      <c r="P2695">
        <v>2</v>
      </c>
      <c r="Q2695">
        <v>2</v>
      </c>
      <c r="R2695">
        <v>0</v>
      </c>
      <c r="T2695" t="s">
        <v>4576</v>
      </c>
      <c r="U2695">
        <v>30</v>
      </c>
    </row>
    <row r="2696" spans="1:21" x14ac:dyDescent="0.3">
      <c r="A2696" t="s">
        <v>4572</v>
      </c>
      <c r="B2696" t="s">
        <v>4573</v>
      </c>
      <c r="C2696" t="s">
        <v>663</v>
      </c>
      <c r="D2696" t="s">
        <v>222</v>
      </c>
      <c r="E2696" t="s">
        <v>30</v>
      </c>
      <c r="F2696" s="6">
        <v>46022</v>
      </c>
      <c r="G2696">
        <v>100</v>
      </c>
      <c r="H2696" t="s">
        <v>4577</v>
      </c>
      <c r="I2696">
        <v>1.3</v>
      </c>
      <c r="J2696">
        <v>2.6074999999999999</v>
      </c>
      <c r="K2696" t="s">
        <v>102</v>
      </c>
      <c r="L2696" t="s">
        <v>4578</v>
      </c>
      <c r="M2696">
        <v>2025</v>
      </c>
      <c r="N2696" t="s">
        <v>57</v>
      </c>
      <c r="O2696" t="s">
        <v>103</v>
      </c>
      <c r="P2696">
        <v>2</v>
      </c>
      <c r="Q2696">
        <v>2</v>
      </c>
      <c r="R2696">
        <v>0</v>
      </c>
      <c r="T2696" t="s">
        <v>4579</v>
      </c>
      <c r="U2696">
        <v>31</v>
      </c>
    </row>
    <row r="2697" spans="1:21" x14ac:dyDescent="0.3">
      <c r="A2697" t="s">
        <v>4580</v>
      </c>
      <c r="B2697" t="s">
        <v>4581</v>
      </c>
      <c r="C2697" t="s">
        <v>717</v>
      </c>
      <c r="D2697" t="s">
        <v>222</v>
      </c>
      <c r="E2697" t="s">
        <v>30</v>
      </c>
      <c r="F2697" s="6">
        <v>45838</v>
      </c>
      <c r="G2697">
        <v>93</v>
      </c>
      <c r="H2697" t="s">
        <v>4582</v>
      </c>
      <c r="I2697">
        <v>0.6333333333333333</v>
      </c>
      <c r="J2697">
        <v>0.6333333333333333</v>
      </c>
      <c r="K2697" t="s">
        <v>971</v>
      </c>
      <c r="L2697" t="s">
        <v>4583</v>
      </c>
      <c r="M2697">
        <v>2025</v>
      </c>
      <c r="N2697" t="s">
        <v>44</v>
      </c>
      <c r="O2697" t="s">
        <v>244</v>
      </c>
      <c r="P2697">
        <v>2</v>
      </c>
      <c r="Q2697">
        <v>2</v>
      </c>
      <c r="R2697">
        <v>0</v>
      </c>
      <c r="S2697" t="s">
        <v>130</v>
      </c>
      <c r="T2697" t="s">
        <v>4584</v>
      </c>
      <c r="U2697">
        <v>30</v>
      </c>
    </row>
    <row r="2698" spans="1:21" x14ac:dyDescent="0.3">
      <c r="A2698" t="s">
        <v>4580</v>
      </c>
      <c r="B2698" t="s">
        <v>4581</v>
      </c>
      <c r="C2698" t="s">
        <v>717</v>
      </c>
      <c r="D2698" t="s">
        <v>222</v>
      </c>
      <c r="E2698" t="s">
        <v>30</v>
      </c>
      <c r="F2698" s="6">
        <v>46022</v>
      </c>
      <c r="G2698">
        <v>94</v>
      </c>
      <c r="H2698" t="s">
        <v>4585</v>
      </c>
      <c r="I2698">
        <v>0.68404255319148932</v>
      </c>
      <c r="J2698">
        <v>0.68404255319148932</v>
      </c>
      <c r="K2698" t="s">
        <v>194</v>
      </c>
      <c r="L2698" t="s">
        <v>4586</v>
      </c>
      <c r="M2698">
        <v>2025</v>
      </c>
      <c r="N2698" t="s">
        <v>57</v>
      </c>
      <c r="O2698" t="s">
        <v>103</v>
      </c>
      <c r="P2698">
        <v>2</v>
      </c>
      <c r="Q2698">
        <v>2</v>
      </c>
      <c r="R2698">
        <v>0</v>
      </c>
      <c r="S2698" t="s">
        <v>130</v>
      </c>
      <c r="T2698" t="s">
        <v>4587</v>
      </c>
      <c r="U2698">
        <v>31</v>
      </c>
    </row>
    <row r="2699" spans="1:21" x14ac:dyDescent="0.3">
      <c r="A2699" t="s">
        <v>4588</v>
      </c>
      <c r="B2699" t="s">
        <v>4589</v>
      </c>
      <c r="C2699" t="s">
        <v>150</v>
      </c>
      <c r="D2699" t="s">
        <v>222</v>
      </c>
      <c r="E2699" t="s">
        <v>30</v>
      </c>
      <c r="F2699" s="6">
        <v>46022</v>
      </c>
      <c r="G2699">
        <v>90</v>
      </c>
      <c r="H2699" t="s">
        <v>95</v>
      </c>
      <c r="I2699">
        <v>1.1111111111111109</v>
      </c>
      <c r="J2699">
        <v>1.1111111111111109</v>
      </c>
      <c r="K2699" t="s">
        <v>256</v>
      </c>
      <c r="L2699" t="s">
        <v>102</v>
      </c>
      <c r="M2699">
        <v>2025</v>
      </c>
      <c r="N2699" t="s">
        <v>57</v>
      </c>
      <c r="O2699" t="s">
        <v>103</v>
      </c>
      <c r="P2699">
        <v>2</v>
      </c>
      <c r="Q2699">
        <v>2</v>
      </c>
      <c r="R2699">
        <v>0</v>
      </c>
      <c r="T2699" t="s">
        <v>4590</v>
      </c>
      <c r="U2699">
        <v>31</v>
      </c>
    </row>
    <row r="2700" spans="1:21" x14ac:dyDescent="0.3">
      <c r="A2700" t="s">
        <v>4591</v>
      </c>
      <c r="B2700" t="s">
        <v>4592</v>
      </c>
      <c r="C2700" t="s">
        <v>150</v>
      </c>
      <c r="D2700" t="s">
        <v>222</v>
      </c>
      <c r="E2700" t="s">
        <v>108</v>
      </c>
      <c r="F2700" s="6">
        <v>46022</v>
      </c>
      <c r="G2700">
        <v>2.5</v>
      </c>
      <c r="H2700" t="s">
        <v>4593</v>
      </c>
      <c r="I2700">
        <v>1</v>
      </c>
      <c r="J2700">
        <v>1</v>
      </c>
      <c r="K2700" t="s">
        <v>4064</v>
      </c>
      <c r="L2700" t="s">
        <v>4064</v>
      </c>
      <c r="M2700">
        <v>2025</v>
      </c>
      <c r="N2700" t="s">
        <v>57</v>
      </c>
      <c r="O2700" t="s">
        <v>103</v>
      </c>
      <c r="P2700">
        <v>2</v>
      </c>
      <c r="Q2700">
        <v>2</v>
      </c>
      <c r="R2700">
        <v>0</v>
      </c>
      <c r="T2700" t="s">
        <v>4594</v>
      </c>
      <c r="U2700">
        <v>31</v>
      </c>
    </row>
    <row r="2701" spans="1:21" x14ac:dyDescent="0.3">
      <c r="A2701" t="s">
        <v>4595</v>
      </c>
      <c r="B2701" t="s">
        <v>4596</v>
      </c>
      <c r="C2701" t="s">
        <v>2619</v>
      </c>
      <c r="D2701" t="s">
        <v>222</v>
      </c>
      <c r="E2701" t="s">
        <v>30</v>
      </c>
      <c r="F2701" s="6">
        <v>45838</v>
      </c>
      <c r="G2701">
        <v>97</v>
      </c>
      <c r="H2701" t="s">
        <v>4597</v>
      </c>
      <c r="I2701">
        <v>1.00340206185567</v>
      </c>
      <c r="J2701">
        <v>1.00340206185567</v>
      </c>
      <c r="K2701" t="s">
        <v>1005</v>
      </c>
      <c r="L2701" t="s">
        <v>4598</v>
      </c>
      <c r="M2701">
        <v>2025</v>
      </c>
      <c r="N2701" t="s">
        <v>44</v>
      </c>
      <c r="O2701" t="s">
        <v>244</v>
      </c>
      <c r="P2701">
        <v>2</v>
      </c>
      <c r="Q2701">
        <v>2</v>
      </c>
      <c r="R2701">
        <v>0</v>
      </c>
      <c r="T2701" t="s">
        <v>4599</v>
      </c>
      <c r="U2701">
        <v>30</v>
      </c>
    </row>
    <row r="2702" spans="1:21" x14ac:dyDescent="0.3">
      <c r="A2702" t="s">
        <v>4595</v>
      </c>
      <c r="B2702" t="s">
        <v>4596</v>
      </c>
      <c r="C2702" t="s">
        <v>2619</v>
      </c>
      <c r="D2702" t="s">
        <v>222</v>
      </c>
      <c r="E2702" t="s">
        <v>30</v>
      </c>
      <c r="F2702" s="6">
        <v>46022</v>
      </c>
      <c r="G2702">
        <v>97</v>
      </c>
      <c r="H2702" t="s">
        <v>4600</v>
      </c>
      <c r="I2702">
        <v>1.0092783505154641</v>
      </c>
      <c r="J2702">
        <v>1.0092783505154641</v>
      </c>
      <c r="K2702" t="s">
        <v>1005</v>
      </c>
      <c r="L2702" t="s">
        <v>4601</v>
      </c>
      <c r="M2702">
        <v>2025</v>
      </c>
      <c r="N2702" t="s">
        <v>57</v>
      </c>
      <c r="O2702" t="s">
        <v>103</v>
      </c>
      <c r="P2702">
        <v>2</v>
      </c>
      <c r="Q2702">
        <v>2</v>
      </c>
      <c r="R2702">
        <v>0</v>
      </c>
      <c r="T2702" t="s">
        <v>4602</v>
      </c>
      <c r="U2702">
        <v>31</v>
      </c>
    </row>
    <row r="2703" spans="1:21" x14ac:dyDescent="0.3">
      <c r="A2703" t="s">
        <v>4603</v>
      </c>
      <c r="B2703" t="s">
        <v>4604</v>
      </c>
      <c r="C2703" t="s">
        <v>2437</v>
      </c>
      <c r="D2703" t="s">
        <v>98</v>
      </c>
      <c r="E2703" t="s">
        <v>30</v>
      </c>
      <c r="F2703" s="6">
        <v>46022</v>
      </c>
      <c r="G2703">
        <v>4</v>
      </c>
      <c r="H2703" t="s">
        <v>4605</v>
      </c>
      <c r="I2703">
        <v>1.3</v>
      </c>
      <c r="J2703">
        <v>1.7475000000000001</v>
      </c>
      <c r="K2703" t="s">
        <v>778</v>
      </c>
      <c r="L2703" t="s">
        <v>4606</v>
      </c>
      <c r="M2703">
        <v>2025</v>
      </c>
      <c r="N2703" t="s">
        <v>57</v>
      </c>
      <c r="O2703" t="s">
        <v>103</v>
      </c>
      <c r="P2703">
        <v>2</v>
      </c>
      <c r="Q2703">
        <v>2</v>
      </c>
      <c r="R2703">
        <v>0</v>
      </c>
      <c r="T2703" t="s">
        <v>4607</v>
      </c>
      <c r="U2703">
        <v>31</v>
      </c>
    </row>
    <row r="2704" spans="1:21" x14ac:dyDescent="0.3">
      <c r="A2704" t="s">
        <v>4608</v>
      </c>
      <c r="B2704" t="s">
        <v>4609</v>
      </c>
      <c r="C2704" t="s">
        <v>2437</v>
      </c>
      <c r="D2704" t="s">
        <v>98</v>
      </c>
      <c r="E2704" t="s">
        <v>30</v>
      </c>
      <c r="F2704" s="6">
        <v>46022</v>
      </c>
      <c r="H2704" t="s">
        <v>4610</v>
      </c>
      <c r="I2704">
        <v>0</v>
      </c>
      <c r="J2704">
        <v>0</v>
      </c>
      <c r="L2704" t="s">
        <v>4611</v>
      </c>
      <c r="M2704">
        <v>2025</v>
      </c>
      <c r="N2704" t="s">
        <v>57</v>
      </c>
      <c r="O2704" t="s">
        <v>103</v>
      </c>
      <c r="P2704">
        <v>2</v>
      </c>
      <c r="Q2704">
        <v>2</v>
      </c>
      <c r="R2704">
        <v>0</v>
      </c>
      <c r="T2704" t="s">
        <v>4612</v>
      </c>
      <c r="U2704">
        <v>31</v>
      </c>
    </row>
    <row r="2705" spans="1:21" x14ac:dyDescent="0.3">
      <c r="A2705" t="s">
        <v>4613</v>
      </c>
      <c r="B2705" t="s">
        <v>4614</v>
      </c>
      <c r="C2705" t="s">
        <v>842</v>
      </c>
      <c r="D2705" t="s">
        <v>222</v>
      </c>
      <c r="E2705" t="s">
        <v>30</v>
      </c>
      <c r="F2705" s="6">
        <v>45838</v>
      </c>
      <c r="H2705" t="s">
        <v>4615</v>
      </c>
      <c r="I2705">
        <v>0</v>
      </c>
      <c r="J2705">
        <v>0</v>
      </c>
      <c r="L2705" t="s">
        <v>4616</v>
      </c>
      <c r="M2705">
        <v>2025</v>
      </c>
      <c r="N2705" t="s">
        <v>44</v>
      </c>
      <c r="O2705" t="s">
        <v>244</v>
      </c>
      <c r="P2705">
        <v>2</v>
      </c>
      <c r="Q2705">
        <v>2</v>
      </c>
      <c r="R2705">
        <v>0</v>
      </c>
      <c r="T2705" t="s">
        <v>4617</v>
      </c>
      <c r="U2705">
        <v>30</v>
      </c>
    </row>
    <row r="2706" spans="1:21" x14ac:dyDescent="0.3">
      <c r="A2706" t="s">
        <v>4618</v>
      </c>
      <c r="B2706" t="s">
        <v>4619</v>
      </c>
      <c r="C2706" t="s">
        <v>3197</v>
      </c>
      <c r="D2706" t="s">
        <v>222</v>
      </c>
      <c r="E2706" t="s">
        <v>30</v>
      </c>
      <c r="F2706" s="6">
        <v>45838</v>
      </c>
      <c r="G2706">
        <v>100</v>
      </c>
      <c r="H2706" t="s">
        <v>4620</v>
      </c>
      <c r="I2706">
        <v>1.3</v>
      </c>
      <c r="J2706">
        <v>2.5</v>
      </c>
      <c r="K2706" t="s">
        <v>102</v>
      </c>
      <c r="L2706" t="s">
        <v>4621</v>
      </c>
      <c r="M2706">
        <v>2025</v>
      </c>
      <c r="N2706" t="s">
        <v>44</v>
      </c>
      <c r="O2706" t="s">
        <v>244</v>
      </c>
      <c r="P2706">
        <v>2</v>
      </c>
      <c r="Q2706">
        <v>2</v>
      </c>
      <c r="R2706">
        <v>0</v>
      </c>
      <c r="T2706" t="s">
        <v>4622</v>
      </c>
      <c r="U2706">
        <v>30</v>
      </c>
    </row>
    <row r="2707" spans="1:21" x14ac:dyDescent="0.3">
      <c r="A2707" t="s">
        <v>4618</v>
      </c>
      <c r="B2707" t="s">
        <v>4619</v>
      </c>
      <c r="C2707" t="s">
        <v>3197</v>
      </c>
      <c r="D2707" t="s">
        <v>222</v>
      </c>
      <c r="E2707" t="s">
        <v>30</v>
      </c>
      <c r="F2707" s="6">
        <v>46022</v>
      </c>
      <c r="G2707">
        <v>100</v>
      </c>
      <c r="H2707" t="s">
        <v>4623</v>
      </c>
      <c r="I2707">
        <v>1.3</v>
      </c>
      <c r="J2707">
        <v>1.625</v>
      </c>
      <c r="K2707" t="s">
        <v>102</v>
      </c>
      <c r="L2707" t="s">
        <v>4624</v>
      </c>
      <c r="M2707">
        <v>2025</v>
      </c>
      <c r="N2707" t="s">
        <v>57</v>
      </c>
      <c r="O2707" t="s">
        <v>103</v>
      </c>
      <c r="P2707">
        <v>2</v>
      </c>
      <c r="Q2707">
        <v>2</v>
      </c>
      <c r="R2707">
        <v>0</v>
      </c>
      <c r="T2707" t="s">
        <v>4625</v>
      </c>
      <c r="U2707">
        <v>31</v>
      </c>
    </row>
    <row r="2708" spans="1:21" x14ac:dyDescent="0.3">
      <c r="A2708" t="s">
        <v>4626</v>
      </c>
      <c r="B2708" t="s">
        <v>4627</v>
      </c>
      <c r="C2708" t="s">
        <v>2437</v>
      </c>
      <c r="D2708" t="s">
        <v>98</v>
      </c>
      <c r="E2708" t="s">
        <v>30</v>
      </c>
      <c r="F2708" s="6">
        <v>46022</v>
      </c>
      <c r="G2708">
        <v>100</v>
      </c>
      <c r="H2708" t="s">
        <v>4628</v>
      </c>
      <c r="I2708">
        <v>0.37790000000000001</v>
      </c>
      <c r="J2708">
        <v>0.37790000000000001</v>
      </c>
      <c r="K2708" t="s">
        <v>102</v>
      </c>
      <c r="L2708" t="s">
        <v>4629</v>
      </c>
      <c r="M2708">
        <v>2025</v>
      </c>
      <c r="N2708" t="s">
        <v>57</v>
      </c>
      <c r="O2708" t="s">
        <v>103</v>
      </c>
      <c r="P2708">
        <v>2</v>
      </c>
      <c r="Q2708">
        <v>2</v>
      </c>
      <c r="R2708">
        <v>0</v>
      </c>
      <c r="T2708" t="s">
        <v>4630</v>
      </c>
      <c r="U2708">
        <v>31</v>
      </c>
    </row>
    <row r="2709" spans="1:21" x14ac:dyDescent="0.3">
      <c r="A2709" t="s">
        <v>4631</v>
      </c>
      <c r="B2709" t="s">
        <v>4632</v>
      </c>
      <c r="C2709" t="s">
        <v>2437</v>
      </c>
      <c r="D2709" t="s">
        <v>98</v>
      </c>
      <c r="E2709" t="s">
        <v>30</v>
      </c>
      <c r="F2709" s="6">
        <v>46022</v>
      </c>
      <c r="H2709" t="s">
        <v>4633</v>
      </c>
      <c r="I2709">
        <v>0</v>
      </c>
      <c r="J2709">
        <v>0</v>
      </c>
      <c r="L2709" t="s">
        <v>4634</v>
      </c>
      <c r="M2709">
        <v>2025</v>
      </c>
      <c r="N2709" t="s">
        <v>57</v>
      </c>
      <c r="O2709" t="s">
        <v>103</v>
      </c>
      <c r="P2709">
        <v>2</v>
      </c>
      <c r="Q2709">
        <v>2</v>
      </c>
      <c r="R2709">
        <v>0</v>
      </c>
      <c r="T2709" t="s">
        <v>4635</v>
      </c>
      <c r="U2709">
        <v>31</v>
      </c>
    </row>
    <row r="2710" spans="1:21" x14ac:dyDescent="0.3">
      <c r="A2710" t="s">
        <v>4636</v>
      </c>
      <c r="B2710" t="s">
        <v>4637</v>
      </c>
      <c r="C2710" t="s">
        <v>3143</v>
      </c>
      <c r="D2710" t="s">
        <v>222</v>
      </c>
      <c r="E2710" t="s">
        <v>30</v>
      </c>
      <c r="F2710" s="6">
        <v>45838</v>
      </c>
      <c r="G2710">
        <v>100</v>
      </c>
      <c r="H2710" t="s">
        <v>837</v>
      </c>
      <c r="I2710">
        <v>0.95</v>
      </c>
      <c r="J2710">
        <v>0.95</v>
      </c>
      <c r="K2710" t="s">
        <v>102</v>
      </c>
      <c r="L2710" t="s">
        <v>838</v>
      </c>
      <c r="M2710">
        <v>2025</v>
      </c>
      <c r="N2710" t="s">
        <v>44</v>
      </c>
      <c r="O2710" t="s">
        <v>244</v>
      </c>
      <c r="P2710">
        <v>2</v>
      </c>
      <c r="Q2710">
        <v>2</v>
      </c>
      <c r="R2710">
        <v>0</v>
      </c>
      <c r="T2710" t="s">
        <v>4638</v>
      </c>
      <c r="U2710">
        <v>30</v>
      </c>
    </row>
    <row r="2711" spans="1:21" x14ac:dyDescent="0.3">
      <c r="A2711" t="s">
        <v>4636</v>
      </c>
      <c r="B2711" t="s">
        <v>4637</v>
      </c>
      <c r="C2711" t="s">
        <v>3143</v>
      </c>
      <c r="D2711" t="s">
        <v>222</v>
      </c>
      <c r="E2711" t="s">
        <v>30</v>
      </c>
      <c r="F2711" s="6">
        <v>46022</v>
      </c>
      <c r="G2711">
        <v>100</v>
      </c>
      <c r="H2711" t="s">
        <v>4639</v>
      </c>
      <c r="I2711">
        <v>0.95499999999999996</v>
      </c>
      <c r="J2711">
        <v>0.95499999999999996</v>
      </c>
      <c r="K2711" t="s">
        <v>102</v>
      </c>
      <c r="L2711" t="s">
        <v>4640</v>
      </c>
      <c r="M2711">
        <v>2025</v>
      </c>
      <c r="N2711" t="s">
        <v>57</v>
      </c>
      <c r="O2711" t="s">
        <v>103</v>
      </c>
      <c r="P2711">
        <v>2</v>
      </c>
      <c r="Q2711">
        <v>2</v>
      </c>
      <c r="R2711">
        <v>0</v>
      </c>
      <c r="T2711" t="s">
        <v>4641</v>
      </c>
      <c r="U2711">
        <v>31</v>
      </c>
    </row>
    <row r="2712" spans="1:21" x14ac:dyDescent="0.3">
      <c r="A2712" t="s">
        <v>4642</v>
      </c>
      <c r="B2712" t="s">
        <v>4643</v>
      </c>
      <c r="C2712" t="s">
        <v>3143</v>
      </c>
      <c r="D2712" t="s">
        <v>222</v>
      </c>
      <c r="E2712" t="s">
        <v>30</v>
      </c>
      <c r="F2712" s="6">
        <v>45838</v>
      </c>
      <c r="G2712">
        <v>80</v>
      </c>
      <c r="H2712" t="s">
        <v>4358</v>
      </c>
      <c r="I2712">
        <v>6.25E-2</v>
      </c>
      <c r="J2712">
        <v>6.25E-2</v>
      </c>
      <c r="K2712" t="s">
        <v>193</v>
      </c>
      <c r="L2712" t="s">
        <v>823</v>
      </c>
      <c r="M2712">
        <v>2025</v>
      </c>
      <c r="N2712" t="s">
        <v>44</v>
      </c>
      <c r="O2712" t="s">
        <v>244</v>
      </c>
      <c r="P2712">
        <v>2</v>
      </c>
      <c r="Q2712">
        <v>2</v>
      </c>
      <c r="R2712">
        <v>0</v>
      </c>
      <c r="T2712" t="s">
        <v>4644</v>
      </c>
      <c r="U2712">
        <v>30</v>
      </c>
    </row>
    <row r="2713" spans="1:21" x14ac:dyDescent="0.3">
      <c r="A2713" t="s">
        <v>4642</v>
      </c>
      <c r="B2713" t="s">
        <v>4643</v>
      </c>
      <c r="C2713" t="s">
        <v>3143</v>
      </c>
      <c r="D2713" t="s">
        <v>222</v>
      </c>
      <c r="E2713" t="s">
        <v>30</v>
      </c>
      <c r="F2713" s="6">
        <v>46022</v>
      </c>
      <c r="G2713">
        <v>80</v>
      </c>
      <c r="H2713" t="s">
        <v>4358</v>
      </c>
      <c r="I2713">
        <v>6.25E-2</v>
      </c>
      <c r="J2713">
        <v>6.25E-2</v>
      </c>
      <c r="K2713" t="s">
        <v>193</v>
      </c>
      <c r="L2713" t="s">
        <v>823</v>
      </c>
      <c r="M2713">
        <v>2025</v>
      </c>
      <c r="N2713" t="s">
        <v>57</v>
      </c>
      <c r="O2713" t="s">
        <v>103</v>
      </c>
      <c r="P2713">
        <v>2</v>
      </c>
      <c r="Q2713">
        <v>2</v>
      </c>
      <c r="R2713">
        <v>0</v>
      </c>
      <c r="T2713" t="s">
        <v>4645</v>
      </c>
      <c r="U2713">
        <v>31</v>
      </c>
    </row>
    <row r="2714" spans="1:21" x14ac:dyDescent="0.3">
      <c r="A2714" t="s">
        <v>4646</v>
      </c>
      <c r="B2714" t="s">
        <v>4647</v>
      </c>
      <c r="C2714" t="s">
        <v>2678</v>
      </c>
      <c r="D2714" t="s">
        <v>222</v>
      </c>
      <c r="E2714" t="s">
        <v>30</v>
      </c>
      <c r="F2714" s="6">
        <v>45838</v>
      </c>
      <c r="G2714">
        <v>80</v>
      </c>
      <c r="H2714" t="s">
        <v>4633</v>
      </c>
      <c r="I2714">
        <v>1.1499999999999999</v>
      </c>
      <c r="J2714">
        <v>1.1499999999999999</v>
      </c>
      <c r="K2714" t="s">
        <v>193</v>
      </c>
      <c r="L2714" t="s">
        <v>4634</v>
      </c>
      <c r="M2714">
        <v>2025</v>
      </c>
      <c r="N2714" t="s">
        <v>44</v>
      </c>
      <c r="O2714" t="s">
        <v>244</v>
      </c>
      <c r="P2714">
        <v>2</v>
      </c>
      <c r="Q2714">
        <v>2</v>
      </c>
      <c r="R2714">
        <v>0</v>
      </c>
      <c r="T2714" t="s">
        <v>4648</v>
      </c>
      <c r="U2714">
        <v>30</v>
      </c>
    </row>
    <row r="2715" spans="1:21" x14ac:dyDescent="0.3">
      <c r="A2715" t="s">
        <v>4649</v>
      </c>
      <c r="B2715" t="s">
        <v>4650</v>
      </c>
      <c r="C2715" t="s">
        <v>2862</v>
      </c>
      <c r="D2715" t="s">
        <v>98</v>
      </c>
      <c r="E2715" t="s">
        <v>30</v>
      </c>
      <c r="F2715" s="6">
        <v>46022</v>
      </c>
      <c r="G2715">
        <v>80</v>
      </c>
      <c r="H2715" t="s">
        <v>4651</v>
      </c>
      <c r="I2715">
        <v>1.0375000000000001</v>
      </c>
      <c r="J2715">
        <v>1.0375000000000001</v>
      </c>
      <c r="K2715" t="s">
        <v>193</v>
      </c>
      <c r="L2715" t="s">
        <v>4652</v>
      </c>
      <c r="M2715">
        <v>2025</v>
      </c>
      <c r="N2715" t="s">
        <v>57</v>
      </c>
      <c r="O2715" t="s">
        <v>103</v>
      </c>
      <c r="P2715">
        <v>2</v>
      </c>
      <c r="Q2715">
        <v>2</v>
      </c>
      <c r="R2715">
        <v>0</v>
      </c>
      <c r="T2715" t="s">
        <v>4653</v>
      </c>
      <c r="U2715">
        <v>31</v>
      </c>
    </row>
    <row r="2716" spans="1:21" x14ac:dyDescent="0.3">
      <c r="A2716" t="s">
        <v>4654</v>
      </c>
      <c r="B2716" t="s">
        <v>4655</v>
      </c>
      <c r="C2716" t="s">
        <v>730</v>
      </c>
      <c r="D2716" t="s">
        <v>222</v>
      </c>
      <c r="E2716" t="s">
        <v>30</v>
      </c>
      <c r="F2716" s="6">
        <v>46022</v>
      </c>
      <c r="G2716">
        <v>80</v>
      </c>
      <c r="H2716" t="s">
        <v>837</v>
      </c>
      <c r="I2716">
        <v>1.1875</v>
      </c>
      <c r="J2716">
        <v>1.1875</v>
      </c>
      <c r="K2716" t="s">
        <v>193</v>
      </c>
      <c r="L2716" t="s">
        <v>838</v>
      </c>
      <c r="M2716">
        <v>2025</v>
      </c>
      <c r="N2716" t="s">
        <v>57</v>
      </c>
      <c r="O2716" t="s">
        <v>103</v>
      </c>
      <c r="P2716">
        <v>2</v>
      </c>
      <c r="Q2716">
        <v>2</v>
      </c>
      <c r="R2716">
        <v>0</v>
      </c>
      <c r="T2716" t="s">
        <v>4656</v>
      </c>
      <c r="U2716">
        <v>31</v>
      </c>
    </row>
    <row r="2717" spans="1:21" x14ac:dyDescent="0.3">
      <c r="A2717" t="s">
        <v>4657</v>
      </c>
      <c r="B2717" t="s">
        <v>4658</v>
      </c>
      <c r="C2717" t="s">
        <v>262</v>
      </c>
      <c r="D2717" t="s">
        <v>98</v>
      </c>
      <c r="E2717" t="s">
        <v>30</v>
      </c>
      <c r="F2717" s="6">
        <v>46022</v>
      </c>
      <c r="G2717">
        <v>70</v>
      </c>
      <c r="H2717" t="s">
        <v>4659</v>
      </c>
      <c r="I2717">
        <v>1.3</v>
      </c>
      <c r="J2717">
        <v>1.625</v>
      </c>
      <c r="K2717" t="s">
        <v>3922</v>
      </c>
      <c r="L2717" t="s">
        <v>4660</v>
      </c>
      <c r="M2717">
        <v>2025</v>
      </c>
      <c r="N2717" t="s">
        <v>57</v>
      </c>
      <c r="O2717" t="s">
        <v>103</v>
      </c>
      <c r="P2717">
        <v>2</v>
      </c>
      <c r="Q2717">
        <v>2</v>
      </c>
      <c r="R2717">
        <v>0</v>
      </c>
      <c r="T2717" t="s">
        <v>4661</v>
      </c>
      <c r="U2717">
        <v>31</v>
      </c>
    </row>
    <row r="2718" spans="1:21" x14ac:dyDescent="0.3">
      <c r="A2718" t="s">
        <v>4662</v>
      </c>
      <c r="B2718" t="s">
        <v>4663</v>
      </c>
      <c r="C2718" t="s">
        <v>266</v>
      </c>
      <c r="D2718" t="s">
        <v>29</v>
      </c>
      <c r="E2718" t="s">
        <v>30</v>
      </c>
      <c r="F2718" s="6">
        <v>45046</v>
      </c>
      <c r="G2718">
        <v>5</v>
      </c>
      <c r="H2718">
        <v>4</v>
      </c>
      <c r="I2718">
        <v>0.8</v>
      </c>
      <c r="J2718">
        <v>0.8</v>
      </c>
      <c r="K2718" t="s">
        <v>31</v>
      </c>
      <c r="L2718" t="s">
        <v>31</v>
      </c>
      <c r="M2718">
        <v>2023</v>
      </c>
      <c r="N2718" t="s">
        <v>40</v>
      </c>
      <c r="O2718" t="s">
        <v>33</v>
      </c>
      <c r="P2718">
        <v>0</v>
      </c>
      <c r="Q2718">
        <v>0</v>
      </c>
      <c r="R2718">
        <v>1</v>
      </c>
      <c r="S2718" t="s">
        <v>99</v>
      </c>
      <c r="T2718" t="s">
        <v>4664</v>
      </c>
      <c r="U2718">
        <v>1</v>
      </c>
    </row>
    <row r="2719" spans="1:21" x14ac:dyDescent="0.3">
      <c r="A2719" t="s">
        <v>4662</v>
      </c>
      <c r="B2719" t="s">
        <v>4663</v>
      </c>
      <c r="C2719" t="s">
        <v>266</v>
      </c>
      <c r="D2719" t="s">
        <v>29</v>
      </c>
      <c r="E2719" t="s">
        <v>30</v>
      </c>
      <c r="F2719" s="6">
        <v>45077</v>
      </c>
      <c r="G2719">
        <v>9</v>
      </c>
      <c r="H2719">
        <v>5</v>
      </c>
      <c r="I2719">
        <v>0.55555555555555558</v>
      </c>
      <c r="J2719">
        <v>0.55555555555555558</v>
      </c>
      <c r="K2719" t="s">
        <v>31</v>
      </c>
      <c r="L2719" t="s">
        <v>31</v>
      </c>
      <c r="M2719">
        <v>2023</v>
      </c>
      <c r="N2719" t="s">
        <v>42</v>
      </c>
      <c r="O2719" t="s">
        <v>33</v>
      </c>
      <c r="P2719">
        <v>0</v>
      </c>
      <c r="Q2719">
        <v>0</v>
      </c>
      <c r="R2719">
        <v>1</v>
      </c>
      <c r="S2719" t="s">
        <v>99</v>
      </c>
      <c r="T2719" t="s">
        <v>4665</v>
      </c>
      <c r="U2719">
        <v>1</v>
      </c>
    </row>
    <row r="2720" spans="1:21" x14ac:dyDescent="0.3">
      <c r="A2720" t="s">
        <v>4662</v>
      </c>
      <c r="B2720" t="s">
        <v>4663</v>
      </c>
      <c r="C2720" t="s">
        <v>266</v>
      </c>
      <c r="D2720" t="s">
        <v>29</v>
      </c>
      <c r="E2720" t="s">
        <v>30</v>
      </c>
      <c r="F2720" s="6">
        <v>45107</v>
      </c>
      <c r="G2720">
        <v>20</v>
      </c>
      <c r="H2720">
        <v>11</v>
      </c>
      <c r="I2720">
        <v>0.55000000000000004</v>
      </c>
      <c r="J2720">
        <v>0.55000000000000004</v>
      </c>
      <c r="K2720" t="s">
        <v>31</v>
      </c>
      <c r="L2720" t="s">
        <v>31</v>
      </c>
      <c r="M2720">
        <v>2023</v>
      </c>
      <c r="N2720" t="s">
        <v>44</v>
      </c>
      <c r="O2720" t="s">
        <v>33</v>
      </c>
      <c r="P2720">
        <v>0</v>
      </c>
      <c r="Q2720">
        <v>0</v>
      </c>
      <c r="R2720">
        <v>1</v>
      </c>
      <c r="S2720" t="s">
        <v>99</v>
      </c>
      <c r="T2720" t="s">
        <v>4666</v>
      </c>
      <c r="U2720">
        <v>1</v>
      </c>
    </row>
    <row r="2721" spans="1:21" x14ac:dyDescent="0.3">
      <c r="A2721" t="s">
        <v>4662</v>
      </c>
      <c r="B2721" t="s">
        <v>4663</v>
      </c>
      <c r="C2721" t="s">
        <v>266</v>
      </c>
      <c r="D2721" t="s">
        <v>29</v>
      </c>
      <c r="E2721" t="s">
        <v>30</v>
      </c>
      <c r="F2721" s="6">
        <v>45138</v>
      </c>
      <c r="G2721">
        <v>23</v>
      </c>
      <c r="H2721">
        <v>22</v>
      </c>
      <c r="I2721">
        <v>0.95652173913043481</v>
      </c>
      <c r="J2721">
        <v>0.95652173913043481</v>
      </c>
      <c r="K2721" t="s">
        <v>31</v>
      </c>
      <c r="L2721" t="s">
        <v>31</v>
      </c>
      <c r="M2721">
        <v>2023</v>
      </c>
      <c r="N2721" t="s">
        <v>46</v>
      </c>
      <c r="O2721" t="s">
        <v>47</v>
      </c>
      <c r="P2721">
        <v>0</v>
      </c>
      <c r="Q2721">
        <v>0</v>
      </c>
      <c r="R2721">
        <v>1</v>
      </c>
      <c r="S2721" t="s">
        <v>99</v>
      </c>
      <c r="T2721" t="s">
        <v>4667</v>
      </c>
      <c r="U2721">
        <v>1</v>
      </c>
    </row>
    <row r="2722" spans="1:21" x14ac:dyDescent="0.3">
      <c r="A2722" t="s">
        <v>4662</v>
      </c>
      <c r="B2722" t="s">
        <v>4663</v>
      </c>
      <c r="C2722" t="s">
        <v>266</v>
      </c>
      <c r="D2722" t="s">
        <v>29</v>
      </c>
      <c r="E2722" t="s">
        <v>30</v>
      </c>
      <c r="F2722" s="6">
        <v>45169</v>
      </c>
      <c r="G2722">
        <v>47</v>
      </c>
      <c r="H2722">
        <v>42</v>
      </c>
      <c r="I2722">
        <v>0.8936170212765957</v>
      </c>
      <c r="J2722">
        <v>0.8936170212765957</v>
      </c>
      <c r="K2722" t="s">
        <v>31</v>
      </c>
      <c r="L2722" t="s">
        <v>31</v>
      </c>
      <c r="M2722">
        <v>2023</v>
      </c>
      <c r="N2722" t="s">
        <v>49</v>
      </c>
      <c r="O2722" t="s">
        <v>47</v>
      </c>
      <c r="P2722">
        <v>0</v>
      </c>
      <c r="Q2722">
        <v>0</v>
      </c>
      <c r="R2722">
        <v>1</v>
      </c>
      <c r="S2722" t="s">
        <v>99</v>
      </c>
      <c r="T2722" t="s">
        <v>4668</v>
      </c>
      <c r="U2722">
        <v>1</v>
      </c>
    </row>
    <row r="2723" spans="1:21" x14ac:dyDescent="0.3">
      <c r="A2723" t="s">
        <v>4662</v>
      </c>
      <c r="B2723" t="s">
        <v>4663</v>
      </c>
      <c r="C2723" t="s">
        <v>266</v>
      </c>
      <c r="D2723" t="s">
        <v>29</v>
      </c>
      <c r="E2723" t="s">
        <v>30</v>
      </c>
      <c r="F2723" s="6">
        <v>45199</v>
      </c>
      <c r="G2723">
        <v>60</v>
      </c>
      <c r="H2723">
        <v>60</v>
      </c>
      <c r="I2723">
        <v>1</v>
      </c>
      <c r="J2723">
        <v>1</v>
      </c>
      <c r="K2723" t="s">
        <v>31</v>
      </c>
      <c r="L2723" t="s">
        <v>31</v>
      </c>
      <c r="M2723">
        <v>2023</v>
      </c>
      <c r="N2723" t="s">
        <v>51</v>
      </c>
      <c r="O2723" t="s">
        <v>47</v>
      </c>
      <c r="P2723">
        <v>0</v>
      </c>
      <c r="Q2723">
        <v>0</v>
      </c>
      <c r="R2723">
        <v>1</v>
      </c>
      <c r="S2723" t="s">
        <v>99</v>
      </c>
      <c r="T2723" t="s">
        <v>4669</v>
      </c>
      <c r="U2723">
        <v>1</v>
      </c>
    </row>
    <row r="2724" spans="1:21" x14ac:dyDescent="0.3">
      <c r="A2724" t="s">
        <v>4662</v>
      </c>
      <c r="B2724" t="s">
        <v>4663</v>
      </c>
      <c r="C2724" t="s">
        <v>266</v>
      </c>
      <c r="D2724" t="s">
        <v>29</v>
      </c>
      <c r="E2724" t="s">
        <v>30</v>
      </c>
      <c r="F2724" s="6">
        <v>45230</v>
      </c>
      <c r="G2724">
        <v>81</v>
      </c>
      <c r="H2724">
        <v>81</v>
      </c>
      <c r="I2724">
        <v>1</v>
      </c>
      <c r="J2724">
        <v>1</v>
      </c>
      <c r="K2724" t="s">
        <v>31</v>
      </c>
      <c r="L2724" t="s">
        <v>31</v>
      </c>
      <c r="M2724">
        <v>2023</v>
      </c>
      <c r="N2724" t="s">
        <v>53</v>
      </c>
      <c r="O2724" t="s">
        <v>47</v>
      </c>
      <c r="P2724">
        <v>0</v>
      </c>
      <c r="Q2724">
        <v>0</v>
      </c>
      <c r="R2724">
        <v>1</v>
      </c>
      <c r="S2724" t="s">
        <v>99</v>
      </c>
      <c r="T2724" t="s">
        <v>4670</v>
      </c>
      <c r="U2724">
        <v>1</v>
      </c>
    </row>
    <row r="2725" spans="1:21" x14ac:dyDescent="0.3">
      <c r="A2725" t="s">
        <v>4662</v>
      </c>
      <c r="B2725" t="s">
        <v>4663</v>
      </c>
      <c r="C2725" t="s">
        <v>266</v>
      </c>
      <c r="D2725" t="s">
        <v>29</v>
      </c>
      <c r="E2725" t="s">
        <v>30</v>
      </c>
      <c r="F2725" s="6">
        <v>45260</v>
      </c>
      <c r="G2725">
        <v>98</v>
      </c>
      <c r="H2725">
        <v>92</v>
      </c>
      <c r="I2725">
        <v>0.93877551020408168</v>
      </c>
      <c r="J2725">
        <v>0.93877551020408168</v>
      </c>
      <c r="K2725" t="s">
        <v>31</v>
      </c>
      <c r="L2725" t="s">
        <v>31</v>
      </c>
      <c r="M2725">
        <v>2023</v>
      </c>
      <c r="N2725" t="s">
        <v>55</v>
      </c>
      <c r="O2725" t="s">
        <v>47</v>
      </c>
      <c r="P2725">
        <v>0</v>
      </c>
      <c r="Q2725">
        <v>0</v>
      </c>
      <c r="R2725">
        <v>1</v>
      </c>
      <c r="S2725" t="s">
        <v>99</v>
      </c>
      <c r="T2725" t="s">
        <v>4671</v>
      </c>
      <c r="U2725">
        <v>1</v>
      </c>
    </row>
    <row r="2726" spans="1:21" x14ac:dyDescent="0.3">
      <c r="A2726" t="s">
        <v>4662</v>
      </c>
      <c r="B2726" t="s">
        <v>4663</v>
      </c>
      <c r="C2726" t="s">
        <v>266</v>
      </c>
      <c r="D2726" t="s">
        <v>29</v>
      </c>
      <c r="E2726" t="s">
        <v>30</v>
      </c>
      <c r="F2726" s="6">
        <v>45291</v>
      </c>
      <c r="G2726">
        <v>98</v>
      </c>
      <c r="H2726">
        <v>95</v>
      </c>
      <c r="I2726">
        <v>0.96938775510204078</v>
      </c>
      <c r="J2726">
        <v>0.96938775510204078</v>
      </c>
      <c r="K2726" t="s">
        <v>31</v>
      </c>
      <c r="L2726" t="s">
        <v>31</v>
      </c>
      <c r="M2726">
        <v>2023</v>
      </c>
      <c r="N2726" t="s">
        <v>57</v>
      </c>
      <c r="O2726" t="s">
        <v>47</v>
      </c>
      <c r="P2726">
        <v>0</v>
      </c>
      <c r="Q2726">
        <v>0</v>
      </c>
      <c r="R2726">
        <v>1</v>
      </c>
      <c r="S2726" t="s">
        <v>99</v>
      </c>
      <c r="T2726" t="s">
        <v>4672</v>
      </c>
      <c r="U2726">
        <v>1</v>
      </c>
    </row>
    <row r="2727" spans="1:21" x14ac:dyDescent="0.3">
      <c r="A2727" t="s">
        <v>4662</v>
      </c>
      <c r="B2727" t="s">
        <v>4663</v>
      </c>
      <c r="C2727" t="s">
        <v>266</v>
      </c>
      <c r="D2727" t="s">
        <v>29</v>
      </c>
      <c r="E2727" t="s">
        <v>30</v>
      </c>
      <c r="F2727" s="6">
        <v>45322</v>
      </c>
      <c r="G2727">
        <v>90</v>
      </c>
      <c r="H2727">
        <v>82</v>
      </c>
      <c r="I2727">
        <v>0.91111111111111109</v>
      </c>
      <c r="J2727">
        <v>0.91111111111111109</v>
      </c>
      <c r="K2727" t="s">
        <v>31</v>
      </c>
      <c r="L2727" t="s">
        <v>31</v>
      </c>
      <c r="M2727">
        <v>2024</v>
      </c>
      <c r="N2727" t="s">
        <v>32</v>
      </c>
      <c r="O2727" t="s">
        <v>71</v>
      </c>
      <c r="P2727">
        <v>0</v>
      </c>
      <c r="Q2727">
        <v>0</v>
      </c>
      <c r="R2727">
        <v>1</v>
      </c>
      <c r="S2727" t="s">
        <v>99</v>
      </c>
      <c r="T2727" t="s">
        <v>4673</v>
      </c>
      <c r="U2727">
        <v>1</v>
      </c>
    </row>
    <row r="2728" spans="1:21" x14ac:dyDescent="0.3">
      <c r="A2728" t="s">
        <v>4662</v>
      </c>
      <c r="B2728" t="s">
        <v>4663</v>
      </c>
      <c r="C2728" t="s">
        <v>266</v>
      </c>
      <c r="D2728" t="s">
        <v>29</v>
      </c>
      <c r="E2728" t="s">
        <v>30</v>
      </c>
      <c r="F2728" s="6">
        <v>45351</v>
      </c>
      <c r="G2728">
        <v>90</v>
      </c>
      <c r="H2728">
        <v>83</v>
      </c>
      <c r="I2728">
        <v>0.92222222222222228</v>
      </c>
      <c r="J2728">
        <v>0.92222222222222228</v>
      </c>
      <c r="K2728" t="s">
        <v>31</v>
      </c>
      <c r="L2728" t="s">
        <v>31</v>
      </c>
      <c r="M2728">
        <v>2024</v>
      </c>
      <c r="N2728" t="s">
        <v>36</v>
      </c>
      <c r="O2728" t="s">
        <v>71</v>
      </c>
      <c r="P2728">
        <v>0</v>
      </c>
      <c r="Q2728">
        <v>0</v>
      </c>
      <c r="R2728">
        <v>1</v>
      </c>
      <c r="S2728" t="s">
        <v>99</v>
      </c>
      <c r="T2728" t="s">
        <v>4674</v>
      </c>
      <c r="U2728">
        <v>1</v>
      </c>
    </row>
    <row r="2729" spans="1:21" x14ac:dyDescent="0.3">
      <c r="A2729" t="s">
        <v>4662</v>
      </c>
      <c r="B2729" t="s">
        <v>4663</v>
      </c>
      <c r="C2729" t="s">
        <v>266</v>
      </c>
      <c r="D2729" t="s">
        <v>29</v>
      </c>
      <c r="E2729" t="s">
        <v>30</v>
      </c>
      <c r="F2729" s="6">
        <v>45382</v>
      </c>
      <c r="G2729">
        <v>93</v>
      </c>
      <c r="H2729">
        <v>89</v>
      </c>
      <c r="I2729">
        <v>0.956989247311828</v>
      </c>
      <c r="J2729">
        <v>0.956989247311828</v>
      </c>
      <c r="K2729" t="s">
        <v>31</v>
      </c>
      <c r="L2729" t="s">
        <v>31</v>
      </c>
      <c r="M2729">
        <v>2024</v>
      </c>
      <c r="N2729" t="s">
        <v>38</v>
      </c>
      <c r="O2729" t="s">
        <v>71</v>
      </c>
      <c r="P2729">
        <v>0</v>
      </c>
      <c r="Q2729">
        <v>0</v>
      </c>
      <c r="R2729">
        <v>1</v>
      </c>
      <c r="S2729" t="s">
        <v>99</v>
      </c>
      <c r="T2729" t="s">
        <v>4675</v>
      </c>
      <c r="U2729">
        <v>1</v>
      </c>
    </row>
    <row r="2730" spans="1:21" x14ac:dyDescent="0.3">
      <c r="A2730" t="s">
        <v>4662</v>
      </c>
      <c r="B2730" t="s">
        <v>4663</v>
      </c>
      <c r="C2730" t="s">
        <v>266</v>
      </c>
      <c r="D2730" t="s">
        <v>29</v>
      </c>
      <c r="E2730" t="s">
        <v>30</v>
      </c>
      <c r="F2730" s="6">
        <v>45412</v>
      </c>
      <c r="G2730">
        <v>97</v>
      </c>
      <c r="H2730">
        <v>89</v>
      </c>
      <c r="I2730">
        <v>0.91752577319587625</v>
      </c>
      <c r="J2730">
        <v>0.91752577319587625</v>
      </c>
      <c r="K2730" t="s">
        <v>31</v>
      </c>
      <c r="L2730" t="s">
        <v>31</v>
      </c>
      <c r="M2730">
        <v>2024</v>
      </c>
      <c r="N2730" t="s">
        <v>40</v>
      </c>
      <c r="O2730" t="s">
        <v>71</v>
      </c>
      <c r="P2730">
        <v>0</v>
      </c>
      <c r="Q2730">
        <v>0</v>
      </c>
      <c r="R2730">
        <v>1</v>
      </c>
      <c r="S2730" t="s">
        <v>99</v>
      </c>
      <c r="T2730" t="s">
        <v>4676</v>
      </c>
      <c r="U2730">
        <v>1</v>
      </c>
    </row>
    <row r="2731" spans="1:21" x14ac:dyDescent="0.3">
      <c r="A2731" t="s">
        <v>4662</v>
      </c>
      <c r="B2731" t="s">
        <v>4663</v>
      </c>
      <c r="C2731" t="s">
        <v>266</v>
      </c>
      <c r="D2731" t="s">
        <v>29</v>
      </c>
      <c r="E2731" t="s">
        <v>30</v>
      </c>
      <c r="F2731" s="6">
        <v>45443</v>
      </c>
      <c r="G2731">
        <v>99</v>
      </c>
      <c r="H2731">
        <v>99</v>
      </c>
      <c r="I2731">
        <v>1</v>
      </c>
      <c r="J2731">
        <v>1</v>
      </c>
      <c r="K2731" t="s">
        <v>31</v>
      </c>
      <c r="L2731" t="s">
        <v>31</v>
      </c>
      <c r="M2731">
        <v>2024</v>
      </c>
      <c r="N2731" t="s">
        <v>42</v>
      </c>
      <c r="O2731" t="s">
        <v>71</v>
      </c>
      <c r="P2731">
        <v>0</v>
      </c>
      <c r="Q2731">
        <v>0</v>
      </c>
      <c r="R2731">
        <v>1</v>
      </c>
      <c r="S2731" t="s">
        <v>99</v>
      </c>
      <c r="T2731" t="s">
        <v>4677</v>
      </c>
      <c r="U2731">
        <v>1</v>
      </c>
    </row>
    <row r="2732" spans="1:21" x14ac:dyDescent="0.3">
      <c r="A2732" t="s">
        <v>4662</v>
      </c>
      <c r="B2732" t="s">
        <v>4663</v>
      </c>
      <c r="C2732" t="s">
        <v>266</v>
      </c>
      <c r="D2732" t="s">
        <v>29</v>
      </c>
      <c r="E2732" t="s">
        <v>30</v>
      </c>
      <c r="F2732" s="6">
        <v>45473</v>
      </c>
      <c r="G2732">
        <v>100</v>
      </c>
      <c r="H2732">
        <v>99</v>
      </c>
      <c r="I2732">
        <v>0.99</v>
      </c>
      <c r="J2732">
        <v>0.99</v>
      </c>
      <c r="K2732" t="s">
        <v>31</v>
      </c>
      <c r="L2732" t="s">
        <v>31</v>
      </c>
      <c r="M2732">
        <v>2024</v>
      </c>
      <c r="N2732" t="s">
        <v>44</v>
      </c>
      <c r="O2732" t="s">
        <v>71</v>
      </c>
      <c r="P2732">
        <v>0</v>
      </c>
      <c r="Q2732">
        <v>0</v>
      </c>
      <c r="R2732">
        <v>1</v>
      </c>
      <c r="S2732" t="s">
        <v>99</v>
      </c>
      <c r="T2732" t="s">
        <v>4678</v>
      </c>
      <c r="U2732">
        <v>1</v>
      </c>
    </row>
    <row r="2733" spans="1:21" x14ac:dyDescent="0.3">
      <c r="A2733" t="s">
        <v>4662</v>
      </c>
      <c r="B2733" t="s">
        <v>4663</v>
      </c>
      <c r="C2733" t="s">
        <v>266</v>
      </c>
      <c r="D2733" t="s">
        <v>29</v>
      </c>
      <c r="E2733" t="s">
        <v>30</v>
      </c>
      <c r="F2733" s="6">
        <v>45504</v>
      </c>
      <c r="G2733">
        <v>100</v>
      </c>
      <c r="H2733">
        <v>100</v>
      </c>
      <c r="I2733">
        <v>1</v>
      </c>
      <c r="J2733">
        <v>1</v>
      </c>
      <c r="K2733" t="s">
        <v>31</v>
      </c>
      <c r="L2733" t="s">
        <v>31</v>
      </c>
      <c r="M2733">
        <v>2024</v>
      </c>
      <c r="N2733" t="s">
        <v>46</v>
      </c>
      <c r="O2733" t="s">
        <v>78</v>
      </c>
      <c r="P2733">
        <v>0</v>
      </c>
      <c r="Q2733">
        <v>0</v>
      </c>
      <c r="R2733">
        <v>1</v>
      </c>
      <c r="S2733" t="s">
        <v>99</v>
      </c>
      <c r="T2733" t="s">
        <v>4679</v>
      </c>
      <c r="U2733">
        <v>1</v>
      </c>
    </row>
    <row r="2734" spans="1:21" x14ac:dyDescent="0.3">
      <c r="A2734" t="s">
        <v>4680</v>
      </c>
      <c r="B2734" t="s">
        <v>4681</v>
      </c>
      <c r="C2734" t="s">
        <v>232</v>
      </c>
      <c r="D2734" t="s">
        <v>222</v>
      </c>
      <c r="E2734" t="s">
        <v>30</v>
      </c>
      <c r="F2734" s="6">
        <v>45107</v>
      </c>
      <c r="G2734">
        <v>80</v>
      </c>
      <c r="H2734">
        <v>91.5</v>
      </c>
      <c r="I2734">
        <v>1.14375</v>
      </c>
      <c r="J2734">
        <v>1.14375</v>
      </c>
      <c r="K2734" t="s">
        <v>31</v>
      </c>
      <c r="L2734" t="s">
        <v>31</v>
      </c>
      <c r="M2734">
        <v>2023</v>
      </c>
      <c r="N2734" t="s">
        <v>44</v>
      </c>
      <c r="O2734" t="s">
        <v>33</v>
      </c>
      <c r="P2734">
        <v>1</v>
      </c>
      <c r="Q2734">
        <v>1</v>
      </c>
      <c r="R2734">
        <v>0</v>
      </c>
      <c r="S2734" t="s">
        <v>99</v>
      </c>
      <c r="T2734" t="s">
        <v>4682</v>
      </c>
      <c r="U2734">
        <v>1</v>
      </c>
    </row>
    <row r="2735" spans="1:21" x14ac:dyDescent="0.3">
      <c r="A2735" t="s">
        <v>4680</v>
      </c>
      <c r="B2735" t="s">
        <v>4681</v>
      </c>
      <c r="C2735" t="s">
        <v>232</v>
      </c>
      <c r="D2735" t="s">
        <v>222</v>
      </c>
      <c r="E2735" t="s">
        <v>30</v>
      </c>
      <c r="F2735" s="6">
        <v>45291</v>
      </c>
      <c r="G2735">
        <v>80</v>
      </c>
      <c r="H2735">
        <v>85</v>
      </c>
      <c r="I2735">
        <v>1.0625</v>
      </c>
      <c r="J2735">
        <v>1.0625</v>
      </c>
      <c r="K2735" t="s">
        <v>31</v>
      </c>
      <c r="L2735" t="s">
        <v>31</v>
      </c>
      <c r="M2735">
        <v>2023</v>
      </c>
      <c r="N2735" t="s">
        <v>57</v>
      </c>
      <c r="O2735" t="s">
        <v>47</v>
      </c>
      <c r="P2735">
        <v>0</v>
      </c>
      <c r="Q2735">
        <v>0</v>
      </c>
      <c r="R2735">
        <v>0</v>
      </c>
      <c r="S2735" t="s">
        <v>99</v>
      </c>
      <c r="T2735" t="s">
        <v>4683</v>
      </c>
      <c r="U2735">
        <v>1</v>
      </c>
    </row>
    <row r="2736" spans="1:21" x14ac:dyDescent="0.3">
      <c r="A2736" t="s">
        <v>4680</v>
      </c>
      <c r="B2736" t="s">
        <v>4681</v>
      </c>
      <c r="C2736" t="s">
        <v>232</v>
      </c>
      <c r="D2736" t="s">
        <v>222</v>
      </c>
      <c r="E2736" t="s">
        <v>30</v>
      </c>
      <c r="F2736" s="6">
        <v>45473</v>
      </c>
      <c r="G2736">
        <v>80</v>
      </c>
      <c r="H2736">
        <v>86</v>
      </c>
      <c r="I2736">
        <v>1.075</v>
      </c>
      <c r="J2736">
        <v>1.075</v>
      </c>
      <c r="K2736" t="s">
        <v>31</v>
      </c>
      <c r="L2736" t="s">
        <v>31</v>
      </c>
      <c r="M2736">
        <v>2024</v>
      </c>
      <c r="N2736" t="s">
        <v>44</v>
      </c>
      <c r="O2736" t="s">
        <v>71</v>
      </c>
      <c r="P2736">
        <v>1</v>
      </c>
      <c r="Q2736">
        <v>1</v>
      </c>
      <c r="R2736">
        <v>0</v>
      </c>
      <c r="S2736" t="s">
        <v>99</v>
      </c>
      <c r="T2736" t="s">
        <v>4684</v>
      </c>
      <c r="U2736">
        <v>1</v>
      </c>
    </row>
    <row r="2737" spans="1:21" x14ac:dyDescent="0.3">
      <c r="A2737" t="s">
        <v>4680</v>
      </c>
      <c r="B2737" t="s">
        <v>4681</v>
      </c>
      <c r="C2737" t="s">
        <v>232</v>
      </c>
      <c r="D2737" t="s">
        <v>222</v>
      </c>
      <c r="E2737" t="s">
        <v>30</v>
      </c>
      <c r="F2737" s="6">
        <v>45657</v>
      </c>
      <c r="G2737">
        <v>80</v>
      </c>
      <c r="H2737">
        <v>87.5</v>
      </c>
      <c r="I2737">
        <v>1.09375</v>
      </c>
      <c r="J2737">
        <v>1.09375</v>
      </c>
      <c r="K2737" t="s">
        <v>31</v>
      </c>
      <c r="L2737" t="s">
        <v>31</v>
      </c>
      <c r="M2737">
        <v>2024</v>
      </c>
      <c r="N2737" t="s">
        <v>57</v>
      </c>
      <c r="O2737" t="s">
        <v>78</v>
      </c>
      <c r="P2737">
        <v>1</v>
      </c>
      <c r="Q2737">
        <v>1</v>
      </c>
      <c r="R2737">
        <v>0</v>
      </c>
      <c r="S2737" t="s">
        <v>99</v>
      </c>
      <c r="T2737" t="s">
        <v>4685</v>
      </c>
      <c r="U2737">
        <v>1</v>
      </c>
    </row>
    <row r="2738" spans="1:21" x14ac:dyDescent="0.3">
      <c r="A2738" t="s">
        <v>4680</v>
      </c>
      <c r="B2738" t="s">
        <v>4681</v>
      </c>
      <c r="C2738" t="s">
        <v>232</v>
      </c>
      <c r="D2738" t="s">
        <v>222</v>
      </c>
      <c r="E2738" t="s">
        <v>30</v>
      </c>
      <c r="F2738" s="6">
        <v>45838</v>
      </c>
      <c r="G2738">
        <v>85</v>
      </c>
      <c r="H2738" t="s">
        <v>3925</v>
      </c>
      <c r="I2738">
        <v>1.003529411764706</v>
      </c>
      <c r="J2738">
        <v>1.003529411764706</v>
      </c>
      <c r="K2738" t="s">
        <v>2357</v>
      </c>
      <c r="L2738" t="s">
        <v>3926</v>
      </c>
      <c r="M2738">
        <v>2025</v>
      </c>
      <c r="N2738" t="s">
        <v>44</v>
      </c>
      <c r="O2738" t="s">
        <v>244</v>
      </c>
      <c r="P2738">
        <v>2</v>
      </c>
      <c r="Q2738">
        <v>2</v>
      </c>
      <c r="R2738">
        <v>0</v>
      </c>
      <c r="S2738" t="s">
        <v>130</v>
      </c>
      <c r="T2738" t="s">
        <v>4686</v>
      </c>
      <c r="U2738">
        <v>30</v>
      </c>
    </row>
    <row r="2739" spans="1:21" x14ac:dyDescent="0.3">
      <c r="A2739" t="s">
        <v>4687</v>
      </c>
      <c r="B2739" t="s">
        <v>4688</v>
      </c>
      <c r="C2739" t="s">
        <v>232</v>
      </c>
      <c r="D2739" t="s">
        <v>233</v>
      </c>
      <c r="E2739" t="s">
        <v>30</v>
      </c>
      <c r="F2739" s="6">
        <v>45016</v>
      </c>
      <c r="G2739">
        <v>90</v>
      </c>
      <c r="H2739">
        <v>90.541781450872406</v>
      </c>
      <c r="I2739">
        <v>1.006019793898582</v>
      </c>
      <c r="J2739">
        <v>1.006019793898582</v>
      </c>
      <c r="K2739" t="s">
        <v>31</v>
      </c>
      <c r="L2739" t="s">
        <v>31</v>
      </c>
      <c r="M2739">
        <v>2023</v>
      </c>
      <c r="N2739" t="s">
        <v>38</v>
      </c>
      <c r="O2739" t="s">
        <v>33</v>
      </c>
      <c r="P2739">
        <v>0</v>
      </c>
      <c r="Q2739">
        <v>0</v>
      </c>
      <c r="R2739">
        <v>0</v>
      </c>
      <c r="S2739" t="s">
        <v>99</v>
      </c>
      <c r="T2739" t="s">
        <v>4689</v>
      </c>
      <c r="U2739">
        <v>1</v>
      </c>
    </row>
    <row r="2740" spans="1:21" x14ac:dyDescent="0.3">
      <c r="A2740" t="s">
        <v>4687</v>
      </c>
      <c r="B2740" t="s">
        <v>4688</v>
      </c>
      <c r="C2740" t="s">
        <v>232</v>
      </c>
      <c r="D2740" t="s">
        <v>233</v>
      </c>
      <c r="E2740" t="s">
        <v>30</v>
      </c>
      <c r="F2740" s="6">
        <v>45107</v>
      </c>
      <c r="G2740">
        <v>90</v>
      </c>
      <c r="H2740">
        <v>90.397672162948595</v>
      </c>
      <c r="I2740">
        <v>1.004418579588318</v>
      </c>
      <c r="J2740">
        <v>1.004418579588318</v>
      </c>
      <c r="K2740" t="s">
        <v>31</v>
      </c>
      <c r="L2740" t="s">
        <v>31</v>
      </c>
      <c r="M2740">
        <v>2023</v>
      </c>
      <c r="N2740" t="s">
        <v>44</v>
      </c>
      <c r="O2740" t="s">
        <v>33</v>
      </c>
      <c r="P2740">
        <v>0</v>
      </c>
      <c r="Q2740">
        <v>0</v>
      </c>
      <c r="R2740">
        <v>0</v>
      </c>
      <c r="S2740" t="s">
        <v>99</v>
      </c>
      <c r="T2740" t="s">
        <v>4690</v>
      </c>
      <c r="U2740">
        <v>1</v>
      </c>
    </row>
    <row r="2741" spans="1:21" x14ac:dyDescent="0.3">
      <c r="A2741" t="s">
        <v>4687</v>
      </c>
      <c r="B2741" t="s">
        <v>4688</v>
      </c>
      <c r="C2741" t="s">
        <v>232</v>
      </c>
      <c r="D2741" t="s">
        <v>233</v>
      </c>
      <c r="E2741" t="s">
        <v>30</v>
      </c>
      <c r="F2741" s="6">
        <v>45199</v>
      </c>
      <c r="G2741">
        <v>90</v>
      </c>
      <c r="H2741">
        <v>92.89</v>
      </c>
      <c r="I2741">
        <v>1.032111111111111</v>
      </c>
      <c r="J2741">
        <v>1.032111111111111</v>
      </c>
      <c r="K2741" t="s">
        <v>31</v>
      </c>
      <c r="L2741" t="s">
        <v>31</v>
      </c>
      <c r="M2741">
        <v>2023</v>
      </c>
      <c r="N2741" t="s">
        <v>51</v>
      </c>
      <c r="O2741" t="s">
        <v>47</v>
      </c>
      <c r="P2741">
        <v>0</v>
      </c>
      <c r="Q2741">
        <v>0</v>
      </c>
      <c r="R2741">
        <v>0</v>
      </c>
      <c r="S2741" t="s">
        <v>99</v>
      </c>
      <c r="T2741" t="s">
        <v>4691</v>
      </c>
      <c r="U2741">
        <v>1</v>
      </c>
    </row>
    <row r="2742" spans="1:21" x14ac:dyDescent="0.3">
      <c r="A2742" t="s">
        <v>4687</v>
      </c>
      <c r="B2742" t="s">
        <v>4688</v>
      </c>
      <c r="C2742" t="s">
        <v>232</v>
      </c>
      <c r="D2742" t="s">
        <v>233</v>
      </c>
      <c r="E2742" t="s">
        <v>30</v>
      </c>
      <c r="F2742" s="6">
        <v>45291</v>
      </c>
      <c r="G2742">
        <v>90</v>
      </c>
      <c r="H2742">
        <v>92.79</v>
      </c>
      <c r="I2742">
        <v>1.0309999999999999</v>
      </c>
      <c r="J2742">
        <v>1.0309999999999999</v>
      </c>
      <c r="K2742" t="s">
        <v>31</v>
      </c>
      <c r="L2742" t="s">
        <v>31</v>
      </c>
      <c r="M2742">
        <v>2023</v>
      </c>
      <c r="N2742" t="s">
        <v>57</v>
      </c>
      <c r="O2742" t="s">
        <v>47</v>
      </c>
      <c r="P2742">
        <v>0</v>
      </c>
      <c r="Q2742">
        <v>0</v>
      </c>
      <c r="R2742">
        <v>0</v>
      </c>
      <c r="S2742" t="s">
        <v>99</v>
      </c>
      <c r="T2742" t="s">
        <v>4692</v>
      </c>
      <c r="U2742">
        <v>1</v>
      </c>
    </row>
    <row r="2743" spans="1:21" x14ac:dyDescent="0.3">
      <c r="A2743" t="s">
        <v>4687</v>
      </c>
      <c r="B2743" t="s">
        <v>4688</v>
      </c>
      <c r="C2743" t="s">
        <v>232</v>
      </c>
      <c r="D2743" t="s">
        <v>233</v>
      </c>
      <c r="E2743" t="s">
        <v>30</v>
      </c>
      <c r="F2743" s="6">
        <v>45382</v>
      </c>
      <c r="G2743">
        <v>90</v>
      </c>
      <c r="H2743">
        <v>91.32</v>
      </c>
      <c r="I2743">
        <v>1.014666666666667</v>
      </c>
      <c r="J2743">
        <v>1.014666666666667</v>
      </c>
      <c r="K2743" t="s">
        <v>31</v>
      </c>
      <c r="L2743" t="s">
        <v>31</v>
      </c>
      <c r="M2743">
        <v>2024</v>
      </c>
      <c r="N2743" t="s">
        <v>38</v>
      </c>
      <c r="O2743" t="s">
        <v>71</v>
      </c>
      <c r="P2743">
        <v>0</v>
      </c>
      <c r="Q2743">
        <v>0</v>
      </c>
      <c r="R2743">
        <v>0</v>
      </c>
      <c r="S2743" t="s">
        <v>99</v>
      </c>
      <c r="T2743" t="s">
        <v>4693</v>
      </c>
      <c r="U2743">
        <v>1</v>
      </c>
    </row>
    <row r="2744" spans="1:21" x14ac:dyDescent="0.3">
      <c r="A2744" t="s">
        <v>4687</v>
      </c>
      <c r="B2744" t="s">
        <v>4688</v>
      </c>
      <c r="C2744" t="s">
        <v>232</v>
      </c>
      <c r="D2744" t="s">
        <v>233</v>
      </c>
      <c r="E2744" t="s">
        <v>30</v>
      </c>
      <c r="F2744" s="6">
        <v>45473</v>
      </c>
      <c r="G2744">
        <v>90</v>
      </c>
      <c r="H2744">
        <v>91.33</v>
      </c>
      <c r="I2744">
        <v>1.014777777777778</v>
      </c>
      <c r="J2744">
        <v>1.014777777777778</v>
      </c>
      <c r="K2744" t="s">
        <v>31</v>
      </c>
      <c r="L2744" t="s">
        <v>31</v>
      </c>
      <c r="M2744">
        <v>2024</v>
      </c>
      <c r="N2744" t="s">
        <v>44</v>
      </c>
      <c r="O2744" t="s">
        <v>71</v>
      </c>
      <c r="P2744">
        <v>0</v>
      </c>
      <c r="Q2744">
        <v>0</v>
      </c>
      <c r="R2744">
        <v>0</v>
      </c>
      <c r="S2744" t="s">
        <v>99</v>
      </c>
      <c r="T2744" t="s">
        <v>4694</v>
      </c>
      <c r="U2744">
        <v>1</v>
      </c>
    </row>
    <row r="2745" spans="1:21" x14ac:dyDescent="0.3">
      <c r="A2745" t="s">
        <v>4687</v>
      </c>
      <c r="B2745" t="s">
        <v>4688</v>
      </c>
      <c r="C2745" t="s">
        <v>232</v>
      </c>
      <c r="D2745" t="s">
        <v>233</v>
      </c>
      <c r="E2745" t="s">
        <v>30</v>
      </c>
      <c r="F2745" s="6">
        <v>45565</v>
      </c>
      <c r="G2745">
        <v>90</v>
      </c>
      <c r="H2745">
        <v>91.67</v>
      </c>
      <c r="I2745">
        <v>1.0185555555555561</v>
      </c>
      <c r="J2745">
        <v>1.0185555555555561</v>
      </c>
      <c r="K2745" t="s">
        <v>31</v>
      </c>
      <c r="L2745" t="s">
        <v>31</v>
      </c>
      <c r="M2745">
        <v>2024</v>
      </c>
      <c r="N2745" t="s">
        <v>51</v>
      </c>
      <c r="O2745" t="s">
        <v>78</v>
      </c>
      <c r="P2745">
        <v>0</v>
      </c>
      <c r="Q2745">
        <v>0</v>
      </c>
      <c r="R2745">
        <v>0</v>
      </c>
      <c r="S2745" t="s">
        <v>99</v>
      </c>
      <c r="T2745" t="s">
        <v>4695</v>
      </c>
      <c r="U2745">
        <v>1</v>
      </c>
    </row>
    <row r="2746" spans="1:21" x14ac:dyDescent="0.3">
      <c r="A2746" t="s">
        <v>4687</v>
      </c>
      <c r="B2746" t="s">
        <v>4688</v>
      </c>
      <c r="C2746" t="s">
        <v>232</v>
      </c>
      <c r="D2746" t="s">
        <v>233</v>
      </c>
      <c r="E2746" t="s">
        <v>30</v>
      </c>
      <c r="F2746" s="6">
        <v>45657</v>
      </c>
      <c r="G2746">
        <v>90</v>
      </c>
      <c r="H2746">
        <v>90.5</v>
      </c>
      <c r="I2746">
        <v>1.005555555555556</v>
      </c>
      <c r="J2746">
        <v>1.005555555555556</v>
      </c>
      <c r="K2746" t="s">
        <v>31</v>
      </c>
      <c r="L2746" t="s">
        <v>31</v>
      </c>
      <c r="M2746">
        <v>2024</v>
      </c>
      <c r="N2746" t="s">
        <v>57</v>
      </c>
      <c r="O2746" t="s">
        <v>78</v>
      </c>
      <c r="P2746">
        <v>0</v>
      </c>
      <c r="Q2746">
        <v>0</v>
      </c>
      <c r="R2746">
        <v>0</v>
      </c>
      <c r="S2746" t="s">
        <v>99</v>
      </c>
      <c r="T2746" t="s">
        <v>4696</v>
      </c>
      <c r="U2746">
        <v>1</v>
      </c>
    </row>
    <row r="2747" spans="1:21" x14ac:dyDescent="0.3">
      <c r="A2747" t="s">
        <v>4687</v>
      </c>
      <c r="B2747" t="s">
        <v>4688</v>
      </c>
      <c r="C2747" t="s">
        <v>232</v>
      </c>
      <c r="D2747" t="s">
        <v>233</v>
      </c>
      <c r="E2747" t="s">
        <v>30</v>
      </c>
      <c r="F2747" s="6">
        <v>45747</v>
      </c>
      <c r="G2747">
        <v>90</v>
      </c>
      <c r="H2747" t="s">
        <v>4697</v>
      </c>
      <c r="I2747">
        <v>1.0083333333333331</v>
      </c>
      <c r="J2747">
        <v>1.0083333333333331</v>
      </c>
      <c r="K2747" t="s">
        <v>256</v>
      </c>
      <c r="L2747" t="s">
        <v>4698</v>
      </c>
      <c r="M2747">
        <v>2025</v>
      </c>
      <c r="N2747" t="s">
        <v>38</v>
      </c>
      <c r="O2747" t="s">
        <v>244</v>
      </c>
      <c r="P2747">
        <v>2</v>
      </c>
      <c r="Q2747">
        <v>2</v>
      </c>
      <c r="R2747">
        <v>0</v>
      </c>
      <c r="S2747" t="s">
        <v>130</v>
      </c>
      <c r="T2747" t="s">
        <v>4699</v>
      </c>
      <c r="U2747">
        <v>31</v>
      </c>
    </row>
    <row r="2748" spans="1:21" x14ac:dyDescent="0.3">
      <c r="A2748" t="s">
        <v>4687</v>
      </c>
      <c r="B2748" t="s">
        <v>4688</v>
      </c>
      <c r="C2748" t="s">
        <v>232</v>
      </c>
      <c r="D2748" t="s">
        <v>233</v>
      </c>
      <c r="E2748" t="s">
        <v>30</v>
      </c>
      <c r="F2748" s="6">
        <v>45838</v>
      </c>
      <c r="G2748">
        <v>90</v>
      </c>
      <c r="H2748" t="s">
        <v>4700</v>
      </c>
      <c r="I2748">
        <v>1.008666666666667</v>
      </c>
      <c r="J2748">
        <v>1.008666666666667</v>
      </c>
      <c r="K2748" t="s">
        <v>256</v>
      </c>
      <c r="L2748" t="s">
        <v>4701</v>
      </c>
      <c r="M2748">
        <v>2025</v>
      </c>
      <c r="N2748" t="s">
        <v>44</v>
      </c>
      <c r="O2748" t="s">
        <v>244</v>
      </c>
      <c r="P2748">
        <v>2</v>
      </c>
      <c r="Q2748">
        <v>2</v>
      </c>
      <c r="R2748">
        <v>0</v>
      </c>
      <c r="S2748" t="s">
        <v>130</v>
      </c>
      <c r="T2748" t="s">
        <v>4702</v>
      </c>
      <c r="U2748">
        <v>30</v>
      </c>
    </row>
    <row r="2749" spans="1:21" x14ac:dyDescent="0.3">
      <c r="A2749" t="s">
        <v>4687</v>
      </c>
      <c r="B2749" t="s">
        <v>4688</v>
      </c>
      <c r="C2749" t="s">
        <v>232</v>
      </c>
      <c r="D2749" t="s">
        <v>233</v>
      </c>
      <c r="E2749" t="s">
        <v>30</v>
      </c>
      <c r="F2749" s="6">
        <v>46022</v>
      </c>
      <c r="G2749">
        <v>90</v>
      </c>
      <c r="H2749" t="s">
        <v>4445</v>
      </c>
      <c r="I2749">
        <v>1.016888888888889</v>
      </c>
      <c r="J2749">
        <v>1.016888888888889</v>
      </c>
      <c r="K2749" t="s">
        <v>256</v>
      </c>
      <c r="L2749" t="s">
        <v>4446</v>
      </c>
      <c r="M2749">
        <v>2025</v>
      </c>
      <c r="N2749" t="s">
        <v>57</v>
      </c>
      <c r="O2749" t="s">
        <v>103</v>
      </c>
      <c r="P2749">
        <v>2</v>
      </c>
      <c r="Q2749">
        <v>2</v>
      </c>
      <c r="R2749">
        <v>0</v>
      </c>
      <c r="S2749" t="s">
        <v>130</v>
      </c>
      <c r="T2749" t="s">
        <v>4703</v>
      </c>
      <c r="U2749">
        <v>31</v>
      </c>
    </row>
    <row r="2750" spans="1:21" x14ac:dyDescent="0.3">
      <c r="A2750" t="s">
        <v>4704</v>
      </c>
      <c r="B2750" t="s">
        <v>4705</v>
      </c>
      <c r="C2750" t="s">
        <v>266</v>
      </c>
      <c r="D2750" t="s">
        <v>29</v>
      </c>
      <c r="E2750" t="s">
        <v>30</v>
      </c>
      <c r="F2750" s="6">
        <v>45046</v>
      </c>
      <c r="G2750">
        <v>38</v>
      </c>
      <c r="H2750">
        <v>35</v>
      </c>
      <c r="I2750">
        <v>0.92105263157894735</v>
      </c>
      <c r="J2750">
        <v>0.92105263157894735</v>
      </c>
      <c r="K2750" t="s">
        <v>31</v>
      </c>
      <c r="L2750" t="s">
        <v>31</v>
      </c>
      <c r="M2750">
        <v>2023</v>
      </c>
      <c r="N2750" t="s">
        <v>40</v>
      </c>
      <c r="O2750" t="s">
        <v>33</v>
      </c>
      <c r="P2750">
        <v>0</v>
      </c>
      <c r="Q2750">
        <v>0</v>
      </c>
      <c r="R2750">
        <v>1</v>
      </c>
      <c r="S2750" t="s">
        <v>99</v>
      </c>
      <c r="T2750" t="s">
        <v>4706</v>
      </c>
      <c r="U2750">
        <v>1</v>
      </c>
    </row>
    <row r="2751" spans="1:21" x14ac:dyDescent="0.3">
      <c r="A2751" t="s">
        <v>4704</v>
      </c>
      <c r="B2751" t="s">
        <v>4705</v>
      </c>
      <c r="C2751" t="s">
        <v>266</v>
      </c>
      <c r="D2751" t="s">
        <v>29</v>
      </c>
      <c r="E2751" t="s">
        <v>30</v>
      </c>
      <c r="F2751" s="6">
        <v>45077</v>
      </c>
      <c r="G2751">
        <v>66</v>
      </c>
      <c r="H2751">
        <v>58</v>
      </c>
      <c r="I2751">
        <v>0.87878787878787878</v>
      </c>
      <c r="J2751">
        <v>0.87878787878787878</v>
      </c>
      <c r="K2751" t="s">
        <v>31</v>
      </c>
      <c r="L2751" t="s">
        <v>31</v>
      </c>
      <c r="M2751">
        <v>2023</v>
      </c>
      <c r="N2751" t="s">
        <v>42</v>
      </c>
      <c r="O2751" t="s">
        <v>33</v>
      </c>
      <c r="P2751">
        <v>0</v>
      </c>
      <c r="Q2751">
        <v>0</v>
      </c>
      <c r="R2751">
        <v>1</v>
      </c>
      <c r="S2751" t="s">
        <v>99</v>
      </c>
      <c r="T2751" t="s">
        <v>4707</v>
      </c>
      <c r="U2751">
        <v>1</v>
      </c>
    </row>
    <row r="2752" spans="1:21" x14ac:dyDescent="0.3">
      <c r="A2752" t="s">
        <v>4704</v>
      </c>
      <c r="B2752" t="s">
        <v>4705</v>
      </c>
      <c r="C2752" t="s">
        <v>266</v>
      </c>
      <c r="D2752" t="s">
        <v>29</v>
      </c>
      <c r="E2752" t="s">
        <v>30</v>
      </c>
      <c r="F2752" s="6">
        <v>45107</v>
      </c>
      <c r="G2752">
        <v>81</v>
      </c>
      <c r="H2752">
        <v>70</v>
      </c>
      <c r="I2752">
        <v>0.86419753086419748</v>
      </c>
      <c r="J2752">
        <v>0.86419753086419748</v>
      </c>
      <c r="K2752" t="s">
        <v>31</v>
      </c>
      <c r="L2752" t="s">
        <v>31</v>
      </c>
      <c r="M2752">
        <v>2023</v>
      </c>
      <c r="N2752" t="s">
        <v>44</v>
      </c>
      <c r="O2752" t="s">
        <v>33</v>
      </c>
      <c r="P2752">
        <v>0</v>
      </c>
      <c r="Q2752">
        <v>0</v>
      </c>
      <c r="R2752">
        <v>1</v>
      </c>
      <c r="S2752" t="s">
        <v>99</v>
      </c>
      <c r="T2752" t="s">
        <v>4708</v>
      </c>
      <c r="U2752">
        <v>1</v>
      </c>
    </row>
    <row r="2753" spans="1:21" x14ac:dyDescent="0.3">
      <c r="A2753" t="s">
        <v>4704</v>
      </c>
      <c r="B2753" t="s">
        <v>4705</v>
      </c>
      <c r="C2753" t="s">
        <v>266</v>
      </c>
      <c r="D2753" t="s">
        <v>29</v>
      </c>
      <c r="E2753" t="s">
        <v>30</v>
      </c>
      <c r="F2753" s="6">
        <v>45138</v>
      </c>
      <c r="G2753">
        <v>96</v>
      </c>
      <c r="H2753">
        <v>74</v>
      </c>
      <c r="I2753">
        <v>0.77083333333333337</v>
      </c>
      <c r="J2753">
        <v>0.77083333333333337</v>
      </c>
      <c r="K2753" t="s">
        <v>31</v>
      </c>
      <c r="L2753" t="s">
        <v>31</v>
      </c>
      <c r="M2753">
        <v>2023</v>
      </c>
      <c r="N2753" t="s">
        <v>46</v>
      </c>
      <c r="O2753" t="s">
        <v>47</v>
      </c>
      <c r="P2753">
        <v>0</v>
      </c>
      <c r="Q2753">
        <v>0</v>
      </c>
      <c r="R2753">
        <v>1</v>
      </c>
      <c r="S2753" t="s">
        <v>99</v>
      </c>
      <c r="T2753" t="s">
        <v>4709</v>
      </c>
      <c r="U2753">
        <v>1</v>
      </c>
    </row>
    <row r="2754" spans="1:21" x14ac:dyDescent="0.3">
      <c r="A2754" t="s">
        <v>4704</v>
      </c>
      <c r="B2754" t="s">
        <v>4705</v>
      </c>
      <c r="C2754" t="s">
        <v>266</v>
      </c>
      <c r="D2754" t="s">
        <v>29</v>
      </c>
      <c r="E2754" t="s">
        <v>30</v>
      </c>
      <c r="F2754" s="6">
        <v>45169</v>
      </c>
      <c r="G2754">
        <v>60</v>
      </c>
      <c r="H2754">
        <v>62</v>
      </c>
      <c r="I2754">
        <v>1.033333333333333</v>
      </c>
      <c r="J2754">
        <v>1.033333333333333</v>
      </c>
      <c r="K2754" t="s">
        <v>31</v>
      </c>
      <c r="L2754" t="s">
        <v>31</v>
      </c>
      <c r="M2754">
        <v>2023</v>
      </c>
      <c r="N2754" t="s">
        <v>49</v>
      </c>
      <c r="O2754" t="s">
        <v>47</v>
      </c>
      <c r="P2754">
        <v>0</v>
      </c>
      <c r="Q2754">
        <v>0</v>
      </c>
      <c r="R2754">
        <v>1</v>
      </c>
      <c r="S2754" t="s">
        <v>99</v>
      </c>
      <c r="T2754" t="s">
        <v>4710</v>
      </c>
      <c r="U2754">
        <v>1</v>
      </c>
    </row>
    <row r="2755" spans="1:21" x14ac:dyDescent="0.3">
      <c r="A2755" t="s">
        <v>4704</v>
      </c>
      <c r="B2755" t="s">
        <v>4705</v>
      </c>
      <c r="C2755" t="s">
        <v>266</v>
      </c>
      <c r="D2755" t="s">
        <v>29</v>
      </c>
      <c r="E2755" t="s">
        <v>30</v>
      </c>
      <c r="F2755" s="6">
        <v>45199</v>
      </c>
      <c r="G2755">
        <v>74</v>
      </c>
      <c r="H2755">
        <v>71</v>
      </c>
      <c r="I2755">
        <v>0.95945945945945943</v>
      </c>
      <c r="J2755">
        <v>0.95945945945945943</v>
      </c>
      <c r="K2755" t="s">
        <v>31</v>
      </c>
      <c r="L2755" t="s">
        <v>31</v>
      </c>
      <c r="M2755">
        <v>2023</v>
      </c>
      <c r="N2755" t="s">
        <v>51</v>
      </c>
      <c r="O2755" t="s">
        <v>47</v>
      </c>
      <c r="P2755">
        <v>0</v>
      </c>
      <c r="Q2755">
        <v>0</v>
      </c>
      <c r="R2755">
        <v>1</v>
      </c>
      <c r="S2755" t="s">
        <v>99</v>
      </c>
      <c r="T2755" t="s">
        <v>4711</v>
      </c>
      <c r="U2755">
        <v>1</v>
      </c>
    </row>
    <row r="2756" spans="1:21" x14ac:dyDescent="0.3">
      <c r="A2756" t="s">
        <v>4704</v>
      </c>
      <c r="B2756" t="s">
        <v>4705</v>
      </c>
      <c r="C2756" t="s">
        <v>266</v>
      </c>
      <c r="D2756" t="s">
        <v>29</v>
      </c>
      <c r="E2756" t="s">
        <v>30</v>
      </c>
      <c r="F2756" s="6">
        <v>45230</v>
      </c>
      <c r="G2756">
        <v>88</v>
      </c>
      <c r="H2756">
        <v>78</v>
      </c>
      <c r="I2756">
        <v>0.88636363636363635</v>
      </c>
      <c r="J2756">
        <v>0.88636363636363635</v>
      </c>
      <c r="K2756" t="s">
        <v>31</v>
      </c>
      <c r="L2756" t="s">
        <v>31</v>
      </c>
      <c r="M2756">
        <v>2023</v>
      </c>
      <c r="N2756" t="s">
        <v>53</v>
      </c>
      <c r="O2756" t="s">
        <v>47</v>
      </c>
      <c r="P2756">
        <v>0</v>
      </c>
      <c r="Q2756">
        <v>0</v>
      </c>
      <c r="R2756">
        <v>1</v>
      </c>
      <c r="S2756" t="s">
        <v>99</v>
      </c>
      <c r="T2756" t="s">
        <v>4712</v>
      </c>
      <c r="U2756">
        <v>1</v>
      </c>
    </row>
    <row r="2757" spans="1:21" x14ac:dyDescent="0.3">
      <c r="A2757" t="s">
        <v>4704</v>
      </c>
      <c r="B2757" t="s">
        <v>4705</v>
      </c>
      <c r="C2757" t="s">
        <v>266</v>
      </c>
      <c r="D2757" t="s">
        <v>29</v>
      </c>
      <c r="E2757" t="s">
        <v>30</v>
      </c>
      <c r="F2757" s="6">
        <v>45260</v>
      </c>
      <c r="G2757">
        <v>98</v>
      </c>
      <c r="H2757">
        <v>84</v>
      </c>
      <c r="I2757">
        <v>0.8571428571428571</v>
      </c>
      <c r="J2757">
        <v>0.8571428571428571</v>
      </c>
      <c r="K2757" t="s">
        <v>31</v>
      </c>
      <c r="L2757" t="s">
        <v>31</v>
      </c>
      <c r="M2757">
        <v>2023</v>
      </c>
      <c r="N2757" t="s">
        <v>55</v>
      </c>
      <c r="O2757" t="s">
        <v>47</v>
      </c>
      <c r="P2757">
        <v>0</v>
      </c>
      <c r="Q2757">
        <v>0</v>
      </c>
      <c r="R2757">
        <v>1</v>
      </c>
      <c r="S2757" t="s">
        <v>99</v>
      </c>
      <c r="T2757" t="s">
        <v>4713</v>
      </c>
      <c r="U2757">
        <v>1</v>
      </c>
    </row>
    <row r="2758" spans="1:21" x14ac:dyDescent="0.3">
      <c r="A2758" t="s">
        <v>4704</v>
      </c>
      <c r="B2758" t="s">
        <v>4705</v>
      </c>
      <c r="C2758" t="s">
        <v>266</v>
      </c>
      <c r="D2758" t="s">
        <v>29</v>
      </c>
      <c r="E2758" t="s">
        <v>30</v>
      </c>
      <c r="F2758" s="6">
        <v>45291</v>
      </c>
      <c r="G2758">
        <v>98</v>
      </c>
      <c r="H2758">
        <v>84</v>
      </c>
      <c r="I2758">
        <v>0.8571428571428571</v>
      </c>
      <c r="J2758">
        <v>0.8571428571428571</v>
      </c>
      <c r="K2758" t="s">
        <v>31</v>
      </c>
      <c r="L2758" t="s">
        <v>31</v>
      </c>
      <c r="M2758">
        <v>2023</v>
      </c>
      <c r="N2758" t="s">
        <v>57</v>
      </c>
      <c r="O2758" t="s">
        <v>47</v>
      </c>
      <c r="P2758">
        <v>0</v>
      </c>
      <c r="Q2758">
        <v>0</v>
      </c>
      <c r="R2758">
        <v>1</v>
      </c>
      <c r="S2758" t="s">
        <v>99</v>
      </c>
      <c r="T2758" t="s">
        <v>4714</v>
      </c>
      <c r="U2758">
        <v>1</v>
      </c>
    </row>
    <row r="2759" spans="1:21" x14ac:dyDescent="0.3">
      <c r="A2759" t="s">
        <v>4704</v>
      </c>
      <c r="B2759" t="s">
        <v>4705</v>
      </c>
      <c r="C2759" t="s">
        <v>266</v>
      </c>
      <c r="D2759" t="s">
        <v>29</v>
      </c>
      <c r="E2759" t="s">
        <v>30</v>
      </c>
      <c r="F2759" s="6">
        <v>45322</v>
      </c>
      <c r="G2759">
        <v>100</v>
      </c>
      <c r="H2759">
        <v>84</v>
      </c>
      <c r="I2759">
        <v>0.84</v>
      </c>
      <c r="J2759">
        <v>0.84</v>
      </c>
      <c r="K2759" t="s">
        <v>31</v>
      </c>
      <c r="L2759" t="s">
        <v>31</v>
      </c>
      <c r="M2759">
        <v>2024</v>
      </c>
      <c r="N2759" t="s">
        <v>32</v>
      </c>
      <c r="O2759" t="s">
        <v>71</v>
      </c>
      <c r="P2759">
        <v>0</v>
      </c>
      <c r="Q2759">
        <v>0</v>
      </c>
      <c r="R2759">
        <v>1</v>
      </c>
      <c r="S2759" t="s">
        <v>99</v>
      </c>
      <c r="T2759" t="s">
        <v>4715</v>
      </c>
      <c r="U2759">
        <v>1</v>
      </c>
    </row>
    <row r="2760" spans="1:21" x14ac:dyDescent="0.3">
      <c r="A2760" t="s">
        <v>4704</v>
      </c>
      <c r="B2760" t="s">
        <v>4705</v>
      </c>
      <c r="C2760" t="s">
        <v>266</v>
      </c>
      <c r="D2760" t="s">
        <v>29</v>
      </c>
      <c r="E2760" t="s">
        <v>30</v>
      </c>
      <c r="F2760" s="6">
        <v>45351</v>
      </c>
      <c r="G2760">
        <v>100</v>
      </c>
      <c r="H2760">
        <v>84</v>
      </c>
      <c r="I2760">
        <v>0.84</v>
      </c>
      <c r="J2760">
        <v>0.84</v>
      </c>
      <c r="K2760" t="s">
        <v>31</v>
      </c>
      <c r="L2760" t="s">
        <v>31</v>
      </c>
      <c r="M2760">
        <v>2024</v>
      </c>
      <c r="N2760" t="s">
        <v>36</v>
      </c>
      <c r="O2760" t="s">
        <v>71</v>
      </c>
      <c r="P2760">
        <v>0</v>
      </c>
      <c r="Q2760">
        <v>0</v>
      </c>
      <c r="R2760">
        <v>1</v>
      </c>
      <c r="S2760" t="s">
        <v>99</v>
      </c>
      <c r="T2760" t="s">
        <v>4716</v>
      </c>
      <c r="U2760">
        <v>1</v>
      </c>
    </row>
    <row r="2761" spans="1:21" x14ac:dyDescent="0.3">
      <c r="A2761" t="s">
        <v>4704</v>
      </c>
      <c r="B2761" t="s">
        <v>4705</v>
      </c>
      <c r="C2761" t="s">
        <v>266</v>
      </c>
      <c r="D2761" t="s">
        <v>29</v>
      </c>
      <c r="E2761" t="s">
        <v>30</v>
      </c>
      <c r="F2761" s="6">
        <v>45382</v>
      </c>
      <c r="G2761">
        <v>100</v>
      </c>
      <c r="H2761">
        <v>83</v>
      </c>
      <c r="I2761">
        <v>0.83</v>
      </c>
      <c r="J2761">
        <v>0.83</v>
      </c>
      <c r="K2761" t="s">
        <v>31</v>
      </c>
      <c r="L2761" t="s">
        <v>31</v>
      </c>
      <c r="M2761">
        <v>2024</v>
      </c>
      <c r="N2761" t="s">
        <v>38</v>
      </c>
      <c r="O2761" t="s">
        <v>71</v>
      </c>
      <c r="P2761">
        <v>0</v>
      </c>
      <c r="Q2761">
        <v>0</v>
      </c>
      <c r="R2761">
        <v>1</v>
      </c>
      <c r="S2761" t="s">
        <v>99</v>
      </c>
      <c r="T2761" t="s">
        <v>4717</v>
      </c>
      <c r="U2761">
        <v>1</v>
      </c>
    </row>
    <row r="2762" spans="1:21" x14ac:dyDescent="0.3">
      <c r="A2762" t="s">
        <v>4704</v>
      </c>
      <c r="B2762" t="s">
        <v>4705</v>
      </c>
      <c r="C2762" t="s">
        <v>266</v>
      </c>
      <c r="D2762" t="s">
        <v>29</v>
      </c>
      <c r="E2762" t="s">
        <v>30</v>
      </c>
      <c r="F2762" s="6">
        <v>45412</v>
      </c>
      <c r="G2762">
        <v>100</v>
      </c>
      <c r="H2762">
        <v>83</v>
      </c>
      <c r="I2762">
        <v>0.83</v>
      </c>
      <c r="J2762">
        <v>0.83</v>
      </c>
      <c r="K2762" t="s">
        <v>31</v>
      </c>
      <c r="L2762" t="s">
        <v>31</v>
      </c>
      <c r="M2762">
        <v>2024</v>
      </c>
      <c r="N2762" t="s">
        <v>40</v>
      </c>
      <c r="O2762" t="s">
        <v>71</v>
      </c>
      <c r="P2762">
        <v>0</v>
      </c>
      <c r="Q2762">
        <v>0</v>
      </c>
      <c r="R2762">
        <v>1</v>
      </c>
      <c r="S2762" t="s">
        <v>99</v>
      </c>
      <c r="T2762" t="s">
        <v>4718</v>
      </c>
      <c r="U2762">
        <v>1</v>
      </c>
    </row>
    <row r="2763" spans="1:21" x14ac:dyDescent="0.3">
      <c r="A2763" t="s">
        <v>4704</v>
      </c>
      <c r="B2763" t="s">
        <v>4705</v>
      </c>
      <c r="C2763" t="s">
        <v>266</v>
      </c>
      <c r="D2763" t="s">
        <v>29</v>
      </c>
      <c r="E2763" t="s">
        <v>30</v>
      </c>
      <c r="F2763" s="6">
        <v>45443</v>
      </c>
      <c r="G2763">
        <v>100</v>
      </c>
      <c r="H2763">
        <v>91</v>
      </c>
      <c r="I2763">
        <v>0.91</v>
      </c>
      <c r="J2763">
        <v>0.91</v>
      </c>
      <c r="K2763" t="s">
        <v>31</v>
      </c>
      <c r="L2763" t="s">
        <v>31</v>
      </c>
      <c r="M2763">
        <v>2024</v>
      </c>
      <c r="N2763" t="s">
        <v>42</v>
      </c>
      <c r="O2763" t="s">
        <v>71</v>
      </c>
      <c r="P2763">
        <v>0</v>
      </c>
      <c r="Q2763">
        <v>0</v>
      </c>
      <c r="R2763">
        <v>1</v>
      </c>
      <c r="S2763" t="s">
        <v>99</v>
      </c>
      <c r="T2763" t="s">
        <v>4719</v>
      </c>
      <c r="U2763">
        <v>1</v>
      </c>
    </row>
    <row r="2764" spans="1:21" x14ac:dyDescent="0.3">
      <c r="A2764" t="s">
        <v>4704</v>
      </c>
      <c r="B2764" t="s">
        <v>4705</v>
      </c>
      <c r="C2764" t="s">
        <v>266</v>
      </c>
      <c r="D2764" t="s">
        <v>29</v>
      </c>
      <c r="E2764" t="s">
        <v>30</v>
      </c>
      <c r="F2764" s="6">
        <v>45473</v>
      </c>
      <c r="G2764">
        <v>100</v>
      </c>
      <c r="H2764">
        <v>91</v>
      </c>
      <c r="I2764">
        <v>0.91</v>
      </c>
      <c r="J2764">
        <v>0.91</v>
      </c>
      <c r="K2764" t="s">
        <v>31</v>
      </c>
      <c r="L2764" t="s">
        <v>31</v>
      </c>
      <c r="M2764">
        <v>2024</v>
      </c>
      <c r="N2764" t="s">
        <v>44</v>
      </c>
      <c r="O2764" t="s">
        <v>71</v>
      </c>
      <c r="P2764">
        <v>0</v>
      </c>
      <c r="Q2764">
        <v>0</v>
      </c>
      <c r="R2764">
        <v>1</v>
      </c>
      <c r="S2764" t="s">
        <v>99</v>
      </c>
      <c r="T2764" t="s">
        <v>4720</v>
      </c>
      <c r="U2764">
        <v>1</v>
      </c>
    </row>
    <row r="2765" spans="1:21" x14ac:dyDescent="0.3">
      <c r="A2765" t="s">
        <v>4704</v>
      </c>
      <c r="B2765" t="s">
        <v>4705</v>
      </c>
      <c r="C2765" t="s">
        <v>266</v>
      </c>
      <c r="D2765" t="s">
        <v>29</v>
      </c>
      <c r="E2765" t="s">
        <v>30</v>
      </c>
      <c r="F2765" s="6">
        <v>45504</v>
      </c>
      <c r="G2765">
        <v>100</v>
      </c>
      <c r="H2765">
        <v>91</v>
      </c>
      <c r="I2765">
        <v>0.91</v>
      </c>
      <c r="J2765">
        <v>0.91</v>
      </c>
      <c r="K2765" t="s">
        <v>31</v>
      </c>
      <c r="L2765" t="s">
        <v>31</v>
      </c>
      <c r="M2765">
        <v>2024</v>
      </c>
      <c r="N2765" t="s">
        <v>46</v>
      </c>
      <c r="O2765" t="s">
        <v>78</v>
      </c>
      <c r="P2765">
        <v>0</v>
      </c>
      <c r="Q2765">
        <v>0</v>
      </c>
      <c r="R2765">
        <v>1</v>
      </c>
      <c r="S2765" t="s">
        <v>99</v>
      </c>
      <c r="T2765" t="s">
        <v>4721</v>
      </c>
      <c r="U2765">
        <v>1</v>
      </c>
    </row>
    <row r="2766" spans="1:21" x14ac:dyDescent="0.3">
      <c r="A2766" t="s">
        <v>4704</v>
      </c>
      <c r="B2766" t="s">
        <v>4705</v>
      </c>
      <c r="C2766" t="s">
        <v>266</v>
      </c>
      <c r="D2766" t="s">
        <v>29</v>
      </c>
      <c r="E2766" t="s">
        <v>30</v>
      </c>
      <c r="F2766" s="6">
        <v>45535</v>
      </c>
      <c r="G2766">
        <v>100</v>
      </c>
      <c r="H2766">
        <v>95</v>
      </c>
      <c r="I2766">
        <v>0.95</v>
      </c>
      <c r="J2766">
        <v>0.95</v>
      </c>
      <c r="K2766" t="s">
        <v>31</v>
      </c>
      <c r="L2766" t="s">
        <v>31</v>
      </c>
      <c r="M2766">
        <v>2024</v>
      </c>
      <c r="N2766" t="s">
        <v>49</v>
      </c>
      <c r="O2766" t="s">
        <v>78</v>
      </c>
      <c r="P2766">
        <v>0</v>
      </c>
      <c r="Q2766">
        <v>0</v>
      </c>
      <c r="R2766">
        <v>1</v>
      </c>
      <c r="S2766" t="s">
        <v>99</v>
      </c>
      <c r="T2766" t="s">
        <v>4722</v>
      </c>
      <c r="U2766">
        <v>1</v>
      </c>
    </row>
    <row r="2767" spans="1:21" x14ac:dyDescent="0.3">
      <c r="A2767" t="s">
        <v>4704</v>
      </c>
      <c r="B2767" t="s">
        <v>4705</v>
      </c>
      <c r="C2767" t="s">
        <v>266</v>
      </c>
      <c r="D2767" t="s">
        <v>29</v>
      </c>
      <c r="E2767" t="s">
        <v>30</v>
      </c>
      <c r="F2767" s="6">
        <v>45565</v>
      </c>
      <c r="G2767">
        <v>100</v>
      </c>
      <c r="H2767">
        <v>95</v>
      </c>
      <c r="I2767">
        <v>0.95</v>
      </c>
      <c r="J2767">
        <v>0.95</v>
      </c>
      <c r="K2767" t="s">
        <v>31</v>
      </c>
      <c r="L2767" t="s">
        <v>31</v>
      </c>
      <c r="M2767">
        <v>2024</v>
      </c>
      <c r="N2767" t="s">
        <v>51</v>
      </c>
      <c r="O2767" t="s">
        <v>78</v>
      </c>
      <c r="P2767">
        <v>0</v>
      </c>
      <c r="Q2767">
        <v>0</v>
      </c>
      <c r="R2767">
        <v>1</v>
      </c>
      <c r="S2767" t="s">
        <v>99</v>
      </c>
      <c r="T2767" t="s">
        <v>4723</v>
      </c>
      <c r="U2767">
        <v>1</v>
      </c>
    </row>
    <row r="2768" spans="1:21" x14ac:dyDescent="0.3">
      <c r="A2768" t="s">
        <v>4704</v>
      </c>
      <c r="B2768" t="s">
        <v>4705</v>
      </c>
      <c r="C2768" t="s">
        <v>266</v>
      </c>
      <c r="D2768" t="s">
        <v>29</v>
      </c>
      <c r="E2768" t="s">
        <v>30</v>
      </c>
      <c r="F2768" s="6">
        <v>45596</v>
      </c>
      <c r="G2768">
        <v>100</v>
      </c>
      <c r="H2768">
        <v>99</v>
      </c>
      <c r="I2768">
        <v>0.99</v>
      </c>
      <c r="J2768">
        <v>0.99</v>
      </c>
      <c r="K2768" t="s">
        <v>31</v>
      </c>
      <c r="L2768" t="s">
        <v>31</v>
      </c>
      <c r="M2768">
        <v>2024</v>
      </c>
      <c r="N2768" t="s">
        <v>53</v>
      </c>
      <c r="O2768" t="s">
        <v>78</v>
      </c>
      <c r="P2768">
        <v>0</v>
      </c>
      <c r="Q2768">
        <v>0</v>
      </c>
      <c r="R2768">
        <v>1</v>
      </c>
      <c r="S2768" t="s">
        <v>99</v>
      </c>
      <c r="T2768" t="s">
        <v>4724</v>
      </c>
      <c r="U2768">
        <v>1</v>
      </c>
    </row>
    <row r="2769" spans="1:21" x14ac:dyDescent="0.3">
      <c r="A2769" t="s">
        <v>4704</v>
      </c>
      <c r="B2769" t="s">
        <v>4705</v>
      </c>
      <c r="C2769" t="s">
        <v>266</v>
      </c>
      <c r="D2769" t="s">
        <v>29</v>
      </c>
      <c r="E2769" t="s">
        <v>30</v>
      </c>
      <c r="F2769" s="6">
        <v>45626</v>
      </c>
      <c r="G2769">
        <v>100</v>
      </c>
      <c r="H2769">
        <v>99</v>
      </c>
      <c r="I2769">
        <v>0.99</v>
      </c>
      <c r="J2769">
        <v>0.99</v>
      </c>
      <c r="K2769" t="s">
        <v>31</v>
      </c>
      <c r="L2769" t="s">
        <v>31</v>
      </c>
      <c r="M2769">
        <v>2024</v>
      </c>
      <c r="N2769" t="s">
        <v>55</v>
      </c>
      <c r="O2769" t="s">
        <v>78</v>
      </c>
      <c r="P2769">
        <v>0</v>
      </c>
      <c r="Q2769">
        <v>0</v>
      </c>
      <c r="R2769">
        <v>1</v>
      </c>
      <c r="S2769" t="s">
        <v>99</v>
      </c>
      <c r="T2769" t="s">
        <v>4725</v>
      </c>
      <c r="U2769">
        <v>1</v>
      </c>
    </row>
    <row r="2770" spans="1:21" x14ac:dyDescent="0.3">
      <c r="A2770" t="s">
        <v>4704</v>
      </c>
      <c r="B2770" t="s">
        <v>4705</v>
      </c>
      <c r="C2770" t="s">
        <v>266</v>
      </c>
      <c r="D2770" t="s">
        <v>29</v>
      </c>
      <c r="E2770" t="s">
        <v>30</v>
      </c>
      <c r="F2770" s="6">
        <v>45657</v>
      </c>
      <c r="G2770">
        <v>100</v>
      </c>
      <c r="H2770">
        <v>100</v>
      </c>
      <c r="I2770">
        <v>1</v>
      </c>
      <c r="J2770">
        <v>1</v>
      </c>
      <c r="K2770" t="s">
        <v>31</v>
      </c>
      <c r="L2770" t="s">
        <v>31</v>
      </c>
      <c r="M2770">
        <v>2024</v>
      </c>
      <c r="N2770" t="s">
        <v>57</v>
      </c>
      <c r="O2770" t="s">
        <v>78</v>
      </c>
      <c r="P2770">
        <v>0</v>
      </c>
      <c r="Q2770">
        <v>0</v>
      </c>
      <c r="R2770">
        <v>1</v>
      </c>
      <c r="S2770" t="s">
        <v>99</v>
      </c>
      <c r="T2770" t="s">
        <v>4726</v>
      </c>
      <c r="U2770">
        <v>1</v>
      </c>
    </row>
    <row r="2771" spans="1:21" x14ac:dyDescent="0.3">
      <c r="A2771" t="s">
        <v>4727</v>
      </c>
      <c r="B2771" t="s">
        <v>4728</v>
      </c>
      <c r="C2771" t="s">
        <v>262</v>
      </c>
      <c r="D2771" t="s">
        <v>222</v>
      </c>
      <c r="E2771" t="s">
        <v>108</v>
      </c>
      <c r="F2771" s="6">
        <v>45107</v>
      </c>
      <c r="G2771">
        <v>20</v>
      </c>
      <c r="H2771">
        <v>19</v>
      </c>
      <c r="I2771">
        <v>1.0526315789473679</v>
      </c>
      <c r="J2771">
        <v>1.0526315789473679</v>
      </c>
      <c r="K2771" t="s">
        <v>3807</v>
      </c>
      <c r="L2771" t="s">
        <v>3807</v>
      </c>
      <c r="M2771">
        <v>2023</v>
      </c>
      <c r="N2771" t="s">
        <v>44</v>
      </c>
      <c r="O2771" t="s">
        <v>33</v>
      </c>
      <c r="P2771">
        <v>0</v>
      </c>
      <c r="Q2771">
        <v>0</v>
      </c>
      <c r="R2771">
        <v>0</v>
      </c>
      <c r="S2771" t="s">
        <v>99</v>
      </c>
      <c r="T2771" t="s">
        <v>4729</v>
      </c>
      <c r="U2771">
        <v>1</v>
      </c>
    </row>
    <row r="2772" spans="1:21" x14ac:dyDescent="0.3">
      <c r="A2772" t="s">
        <v>4727</v>
      </c>
      <c r="B2772" t="s">
        <v>4728</v>
      </c>
      <c r="C2772" t="s">
        <v>262</v>
      </c>
      <c r="D2772" t="s">
        <v>222</v>
      </c>
      <c r="E2772" t="s">
        <v>108</v>
      </c>
      <c r="F2772" s="6">
        <v>45291</v>
      </c>
      <c r="G2772">
        <v>20</v>
      </c>
      <c r="H2772">
        <v>17</v>
      </c>
      <c r="I2772">
        <v>1.1764705882352939</v>
      </c>
      <c r="J2772">
        <v>1.1764705882352939</v>
      </c>
      <c r="K2772" t="s">
        <v>3807</v>
      </c>
      <c r="L2772" t="s">
        <v>3807</v>
      </c>
      <c r="M2772">
        <v>2023</v>
      </c>
      <c r="N2772" t="s">
        <v>57</v>
      </c>
      <c r="O2772" t="s">
        <v>47</v>
      </c>
      <c r="P2772">
        <v>0</v>
      </c>
      <c r="Q2772">
        <v>0</v>
      </c>
      <c r="R2772">
        <v>0</v>
      </c>
      <c r="S2772" t="s">
        <v>99</v>
      </c>
      <c r="T2772" t="s">
        <v>4730</v>
      </c>
      <c r="U2772">
        <v>1</v>
      </c>
    </row>
    <row r="2773" spans="1:21" x14ac:dyDescent="0.3">
      <c r="A2773" t="s">
        <v>4727</v>
      </c>
      <c r="B2773" t="s">
        <v>4728</v>
      </c>
      <c r="C2773" t="s">
        <v>262</v>
      </c>
      <c r="D2773" t="s">
        <v>222</v>
      </c>
      <c r="E2773" t="s">
        <v>108</v>
      </c>
      <c r="F2773" s="6">
        <v>45473</v>
      </c>
      <c r="G2773">
        <v>20</v>
      </c>
      <c r="H2773">
        <v>20</v>
      </c>
      <c r="I2773">
        <v>1</v>
      </c>
      <c r="J2773">
        <v>1</v>
      </c>
      <c r="K2773" t="s">
        <v>3807</v>
      </c>
      <c r="L2773" t="s">
        <v>3807</v>
      </c>
      <c r="M2773">
        <v>2024</v>
      </c>
      <c r="N2773" t="s">
        <v>44</v>
      </c>
      <c r="O2773" t="s">
        <v>71</v>
      </c>
      <c r="P2773">
        <v>0</v>
      </c>
      <c r="Q2773">
        <v>0</v>
      </c>
      <c r="R2773">
        <v>0</v>
      </c>
      <c r="S2773" t="s">
        <v>99</v>
      </c>
      <c r="T2773" t="s">
        <v>4731</v>
      </c>
      <c r="U2773">
        <v>1</v>
      </c>
    </row>
    <row r="2774" spans="1:21" x14ac:dyDescent="0.3">
      <c r="A2774" t="s">
        <v>4727</v>
      </c>
      <c r="B2774" t="s">
        <v>4728</v>
      </c>
      <c r="C2774" t="s">
        <v>262</v>
      </c>
      <c r="D2774" t="s">
        <v>222</v>
      </c>
      <c r="E2774" t="s">
        <v>108</v>
      </c>
      <c r="F2774" s="6">
        <v>45657</v>
      </c>
      <c r="G2774">
        <v>20</v>
      </c>
      <c r="H2774">
        <v>17</v>
      </c>
      <c r="I2774">
        <v>0.85</v>
      </c>
      <c r="J2774">
        <v>0.85</v>
      </c>
      <c r="K2774" t="s">
        <v>3807</v>
      </c>
      <c r="L2774" t="s">
        <v>3807</v>
      </c>
      <c r="M2774">
        <v>2024</v>
      </c>
      <c r="N2774" t="s">
        <v>57</v>
      </c>
      <c r="O2774" t="s">
        <v>78</v>
      </c>
      <c r="P2774">
        <v>0</v>
      </c>
      <c r="Q2774">
        <v>0</v>
      </c>
      <c r="R2774">
        <v>0</v>
      </c>
      <c r="S2774" t="s">
        <v>99</v>
      </c>
      <c r="T2774" t="s">
        <v>4732</v>
      </c>
      <c r="U2774">
        <v>1</v>
      </c>
    </row>
    <row r="2775" spans="1:21" x14ac:dyDescent="0.3">
      <c r="A2775" t="s">
        <v>4727</v>
      </c>
      <c r="B2775" t="s">
        <v>4728</v>
      </c>
      <c r="C2775" t="s">
        <v>262</v>
      </c>
      <c r="D2775" t="s">
        <v>222</v>
      </c>
      <c r="E2775" t="s">
        <v>108</v>
      </c>
      <c r="F2775" s="6">
        <v>45838</v>
      </c>
      <c r="G2775">
        <v>20</v>
      </c>
      <c r="H2775" t="s">
        <v>4733</v>
      </c>
      <c r="I2775">
        <v>1.0526315789473679</v>
      </c>
      <c r="J2775">
        <v>1.0526315789473679</v>
      </c>
      <c r="K2775" t="s">
        <v>1298</v>
      </c>
      <c r="L2775" t="s">
        <v>4734</v>
      </c>
      <c r="M2775">
        <v>2025</v>
      </c>
      <c r="N2775" t="s">
        <v>44</v>
      </c>
      <c r="O2775" t="s">
        <v>244</v>
      </c>
      <c r="P2775">
        <v>2</v>
      </c>
      <c r="Q2775">
        <v>2</v>
      </c>
      <c r="R2775">
        <v>0</v>
      </c>
      <c r="S2775" t="s">
        <v>104</v>
      </c>
      <c r="T2775" t="s">
        <v>4735</v>
      </c>
      <c r="U2775">
        <v>30</v>
      </c>
    </row>
    <row r="2776" spans="1:21" x14ac:dyDescent="0.3">
      <c r="A2776" t="s">
        <v>4727</v>
      </c>
      <c r="B2776" t="s">
        <v>4728</v>
      </c>
      <c r="C2776" t="s">
        <v>262</v>
      </c>
      <c r="D2776" t="s">
        <v>222</v>
      </c>
      <c r="E2776" t="s">
        <v>108</v>
      </c>
      <c r="F2776" s="6">
        <v>46022</v>
      </c>
      <c r="G2776">
        <v>20</v>
      </c>
      <c r="H2776" t="s">
        <v>1462</v>
      </c>
      <c r="I2776">
        <v>1</v>
      </c>
      <c r="J2776">
        <v>1</v>
      </c>
      <c r="K2776" t="s">
        <v>1298</v>
      </c>
      <c r="L2776" t="s">
        <v>1298</v>
      </c>
      <c r="M2776">
        <v>2025</v>
      </c>
      <c r="N2776" t="s">
        <v>57</v>
      </c>
      <c r="O2776" t="s">
        <v>103</v>
      </c>
      <c r="P2776">
        <v>2</v>
      </c>
      <c r="Q2776">
        <v>2</v>
      </c>
      <c r="R2776">
        <v>0</v>
      </c>
      <c r="S2776" t="s">
        <v>104</v>
      </c>
      <c r="T2776" t="s">
        <v>4736</v>
      </c>
      <c r="U2776">
        <v>31</v>
      </c>
    </row>
    <row r="2777" spans="1:21" x14ac:dyDescent="0.3">
      <c r="A2777" t="s">
        <v>271</v>
      </c>
      <c r="B2777" t="s">
        <v>4737</v>
      </c>
      <c r="C2777" t="s">
        <v>262</v>
      </c>
      <c r="D2777" t="s">
        <v>222</v>
      </c>
      <c r="E2777" t="s">
        <v>30</v>
      </c>
      <c r="F2777" s="6">
        <v>45107</v>
      </c>
      <c r="G2777">
        <v>80</v>
      </c>
      <c r="H2777">
        <v>87.179487179486998</v>
      </c>
      <c r="I2777">
        <v>1.089743589743587</v>
      </c>
      <c r="J2777">
        <v>1.089743589743587</v>
      </c>
      <c r="K2777" t="s">
        <v>31</v>
      </c>
      <c r="L2777" t="s">
        <v>31</v>
      </c>
      <c r="M2777">
        <v>2023</v>
      </c>
      <c r="N2777" t="s">
        <v>44</v>
      </c>
      <c r="O2777" t="s">
        <v>33</v>
      </c>
      <c r="P2777">
        <v>0</v>
      </c>
      <c r="Q2777">
        <v>0</v>
      </c>
      <c r="R2777">
        <v>0</v>
      </c>
      <c r="S2777" t="s">
        <v>99</v>
      </c>
      <c r="T2777" t="s">
        <v>4738</v>
      </c>
      <c r="U2777">
        <v>1</v>
      </c>
    </row>
    <row r="2778" spans="1:21" x14ac:dyDescent="0.3">
      <c r="A2778" t="s">
        <v>271</v>
      </c>
      <c r="B2778" t="s">
        <v>4737</v>
      </c>
      <c r="C2778" t="s">
        <v>262</v>
      </c>
      <c r="D2778" t="s">
        <v>222</v>
      </c>
      <c r="E2778" t="s">
        <v>30</v>
      </c>
      <c r="F2778" s="6">
        <v>45291</v>
      </c>
      <c r="G2778">
        <v>80</v>
      </c>
      <c r="H2778">
        <v>94.64</v>
      </c>
      <c r="I2778">
        <v>1.1830000000000001</v>
      </c>
      <c r="J2778">
        <v>1.1830000000000001</v>
      </c>
      <c r="K2778" t="s">
        <v>31</v>
      </c>
      <c r="L2778" t="s">
        <v>31</v>
      </c>
      <c r="M2778">
        <v>2023</v>
      </c>
      <c r="N2778" t="s">
        <v>57</v>
      </c>
      <c r="O2778" t="s">
        <v>47</v>
      </c>
      <c r="P2778">
        <v>0</v>
      </c>
      <c r="Q2778">
        <v>0</v>
      </c>
      <c r="R2778">
        <v>0</v>
      </c>
      <c r="S2778" t="s">
        <v>99</v>
      </c>
      <c r="T2778" t="s">
        <v>4739</v>
      </c>
      <c r="U2778">
        <v>1</v>
      </c>
    </row>
    <row r="2779" spans="1:21" x14ac:dyDescent="0.3">
      <c r="A2779" t="s">
        <v>271</v>
      </c>
      <c r="B2779" t="s">
        <v>4737</v>
      </c>
      <c r="C2779" t="s">
        <v>262</v>
      </c>
      <c r="D2779" t="s">
        <v>222</v>
      </c>
      <c r="E2779" t="s">
        <v>30</v>
      </c>
      <c r="F2779" s="6">
        <v>45473</v>
      </c>
      <c r="G2779">
        <v>80</v>
      </c>
      <c r="H2779">
        <v>91.53</v>
      </c>
      <c r="I2779">
        <v>1.1441250000000001</v>
      </c>
      <c r="J2779">
        <v>1.1441250000000001</v>
      </c>
      <c r="K2779" t="s">
        <v>31</v>
      </c>
      <c r="L2779" t="s">
        <v>31</v>
      </c>
      <c r="M2779">
        <v>2024</v>
      </c>
      <c r="N2779" t="s">
        <v>44</v>
      </c>
      <c r="O2779" t="s">
        <v>71</v>
      </c>
      <c r="P2779">
        <v>0</v>
      </c>
      <c r="Q2779">
        <v>0</v>
      </c>
      <c r="R2779">
        <v>0</v>
      </c>
      <c r="S2779" t="s">
        <v>99</v>
      </c>
      <c r="T2779" t="s">
        <v>4740</v>
      </c>
      <c r="U2779">
        <v>1</v>
      </c>
    </row>
    <row r="2780" spans="1:21" x14ac:dyDescent="0.3">
      <c r="A2780" t="s">
        <v>271</v>
      </c>
      <c r="B2780" t="s">
        <v>4737</v>
      </c>
      <c r="C2780" t="s">
        <v>262</v>
      </c>
      <c r="D2780" t="s">
        <v>222</v>
      </c>
      <c r="E2780" t="s">
        <v>30</v>
      </c>
      <c r="F2780" s="6">
        <v>45657</v>
      </c>
      <c r="G2780">
        <v>80</v>
      </c>
      <c r="H2780">
        <v>95.45</v>
      </c>
      <c r="I2780">
        <v>1.193125</v>
      </c>
      <c r="J2780">
        <v>1.193125</v>
      </c>
      <c r="K2780" t="s">
        <v>31</v>
      </c>
      <c r="L2780" t="s">
        <v>31</v>
      </c>
      <c r="M2780">
        <v>2024</v>
      </c>
      <c r="N2780" t="s">
        <v>57</v>
      </c>
      <c r="O2780" t="s">
        <v>78</v>
      </c>
      <c r="P2780">
        <v>0</v>
      </c>
      <c r="Q2780">
        <v>0</v>
      </c>
      <c r="R2780">
        <v>0</v>
      </c>
      <c r="S2780" t="s">
        <v>99</v>
      </c>
      <c r="T2780" t="s">
        <v>4741</v>
      </c>
      <c r="U2780">
        <v>1</v>
      </c>
    </row>
    <row r="2781" spans="1:21" x14ac:dyDescent="0.3">
      <c r="A2781" t="s">
        <v>271</v>
      </c>
      <c r="B2781" t="s">
        <v>4737</v>
      </c>
      <c r="C2781" t="s">
        <v>262</v>
      </c>
      <c r="D2781" t="s">
        <v>222</v>
      </c>
      <c r="E2781" t="s">
        <v>30</v>
      </c>
      <c r="F2781" s="6">
        <v>45838</v>
      </c>
      <c r="G2781">
        <v>80</v>
      </c>
      <c r="H2781" t="s">
        <v>4742</v>
      </c>
      <c r="I2781">
        <v>1.1436249999999999</v>
      </c>
      <c r="J2781">
        <v>1.1436249999999999</v>
      </c>
      <c r="K2781" t="s">
        <v>193</v>
      </c>
      <c r="L2781" t="s">
        <v>4743</v>
      </c>
      <c r="M2781">
        <v>2025</v>
      </c>
      <c r="N2781" t="s">
        <v>44</v>
      </c>
      <c r="O2781" t="s">
        <v>244</v>
      </c>
      <c r="P2781">
        <v>2</v>
      </c>
      <c r="Q2781">
        <v>2</v>
      </c>
      <c r="R2781">
        <v>0</v>
      </c>
      <c r="S2781" t="s">
        <v>104</v>
      </c>
      <c r="T2781" t="s">
        <v>4744</v>
      </c>
      <c r="U2781">
        <v>30</v>
      </c>
    </row>
    <row r="2782" spans="1:21" x14ac:dyDescent="0.3">
      <c r="A2782" t="s">
        <v>271</v>
      </c>
      <c r="B2782" t="s">
        <v>4737</v>
      </c>
      <c r="C2782" t="s">
        <v>262</v>
      </c>
      <c r="D2782" t="s">
        <v>222</v>
      </c>
      <c r="E2782" t="s">
        <v>30</v>
      </c>
      <c r="F2782" s="6">
        <v>46022</v>
      </c>
      <c r="G2782">
        <v>80</v>
      </c>
      <c r="H2782" t="s">
        <v>2251</v>
      </c>
      <c r="I2782">
        <v>1.129</v>
      </c>
      <c r="J2782">
        <v>1.129</v>
      </c>
      <c r="K2782" t="s">
        <v>193</v>
      </c>
      <c r="L2782" t="s">
        <v>2252</v>
      </c>
      <c r="M2782">
        <v>2025</v>
      </c>
      <c r="N2782" t="s">
        <v>57</v>
      </c>
      <c r="O2782" t="s">
        <v>103</v>
      </c>
      <c r="P2782">
        <v>2</v>
      </c>
      <c r="Q2782">
        <v>2</v>
      </c>
      <c r="R2782">
        <v>0</v>
      </c>
      <c r="S2782" t="s">
        <v>104</v>
      </c>
      <c r="T2782" t="s">
        <v>4745</v>
      </c>
      <c r="U2782">
        <v>31</v>
      </c>
    </row>
    <row r="2783" spans="1:21" x14ac:dyDescent="0.3">
      <c r="A2783" t="s">
        <v>4330</v>
      </c>
      <c r="B2783" t="s">
        <v>4746</v>
      </c>
      <c r="C2783" t="s">
        <v>270</v>
      </c>
      <c r="D2783" t="s">
        <v>29</v>
      </c>
      <c r="E2783" t="s">
        <v>30</v>
      </c>
      <c r="F2783" s="6">
        <v>44592</v>
      </c>
      <c r="G2783">
        <v>97</v>
      </c>
      <c r="H2783">
        <v>98.2</v>
      </c>
      <c r="I2783">
        <v>1.012371134020619</v>
      </c>
      <c r="J2783">
        <v>1.012371134020619</v>
      </c>
      <c r="K2783" t="s">
        <v>31</v>
      </c>
      <c r="L2783" t="s">
        <v>31</v>
      </c>
      <c r="M2783">
        <v>2022</v>
      </c>
      <c r="N2783" t="s">
        <v>32</v>
      </c>
      <c r="O2783" t="s">
        <v>88</v>
      </c>
      <c r="P2783">
        <v>1</v>
      </c>
      <c r="Q2783">
        <v>1</v>
      </c>
      <c r="R2783">
        <v>1</v>
      </c>
      <c r="S2783" t="s">
        <v>99</v>
      </c>
      <c r="T2783" t="s">
        <v>4747</v>
      </c>
      <c r="U2783">
        <v>1</v>
      </c>
    </row>
    <row r="2784" spans="1:21" x14ac:dyDescent="0.3">
      <c r="A2784" t="s">
        <v>4330</v>
      </c>
      <c r="B2784" t="s">
        <v>4746</v>
      </c>
      <c r="C2784" t="s">
        <v>270</v>
      </c>
      <c r="D2784" t="s">
        <v>29</v>
      </c>
      <c r="E2784" t="s">
        <v>30</v>
      </c>
      <c r="F2784" s="6">
        <v>44620</v>
      </c>
      <c r="G2784">
        <v>97</v>
      </c>
      <c r="H2784">
        <v>96.1</v>
      </c>
      <c r="I2784">
        <v>0.990721649484536</v>
      </c>
      <c r="J2784">
        <v>0.990721649484536</v>
      </c>
      <c r="K2784" t="s">
        <v>31</v>
      </c>
      <c r="L2784" t="s">
        <v>31</v>
      </c>
      <c r="M2784">
        <v>2022</v>
      </c>
      <c r="N2784" t="s">
        <v>36</v>
      </c>
      <c r="O2784" t="s">
        <v>88</v>
      </c>
      <c r="P2784">
        <v>1</v>
      </c>
      <c r="Q2784">
        <v>1</v>
      </c>
      <c r="R2784">
        <v>1</v>
      </c>
      <c r="S2784" t="s">
        <v>99</v>
      </c>
      <c r="T2784" t="s">
        <v>4748</v>
      </c>
      <c r="U2784">
        <v>1</v>
      </c>
    </row>
    <row r="2785" spans="1:21" x14ac:dyDescent="0.3">
      <c r="A2785" t="s">
        <v>4330</v>
      </c>
      <c r="B2785" t="s">
        <v>4746</v>
      </c>
      <c r="C2785" t="s">
        <v>270</v>
      </c>
      <c r="D2785" t="s">
        <v>29</v>
      </c>
      <c r="E2785" t="s">
        <v>30</v>
      </c>
      <c r="F2785" s="6">
        <v>44651</v>
      </c>
      <c r="G2785">
        <v>97</v>
      </c>
      <c r="H2785">
        <v>99.1</v>
      </c>
      <c r="I2785">
        <v>1.021649484536082</v>
      </c>
      <c r="J2785">
        <v>1.021649484536082</v>
      </c>
      <c r="K2785" t="s">
        <v>31</v>
      </c>
      <c r="L2785" t="s">
        <v>31</v>
      </c>
      <c r="M2785">
        <v>2022</v>
      </c>
      <c r="N2785" t="s">
        <v>38</v>
      </c>
      <c r="O2785" t="s">
        <v>88</v>
      </c>
      <c r="P2785">
        <v>1</v>
      </c>
      <c r="Q2785">
        <v>1</v>
      </c>
      <c r="R2785">
        <v>1</v>
      </c>
      <c r="S2785" t="s">
        <v>99</v>
      </c>
      <c r="T2785" t="s">
        <v>4749</v>
      </c>
      <c r="U2785">
        <v>1</v>
      </c>
    </row>
    <row r="2786" spans="1:21" x14ac:dyDescent="0.3">
      <c r="A2786" t="s">
        <v>4330</v>
      </c>
      <c r="B2786" t="s">
        <v>4746</v>
      </c>
      <c r="C2786" t="s">
        <v>270</v>
      </c>
      <c r="D2786" t="s">
        <v>29</v>
      </c>
      <c r="E2786" t="s">
        <v>30</v>
      </c>
      <c r="F2786" s="6">
        <v>44681</v>
      </c>
      <c r="G2786">
        <v>97</v>
      </c>
      <c r="H2786">
        <v>96.5</v>
      </c>
      <c r="I2786">
        <v>0.99484536082474229</v>
      </c>
      <c r="J2786">
        <v>0.99484536082474229</v>
      </c>
      <c r="K2786" t="s">
        <v>31</v>
      </c>
      <c r="L2786" t="s">
        <v>31</v>
      </c>
      <c r="M2786">
        <v>2022</v>
      </c>
      <c r="N2786" t="s">
        <v>40</v>
      </c>
      <c r="O2786" t="s">
        <v>88</v>
      </c>
      <c r="P2786">
        <v>1</v>
      </c>
      <c r="Q2786">
        <v>1</v>
      </c>
      <c r="R2786">
        <v>1</v>
      </c>
      <c r="S2786" t="s">
        <v>99</v>
      </c>
      <c r="T2786" t="s">
        <v>4750</v>
      </c>
      <c r="U2786">
        <v>1</v>
      </c>
    </row>
    <row r="2787" spans="1:21" x14ac:dyDescent="0.3">
      <c r="A2787" t="s">
        <v>4330</v>
      </c>
      <c r="B2787" t="s">
        <v>4746</v>
      </c>
      <c r="C2787" t="s">
        <v>270</v>
      </c>
      <c r="D2787" t="s">
        <v>29</v>
      </c>
      <c r="E2787" t="s">
        <v>30</v>
      </c>
      <c r="F2787" s="6">
        <v>44712</v>
      </c>
      <c r="G2787">
        <v>97</v>
      </c>
      <c r="H2787">
        <v>97.4</v>
      </c>
      <c r="I2787">
        <v>1.0041237113402059</v>
      </c>
      <c r="J2787">
        <v>1.0041237113402059</v>
      </c>
      <c r="K2787" t="s">
        <v>31</v>
      </c>
      <c r="L2787" t="s">
        <v>31</v>
      </c>
      <c r="M2787">
        <v>2022</v>
      </c>
      <c r="N2787" t="s">
        <v>42</v>
      </c>
      <c r="O2787" t="s">
        <v>88</v>
      </c>
      <c r="P2787">
        <v>1</v>
      </c>
      <c r="Q2787">
        <v>1</v>
      </c>
      <c r="R2787">
        <v>1</v>
      </c>
      <c r="S2787" t="s">
        <v>99</v>
      </c>
      <c r="T2787" t="s">
        <v>4751</v>
      </c>
      <c r="U2787">
        <v>1</v>
      </c>
    </row>
    <row r="2788" spans="1:21" x14ac:dyDescent="0.3">
      <c r="A2788" t="s">
        <v>4330</v>
      </c>
      <c r="B2788" t="s">
        <v>4746</v>
      </c>
      <c r="C2788" t="s">
        <v>270</v>
      </c>
      <c r="D2788" t="s">
        <v>29</v>
      </c>
      <c r="E2788" t="s">
        <v>30</v>
      </c>
      <c r="F2788" s="6">
        <v>44742</v>
      </c>
      <c r="G2788">
        <v>97</v>
      </c>
      <c r="H2788">
        <v>98.8</v>
      </c>
      <c r="I2788">
        <v>1.018556701030928</v>
      </c>
      <c r="J2788">
        <v>1.018556701030928</v>
      </c>
      <c r="K2788" t="s">
        <v>31</v>
      </c>
      <c r="L2788" t="s">
        <v>31</v>
      </c>
      <c r="M2788">
        <v>2022</v>
      </c>
      <c r="N2788" t="s">
        <v>44</v>
      </c>
      <c r="O2788" t="s">
        <v>88</v>
      </c>
      <c r="P2788">
        <v>1</v>
      </c>
      <c r="Q2788">
        <v>1</v>
      </c>
      <c r="R2788">
        <v>1</v>
      </c>
      <c r="S2788" t="s">
        <v>99</v>
      </c>
      <c r="T2788" t="s">
        <v>4752</v>
      </c>
      <c r="U2788">
        <v>1</v>
      </c>
    </row>
    <row r="2789" spans="1:21" x14ac:dyDescent="0.3">
      <c r="A2789" t="s">
        <v>4330</v>
      </c>
      <c r="B2789" t="s">
        <v>4746</v>
      </c>
      <c r="C2789" t="s">
        <v>270</v>
      </c>
      <c r="D2789" t="s">
        <v>29</v>
      </c>
      <c r="E2789" t="s">
        <v>30</v>
      </c>
      <c r="F2789" s="6">
        <v>44773</v>
      </c>
      <c r="G2789">
        <v>97</v>
      </c>
      <c r="H2789">
        <v>97.09</v>
      </c>
      <c r="I2789">
        <v>1.000927835051546</v>
      </c>
      <c r="J2789">
        <v>1.000927835051546</v>
      </c>
      <c r="K2789" t="s">
        <v>31</v>
      </c>
      <c r="L2789" t="s">
        <v>31</v>
      </c>
      <c r="M2789">
        <v>2022</v>
      </c>
      <c r="N2789" t="s">
        <v>46</v>
      </c>
      <c r="O2789" t="s">
        <v>90</v>
      </c>
      <c r="P2789">
        <v>1</v>
      </c>
      <c r="Q2789">
        <v>1</v>
      </c>
      <c r="R2789">
        <v>1</v>
      </c>
      <c r="S2789" t="s">
        <v>99</v>
      </c>
      <c r="T2789" t="s">
        <v>4753</v>
      </c>
      <c r="U2789">
        <v>1</v>
      </c>
    </row>
    <row r="2790" spans="1:21" x14ac:dyDescent="0.3">
      <c r="A2790" t="s">
        <v>4330</v>
      </c>
      <c r="B2790" t="s">
        <v>4746</v>
      </c>
      <c r="C2790" t="s">
        <v>270</v>
      </c>
      <c r="D2790" t="s">
        <v>29</v>
      </c>
      <c r="E2790" t="s">
        <v>30</v>
      </c>
      <c r="F2790" s="6">
        <v>44804</v>
      </c>
      <c r="G2790">
        <v>97</v>
      </c>
      <c r="H2790">
        <v>99.01</v>
      </c>
      <c r="I2790">
        <v>1.0207216494845359</v>
      </c>
      <c r="J2790">
        <v>1.0207216494845359</v>
      </c>
      <c r="K2790" t="s">
        <v>31</v>
      </c>
      <c r="L2790" t="s">
        <v>31</v>
      </c>
      <c r="M2790">
        <v>2022</v>
      </c>
      <c r="N2790" t="s">
        <v>49</v>
      </c>
      <c r="O2790" t="s">
        <v>90</v>
      </c>
      <c r="P2790">
        <v>1</v>
      </c>
      <c r="Q2790">
        <v>1</v>
      </c>
      <c r="R2790">
        <v>1</v>
      </c>
      <c r="S2790" t="s">
        <v>99</v>
      </c>
      <c r="T2790" t="s">
        <v>4754</v>
      </c>
      <c r="U2790">
        <v>1</v>
      </c>
    </row>
    <row r="2791" spans="1:21" x14ac:dyDescent="0.3">
      <c r="A2791" t="s">
        <v>4330</v>
      </c>
      <c r="B2791" t="s">
        <v>4746</v>
      </c>
      <c r="C2791" t="s">
        <v>270</v>
      </c>
      <c r="D2791" t="s">
        <v>29</v>
      </c>
      <c r="E2791" t="s">
        <v>30</v>
      </c>
      <c r="F2791" s="6">
        <v>44834</v>
      </c>
      <c r="G2791">
        <v>97</v>
      </c>
      <c r="H2791">
        <v>98.6</v>
      </c>
      <c r="I2791">
        <v>1.0164948453608249</v>
      </c>
      <c r="J2791">
        <v>1.0164948453608249</v>
      </c>
      <c r="K2791" t="s">
        <v>31</v>
      </c>
      <c r="L2791" t="s">
        <v>31</v>
      </c>
      <c r="M2791">
        <v>2022</v>
      </c>
      <c r="N2791" t="s">
        <v>51</v>
      </c>
      <c r="O2791" t="s">
        <v>90</v>
      </c>
      <c r="P2791">
        <v>1</v>
      </c>
      <c r="Q2791">
        <v>1</v>
      </c>
      <c r="R2791">
        <v>1</v>
      </c>
      <c r="S2791" t="s">
        <v>99</v>
      </c>
      <c r="T2791" t="s">
        <v>4755</v>
      </c>
      <c r="U2791">
        <v>1</v>
      </c>
    </row>
    <row r="2792" spans="1:21" x14ac:dyDescent="0.3">
      <c r="A2792" t="s">
        <v>4330</v>
      </c>
      <c r="B2792" t="s">
        <v>4746</v>
      </c>
      <c r="C2792" t="s">
        <v>270</v>
      </c>
      <c r="D2792" t="s">
        <v>29</v>
      </c>
      <c r="E2792" t="s">
        <v>30</v>
      </c>
      <c r="F2792" s="6">
        <v>44865</v>
      </c>
      <c r="G2792">
        <v>97</v>
      </c>
      <c r="H2792">
        <v>98.3</v>
      </c>
      <c r="I2792">
        <v>1.0134020618556701</v>
      </c>
      <c r="J2792">
        <v>1.0134020618556701</v>
      </c>
      <c r="K2792" t="s">
        <v>31</v>
      </c>
      <c r="L2792" t="s">
        <v>31</v>
      </c>
      <c r="M2792">
        <v>2022</v>
      </c>
      <c r="N2792" t="s">
        <v>53</v>
      </c>
      <c r="O2792" t="s">
        <v>90</v>
      </c>
      <c r="P2792">
        <v>1</v>
      </c>
      <c r="Q2792">
        <v>1</v>
      </c>
      <c r="R2792">
        <v>1</v>
      </c>
      <c r="S2792" t="s">
        <v>99</v>
      </c>
      <c r="T2792" t="s">
        <v>4756</v>
      </c>
      <c r="U2792">
        <v>1</v>
      </c>
    </row>
    <row r="2793" spans="1:21" x14ac:dyDescent="0.3">
      <c r="A2793" t="s">
        <v>4330</v>
      </c>
      <c r="B2793" t="s">
        <v>4746</v>
      </c>
      <c r="C2793" t="s">
        <v>270</v>
      </c>
      <c r="D2793" t="s">
        <v>29</v>
      </c>
      <c r="E2793" t="s">
        <v>30</v>
      </c>
      <c r="F2793" s="6">
        <v>44895</v>
      </c>
      <c r="G2793">
        <v>97</v>
      </c>
      <c r="H2793">
        <v>98.2</v>
      </c>
      <c r="I2793">
        <v>1.012371134020619</v>
      </c>
      <c r="J2793">
        <v>1.012371134020619</v>
      </c>
      <c r="K2793" t="s">
        <v>31</v>
      </c>
      <c r="L2793" t="s">
        <v>31</v>
      </c>
      <c r="M2793">
        <v>2022</v>
      </c>
      <c r="N2793" t="s">
        <v>55</v>
      </c>
      <c r="O2793" t="s">
        <v>90</v>
      </c>
      <c r="P2793">
        <v>1</v>
      </c>
      <c r="Q2793">
        <v>1</v>
      </c>
      <c r="R2793">
        <v>1</v>
      </c>
      <c r="S2793" t="s">
        <v>99</v>
      </c>
      <c r="T2793" t="s">
        <v>4757</v>
      </c>
      <c r="U2793">
        <v>1</v>
      </c>
    </row>
    <row r="2794" spans="1:21" x14ac:dyDescent="0.3">
      <c r="A2794" t="s">
        <v>4330</v>
      </c>
      <c r="B2794" t="s">
        <v>4746</v>
      </c>
      <c r="C2794" t="s">
        <v>270</v>
      </c>
      <c r="D2794" t="s">
        <v>29</v>
      </c>
      <c r="E2794" t="s">
        <v>30</v>
      </c>
      <c r="F2794" s="6">
        <v>44926</v>
      </c>
      <c r="G2794">
        <v>97</v>
      </c>
      <c r="H2794">
        <v>97.5</v>
      </c>
      <c r="I2794">
        <v>1.0051546391752579</v>
      </c>
      <c r="J2794">
        <v>1.0051546391752579</v>
      </c>
      <c r="K2794" t="s">
        <v>31</v>
      </c>
      <c r="L2794" t="s">
        <v>31</v>
      </c>
      <c r="M2794">
        <v>2022</v>
      </c>
      <c r="N2794" t="s">
        <v>57</v>
      </c>
      <c r="O2794" t="s">
        <v>90</v>
      </c>
      <c r="P2794">
        <v>1</v>
      </c>
      <c r="Q2794">
        <v>1</v>
      </c>
      <c r="R2794">
        <v>1</v>
      </c>
      <c r="S2794" t="s">
        <v>99</v>
      </c>
      <c r="T2794" t="s">
        <v>4758</v>
      </c>
      <c r="U2794">
        <v>1</v>
      </c>
    </row>
    <row r="2795" spans="1:21" x14ac:dyDescent="0.3">
      <c r="A2795" t="s">
        <v>4330</v>
      </c>
      <c r="B2795" t="s">
        <v>4746</v>
      </c>
      <c r="C2795" t="s">
        <v>266</v>
      </c>
      <c r="D2795" t="s">
        <v>29</v>
      </c>
      <c r="E2795" t="s">
        <v>30</v>
      </c>
      <c r="F2795" s="6">
        <v>44957</v>
      </c>
      <c r="G2795">
        <v>97</v>
      </c>
      <c r="H2795">
        <v>97.5</v>
      </c>
      <c r="I2795">
        <v>1.0051546391752579</v>
      </c>
      <c r="J2795">
        <v>1.0051546391752579</v>
      </c>
      <c r="K2795" t="s">
        <v>31</v>
      </c>
      <c r="L2795" t="s">
        <v>31</v>
      </c>
      <c r="M2795">
        <v>2023</v>
      </c>
      <c r="N2795" t="s">
        <v>32</v>
      </c>
      <c r="O2795" t="s">
        <v>33</v>
      </c>
      <c r="P2795">
        <v>1</v>
      </c>
      <c r="Q2795">
        <v>1</v>
      </c>
      <c r="R2795">
        <v>1</v>
      </c>
      <c r="S2795" t="s">
        <v>99</v>
      </c>
      <c r="T2795" t="s">
        <v>4759</v>
      </c>
      <c r="U2795">
        <v>1</v>
      </c>
    </row>
    <row r="2796" spans="1:21" x14ac:dyDescent="0.3">
      <c r="A2796" t="s">
        <v>4330</v>
      </c>
      <c r="B2796" t="s">
        <v>4746</v>
      </c>
      <c r="C2796" t="s">
        <v>266</v>
      </c>
      <c r="D2796" t="s">
        <v>29</v>
      </c>
      <c r="E2796" t="s">
        <v>30</v>
      </c>
      <c r="F2796" s="6">
        <v>44985</v>
      </c>
      <c r="G2796">
        <v>97</v>
      </c>
      <c r="H2796">
        <v>97.2</v>
      </c>
      <c r="I2796">
        <v>1.0020618556701031</v>
      </c>
      <c r="J2796">
        <v>1.0020618556701031</v>
      </c>
      <c r="K2796" t="s">
        <v>31</v>
      </c>
      <c r="L2796" t="s">
        <v>31</v>
      </c>
      <c r="M2796">
        <v>2023</v>
      </c>
      <c r="N2796" t="s">
        <v>36</v>
      </c>
      <c r="O2796" t="s">
        <v>33</v>
      </c>
      <c r="P2796">
        <v>1</v>
      </c>
      <c r="Q2796">
        <v>1</v>
      </c>
      <c r="R2796">
        <v>1</v>
      </c>
      <c r="S2796" t="s">
        <v>99</v>
      </c>
      <c r="T2796" t="s">
        <v>4760</v>
      </c>
      <c r="U2796">
        <v>1</v>
      </c>
    </row>
    <row r="2797" spans="1:21" x14ac:dyDescent="0.3">
      <c r="A2797" t="s">
        <v>4330</v>
      </c>
      <c r="B2797" t="s">
        <v>4746</v>
      </c>
      <c r="C2797" t="s">
        <v>266</v>
      </c>
      <c r="D2797" t="s">
        <v>29</v>
      </c>
      <c r="E2797" t="s">
        <v>30</v>
      </c>
      <c r="F2797" s="6">
        <v>45016</v>
      </c>
      <c r="G2797">
        <v>97</v>
      </c>
      <c r="H2797">
        <v>97.8</v>
      </c>
      <c r="I2797">
        <v>1.0082474226804119</v>
      </c>
      <c r="J2797">
        <v>1.0082474226804119</v>
      </c>
      <c r="K2797" t="s">
        <v>31</v>
      </c>
      <c r="L2797" t="s">
        <v>31</v>
      </c>
      <c r="M2797">
        <v>2023</v>
      </c>
      <c r="N2797" t="s">
        <v>38</v>
      </c>
      <c r="O2797" t="s">
        <v>33</v>
      </c>
      <c r="P2797">
        <v>1</v>
      </c>
      <c r="Q2797">
        <v>1</v>
      </c>
      <c r="R2797">
        <v>1</v>
      </c>
      <c r="S2797" t="s">
        <v>99</v>
      </c>
      <c r="T2797" t="s">
        <v>4761</v>
      </c>
      <c r="U2797">
        <v>1</v>
      </c>
    </row>
    <row r="2798" spans="1:21" x14ac:dyDescent="0.3">
      <c r="A2798" t="s">
        <v>4330</v>
      </c>
      <c r="B2798" t="s">
        <v>4746</v>
      </c>
      <c r="C2798" t="s">
        <v>266</v>
      </c>
      <c r="D2798" t="s">
        <v>29</v>
      </c>
      <c r="E2798" t="s">
        <v>30</v>
      </c>
      <c r="F2798" s="6">
        <v>45046</v>
      </c>
      <c r="G2798">
        <v>97</v>
      </c>
      <c r="H2798">
        <v>95.6</v>
      </c>
      <c r="I2798">
        <v>0.98556701030927829</v>
      </c>
      <c r="J2798">
        <v>0.98556701030927829</v>
      </c>
      <c r="K2798" t="s">
        <v>31</v>
      </c>
      <c r="L2798" t="s">
        <v>31</v>
      </c>
      <c r="M2798">
        <v>2023</v>
      </c>
      <c r="N2798" t="s">
        <v>40</v>
      </c>
      <c r="O2798" t="s">
        <v>33</v>
      </c>
      <c r="P2798">
        <v>1</v>
      </c>
      <c r="Q2798">
        <v>1</v>
      </c>
      <c r="R2798">
        <v>1</v>
      </c>
      <c r="S2798" t="s">
        <v>99</v>
      </c>
      <c r="T2798" t="s">
        <v>4762</v>
      </c>
      <c r="U2798">
        <v>1</v>
      </c>
    </row>
    <row r="2799" spans="1:21" x14ac:dyDescent="0.3">
      <c r="A2799" t="s">
        <v>4330</v>
      </c>
      <c r="B2799" t="s">
        <v>4746</v>
      </c>
      <c r="C2799" t="s">
        <v>266</v>
      </c>
      <c r="D2799" t="s">
        <v>29</v>
      </c>
      <c r="E2799" t="s">
        <v>30</v>
      </c>
      <c r="F2799" s="6">
        <v>45077</v>
      </c>
      <c r="G2799">
        <v>97</v>
      </c>
      <c r="H2799">
        <v>99.4</v>
      </c>
      <c r="I2799">
        <v>1.024742268041237</v>
      </c>
      <c r="J2799">
        <v>1.024742268041237</v>
      </c>
      <c r="K2799" t="s">
        <v>31</v>
      </c>
      <c r="L2799" t="s">
        <v>31</v>
      </c>
      <c r="M2799">
        <v>2023</v>
      </c>
      <c r="N2799" t="s">
        <v>42</v>
      </c>
      <c r="O2799" t="s">
        <v>33</v>
      </c>
      <c r="P2799">
        <v>1</v>
      </c>
      <c r="Q2799">
        <v>1</v>
      </c>
      <c r="R2799">
        <v>1</v>
      </c>
      <c r="S2799" t="s">
        <v>99</v>
      </c>
      <c r="T2799" t="s">
        <v>4763</v>
      </c>
      <c r="U2799">
        <v>1</v>
      </c>
    </row>
    <row r="2800" spans="1:21" x14ac:dyDescent="0.3">
      <c r="A2800" t="s">
        <v>4330</v>
      </c>
      <c r="B2800" t="s">
        <v>4746</v>
      </c>
      <c r="C2800" t="s">
        <v>266</v>
      </c>
      <c r="D2800" t="s">
        <v>29</v>
      </c>
      <c r="E2800" t="s">
        <v>30</v>
      </c>
      <c r="F2800" s="6">
        <v>45107</v>
      </c>
      <c r="G2800">
        <v>97</v>
      </c>
      <c r="H2800">
        <v>98.6</v>
      </c>
      <c r="I2800">
        <v>1.0164948453608249</v>
      </c>
      <c r="J2800">
        <v>1.0164948453608249</v>
      </c>
      <c r="K2800" t="s">
        <v>31</v>
      </c>
      <c r="L2800" t="s">
        <v>31</v>
      </c>
      <c r="M2800">
        <v>2023</v>
      </c>
      <c r="N2800" t="s">
        <v>44</v>
      </c>
      <c r="O2800" t="s">
        <v>33</v>
      </c>
      <c r="P2800">
        <v>1</v>
      </c>
      <c r="Q2800">
        <v>1</v>
      </c>
      <c r="R2800">
        <v>1</v>
      </c>
      <c r="S2800" t="s">
        <v>99</v>
      </c>
      <c r="T2800" t="s">
        <v>4764</v>
      </c>
      <c r="U2800">
        <v>1</v>
      </c>
    </row>
    <row r="2801" spans="1:21" x14ac:dyDescent="0.3">
      <c r="A2801" t="s">
        <v>4330</v>
      </c>
      <c r="B2801" t="s">
        <v>4746</v>
      </c>
      <c r="C2801" t="s">
        <v>266</v>
      </c>
      <c r="D2801" t="s">
        <v>29</v>
      </c>
      <c r="E2801" t="s">
        <v>30</v>
      </c>
      <c r="F2801" s="6">
        <v>45138</v>
      </c>
      <c r="G2801">
        <v>97</v>
      </c>
      <c r="H2801">
        <v>96.7</v>
      </c>
      <c r="I2801">
        <v>0.99690721649484537</v>
      </c>
      <c r="J2801">
        <v>0.99690721649484537</v>
      </c>
      <c r="K2801" t="s">
        <v>31</v>
      </c>
      <c r="L2801" t="s">
        <v>31</v>
      </c>
      <c r="M2801">
        <v>2023</v>
      </c>
      <c r="N2801" t="s">
        <v>46</v>
      </c>
      <c r="O2801" t="s">
        <v>47</v>
      </c>
      <c r="P2801">
        <v>1</v>
      </c>
      <c r="Q2801">
        <v>1</v>
      </c>
      <c r="R2801">
        <v>1</v>
      </c>
      <c r="S2801" t="s">
        <v>99</v>
      </c>
      <c r="T2801" t="s">
        <v>4765</v>
      </c>
      <c r="U2801">
        <v>1</v>
      </c>
    </row>
    <row r="2802" spans="1:21" x14ac:dyDescent="0.3">
      <c r="A2802" t="s">
        <v>4330</v>
      </c>
      <c r="B2802" t="s">
        <v>4746</v>
      </c>
      <c r="C2802" t="s">
        <v>266</v>
      </c>
      <c r="D2802" t="s">
        <v>29</v>
      </c>
      <c r="E2802" t="s">
        <v>30</v>
      </c>
      <c r="F2802" s="6">
        <v>45169</v>
      </c>
      <c r="G2802">
        <v>97</v>
      </c>
      <c r="H2802">
        <v>98</v>
      </c>
      <c r="I2802">
        <v>1.010309278350515</v>
      </c>
      <c r="J2802">
        <v>1.010309278350515</v>
      </c>
      <c r="K2802" t="s">
        <v>31</v>
      </c>
      <c r="L2802" t="s">
        <v>31</v>
      </c>
      <c r="M2802">
        <v>2023</v>
      </c>
      <c r="N2802" t="s">
        <v>49</v>
      </c>
      <c r="O2802" t="s">
        <v>47</v>
      </c>
      <c r="P2802">
        <v>0</v>
      </c>
      <c r="Q2802">
        <v>0</v>
      </c>
      <c r="R2802">
        <v>1</v>
      </c>
      <c r="S2802" t="s">
        <v>99</v>
      </c>
      <c r="T2802" t="s">
        <v>4766</v>
      </c>
      <c r="U2802">
        <v>1</v>
      </c>
    </row>
    <row r="2803" spans="1:21" x14ac:dyDescent="0.3">
      <c r="A2803" t="s">
        <v>4330</v>
      </c>
      <c r="B2803" t="s">
        <v>4746</v>
      </c>
      <c r="C2803" t="s">
        <v>266</v>
      </c>
      <c r="D2803" t="s">
        <v>29</v>
      </c>
      <c r="E2803" t="s">
        <v>30</v>
      </c>
      <c r="F2803" s="6">
        <v>45199</v>
      </c>
      <c r="G2803">
        <v>97</v>
      </c>
      <c r="H2803">
        <v>97.4</v>
      </c>
      <c r="I2803">
        <v>1.0041237113402059</v>
      </c>
      <c r="J2803">
        <v>1.0041237113402059</v>
      </c>
      <c r="K2803" t="s">
        <v>31</v>
      </c>
      <c r="L2803" t="s">
        <v>31</v>
      </c>
      <c r="M2803">
        <v>2023</v>
      </c>
      <c r="N2803" t="s">
        <v>51</v>
      </c>
      <c r="O2803" t="s">
        <v>47</v>
      </c>
      <c r="P2803">
        <v>1</v>
      </c>
      <c r="Q2803">
        <v>1</v>
      </c>
      <c r="R2803">
        <v>1</v>
      </c>
      <c r="S2803" t="s">
        <v>99</v>
      </c>
      <c r="T2803" t="s">
        <v>4767</v>
      </c>
      <c r="U2803">
        <v>1</v>
      </c>
    </row>
    <row r="2804" spans="1:21" x14ac:dyDescent="0.3">
      <c r="A2804" t="s">
        <v>4330</v>
      </c>
      <c r="B2804" t="s">
        <v>4746</v>
      </c>
      <c r="C2804" t="s">
        <v>266</v>
      </c>
      <c r="D2804" t="s">
        <v>29</v>
      </c>
      <c r="E2804" t="s">
        <v>30</v>
      </c>
      <c r="F2804" s="6">
        <v>45230</v>
      </c>
      <c r="G2804">
        <v>97</v>
      </c>
      <c r="H2804">
        <v>97.5</v>
      </c>
      <c r="I2804">
        <v>1.0051546391752579</v>
      </c>
      <c r="J2804">
        <v>1.0051546391752579</v>
      </c>
      <c r="K2804" t="s">
        <v>31</v>
      </c>
      <c r="L2804" t="s">
        <v>31</v>
      </c>
      <c r="M2804">
        <v>2023</v>
      </c>
      <c r="N2804" t="s">
        <v>53</v>
      </c>
      <c r="O2804" t="s">
        <v>47</v>
      </c>
      <c r="P2804">
        <v>1</v>
      </c>
      <c r="Q2804">
        <v>1</v>
      </c>
      <c r="R2804">
        <v>1</v>
      </c>
      <c r="S2804" t="s">
        <v>99</v>
      </c>
      <c r="T2804" t="s">
        <v>4768</v>
      </c>
      <c r="U2804">
        <v>1</v>
      </c>
    </row>
    <row r="2805" spans="1:21" x14ac:dyDescent="0.3">
      <c r="A2805" t="s">
        <v>4330</v>
      </c>
      <c r="B2805" t="s">
        <v>4746</v>
      </c>
      <c r="C2805" t="s">
        <v>266</v>
      </c>
      <c r="D2805" t="s">
        <v>29</v>
      </c>
      <c r="E2805" t="s">
        <v>30</v>
      </c>
      <c r="F2805" s="6">
        <v>45260</v>
      </c>
      <c r="G2805">
        <v>97</v>
      </c>
      <c r="H2805">
        <v>97.3</v>
      </c>
      <c r="I2805">
        <v>1.0030927835051551</v>
      </c>
      <c r="J2805">
        <v>1.0030927835051551</v>
      </c>
      <c r="K2805" t="s">
        <v>31</v>
      </c>
      <c r="L2805" t="s">
        <v>31</v>
      </c>
      <c r="M2805">
        <v>2023</v>
      </c>
      <c r="N2805" t="s">
        <v>55</v>
      </c>
      <c r="O2805" t="s">
        <v>47</v>
      </c>
      <c r="P2805">
        <v>1</v>
      </c>
      <c r="Q2805">
        <v>1</v>
      </c>
      <c r="R2805">
        <v>1</v>
      </c>
      <c r="S2805" t="s">
        <v>99</v>
      </c>
      <c r="T2805" t="s">
        <v>4769</v>
      </c>
      <c r="U2805">
        <v>1</v>
      </c>
    </row>
    <row r="2806" spans="1:21" x14ac:dyDescent="0.3">
      <c r="A2806" t="s">
        <v>4330</v>
      </c>
      <c r="B2806" t="s">
        <v>4746</v>
      </c>
      <c r="C2806" t="s">
        <v>266</v>
      </c>
      <c r="D2806" t="s">
        <v>29</v>
      </c>
      <c r="E2806" t="s">
        <v>30</v>
      </c>
      <c r="F2806" s="6">
        <v>45291</v>
      </c>
      <c r="G2806">
        <v>97</v>
      </c>
      <c r="H2806">
        <v>98.6</v>
      </c>
      <c r="I2806">
        <v>1.0164948453608249</v>
      </c>
      <c r="J2806">
        <v>1.0164948453608249</v>
      </c>
      <c r="K2806" t="s">
        <v>31</v>
      </c>
      <c r="L2806" t="s">
        <v>31</v>
      </c>
      <c r="M2806">
        <v>2023</v>
      </c>
      <c r="N2806" t="s">
        <v>57</v>
      </c>
      <c r="O2806" t="s">
        <v>47</v>
      </c>
      <c r="P2806">
        <v>1</v>
      </c>
      <c r="Q2806">
        <v>1</v>
      </c>
      <c r="R2806">
        <v>1</v>
      </c>
      <c r="S2806" t="s">
        <v>99</v>
      </c>
      <c r="T2806" t="s">
        <v>4770</v>
      </c>
      <c r="U2806">
        <v>1</v>
      </c>
    </row>
    <row r="2807" spans="1:21" x14ac:dyDescent="0.3">
      <c r="A2807" t="s">
        <v>4330</v>
      </c>
      <c r="B2807" t="s">
        <v>4746</v>
      </c>
      <c r="C2807" t="s">
        <v>266</v>
      </c>
      <c r="D2807" t="s">
        <v>29</v>
      </c>
      <c r="E2807" t="s">
        <v>30</v>
      </c>
      <c r="F2807" s="6">
        <v>45322</v>
      </c>
      <c r="G2807">
        <v>97</v>
      </c>
      <c r="H2807">
        <v>97</v>
      </c>
      <c r="I2807">
        <v>1</v>
      </c>
      <c r="J2807">
        <v>1</v>
      </c>
      <c r="K2807" t="s">
        <v>31</v>
      </c>
      <c r="L2807" t="s">
        <v>31</v>
      </c>
      <c r="M2807">
        <v>2024</v>
      </c>
      <c r="N2807" t="s">
        <v>32</v>
      </c>
      <c r="O2807" t="s">
        <v>71</v>
      </c>
      <c r="P2807">
        <v>1</v>
      </c>
      <c r="Q2807">
        <v>1</v>
      </c>
      <c r="R2807">
        <v>1</v>
      </c>
      <c r="S2807" t="s">
        <v>99</v>
      </c>
      <c r="T2807" t="s">
        <v>4771</v>
      </c>
      <c r="U2807">
        <v>1</v>
      </c>
    </row>
    <row r="2808" spans="1:21" x14ac:dyDescent="0.3">
      <c r="A2808" t="s">
        <v>4330</v>
      </c>
      <c r="B2808" t="s">
        <v>4746</v>
      </c>
      <c r="C2808" t="s">
        <v>270</v>
      </c>
      <c r="D2808" t="s">
        <v>29</v>
      </c>
      <c r="E2808" t="s">
        <v>30</v>
      </c>
      <c r="F2808" s="6">
        <v>45351</v>
      </c>
      <c r="G2808">
        <v>97</v>
      </c>
      <c r="H2808">
        <v>98</v>
      </c>
      <c r="I2808">
        <v>1.010309278350515</v>
      </c>
      <c r="J2808">
        <v>1.010309278350515</v>
      </c>
      <c r="K2808" t="s">
        <v>31</v>
      </c>
      <c r="L2808" t="s">
        <v>31</v>
      </c>
      <c r="M2808">
        <v>2024</v>
      </c>
      <c r="N2808" t="s">
        <v>36</v>
      </c>
      <c r="O2808" t="s">
        <v>71</v>
      </c>
      <c r="P2808">
        <v>1</v>
      </c>
      <c r="Q2808">
        <v>1</v>
      </c>
      <c r="R2808">
        <v>0</v>
      </c>
      <c r="S2808" t="s">
        <v>99</v>
      </c>
      <c r="T2808" t="s">
        <v>4772</v>
      </c>
      <c r="U2808">
        <v>1</v>
      </c>
    </row>
    <row r="2809" spans="1:21" x14ac:dyDescent="0.3">
      <c r="A2809" t="s">
        <v>4330</v>
      </c>
      <c r="B2809" t="s">
        <v>4746</v>
      </c>
      <c r="C2809" t="s">
        <v>266</v>
      </c>
      <c r="D2809" t="s">
        <v>29</v>
      </c>
      <c r="E2809" t="s">
        <v>30</v>
      </c>
      <c r="F2809" s="6">
        <v>45382</v>
      </c>
      <c r="G2809">
        <v>97</v>
      </c>
      <c r="H2809">
        <v>99.1</v>
      </c>
      <c r="I2809">
        <v>1.021649484536082</v>
      </c>
      <c r="J2809">
        <v>1.021649484536082</v>
      </c>
      <c r="K2809" t="s">
        <v>31</v>
      </c>
      <c r="L2809" t="s">
        <v>31</v>
      </c>
      <c r="M2809">
        <v>2024</v>
      </c>
      <c r="N2809" t="s">
        <v>38</v>
      </c>
      <c r="O2809" t="s">
        <v>71</v>
      </c>
      <c r="P2809">
        <v>1</v>
      </c>
      <c r="Q2809">
        <v>1</v>
      </c>
      <c r="R2809">
        <v>1</v>
      </c>
      <c r="S2809" t="s">
        <v>99</v>
      </c>
      <c r="T2809" t="s">
        <v>4773</v>
      </c>
      <c r="U2809">
        <v>1</v>
      </c>
    </row>
    <row r="2810" spans="1:21" x14ac:dyDescent="0.3">
      <c r="A2810" t="s">
        <v>4330</v>
      </c>
      <c r="B2810" t="s">
        <v>4746</v>
      </c>
      <c r="C2810" t="s">
        <v>266</v>
      </c>
      <c r="D2810" t="s">
        <v>29</v>
      </c>
      <c r="E2810" t="s">
        <v>30</v>
      </c>
      <c r="F2810" s="6">
        <v>45412</v>
      </c>
      <c r="G2810">
        <v>97</v>
      </c>
      <c r="H2810">
        <v>98.09</v>
      </c>
      <c r="I2810">
        <v>1.0112371134020619</v>
      </c>
      <c r="J2810">
        <v>1.0112371134020619</v>
      </c>
      <c r="K2810" t="s">
        <v>31</v>
      </c>
      <c r="L2810" t="s">
        <v>31</v>
      </c>
      <c r="M2810">
        <v>2024</v>
      </c>
      <c r="N2810" t="s">
        <v>40</v>
      </c>
      <c r="O2810" t="s">
        <v>71</v>
      </c>
      <c r="P2810">
        <v>1</v>
      </c>
      <c r="Q2810">
        <v>1</v>
      </c>
      <c r="R2810">
        <v>1</v>
      </c>
      <c r="S2810" t="s">
        <v>99</v>
      </c>
      <c r="T2810" t="s">
        <v>4774</v>
      </c>
      <c r="U2810">
        <v>1</v>
      </c>
    </row>
    <row r="2811" spans="1:21" x14ac:dyDescent="0.3">
      <c r="A2811" t="s">
        <v>4330</v>
      </c>
      <c r="B2811" t="s">
        <v>4746</v>
      </c>
      <c r="C2811" t="s">
        <v>266</v>
      </c>
      <c r="D2811" t="s">
        <v>29</v>
      </c>
      <c r="E2811" t="s">
        <v>30</v>
      </c>
      <c r="F2811" s="6">
        <v>45443</v>
      </c>
      <c r="G2811">
        <v>97</v>
      </c>
      <c r="H2811">
        <v>98.8</v>
      </c>
      <c r="I2811">
        <v>1.018556701030928</v>
      </c>
      <c r="J2811">
        <v>1.018556701030928</v>
      </c>
      <c r="K2811" t="s">
        <v>31</v>
      </c>
      <c r="L2811" t="s">
        <v>31</v>
      </c>
      <c r="M2811">
        <v>2024</v>
      </c>
      <c r="N2811" t="s">
        <v>42</v>
      </c>
      <c r="O2811" t="s">
        <v>71</v>
      </c>
      <c r="P2811">
        <v>1</v>
      </c>
      <c r="Q2811">
        <v>1</v>
      </c>
      <c r="R2811">
        <v>1</v>
      </c>
      <c r="S2811" t="s">
        <v>99</v>
      </c>
      <c r="T2811" t="s">
        <v>4775</v>
      </c>
      <c r="U2811">
        <v>1</v>
      </c>
    </row>
    <row r="2812" spans="1:21" x14ac:dyDescent="0.3">
      <c r="A2812" t="s">
        <v>4330</v>
      </c>
      <c r="B2812" t="s">
        <v>4746</v>
      </c>
      <c r="C2812" t="s">
        <v>266</v>
      </c>
      <c r="D2812" t="s">
        <v>29</v>
      </c>
      <c r="E2812" t="s">
        <v>30</v>
      </c>
      <c r="F2812" s="6">
        <v>45473</v>
      </c>
      <c r="G2812">
        <v>97</v>
      </c>
      <c r="H2812">
        <v>99</v>
      </c>
      <c r="I2812">
        <v>1.0206185567010311</v>
      </c>
      <c r="J2812">
        <v>1.0206185567010311</v>
      </c>
      <c r="K2812" t="s">
        <v>31</v>
      </c>
      <c r="L2812" t="s">
        <v>31</v>
      </c>
      <c r="M2812">
        <v>2024</v>
      </c>
      <c r="N2812" t="s">
        <v>44</v>
      </c>
      <c r="O2812" t="s">
        <v>71</v>
      </c>
      <c r="P2812">
        <v>1</v>
      </c>
      <c r="Q2812">
        <v>1</v>
      </c>
      <c r="R2812">
        <v>1</v>
      </c>
      <c r="S2812" t="s">
        <v>99</v>
      </c>
      <c r="T2812" t="s">
        <v>4776</v>
      </c>
      <c r="U2812">
        <v>1</v>
      </c>
    </row>
    <row r="2813" spans="1:21" x14ac:dyDescent="0.3">
      <c r="A2813" t="s">
        <v>4330</v>
      </c>
      <c r="B2813" t="s">
        <v>4746</v>
      </c>
      <c r="C2813" t="s">
        <v>266</v>
      </c>
      <c r="D2813" t="s">
        <v>29</v>
      </c>
      <c r="E2813" t="s">
        <v>30</v>
      </c>
      <c r="F2813" s="6">
        <v>45504</v>
      </c>
      <c r="G2813">
        <v>97</v>
      </c>
      <c r="H2813">
        <v>97</v>
      </c>
      <c r="I2813">
        <v>1</v>
      </c>
      <c r="J2813">
        <v>1</v>
      </c>
      <c r="K2813" t="s">
        <v>31</v>
      </c>
      <c r="L2813" t="s">
        <v>31</v>
      </c>
      <c r="M2813">
        <v>2024</v>
      </c>
      <c r="N2813" t="s">
        <v>46</v>
      </c>
      <c r="O2813" t="s">
        <v>78</v>
      </c>
      <c r="P2813">
        <v>1</v>
      </c>
      <c r="Q2813">
        <v>1</v>
      </c>
      <c r="R2813">
        <v>1</v>
      </c>
      <c r="S2813" t="s">
        <v>99</v>
      </c>
      <c r="T2813" t="s">
        <v>4777</v>
      </c>
      <c r="U2813">
        <v>1</v>
      </c>
    </row>
    <row r="2814" spans="1:21" x14ac:dyDescent="0.3">
      <c r="A2814" t="s">
        <v>4330</v>
      </c>
      <c r="B2814" t="s">
        <v>4746</v>
      </c>
      <c r="C2814" t="s">
        <v>266</v>
      </c>
      <c r="D2814" t="s">
        <v>29</v>
      </c>
      <c r="E2814" t="s">
        <v>30</v>
      </c>
      <c r="F2814" s="6">
        <v>45535</v>
      </c>
      <c r="G2814">
        <v>97</v>
      </c>
      <c r="H2814">
        <v>92.7</v>
      </c>
      <c r="I2814">
        <v>0.95567010309278355</v>
      </c>
      <c r="J2814">
        <v>0.95567010309278355</v>
      </c>
      <c r="K2814" t="s">
        <v>31</v>
      </c>
      <c r="L2814" t="s">
        <v>31</v>
      </c>
      <c r="M2814">
        <v>2024</v>
      </c>
      <c r="N2814" t="s">
        <v>49</v>
      </c>
      <c r="O2814" t="s">
        <v>78</v>
      </c>
      <c r="P2814">
        <v>1</v>
      </c>
      <c r="Q2814">
        <v>1</v>
      </c>
      <c r="R2814">
        <v>1</v>
      </c>
      <c r="S2814" t="s">
        <v>99</v>
      </c>
      <c r="T2814" t="s">
        <v>4778</v>
      </c>
      <c r="U2814">
        <v>1</v>
      </c>
    </row>
    <row r="2815" spans="1:21" x14ac:dyDescent="0.3">
      <c r="A2815" t="s">
        <v>4330</v>
      </c>
      <c r="B2815" t="s">
        <v>4746</v>
      </c>
      <c r="C2815" t="s">
        <v>266</v>
      </c>
      <c r="D2815" t="s">
        <v>29</v>
      </c>
      <c r="E2815" t="s">
        <v>30</v>
      </c>
      <c r="F2815" s="6">
        <v>45565</v>
      </c>
      <c r="G2815">
        <v>97</v>
      </c>
      <c r="H2815">
        <v>97</v>
      </c>
      <c r="I2815">
        <v>1</v>
      </c>
      <c r="J2815">
        <v>1</v>
      </c>
      <c r="K2815" t="s">
        <v>31</v>
      </c>
      <c r="L2815" t="s">
        <v>31</v>
      </c>
      <c r="M2815">
        <v>2024</v>
      </c>
      <c r="N2815" t="s">
        <v>51</v>
      </c>
      <c r="O2815" t="s">
        <v>78</v>
      </c>
      <c r="P2815">
        <v>1</v>
      </c>
      <c r="Q2815">
        <v>1</v>
      </c>
      <c r="R2815">
        <v>1</v>
      </c>
      <c r="S2815" t="s">
        <v>99</v>
      </c>
      <c r="T2815" t="s">
        <v>4779</v>
      </c>
      <c r="U2815">
        <v>1</v>
      </c>
    </row>
    <row r="2816" spans="1:21" x14ac:dyDescent="0.3">
      <c r="A2816" t="s">
        <v>4330</v>
      </c>
      <c r="B2816" t="s">
        <v>4746</v>
      </c>
      <c r="C2816" t="s">
        <v>266</v>
      </c>
      <c r="D2816" t="s">
        <v>29</v>
      </c>
      <c r="E2816" t="s">
        <v>30</v>
      </c>
      <c r="F2816" s="6">
        <v>45596</v>
      </c>
      <c r="G2816">
        <v>97</v>
      </c>
      <c r="H2816">
        <v>97.3</v>
      </c>
      <c r="I2816">
        <v>1.0030927835051551</v>
      </c>
      <c r="J2816">
        <v>1.0030927835051551</v>
      </c>
      <c r="K2816" t="s">
        <v>31</v>
      </c>
      <c r="L2816" t="s">
        <v>31</v>
      </c>
      <c r="M2816">
        <v>2024</v>
      </c>
      <c r="N2816" t="s">
        <v>53</v>
      </c>
      <c r="O2816" t="s">
        <v>78</v>
      </c>
      <c r="P2816">
        <v>1</v>
      </c>
      <c r="Q2816">
        <v>1</v>
      </c>
      <c r="R2816">
        <v>1</v>
      </c>
      <c r="S2816" t="s">
        <v>99</v>
      </c>
      <c r="T2816" t="s">
        <v>4780</v>
      </c>
      <c r="U2816">
        <v>1</v>
      </c>
    </row>
    <row r="2817" spans="1:21" x14ac:dyDescent="0.3">
      <c r="A2817" t="s">
        <v>4330</v>
      </c>
      <c r="B2817" t="s">
        <v>4746</v>
      </c>
      <c r="C2817" t="s">
        <v>266</v>
      </c>
      <c r="D2817" t="s">
        <v>29</v>
      </c>
      <c r="E2817" t="s">
        <v>30</v>
      </c>
      <c r="F2817" s="6">
        <v>45626</v>
      </c>
      <c r="G2817">
        <v>97</v>
      </c>
      <c r="H2817">
        <v>97</v>
      </c>
      <c r="I2817">
        <v>1</v>
      </c>
      <c r="J2817">
        <v>1</v>
      </c>
      <c r="K2817" t="s">
        <v>31</v>
      </c>
      <c r="L2817" t="s">
        <v>31</v>
      </c>
      <c r="M2817">
        <v>2024</v>
      </c>
      <c r="N2817" t="s">
        <v>55</v>
      </c>
      <c r="O2817" t="s">
        <v>78</v>
      </c>
      <c r="P2817">
        <v>1</v>
      </c>
      <c r="Q2817">
        <v>1</v>
      </c>
      <c r="R2817">
        <v>1</v>
      </c>
      <c r="S2817" t="s">
        <v>99</v>
      </c>
      <c r="T2817" t="s">
        <v>4781</v>
      </c>
      <c r="U2817">
        <v>1</v>
      </c>
    </row>
    <row r="2818" spans="1:21" x14ac:dyDescent="0.3">
      <c r="A2818" t="s">
        <v>4330</v>
      </c>
      <c r="B2818" t="s">
        <v>4746</v>
      </c>
      <c r="C2818" t="s">
        <v>266</v>
      </c>
      <c r="D2818" t="s">
        <v>29</v>
      </c>
      <c r="E2818" t="s">
        <v>30</v>
      </c>
      <c r="F2818" s="6">
        <v>45657</v>
      </c>
      <c r="G2818">
        <v>97</v>
      </c>
      <c r="H2818">
        <v>98.2</v>
      </c>
      <c r="I2818">
        <v>1.012371134020619</v>
      </c>
      <c r="J2818">
        <v>1.012371134020619</v>
      </c>
      <c r="K2818" t="s">
        <v>31</v>
      </c>
      <c r="L2818" t="s">
        <v>31</v>
      </c>
      <c r="M2818">
        <v>2024</v>
      </c>
      <c r="N2818" t="s">
        <v>57</v>
      </c>
      <c r="O2818" t="s">
        <v>78</v>
      </c>
      <c r="P2818">
        <v>1</v>
      </c>
      <c r="Q2818">
        <v>1</v>
      </c>
      <c r="R2818">
        <v>1</v>
      </c>
      <c r="S2818" t="s">
        <v>99</v>
      </c>
      <c r="T2818" t="s">
        <v>4782</v>
      </c>
      <c r="U2818">
        <v>1</v>
      </c>
    </row>
    <row r="2819" spans="1:21" x14ac:dyDescent="0.3">
      <c r="A2819" t="s">
        <v>4330</v>
      </c>
      <c r="B2819" t="s">
        <v>4746</v>
      </c>
      <c r="C2819" t="s">
        <v>270</v>
      </c>
      <c r="D2819" t="s">
        <v>29</v>
      </c>
      <c r="E2819" t="s">
        <v>30</v>
      </c>
      <c r="F2819" s="6">
        <v>45688</v>
      </c>
      <c r="G2819">
        <v>97</v>
      </c>
      <c r="H2819" t="s">
        <v>667</v>
      </c>
      <c r="I2819">
        <v>0.98969072164948457</v>
      </c>
      <c r="J2819">
        <v>0.98969072164948457</v>
      </c>
      <c r="K2819" t="s">
        <v>1005</v>
      </c>
      <c r="L2819" t="s">
        <v>668</v>
      </c>
      <c r="M2819">
        <v>2025</v>
      </c>
      <c r="N2819" t="s">
        <v>32</v>
      </c>
      <c r="O2819" t="s">
        <v>244</v>
      </c>
      <c r="P2819">
        <v>2</v>
      </c>
      <c r="Q2819">
        <v>2</v>
      </c>
      <c r="R2819">
        <v>1</v>
      </c>
      <c r="S2819" t="s">
        <v>104</v>
      </c>
      <c r="T2819" t="s">
        <v>4783</v>
      </c>
      <c r="U2819">
        <v>31</v>
      </c>
    </row>
    <row r="2820" spans="1:21" x14ac:dyDescent="0.3">
      <c r="A2820" t="s">
        <v>4330</v>
      </c>
      <c r="B2820" t="s">
        <v>4746</v>
      </c>
      <c r="C2820" t="s">
        <v>270</v>
      </c>
      <c r="D2820" t="s">
        <v>29</v>
      </c>
      <c r="E2820" t="s">
        <v>30</v>
      </c>
      <c r="F2820" s="6">
        <v>45716</v>
      </c>
      <c r="G2820">
        <v>97</v>
      </c>
      <c r="H2820" t="s">
        <v>192</v>
      </c>
      <c r="I2820">
        <v>0.96907216494845361</v>
      </c>
      <c r="J2820">
        <v>0.96907216494845361</v>
      </c>
      <c r="K2820" t="s">
        <v>1005</v>
      </c>
      <c r="L2820" t="s">
        <v>194</v>
      </c>
      <c r="M2820">
        <v>2025</v>
      </c>
      <c r="N2820" t="s">
        <v>36</v>
      </c>
      <c r="O2820" t="s">
        <v>244</v>
      </c>
      <c r="P2820">
        <v>2</v>
      </c>
      <c r="Q2820">
        <v>2</v>
      </c>
      <c r="R2820">
        <v>1</v>
      </c>
      <c r="S2820" t="s">
        <v>104</v>
      </c>
      <c r="T2820" t="s">
        <v>4784</v>
      </c>
      <c r="U2820">
        <v>28</v>
      </c>
    </row>
    <row r="2821" spans="1:21" x14ac:dyDescent="0.3">
      <c r="A2821" t="s">
        <v>4330</v>
      </c>
      <c r="B2821" t="s">
        <v>4746</v>
      </c>
      <c r="C2821" t="s">
        <v>270</v>
      </c>
      <c r="D2821" t="s">
        <v>29</v>
      </c>
      <c r="E2821" t="s">
        <v>30</v>
      </c>
      <c r="F2821" s="6">
        <v>45747</v>
      </c>
      <c r="G2821">
        <v>97</v>
      </c>
      <c r="H2821" t="s">
        <v>2782</v>
      </c>
      <c r="I2821">
        <v>1</v>
      </c>
      <c r="J2821">
        <v>1</v>
      </c>
      <c r="K2821" t="s">
        <v>1005</v>
      </c>
      <c r="L2821" t="s">
        <v>1005</v>
      </c>
      <c r="M2821">
        <v>2025</v>
      </c>
      <c r="N2821" t="s">
        <v>38</v>
      </c>
      <c r="O2821" t="s">
        <v>244</v>
      </c>
      <c r="P2821">
        <v>2</v>
      </c>
      <c r="Q2821">
        <v>2</v>
      </c>
      <c r="R2821">
        <v>1</v>
      </c>
      <c r="S2821" t="s">
        <v>104</v>
      </c>
      <c r="T2821" t="s">
        <v>4785</v>
      </c>
      <c r="U2821">
        <v>31</v>
      </c>
    </row>
    <row r="2822" spans="1:21" x14ac:dyDescent="0.3">
      <c r="A2822" t="s">
        <v>4330</v>
      </c>
      <c r="B2822" t="s">
        <v>4746</v>
      </c>
      <c r="C2822" t="s">
        <v>270</v>
      </c>
      <c r="D2822" t="s">
        <v>29</v>
      </c>
      <c r="E2822" t="s">
        <v>30</v>
      </c>
      <c r="F2822" s="6">
        <v>45777</v>
      </c>
      <c r="G2822">
        <v>97</v>
      </c>
      <c r="H2822" t="s">
        <v>4786</v>
      </c>
      <c r="I2822">
        <v>0.90412371134020619</v>
      </c>
      <c r="J2822">
        <v>0.90412371134020619</v>
      </c>
      <c r="K2822" t="s">
        <v>1005</v>
      </c>
      <c r="L2822" t="s">
        <v>4787</v>
      </c>
      <c r="M2822">
        <v>2025</v>
      </c>
      <c r="N2822" t="s">
        <v>40</v>
      </c>
      <c r="O2822" t="s">
        <v>244</v>
      </c>
      <c r="P2822">
        <v>2</v>
      </c>
      <c r="Q2822">
        <v>2</v>
      </c>
      <c r="R2822">
        <v>1</v>
      </c>
      <c r="S2822" t="s">
        <v>104</v>
      </c>
      <c r="T2822" t="s">
        <v>4788</v>
      </c>
      <c r="U2822">
        <v>30</v>
      </c>
    </row>
    <row r="2823" spans="1:21" x14ac:dyDescent="0.3">
      <c r="A2823" t="s">
        <v>4330</v>
      </c>
      <c r="B2823" t="s">
        <v>4746</v>
      </c>
      <c r="C2823" t="s">
        <v>270</v>
      </c>
      <c r="D2823" t="s">
        <v>29</v>
      </c>
      <c r="E2823" t="s">
        <v>30</v>
      </c>
      <c r="F2823" s="6">
        <v>45808</v>
      </c>
      <c r="G2823">
        <v>97</v>
      </c>
      <c r="H2823" t="s">
        <v>2782</v>
      </c>
      <c r="I2823">
        <v>1</v>
      </c>
      <c r="J2823">
        <v>1</v>
      </c>
      <c r="K2823" t="s">
        <v>1005</v>
      </c>
      <c r="L2823" t="s">
        <v>1005</v>
      </c>
      <c r="M2823">
        <v>2025</v>
      </c>
      <c r="N2823" t="s">
        <v>42</v>
      </c>
      <c r="O2823" t="s">
        <v>244</v>
      </c>
      <c r="P2823">
        <v>2</v>
      </c>
      <c r="Q2823">
        <v>2</v>
      </c>
      <c r="R2823">
        <v>1</v>
      </c>
      <c r="S2823" t="s">
        <v>104</v>
      </c>
      <c r="T2823" t="s">
        <v>4789</v>
      </c>
      <c r="U2823">
        <v>31</v>
      </c>
    </row>
    <row r="2824" spans="1:21" x14ac:dyDescent="0.3">
      <c r="A2824" t="s">
        <v>4330</v>
      </c>
      <c r="B2824" t="s">
        <v>4746</v>
      </c>
      <c r="C2824" t="s">
        <v>270</v>
      </c>
      <c r="D2824" t="s">
        <v>29</v>
      </c>
      <c r="E2824" t="s">
        <v>30</v>
      </c>
      <c r="F2824" s="6">
        <v>45838</v>
      </c>
      <c r="G2824">
        <v>97</v>
      </c>
      <c r="H2824" t="s">
        <v>4790</v>
      </c>
      <c r="I2824">
        <v>0.99175257731958766</v>
      </c>
      <c r="J2824">
        <v>0.99175257731958766</v>
      </c>
      <c r="K2824" t="s">
        <v>1005</v>
      </c>
      <c r="L2824" t="s">
        <v>4791</v>
      </c>
      <c r="M2824">
        <v>2025</v>
      </c>
      <c r="N2824" t="s">
        <v>44</v>
      </c>
      <c r="O2824" t="s">
        <v>244</v>
      </c>
      <c r="P2824">
        <v>2</v>
      </c>
      <c r="Q2824">
        <v>2</v>
      </c>
      <c r="R2824">
        <v>1</v>
      </c>
      <c r="S2824" t="s">
        <v>104</v>
      </c>
      <c r="T2824" t="s">
        <v>4792</v>
      </c>
      <c r="U2824">
        <v>30</v>
      </c>
    </row>
    <row r="2825" spans="1:21" x14ac:dyDescent="0.3">
      <c r="A2825" t="s">
        <v>4330</v>
      </c>
      <c r="B2825" t="s">
        <v>4746</v>
      </c>
      <c r="C2825" t="s">
        <v>270</v>
      </c>
      <c r="D2825" t="s">
        <v>29</v>
      </c>
      <c r="E2825" t="s">
        <v>30</v>
      </c>
      <c r="F2825" s="6">
        <v>45869</v>
      </c>
      <c r="G2825">
        <v>97</v>
      </c>
      <c r="H2825" t="s">
        <v>4793</v>
      </c>
      <c r="I2825">
        <v>1.017525773195876</v>
      </c>
      <c r="J2825">
        <v>1.017525773195876</v>
      </c>
      <c r="K2825" t="s">
        <v>1005</v>
      </c>
      <c r="L2825" t="s">
        <v>4794</v>
      </c>
      <c r="M2825">
        <v>2025</v>
      </c>
      <c r="N2825" t="s">
        <v>46</v>
      </c>
      <c r="O2825" t="s">
        <v>103</v>
      </c>
      <c r="P2825">
        <v>2</v>
      </c>
      <c r="Q2825">
        <v>2</v>
      </c>
      <c r="R2825">
        <v>1</v>
      </c>
      <c r="S2825" t="s">
        <v>104</v>
      </c>
      <c r="T2825" t="s">
        <v>4795</v>
      </c>
      <c r="U2825">
        <v>31</v>
      </c>
    </row>
    <row r="2826" spans="1:21" x14ac:dyDescent="0.3">
      <c r="A2826" t="s">
        <v>4330</v>
      </c>
      <c r="B2826" t="s">
        <v>4746</v>
      </c>
      <c r="C2826" t="s">
        <v>270</v>
      </c>
      <c r="D2826" t="s">
        <v>29</v>
      </c>
      <c r="E2826" t="s">
        <v>30</v>
      </c>
      <c r="F2826" s="6">
        <v>45900</v>
      </c>
      <c r="G2826">
        <v>97</v>
      </c>
      <c r="H2826" t="s">
        <v>4796</v>
      </c>
      <c r="I2826">
        <v>1.001030927835052</v>
      </c>
      <c r="J2826">
        <v>1.001030927835052</v>
      </c>
      <c r="K2826" t="s">
        <v>1005</v>
      </c>
      <c r="L2826" t="s">
        <v>4797</v>
      </c>
      <c r="M2826">
        <v>2025</v>
      </c>
      <c r="N2826" t="s">
        <v>49</v>
      </c>
      <c r="O2826" t="s">
        <v>103</v>
      </c>
      <c r="P2826">
        <v>2</v>
      </c>
      <c r="Q2826">
        <v>2</v>
      </c>
      <c r="R2826">
        <v>1</v>
      </c>
      <c r="S2826" t="s">
        <v>104</v>
      </c>
      <c r="T2826" t="s">
        <v>4798</v>
      </c>
      <c r="U2826">
        <v>31</v>
      </c>
    </row>
    <row r="2827" spans="1:21" x14ac:dyDescent="0.3">
      <c r="A2827" t="s">
        <v>4330</v>
      </c>
      <c r="B2827" t="s">
        <v>4746</v>
      </c>
      <c r="C2827" t="s">
        <v>270</v>
      </c>
      <c r="D2827" t="s">
        <v>29</v>
      </c>
      <c r="E2827" t="s">
        <v>30</v>
      </c>
      <c r="F2827" s="6">
        <v>45961</v>
      </c>
      <c r="G2827">
        <v>97</v>
      </c>
      <c r="H2827" t="s">
        <v>4799</v>
      </c>
      <c r="I2827">
        <v>1.007216494845361</v>
      </c>
      <c r="J2827">
        <v>1.007216494845361</v>
      </c>
      <c r="K2827" t="s">
        <v>1005</v>
      </c>
      <c r="L2827" t="s">
        <v>4800</v>
      </c>
      <c r="M2827">
        <v>2025</v>
      </c>
      <c r="N2827" t="s">
        <v>53</v>
      </c>
      <c r="O2827" t="s">
        <v>103</v>
      </c>
      <c r="P2827">
        <v>2</v>
      </c>
      <c r="Q2827">
        <v>2</v>
      </c>
      <c r="R2827">
        <v>1</v>
      </c>
      <c r="S2827" t="s">
        <v>104</v>
      </c>
      <c r="T2827" t="s">
        <v>4801</v>
      </c>
      <c r="U2827">
        <v>31</v>
      </c>
    </row>
    <row r="2828" spans="1:21" x14ac:dyDescent="0.3">
      <c r="A2828" t="s">
        <v>4330</v>
      </c>
      <c r="B2828" t="s">
        <v>4746</v>
      </c>
      <c r="C2828" t="s">
        <v>270</v>
      </c>
      <c r="D2828" t="s">
        <v>29</v>
      </c>
      <c r="E2828" t="s">
        <v>30</v>
      </c>
      <c r="F2828" s="6">
        <v>45991</v>
      </c>
      <c r="G2828">
        <v>97</v>
      </c>
      <c r="H2828" t="s">
        <v>4802</v>
      </c>
      <c r="I2828">
        <v>0.96288659793814435</v>
      </c>
      <c r="J2828">
        <v>0.96288659793814435</v>
      </c>
      <c r="K2828" t="s">
        <v>1005</v>
      </c>
      <c r="L2828" t="s">
        <v>4803</v>
      </c>
      <c r="M2828">
        <v>2025</v>
      </c>
      <c r="N2828" t="s">
        <v>55</v>
      </c>
      <c r="O2828" t="s">
        <v>103</v>
      </c>
      <c r="P2828">
        <v>2</v>
      </c>
      <c r="Q2828">
        <v>2</v>
      </c>
      <c r="R2828">
        <v>1</v>
      </c>
      <c r="S2828" t="s">
        <v>104</v>
      </c>
      <c r="T2828" t="s">
        <v>4804</v>
      </c>
      <c r="U2828">
        <v>30</v>
      </c>
    </row>
    <row r="2829" spans="1:21" x14ac:dyDescent="0.3">
      <c r="A2829" t="s">
        <v>4330</v>
      </c>
      <c r="B2829" t="s">
        <v>4746</v>
      </c>
      <c r="C2829" t="s">
        <v>270</v>
      </c>
      <c r="D2829" t="s">
        <v>29</v>
      </c>
      <c r="E2829" t="s">
        <v>30</v>
      </c>
      <c r="F2829" s="6">
        <v>46022</v>
      </c>
      <c r="G2829">
        <v>97</v>
      </c>
      <c r="H2829" t="s">
        <v>4805</v>
      </c>
      <c r="I2829">
        <v>0.98350515463917532</v>
      </c>
      <c r="J2829">
        <v>0.98350515463917532</v>
      </c>
      <c r="K2829" t="s">
        <v>1005</v>
      </c>
      <c r="L2829" t="s">
        <v>4806</v>
      </c>
      <c r="M2829">
        <v>2025</v>
      </c>
      <c r="N2829" t="s">
        <v>57</v>
      </c>
      <c r="O2829" t="s">
        <v>103</v>
      </c>
      <c r="P2829">
        <v>2</v>
      </c>
      <c r="Q2829">
        <v>2</v>
      </c>
      <c r="R2829">
        <v>1</v>
      </c>
      <c r="S2829" t="s">
        <v>104</v>
      </c>
      <c r="T2829" t="s">
        <v>4807</v>
      </c>
      <c r="U2829">
        <v>31</v>
      </c>
    </row>
    <row r="2830" spans="1:21" x14ac:dyDescent="0.3">
      <c r="A2830" t="s">
        <v>4330</v>
      </c>
      <c r="B2830" t="s">
        <v>4746</v>
      </c>
      <c r="C2830" t="s">
        <v>270</v>
      </c>
      <c r="D2830" t="s">
        <v>29</v>
      </c>
      <c r="E2830" t="s">
        <v>30</v>
      </c>
      <c r="F2830" s="6">
        <v>46053</v>
      </c>
      <c r="G2830">
        <v>97</v>
      </c>
      <c r="H2830" t="s">
        <v>4808</v>
      </c>
      <c r="I2830">
        <v>0.9783505154639176</v>
      </c>
      <c r="J2830">
        <v>0.9783505154639176</v>
      </c>
      <c r="K2830" t="s">
        <v>1005</v>
      </c>
      <c r="L2830" t="s">
        <v>4809</v>
      </c>
      <c r="M2830">
        <v>2026</v>
      </c>
      <c r="N2830" t="s">
        <v>32</v>
      </c>
      <c r="O2830" t="s">
        <v>408</v>
      </c>
      <c r="P2830">
        <v>2</v>
      </c>
      <c r="Q2830">
        <v>2</v>
      </c>
      <c r="R2830">
        <v>1</v>
      </c>
      <c r="S2830" t="s">
        <v>104</v>
      </c>
      <c r="T2830" t="s">
        <v>4810</v>
      </c>
      <c r="U2830">
        <v>31</v>
      </c>
    </row>
    <row r="2831" spans="1:21" x14ac:dyDescent="0.3">
      <c r="A2831" t="s">
        <v>4811</v>
      </c>
      <c r="B2831" t="s">
        <v>4481</v>
      </c>
      <c r="C2831" t="s">
        <v>283</v>
      </c>
      <c r="D2831" t="s">
        <v>284</v>
      </c>
      <c r="E2831" t="s">
        <v>30</v>
      </c>
      <c r="F2831" s="6">
        <v>45046</v>
      </c>
      <c r="G2831">
        <v>100</v>
      </c>
      <c r="H2831">
        <v>100</v>
      </c>
      <c r="I2831">
        <v>1</v>
      </c>
      <c r="J2831">
        <v>1</v>
      </c>
      <c r="K2831" t="s">
        <v>31</v>
      </c>
      <c r="L2831" t="s">
        <v>31</v>
      </c>
      <c r="M2831">
        <v>2023</v>
      </c>
      <c r="N2831" t="s">
        <v>40</v>
      </c>
      <c r="O2831" t="s">
        <v>33</v>
      </c>
      <c r="P2831">
        <v>0</v>
      </c>
      <c r="Q2831">
        <v>0</v>
      </c>
      <c r="R2831">
        <v>0</v>
      </c>
      <c r="S2831" t="s">
        <v>99</v>
      </c>
      <c r="T2831" t="s">
        <v>4812</v>
      </c>
      <c r="U2831">
        <v>1</v>
      </c>
    </row>
    <row r="2832" spans="1:21" x14ac:dyDescent="0.3">
      <c r="A2832" t="s">
        <v>4811</v>
      </c>
      <c r="B2832" t="s">
        <v>4481</v>
      </c>
      <c r="C2832" t="s">
        <v>283</v>
      </c>
      <c r="D2832" t="s">
        <v>284</v>
      </c>
      <c r="E2832" t="s">
        <v>30</v>
      </c>
      <c r="F2832" s="6">
        <v>45107</v>
      </c>
      <c r="G2832">
        <v>100</v>
      </c>
      <c r="H2832">
        <v>100</v>
      </c>
      <c r="I2832">
        <v>1</v>
      </c>
      <c r="J2832">
        <v>1</v>
      </c>
      <c r="K2832" t="s">
        <v>31</v>
      </c>
      <c r="L2832" t="s">
        <v>31</v>
      </c>
      <c r="M2832">
        <v>2023</v>
      </c>
      <c r="N2832" t="s">
        <v>44</v>
      </c>
      <c r="O2832" t="s">
        <v>33</v>
      </c>
      <c r="P2832">
        <v>0</v>
      </c>
      <c r="Q2832">
        <v>0</v>
      </c>
      <c r="R2832">
        <v>0</v>
      </c>
      <c r="S2832" t="s">
        <v>99</v>
      </c>
      <c r="T2832" t="s">
        <v>4813</v>
      </c>
      <c r="U2832">
        <v>1</v>
      </c>
    </row>
    <row r="2833" spans="1:21" x14ac:dyDescent="0.3">
      <c r="A2833" t="s">
        <v>4811</v>
      </c>
      <c r="B2833" t="s">
        <v>4481</v>
      </c>
      <c r="C2833" t="s">
        <v>283</v>
      </c>
      <c r="D2833" t="s">
        <v>284</v>
      </c>
      <c r="E2833" t="s">
        <v>30</v>
      </c>
      <c r="F2833" s="6">
        <v>45169</v>
      </c>
      <c r="G2833">
        <v>100</v>
      </c>
      <c r="H2833">
        <v>100</v>
      </c>
      <c r="I2833">
        <v>1</v>
      </c>
      <c r="J2833">
        <v>1</v>
      </c>
      <c r="K2833" t="s">
        <v>31</v>
      </c>
      <c r="L2833" t="s">
        <v>31</v>
      </c>
      <c r="M2833">
        <v>2023</v>
      </c>
      <c r="N2833" t="s">
        <v>49</v>
      </c>
      <c r="O2833" t="s">
        <v>47</v>
      </c>
      <c r="P2833">
        <v>0</v>
      </c>
      <c r="Q2833">
        <v>0</v>
      </c>
      <c r="R2833">
        <v>0</v>
      </c>
      <c r="S2833" t="s">
        <v>99</v>
      </c>
      <c r="T2833" t="s">
        <v>4814</v>
      </c>
      <c r="U2833">
        <v>1</v>
      </c>
    </row>
    <row r="2834" spans="1:21" x14ac:dyDescent="0.3">
      <c r="A2834" t="s">
        <v>4811</v>
      </c>
      <c r="B2834" t="s">
        <v>4481</v>
      </c>
      <c r="C2834" t="s">
        <v>283</v>
      </c>
      <c r="D2834" t="s">
        <v>284</v>
      </c>
      <c r="E2834" t="s">
        <v>30</v>
      </c>
      <c r="F2834" s="6">
        <v>45230</v>
      </c>
      <c r="G2834">
        <v>100</v>
      </c>
      <c r="H2834">
        <v>100</v>
      </c>
      <c r="I2834">
        <v>1</v>
      </c>
      <c r="J2834">
        <v>1</v>
      </c>
      <c r="K2834" t="s">
        <v>31</v>
      </c>
      <c r="L2834" t="s">
        <v>31</v>
      </c>
      <c r="M2834">
        <v>2023</v>
      </c>
      <c r="N2834" t="s">
        <v>53</v>
      </c>
      <c r="O2834" t="s">
        <v>47</v>
      </c>
      <c r="P2834">
        <v>0</v>
      </c>
      <c r="Q2834">
        <v>0</v>
      </c>
      <c r="R2834">
        <v>0</v>
      </c>
      <c r="S2834" t="s">
        <v>99</v>
      </c>
      <c r="T2834" t="s">
        <v>4815</v>
      </c>
      <c r="U2834">
        <v>1</v>
      </c>
    </row>
    <row r="2835" spans="1:21" x14ac:dyDescent="0.3">
      <c r="A2835" t="s">
        <v>4811</v>
      </c>
      <c r="B2835" t="s">
        <v>4481</v>
      </c>
      <c r="C2835" t="s">
        <v>283</v>
      </c>
      <c r="D2835" t="s">
        <v>284</v>
      </c>
      <c r="E2835" t="s">
        <v>30</v>
      </c>
      <c r="F2835" s="6">
        <v>45291</v>
      </c>
      <c r="G2835">
        <v>100</v>
      </c>
      <c r="H2835">
        <v>122.22</v>
      </c>
      <c r="I2835">
        <v>1.2222</v>
      </c>
      <c r="J2835">
        <v>1.2222</v>
      </c>
      <c r="K2835" t="s">
        <v>31</v>
      </c>
      <c r="L2835" t="s">
        <v>31</v>
      </c>
      <c r="M2835">
        <v>2023</v>
      </c>
      <c r="N2835" t="s">
        <v>57</v>
      </c>
      <c r="O2835" t="s">
        <v>47</v>
      </c>
      <c r="P2835">
        <v>0</v>
      </c>
      <c r="Q2835">
        <v>0</v>
      </c>
      <c r="R2835">
        <v>0</v>
      </c>
      <c r="S2835" t="s">
        <v>99</v>
      </c>
      <c r="T2835" t="s">
        <v>4816</v>
      </c>
      <c r="U2835">
        <v>1</v>
      </c>
    </row>
    <row r="2836" spans="1:21" x14ac:dyDescent="0.3">
      <c r="A2836" t="s">
        <v>4811</v>
      </c>
      <c r="B2836" t="s">
        <v>4481</v>
      </c>
      <c r="C2836" t="s">
        <v>283</v>
      </c>
      <c r="D2836" t="s">
        <v>284</v>
      </c>
      <c r="E2836" t="s">
        <v>30</v>
      </c>
      <c r="F2836" s="6">
        <v>45351</v>
      </c>
      <c r="K2836" t="s">
        <v>215</v>
      </c>
      <c r="L2836" t="s">
        <v>215</v>
      </c>
      <c r="M2836">
        <v>2024</v>
      </c>
      <c r="N2836" t="s">
        <v>36</v>
      </c>
      <c r="O2836" t="s">
        <v>71</v>
      </c>
      <c r="P2836">
        <v>0</v>
      </c>
      <c r="Q2836">
        <v>0</v>
      </c>
      <c r="R2836">
        <v>0</v>
      </c>
      <c r="S2836" t="s">
        <v>99</v>
      </c>
      <c r="T2836" t="s">
        <v>4817</v>
      </c>
      <c r="U2836">
        <v>1</v>
      </c>
    </row>
    <row r="2837" spans="1:21" x14ac:dyDescent="0.3">
      <c r="A2837" t="s">
        <v>4811</v>
      </c>
      <c r="B2837" t="s">
        <v>4481</v>
      </c>
      <c r="C2837" t="s">
        <v>283</v>
      </c>
      <c r="D2837" t="s">
        <v>284</v>
      </c>
      <c r="E2837" t="s">
        <v>30</v>
      </c>
      <c r="F2837" s="6">
        <v>45412</v>
      </c>
      <c r="G2837">
        <v>100</v>
      </c>
      <c r="H2837">
        <v>100</v>
      </c>
      <c r="I2837">
        <v>1</v>
      </c>
      <c r="J2837">
        <v>1</v>
      </c>
      <c r="K2837" t="s">
        <v>31</v>
      </c>
      <c r="L2837" t="s">
        <v>31</v>
      </c>
      <c r="M2837">
        <v>2024</v>
      </c>
      <c r="N2837" t="s">
        <v>40</v>
      </c>
      <c r="O2837" t="s">
        <v>71</v>
      </c>
      <c r="P2837">
        <v>0</v>
      </c>
      <c r="Q2837">
        <v>0</v>
      </c>
      <c r="R2837">
        <v>0</v>
      </c>
      <c r="S2837" t="s">
        <v>99</v>
      </c>
      <c r="T2837" t="s">
        <v>4818</v>
      </c>
      <c r="U2837">
        <v>1</v>
      </c>
    </row>
    <row r="2838" spans="1:21" x14ac:dyDescent="0.3">
      <c r="A2838" t="s">
        <v>4811</v>
      </c>
      <c r="B2838" t="s">
        <v>4481</v>
      </c>
      <c r="C2838" t="s">
        <v>283</v>
      </c>
      <c r="D2838" t="s">
        <v>284</v>
      </c>
      <c r="E2838" t="s">
        <v>30</v>
      </c>
      <c r="F2838" s="6">
        <v>45473</v>
      </c>
      <c r="G2838">
        <v>100</v>
      </c>
      <c r="H2838">
        <v>80</v>
      </c>
      <c r="I2838">
        <v>0.8</v>
      </c>
      <c r="J2838">
        <v>0.8</v>
      </c>
      <c r="K2838" t="s">
        <v>31</v>
      </c>
      <c r="L2838" t="s">
        <v>31</v>
      </c>
      <c r="M2838">
        <v>2024</v>
      </c>
      <c r="N2838" t="s">
        <v>44</v>
      </c>
      <c r="O2838" t="s">
        <v>71</v>
      </c>
      <c r="P2838">
        <v>0</v>
      </c>
      <c r="Q2838">
        <v>0</v>
      </c>
      <c r="R2838">
        <v>0</v>
      </c>
      <c r="S2838" t="s">
        <v>99</v>
      </c>
      <c r="T2838" t="s">
        <v>4819</v>
      </c>
      <c r="U2838">
        <v>1</v>
      </c>
    </row>
    <row r="2839" spans="1:21" x14ac:dyDescent="0.3">
      <c r="A2839" t="s">
        <v>4811</v>
      </c>
      <c r="B2839" t="s">
        <v>4481</v>
      </c>
      <c r="C2839" t="s">
        <v>283</v>
      </c>
      <c r="D2839" t="s">
        <v>284</v>
      </c>
      <c r="E2839" t="s">
        <v>30</v>
      </c>
      <c r="F2839" s="6">
        <v>45535</v>
      </c>
      <c r="G2839">
        <v>100</v>
      </c>
      <c r="H2839">
        <v>100</v>
      </c>
      <c r="I2839">
        <v>1</v>
      </c>
      <c r="J2839">
        <v>1</v>
      </c>
      <c r="K2839" t="s">
        <v>31</v>
      </c>
      <c r="L2839" t="s">
        <v>31</v>
      </c>
      <c r="M2839">
        <v>2024</v>
      </c>
      <c r="N2839" t="s">
        <v>49</v>
      </c>
      <c r="O2839" t="s">
        <v>78</v>
      </c>
      <c r="P2839">
        <v>0</v>
      </c>
      <c r="Q2839">
        <v>0</v>
      </c>
      <c r="R2839">
        <v>0</v>
      </c>
      <c r="S2839" t="s">
        <v>99</v>
      </c>
      <c r="T2839" t="s">
        <v>4820</v>
      </c>
      <c r="U2839">
        <v>1</v>
      </c>
    </row>
    <row r="2840" spans="1:21" x14ac:dyDescent="0.3">
      <c r="A2840" t="s">
        <v>4811</v>
      </c>
      <c r="B2840" t="s">
        <v>4481</v>
      </c>
      <c r="C2840" t="s">
        <v>283</v>
      </c>
      <c r="D2840" t="s">
        <v>284</v>
      </c>
      <c r="E2840" t="s">
        <v>30</v>
      </c>
      <c r="F2840" s="6">
        <v>45596</v>
      </c>
      <c r="G2840">
        <v>100</v>
      </c>
      <c r="H2840">
        <v>100</v>
      </c>
      <c r="I2840">
        <v>1</v>
      </c>
      <c r="J2840">
        <v>1</v>
      </c>
      <c r="K2840" t="s">
        <v>31</v>
      </c>
      <c r="L2840" t="s">
        <v>31</v>
      </c>
      <c r="M2840">
        <v>2024</v>
      </c>
      <c r="N2840" t="s">
        <v>53</v>
      </c>
      <c r="O2840" t="s">
        <v>78</v>
      </c>
      <c r="P2840">
        <v>0</v>
      </c>
      <c r="Q2840">
        <v>0</v>
      </c>
      <c r="R2840">
        <v>0</v>
      </c>
      <c r="S2840" t="s">
        <v>99</v>
      </c>
      <c r="T2840" t="s">
        <v>4821</v>
      </c>
      <c r="U2840">
        <v>1</v>
      </c>
    </row>
    <row r="2841" spans="1:21" x14ac:dyDescent="0.3">
      <c r="A2841" t="s">
        <v>4811</v>
      </c>
      <c r="B2841" t="s">
        <v>4481</v>
      </c>
      <c r="C2841" t="s">
        <v>283</v>
      </c>
      <c r="D2841" t="s">
        <v>284</v>
      </c>
      <c r="E2841" t="s">
        <v>30</v>
      </c>
      <c r="F2841" s="6">
        <v>45657</v>
      </c>
      <c r="G2841">
        <v>100</v>
      </c>
      <c r="H2841">
        <v>112.5</v>
      </c>
      <c r="I2841">
        <v>1.125</v>
      </c>
      <c r="J2841">
        <v>1.125</v>
      </c>
      <c r="K2841" t="s">
        <v>31</v>
      </c>
      <c r="L2841" t="s">
        <v>31</v>
      </c>
      <c r="M2841">
        <v>2024</v>
      </c>
      <c r="N2841" t="s">
        <v>57</v>
      </c>
      <c r="O2841" t="s">
        <v>78</v>
      </c>
      <c r="P2841">
        <v>0</v>
      </c>
      <c r="Q2841">
        <v>0</v>
      </c>
      <c r="R2841">
        <v>0</v>
      </c>
      <c r="S2841" t="s">
        <v>99</v>
      </c>
      <c r="T2841" t="s">
        <v>4822</v>
      </c>
      <c r="U2841">
        <v>1</v>
      </c>
    </row>
    <row r="2842" spans="1:21" x14ac:dyDescent="0.3">
      <c r="A2842" t="s">
        <v>4823</v>
      </c>
      <c r="B2842" t="s">
        <v>4824</v>
      </c>
      <c r="C2842" t="s">
        <v>283</v>
      </c>
      <c r="D2842" t="s">
        <v>284</v>
      </c>
      <c r="E2842" t="s">
        <v>30</v>
      </c>
      <c r="F2842" s="6">
        <v>44985</v>
      </c>
      <c r="M2842">
        <v>2023</v>
      </c>
      <c r="N2842" t="s">
        <v>36</v>
      </c>
      <c r="O2842" t="s">
        <v>33</v>
      </c>
      <c r="P2842">
        <v>0</v>
      </c>
      <c r="Q2842">
        <v>0</v>
      </c>
      <c r="R2842">
        <v>0</v>
      </c>
      <c r="S2842" t="s">
        <v>99</v>
      </c>
      <c r="T2842" t="s">
        <v>4825</v>
      </c>
      <c r="U2842">
        <v>1</v>
      </c>
    </row>
    <row r="2843" spans="1:21" x14ac:dyDescent="0.3">
      <c r="A2843" t="s">
        <v>4823</v>
      </c>
      <c r="B2843" t="s">
        <v>4824</v>
      </c>
      <c r="C2843" t="s">
        <v>283</v>
      </c>
      <c r="D2843" t="s">
        <v>284</v>
      </c>
      <c r="E2843" t="s">
        <v>30</v>
      </c>
      <c r="F2843" s="6">
        <v>45046</v>
      </c>
      <c r="M2843">
        <v>2023</v>
      </c>
      <c r="N2843" t="s">
        <v>40</v>
      </c>
      <c r="O2843" t="s">
        <v>33</v>
      </c>
      <c r="P2843">
        <v>0</v>
      </c>
      <c r="Q2843">
        <v>0</v>
      </c>
      <c r="R2843">
        <v>0</v>
      </c>
      <c r="S2843" t="s">
        <v>99</v>
      </c>
      <c r="T2843" t="s">
        <v>4826</v>
      </c>
      <c r="U2843">
        <v>1</v>
      </c>
    </row>
    <row r="2844" spans="1:21" x14ac:dyDescent="0.3">
      <c r="A2844" t="s">
        <v>4823</v>
      </c>
      <c r="B2844" t="s">
        <v>4824</v>
      </c>
      <c r="C2844" t="s">
        <v>283</v>
      </c>
      <c r="D2844" t="s">
        <v>284</v>
      </c>
      <c r="E2844" t="s">
        <v>30</v>
      </c>
      <c r="F2844" s="6">
        <v>45107</v>
      </c>
      <c r="G2844">
        <v>85</v>
      </c>
      <c r="H2844">
        <v>100</v>
      </c>
      <c r="I2844">
        <v>1.1764705882352939</v>
      </c>
      <c r="J2844">
        <v>1.1764705882352939</v>
      </c>
      <c r="K2844" t="s">
        <v>31</v>
      </c>
      <c r="L2844" t="s">
        <v>31</v>
      </c>
      <c r="M2844">
        <v>2023</v>
      </c>
      <c r="N2844" t="s">
        <v>44</v>
      </c>
      <c r="O2844" t="s">
        <v>33</v>
      </c>
      <c r="P2844">
        <v>0</v>
      </c>
      <c r="Q2844">
        <v>0</v>
      </c>
      <c r="R2844">
        <v>0</v>
      </c>
      <c r="S2844" t="s">
        <v>99</v>
      </c>
      <c r="T2844" t="s">
        <v>4827</v>
      </c>
      <c r="U2844">
        <v>1</v>
      </c>
    </row>
    <row r="2845" spans="1:21" x14ac:dyDescent="0.3">
      <c r="A2845" t="s">
        <v>4823</v>
      </c>
      <c r="B2845" t="s">
        <v>4824</v>
      </c>
      <c r="C2845" t="s">
        <v>283</v>
      </c>
      <c r="D2845" t="s">
        <v>284</v>
      </c>
      <c r="E2845" t="s">
        <v>30</v>
      </c>
      <c r="F2845" s="6">
        <v>45169</v>
      </c>
      <c r="G2845">
        <v>85</v>
      </c>
      <c r="H2845">
        <v>100</v>
      </c>
      <c r="I2845">
        <v>1.1764705882352939</v>
      </c>
      <c r="J2845">
        <v>1.1764705882352939</v>
      </c>
      <c r="K2845" t="s">
        <v>31</v>
      </c>
      <c r="L2845" t="s">
        <v>31</v>
      </c>
      <c r="M2845">
        <v>2023</v>
      </c>
      <c r="N2845" t="s">
        <v>49</v>
      </c>
      <c r="O2845" t="s">
        <v>47</v>
      </c>
      <c r="P2845">
        <v>0</v>
      </c>
      <c r="Q2845">
        <v>0</v>
      </c>
      <c r="R2845">
        <v>0</v>
      </c>
      <c r="S2845" t="s">
        <v>99</v>
      </c>
      <c r="T2845" t="s">
        <v>4828</v>
      </c>
      <c r="U2845">
        <v>1</v>
      </c>
    </row>
    <row r="2846" spans="1:21" x14ac:dyDescent="0.3">
      <c r="A2846" t="s">
        <v>4823</v>
      </c>
      <c r="B2846" t="s">
        <v>4824</v>
      </c>
      <c r="C2846" t="s">
        <v>283</v>
      </c>
      <c r="D2846" t="s">
        <v>284</v>
      </c>
      <c r="E2846" t="s">
        <v>30</v>
      </c>
      <c r="F2846" s="6">
        <v>45230</v>
      </c>
      <c r="G2846">
        <v>85</v>
      </c>
      <c r="H2846">
        <v>100</v>
      </c>
      <c r="I2846">
        <v>1.1764705882352939</v>
      </c>
      <c r="J2846">
        <v>1.1764705882352939</v>
      </c>
      <c r="K2846" t="s">
        <v>31</v>
      </c>
      <c r="L2846" t="s">
        <v>31</v>
      </c>
      <c r="M2846">
        <v>2023</v>
      </c>
      <c r="N2846" t="s">
        <v>53</v>
      </c>
      <c r="O2846" t="s">
        <v>47</v>
      </c>
      <c r="P2846">
        <v>0</v>
      </c>
      <c r="Q2846">
        <v>0</v>
      </c>
      <c r="R2846">
        <v>0</v>
      </c>
      <c r="S2846" t="s">
        <v>99</v>
      </c>
      <c r="T2846" t="s">
        <v>4829</v>
      </c>
      <c r="U2846">
        <v>1</v>
      </c>
    </row>
    <row r="2847" spans="1:21" x14ac:dyDescent="0.3">
      <c r="A2847" t="s">
        <v>4823</v>
      </c>
      <c r="B2847" t="s">
        <v>4824</v>
      </c>
      <c r="C2847" t="s">
        <v>283</v>
      </c>
      <c r="D2847" t="s">
        <v>284</v>
      </c>
      <c r="E2847" t="s">
        <v>30</v>
      </c>
      <c r="F2847" s="6">
        <v>45291</v>
      </c>
      <c r="G2847">
        <v>85</v>
      </c>
      <c r="H2847">
        <v>95.45</v>
      </c>
      <c r="I2847">
        <v>1.1229411764705881</v>
      </c>
      <c r="J2847">
        <v>1.1229411764705881</v>
      </c>
      <c r="K2847" t="s">
        <v>31</v>
      </c>
      <c r="L2847" t="s">
        <v>31</v>
      </c>
      <c r="M2847">
        <v>2023</v>
      </c>
      <c r="N2847" t="s">
        <v>57</v>
      </c>
      <c r="O2847" t="s">
        <v>47</v>
      </c>
      <c r="P2847">
        <v>0</v>
      </c>
      <c r="Q2847">
        <v>0</v>
      </c>
      <c r="R2847">
        <v>0</v>
      </c>
      <c r="S2847" t="s">
        <v>99</v>
      </c>
      <c r="T2847" t="s">
        <v>4830</v>
      </c>
      <c r="U2847">
        <v>1</v>
      </c>
    </row>
    <row r="2848" spans="1:21" x14ac:dyDescent="0.3">
      <c r="A2848" t="s">
        <v>4831</v>
      </c>
      <c r="B2848" t="s">
        <v>4832</v>
      </c>
      <c r="C2848" t="s">
        <v>28</v>
      </c>
      <c r="D2848" t="s">
        <v>29</v>
      </c>
      <c r="E2848" t="s">
        <v>30</v>
      </c>
      <c r="F2848" s="6">
        <v>44957</v>
      </c>
      <c r="G2848">
        <v>21</v>
      </c>
      <c r="H2848">
        <v>21</v>
      </c>
      <c r="I2848">
        <v>1</v>
      </c>
      <c r="J2848">
        <v>1</v>
      </c>
      <c r="K2848" t="s">
        <v>31</v>
      </c>
      <c r="L2848" t="s">
        <v>31</v>
      </c>
      <c r="M2848">
        <v>2023</v>
      </c>
      <c r="N2848" t="s">
        <v>32</v>
      </c>
      <c r="O2848" t="s">
        <v>33</v>
      </c>
      <c r="P2848">
        <v>0</v>
      </c>
      <c r="Q2848">
        <v>0</v>
      </c>
      <c r="R2848">
        <v>0</v>
      </c>
      <c r="S2848" t="s">
        <v>34</v>
      </c>
      <c r="T2848" t="s">
        <v>4833</v>
      </c>
      <c r="U2848">
        <v>1</v>
      </c>
    </row>
    <row r="2849" spans="1:21" x14ac:dyDescent="0.3">
      <c r="A2849" t="s">
        <v>4831</v>
      </c>
      <c r="B2849" t="s">
        <v>4832</v>
      </c>
      <c r="C2849" t="s">
        <v>28</v>
      </c>
      <c r="D2849" t="s">
        <v>29</v>
      </c>
      <c r="E2849" t="s">
        <v>30</v>
      </c>
      <c r="F2849" s="6">
        <v>44985</v>
      </c>
      <c r="G2849">
        <v>29</v>
      </c>
      <c r="H2849">
        <v>27</v>
      </c>
      <c r="I2849">
        <v>0.93103448275862066</v>
      </c>
      <c r="J2849">
        <v>0.93103448275862066</v>
      </c>
      <c r="K2849" t="s">
        <v>31</v>
      </c>
      <c r="L2849" t="s">
        <v>31</v>
      </c>
      <c r="M2849">
        <v>2023</v>
      </c>
      <c r="N2849" t="s">
        <v>36</v>
      </c>
      <c r="O2849" t="s">
        <v>33</v>
      </c>
      <c r="P2849">
        <v>0</v>
      </c>
      <c r="Q2849">
        <v>0</v>
      </c>
      <c r="R2849">
        <v>0</v>
      </c>
      <c r="S2849" t="s">
        <v>34</v>
      </c>
      <c r="T2849" t="s">
        <v>4834</v>
      </c>
      <c r="U2849">
        <v>1</v>
      </c>
    </row>
    <row r="2850" spans="1:21" x14ac:dyDescent="0.3">
      <c r="A2850" t="s">
        <v>4831</v>
      </c>
      <c r="B2850" t="s">
        <v>4832</v>
      </c>
      <c r="C2850" t="s">
        <v>28</v>
      </c>
      <c r="D2850" t="s">
        <v>29</v>
      </c>
      <c r="E2850" t="s">
        <v>30</v>
      </c>
      <c r="F2850" s="6">
        <v>45016</v>
      </c>
      <c r="G2850">
        <v>38</v>
      </c>
      <c r="H2850">
        <v>35</v>
      </c>
      <c r="I2850">
        <v>0.92105263157894735</v>
      </c>
      <c r="J2850">
        <v>0.92105263157894735</v>
      </c>
      <c r="K2850" t="s">
        <v>31</v>
      </c>
      <c r="L2850" t="s">
        <v>31</v>
      </c>
      <c r="M2850">
        <v>2023</v>
      </c>
      <c r="N2850" t="s">
        <v>38</v>
      </c>
      <c r="O2850" t="s">
        <v>33</v>
      </c>
      <c r="P2850">
        <v>0</v>
      </c>
      <c r="Q2850">
        <v>0</v>
      </c>
      <c r="R2850">
        <v>0</v>
      </c>
      <c r="S2850" t="s">
        <v>34</v>
      </c>
      <c r="T2850" t="s">
        <v>4835</v>
      </c>
      <c r="U2850">
        <v>1</v>
      </c>
    </row>
    <row r="2851" spans="1:21" x14ac:dyDescent="0.3">
      <c r="A2851" t="s">
        <v>4831</v>
      </c>
      <c r="B2851" t="s">
        <v>4832</v>
      </c>
      <c r="C2851" t="s">
        <v>28</v>
      </c>
      <c r="D2851" t="s">
        <v>29</v>
      </c>
      <c r="E2851" t="s">
        <v>30</v>
      </c>
      <c r="F2851" s="6">
        <v>45046</v>
      </c>
      <c r="G2851">
        <v>46</v>
      </c>
      <c r="H2851">
        <v>44</v>
      </c>
      <c r="I2851">
        <v>0.95652173913043481</v>
      </c>
      <c r="J2851">
        <v>0.95652173913043481</v>
      </c>
      <c r="K2851" t="s">
        <v>31</v>
      </c>
      <c r="L2851" t="s">
        <v>31</v>
      </c>
      <c r="M2851">
        <v>2023</v>
      </c>
      <c r="N2851" t="s">
        <v>40</v>
      </c>
      <c r="O2851" t="s">
        <v>33</v>
      </c>
      <c r="P2851">
        <v>0</v>
      </c>
      <c r="Q2851">
        <v>0</v>
      </c>
      <c r="R2851">
        <v>0</v>
      </c>
      <c r="S2851" t="s">
        <v>34</v>
      </c>
      <c r="T2851" t="s">
        <v>4836</v>
      </c>
      <c r="U2851">
        <v>1</v>
      </c>
    </row>
    <row r="2852" spans="1:21" x14ac:dyDescent="0.3">
      <c r="A2852" t="s">
        <v>4831</v>
      </c>
      <c r="B2852" t="s">
        <v>4832</v>
      </c>
      <c r="C2852" t="s">
        <v>28</v>
      </c>
      <c r="D2852" t="s">
        <v>29</v>
      </c>
      <c r="E2852" t="s">
        <v>30</v>
      </c>
      <c r="F2852" s="6">
        <v>45077</v>
      </c>
      <c r="G2852">
        <v>57</v>
      </c>
      <c r="H2852">
        <v>58</v>
      </c>
      <c r="I2852">
        <v>1.0175438596491231</v>
      </c>
      <c r="J2852">
        <v>1.0175438596491231</v>
      </c>
      <c r="K2852" t="s">
        <v>31</v>
      </c>
      <c r="L2852" t="s">
        <v>31</v>
      </c>
      <c r="M2852">
        <v>2023</v>
      </c>
      <c r="N2852" t="s">
        <v>42</v>
      </c>
      <c r="O2852" t="s">
        <v>33</v>
      </c>
      <c r="P2852">
        <v>0</v>
      </c>
      <c r="Q2852">
        <v>0</v>
      </c>
      <c r="R2852">
        <v>0</v>
      </c>
      <c r="S2852" t="s">
        <v>34</v>
      </c>
      <c r="T2852" t="s">
        <v>4837</v>
      </c>
      <c r="U2852">
        <v>1</v>
      </c>
    </row>
    <row r="2853" spans="1:21" x14ac:dyDescent="0.3">
      <c r="A2853" t="s">
        <v>4831</v>
      </c>
      <c r="B2853" t="s">
        <v>4832</v>
      </c>
      <c r="C2853" t="s">
        <v>28</v>
      </c>
      <c r="D2853" t="s">
        <v>29</v>
      </c>
      <c r="E2853" t="s">
        <v>30</v>
      </c>
      <c r="F2853" s="6">
        <v>45107</v>
      </c>
      <c r="G2853">
        <v>65</v>
      </c>
      <c r="H2853">
        <v>75</v>
      </c>
      <c r="I2853">
        <v>1.153846153846154</v>
      </c>
      <c r="J2853">
        <v>1.153846153846154</v>
      </c>
      <c r="K2853" t="s">
        <v>31</v>
      </c>
      <c r="L2853" t="s">
        <v>31</v>
      </c>
      <c r="M2853">
        <v>2023</v>
      </c>
      <c r="N2853" t="s">
        <v>44</v>
      </c>
      <c r="O2853" t="s">
        <v>33</v>
      </c>
      <c r="P2853">
        <v>0</v>
      </c>
      <c r="Q2853">
        <v>0</v>
      </c>
      <c r="R2853">
        <v>0</v>
      </c>
      <c r="S2853" t="s">
        <v>34</v>
      </c>
      <c r="T2853" t="s">
        <v>4838</v>
      </c>
      <c r="U2853">
        <v>1</v>
      </c>
    </row>
    <row r="2854" spans="1:21" x14ac:dyDescent="0.3">
      <c r="A2854" t="s">
        <v>4831</v>
      </c>
      <c r="B2854" t="s">
        <v>4832</v>
      </c>
      <c r="C2854" t="s">
        <v>28</v>
      </c>
      <c r="D2854" t="s">
        <v>29</v>
      </c>
      <c r="E2854" t="s">
        <v>30</v>
      </c>
      <c r="F2854" s="6">
        <v>45138</v>
      </c>
      <c r="G2854">
        <v>78</v>
      </c>
      <c r="H2854">
        <v>74</v>
      </c>
      <c r="I2854">
        <v>0.94871794871794868</v>
      </c>
      <c r="J2854">
        <v>0.94871794871794868</v>
      </c>
      <c r="K2854" t="s">
        <v>31</v>
      </c>
      <c r="L2854" t="s">
        <v>31</v>
      </c>
      <c r="M2854">
        <v>2023</v>
      </c>
      <c r="N2854" t="s">
        <v>46</v>
      </c>
      <c r="O2854" t="s">
        <v>47</v>
      </c>
      <c r="P2854">
        <v>0</v>
      </c>
      <c r="Q2854">
        <v>0</v>
      </c>
      <c r="R2854">
        <v>0</v>
      </c>
      <c r="S2854" t="s">
        <v>34</v>
      </c>
      <c r="T2854" t="s">
        <v>4839</v>
      </c>
      <c r="U2854">
        <v>1</v>
      </c>
    </row>
    <row r="2855" spans="1:21" x14ac:dyDescent="0.3">
      <c r="A2855" t="s">
        <v>4831</v>
      </c>
      <c r="B2855" t="s">
        <v>4832</v>
      </c>
      <c r="C2855" t="s">
        <v>28</v>
      </c>
      <c r="D2855" t="s">
        <v>29</v>
      </c>
      <c r="E2855" t="s">
        <v>30</v>
      </c>
      <c r="F2855" s="6">
        <v>45169</v>
      </c>
      <c r="G2855">
        <v>78</v>
      </c>
      <c r="H2855">
        <v>78</v>
      </c>
      <c r="I2855">
        <v>1</v>
      </c>
      <c r="J2855">
        <v>1</v>
      </c>
      <c r="K2855" t="s">
        <v>31</v>
      </c>
      <c r="L2855" t="s">
        <v>31</v>
      </c>
      <c r="M2855">
        <v>2023</v>
      </c>
      <c r="N2855" t="s">
        <v>49</v>
      </c>
      <c r="O2855" t="s">
        <v>47</v>
      </c>
      <c r="P2855">
        <v>0</v>
      </c>
      <c r="Q2855">
        <v>0</v>
      </c>
      <c r="R2855">
        <v>0</v>
      </c>
      <c r="S2855" t="s">
        <v>34</v>
      </c>
      <c r="T2855" t="s">
        <v>4840</v>
      </c>
      <c r="U2855">
        <v>1</v>
      </c>
    </row>
    <row r="2856" spans="1:21" x14ac:dyDescent="0.3">
      <c r="A2856" t="s">
        <v>4831</v>
      </c>
      <c r="B2856" t="s">
        <v>4832</v>
      </c>
      <c r="C2856" t="s">
        <v>28</v>
      </c>
      <c r="D2856" t="s">
        <v>29</v>
      </c>
      <c r="E2856" t="s">
        <v>30</v>
      </c>
      <c r="F2856" s="6">
        <v>45199</v>
      </c>
      <c r="G2856">
        <v>83</v>
      </c>
      <c r="H2856">
        <v>81</v>
      </c>
      <c r="I2856">
        <v>0.97590361445783136</v>
      </c>
      <c r="J2856">
        <v>0.97590361445783136</v>
      </c>
      <c r="K2856" t="s">
        <v>31</v>
      </c>
      <c r="L2856" t="s">
        <v>31</v>
      </c>
      <c r="M2856">
        <v>2023</v>
      </c>
      <c r="N2856" t="s">
        <v>51</v>
      </c>
      <c r="O2856" t="s">
        <v>47</v>
      </c>
      <c r="P2856">
        <v>0</v>
      </c>
      <c r="Q2856">
        <v>0</v>
      </c>
      <c r="R2856">
        <v>0</v>
      </c>
      <c r="S2856" t="s">
        <v>34</v>
      </c>
      <c r="T2856" t="s">
        <v>4841</v>
      </c>
      <c r="U2856">
        <v>1</v>
      </c>
    </row>
    <row r="2857" spans="1:21" x14ac:dyDescent="0.3">
      <c r="A2857" t="s">
        <v>4831</v>
      </c>
      <c r="B2857" t="s">
        <v>4832</v>
      </c>
      <c r="C2857" t="s">
        <v>28</v>
      </c>
      <c r="D2857" t="s">
        <v>29</v>
      </c>
      <c r="E2857" t="s">
        <v>30</v>
      </c>
      <c r="F2857" s="6">
        <v>45230</v>
      </c>
      <c r="G2857">
        <v>94</v>
      </c>
      <c r="H2857">
        <v>90</v>
      </c>
      <c r="I2857">
        <v>0.95744680851063835</v>
      </c>
      <c r="J2857">
        <v>0.95744680851063835</v>
      </c>
      <c r="K2857" t="s">
        <v>31</v>
      </c>
      <c r="L2857" t="s">
        <v>31</v>
      </c>
      <c r="M2857">
        <v>2023</v>
      </c>
      <c r="N2857" t="s">
        <v>53</v>
      </c>
      <c r="O2857" t="s">
        <v>47</v>
      </c>
      <c r="P2857">
        <v>0</v>
      </c>
      <c r="Q2857">
        <v>0</v>
      </c>
      <c r="R2857">
        <v>0</v>
      </c>
      <c r="S2857" t="s">
        <v>34</v>
      </c>
      <c r="T2857" t="s">
        <v>4842</v>
      </c>
      <c r="U2857">
        <v>1</v>
      </c>
    </row>
    <row r="2858" spans="1:21" x14ac:dyDescent="0.3">
      <c r="A2858" t="s">
        <v>4831</v>
      </c>
      <c r="B2858" t="s">
        <v>4832</v>
      </c>
      <c r="C2858" t="s">
        <v>28</v>
      </c>
      <c r="D2858" t="s">
        <v>29</v>
      </c>
      <c r="E2858" t="s">
        <v>30</v>
      </c>
      <c r="F2858" s="6">
        <v>45260</v>
      </c>
      <c r="G2858">
        <v>99</v>
      </c>
      <c r="H2858">
        <v>99</v>
      </c>
      <c r="I2858">
        <v>1</v>
      </c>
      <c r="J2858">
        <v>1</v>
      </c>
      <c r="K2858" t="s">
        <v>31</v>
      </c>
      <c r="L2858" t="s">
        <v>31</v>
      </c>
      <c r="M2858">
        <v>2023</v>
      </c>
      <c r="N2858" t="s">
        <v>55</v>
      </c>
      <c r="O2858" t="s">
        <v>47</v>
      </c>
      <c r="P2858">
        <v>0</v>
      </c>
      <c r="Q2858">
        <v>0</v>
      </c>
      <c r="R2858">
        <v>0</v>
      </c>
      <c r="S2858" t="s">
        <v>34</v>
      </c>
      <c r="T2858" t="s">
        <v>4843</v>
      </c>
      <c r="U2858">
        <v>1</v>
      </c>
    </row>
    <row r="2859" spans="1:21" x14ac:dyDescent="0.3">
      <c r="A2859" t="s">
        <v>4831</v>
      </c>
      <c r="B2859" t="s">
        <v>4832</v>
      </c>
      <c r="C2859" t="s">
        <v>28</v>
      </c>
      <c r="D2859" t="s">
        <v>29</v>
      </c>
      <c r="E2859" t="s">
        <v>30</v>
      </c>
      <c r="F2859" s="6">
        <v>45291</v>
      </c>
      <c r="G2859">
        <v>100</v>
      </c>
      <c r="H2859">
        <v>100</v>
      </c>
      <c r="I2859">
        <v>1</v>
      </c>
      <c r="J2859">
        <v>1</v>
      </c>
      <c r="K2859" t="s">
        <v>31</v>
      </c>
      <c r="L2859" t="s">
        <v>31</v>
      </c>
      <c r="M2859">
        <v>2023</v>
      </c>
      <c r="N2859" t="s">
        <v>57</v>
      </c>
      <c r="O2859" t="s">
        <v>47</v>
      </c>
      <c r="P2859">
        <v>0</v>
      </c>
      <c r="Q2859">
        <v>0</v>
      </c>
      <c r="R2859">
        <v>0</v>
      </c>
      <c r="S2859" t="s">
        <v>34</v>
      </c>
      <c r="T2859" t="s">
        <v>4844</v>
      </c>
      <c r="U2859">
        <v>1</v>
      </c>
    </row>
    <row r="2860" spans="1:21" x14ac:dyDescent="0.3">
      <c r="A2860" t="s">
        <v>4845</v>
      </c>
      <c r="B2860" t="s">
        <v>4846</v>
      </c>
      <c r="C2860" t="s">
        <v>97</v>
      </c>
      <c r="D2860" t="s">
        <v>98</v>
      </c>
      <c r="E2860" t="s">
        <v>30</v>
      </c>
      <c r="F2860" s="6">
        <v>45291</v>
      </c>
      <c r="G2860">
        <v>100</v>
      </c>
      <c r="H2860">
        <v>100</v>
      </c>
      <c r="I2860">
        <v>1</v>
      </c>
      <c r="J2860">
        <v>1</v>
      </c>
      <c r="K2860" t="s">
        <v>31</v>
      </c>
      <c r="L2860" t="s">
        <v>31</v>
      </c>
      <c r="M2860">
        <v>2023</v>
      </c>
      <c r="N2860" t="s">
        <v>57</v>
      </c>
      <c r="O2860" t="s">
        <v>47</v>
      </c>
      <c r="P2860">
        <v>0</v>
      </c>
      <c r="Q2860">
        <v>0</v>
      </c>
      <c r="R2860">
        <v>0</v>
      </c>
      <c r="S2860" t="s">
        <v>99</v>
      </c>
      <c r="T2860" t="s">
        <v>4847</v>
      </c>
      <c r="U2860">
        <v>1</v>
      </c>
    </row>
    <row r="2861" spans="1:21" x14ac:dyDescent="0.3">
      <c r="A2861" t="s">
        <v>4845</v>
      </c>
      <c r="B2861" t="s">
        <v>4846</v>
      </c>
      <c r="C2861" t="s">
        <v>97</v>
      </c>
      <c r="D2861" t="s">
        <v>98</v>
      </c>
      <c r="E2861" t="s">
        <v>30</v>
      </c>
      <c r="F2861" s="6">
        <v>45657</v>
      </c>
      <c r="G2861">
        <v>100</v>
      </c>
      <c r="H2861">
        <v>100</v>
      </c>
      <c r="I2861">
        <v>1</v>
      </c>
      <c r="J2861">
        <v>1</v>
      </c>
      <c r="K2861" t="s">
        <v>31</v>
      </c>
      <c r="L2861" t="s">
        <v>31</v>
      </c>
      <c r="M2861">
        <v>2024</v>
      </c>
      <c r="N2861" t="s">
        <v>57</v>
      </c>
      <c r="O2861" t="s">
        <v>78</v>
      </c>
      <c r="P2861">
        <v>0</v>
      </c>
      <c r="Q2861">
        <v>0</v>
      </c>
      <c r="R2861">
        <v>0</v>
      </c>
      <c r="S2861" t="s">
        <v>99</v>
      </c>
      <c r="T2861" t="s">
        <v>4848</v>
      </c>
      <c r="U2861">
        <v>1</v>
      </c>
    </row>
    <row r="2862" spans="1:21" x14ac:dyDescent="0.3">
      <c r="A2862" t="s">
        <v>4845</v>
      </c>
      <c r="B2862" t="s">
        <v>4846</v>
      </c>
      <c r="C2862" t="s">
        <v>97</v>
      </c>
      <c r="D2862" t="s">
        <v>98</v>
      </c>
      <c r="E2862" t="s">
        <v>30</v>
      </c>
      <c r="F2862" s="6">
        <v>46022</v>
      </c>
      <c r="G2862">
        <v>100</v>
      </c>
      <c r="H2862" t="s">
        <v>95</v>
      </c>
      <c r="I2862">
        <v>1</v>
      </c>
      <c r="J2862">
        <v>1</v>
      </c>
      <c r="K2862" t="s">
        <v>102</v>
      </c>
      <c r="L2862" t="s">
        <v>102</v>
      </c>
      <c r="M2862">
        <v>2025</v>
      </c>
      <c r="N2862" t="s">
        <v>57</v>
      </c>
      <c r="O2862" t="s">
        <v>103</v>
      </c>
      <c r="P2862">
        <v>2</v>
      </c>
      <c r="Q2862">
        <v>2</v>
      </c>
      <c r="R2862">
        <v>0</v>
      </c>
      <c r="S2862" t="s">
        <v>104</v>
      </c>
      <c r="T2862" t="s">
        <v>4849</v>
      </c>
      <c r="U2862">
        <v>31</v>
      </c>
    </row>
    <row r="2863" spans="1:21" x14ac:dyDescent="0.3">
      <c r="A2863" t="s">
        <v>4850</v>
      </c>
      <c r="B2863" t="s">
        <v>4851</v>
      </c>
      <c r="C2863" t="s">
        <v>97</v>
      </c>
      <c r="D2863" t="s">
        <v>98</v>
      </c>
      <c r="E2863" t="s">
        <v>30</v>
      </c>
      <c r="F2863" s="6">
        <v>45291</v>
      </c>
      <c r="G2863">
        <v>100</v>
      </c>
      <c r="H2863">
        <v>100</v>
      </c>
      <c r="I2863">
        <v>1</v>
      </c>
      <c r="J2863">
        <v>1</v>
      </c>
      <c r="K2863" t="s">
        <v>31</v>
      </c>
      <c r="L2863" t="s">
        <v>31</v>
      </c>
      <c r="M2863">
        <v>2023</v>
      </c>
      <c r="N2863" t="s">
        <v>57</v>
      </c>
      <c r="O2863" t="s">
        <v>47</v>
      </c>
      <c r="P2863">
        <v>0</v>
      </c>
      <c r="Q2863">
        <v>0</v>
      </c>
      <c r="R2863">
        <v>0</v>
      </c>
      <c r="S2863" t="s">
        <v>99</v>
      </c>
      <c r="T2863" t="s">
        <v>4852</v>
      </c>
      <c r="U2863">
        <v>1</v>
      </c>
    </row>
    <row r="2864" spans="1:21" x14ac:dyDescent="0.3">
      <c r="A2864" t="s">
        <v>4850</v>
      </c>
      <c r="B2864" t="s">
        <v>4851</v>
      </c>
      <c r="C2864" t="s">
        <v>97</v>
      </c>
      <c r="D2864" t="s">
        <v>98</v>
      </c>
      <c r="E2864" t="s">
        <v>30</v>
      </c>
      <c r="F2864" s="6">
        <v>45657</v>
      </c>
      <c r="G2864">
        <v>100</v>
      </c>
      <c r="H2864">
        <v>100</v>
      </c>
      <c r="I2864">
        <v>1</v>
      </c>
      <c r="J2864">
        <v>1</v>
      </c>
      <c r="K2864" t="s">
        <v>31</v>
      </c>
      <c r="L2864" t="s">
        <v>31</v>
      </c>
      <c r="M2864">
        <v>2024</v>
      </c>
      <c r="N2864" t="s">
        <v>57</v>
      </c>
      <c r="O2864" t="s">
        <v>78</v>
      </c>
      <c r="P2864">
        <v>0</v>
      </c>
      <c r="Q2864">
        <v>0</v>
      </c>
      <c r="R2864">
        <v>0</v>
      </c>
      <c r="S2864" t="s">
        <v>99</v>
      </c>
      <c r="T2864" t="s">
        <v>4853</v>
      </c>
      <c r="U2864">
        <v>1</v>
      </c>
    </row>
    <row r="2865" spans="1:21" x14ac:dyDescent="0.3">
      <c r="A2865" t="s">
        <v>4850</v>
      </c>
      <c r="B2865" t="s">
        <v>4851</v>
      </c>
      <c r="C2865" t="s">
        <v>97</v>
      </c>
      <c r="D2865" t="s">
        <v>98</v>
      </c>
      <c r="E2865" t="s">
        <v>30</v>
      </c>
      <c r="F2865" s="6">
        <v>46022</v>
      </c>
      <c r="G2865">
        <v>100</v>
      </c>
      <c r="H2865" t="s">
        <v>95</v>
      </c>
      <c r="I2865">
        <v>1</v>
      </c>
      <c r="J2865">
        <v>1</v>
      </c>
      <c r="K2865" t="s">
        <v>102</v>
      </c>
      <c r="L2865" t="s">
        <v>102</v>
      </c>
      <c r="M2865">
        <v>2025</v>
      </c>
      <c r="N2865" t="s">
        <v>57</v>
      </c>
      <c r="O2865" t="s">
        <v>103</v>
      </c>
      <c r="P2865">
        <v>2</v>
      </c>
      <c r="Q2865">
        <v>2</v>
      </c>
      <c r="R2865">
        <v>0</v>
      </c>
      <c r="S2865" t="s">
        <v>104</v>
      </c>
      <c r="T2865" t="s">
        <v>4854</v>
      </c>
      <c r="U2865">
        <v>31</v>
      </c>
    </row>
    <row r="2866" spans="1:21" x14ac:dyDescent="0.3">
      <c r="A2866" t="s">
        <v>4409</v>
      </c>
      <c r="B2866" t="s">
        <v>4855</v>
      </c>
      <c r="C2866" t="s">
        <v>97</v>
      </c>
      <c r="D2866" t="s">
        <v>222</v>
      </c>
      <c r="E2866" t="s">
        <v>30</v>
      </c>
      <c r="F2866" s="6">
        <v>45107</v>
      </c>
      <c r="G2866">
        <v>100</v>
      </c>
      <c r="H2866">
        <v>100</v>
      </c>
      <c r="I2866">
        <v>1</v>
      </c>
      <c r="J2866">
        <v>1</v>
      </c>
      <c r="K2866" t="s">
        <v>31</v>
      </c>
      <c r="L2866" t="s">
        <v>31</v>
      </c>
      <c r="M2866">
        <v>2023</v>
      </c>
      <c r="N2866" t="s">
        <v>44</v>
      </c>
      <c r="O2866" t="s">
        <v>33</v>
      </c>
      <c r="P2866">
        <v>0</v>
      </c>
      <c r="Q2866">
        <v>0</v>
      </c>
      <c r="R2866">
        <v>0</v>
      </c>
      <c r="S2866" t="s">
        <v>99</v>
      </c>
      <c r="T2866" t="s">
        <v>4856</v>
      </c>
      <c r="U2866">
        <v>1</v>
      </c>
    </row>
    <row r="2867" spans="1:21" x14ac:dyDescent="0.3">
      <c r="A2867" t="s">
        <v>4409</v>
      </c>
      <c r="B2867" t="s">
        <v>4855</v>
      </c>
      <c r="C2867" t="s">
        <v>97</v>
      </c>
      <c r="D2867" t="s">
        <v>222</v>
      </c>
      <c r="E2867" t="s">
        <v>30</v>
      </c>
      <c r="F2867" s="6">
        <v>45291</v>
      </c>
      <c r="G2867">
        <v>100</v>
      </c>
      <c r="H2867">
        <v>100</v>
      </c>
      <c r="I2867">
        <v>1</v>
      </c>
      <c r="J2867">
        <v>1</v>
      </c>
      <c r="K2867" t="s">
        <v>31</v>
      </c>
      <c r="L2867" t="s">
        <v>31</v>
      </c>
      <c r="M2867">
        <v>2023</v>
      </c>
      <c r="N2867" t="s">
        <v>57</v>
      </c>
      <c r="O2867" t="s">
        <v>47</v>
      </c>
      <c r="P2867">
        <v>0</v>
      </c>
      <c r="Q2867">
        <v>0</v>
      </c>
      <c r="R2867">
        <v>0</v>
      </c>
      <c r="S2867" t="s">
        <v>99</v>
      </c>
      <c r="T2867" t="s">
        <v>4857</v>
      </c>
      <c r="U2867">
        <v>1</v>
      </c>
    </row>
    <row r="2868" spans="1:21" x14ac:dyDescent="0.3">
      <c r="A2868" t="s">
        <v>4409</v>
      </c>
      <c r="B2868" t="s">
        <v>4855</v>
      </c>
      <c r="C2868" t="s">
        <v>97</v>
      </c>
      <c r="D2868" t="s">
        <v>222</v>
      </c>
      <c r="E2868" t="s">
        <v>30</v>
      </c>
      <c r="F2868" s="6">
        <v>45473</v>
      </c>
      <c r="G2868">
        <v>100</v>
      </c>
      <c r="H2868">
        <v>100</v>
      </c>
      <c r="I2868">
        <v>1</v>
      </c>
      <c r="J2868">
        <v>1</v>
      </c>
      <c r="K2868" t="s">
        <v>31</v>
      </c>
      <c r="L2868" t="s">
        <v>31</v>
      </c>
      <c r="M2868">
        <v>2024</v>
      </c>
      <c r="N2868" t="s">
        <v>44</v>
      </c>
      <c r="O2868" t="s">
        <v>71</v>
      </c>
      <c r="P2868">
        <v>0</v>
      </c>
      <c r="Q2868">
        <v>0</v>
      </c>
      <c r="R2868">
        <v>0</v>
      </c>
      <c r="S2868" t="s">
        <v>99</v>
      </c>
      <c r="T2868" t="s">
        <v>4858</v>
      </c>
      <c r="U2868">
        <v>1</v>
      </c>
    </row>
    <row r="2869" spans="1:21" x14ac:dyDescent="0.3">
      <c r="A2869" t="s">
        <v>4409</v>
      </c>
      <c r="B2869" t="s">
        <v>4855</v>
      </c>
      <c r="C2869" t="s">
        <v>97</v>
      </c>
      <c r="D2869" t="s">
        <v>222</v>
      </c>
      <c r="E2869" t="s">
        <v>30</v>
      </c>
      <c r="F2869" s="6">
        <v>45657</v>
      </c>
      <c r="G2869">
        <v>100</v>
      </c>
      <c r="H2869">
        <v>100</v>
      </c>
      <c r="I2869">
        <v>1</v>
      </c>
      <c r="J2869">
        <v>1</v>
      </c>
      <c r="K2869" t="s">
        <v>31</v>
      </c>
      <c r="L2869" t="s">
        <v>31</v>
      </c>
      <c r="M2869">
        <v>2024</v>
      </c>
      <c r="N2869" t="s">
        <v>57</v>
      </c>
      <c r="O2869" t="s">
        <v>78</v>
      </c>
      <c r="P2869">
        <v>0</v>
      </c>
      <c r="Q2869">
        <v>0</v>
      </c>
      <c r="R2869">
        <v>0</v>
      </c>
      <c r="S2869" t="s">
        <v>99</v>
      </c>
      <c r="T2869" t="s">
        <v>4859</v>
      </c>
      <c r="U2869">
        <v>1</v>
      </c>
    </row>
    <row r="2870" spans="1:21" x14ac:dyDescent="0.3">
      <c r="A2870" t="s">
        <v>4409</v>
      </c>
      <c r="B2870" t="s">
        <v>4855</v>
      </c>
      <c r="C2870" t="s">
        <v>97</v>
      </c>
      <c r="D2870" t="s">
        <v>222</v>
      </c>
      <c r="E2870" t="s">
        <v>30</v>
      </c>
      <c r="F2870" s="6">
        <v>45838</v>
      </c>
      <c r="G2870">
        <v>100</v>
      </c>
      <c r="H2870" t="s">
        <v>95</v>
      </c>
      <c r="I2870">
        <v>1</v>
      </c>
      <c r="J2870">
        <v>1</v>
      </c>
      <c r="K2870" t="s">
        <v>102</v>
      </c>
      <c r="L2870" t="s">
        <v>102</v>
      </c>
      <c r="M2870">
        <v>2025</v>
      </c>
      <c r="N2870" t="s">
        <v>44</v>
      </c>
      <c r="O2870" t="s">
        <v>244</v>
      </c>
      <c r="P2870">
        <v>2</v>
      </c>
      <c r="Q2870">
        <v>2</v>
      </c>
      <c r="R2870">
        <v>0</v>
      </c>
      <c r="S2870" t="s">
        <v>104</v>
      </c>
      <c r="T2870" t="s">
        <v>4860</v>
      </c>
      <c r="U2870">
        <v>30</v>
      </c>
    </row>
    <row r="2871" spans="1:21" x14ac:dyDescent="0.3">
      <c r="A2871" t="s">
        <v>4409</v>
      </c>
      <c r="B2871" t="s">
        <v>4855</v>
      </c>
      <c r="C2871" t="s">
        <v>97</v>
      </c>
      <c r="D2871" t="s">
        <v>222</v>
      </c>
      <c r="E2871" t="s">
        <v>30</v>
      </c>
      <c r="F2871" s="6">
        <v>46022</v>
      </c>
      <c r="G2871">
        <v>100</v>
      </c>
      <c r="H2871" t="s">
        <v>95</v>
      </c>
      <c r="I2871">
        <v>1</v>
      </c>
      <c r="J2871">
        <v>1</v>
      </c>
      <c r="K2871" t="s">
        <v>102</v>
      </c>
      <c r="L2871" t="s">
        <v>102</v>
      </c>
      <c r="M2871">
        <v>2025</v>
      </c>
      <c r="N2871" t="s">
        <v>57</v>
      </c>
      <c r="O2871" t="s">
        <v>103</v>
      </c>
      <c r="P2871">
        <v>2</v>
      </c>
      <c r="Q2871">
        <v>2</v>
      </c>
      <c r="R2871">
        <v>0</v>
      </c>
      <c r="S2871" t="s">
        <v>104</v>
      </c>
      <c r="T2871" t="s">
        <v>4861</v>
      </c>
      <c r="U2871">
        <v>31</v>
      </c>
    </row>
    <row r="2872" spans="1:21" x14ac:dyDescent="0.3">
      <c r="A2872" t="s">
        <v>4862</v>
      </c>
      <c r="B2872" t="s">
        <v>4863</v>
      </c>
      <c r="C2872" t="s">
        <v>97</v>
      </c>
      <c r="D2872" t="s">
        <v>98</v>
      </c>
      <c r="E2872" t="s">
        <v>30</v>
      </c>
      <c r="F2872" s="6">
        <v>45291</v>
      </c>
      <c r="G2872">
        <v>90</v>
      </c>
      <c r="H2872">
        <v>100</v>
      </c>
      <c r="I2872">
        <v>1.1111111111111109</v>
      </c>
      <c r="J2872">
        <v>1.1111111111111109</v>
      </c>
      <c r="K2872" t="s">
        <v>31</v>
      </c>
      <c r="L2872" t="s">
        <v>31</v>
      </c>
      <c r="M2872">
        <v>2023</v>
      </c>
      <c r="N2872" t="s">
        <v>57</v>
      </c>
      <c r="O2872" t="s">
        <v>47</v>
      </c>
      <c r="P2872">
        <v>0</v>
      </c>
      <c r="Q2872">
        <v>0</v>
      </c>
      <c r="R2872">
        <v>0</v>
      </c>
      <c r="S2872" t="s">
        <v>99</v>
      </c>
      <c r="T2872" t="s">
        <v>4864</v>
      </c>
      <c r="U2872">
        <v>1</v>
      </c>
    </row>
    <row r="2873" spans="1:21" x14ac:dyDescent="0.3">
      <c r="A2873" t="s">
        <v>4862</v>
      </c>
      <c r="B2873" t="s">
        <v>4863</v>
      </c>
      <c r="C2873" t="s">
        <v>97</v>
      </c>
      <c r="D2873" t="s">
        <v>98</v>
      </c>
      <c r="E2873" t="s">
        <v>30</v>
      </c>
      <c r="F2873" s="6">
        <v>45657</v>
      </c>
      <c r="G2873">
        <v>90</v>
      </c>
      <c r="K2873" t="s">
        <v>31</v>
      </c>
      <c r="L2873" t="s">
        <v>31</v>
      </c>
      <c r="M2873">
        <v>2024</v>
      </c>
      <c r="N2873" t="s">
        <v>57</v>
      </c>
      <c r="O2873" t="s">
        <v>78</v>
      </c>
      <c r="P2873">
        <v>0</v>
      </c>
      <c r="Q2873">
        <v>0</v>
      </c>
      <c r="R2873">
        <v>0</v>
      </c>
      <c r="S2873" t="s">
        <v>99</v>
      </c>
      <c r="T2873" t="s">
        <v>4865</v>
      </c>
      <c r="U2873">
        <v>1</v>
      </c>
    </row>
    <row r="2874" spans="1:21" x14ac:dyDescent="0.3">
      <c r="A2874" t="s">
        <v>4862</v>
      </c>
      <c r="B2874" t="s">
        <v>4863</v>
      </c>
      <c r="C2874" t="s">
        <v>97</v>
      </c>
      <c r="D2874" t="s">
        <v>98</v>
      </c>
      <c r="E2874" t="s">
        <v>30</v>
      </c>
      <c r="F2874" s="6">
        <v>46022</v>
      </c>
      <c r="G2874">
        <v>80</v>
      </c>
      <c r="H2874" t="s">
        <v>95</v>
      </c>
      <c r="I2874">
        <v>1.25</v>
      </c>
      <c r="J2874">
        <v>1.25</v>
      </c>
      <c r="K2874" t="s">
        <v>193</v>
      </c>
      <c r="L2874" t="s">
        <v>102</v>
      </c>
      <c r="M2874">
        <v>2025</v>
      </c>
      <c r="N2874" t="s">
        <v>57</v>
      </c>
      <c r="O2874" t="s">
        <v>103</v>
      </c>
      <c r="P2874">
        <v>2</v>
      </c>
      <c r="Q2874">
        <v>2</v>
      </c>
      <c r="R2874">
        <v>0</v>
      </c>
      <c r="S2874" t="s">
        <v>104</v>
      </c>
      <c r="T2874" t="s">
        <v>4866</v>
      </c>
      <c r="U2874">
        <v>31</v>
      </c>
    </row>
    <row r="2875" spans="1:21" x14ac:dyDescent="0.3">
      <c r="A2875" t="s">
        <v>4403</v>
      </c>
      <c r="B2875" t="s">
        <v>4867</v>
      </c>
      <c r="C2875" t="s">
        <v>97</v>
      </c>
      <c r="D2875" t="s">
        <v>98</v>
      </c>
      <c r="E2875" t="s">
        <v>30</v>
      </c>
      <c r="F2875" s="6">
        <v>45291</v>
      </c>
      <c r="G2875">
        <v>100</v>
      </c>
      <c r="H2875">
        <v>100</v>
      </c>
      <c r="I2875">
        <v>1</v>
      </c>
      <c r="J2875">
        <v>1</v>
      </c>
      <c r="K2875" t="s">
        <v>31</v>
      </c>
      <c r="L2875" t="s">
        <v>31</v>
      </c>
      <c r="M2875">
        <v>2023</v>
      </c>
      <c r="N2875" t="s">
        <v>57</v>
      </c>
      <c r="O2875" t="s">
        <v>47</v>
      </c>
      <c r="P2875">
        <v>0</v>
      </c>
      <c r="Q2875">
        <v>0</v>
      </c>
      <c r="R2875">
        <v>0</v>
      </c>
      <c r="S2875" t="s">
        <v>99</v>
      </c>
      <c r="T2875" t="s">
        <v>4868</v>
      </c>
      <c r="U2875">
        <v>1</v>
      </c>
    </row>
    <row r="2876" spans="1:21" x14ac:dyDescent="0.3">
      <c r="A2876" t="s">
        <v>4403</v>
      </c>
      <c r="B2876" t="s">
        <v>4867</v>
      </c>
      <c r="C2876" t="s">
        <v>97</v>
      </c>
      <c r="D2876" t="s">
        <v>98</v>
      </c>
      <c r="E2876" t="s">
        <v>30</v>
      </c>
      <c r="F2876" s="6">
        <v>45657</v>
      </c>
      <c r="G2876">
        <v>100</v>
      </c>
      <c r="H2876">
        <v>100</v>
      </c>
      <c r="I2876">
        <v>1</v>
      </c>
      <c r="J2876">
        <v>1</v>
      </c>
      <c r="K2876" t="s">
        <v>31</v>
      </c>
      <c r="L2876" t="s">
        <v>31</v>
      </c>
      <c r="M2876">
        <v>2024</v>
      </c>
      <c r="N2876" t="s">
        <v>57</v>
      </c>
      <c r="O2876" t="s">
        <v>78</v>
      </c>
      <c r="P2876">
        <v>0</v>
      </c>
      <c r="Q2876">
        <v>0</v>
      </c>
      <c r="R2876">
        <v>0</v>
      </c>
      <c r="S2876" t="s">
        <v>99</v>
      </c>
      <c r="T2876" t="s">
        <v>4869</v>
      </c>
      <c r="U2876">
        <v>1</v>
      </c>
    </row>
    <row r="2877" spans="1:21" x14ac:dyDescent="0.3">
      <c r="A2877" t="s">
        <v>4403</v>
      </c>
      <c r="B2877" t="s">
        <v>4867</v>
      </c>
      <c r="C2877" t="s">
        <v>97</v>
      </c>
      <c r="D2877" t="s">
        <v>98</v>
      </c>
      <c r="E2877" t="s">
        <v>30</v>
      </c>
      <c r="F2877" s="6">
        <v>46022</v>
      </c>
      <c r="G2877">
        <v>100</v>
      </c>
      <c r="H2877" t="s">
        <v>95</v>
      </c>
      <c r="I2877">
        <v>1</v>
      </c>
      <c r="J2877">
        <v>1</v>
      </c>
      <c r="K2877" t="s">
        <v>102</v>
      </c>
      <c r="L2877" t="s">
        <v>102</v>
      </c>
      <c r="M2877">
        <v>2025</v>
      </c>
      <c r="N2877" t="s">
        <v>57</v>
      </c>
      <c r="O2877" t="s">
        <v>103</v>
      </c>
      <c r="P2877">
        <v>2</v>
      </c>
      <c r="Q2877">
        <v>2</v>
      </c>
      <c r="R2877">
        <v>0</v>
      </c>
      <c r="S2877" t="s">
        <v>104</v>
      </c>
      <c r="T2877" t="s">
        <v>4870</v>
      </c>
      <c r="U2877">
        <v>31</v>
      </c>
    </row>
    <row r="2878" spans="1:21" x14ac:dyDescent="0.3">
      <c r="A2878" t="s">
        <v>279</v>
      </c>
      <c r="B2878" t="s">
        <v>4871</v>
      </c>
      <c r="C2878" t="s">
        <v>97</v>
      </c>
      <c r="D2878" t="s">
        <v>98</v>
      </c>
      <c r="E2878" t="s">
        <v>30</v>
      </c>
      <c r="F2878" s="6">
        <v>45291</v>
      </c>
      <c r="G2878">
        <v>100</v>
      </c>
      <c r="H2878">
        <v>100</v>
      </c>
      <c r="I2878">
        <v>1</v>
      </c>
      <c r="J2878">
        <v>1</v>
      </c>
      <c r="K2878" t="s">
        <v>31</v>
      </c>
      <c r="L2878" t="s">
        <v>31</v>
      </c>
      <c r="M2878">
        <v>2023</v>
      </c>
      <c r="N2878" t="s">
        <v>57</v>
      </c>
      <c r="O2878" t="s">
        <v>47</v>
      </c>
      <c r="P2878">
        <v>0</v>
      </c>
      <c r="Q2878">
        <v>0</v>
      </c>
      <c r="R2878">
        <v>0</v>
      </c>
      <c r="S2878" t="s">
        <v>99</v>
      </c>
      <c r="T2878" t="s">
        <v>4872</v>
      </c>
      <c r="U2878">
        <v>1</v>
      </c>
    </row>
    <row r="2879" spans="1:21" x14ac:dyDescent="0.3">
      <c r="A2879" t="s">
        <v>279</v>
      </c>
      <c r="B2879" t="s">
        <v>4871</v>
      </c>
      <c r="C2879" t="s">
        <v>97</v>
      </c>
      <c r="D2879" t="s">
        <v>98</v>
      </c>
      <c r="E2879" t="s">
        <v>30</v>
      </c>
      <c r="F2879" s="6">
        <v>45657</v>
      </c>
      <c r="G2879">
        <v>100</v>
      </c>
      <c r="H2879">
        <v>100</v>
      </c>
      <c r="I2879">
        <v>1</v>
      </c>
      <c r="J2879">
        <v>1</v>
      </c>
      <c r="K2879" t="s">
        <v>31</v>
      </c>
      <c r="L2879" t="s">
        <v>31</v>
      </c>
      <c r="M2879">
        <v>2024</v>
      </c>
      <c r="N2879" t="s">
        <v>57</v>
      </c>
      <c r="O2879" t="s">
        <v>78</v>
      </c>
      <c r="P2879">
        <v>0</v>
      </c>
      <c r="Q2879">
        <v>0</v>
      </c>
      <c r="R2879">
        <v>0</v>
      </c>
      <c r="S2879" t="s">
        <v>99</v>
      </c>
      <c r="T2879" t="s">
        <v>4873</v>
      </c>
      <c r="U2879">
        <v>1</v>
      </c>
    </row>
    <row r="2880" spans="1:21" x14ac:dyDescent="0.3">
      <c r="A2880" t="s">
        <v>279</v>
      </c>
      <c r="B2880" t="s">
        <v>4871</v>
      </c>
      <c r="C2880" t="s">
        <v>97</v>
      </c>
      <c r="D2880" t="s">
        <v>98</v>
      </c>
      <c r="E2880" t="s">
        <v>30</v>
      </c>
      <c r="F2880" s="6">
        <v>46022</v>
      </c>
      <c r="G2880">
        <v>100</v>
      </c>
      <c r="H2880" t="s">
        <v>95</v>
      </c>
      <c r="I2880">
        <v>1</v>
      </c>
      <c r="J2880">
        <v>1</v>
      </c>
      <c r="K2880" t="s">
        <v>102</v>
      </c>
      <c r="L2880" t="s">
        <v>102</v>
      </c>
      <c r="M2880">
        <v>2025</v>
      </c>
      <c r="N2880" t="s">
        <v>57</v>
      </c>
      <c r="O2880" t="s">
        <v>103</v>
      </c>
      <c r="P2880">
        <v>2</v>
      </c>
      <c r="Q2880">
        <v>2</v>
      </c>
      <c r="R2880">
        <v>0</v>
      </c>
      <c r="S2880" t="s">
        <v>104</v>
      </c>
      <c r="T2880" t="s">
        <v>4874</v>
      </c>
      <c r="U2880">
        <v>31</v>
      </c>
    </row>
    <row r="2881" spans="1:21" x14ac:dyDescent="0.3">
      <c r="A2881" t="s">
        <v>4875</v>
      </c>
      <c r="B2881" t="s">
        <v>4876</v>
      </c>
      <c r="C2881" t="s">
        <v>266</v>
      </c>
      <c r="D2881" t="s">
        <v>29</v>
      </c>
      <c r="E2881" t="s">
        <v>30</v>
      </c>
      <c r="F2881" s="6">
        <v>45046</v>
      </c>
      <c r="G2881">
        <v>18</v>
      </c>
      <c r="H2881">
        <v>13</v>
      </c>
      <c r="I2881">
        <v>0.72222222222222221</v>
      </c>
      <c r="J2881">
        <v>0.72222222222222221</v>
      </c>
      <c r="K2881" t="s">
        <v>31</v>
      </c>
      <c r="L2881" t="s">
        <v>31</v>
      </c>
      <c r="M2881">
        <v>2023</v>
      </c>
      <c r="N2881" t="s">
        <v>40</v>
      </c>
      <c r="O2881" t="s">
        <v>33</v>
      </c>
      <c r="P2881">
        <v>0</v>
      </c>
      <c r="Q2881">
        <v>0</v>
      </c>
      <c r="R2881">
        <v>1</v>
      </c>
      <c r="S2881" t="s">
        <v>99</v>
      </c>
      <c r="T2881" t="s">
        <v>4877</v>
      </c>
      <c r="U2881">
        <v>1</v>
      </c>
    </row>
    <row r="2882" spans="1:21" x14ac:dyDescent="0.3">
      <c r="A2882" t="s">
        <v>4875</v>
      </c>
      <c r="B2882" t="s">
        <v>4876</v>
      </c>
      <c r="C2882" t="s">
        <v>266</v>
      </c>
      <c r="D2882" t="s">
        <v>29</v>
      </c>
      <c r="E2882" t="s">
        <v>30</v>
      </c>
      <c r="F2882" s="6">
        <v>45077</v>
      </c>
      <c r="G2882">
        <v>30</v>
      </c>
      <c r="H2882">
        <v>17</v>
      </c>
      <c r="I2882">
        <v>0.56666666666666665</v>
      </c>
      <c r="J2882">
        <v>0.56666666666666665</v>
      </c>
      <c r="K2882" t="s">
        <v>31</v>
      </c>
      <c r="L2882" t="s">
        <v>31</v>
      </c>
      <c r="M2882">
        <v>2023</v>
      </c>
      <c r="N2882" t="s">
        <v>42</v>
      </c>
      <c r="O2882" t="s">
        <v>33</v>
      </c>
      <c r="P2882">
        <v>0</v>
      </c>
      <c r="Q2882">
        <v>0</v>
      </c>
      <c r="R2882">
        <v>1</v>
      </c>
      <c r="S2882" t="s">
        <v>99</v>
      </c>
      <c r="T2882" t="s">
        <v>4878</v>
      </c>
      <c r="U2882">
        <v>1</v>
      </c>
    </row>
    <row r="2883" spans="1:21" x14ac:dyDescent="0.3">
      <c r="A2883" t="s">
        <v>4875</v>
      </c>
      <c r="B2883" t="s">
        <v>4876</v>
      </c>
      <c r="C2883" t="s">
        <v>266</v>
      </c>
      <c r="D2883" t="s">
        <v>29</v>
      </c>
      <c r="E2883" t="s">
        <v>30</v>
      </c>
      <c r="F2883" s="6">
        <v>45107</v>
      </c>
      <c r="G2883">
        <v>50</v>
      </c>
      <c r="H2883">
        <v>36</v>
      </c>
      <c r="I2883">
        <v>0.72</v>
      </c>
      <c r="J2883">
        <v>0.72</v>
      </c>
      <c r="K2883" t="s">
        <v>31</v>
      </c>
      <c r="L2883" t="s">
        <v>31</v>
      </c>
      <c r="M2883">
        <v>2023</v>
      </c>
      <c r="N2883" t="s">
        <v>44</v>
      </c>
      <c r="O2883" t="s">
        <v>33</v>
      </c>
      <c r="P2883">
        <v>0</v>
      </c>
      <c r="Q2883">
        <v>0</v>
      </c>
      <c r="R2883">
        <v>1</v>
      </c>
      <c r="S2883" t="s">
        <v>99</v>
      </c>
      <c r="T2883" t="s">
        <v>4879</v>
      </c>
      <c r="U2883">
        <v>1</v>
      </c>
    </row>
    <row r="2884" spans="1:21" x14ac:dyDescent="0.3">
      <c r="A2884" t="s">
        <v>4875</v>
      </c>
      <c r="B2884" t="s">
        <v>4876</v>
      </c>
      <c r="C2884" t="s">
        <v>266</v>
      </c>
      <c r="D2884" t="s">
        <v>29</v>
      </c>
      <c r="E2884" t="s">
        <v>30</v>
      </c>
      <c r="F2884" s="6">
        <v>45138</v>
      </c>
      <c r="G2884">
        <v>44</v>
      </c>
      <c r="H2884">
        <v>40</v>
      </c>
      <c r="I2884">
        <v>0.90909090909090906</v>
      </c>
      <c r="J2884">
        <v>0.90909090909090906</v>
      </c>
      <c r="K2884" t="s">
        <v>31</v>
      </c>
      <c r="L2884" t="s">
        <v>31</v>
      </c>
      <c r="M2884">
        <v>2023</v>
      </c>
      <c r="N2884" t="s">
        <v>46</v>
      </c>
      <c r="O2884" t="s">
        <v>47</v>
      </c>
      <c r="P2884">
        <v>0</v>
      </c>
      <c r="Q2884">
        <v>0</v>
      </c>
      <c r="R2884">
        <v>1</v>
      </c>
      <c r="S2884" t="s">
        <v>99</v>
      </c>
      <c r="T2884" t="s">
        <v>4880</v>
      </c>
      <c r="U2884">
        <v>1</v>
      </c>
    </row>
    <row r="2885" spans="1:21" x14ac:dyDescent="0.3">
      <c r="A2885" t="s">
        <v>4875</v>
      </c>
      <c r="B2885" t="s">
        <v>4876</v>
      </c>
      <c r="C2885" t="s">
        <v>266</v>
      </c>
      <c r="D2885" t="s">
        <v>29</v>
      </c>
      <c r="E2885" t="s">
        <v>30</v>
      </c>
      <c r="F2885" s="6">
        <v>45169</v>
      </c>
      <c r="G2885">
        <v>71</v>
      </c>
      <c r="H2885">
        <v>65</v>
      </c>
      <c r="I2885">
        <v>0.91549295774647887</v>
      </c>
      <c r="J2885">
        <v>0.91549295774647887</v>
      </c>
      <c r="K2885" t="s">
        <v>31</v>
      </c>
      <c r="L2885" t="s">
        <v>31</v>
      </c>
      <c r="M2885">
        <v>2023</v>
      </c>
      <c r="N2885" t="s">
        <v>49</v>
      </c>
      <c r="O2885" t="s">
        <v>47</v>
      </c>
      <c r="P2885">
        <v>0</v>
      </c>
      <c r="Q2885">
        <v>0</v>
      </c>
      <c r="R2885">
        <v>1</v>
      </c>
      <c r="S2885" t="s">
        <v>99</v>
      </c>
      <c r="T2885" t="s">
        <v>4881</v>
      </c>
      <c r="U2885">
        <v>1</v>
      </c>
    </row>
    <row r="2886" spans="1:21" x14ac:dyDescent="0.3">
      <c r="A2886" t="s">
        <v>4875</v>
      </c>
      <c r="B2886" t="s">
        <v>4876</v>
      </c>
      <c r="C2886" t="s">
        <v>266</v>
      </c>
      <c r="D2886" t="s">
        <v>29</v>
      </c>
      <c r="E2886" t="s">
        <v>30</v>
      </c>
      <c r="F2886" s="6">
        <v>45199</v>
      </c>
      <c r="G2886">
        <v>77</v>
      </c>
      <c r="H2886">
        <v>74</v>
      </c>
      <c r="I2886">
        <v>0.96103896103896103</v>
      </c>
      <c r="J2886">
        <v>0.96103896103896103</v>
      </c>
      <c r="K2886" t="s">
        <v>31</v>
      </c>
      <c r="L2886" t="s">
        <v>31</v>
      </c>
      <c r="M2886">
        <v>2023</v>
      </c>
      <c r="N2886" t="s">
        <v>51</v>
      </c>
      <c r="O2886" t="s">
        <v>47</v>
      </c>
      <c r="P2886">
        <v>0</v>
      </c>
      <c r="Q2886">
        <v>0</v>
      </c>
      <c r="R2886">
        <v>1</v>
      </c>
      <c r="S2886" t="s">
        <v>99</v>
      </c>
      <c r="T2886" t="s">
        <v>4882</v>
      </c>
      <c r="U2886">
        <v>1</v>
      </c>
    </row>
    <row r="2887" spans="1:21" x14ac:dyDescent="0.3">
      <c r="A2887" t="s">
        <v>4875</v>
      </c>
      <c r="B2887" t="s">
        <v>4876</v>
      </c>
      <c r="C2887" t="s">
        <v>266</v>
      </c>
      <c r="D2887" t="s">
        <v>29</v>
      </c>
      <c r="E2887" t="s">
        <v>30</v>
      </c>
      <c r="F2887" s="6">
        <v>45230</v>
      </c>
      <c r="G2887">
        <v>92</v>
      </c>
      <c r="H2887">
        <v>86</v>
      </c>
      <c r="I2887">
        <v>0.93478260869565222</v>
      </c>
      <c r="J2887">
        <v>0.93478260869565222</v>
      </c>
      <c r="K2887" t="s">
        <v>31</v>
      </c>
      <c r="L2887" t="s">
        <v>31</v>
      </c>
      <c r="M2887">
        <v>2023</v>
      </c>
      <c r="N2887" t="s">
        <v>53</v>
      </c>
      <c r="O2887" t="s">
        <v>47</v>
      </c>
      <c r="P2887">
        <v>0</v>
      </c>
      <c r="Q2887">
        <v>0</v>
      </c>
      <c r="R2887">
        <v>1</v>
      </c>
      <c r="S2887" t="s">
        <v>99</v>
      </c>
      <c r="T2887" t="s">
        <v>4883</v>
      </c>
      <c r="U2887">
        <v>1</v>
      </c>
    </row>
    <row r="2888" spans="1:21" x14ac:dyDescent="0.3">
      <c r="A2888" t="s">
        <v>4875</v>
      </c>
      <c r="B2888" t="s">
        <v>4876</v>
      </c>
      <c r="C2888" t="s">
        <v>266</v>
      </c>
      <c r="D2888" t="s">
        <v>29</v>
      </c>
      <c r="E2888" t="s">
        <v>30</v>
      </c>
      <c r="F2888" s="6">
        <v>45260</v>
      </c>
      <c r="G2888">
        <v>97</v>
      </c>
      <c r="H2888">
        <v>91</v>
      </c>
      <c r="I2888">
        <v>0.93814432989690721</v>
      </c>
      <c r="J2888">
        <v>0.93814432989690721</v>
      </c>
      <c r="K2888" t="s">
        <v>31</v>
      </c>
      <c r="L2888" t="s">
        <v>31</v>
      </c>
      <c r="M2888">
        <v>2023</v>
      </c>
      <c r="N2888" t="s">
        <v>55</v>
      </c>
      <c r="O2888" t="s">
        <v>47</v>
      </c>
      <c r="P2888">
        <v>0</v>
      </c>
      <c r="Q2888">
        <v>0</v>
      </c>
      <c r="R2888">
        <v>1</v>
      </c>
      <c r="S2888" t="s">
        <v>99</v>
      </c>
      <c r="T2888" t="s">
        <v>4884</v>
      </c>
      <c r="U2888">
        <v>1</v>
      </c>
    </row>
    <row r="2889" spans="1:21" x14ac:dyDescent="0.3">
      <c r="A2889" t="s">
        <v>4875</v>
      </c>
      <c r="B2889" t="s">
        <v>4876</v>
      </c>
      <c r="C2889" t="s">
        <v>266</v>
      </c>
      <c r="D2889" t="s">
        <v>29</v>
      </c>
      <c r="E2889" t="s">
        <v>30</v>
      </c>
      <c r="F2889" s="6">
        <v>45291</v>
      </c>
      <c r="G2889">
        <v>98</v>
      </c>
      <c r="H2889">
        <v>95</v>
      </c>
      <c r="I2889">
        <v>0.96938775510204078</v>
      </c>
      <c r="J2889">
        <v>0.96938775510204078</v>
      </c>
      <c r="K2889" t="s">
        <v>31</v>
      </c>
      <c r="L2889" t="s">
        <v>31</v>
      </c>
      <c r="M2889">
        <v>2023</v>
      </c>
      <c r="N2889" t="s">
        <v>57</v>
      </c>
      <c r="O2889" t="s">
        <v>47</v>
      </c>
      <c r="P2889">
        <v>0</v>
      </c>
      <c r="Q2889">
        <v>0</v>
      </c>
      <c r="R2889">
        <v>1</v>
      </c>
      <c r="S2889" t="s">
        <v>99</v>
      </c>
      <c r="T2889" t="s">
        <v>4885</v>
      </c>
      <c r="U2889">
        <v>1</v>
      </c>
    </row>
    <row r="2890" spans="1:21" x14ac:dyDescent="0.3">
      <c r="A2890" t="s">
        <v>4875</v>
      </c>
      <c r="B2890" t="s">
        <v>4876</v>
      </c>
      <c r="C2890" t="s">
        <v>266</v>
      </c>
      <c r="D2890" t="s">
        <v>29</v>
      </c>
      <c r="E2890" t="s">
        <v>30</v>
      </c>
      <c r="F2890" s="6">
        <v>45322</v>
      </c>
      <c r="G2890">
        <v>98</v>
      </c>
      <c r="H2890">
        <v>95</v>
      </c>
      <c r="I2890">
        <v>0.96938775510204078</v>
      </c>
      <c r="J2890">
        <v>0.96938775510204078</v>
      </c>
      <c r="K2890" t="s">
        <v>31</v>
      </c>
      <c r="L2890" t="s">
        <v>31</v>
      </c>
      <c r="M2890">
        <v>2024</v>
      </c>
      <c r="N2890" t="s">
        <v>32</v>
      </c>
      <c r="O2890" t="s">
        <v>71</v>
      </c>
      <c r="P2890">
        <v>0</v>
      </c>
      <c r="Q2890">
        <v>0</v>
      </c>
      <c r="R2890">
        <v>1</v>
      </c>
      <c r="S2890" t="s">
        <v>99</v>
      </c>
      <c r="T2890" t="s">
        <v>4886</v>
      </c>
      <c r="U2890">
        <v>1</v>
      </c>
    </row>
    <row r="2891" spans="1:21" x14ac:dyDescent="0.3">
      <c r="A2891" t="s">
        <v>4875</v>
      </c>
      <c r="B2891" t="s">
        <v>4876</v>
      </c>
      <c r="C2891" t="s">
        <v>266</v>
      </c>
      <c r="D2891" t="s">
        <v>29</v>
      </c>
      <c r="E2891" t="s">
        <v>30</v>
      </c>
      <c r="F2891" s="6">
        <v>45351</v>
      </c>
      <c r="G2891">
        <v>98</v>
      </c>
      <c r="H2891">
        <v>95</v>
      </c>
      <c r="I2891">
        <v>0.96938775510204078</v>
      </c>
      <c r="J2891">
        <v>0.96938775510204078</v>
      </c>
      <c r="K2891" t="s">
        <v>31</v>
      </c>
      <c r="L2891" t="s">
        <v>31</v>
      </c>
      <c r="M2891">
        <v>2024</v>
      </c>
      <c r="N2891" t="s">
        <v>36</v>
      </c>
      <c r="O2891" t="s">
        <v>71</v>
      </c>
      <c r="P2891">
        <v>0</v>
      </c>
      <c r="Q2891">
        <v>0</v>
      </c>
      <c r="R2891">
        <v>1</v>
      </c>
      <c r="S2891" t="s">
        <v>99</v>
      </c>
      <c r="T2891" t="s">
        <v>4887</v>
      </c>
      <c r="U2891">
        <v>1</v>
      </c>
    </row>
    <row r="2892" spans="1:21" x14ac:dyDescent="0.3">
      <c r="A2892" t="s">
        <v>4875</v>
      </c>
      <c r="B2892" t="s">
        <v>4876</v>
      </c>
      <c r="C2892" t="s">
        <v>266</v>
      </c>
      <c r="D2892" t="s">
        <v>29</v>
      </c>
      <c r="E2892" t="s">
        <v>30</v>
      </c>
      <c r="F2892" s="6">
        <v>45382</v>
      </c>
      <c r="G2892">
        <v>100</v>
      </c>
      <c r="H2892">
        <v>99</v>
      </c>
      <c r="I2892">
        <v>0.99</v>
      </c>
      <c r="J2892">
        <v>0.99</v>
      </c>
      <c r="K2892" t="s">
        <v>31</v>
      </c>
      <c r="L2892" t="s">
        <v>31</v>
      </c>
      <c r="M2892">
        <v>2024</v>
      </c>
      <c r="N2892" t="s">
        <v>38</v>
      </c>
      <c r="O2892" t="s">
        <v>71</v>
      </c>
      <c r="P2892">
        <v>0</v>
      </c>
      <c r="Q2892">
        <v>0</v>
      </c>
      <c r="R2892">
        <v>1</v>
      </c>
      <c r="S2892" t="s">
        <v>99</v>
      </c>
      <c r="T2892" t="s">
        <v>4888</v>
      </c>
      <c r="U2892">
        <v>1</v>
      </c>
    </row>
    <row r="2893" spans="1:21" x14ac:dyDescent="0.3">
      <c r="A2893" t="s">
        <v>4875</v>
      </c>
      <c r="B2893" t="s">
        <v>4876</v>
      </c>
      <c r="C2893" t="s">
        <v>266</v>
      </c>
      <c r="D2893" t="s">
        <v>29</v>
      </c>
      <c r="E2893" t="s">
        <v>30</v>
      </c>
      <c r="F2893" s="6">
        <v>45412</v>
      </c>
      <c r="G2893">
        <v>100</v>
      </c>
      <c r="H2893">
        <v>100</v>
      </c>
      <c r="I2893">
        <v>1</v>
      </c>
      <c r="J2893">
        <v>1</v>
      </c>
      <c r="K2893" t="s">
        <v>31</v>
      </c>
      <c r="L2893" t="s">
        <v>31</v>
      </c>
      <c r="M2893">
        <v>2024</v>
      </c>
      <c r="N2893" t="s">
        <v>40</v>
      </c>
      <c r="O2893" t="s">
        <v>71</v>
      </c>
      <c r="P2893">
        <v>0</v>
      </c>
      <c r="Q2893">
        <v>0</v>
      </c>
      <c r="R2893">
        <v>1</v>
      </c>
      <c r="S2893" t="s">
        <v>99</v>
      </c>
      <c r="T2893" t="s">
        <v>4889</v>
      </c>
      <c r="U2893">
        <v>1</v>
      </c>
    </row>
    <row r="2894" spans="1:21" x14ac:dyDescent="0.3">
      <c r="A2894" t="s">
        <v>4875</v>
      </c>
      <c r="B2894" t="s">
        <v>4876</v>
      </c>
      <c r="C2894" t="s">
        <v>266</v>
      </c>
      <c r="D2894" t="s">
        <v>29</v>
      </c>
      <c r="E2894" t="s">
        <v>30</v>
      </c>
      <c r="F2894" s="6">
        <v>45443</v>
      </c>
      <c r="G2894">
        <v>100</v>
      </c>
      <c r="H2894">
        <v>100</v>
      </c>
      <c r="I2894">
        <v>1</v>
      </c>
      <c r="J2894">
        <v>1</v>
      </c>
      <c r="K2894" t="s">
        <v>31</v>
      </c>
      <c r="L2894" t="s">
        <v>31</v>
      </c>
      <c r="M2894">
        <v>2024</v>
      </c>
      <c r="N2894" t="s">
        <v>42</v>
      </c>
      <c r="O2894" t="s">
        <v>71</v>
      </c>
      <c r="P2894">
        <v>0</v>
      </c>
      <c r="Q2894">
        <v>0</v>
      </c>
      <c r="R2894">
        <v>1</v>
      </c>
      <c r="S2894" t="s">
        <v>99</v>
      </c>
      <c r="T2894" t="s">
        <v>4890</v>
      </c>
      <c r="U2894">
        <v>1</v>
      </c>
    </row>
    <row r="2895" spans="1:21" x14ac:dyDescent="0.3">
      <c r="A2895" t="s">
        <v>4875</v>
      </c>
      <c r="B2895" t="s">
        <v>4876</v>
      </c>
      <c r="C2895" t="s">
        <v>266</v>
      </c>
      <c r="D2895" t="s">
        <v>29</v>
      </c>
      <c r="E2895" t="s">
        <v>30</v>
      </c>
      <c r="F2895" s="6">
        <v>45473</v>
      </c>
      <c r="G2895">
        <v>100</v>
      </c>
      <c r="H2895">
        <v>100</v>
      </c>
      <c r="I2895">
        <v>1</v>
      </c>
      <c r="J2895">
        <v>1</v>
      </c>
      <c r="K2895" t="s">
        <v>31</v>
      </c>
      <c r="L2895" t="s">
        <v>31</v>
      </c>
      <c r="M2895">
        <v>2024</v>
      </c>
      <c r="N2895" t="s">
        <v>44</v>
      </c>
      <c r="O2895" t="s">
        <v>71</v>
      </c>
      <c r="P2895">
        <v>0</v>
      </c>
      <c r="Q2895">
        <v>0</v>
      </c>
      <c r="R2895">
        <v>1</v>
      </c>
      <c r="S2895" t="s">
        <v>99</v>
      </c>
      <c r="T2895" t="s">
        <v>4891</v>
      </c>
      <c r="U2895">
        <v>1</v>
      </c>
    </row>
    <row r="2896" spans="1:21" x14ac:dyDescent="0.3">
      <c r="A2896" t="s">
        <v>255</v>
      </c>
      <c r="B2896" t="s">
        <v>4892</v>
      </c>
      <c r="C2896" t="s">
        <v>97</v>
      </c>
      <c r="D2896" t="s">
        <v>98</v>
      </c>
      <c r="E2896" t="s">
        <v>30</v>
      </c>
      <c r="F2896" s="6">
        <v>45291</v>
      </c>
      <c r="G2896">
        <v>100</v>
      </c>
      <c r="H2896">
        <v>100</v>
      </c>
      <c r="I2896">
        <v>1</v>
      </c>
      <c r="J2896">
        <v>1</v>
      </c>
      <c r="K2896" t="s">
        <v>31</v>
      </c>
      <c r="L2896" t="s">
        <v>31</v>
      </c>
      <c r="M2896">
        <v>2023</v>
      </c>
      <c r="N2896" t="s">
        <v>57</v>
      </c>
      <c r="O2896" t="s">
        <v>47</v>
      </c>
      <c r="P2896">
        <v>0</v>
      </c>
      <c r="Q2896">
        <v>0</v>
      </c>
      <c r="R2896">
        <v>0</v>
      </c>
      <c r="S2896" t="s">
        <v>99</v>
      </c>
      <c r="T2896" t="s">
        <v>4893</v>
      </c>
      <c r="U2896">
        <v>1</v>
      </c>
    </row>
    <row r="2897" spans="1:21" x14ac:dyDescent="0.3">
      <c r="A2897" t="s">
        <v>255</v>
      </c>
      <c r="B2897" t="s">
        <v>4892</v>
      </c>
      <c r="C2897" t="s">
        <v>97</v>
      </c>
      <c r="D2897" t="s">
        <v>98</v>
      </c>
      <c r="E2897" t="s">
        <v>30</v>
      </c>
      <c r="F2897" s="6">
        <v>45657</v>
      </c>
      <c r="G2897">
        <v>100</v>
      </c>
      <c r="H2897">
        <v>100</v>
      </c>
      <c r="I2897">
        <v>1</v>
      </c>
      <c r="J2897">
        <v>1</v>
      </c>
      <c r="K2897" t="s">
        <v>31</v>
      </c>
      <c r="L2897" t="s">
        <v>31</v>
      </c>
      <c r="M2897">
        <v>2024</v>
      </c>
      <c r="N2897" t="s">
        <v>57</v>
      </c>
      <c r="O2897" t="s">
        <v>78</v>
      </c>
      <c r="P2897">
        <v>0</v>
      </c>
      <c r="Q2897">
        <v>0</v>
      </c>
      <c r="R2897">
        <v>0</v>
      </c>
      <c r="S2897" t="s">
        <v>99</v>
      </c>
      <c r="T2897" t="s">
        <v>4894</v>
      </c>
      <c r="U2897">
        <v>1</v>
      </c>
    </row>
    <row r="2898" spans="1:21" x14ac:dyDescent="0.3">
      <c r="A2898" t="s">
        <v>255</v>
      </c>
      <c r="B2898" t="s">
        <v>4892</v>
      </c>
      <c r="C2898" t="s">
        <v>97</v>
      </c>
      <c r="D2898" t="s">
        <v>98</v>
      </c>
      <c r="E2898" t="s">
        <v>30</v>
      </c>
      <c r="F2898" s="6">
        <v>46022</v>
      </c>
      <c r="G2898">
        <v>100</v>
      </c>
      <c r="H2898" t="s">
        <v>95</v>
      </c>
      <c r="I2898">
        <v>1</v>
      </c>
      <c r="J2898">
        <v>1</v>
      </c>
      <c r="K2898" t="s">
        <v>102</v>
      </c>
      <c r="L2898" t="s">
        <v>102</v>
      </c>
      <c r="M2898">
        <v>2025</v>
      </c>
      <c r="N2898" t="s">
        <v>57</v>
      </c>
      <c r="O2898" t="s">
        <v>103</v>
      </c>
      <c r="P2898">
        <v>2</v>
      </c>
      <c r="Q2898">
        <v>2</v>
      </c>
      <c r="R2898">
        <v>0</v>
      </c>
      <c r="S2898" t="s">
        <v>104</v>
      </c>
      <c r="T2898" t="s">
        <v>4895</v>
      </c>
      <c r="U2898">
        <v>31</v>
      </c>
    </row>
    <row r="2899" spans="1:21" x14ac:dyDescent="0.3">
      <c r="A2899" t="s">
        <v>4896</v>
      </c>
      <c r="B2899" t="s">
        <v>4897</v>
      </c>
      <c r="C2899" t="s">
        <v>1988</v>
      </c>
      <c r="D2899" t="s">
        <v>29</v>
      </c>
      <c r="E2899" t="s">
        <v>30</v>
      </c>
      <c r="F2899" s="6">
        <v>45322</v>
      </c>
      <c r="G2899">
        <v>78</v>
      </c>
      <c r="H2899">
        <v>52</v>
      </c>
      <c r="I2899">
        <v>0.66666666666666663</v>
      </c>
      <c r="J2899">
        <v>0.66666666666666663</v>
      </c>
      <c r="K2899" t="s">
        <v>31</v>
      </c>
      <c r="L2899" t="s">
        <v>31</v>
      </c>
      <c r="M2899">
        <v>2024</v>
      </c>
      <c r="N2899" t="s">
        <v>32</v>
      </c>
      <c r="O2899" t="s">
        <v>71</v>
      </c>
      <c r="P2899">
        <v>0</v>
      </c>
      <c r="Q2899">
        <v>0</v>
      </c>
      <c r="R2899">
        <v>1</v>
      </c>
      <c r="S2899" t="s">
        <v>130</v>
      </c>
      <c r="T2899" t="s">
        <v>4898</v>
      </c>
      <c r="U2899">
        <v>1</v>
      </c>
    </row>
    <row r="2900" spans="1:21" x14ac:dyDescent="0.3">
      <c r="A2900" t="s">
        <v>4896</v>
      </c>
      <c r="B2900" t="s">
        <v>4897</v>
      </c>
      <c r="C2900" t="s">
        <v>1988</v>
      </c>
      <c r="D2900" t="s">
        <v>29</v>
      </c>
      <c r="E2900" t="s">
        <v>30</v>
      </c>
      <c r="F2900" s="6">
        <v>45351</v>
      </c>
      <c r="G2900">
        <v>52</v>
      </c>
      <c r="H2900">
        <v>52</v>
      </c>
      <c r="I2900">
        <v>1</v>
      </c>
      <c r="J2900">
        <v>1</v>
      </c>
      <c r="K2900" t="s">
        <v>31</v>
      </c>
      <c r="L2900" t="s">
        <v>31</v>
      </c>
      <c r="M2900">
        <v>2024</v>
      </c>
      <c r="N2900" t="s">
        <v>36</v>
      </c>
      <c r="O2900" t="s">
        <v>71</v>
      </c>
      <c r="P2900">
        <v>0</v>
      </c>
      <c r="Q2900">
        <v>0</v>
      </c>
      <c r="R2900">
        <v>1</v>
      </c>
      <c r="S2900" t="s">
        <v>130</v>
      </c>
      <c r="T2900" t="s">
        <v>4899</v>
      </c>
      <c r="U2900">
        <v>1</v>
      </c>
    </row>
    <row r="2901" spans="1:21" x14ac:dyDescent="0.3">
      <c r="A2901" t="s">
        <v>4896</v>
      </c>
      <c r="B2901" t="s">
        <v>4897</v>
      </c>
      <c r="C2901" t="s">
        <v>1988</v>
      </c>
      <c r="D2901" t="s">
        <v>29</v>
      </c>
      <c r="E2901" t="s">
        <v>30</v>
      </c>
      <c r="F2901" s="6">
        <v>45382</v>
      </c>
      <c r="G2901">
        <v>79</v>
      </c>
      <c r="H2901">
        <v>75</v>
      </c>
      <c r="I2901">
        <v>0.94936708860759489</v>
      </c>
      <c r="J2901">
        <v>0.94936708860759489</v>
      </c>
      <c r="K2901" t="s">
        <v>31</v>
      </c>
      <c r="L2901" t="s">
        <v>31</v>
      </c>
      <c r="M2901">
        <v>2024</v>
      </c>
      <c r="N2901" t="s">
        <v>38</v>
      </c>
      <c r="O2901" t="s">
        <v>71</v>
      </c>
      <c r="P2901">
        <v>0</v>
      </c>
      <c r="Q2901">
        <v>0</v>
      </c>
      <c r="R2901">
        <v>1</v>
      </c>
      <c r="S2901" t="s">
        <v>130</v>
      </c>
      <c r="T2901" t="s">
        <v>4900</v>
      </c>
      <c r="U2901">
        <v>1</v>
      </c>
    </row>
    <row r="2902" spans="1:21" x14ac:dyDescent="0.3">
      <c r="A2902" t="s">
        <v>4896</v>
      </c>
      <c r="B2902" t="s">
        <v>4897</v>
      </c>
      <c r="C2902" t="s">
        <v>1988</v>
      </c>
      <c r="D2902" t="s">
        <v>29</v>
      </c>
      <c r="E2902" t="s">
        <v>30</v>
      </c>
      <c r="F2902" s="6">
        <v>45412</v>
      </c>
      <c r="G2902">
        <v>95</v>
      </c>
      <c r="H2902">
        <v>95</v>
      </c>
      <c r="I2902">
        <v>1</v>
      </c>
      <c r="J2902">
        <v>1</v>
      </c>
      <c r="K2902" t="s">
        <v>31</v>
      </c>
      <c r="L2902" t="s">
        <v>31</v>
      </c>
      <c r="M2902">
        <v>2024</v>
      </c>
      <c r="N2902" t="s">
        <v>40</v>
      </c>
      <c r="O2902" t="s">
        <v>71</v>
      </c>
      <c r="P2902">
        <v>0</v>
      </c>
      <c r="Q2902">
        <v>0</v>
      </c>
      <c r="R2902">
        <v>1</v>
      </c>
      <c r="S2902" t="s">
        <v>130</v>
      </c>
      <c r="T2902" t="s">
        <v>4901</v>
      </c>
      <c r="U2902">
        <v>1</v>
      </c>
    </row>
    <row r="2903" spans="1:21" x14ac:dyDescent="0.3">
      <c r="A2903" t="s">
        <v>4896</v>
      </c>
      <c r="B2903" t="s">
        <v>4897</v>
      </c>
      <c r="C2903" t="s">
        <v>1988</v>
      </c>
      <c r="D2903" t="s">
        <v>29</v>
      </c>
      <c r="E2903" t="s">
        <v>30</v>
      </c>
      <c r="F2903" s="6">
        <v>45443</v>
      </c>
      <c r="G2903">
        <v>98</v>
      </c>
      <c r="H2903">
        <v>98</v>
      </c>
      <c r="I2903">
        <v>1</v>
      </c>
      <c r="J2903">
        <v>1</v>
      </c>
      <c r="K2903" t="s">
        <v>31</v>
      </c>
      <c r="L2903" t="s">
        <v>31</v>
      </c>
      <c r="M2903">
        <v>2024</v>
      </c>
      <c r="N2903" t="s">
        <v>42</v>
      </c>
      <c r="O2903" t="s">
        <v>71</v>
      </c>
      <c r="P2903">
        <v>0</v>
      </c>
      <c r="Q2903">
        <v>0</v>
      </c>
      <c r="R2903">
        <v>1</v>
      </c>
      <c r="S2903" t="s">
        <v>130</v>
      </c>
      <c r="T2903" t="s">
        <v>4902</v>
      </c>
      <c r="U2903">
        <v>1</v>
      </c>
    </row>
    <row r="2904" spans="1:21" x14ac:dyDescent="0.3">
      <c r="A2904" t="s">
        <v>4896</v>
      </c>
      <c r="B2904" t="s">
        <v>4897</v>
      </c>
      <c r="C2904" t="s">
        <v>1988</v>
      </c>
      <c r="D2904" t="s">
        <v>29</v>
      </c>
      <c r="E2904" t="s">
        <v>30</v>
      </c>
      <c r="F2904" s="6">
        <v>45473</v>
      </c>
      <c r="G2904">
        <v>100</v>
      </c>
      <c r="H2904">
        <v>99</v>
      </c>
      <c r="I2904">
        <v>0.99</v>
      </c>
      <c r="J2904">
        <v>0.99</v>
      </c>
      <c r="K2904" t="s">
        <v>31</v>
      </c>
      <c r="L2904" t="s">
        <v>31</v>
      </c>
      <c r="M2904">
        <v>2024</v>
      </c>
      <c r="N2904" t="s">
        <v>44</v>
      </c>
      <c r="O2904" t="s">
        <v>71</v>
      </c>
      <c r="P2904">
        <v>0</v>
      </c>
      <c r="Q2904">
        <v>0</v>
      </c>
      <c r="R2904">
        <v>1</v>
      </c>
      <c r="S2904" t="s">
        <v>130</v>
      </c>
      <c r="T2904" t="s">
        <v>4903</v>
      </c>
      <c r="U2904">
        <v>1</v>
      </c>
    </row>
    <row r="2905" spans="1:21" x14ac:dyDescent="0.3">
      <c r="A2905" t="s">
        <v>4896</v>
      </c>
      <c r="B2905" t="s">
        <v>4897</v>
      </c>
      <c r="C2905" t="s">
        <v>1988</v>
      </c>
      <c r="D2905" t="s">
        <v>29</v>
      </c>
      <c r="E2905" t="s">
        <v>30</v>
      </c>
      <c r="F2905" s="6">
        <v>45504</v>
      </c>
      <c r="G2905">
        <v>100</v>
      </c>
      <c r="H2905">
        <v>99</v>
      </c>
      <c r="I2905">
        <v>0.99</v>
      </c>
      <c r="J2905">
        <v>0.99</v>
      </c>
      <c r="K2905" t="s">
        <v>31</v>
      </c>
      <c r="L2905" t="s">
        <v>31</v>
      </c>
      <c r="M2905">
        <v>2024</v>
      </c>
      <c r="N2905" t="s">
        <v>46</v>
      </c>
      <c r="O2905" t="s">
        <v>78</v>
      </c>
      <c r="P2905">
        <v>0</v>
      </c>
      <c r="Q2905">
        <v>0</v>
      </c>
      <c r="R2905">
        <v>1</v>
      </c>
      <c r="S2905" t="s">
        <v>130</v>
      </c>
      <c r="T2905" t="s">
        <v>4904</v>
      </c>
      <c r="U2905">
        <v>1</v>
      </c>
    </row>
    <row r="2906" spans="1:21" x14ac:dyDescent="0.3">
      <c r="A2906" t="s">
        <v>4896</v>
      </c>
      <c r="B2906" t="s">
        <v>4897</v>
      </c>
      <c r="C2906" t="s">
        <v>1988</v>
      </c>
      <c r="D2906" t="s">
        <v>29</v>
      </c>
      <c r="E2906" t="s">
        <v>30</v>
      </c>
      <c r="F2906" s="6">
        <v>45535</v>
      </c>
      <c r="G2906">
        <v>100</v>
      </c>
      <c r="H2906">
        <v>99</v>
      </c>
      <c r="I2906">
        <v>0.99</v>
      </c>
      <c r="J2906">
        <v>0.99</v>
      </c>
      <c r="K2906" t="s">
        <v>31</v>
      </c>
      <c r="L2906" t="s">
        <v>31</v>
      </c>
      <c r="M2906">
        <v>2024</v>
      </c>
      <c r="N2906" t="s">
        <v>49</v>
      </c>
      <c r="O2906" t="s">
        <v>78</v>
      </c>
      <c r="P2906">
        <v>0</v>
      </c>
      <c r="Q2906">
        <v>0</v>
      </c>
      <c r="R2906">
        <v>1</v>
      </c>
      <c r="S2906" t="s">
        <v>130</v>
      </c>
      <c r="T2906" t="s">
        <v>4905</v>
      </c>
      <c r="U2906">
        <v>1</v>
      </c>
    </row>
    <row r="2907" spans="1:21" x14ac:dyDescent="0.3">
      <c r="A2907" t="s">
        <v>4896</v>
      </c>
      <c r="B2907" t="s">
        <v>4897</v>
      </c>
      <c r="C2907" t="s">
        <v>1988</v>
      </c>
      <c r="D2907" t="s">
        <v>29</v>
      </c>
      <c r="E2907" t="s">
        <v>30</v>
      </c>
      <c r="F2907" s="6">
        <v>45565</v>
      </c>
      <c r="G2907">
        <v>100</v>
      </c>
      <c r="H2907">
        <v>99</v>
      </c>
      <c r="I2907">
        <v>0.99</v>
      </c>
      <c r="J2907">
        <v>0.99</v>
      </c>
      <c r="K2907" t="s">
        <v>31</v>
      </c>
      <c r="L2907" t="s">
        <v>31</v>
      </c>
      <c r="M2907">
        <v>2024</v>
      </c>
      <c r="N2907" t="s">
        <v>51</v>
      </c>
      <c r="O2907" t="s">
        <v>78</v>
      </c>
      <c r="P2907">
        <v>0</v>
      </c>
      <c r="Q2907">
        <v>0</v>
      </c>
      <c r="R2907">
        <v>1</v>
      </c>
      <c r="S2907" t="s">
        <v>130</v>
      </c>
      <c r="T2907" t="s">
        <v>4906</v>
      </c>
      <c r="U2907">
        <v>1</v>
      </c>
    </row>
    <row r="2908" spans="1:21" x14ac:dyDescent="0.3">
      <c r="A2908" t="s">
        <v>4896</v>
      </c>
      <c r="B2908" t="s">
        <v>4897</v>
      </c>
      <c r="C2908" t="s">
        <v>1988</v>
      </c>
      <c r="D2908" t="s">
        <v>29</v>
      </c>
      <c r="E2908" t="s">
        <v>30</v>
      </c>
      <c r="F2908" s="6">
        <v>45596</v>
      </c>
      <c r="G2908">
        <v>100</v>
      </c>
      <c r="H2908">
        <v>99</v>
      </c>
      <c r="I2908">
        <v>0.99</v>
      </c>
      <c r="J2908">
        <v>0.99</v>
      </c>
      <c r="K2908" t="s">
        <v>31</v>
      </c>
      <c r="L2908" t="s">
        <v>31</v>
      </c>
      <c r="M2908">
        <v>2024</v>
      </c>
      <c r="N2908" t="s">
        <v>53</v>
      </c>
      <c r="O2908" t="s">
        <v>78</v>
      </c>
      <c r="P2908">
        <v>0</v>
      </c>
      <c r="Q2908">
        <v>0</v>
      </c>
      <c r="R2908">
        <v>1</v>
      </c>
      <c r="S2908" t="s">
        <v>130</v>
      </c>
      <c r="T2908" t="s">
        <v>4907</v>
      </c>
      <c r="U2908">
        <v>1</v>
      </c>
    </row>
    <row r="2909" spans="1:21" x14ac:dyDescent="0.3">
      <c r="A2909" t="s">
        <v>4896</v>
      </c>
      <c r="B2909" t="s">
        <v>4897</v>
      </c>
      <c r="C2909" t="s">
        <v>1988</v>
      </c>
      <c r="D2909" t="s">
        <v>29</v>
      </c>
      <c r="E2909" t="s">
        <v>30</v>
      </c>
      <c r="F2909" s="6">
        <v>45626</v>
      </c>
      <c r="G2909">
        <v>100</v>
      </c>
      <c r="H2909">
        <v>99</v>
      </c>
      <c r="I2909">
        <v>0.99</v>
      </c>
      <c r="J2909">
        <v>0.99</v>
      </c>
      <c r="K2909" t="s">
        <v>31</v>
      </c>
      <c r="L2909" t="s">
        <v>31</v>
      </c>
      <c r="M2909">
        <v>2024</v>
      </c>
      <c r="N2909" t="s">
        <v>55</v>
      </c>
      <c r="O2909" t="s">
        <v>78</v>
      </c>
      <c r="P2909">
        <v>0</v>
      </c>
      <c r="Q2909">
        <v>0</v>
      </c>
      <c r="R2909">
        <v>1</v>
      </c>
      <c r="S2909" t="s">
        <v>130</v>
      </c>
      <c r="T2909" t="s">
        <v>4908</v>
      </c>
      <c r="U2909">
        <v>1</v>
      </c>
    </row>
    <row r="2910" spans="1:21" x14ac:dyDescent="0.3">
      <c r="A2910" t="s">
        <v>4896</v>
      </c>
      <c r="B2910" t="s">
        <v>4897</v>
      </c>
      <c r="C2910" t="s">
        <v>1988</v>
      </c>
      <c r="D2910" t="s">
        <v>29</v>
      </c>
      <c r="E2910" t="s">
        <v>30</v>
      </c>
      <c r="F2910" s="6">
        <v>45657</v>
      </c>
      <c r="G2910">
        <v>100</v>
      </c>
      <c r="H2910">
        <v>100</v>
      </c>
      <c r="I2910">
        <v>1</v>
      </c>
      <c r="J2910">
        <v>1</v>
      </c>
      <c r="K2910" t="s">
        <v>31</v>
      </c>
      <c r="L2910" t="s">
        <v>31</v>
      </c>
      <c r="M2910">
        <v>2024</v>
      </c>
      <c r="N2910" t="s">
        <v>57</v>
      </c>
      <c r="O2910" t="s">
        <v>78</v>
      </c>
      <c r="P2910">
        <v>0</v>
      </c>
      <c r="Q2910">
        <v>0</v>
      </c>
      <c r="R2910">
        <v>1</v>
      </c>
      <c r="S2910" t="s">
        <v>130</v>
      </c>
      <c r="T2910" t="s">
        <v>4909</v>
      </c>
      <c r="U2910">
        <v>1</v>
      </c>
    </row>
    <row r="2911" spans="1:21" x14ac:dyDescent="0.3">
      <c r="A2911" t="s">
        <v>4910</v>
      </c>
      <c r="B2911" t="s">
        <v>4911</v>
      </c>
      <c r="C2911" t="s">
        <v>3011</v>
      </c>
      <c r="D2911" t="s">
        <v>29</v>
      </c>
      <c r="E2911" t="s">
        <v>30</v>
      </c>
      <c r="F2911" s="6">
        <v>45322</v>
      </c>
      <c r="G2911">
        <v>14</v>
      </c>
      <c r="H2911">
        <v>10</v>
      </c>
      <c r="I2911">
        <v>0.7142857142857143</v>
      </c>
      <c r="J2911">
        <v>0.7142857142857143</v>
      </c>
      <c r="K2911" t="s">
        <v>31</v>
      </c>
      <c r="L2911" t="s">
        <v>31</v>
      </c>
      <c r="M2911">
        <v>2024</v>
      </c>
      <c r="N2911" t="s">
        <v>32</v>
      </c>
      <c r="O2911" t="s">
        <v>71</v>
      </c>
      <c r="P2911">
        <v>0</v>
      </c>
      <c r="Q2911">
        <v>0</v>
      </c>
      <c r="R2911">
        <v>1</v>
      </c>
      <c r="S2911" t="s">
        <v>198</v>
      </c>
      <c r="T2911" t="s">
        <v>4912</v>
      </c>
      <c r="U2911">
        <v>1</v>
      </c>
    </row>
    <row r="2912" spans="1:21" x14ac:dyDescent="0.3">
      <c r="A2912" t="s">
        <v>4910</v>
      </c>
      <c r="B2912" t="s">
        <v>4911</v>
      </c>
      <c r="C2912" t="s">
        <v>3011</v>
      </c>
      <c r="D2912" t="s">
        <v>29</v>
      </c>
      <c r="E2912" t="s">
        <v>30</v>
      </c>
      <c r="F2912" s="6">
        <v>45351</v>
      </c>
      <c r="G2912">
        <v>14</v>
      </c>
      <c r="H2912">
        <v>9</v>
      </c>
      <c r="I2912">
        <v>0.6428571428571429</v>
      </c>
      <c r="J2912">
        <v>0.6428571428571429</v>
      </c>
      <c r="K2912" t="s">
        <v>31</v>
      </c>
      <c r="L2912" t="s">
        <v>31</v>
      </c>
      <c r="M2912">
        <v>2024</v>
      </c>
      <c r="N2912" t="s">
        <v>36</v>
      </c>
      <c r="O2912" t="s">
        <v>71</v>
      </c>
      <c r="P2912">
        <v>0</v>
      </c>
      <c r="Q2912">
        <v>0</v>
      </c>
      <c r="R2912">
        <v>1</v>
      </c>
      <c r="S2912" t="s">
        <v>198</v>
      </c>
      <c r="T2912" t="s">
        <v>4913</v>
      </c>
      <c r="U2912">
        <v>1</v>
      </c>
    </row>
    <row r="2913" spans="1:21" x14ac:dyDescent="0.3">
      <c r="A2913" t="s">
        <v>4910</v>
      </c>
      <c r="B2913" t="s">
        <v>4911</v>
      </c>
      <c r="C2913" t="s">
        <v>3011</v>
      </c>
      <c r="D2913" t="s">
        <v>29</v>
      </c>
      <c r="E2913" t="s">
        <v>30</v>
      </c>
      <c r="F2913" s="6">
        <v>45382</v>
      </c>
      <c r="G2913">
        <v>21</v>
      </c>
      <c r="H2913">
        <v>18</v>
      </c>
      <c r="I2913">
        <v>0.8571428571428571</v>
      </c>
      <c r="J2913">
        <v>0.8571428571428571</v>
      </c>
      <c r="K2913" t="s">
        <v>31</v>
      </c>
      <c r="L2913" t="s">
        <v>31</v>
      </c>
      <c r="M2913">
        <v>2024</v>
      </c>
      <c r="N2913" t="s">
        <v>38</v>
      </c>
      <c r="O2913" t="s">
        <v>71</v>
      </c>
      <c r="P2913">
        <v>0</v>
      </c>
      <c r="Q2913">
        <v>0</v>
      </c>
      <c r="R2913">
        <v>1</v>
      </c>
      <c r="S2913" t="s">
        <v>198</v>
      </c>
      <c r="T2913" t="s">
        <v>4914</v>
      </c>
      <c r="U2913">
        <v>1</v>
      </c>
    </row>
    <row r="2914" spans="1:21" x14ac:dyDescent="0.3">
      <c r="A2914" t="s">
        <v>4910</v>
      </c>
      <c r="B2914" t="s">
        <v>4911</v>
      </c>
      <c r="C2914" t="s">
        <v>3011</v>
      </c>
      <c r="D2914" t="s">
        <v>29</v>
      </c>
      <c r="E2914" t="s">
        <v>30</v>
      </c>
      <c r="F2914" s="6">
        <v>45412</v>
      </c>
      <c r="G2914">
        <v>43</v>
      </c>
      <c r="H2914">
        <v>46</v>
      </c>
      <c r="I2914">
        <v>1.069767441860465</v>
      </c>
      <c r="J2914">
        <v>1.069767441860465</v>
      </c>
      <c r="K2914" t="s">
        <v>31</v>
      </c>
      <c r="L2914" t="s">
        <v>31</v>
      </c>
      <c r="M2914">
        <v>2024</v>
      </c>
      <c r="N2914" t="s">
        <v>40</v>
      </c>
      <c r="O2914" t="s">
        <v>71</v>
      </c>
      <c r="P2914">
        <v>0</v>
      </c>
      <c r="Q2914">
        <v>0</v>
      </c>
      <c r="R2914">
        <v>1</v>
      </c>
      <c r="S2914" t="s">
        <v>198</v>
      </c>
      <c r="T2914" t="s">
        <v>4915</v>
      </c>
      <c r="U2914">
        <v>1</v>
      </c>
    </row>
    <row r="2915" spans="1:21" x14ac:dyDescent="0.3">
      <c r="A2915" t="s">
        <v>4910</v>
      </c>
      <c r="B2915" t="s">
        <v>4911</v>
      </c>
      <c r="C2915" t="s">
        <v>3011</v>
      </c>
      <c r="D2915" t="s">
        <v>29</v>
      </c>
      <c r="E2915" t="s">
        <v>30</v>
      </c>
      <c r="F2915" s="6">
        <v>45443</v>
      </c>
      <c r="G2915">
        <v>53</v>
      </c>
      <c r="H2915">
        <v>48</v>
      </c>
      <c r="I2915">
        <v>0.90566037735849059</v>
      </c>
      <c r="J2915">
        <v>0.90566037735849059</v>
      </c>
      <c r="K2915" t="s">
        <v>31</v>
      </c>
      <c r="L2915" t="s">
        <v>31</v>
      </c>
      <c r="M2915">
        <v>2024</v>
      </c>
      <c r="N2915" t="s">
        <v>42</v>
      </c>
      <c r="O2915" t="s">
        <v>71</v>
      </c>
      <c r="P2915">
        <v>0</v>
      </c>
      <c r="Q2915">
        <v>0</v>
      </c>
      <c r="R2915">
        <v>1</v>
      </c>
      <c r="S2915" t="s">
        <v>198</v>
      </c>
      <c r="T2915" t="s">
        <v>4916</v>
      </c>
      <c r="U2915">
        <v>1</v>
      </c>
    </row>
    <row r="2916" spans="1:21" x14ac:dyDescent="0.3">
      <c r="A2916" t="s">
        <v>4910</v>
      </c>
      <c r="B2916" t="s">
        <v>4911</v>
      </c>
      <c r="C2916" t="s">
        <v>3011</v>
      </c>
      <c r="D2916" t="s">
        <v>29</v>
      </c>
      <c r="E2916" t="s">
        <v>30</v>
      </c>
      <c r="F2916" s="6">
        <v>45473</v>
      </c>
      <c r="G2916">
        <v>63</v>
      </c>
      <c r="H2916">
        <v>64</v>
      </c>
      <c r="I2916">
        <v>1.015873015873016</v>
      </c>
      <c r="J2916">
        <v>1.015873015873016</v>
      </c>
      <c r="K2916" t="s">
        <v>31</v>
      </c>
      <c r="L2916" t="s">
        <v>31</v>
      </c>
      <c r="M2916">
        <v>2024</v>
      </c>
      <c r="N2916" t="s">
        <v>44</v>
      </c>
      <c r="O2916" t="s">
        <v>71</v>
      </c>
      <c r="P2916">
        <v>0</v>
      </c>
      <c r="Q2916">
        <v>0</v>
      </c>
      <c r="R2916">
        <v>1</v>
      </c>
      <c r="S2916" t="s">
        <v>198</v>
      </c>
      <c r="T2916" t="s">
        <v>4917</v>
      </c>
      <c r="U2916">
        <v>1</v>
      </c>
    </row>
    <row r="2917" spans="1:21" x14ac:dyDescent="0.3">
      <c r="A2917" t="s">
        <v>4910</v>
      </c>
      <c r="B2917" t="s">
        <v>4911</v>
      </c>
      <c r="C2917" t="s">
        <v>3011</v>
      </c>
      <c r="D2917" t="s">
        <v>29</v>
      </c>
      <c r="E2917" t="s">
        <v>30</v>
      </c>
      <c r="F2917" s="6">
        <v>45504</v>
      </c>
      <c r="G2917">
        <v>69</v>
      </c>
      <c r="H2917">
        <v>68</v>
      </c>
      <c r="I2917">
        <v>0.98550724637681164</v>
      </c>
      <c r="J2917">
        <v>0.98550724637681164</v>
      </c>
      <c r="K2917" t="s">
        <v>31</v>
      </c>
      <c r="L2917" t="s">
        <v>31</v>
      </c>
      <c r="M2917">
        <v>2024</v>
      </c>
      <c r="N2917" t="s">
        <v>46</v>
      </c>
      <c r="O2917" t="s">
        <v>78</v>
      </c>
      <c r="P2917">
        <v>0</v>
      </c>
      <c r="Q2917">
        <v>0</v>
      </c>
      <c r="R2917">
        <v>1</v>
      </c>
      <c r="S2917" t="s">
        <v>198</v>
      </c>
      <c r="T2917" t="s">
        <v>4918</v>
      </c>
      <c r="U2917">
        <v>1</v>
      </c>
    </row>
    <row r="2918" spans="1:21" x14ac:dyDescent="0.3">
      <c r="A2918" t="s">
        <v>4910</v>
      </c>
      <c r="B2918" t="s">
        <v>4911</v>
      </c>
      <c r="C2918" t="s">
        <v>3011</v>
      </c>
      <c r="D2918" t="s">
        <v>29</v>
      </c>
      <c r="E2918" t="s">
        <v>30</v>
      </c>
      <c r="F2918" s="6">
        <v>45535</v>
      </c>
      <c r="G2918">
        <v>75</v>
      </c>
      <c r="H2918">
        <v>74</v>
      </c>
      <c r="I2918">
        <v>0.98666666666666669</v>
      </c>
      <c r="J2918">
        <v>0.98666666666666669</v>
      </c>
      <c r="K2918" t="s">
        <v>31</v>
      </c>
      <c r="L2918" t="s">
        <v>31</v>
      </c>
      <c r="M2918">
        <v>2024</v>
      </c>
      <c r="N2918" t="s">
        <v>49</v>
      </c>
      <c r="O2918" t="s">
        <v>78</v>
      </c>
      <c r="P2918">
        <v>0</v>
      </c>
      <c r="Q2918">
        <v>0</v>
      </c>
      <c r="R2918">
        <v>1</v>
      </c>
      <c r="S2918" t="s">
        <v>198</v>
      </c>
      <c r="T2918" t="s">
        <v>4919</v>
      </c>
      <c r="U2918">
        <v>1</v>
      </c>
    </row>
    <row r="2919" spans="1:21" x14ac:dyDescent="0.3">
      <c r="A2919" t="s">
        <v>4910</v>
      </c>
      <c r="B2919" t="s">
        <v>4911</v>
      </c>
      <c r="C2919" t="s">
        <v>3011</v>
      </c>
      <c r="D2919" t="s">
        <v>29</v>
      </c>
      <c r="E2919" t="s">
        <v>30</v>
      </c>
      <c r="F2919" s="6">
        <v>45565</v>
      </c>
      <c r="G2919">
        <v>78</v>
      </c>
      <c r="H2919">
        <v>78</v>
      </c>
      <c r="I2919">
        <v>1</v>
      </c>
      <c r="J2919">
        <v>1</v>
      </c>
      <c r="K2919" t="s">
        <v>31</v>
      </c>
      <c r="L2919" t="s">
        <v>31</v>
      </c>
      <c r="M2919">
        <v>2024</v>
      </c>
      <c r="N2919" t="s">
        <v>51</v>
      </c>
      <c r="O2919" t="s">
        <v>78</v>
      </c>
      <c r="P2919">
        <v>0</v>
      </c>
      <c r="Q2919">
        <v>0</v>
      </c>
      <c r="R2919">
        <v>1</v>
      </c>
      <c r="S2919" t="s">
        <v>198</v>
      </c>
      <c r="T2919" t="s">
        <v>4920</v>
      </c>
      <c r="U2919">
        <v>1</v>
      </c>
    </row>
    <row r="2920" spans="1:21" x14ac:dyDescent="0.3">
      <c r="A2920" t="s">
        <v>4910</v>
      </c>
      <c r="B2920" t="s">
        <v>4911</v>
      </c>
      <c r="C2920" t="s">
        <v>3011</v>
      </c>
      <c r="D2920" t="s">
        <v>29</v>
      </c>
      <c r="E2920" t="s">
        <v>30</v>
      </c>
      <c r="F2920" s="6">
        <v>45596</v>
      </c>
      <c r="G2920">
        <v>82</v>
      </c>
      <c r="H2920">
        <v>74</v>
      </c>
      <c r="I2920">
        <v>0.90243902439024393</v>
      </c>
      <c r="J2920">
        <v>0.90243902439024393</v>
      </c>
      <c r="K2920" t="s">
        <v>31</v>
      </c>
      <c r="L2920" t="s">
        <v>31</v>
      </c>
      <c r="M2920">
        <v>2024</v>
      </c>
      <c r="N2920" t="s">
        <v>53</v>
      </c>
      <c r="O2920" t="s">
        <v>78</v>
      </c>
      <c r="P2920">
        <v>0</v>
      </c>
      <c r="Q2920">
        <v>0</v>
      </c>
      <c r="R2920">
        <v>1</v>
      </c>
      <c r="S2920" t="s">
        <v>198</v>
      </c>
      <c r="T2920" t="s">
        <v>4921</v>
      </c>
      <c r="U2920">
        <v>1</v>
      </c>
    </row>
    <row r="2921" spans="1:21" x14ac:dyDescent="0.3">
      <c r="A2921" t="s">
        <v>4910</v>
      </c>
      <c r="B2921" t="s">
        <v>4911</v>
      </c>
      <c r="C2921" t="s">
        <v>3011</v>
      </c>
      <c r="D2921" t="s">
        <v>29</v>
      </c>
      <c r="E2921" t="s">
        <v>30</v>
      </c>
      <c r="F2921" s="6">
        <v>45626</v>
      </c>
      <c r="G2921">
        <v>82</v>
      </c>
      <c r="H2921">
        <v>72</v>
      </c>
      <c r="I2921">
        <v>0.87804878048780488</v>
      </c>
      <c r="J2921">
        <v>0.87804878048780488</v>
      </c>
      <c r="K2921" t="s">
        <v>31</v>
      </c>
      <c r="L2921" t="s">
        <v>31</v>
      </c>
      <c r="M2921">
        <v>2024</v>
      </c>
      <c r="N2921" t="s">
        <v>55</v>
      </c>
      <c r="O2921" t="s">
        <v>78</v>
      </c>
      <c r="P2921">
        <v>0</v>
      </c>
      <c r="Q2921">
        <v>0</v>
      </c>
      <c r="R2921">
        <v>1</v>
      </c>
      <c r="S2921" t="s">
        <v>198</v>
      </c>
      <c r="T2921" t="s">
        <v>4922</v>
      </c>
      <c r="U2921">
        <v>1</v>
      </c>
    </row>
    <row r="2922" spans="1:21" x14ac:dyDescent="0.3">
      <c r="A2922" t="s">
        <v>4910</v>
      </c>
      <c r="B2922" t="s">
        <v>4911</v>
      </c>
      <c r="C2922" t="s">
        <v>3011</v>
      </c>
      <c r="D2922" t="s">
        <v>29</v>
      </c>
      <c r="E2922" t="s">
        <v>30</v>
      </c>
      <c r="F2922" s="6">
        <v>45657</v>
      </c>
      <c r="K2922" t="s">
        <v>31</v>
      </c>
      <c r="L2922" t="s">
        <v>31</v>
      </c>
      <c r="M2922">
        <v>2024</v>
      </c>
      <c r="N2922" t="s">
        <v>57</v>
      </c>
      <c r="O2922" t="s">
        <v>78</v>
      </c>
      <c r="P2922">
        <v>0</v>
      </c>
      <c r="Q2922">
        <v>0</v>
      </c>
      <c r="R2922">
        <v>1</v>
      </c>
      <c r="S2922" t="s">
        <v>198</v>
      </c>
      <c r="T2922" t="s">
        <v>4923</v>
      </c>
      <c r="U2922">
        <v>1</v>
      </c>
    </row>
    <row r="2923" spans="1:21" x14ac:dyDescent="0.3">
      <c r="A2923" t="s">
        <v>4924</v>
      </c>
      <c r="B2923" t="s">
        <v>4925</v>
      </c>
      <c r="C2923" t="s">
        <v>672</v>
      </c>
      <c r="D2923" t="s">
        <v>29</v>
      </c>
      <c r="E2923" t="s">
        <v>30</v>
      </c>
      <c r="F2923" s="6">
        <v>45322</v>
      </c>
      <c r="G2923">
        <v>45</v>
      </c>
      <c r="H2923">
        <v>42</v>
      </c>
      <c r="I2923">
        <v>0.93333333333333335</v>
      </c>
      <c r="J2923">
        <v>0.93333333333333335</v>
      </c>
      <c r="K2923" t="s">
        <v>31</v>
      </c>
      <c r="L2923" t="s">
        <v>31</v>
      </c>
      <c r="M2923">
        <v>2024</v>
      </c>
      <c r="N2923" t="s">
        <v>32</v>
      </c>
      <c r="O2923" t="s">
        <v>71</v>
      </c>
      <c r="P2923">
        <v>0</v>
      </c>
      <c r="Q2923">
        <v>0</v>
      </c>
      <c r="R2923">
        <v>1</v>
      </c>
      <c r="S2923" t="s">
        <v>34</v>
      </c>
      <c r="T2923" t="s">
        <v>4926</v>
      </c>
      <c r="U2923">
        <v>1</v>
      </c>
    </row>
    <row r="2924" spans="1:21" x14ac:dyDescent="0.3">
      <c r="A2924" t="s">
        <v>4924</v>
      </c>
      <c r="B2924" t="s">
        <v>4925</v>
      </c>
      <c r="C2924" t="s">
        <v>672</v>
      </c>
      <c r="D2924" t="s">
        <v>29</v>
      </c>
      <c r="E2924" t="s">
        <v>30</v>
      </c>
      <c r="F2924" s="6">
        <v>45351</v>
      </c>
      <c r="G2924">
        <v>52</v>
      </c>
      <c r="H2924">
        <v>52</v>
      </c>
      <c r="I2924">
        <v>1</v>
      </c>
      <c r="J2924">
        <v>1</v>
      </c>
      <c r="K2924" t="s">
        <v>31</v>
      </c>
      <c r="L2924" t="s">
        <v>31</v>
      </c>
      <c r="M2924">
        <v>2024</v>
      </c>
      <c r="N2924" t="s">
        <v>36</v>
      </c>
      <c r="O2924" t="s">
        <v>71</v>
      </c>
      <c r="P2924">
        <v>0</v>
      </c>
      <c r="Q2924">
        <v>0</v>
      </c>
      <c r="R2924">
        <v>1</v>
      </c>
      <c r="S2924" t="s">
        <v>34</v>
      </c>
      <c r="T2924" t="s">
        <v>4927</v>
      </c>
      <c r="U2924">
        <v>1</v>
      </c>
    </row>
    <row r="2925" spans="1:21" x14ac:dyDescent="0.3">
      <c r="A2925" t="s">
        <v>4924</v>
      </c>
      <c r="B2925" t="s">
        <v>4925</v>
      </c>
      <c r="C2925" t="s">
        <v>672</v>
      </c>
      <c r="D2925" t="s">
        <v>29</v>
      </c>
      <c r="E2925" t="s">
        <v>30</v>
      </c>
      <c r="F2925" s="6">
        <v>45382</v>
      </c>
      <c r="G2925">
        <v>58</v>
      </c>
      <c r="H2925">
        <v>60</v>
      </c>
      <c r="I2925">
        <v>1.0344827586206899</v>
      </c>
      <c r="J2925">
        <v>1.0344827586206899</v>
      </c>
      <c r="K2925" t="s">
        <v>31</v>
      </c>
      <c r="L2925" t="s">
        <v>31</v>
      </c>
      <c r="M2925">
        <v>2024</v>
      </c>
      <c r="N2925" t="s">
        <v>38</v>
      </c>
      <c r="O2925" t="s">
        <v>71</v>
      </c>
      <c r="P2925">
        <v>0</v>
      </c>
      <c r="Q2925">
        <v>0</v>
      </c>
      <c r="R2925">
        <v>1</v>
      </c>
      <c r="S2925" t="s">
        <v>34</v>
      </c>
      <c r="T2925" t="s">
        <v>4928</v>
      </c>
      <c r="U2925">
        <v>1</v>
      </c>
    </row>
    <row r="2926" spans="1:21" x14ac:dyDescent="0.3">
      <c r="A2926" t="s">
        <v>4924</v>
      </c>
      <c r="B2926" t="s">
        <v>4925</v>
      </c>
      <c r="C2926" t="s">
        <v>672</v>
      </c>
      <c r="D2926" t="s">
        <v>29</v>
      </c>
      <c r="E2926" t="s">
        <v>30</v>
      </c>
      <c r="F2926" s="6">
        <v>45412</v>
      </c>
      <c r="G2926">
        <v>45</v>
      </c>
      <c r="H2926">
        <v>42</v>
      </c>
      <c r="I2926">
        <v>0.93333333333333335</v>
      </c>
      <c r="J2926">
        <v>0.93333333333333335</v>
      </c>
      <c r="K2926" t="s">
        <v>31</v>
      </c>
      <c r="L2926" t="s">
        <v>31</v>
      </c>
      <c r="M2926">
        <v>2024</v>
      </c>
      <c r="N2926" t="s">
        <v>40</v>
      </c>
      <c r="O2926" t="s">
        <v>71</v>
      </c>
      <c r="P2926">
        <v>0</v>
      </c>
      <c r="Q2926">
        <v>0</v>
      </c>
      <c r="R2926">
        <v>1</v>
      </c>
      <c r="S2926" t="s">
        <v>34</v>
      </c>
      <c r="T2926" t="s">
        <v>4929</v>
      </c>
      <c r="U2926">
        <v>1</v>
      </c>
    </row>
    <row r="2927" spans="1:21" x14ac:dyDescent="0.3">
      <c r="A2927" t="s">
        <v>4924</v>
      </c>
      <c r="B2927" t="s">
        <v>4925</v>
      </c>
      <c r="C2927" t="s">
        <v>672</v>
      </c>
      <c r="D2927" t="s">
        <v>29</v>
      </c>
      <c r="E2927" t="s">
        <v>30</v>
      </c>
      <c r="F2927" s="6">
        <v>45443</v>
      </c>
      <c r="G2927">
        <v>52</v>
      </c>
      <c r="H2927">
        <v>52</v>
      </c>
      <c r="I2927">
        <v>1</v>
      </c>
      <c r="J2927">
        <v>1</v>
      </c>
      <c r="K2927" t="s">
        <v>31</v>
      </c>
      <c r="L2927" t="s">
        <v>31</v>
      </c>
      <c r="M2927">
        <v>2024</v>
      </c>
      <c r="N2927" t="s">
        <v>42</v>
      </c>
      <c r="O2927" t="s">
        <v>71</v>
      </c>
      <c r="P2927">
        <v>0</v>
      </c>
      <c r="Q2927">
        <v>0</v>
      </c>
      <c r="R2927">
        <v>1</v>
      </c>
      <c r="S2927" t="s">
        <v>34</v>
      </c>
      <c r="T2927" t="s">
        <v>4930</v>
      </c>
      <c r="U2927">
        <v>1</v>
      </c>
    </row>
    <row r="2928" spans="1:21" x14ac:dyDescent="0.3">
      <c r="A2928" t="s">
        <v>4924</v>
      </c>
      <c r="B2928" t="s">
        <v>4925</v>
      </c>
      <c r="C2928" t="s">
        <v>672</v>
      </c>
      <c r="D2928" t="s">
        <v>29</v>
      </c>
      <c r="E2928" t="s">
        <v>30</v>
      </c>
      <c r="F2928" s="6">
        <v>45473</v>
      </c>
      <c r="G2928">
        <v>58</v>
      </c>
      <c r="H2928">
        <v>60</v>
      </c>
      <c r="I2928">
        <v>1.0344827586206899</v>
      </c>
      <c r="J2928">
        <v>1.0344827586206899</v>
      </c>
      <c r="K2928" t="s">
        <v>31</v>
      </c>
      <c r="L2928" t="s">
        <v>31</v>
      </c>
      <c r="M2928">
        <v>2024</v>
      </c>
      <c r="N2928" t="s">
        <v>44</v>
      </c>
      <c r="O2928" t="s">
        <v>71</v>
      </c>
      <c r="P2928">
        <v>0</v>
      </c>
      <c r="Q2928">
        <v>0</v>
      </c>
      <c r="R2928">
        <v>1</v>
      </c>
      <c r="S2928" t="s">
        <v>34</v>
      </c>
      <c r="T2928" t="s">
        <v>4931</v>
      </c>
      <c r="U2928">
        <v>1</v>
      </c>
    </row>
    <row r="2929" spans="1:21" x14ac:dyDescent="0.3">
      <c r="A2929" t="s">
        <v>4924</v>
      </c>
      <c r="B2929" t="s">
        <v>4925</v>
      </c>
      <c r="C2929" t="s">
        <v>672</v>
      </c>
      <c r="D2929" t="s">
        <v>29</v>
      </c>
      <c r="E2929" t="s">
        <v>30</v>
      </c>
      <c r="F2929" s="6">
        <v>45504</v>
      </c>
      <c r="G2929">
        <v>72</v>
      </c>
      <c r="H2929">
        <v>72</v>
      </c>
      <c r="I2929">
        <v>1</v>
      </c>
      <c r="J2929">
        <v>1</v>
      </c>
      <c r="K2929" t="s">
        <v>31</v>
      </c>
      <c r="L2929" t="s">
        <v>31</v>
      </c>
      <c r="M2929">
        <v>2024</v>
      </c>
      <c r="N2929" t="s">
        <v>46</v>
      </c>
      <c r="O2929" t="s">
        <v>78</v>
      </c>
      <c r="P2929">
        <v>0</v>
      </c>
      <c r="Q2929">
        <v>0</v>
      </c>
      <c r="R2929">
        <v>1</v>
      </c>
      <c r="S2929" t="s">
        <v>34</v>
      </c>
      <c r="T2929" t="s">
        <v>4932</v>
      </c>
      <c r="U2929">
        <v>1</v>
      </c>
    </row>
    <row r="2930" spans="1:21" x14ac:dyDescent="0.3">
      <c r="A2930" t="s">
        <v>4924</v>
      </c>
      <c r="B2930" t="s">
        <v>4925</v>
      </c>
      <c r="C2930" t="s">
        <v>672</v>
      </c>
      <c r="D2930" t="s">
        <v>29</v>
      </c>
      <c r="E2930" t="s">
        <v>30</v>
      </c>
      <c r="F2930" s="6">
        <v>45535</v>
      </c>
      <c r="G2930">
        <v>80</v>
      </c>
      <c r="H2930">
        <v>89</v>
      </c>
      <c r="I2930">
        <v>1.1125</v>
      </c>
      <c r="J2930">
        <v>1.1125</v>
      </c>
      <c r="K2930" t="s">
        <v>31</v>
      </c>
      <c r="L2930" t="s">
        <v>31</v>
      </c>
      <c r="M2930">
        <v>2024</v>
      </c>
      <c r="N2930" t="s">
        <v>49</v>
      </c>
      <c r="O2930" t="s">
        <v>78</v>
      </c>
      <c r="P2930">
        <v>0</v>
      </c>
      <c r="Q2930">
        <v>0</v>
      </c>
      <c r="R2930">
        <v>1</v>
      </c>
      <c r="S2930" t="s">
        <v>34</v>
      </c>
      <c r="T2930" t="s">
        <v>4933</v>
      </c>
      <c r="U2930">
        <v>1</v>
      </c>
    </row>
    <row r="2931" spans="1:21" x14ac:dyDescent="0.3">
      <c r="A2931" t="s">
        <v>4924</v>
      </c>
      <c r="B2931" t="s">
        <v>4925</v>
      </c>
      <c r="C2931" t="s">
        <v>672</v>
      </c>
      <c r="D2931" t="s">
        <v>29</v>
      </c>
      <c r="E2931" t="s">
        <v>30</v>
      </c>
      <c r="F2931" s="6">
        <v>45565</v>
      </c>
      <c r="G2931">
        <v>91</v>
      </c>
      <c r="H2931">
        <v>93</v>
      </c>
      <c r="I2931">
        <v>1.0219780219780219</v>
      </c>
      <c r="J2931">
        <v>1.0219780219780219</v>
      </c>
      <c r="K2931" t="s">
        <v>31</v>
      </c>
      <c r="L2931" t="s">
        <v>31</v>
      </c>
      <c r="M2931">
        <v>2024</v>
      </c>
      <c r="N2931" t="s">
        <v>51</v>
      </c>
      <c r="O2931" t="s">
        <v>78</v>
      </c>
      <c r="P2931">
        <v>0</v>
      </c>
      <c r="Q2931">
        <v>0</v>
      </c>
      <c r="R2931">
        <v>1</v>
      </c>
      <c r="S2931" t="s">
        <v>34</v>
      </c>
      <c r="T2931" t="s">
        <v>4934</v>
      </c>
      <c r="U2931">
        <v>1</v>
      </c>
    </row>
    <row r="2932" spans="1:21" x14ac:dyDescent="0.3">
      <c r="A2932" t="s">
        <v>4924</v>
      </c>
      <c r="B2932" t="s">
        <v>4925</v>
      </c>
      <c r="C2932" t="s">
        <v>672</v>
      </c>
      <c r="D2932" t="s">
        <v>29</v>
      </c>
      <c r="E2932" t="s">
        <v>30</v>
      </c>
      <c r="F2932" s="6">
        <v>45596</v>
      </c>
      <c r="G2932">
        <v>91</v>
      </c>
      <c r="H2932">
        <v>93</v>
      </c>
      <c r="I2932">
        <v>1.0219780219780219</v>
      </c>
      <c r="J2932">
        <v>1.0219780219780219</v>
      </c>
      <c r="K2932" t="s">
        <v>31</v>
      </c>
      <c r="L2932" t="s">
        <v>31</v>
      </c>
      <c r="M2932">
        <v>2024</v>
      </c>
      <c r="N2932" t="s">
        <v>53</v>
      </c>
      <c r="O2932" t="s">
        <v>78</v>
      </c>
      <c r="P2932">
        <v>0</v>
      </c>
      <c r="Q2932">
        <v>0</v>
      </c>
      <c r="R2932">
        <v>1</v>
      </c>
      <c r="S2932" t="s">
        <v>34</v>
      </c>
      <c r="T2932" t="s">
        <v>4935</v>
      </c>
      <c r="U2932">
        <v>1</v>
      </c>
    </row>
    <row r="2933" spans="1:21" x14ac:dyDescent="0.3">
      <c r="A2933" t="s">
        <v>4924</v>
      </c>
      <c r="B2933" t="s">
        <v>4925</v>
      </c>
      <c r="C2933" t="s">
        <v>672</v>
      </c>
      <c r="D2933" t="s">
        <v>29</v>
      </c>
      <c r="E2933" t="s">
        <v>30</v>
      </c>
      <c r="F2933" s="6">
        <v>45626</v>
      </c>
      <c r="G2933">
        <v>99</v>
      </c>
      <c r="H2933">
        <v>99</v>
      </c>
      <c r="I2933">
        <v>1</v>
      </c>
      <c r="J2933">
        <v>1</v>
      </c>
      <c r="K2933" t="s">
        <v>31</v>
      </c>
      <c r="L2933" t="s">
        <v>31</v>
      </c>
      <c r="M2933">
        <v>2024</v>
      </c>
      <c r="N2933" t="s">
        <v>55</v>
      </c>
      <c r="O2933" t="s">
        <v>78</v>
      </c>
      <c r="P2933">
        <v>0</v>
      </c>
      <c r="Q2933">
        <v>0</v>
      </c>
      <c r="R2933">
        <v>1</v>
      </c>
      <c r="S2933" t="s">
        <v>34</v>
      </c>
      <c r="T2933" t="s">
        <v>4936</v>
      </c>
      <c r="U2933">
        <v>1</v>
      </c>
    </row>
    <row r="2934" spans="1:21" x14ac:dyDescent="0.3">
      <c r="A2934" t="s">
        <v>4924</v>
      </c>
      <c r="B2934" t="s">
        <v>4925</v>
      </c>
      <c r="C2934" t="s">
        <v>672</v>
      </c>
      <c r="D2934" t="s">
        <v>29</v>
      </c>
      <c r="E2934" t="s">
        <v>30</v>
      </c>
      <c r="F2934" s="6">
        <v>45657</v>
      </c>
      <c r="G2934">
        <v>100</v>
      </c>
      <c r="H2934">
        <v>100</v>
      </c>
      <c r="I2934">
        <v>1</v>
      </c>
      <c r="J2934">
        <v>1</v>
      </c>
      <c r="K2934" t="s">
        <v>31</v>
      </c>
      <c r="L2934" t="s">
        <v>31</v>
      </c>
      <c r="M2934">
        <v>2024</v>
      </c>
      <c r="N2934" t="s">
        <v>57</v>
      </c>
      <c r="O2934" t="s">
        <v>78</v>
      </c>
      <c r="P2934">
        <v>0</v>
      </c>
      <c r="Q2934">
        <v>0</v>
      </c>
      <c r="R2934">
        <v>1</v>
      </c>
      <c r="S2934" t="s">
        <v>34</v>
      </c>
      <c r="T2934" t="s">
        <v>4937</v>
      </c>
      <c r="U2934">
        <v>1</v>
      </c>
    </row>
    <row r="2935" spans="1:21" x14ac:dyDescent="0.3">
      <c r="A2935" t="s">
        <v>4938</v>
      </c>
      <c r="B2935" t="s">
        <v>4939</v>
      </c>
      <c r="C2935" t="s">
        <v>251</v>
      </c>
      <c r="D2935" t="s">
        <v>29</v>
      </c>
      <c r="E2935" t="s">
        <v>30</v>
      </c>
      <c r="F2935" s="6">
        <v>45322</v>
      </c>
      <c r="G2935">
        <v>24</v>
      </c>
      <c r="H2935">
        <v>31</v>
      </c>
      <c r="I2935">
        <v>1.291666666666667</v>
      </c>
      <c r="J2935">
        <v>1.291666666666667</v>
      </c>
      <c r="K2935" t="s">
        <v>31</v>
      </c>
      <c r="L2935" t="s">
        <v>31</v>
      </c>
      <c r="M2935">
        <v>2024</v>
      </c>
      <c r="N2935" t="s">
        <v>32</v>
      </c>
      <c r="O2935" t="s">
        <v>71</v>
      </c>
      <c r="P2935">
        <v>0</v>
      </c>
      <c r="Q2935">
        <v>0</v>
      </c>
      <c r="R2935">
        <v>1</v>
      </c>
      <c r="S2935" t="s">
        <v>130</v>
      </c>
      <c r="T2935" t="s">
        <v>4940</v>
      </c>
      <c r="U2935">
        <v>1</v>
      </c>
    </row>
    <row r="2936" spans="1:21" x14ac:dyDescent="0.3">
      <c r="A2936" t="s">
        <v>4938</v>
      </c>
      <c r="B2936" t="s">
        <v>4939</v>
      </c>
      <c r="C2936" t="s">
        <v>251</v>
      </c>
      <c r="D2936" t="s">
        <v>29</v>
      </c>
      <c r="E2936" t="s">
        <v>30</v>
      </c>
      <c r="F2936" s="6">
        <v>45351</v>
      </c>
      <c r="G2936">
        <v>24</v>
      </c>
      <c r="H2936">
        <v>31</v>
      </c>
      <c r="I2936">
        <v>1.291666666666667</v>
      </c>
      <c r="J2936">
        <v>1.291666666666667</v>
      </c>
      <c r="K2936" t="s">
        <v>31</v>
      </c>
      <c r="L2936" t="s">
        <v>31</v>
      </c>
      <c r="M2936">
        <v>2024</v>
      </c>
      <c r="N2936" t="s">
        <v>36</v>
      </c>
      <c r="O2936" t="s">
        <v>71</v>
      </c>
      <c r="P2936">
        <v>0</v>
      </c>
      <c r="Q2936">
        <v>0</v>
      </c>
      <c r="R2936">
        <v>1</v>
      </c>
      <c r="S2936" t="s">
        <v>130</v>
      </c>
      <c r="T2936" t="s">
        <v>4941</v>
      </c>
      <c r="U2936">
        <v>1</v>
      </c>
    </row>
    <row r="2937" spans="1:21" x14ac:dyDescent="0.3">
      <c r="A2937" t="s">
        <v>4938</v>
      </c>
      <c r="B2937" t="s">
        <v>4939</v>
      </c>
      <c r="C2937" t="s">
        <v>251</v>
      </c>
      <c r="D2937" t="s">
        <v>29</v>
      </c>
      <c r="E2937" t="s">
        <v>30</v>
      </c>
      <c r="F2937" s="6">
        <v>45382</v>
      </c>
      <c r="G2937">
        <v>31</v>
      </c>
      <c r="H2937">
        <v>24</v>
      </c>
      <c r="I2937">
        <v>0.77419354838709675</v>
      </c>
      <c r="J2937">
        <v>0.77419354838709675</v>
      </c>
      <c r="K2937" t="s">
        <v>31</v>
      </c>
      <c r="L2937" t="s">
        <v>31</v>
      </c>
      <c r="M2937">
        <v>2024</v>
      </c>
      <c r="N2937" t="s">
        <v>38</v>
      </c>
      <c r="O2937" t="s">
        <v>71</v>
      </c>
      <c r="P2937">
        <v>0</v>
      </c>
      <c r="Q2937">
        <v>0</v>
      </c>
      <c r="R2937">
        <v>1</v>
      </c>
      <c r="S2937" t="s">
        <v>130</v>
      </c>
      <c r="T2937" t="s">
        <v>4942</v>
      </c>
      <c r="U2937">
        <v>1</v>
      </c>
    </row>
    <row r="2938" spans="1:21" x14ac:dyDescent="0.3">
      <c r="A2938" t="s">
        <v>4938</v>
      </c>
      <c r="B2938" t="s">
        <v>4939</v>
      </c>
      <c r="C2938" t="s">
        <v>251</v>
      </c>
      <c r="D2938" t="s">
        <v>29</v>
      </c>
      <c r="E2938" t="s">
        <v>30</v>
      </c>
      <c r="F2938" s="6">
        <v>45412</v>
      </c>
      <c r="G2938">
        <v>36</v>
      </c>
      <c r="H2938">
        <v>34</v>
      </c>
      <c r="I2938">
        <v>0.94444444444444442</v>
      </c>
      <c r="J2938">
        <v>0.94444444444444442</v>
      </c>
      <c r="K2938" t="s">
        <v>31</v>
      </c>
      <c r="L2938" t="s">
        <v>31</v>
      </c>
      <c r="M2938">
        <v>2024</v>
      </c>
      <c r="N2938" t="s">
        <v>40</v>
      </c>
      <c r="O2938" t="s">
        <v>71</v>
      </c>
      <c r="P2938">
        <v>0</v>
      </c>
      <c r="Q2938">
        <v>0</v>
      </c>
      <c r="R2938">
        <v>1</v>
      </c>
      <c r="S2938" t="s">
        <v>130</v>
      </c>
      <c r="T2938" t="s">
        <v>4943</v>
      </c>
      <c r="U2938">
        <v>1</v>
      </c>
    </row>
    <row r="2939" spans="1:21" x14ac:dyDescent="0.3">
      <c r="A2939" t="s">
        <v>4938</v>
      </c>
      <c r="B2939" t="s">
        <v>4939</v>
      </c>
      <c r="C2939" t="s">
        <v>251</v>
      </c>
      <c r="D2939" t="s">
        <v>29</v>
      </c>
      <c r="E2939" t="s">
        <v>30</v>
      </c>
      <c r="F2939" s="6">
        <v>45443</v>
      </c>
      <c r="G2939">
        <v>37</v>
      </c>
      <c r="H2939">
        <v>37</v>
      </c>
      <c r="I2939">
        <v>1</v>
      </c>
      <c r="J2939">
        <v>1</v>
      </c>
      <c r="K2939" t="s">
        <v>31</v>
      </c>
      <c r="L2939" t="s">
        <v>31</v>
      </c>
      <c r="M2939">
        <v>2024</v>
      </c>
      <c r="N2939" t="s">
        <v>42</v>
      </c>
      <c r="O2939" t="s">
        <v>71</v>
      </c>
      <c r="P2939">
        <v>0</v>
      </c>
      <c r="Q2939">
        <v>0</v>
      </c>
      <c r="R2939">
        <v>1</v>
      </c>
      <c r="S2939" t="s">
        <v>130</v>
      </c>
      <c r="T2939" t="s">
        <v>4944</v>
      </c>
      <c r="U2939">
        <v>1</v>
      </c>
    </row>
    <row r="2940" spans="1:21" x14ac:dyDescent="0.3">
      <c r="A2940" t="s">
        <v>4938</v>
      </c>
      <c r="B2940" t="s">
        <v>4939</v>
      </c>
      <c r="C2940" t="s">
        <v>251</v>
      </c>
      <c r="D2940" t="s">
        <v>29</v>
      </c>
      <c r="E2940" t="s">
        <v>30</v>
      </c>
      <c r="F2940" s="6">
        <v>45473</v>
      </c>
      <c r="G2940">
        <v>37</v>
      </c>
      <c r="H2940">
        <v>37</v>
      </c>
      <c r="I2940">
        <v>1</v>
      </c>
      <c r="J2940">
        <v>1</v>
      </c>
      <c r="K2940" t="s">
        <v>31</v>
      </c>
      <c r="L2940" t="s">
        <v>31</v>
      </c>
      <c r="M2940">
        <v>2024</v>
      </c>
      <c r="N2940" t="s">
        <v>44</v>
      </c>
      <c r="O2940" t="s">
        <v>71</v>
      </c>
      <c r="P2940">
        <v>0</v>
      </c>
      <c r="Q2940">
        <v>0</v>
      </c>
      <c r="R2940">
        <v>1</v>
      </c>
      <c r="S2940" t="s">
        <v>130</v>
      </c>
      <c r="T2940" t="s">
        <v>4945</v>
      </c>
      <c r="U2940">
        <v>1</v>
      </c>
    </row>
    <row r="2941" spans="1:21" x14ac:dyDescent="0.3">
      <c r="A2941" t="s">
        <v>4938</v>
      </c>
      <c r="B2941" t="s">
        <v>4939</v>
      </c>
      <c r="C2941" t="s">
        <v>251</v>
      </c>
      <c r="D2941" t="s">
        <v>29</v>
      </c>
      <c r="E2941" t="s">
        <v>30</v>
      </c>
      <c r="F2941" s="6">
        <v>45504</v>
      </c>
      <c r="G2941">
        <v>40</v>
      </c>
      <c r="H2941">
        <v>40</v>
      </c>
      <c r="I2941">
        <v>1</v>
      </c>
      <c r="J2941">
        <v>1</v>
      </c>
      <c r="K2941" t="s">
        <v>31</v>
      </c>
      <c r="L2941" t="s">
        <v>31</v>
      </c>
      <c r="M2941">
        <v>2024</v>
      </c>
      <c r="N2941" t="s">
        <v>46</v>
      </c>
      <c r="O2941" t="s">
        <v>78</v>
      </c>
      <c r="P2941">
        <v>0</v>
      </c>
      <c r="Q2941">
        <v>0</v>
      </c>
      <c r="R2941">
        <v>1</v>
      </c>
      <c r="S2941" t="s">
        <v>130</v>
      </c>
      <c r="T2941" t="s">
        <v>4946</v>
      </c>
      <c r="U2941">
        <v>1</v>
      </c>
    </row>
    <row r="2942" spans="1:21" x14ac:dyDescent="0.3">
      <c r="A2942" t="s">
        <v>4938</v>
      </c>
      <c r="B2942" t="s">
        <v>4939</v>
      </c>
      <c r="C2942" t="s">
        <v>251</v>
      </c>
      <c r="D2942" t="s">
        <v>29</v>
      </c>
      <c r="E2942" t="s">
        <v>30</v>
      </c>
      <c r="F2942" s="6">
        <v>45535</v>
      </c>
      <c r="G2942">
        <v>40</v>
      </c>
      <c r="H2942">
        <v>40</v>
      </c>
      <c r="I2942">
        <v>1</v>
      </c>
      <c r="J2942">
        <v>1</v>
      </c>
      <c r="K2942" t="s">
        <v>31</v>
      </c>
      <c r="L2942" t="s">
        <v>31</v>
      </c>
      <c r="M2942">
        <v>2024</v>
      </c>
      <c r="N2942" t="s">
        <v>49</v>
      </c>
      <c r="O2942" t="s">
        <v>78</v>
      </c>
      <c r="P2942">
        <v>0</v>
      </c>
      <c r="Q2942">
        <v>0</v>
      </c>
      <c r="R2942">
        <v>1</v>
      </c>
      <c r="S2942" t="s">
        <v>130</v>
      </c>
      <c r="T2942" t="s">
        <v>4947</v>
      </c>
      <c r="U2942">
        <v>1</v>
      </c>
    </row>
    <row r="2943" spans="1:21" x14ac:dyDescent="0.3">
      <c r="A2943" t="s">
        <v>4938</v>
      </c>
      <c r="B2943" t="s">
        <v>4939</v>
      </c>
      <c r="C2943" t="s">
        <v>251</v>
      </c>
      <c r="D2943" t="s">
        <v>29</v>
      </c>
      <c r="E2943" t="s">
        <v>30</v>
      </c>
      <c r="F2943" s="6">
        <v>45565</v>
      </c>
      <c r="G2943">
        <v>49</v>
      </c>
      <c r="H2943">
        <v>49</v>
      </c>
      <c r="I2943">
        <v>1</v>
      </c>
      <c r="J2943">
        <v>1</v>
      </c>
      <c r="K2943" t="s">
        <v>31</v>
      </c>
      <c r="L2943" t="s">
        <v>31</v>
      </c>
      <c r="M2943">
        <v>2024</v>
      </c>
      <c r="N2943" t="s">
        <v>51</v>
      </c>
      <c r="O2943" t="s">
        <v>78</v>
      </c>
      <c r="P2943">
        <v>0</v>
      </c>
      <c r="Q2943">
        <v>0</v>
      </c>
      <c r="R2943">
        <v>1</v>
      </c>
      <c r="S2943" t="s">
        <v>130</v>
      </c>
      <c r="T2943" t="s">
        <v>4948</v>
      </c>
      <c r="U2943">
        <v>1</v>
      </c>
    </row>
    <row r="2944" spans="1:21" x14ac:dyDescent="0.3">
      <c r="A2944" t="s">
        <v>4938</v>
      </c>
      <c r="B2944" t="s">
        <v>4939</v>
      </c>
      <c r="C2944" t="s">
        <v>251</v>
      </c>
      <c r="D2944" t="s">
        <v>29</v>
      </c>
      <c r="E2944" t="s">
        <v>30</v>
      </c>
      <c r="F2944" s="6">
        <v>45596</v>
      </c>
      <c r="G2944">
        <v>49</v>
      </c>
      <c r="H2944">
        <v>49</v>
      </c>
      <c r="I2944">
        <v>1</v>
      </c>
      <c r="J2944">
        <v>1</v>
      </c>
      <c r="K2944" t="s">
        <v>31</v>
      </c>
      <c r="L2944" t="s">
        <v>31</v>
      </c>
      <c r="M2944">
        <v>2024</v>
      </c>
      <c r="N2944" t="s">
        <v>53</v>
      </c>
      <c r="O2944" t="s">
        <v>78</v>
      </c>
      <c r="P2944">
        <v>0</v>
      </c>
      <c r="Q2944">
        <v>0</v>
      </c>
      <c r="R2944">
        <v>1</v>
      </c>
      <c r="S2944" t="s">
        <v>130</v>
      </c>
      <c r="T2944" t="s">
        <v>4949</v>
      </c>
      <c r="U2944">
        <v>1</v>
      </c>
    </row>
    <row r="2945" spans="1:21" x14ac:dyDescent="0.3">
      <c r="A2945" t="s">
        <v>4938</v>
      </c>
      <c r="B2945" t="s">
        <v>4939</v>
      </c>
      <c r="C2945" t="s">
        <v>251</v>
      </c>
      <c r="D2945" t="s">
        <v>29</v>
      </c>
      <c r="E2945" t="s">
        <v>30</v>
      </c>
      <c r="F2945" s="6">
        <v>45626</v>
      </c>
      <c r="G2945">
        <v>49</v>
      </c>
      <c r="H2945">
        <v>49</v>
      </c>
      <c r="I2945">
        <v>1</v>
      </c>
      <c r="J2945">
        <v>1</v>
      </c>
      <c r="K2945" t="s">
        <v>31</v>
      </c>
      <c r="L2945" t="s">
        <v>31</v>
      </c>
      <c r="M2945">
        <v>2024</v>
      </c>
      <c r="N2945" t="s">
        <v>55</v>
      </c>
      <c r="O2945" t="s">
        <v>78</v>
      </c>
      <c r="P2945">
        <v>0</v>
      </c>
      <c r="Q2945">
        <v>0</v>
      </c>
      <c r="R2945">
        <v>1</v>
      </c>
      <c r="S2945" t="s">
        <v>130</v>
      </c>
      <c r="T2945" t="s">
        <v>4950</v>
      </c>
      <c r="U2945">
        <v>1</v>
      </c>
    </row>
    <row r="2946" spans="1:21" x14ac:dyDescent="0.3">
      <c r="A2946" t="s">
        <v>4938</v>
      </c>
      <c r="B2946" t="s">
        <v>4939</v>
      </c>
      <c r="C2946" t="s">
        <v>251</v>
      </c>
      <c r="D2946" t="s">
        <v>29</v>
      </c>
      <c r="E2946" t="s">
        <v>30</v>
      </c>
      <c r="F2946" s="6">
        <v>45657</v>
      </c>
      <c r="G2946">
        <v>49</v>
      </c>
      <c r="H2946">
        <v>49</v>
      </c>
      <c r="I2946">
        <v>1</v>
      </c>
      <c r="J2946">
        <v>1</v>
      </c>
      <c r="K2946" t="s">
        <v>31</v>
      </c>
      <c r="L2946" t="s">
        <v>31</v>
      </c>
      <c r="M2946">
        <v>2024</v>
      </c>
      <c r="N2946" t="s">
        <v>57</v>
      </c>
      <c r="O2946" t="s">
        <v>78</v>
      </c>
      <c r="P2946">
        <v>0</v>
      </c>
      <c r="Q2946">
        <v>0</v>
      </c>
      <c r="R2946">
        <v>1</v>
      </c>
      <c r="S2946" t="s">
        <v>130</v>
      </c>
      <c r="T2946" t="s">
        <v>4951</v>
      </c>
      <c r="U2946">
        <v>1</v>
      </c>
    </row>
    <row r="2947" spans="1:21" x14ac:dyDescent="0.3">
      <c r="A2947" t="s">
        <v>4952</v>
      </c>
      <c r="B2947" t="s">
        <v>4953</v>
      </c>
      <c r="C2947" t="s">
        <v>2437</v>
      </c>
      <c r="D2947" t="s">
        <v>29</v>
      </c>
      <c r="E2947" t="s">
        <v>30</v>
      </c>
      <c r="F2947" s="6">
        <v>45322</v>
      </c>
      <c r="G2947">
        <v>42</v>
      </c>
      <c r="H2947">
        <v>42</v>
      </c>
      <c r="I2947">
        <v>1</v>
      </c>
      <c r="J2947">
        <v>1</v>
      </c>
      <c r="K2947" t="s">
        <v>31</v>
      </c>
      <c r="L2947" t="s">
        <v>31</v>
      </c>
      <c r="M2947">
        <v>2024</v>
      </c>
      <c r="N2947" t="s">
        <v>32</v>
      </c>
      <c r="O2947" t="s">
        <v>71</v>
      </c>
      <c r="P2947">
        <v>0</v>
      </c>
      <c r="Q2947">
        <v>0</v>
      </c>
      <c r="R2947">
        <v>1</v>
      </c>
      <c r="S2947" t="s">
        <v>34</v>
      </c>
      <c r="T2947" t="s">
        <v>4954</v>
      </c>
      <c r="U2947">
        <v>1</v>
      </c>
    </row>
    <row r="2948" spans="1:21" x14ac:dyDescent="0.3">
      <c r="A2948" t="s">
        <v>4952</v>
      </c>
      <c r="B2948" t="s">
        <v>4953</v>
      </c>
      <c r="C2948" t="s">
        <v>2437</v>
      </c>
      <c r="D2948" t="s">
        <v>29</v>
      </c>
      <c r="E2948" t="s">
        <v>30</v>
      </c>
      <c r="F2948" s="6">
        <v>45351</v>
      </c>
      <c r="G2948">
        <v>42</v>
      </c>
      <c r="H2948">
        <v>41</v>
      </c>
      <c r="I2948">
        <v>0.97619047619047616</v>
      </c>
      <c r="J2948">
        <v>0.97619047619047616</v>
      </c>
      <c r="K2948" t="s">
        <v>31</v>
      </c>
      <c r="L2948" t="s">
        <v>31</v>
      </c>
      <c r="M2948">
        <v>2024</v>
      </c>
      <c r="N2948" t="s">
        <v>36</v>
      </c>
      <c r="O2948" t="s">
        <v>71</v>
      </c>
      <c r="P2948">
        <v>0</v>
      </c>
      <c r="Q2948">
        <v>0</v>
      </c>
      <c r="R2948">
        <v>1</v>
      </c>
      <c r="S2948" t="s">
        <v>34</v>
      </c>
      <c r="T2948" t="s">
        <v>4955</v>
      </c>
      <c r="U2948">
        <v>1</v>
      </c>
    </row>
    <row r="2949" spans="1:21" x14ac:dyDescent="0.3">
      <c r="A2949" t="s">
        <v>4952</v>
      </c>
      <c r="B2949" t="s">
        <v>4953</v>
      </c>
      <c r="C2949" t="s">
        <v>2437</v>
      </c>
      <c r="D2949" t="s">
        <v>29</v>
      </c>
      <c r="E2949" t="s">
        <v>30</v>
      </c>
      <c r="F2949" s="6">
        <v>45382</v>
      </c>
      <c r="G2949">
        <v>40</v>
      </c>
      <c r="H2949">
        <v>44</v>
      </c>
      <c r="I2949">
        <v>1.1000000000000001</v>
      </c>
      <c r="J2949">
        <v>1.1000000000000001</v>
      </c>
      <c r="K2949" t="s">
        <v>31</v>
      </c>
      <c r="L2949" t="s">
        <v>31</v>
      </c>
      <c r="M2949">
        <v>2024</v>
      </c>
      <c r="N2949" t="s">
        <v>38</v>
      </c>
      <c r="O2949" t="s">
        <v>71</v>
      </c>
      <c r="P2949">
        <v>0</v>
      </c>
      <c r="Q2949">
        <v>0</v>
      </c>
      <c r="R2949">
        <v>1</v>
      </c>
      <c r="S2949" t="s">
        <v>34</v>
      </c>
      <c r="T2949" t="s">
        <v>4956</v>
      </c>
      <c r="U2949">
        <v>1</v>
      </c>
    </row>
    <row r="2950" spans="1:21" x14ac:dyDescent="0.3">
      <c r="A2950" t="s">
        <v>4952</v>
      </c>
      <c r="B2950" t="s">
        <v>4953</v>
      </c>
      <c r="C2950" t="s">
        <v>2437</v>
      </c>
      <c r="D2950" t="s">
        <v>29</v>
      </c>
      <c r="E2950" t="s">
        <v>30</v>
      </c>
      <c r="F2950" s="6">
        <v>45412</v>
      </c>
      <c r="G2950">
        <v>31</v>
      </c>
      <c r="H2950">
        <v>44</v>
      </c>
      <c r="I2950">
        <v>1.3</v>
      </c>
      <c r="J2950">
        <v>1.419354838709677</v>
      </c>
      <c r="K2950" t="s">
        <v>31</v>
      </c>
      <c r="L2950" t="s">
        <v>31</v>
      </c>
      <c r="M2950">
        <v>2024</v>
      </c>
      <c r="N2950" t="s">
        <v>40</v>
      </c>
      <c r="O2950" t="s">
        <v>71</v>
      </c>
      <c r="P2950">
        <v>0</v>
      </c>
      <c r="Q2950">
        <v>0</v>
      </c>
      <c r="R2950">
        <v>1</v>
      </c>
      <c r="S2950" t="s">
        <v>34</v>
      </c>
      <c r="T2950" t="s">
        <v>4957</v>
      </c>
      <c r="U2950">
        <v>1</v>
      </c>
    </row>
    <row r="2951" spans="1:21" x14ac:dyDescent="0.3">
      <c r="A2951" t="s">
        <v>4952</v>
      </c>
      <c r="B2951" t="s">
        <v>4953</v>
      </c>
      <c r="C2951" t="s">
        <v>2437</v>
      </c>
      <c r="D2951" t="s">
        <v>29</v>
      </c>
      <c r="E2951" t="s">
        <v>30</v>
      </c>
      <c r="F2951" s="6">
        <v>45443</v>
      </c>
      <c r="G2951">
        <v>40</v>
      </c>
      <c r="H2951">
        <v>44</v>
      </c>
      <c r="I2951">
        <v>1.1000000000000001</v>
      </c>
      <c r="J2951">
        <v>1.1000000000000001</v>
      </c>
      <c r="K2951" t="s">
        <v>31</v>
      </c>
      <c r="L2951" t="s">
        <v>31</v>
      </c>
      <c r="M2951">
        <v>2024</v>
      </c>
      <c r="N2951" t="s">
        <v>42</v>
      </c>
      <c r="O2951" t="s">
        <v>71</v>
      </c>
      <c r="P2951">
        <v>0</v>
      </c>
      <c r="Q2951">
        <v>0</v>
      </c>
      <c r="R2951">
        <v>1</v>
      </c>
      <c r="S2951" t="s">
        <v>34</v>
      </c>
      <c r="T2951" t="s">
        <v>4958</v>
      </c>
      <c r="U2951">
        <v>1</v>
      </c>
    </row>
    <row r="2952" spans="1:21" x14ac:dyDescent="0.3">
      <c r="A2952" t="s">
        <v>4952</v>
      </c>
      <c r="B2952" t="s">
        <v>4953</v>
      </c>
      <c r="C2952" t="s">
        <v>2437</v>
      </c>
      <c r="D2952" t="s">
        <v>29</v>
      </c>
      <c r="E2952" t="s">
        <v>30</v>
      </c>
      <c r="F2952" s="6">
        <v>45473</v>
      </c>
      <c r="G2952">
        <v>40</v>
      </c>
      <c r="H2952">
        <v>44</v>
      </c>
      <c r="I2952">
        <v>1.1000000000000001</v>
      </c>
      <c r="J2952">
        <v>1.1000000000000001</v>
      </c>
      <c r="K2952" t="s">
        <v>31</v>
      </c>
      <c r="L2952" t="s">
        <v>31</v>
      </c>
      <c r="M2952">
        <v>2024</v>
      </c>
      <c r="N2952" t="s">
        <v>44</v>
      </c>
      <c r="O2952" t="s">
        <v>71</v>
      </c>
      <c r="P2952">
        <v>0</v>
      </c>
      <c r="Q2952">
        <v>0</v>
      </c>
      <c r="R2952">
        <v>1</v>
      </c>
      <c r="S2952" t="s">
        <v>34</v>
      </c>
      <c r="T2952" t="s">
        <v>4959</v>
      </c>
      <c r="U2952">
        <v>1</v>
      </c>
    </row>
    <row r="2953" spans="1:21" x14ac:dyDescent="0.3">
      <c r="A2953" t="s">
        <v>4952</v>
      </c>
      <c r="B2953" t="s">
        <v>4953</v>
      </c>
      <c r="C2953" t="s">
        <v>2437</v>
      </c>
      <c r="D2953" t="s">
        <v>29</v>
      </c>
      <c r="E2953" t="s">
        <v>30</v>
      </c>
      <c r="F2953" s="6">
        <v>45504</v>
      </c>
      <c r="G2953">
        <v>77</v>
      </c>
      <c r="H2953">
        <v>80</v>
      </c>
      <c r="I2953">
        <v>1.0389610389610391</v>
      </c>
      <c r="J2953">
        <v>1.0389610389610391</v>
      </c>
      <c r="K2953" t="s">
        <v>31</v>
      </c>
      <c r="L2953" t="s">
        <v>31</v>
      </c>
      <c r="M2953">
        <v>2024</v>
      </c>
      <c r="N2953" t="s">
        <v>46</v>
      </c>
      <c r="O2953" t="s">
        <v>78</v>
      </c>
      <c r="P2953">
        <v>0</v>
      </c>
      <c r="Q2953">
        <v>0</v>
      </c>
      <c r="R2953">
        <v>1</v>
      </c>
      <c r="S2953" t="s">
        <v>34</v>
      </c>
      <c r="T2953" t="s">
        <v>4960</v>
      </c>
      <c r="U2953">
        <v>1</v>
      </c>
    </row>
    <row r="2954" spans="1:21" x14ac:dyDescent="0.3">
      <c r="A2954" t="s">
        <v>4952</v>
      </c>
      <c r="B2954" t="s">
        <v>4953</v>
      </c>
      <c r="C2954" t="s">
        <v>2437</v>
      </c>
      <c r="D2954" t="s">
        <v>29</v>
      </c>
      <c r="E2954" t="s">
        <v>30</v>
      </c>
      <c r="F2954" s="6">
        <v>45535</v>
      </c>
      <c r="G2954">
        <v>74</v>
      </c>
      <c r="H2954">
        <v>77</v>
      </c>
      <c r="I2954">
        <v>1.040540540540541</v>
      </c>
      <c r="J2954">
        <v>1.040540540540541</v>
      </c>
      <c r="K2954" t="s">
        <v>31</v>
      </c>
      <c r="L2954" t="s">
        <v>31</v>
      </c>
      <c r="M2954">
        <v>2024</v>
      </c>
      <c r="N2954" t="s">
        <v>49</v>
      </c>
      <c r="O2954" t="s">
        <v>78</v>
      </c>
      <c r="P2954">
        <v>0</v>
      </c>
      <c r="Q2954">
        <v>0</v>
      </c>
      <c r="R2954">
        <v>1</v>
      </c>
      <c r="S2954" t="s">
        <v>34</v>
      </c>
      <c r="T2954" t="s">
        <v>4961</v>
      </c>
      <c r="U2954">
        <v>1</v>
      </c>
    </row>
    <row r="2955" spans="1:21" x14ac:dyDescent="0.3">
      <c r="A2955" t="s">
        <v>4952</v>
      </c>
      <c r="B2955" t="s">
        <v>4953</v>
      </c>
      <c r="C2955" t="s">
        <v>2437</v>
      </c>
      <c r="D2955" t="s">
        <v>29</v>
      </c>
      <c r="E2955" t="s">
        <v>30</v>
      </c>
      <c r="F2955" s="6">
        <v>45565</v>
      </c>
      <c r="G2955">
        <v>83</v>
      </c>
      <c r="H2955">
        <v>85</v>
      </c>
      <c r="I2955">
        <v>1.024096385542169</v>
      </c>
      <c r="J2955">
        <v>1.024096385542169</v>
      </c>
      <c r="K2955" t="s">
        <v>31</v>
      </c>
      <c r="L2955" t="s">
        <v>31</v>
      </c>
      <c r="M2955">
        <v>2024</v>
      </c>
      <c r="N2955" t="s">
        <v>51</v>
      </c>
      <c r="O2955" t="s">
        <v>78</v>
      </c>
      <c r="P2955">
        <v>0</v>
      </c>
      <c r="Q2955">
        <v>0</v>
      </c>
      <c r="R2955">
        <v>1</v>
      </c>
      <c r="S2955" t="s">
        <v>34</v>
      </c>
      <c r="T2955" t="s">
        <v>4962</v>
      </c>
      <c r="U2955">
        <v>1</v>
      </c>
    </row>
    <row r="2956" spans="1:21" x14ac:dyDescent="0.3">
      <c r="A2956" t="s">
        <v>4952</v>
      </c>
      <c r="B2956" t="s">
        <v>4953</v>
      </c>
      <c r="C2956" t="s">
        <v>2437</v>
      </c>
      <c r="D2956" t="s">
        <v>29</v>
      </c>
      <c r="E2956" t="s">
        <v>30</v>
      </c>
      <c r="F2956" s="6">
        <v>45596</v>
      </c>
      <c r="G2956">
        <v>92</v>
      </c>
      <c r="H2956">
        <v>94</v>
      </c>
      <c r="I2956">
        <v>1.0217391304347829</v>
      </c>
      <c r="J2956">
        <v>1.0217391304347829</v>
      </c>
      <c r="K2956" t="s">
        <v>31</v>
      </c>
      <c r="L2956" t="s">
        <v>31</v>
      </c>
      <c r="M2956">
        <v>2024</v>
      </c>
      <c r="N2956" t="s">
        <v>53</v>
      </c>
      <c r="O2956" t="s">
        <v>78</v>
      </c>
      <c r="P2956">
        <v>0</v>
      </c>
      <c r="Q2956">
        <v>0</v>
      </c>
      <c r="R2956">
        <v>1</v>
      </c>
      <c r="S2956" t="s">
        <v>34</v>
      </c>
      <c r="T2956" t="s">
        <v>4963</v>
      </c>
      <c r="U2956">
        <v>1</v>
      </c>
    </row>
    <row r="2957" spans="1:21" x14ac:dyDescent="0.3">
      <c r="A2957" t="s">
        <v>4952</v>
      </c>
      <c r="B2957" t="s">
        <v>4953</v>
      </c>
      <c r="C2957" t="s">
        <v>2437</v>
      </c>
      <c r="D2957" t="s">
        <v>29</v>
      </c>
      <c r="E2957" t="s">
        <v>30</v>
      </c>
      <c r="F2957" s="6">
        <v>45626</v>
      </c>
      <c r="G2957">
        <v>99</v>
      </c>
      <c r="H2957">
        <v>99</v>
      </c>
      <c r="I2957">
        <v>1</v>
      </c>
      <c r="J2957">
        <v>1</v>
      </c>
      <c r="K2957" t="s">
        <v>31</v>
      </c>
      <c r="L2957" t="s">
        <v>31</v>
      </c>
      <c r="M2957">
        <v>2024</v>
      </c>
      <c r="N2957" t="s">
        <v>55</v>
      </c>
      <c r="O2957" t="s">
        <v>78</v>
      </c>
      <c r="P2957">
        <v>0</v>
      </c>
      <c r="Q2957">
        <v>0</v>
      </c>
      <c r="R2957">
        <v>1</v>
      </c>
      <c r="S2957" t="s">
        <v>34</v>
      </c>
      <c r="T2957" t="s">
        <v>4964</v>
      </c>
      <c r="U2957">
        <v>1</v>
      </c>
    </row>
    <row r="2958" spans="1:21" x14ac:dyDescent="0.3">
      <c r="A2958" t="s">
        <v>4952</v>
      </c>
      <c r="B2958" t="s">
        <v>4953</v>
      </c>
      <c r="C2958" t="s">
        <v>2437</v>
      </c>
      <c r="D2958" t="s">
        <v>29</v>
      </c>
      <c r="E2958" t="s">
        <v>30</v>
      </c>
      <c r="F2958" s="6">
        <v>45657</v>
      </c>
      <c r="G2958">
        <v>100</v>
      </c>
      <c r="H2958">
        <v>100</v>
      </c>
      <c r="I2958">
        <v>1</v>
      </c>
      <c r="J2958">
        <v>1</v>
      </c>
      <c r="K2958" t="s">
        <v>31</v>
      </c>
      <c r="L2958" t="s">
        <v>31</v>
      </c>
      <c r="M2958">
        <v>2024</v>
      </c>
      <c r="N2958" t="s">
        <v>57</v>
      </c>
      <c r="O2958" t="s">
        <v>78</v>
      </c>
      <c r="P2958">
        <v>0</v>
      </c>
      <c r="Q2958">
        <v>0</v>
      </c>
      <c r="R2958">
        <v>1</v>
      </c>
      <c r="S2958" t="s">
        <v>34</v>
      </c>
      <c r="T2958" t="s">
        <v>4965</v>
      </c>
      <c r="U2958">
        <v>1</v>
      </c>
    </row>
    <row r="2959" spans="1:21" x14ac:dyDescent="0.3">
      <c r="A2959" t="s">
        <v>4966</v>
      </c>
      <c r="B2959" t="s">
        <v>4967</v>
      </c>
      <c r="C2959" t="s">
        <v>3011</v>
      </c>
      <c r="D2959" t="s">
        <v>29</v>
      </c>
      <c r="E2959" t="s">
        <v>30</v>
      </c>
      <c r="F2959" s="6">
        <v>45322</v>
      </c>
      <c r="G2959">
        <v>57</v>
      </c>
      <c r="H2959">
        <v>49</v>
      </c>
      <c r="I2959">
        <v>0.85964912280701755</v>
      </c>
      <c r="J2959">
        <v>0.85964912280701755</v>
      </c>
      <c r="K2959" t="s">
        <v>31</v>
      </c>
      <c r="L2959" t="s">
        <v>31</v>
      </c>
      <c r="M2959">
        <v>2024</v>
      </c>
      <c r="N2959" t="s">
        <v>32</v>
      </c>
      <c r="O2959" t="s">
        <v>71</v>
      </c>
      <c r="P2959">
        <v>0</v>
      </c>
      <c r="Q2959">
        <v>0</v>
      </c>
      <c r="R2959">
        <v>1</v>
      </c>
      <c r="S2959" t="s">
        <v>34</v>
      </c>
      <c r="T2959" t="s">
        <v>4968</v>
      </c>
      <c r="U2959">
        <v>1</v>
      </c>
    </row>
    <row r="2960" spans="1:21" x14ac:dyDescent="0.3">
      <c r="A2960" t="s">
        <v>4966</v>
      </c>
      <c r="B2960" t="s">
        <v>4967</v>
      </c>
      <c r="C2960" t="s">
        <v>3011</v>
      </c>
      <c r="D2960" t="s">
        <v>29</v>
      </c>
      <c r="E2960" t="s">
        <v>30</v>
      </c>
      <c r="F2960" s="6">
        <v>45351</v>
      </c>
      <c r="G2960">
        <v>63</v>
      </c>
      <c r="H2960">
        <v>61</v>
      </c>
      <c r="I2960">
        <v>0.96825396825396826</v>
      </c>
      <c r="J2960">
        <v>0.96825396825396826</v>
      </c>
      <c r="K2960" t="s">
        <v>31</v>
      </c>
      <c r="L2960" t="s">
        <v>31</v>
      </c>
      <c r="M2960">
        <v>2024</v>
      </c>
      <c r="N2960" t="s">
        <v>36</v>
      </c>
      <c r="O2960" t="s">
        <v>71</v>
      </c>
      <c r="P2960">
        <v>0</v>
      </c>
      <c r="Q2960">
        <v>0</v>
      </c>
      <c r="R2960">
        <v>1</v>
      </c>
      <c r="S2960" t="s">
        <v>34</v>
      </c>
      <c r="T2960" t="s">
        <v>4969</v>
      </c>
      <c r="U2960">
        <v>1</v>
      </c>
    </row>
    <row r="2961" spans="1:21" x14ac:dyDescent="0.3">
      <c r="A2961" t="s">
        <v>4966</v>
      </c>
      <c r="B2961" t="s">
        <v>4967</v>
      </c>
      <c r="C2961" t="s">
        <v>3011</v>
      </c>
      <c r="D2961" t="s">
        <v>29</v>
      </c>
      <c r="E2961" t="s">
        <v>30</v>
      </c>
      <c r="F2961" s="6">
        <v>45382</v>
      </c>
      <c r="G2961">
        <v>63</v>
      </c>
      <c r="H2961">
        <v>61</v>
      </c>
      <c r="I2961">
        <v>0.96825396825396826</v>
      </c>
      <c r="J2961">
        <v>0.96825396825396826</v>
      </c>
      <c r="K2961" t="s">
        <v>31</v>
      </c>
      <c r="L2961" t="s">
        <v>31</v>
      </c>
      <c r="M2961">
        <v>2024</v>
      </c>
      <c r="N2961" t="s">
        <v>38</v>
      </c>
      <c r="O2961" t="s">
        <v>71</v>
      </c>
      <c r="P2961">
        <v>0</v>
      </c>
      <c r="Q2961">
        <v>0</v>
      </c>
      <c r="R2961">
        <v>1</v>
      </c>
      <c r="S2961" t="s">
        <v>34</v>
      </c>
      <c r="T2961" t="s">
        <v>4970</v>
      </c>
      <c r="U2961">
        <v>1</v>
      </c>
    </row>
    <row r="2962" spans="1:21" x14ac:dyDescent="0.3">
      <c r="A2962" t="s">
        <v>4966</v>
      </c>
      <c r="B2962" t="s">
        <v>4967</v>
      </c>
      <c r="C2962" t="s">
        <v>3011</v>
      </c>
      <c r="D2962" t="s">
        <v>29</v>
      </c>
      <c r="E2962" t="s">
        <v>30</v>
      </c>
      <c r="F2962" s="6">
        <v>45412</v>
      </c>
      <c r="G2962">
        <v>57</v>
      </c>
      <c r="H2962">
        <v>48</v>
      </c>
      <c r="I2962">
        <v>0.84210526315789469</v>
      </c>
      <c r="J2962">
        <v>0.84210526315789469</v>
      </c>
      <c r="K2962" t="s">
        <v>31</v>
      </c>
      <c r="L2962" t="s">
        <v>31</v>
      </c>
      <c r="M2962">
        <v>2024</v>
      </c>
      <c r="N2962" t="s">
        <v>40</v>
      </c>
      <c r="O2962" t="s">
        <v>71</v>
      </c>
      <c r="P2962">
        <v>0</v>
      </c>
      <c r="Q2962">
        <v>0</v>
      </c>
      <c r="R2962">
        <v>1</v>
      </c>
      <c r="S2962" t="s">
        <v>34</v>
      </c>
      <c r="T2962" t="s">
        <v>4971</v>
      </c>
      <c r="U2962">
        <v>1</v>
      </c>
    </row>
    <row r="2963" spans="1:21" x14ac:dyDescent="0.3">
      <c r="A2963" t="s">
        <v>4966</v>
      </c>
      <c r="B2963" t="s">
        <v>4967</v>
      </c>
      <c r="C2963" t="s">
        <v>3011</v>
      </c>
      <c r="D2963" t="s">
        <v>29</v>
      </c>
      <c r="E2963" t="s">
        <v>30</v>
      </c>
      <c r="F2963" s="6">
        <v>45443</v>
      </c>
      <c r="G2963">
        <v>63</v>
      </c>
      <c r="H2963">
        <v>61</v>
      </c>
      <c r="I2963">
        <v>0.96825396825396826</v>
      </c>
      <c r="J2963">
        <v>0.96825396825396826</v>
      </c>
      <c r="K2963" t="s">
        <v>31</v>
      </c>
      <c r="L2963" t="s">
        <v>31</v>
      </c>
      <c r="M2963">
        <v>2024</v>
      </c>
      <c r="N2963" t="s">
        <v>42</v>
      </c>
      <c r="O2963" t="s">
        <v>71</v>
      </c>
      <c r="P2963">
        <v>0</v>
      </c>
      <c r="Q2963">
        <v>0</v>
      </c>
      <c r="R2963">
        <v>1</v>
      </c>
      <c r="S2963" t="s">
        <v>34</v>
      </c>
      <c r="T2963" t="s">
        <v>4972</v>
      </c>
      <c r="U2963">
        <v>1</v>
      </c>
    </row>
    <row r="2964" spans="1:21" x14ac:dyDescent="0.3">
      <c r="A2964" t="s">
        <v>4966</v>
      </c>
      <c r="B2964" t="s">
        <v>4967</v>
      </c>
      <c r="C2964" t="s">
        <v>3011</v>
      </c>
      <c r="D2964" t="s">
        <v>29</v>
      </c>
      <c r="E2964" t="s">
        <v>30</v>
      </c>
      <c r="F2964" s="6">
        <v>45473</v>
      </c>
      <c r="G2964">
        <v>63</v>
      </c>
      <c r="H2964">
        <v>61</v>
      </c>
      <c r="I2964">
        <v>0.96825396825396826</v>
      </c>
      <c r="J2964">
        <v>0.96825396825396826</v>
      </c>
      <c r="K2964" t="s">
        <v>31</v>
      </c>
      <c r="L2964" t="s">
        <v>31</v>
      </c>
      <c r="M2964">
        <v>2024</v>
      </c>
      <c r="N2964" t="s">
        <v>44</v>
      </c>
      <c r="O2964" t="s">
        <v>71</v>
      </c>
      <c r="P2964">
        <v>0</v>
      </c>
      <c r="Q2964">
        <v>0</v>
      </c>
      <c r="R2964">
        <v>1</v>
      </c>
      <c r="S2964" t="s">
        <v>34</v>
      </c>
      <c r="T2964" t="s">
        <v>4973</v>
      </c>
      <c r="U2964">
        <v>1</v>
      </c>
    </row>
    <row r="2965" spans="1:21" x14ac:dyDescent="0.3">
      <c r="A2965" t="s">
        <v>4966</v>
      </c>
      <c r="B2965" t="s">
        <v>4967</v>
      </c>
      <c r="C2965" t="s">
        <v>3011</v>
      </c>
      <c r="D2965" t="s">
        <v>29</v>
      </c>
      <c r="E2965" t="s">
        <v>30</v>
      </c>
      <c r="F2965" s="6">
        <v>45504</v>
      </c>
      <c r="G2965">
        <v>72</v>
      </c>
      <c r="H2965">
        <v>72</v>
      </c>
      <c r="I2965">
        <v>1</v>
      </c>
      <c r="J2965">
        <v>1</v>
      </c>
      <c r="K2965" t="s">
        <v>31</v>
      </c>
      <c r="L2965" t="s">
        <v>31</v>
      </c>
      <c r="M2965">
        <v>2024</v>
      </c>
      <c r="N2965" t="s">
        <v>46</v>
      </c>
      <c r="O2965" t="s">
        <v>78</v>
      </c>
      <c r="P2965">
        <v>0</v>
      </c>
      <c r="Q2965">
        <v>0</v>
      </c>
      <c r="R2965">
        <v>1</v>
      </c>
      <c r="S2965" t="s">
        <v>34</v>
      </c>
      <c r="T2965" t="s">
        <v>4974</v>
      </c>
      <c r="U2965">
        <v>1</v>
      </c>
    </row>
    <row r="2966" spans="1:21" x14ac:dyDescent="0.3">
      <c r="A2966" t="s">
        <v>4966</v>
      </c>
      <c r="B2966" t="s">
        <v>4967</v>
      </c>
      <c r="C2966" t="s">
        <v>3011</v>
      </c>
      <c r="D2966" t="s">
        <v>29</v>
      </c>
      <c r="E2966" t="s">
        <v>30</v>
      </c>
      <c r="F2966" s="6">
        <v>45535</v>
      </c>
      <c r="G2966">
        <v>81</v>
      </c>
      <c r="H2966">
        <v>78</v>
      </c>
      <c r="I2966">
        <v>0.96296296296296291</v>
      </c>
      <c r="J2966">
        <v>0.96296296296296291</v>
      </c>
      <c r="K2966" t="s">
        <v>31</v>
      </c>
      <c r="L2966" t="s">
        <v>31</v>
      </c>
      <c r="M2966">
        <v>2024</v>
      </c>
      <c r="N2966" t="s">
        <v>49</v>
      </c>
      <c r="O2966" t="s">
        <v>78</v>
      </c>
      <c r="P2966">
        <v>0</v>
      </c>
      <c r="Q2966">
        <v>0</v>
      </c>
      <c r="R2966">
        <v>1</v>
      </c>
      <c r="S2966" t="s">
        <v>34</v>
      </c>
      <c r="T2966" t="s">
        <v>4975</v>
      </c>
      <c r="U2966">
        <v>1</v>
      </c>
    </row>
    <row r="2967" spans="1:21" x14ac:dyDescent="0.3">
      <c r="A2967" t="s">
        <v>4966</v>
      </c>
      <c r="B2967" t="s">
        <v>4967</v>
      </c>
      <c r="C2967" t="s">
        <v>3011</v>
      </c>
      <c r="D2967" t="s">
        <v>29</v>
      </c>
      <c r="E2967" t="s">
        <v>30</v>
      </c>
      <c r="F2967" s="6">
        <v>45565</v>
      </c>
      <c r="G2967">
        <v>85</v>
      </c>
      <c r="H2967">
        <v>82</v>
      </c>
      <c r="I2967">
        <v>0.96470588235294119</v>
      </c>
      <c r="J2967">
        <v>0.96470588235294119</v>
      </c>
      <c r="K2967" t="s">
        <v>31</v>
      </c>
      <c r="L2967" t="s">
        <v>31</v>
      </c>
      <c r="M2967">
        <v>2024</v>
      </c>
      <c r="N2967" t="s">
        <v>51</v>
      </c>
      <c r="O2967" t="s">
        <v>78</v>
      </c>
      <c r="P2967">
        <v>0</v>
      </c>
      <c r="Q2967">
        <v>0</v>
      </c>
      <c r="R2967">
        <v>1</v>
      </c>
      <c r="S2967" t="s">
        <v>34</v>
      </c>
      <c r="T2967" t="s">
        <v>4976</v>
      </c>
      <c r="U2967">
        <v>1</v>
      </c>
    </row>
    <row r="2968" spans="1:21" x14ac:dyDescent="0.3">
      <c r="A2968" t="s">
        <v>4966</v>
      </c>
      <c r="B2968" t="s">
        <v>4967</v>
      </c>
      <c r="C2968" t="s">
        <v>3011</v>
      </c>
      <c r="D2968" t="s">
        <v>29</v>
      </c>
      <c r="E2968" t="s">
        <v>30</v>
      </c>
      <c r="F2968" s="6">
        <v>45596</v>
      </c>
      <c r="G2968">
        <v>85</v>
      </c>
      <c r="H2968">
        <v>81</v>
      </c>
      <c r="I2968">
        <v>0.95294117647058818</v>
      </c>
      <c r="J2968">
        <v>0.95294117647058818</v>
      </c>
      <c r="K2968" t="s">
        <v>31</v>
      </c>
      <c r="L2968" t="s">
        <v>31</v>
      </c>
      <c r="M2968">
        <v>2024</v>
      </c>
      <c r="N2968" t="s">
        <v>53</v>
      </c>
      <c r="O2968" t="s">
        <v>78</v>
      </c>
      <c r="P2968">
        <v>0</v>
      </c>
      <c r="Q2968">
        <v>0</v>
      </c>
      <c r="R2968">
        <v>1</v>
      </c>
      <c r="S2968" t="s">
        <v>34</v>
      </c>
      <c r="T2968" t="s">
        <v>4977</v>
      </c>
      <c r="U2968">
        <v>1</v>
      </c>
    </row>
    <row r="2969" spans="1:21" x14ac:dyDescent="0.3">
      <c r="A2969" t="s">
        <v>4966</v>
      </c>
      <c r="B2969" t="s">
        <v>4967</v>
      </c>
      <c r="C2969" t="s">
        <v>3011</v>
      </c>
      <c r="D2969" t="s">
        <v>29</v>
      </c>
      <c r="E2969" t="s">
        <v>30</v>
      </c>
      <c r="F2969" s="6">
        <v>45626</v>
      </c>
      <c r="G2969">
        <v>100</v>
      </c>
      <c r="H2969">
        <v>99</v>
      </c>
      <c r="I2969">
        <v>0.99</v>
      </c>
      <c r="J2969">
        <v>0.99</v>
      </c>
      <c r="K2969" t="s">
        <v>31</v>
      </c>
      <c r="L2969" t="s">
        <v>31</v>
      </c>
      <c r="M2969">
        <v>2024</v>
      </c>
      <c r="N2969" t="s">
        <v>55</v>
      </c>
      <c r="O2969" t="s">
        <v>78</v>
      </c>
      <c r="P2969">
        <v>0</v>
      </c>
      <c r="Q2969">
        <v>0</v>
      </c>
      <c r="R2969">
        <v>1</v>
      </c>
      <c r="S2969" t="s">
        <v>34</v>
      </c>
      <c r="T2969" t="s">
        <v>4978</v>
      </c>
      <c r="U2969">
        <v>1</v>
      </c>
    </row>
    <row r="2970" spans="1:21" x14ac:dyDescent="0.3">
      <c r="A2970" t="s">
        <v>4966</v>
      </c>
      <c r="B2970" t="s">
        <v>4967</v>
      </c>
      <c r="C2970" t="s">
        <v>3011</v>
      </c>
      <c r="D2970" t="s">
        <v>29</v>
      </c>
      <c r="E2970" t="s">
        <v>30</v>
      </c>
      <c r="F2970" s="6">
        <v>45657</v>
      </c>
      <c r="G2970">
        <v>100</v>
      </c>
      <c r="H2970">
        <v>100</v>
      </c>
      <c r="I2970">
        <v>1</v>
      </c>
      <c r="J2970">
        <v>1</v>
      </c>
      <c r="K2970" t="s">
        <v>31</v>
      </c>
      <c r="L2970" t="s">
        <v>31</v>
      </c>
      <c r="M2970">
        <v>2024</v>
      </c>
      <c r="N2970" t="s">
        <v>57</v>
      </c>
      <c r="O2970" t="s">
        <v>78</v>
      </c>
      <c r="P2970">
        <v>0</v>
      </c>
      <c r="Q2970">
        <v>0</v>
      </c>
      <c r="R2970">
        <v>1</v>
      </c>
      <c r="S2970" t="s">
        <v>34</v>
      </c>
      <c r="T2970" t="s">
        <v>4979</v>
      </c>
      <c r="U2970">
        <v>1</v>
      </c>
    </row>
    <row r="2971" spans="1:21" x14ac:dyDescent="0.3">
      <c r="A2971" t="s">
        <v>4980</v>
      </c>
      <c r="B2971" t="s">
        <v>4981</v>
      </c>
      <c r="C2971" t="s">
        <v>3011</v>
      </c>
      <c r="D2971" t="s">
        <v>29</v>
      </c>
      <c r="E2971" t="s">
        <v>30</v>
      </c>
      <c r="F2971" s="6">
        <v>45322</v>
      </c>
      <c r="G2971">
        <v>44</v>
      </c>
      <c r="H2971">
        <v>33</v>
      </c>
      <c r="I2971">
        <v>0.75</v>
      </c>
      <c r="J2971">
        <v>0.75</v>
      </c>
      <c r="K2971" t="s">
        <v>31</v>
      </c>
      <c r="L2971" t="s">
        <v>31</v>
      </c>
      <c r="M2971">
        <v>2024</v>
      </c>
      <c r="N2971" t="s">
        <v>32</v>
      </c>
      <c r="O2971" t="s">
        <v>71</v>
      </c>
      <c r="P2971">
        <v>0</v>
      </c>
      <c r="Q2971">
        <v>0</v>
      </c>
      <c r="R2971">
        <v>1</v>
      </c>
      <c r="S2971" t="s">
        <v>34</v>
      </c>
      <c r="T2971" t="s">
        <v>4982</v>
      </c>
      <c r="U2971">
        <v>1</v>
      </c>
    </row>
    <row r="2972" spans="1:21" x14ac:dyDescent="0.3">
      <c r="A2972" t="s">
        <v>4980</v>
      </c>
      <c r="B2972" t="s">
        <v>4981</v>
      </c>
      <c r="C2972" t="s">
        <v>3011</v>
      </c>
      <c r="D2972" t="s">
        <v>29</v>
      </c>
      <c r="E2972" t="s">
        <v>30</v>
      </c>
      <c r="F2972" s="6">
        <v>45351</v>
      </c>
      <c r="G2972">
        <v>44</v>
      </c>
      <c r="H2972">
        <v>33</v>
      </c>
      <c r="I2972">
        <v>0.75</v>
      </c>
      <c r="J2972">
        <v>0.75</v>
      </c>
      <c r="K2972" t="s">
        <v>31</v>
      </c>
      <c r="L2972" t="s">
        <v>31</v>
      </c>
      <c r="M2972">
        <v>2024</v>
      </c>
      <c r="N2972" t="s">
        <v>36</v>
      </c>
      <c r="O2972" t="s">
        <v>71</v>
      </c>
      <c r="P2972">
        <v>0</v>
      </c>
      <c r="Q2972">
        <v>0</v>
      </c>
      <c r="R2972">
        <v>1</v>
      </c>
      <c r="S2972" t="s">
        <v>34</v>
      </c>
      <c r="T2972" t="s">
        <v>4983</v>
      </c>
      <c r="U2972">
        <v>1</v>
      </c>
    </row>
    <row r="2973" spans="1:21" x14ac:dyDescent="0.3">
      <c r="A2973" t="s">
        <v>4980</v>
      </c>
      <c r="B2973" t="s">
        <v>4981</v>
      </c>
      <c r="C2973" t="s">
        <v>3011</v>
      </c>
      <c r="D2973" t="s">
        <v>29</v>
      </c>
      <c r="E2973" t="s">
        <v>30</v>
      </c>
      <c r="F2973" s="6">
        <v>45382</v>
      </c>
      <c r="G2973">
        <v>68</v>
      </c>
      <c r="H2973">
        <v>57</v>
      </c>
      <c r="I2973">
        <v>0.83823529411764708</v>
      </c>
      <c r="J2973">
        <v>0.83823529411764708</v>
      </c>
      <c r="K2973" t="s">
        <v>31</v>
      </c>
      <c r="L2973" t="s">
        <v>31</v>
      </c>
      <c r="M2973">
        <v>2024</v>
      </c>
      <c r="N2973" t="s">
        <v>38</v>
      </c>
      <c r="O2973" t="s">
        <v>71</v>
      </c>
      <c r="P2973">
        <v>0</v>
      </c>
      <c r="Q2973">
        <v>0</v>
      </c>
      <c r="R2973">
        <v>1</v>
      </c>
      <c r="S2973" t="s">
        <v>34</v>
      </c>
      <c r="T2973" t="s">
        <v>4984</v>
      </c>
      <c r="U2973">
        <v>1</v>
      </c>
    </row>
    <row r="2974" spans="1:21" x14ac:dyDescent="0.3">
      <c r="A2974" t="s">
        <v>4980</v>
      </c>
      <c r="B2974" t="s">
        <v>4981</v>
      </c>
      <c r="C2974" t="s">
        <v>3011</v>
      </c>
      <c r="D2974" t="s">
        <v>29</v>
      </c>
      <c r="E2974" t="s">
        <v>30</v>
      </c>
      <c r="F2974" s="6">
        <v>45412</v>
      </c>
      <c r="G2974">
        <v>44</v>
      </c>
      <c r="H2974">
        <v>33</v>
      </c>
      <c r="I2974">
        <v>0.75</v>
      </c>
      <c r="J2974">
        <v>0.75</v>
      </c>
      <c r="K2974" t="s">
        <v>31</v>
      </c>
      <c r="L2974" t="s">
        <v>31</v>
      </c>
      <c r="M2974">
        <v>2024</v>
      </c>
      <c r="N2974" t="s">
        <v>40</v>
      </c>
      <c r="O2974" t="s">
        <v>71</v>
      </c>
      <c r="P2974">
        <v>0</v>
      </c>
      <c r="Q2974">
        <v>0</v>
      </c>
      <c r="R2974">
        <v>1</v>
      </c>
      <c r="S2974" t="s">
        <v>34</v>
      </c>
      <c r="T2974" t="s">
        <v>4985</v>
      </c>
      <c r="U2974">
        <v>1</v>
      </c>
    </row>
    <row r="2975" spans="1:21" x14ac:dyDescent="0.3">
      <c r="A2975" t="s">
        <v>4980</v>
      </c>
      <c r="B2975" t="s">
        <v>4981</v>
      </c>
      <c r="C2975" t="s">
        <v>3011</v>
      </c>
      <c r="D2975" t="s">
        <v>29</v>
      </c>
      <c r="E2975" t="s">
        <v>30</v>
      </c>
      <c r="F2975" s="6">
        <v>45443</v>
      </c>
      <c r="G2975">
        <v>44</v>
      </c>
      <c r="H2975">
        <v>35</v>
      </c>
      <c r="I2975">
        <v>0.79545454545454541</v>
      </c>
      <c r="J2975">
        <v>0.79545454545454541</v>
      </c>
      <c r="K2975" t="s">
        <v>31</v>
      </c>
      <c r="L2975" t="s">
        <v>31</v>
      </c>
      <c r="M2975">
        <v>2024</v>
      </c>
      <c r="N2975" t="s">
        <v>42</v>
      </c>
      <c r="O2975" t="s">
        <v>71</v>
      </c>
      <c r="P2975">
        <v>0</v>
      </c>
      <c r="Q2975">
        <v>0</v>
      </c>
      <c r="R2975">
        <v>1</v>
      </c>
      <c r="S2975" t="s">
        <v>34</v>
      </c>
      <c r="T2975" t="s">
        <v>4986</v>
      </c>
      <c r="U2975">
        <v>1</v>
      </c>
    </row>
    <row r="2976" spans="1:21" x14ac:dyDescent="0.3">
      <c r="A2976" t="s">
        <v>4980</v>
      </c>
      <c r="B2976" t="s">
        <v>4981</v>
      </c>
      <c r="C2976" t="s">
        <v>3011</v>
      </c>
      <c r="D2976" t="s">
        <v>29</v>
      </c>
      <c r="E2976" t="s">
        <v>30</v>
      </c>
      <c r="F2976" s="6">
        <v>45473</v>
      </c>
      <c r="G2976">
        <v>68</v>
      </c>
      <c r="H2976">
        <v>57</v>
      </c>
      <c r="I2976">
        <v>0.83823529411764708</v>
      </c>
      <c r="J2976">
        <v>0.83823529411764708</v>
      </c>
      <c r="K2976" t="s">
        <v>31</v>
      </c>
      <c r="L2976" t="s">
        <v>31</v>
      </c>
      <c r="M2976">
        <v>2024</v>
      </c>
      <c r="N2976" t="s">
        <v>44</v>
      </c>
      <c r="O2976" t="s">
        <v>71</v>
      </c>
      <c r="P2976">
        <v>0</v>
      </c>
      <c r="Q2976">
        <v>0</v>
      </c>
      <c r="R2976">
        <v>1</v>
      </c>
      <c r="S2976" t="s">
        <v>34</v>
      </c>
      <c r="T2976" t="s">
        <v>4987</v>
      </c>
      <c r="U2976">
        <v>1</v>
      </c>
    </row>
    <row r="2977" spans="1:21" x14ac:dyDescent="0.3">
      <c r="A2977" t="s">
        <v>4980</v>
      </c>
      <c r="B2977" t="s">
        <v>4981</v>
      </c>
      <c r="C2977" t="s">
        <v>3011</v>
      </c>
      <c r="D2977" t="s">
        <v>29</v>
      </c>
      <c r="E2977" t="s">
        <v>30</v>
      </c>
      <c r="F2977" s="6">
        <v>45504</v>
      </c>
      <c r="G2977">
        <v>77</v>
      </c>
      <c r="H2977">
        <v>68</v>
      </c>
      <c r="I2977">
        <v>0.88311688311688308</v>
      </c>
      <c r="J2977">
        <v>0.88311688311688308</v>
      </c>
      <c r="K2977" t="s">
        <v>31</v>
      </c>
      <c r="L2977" t="s">
        <v>31</v>
      </c>
      <c r="M2977">
        <v>2024</v>
      </c>
      <c r="N2977" t="s">
        <v>46</v>
      </c>
      <c r="O2977" t="s">
        <v>78</v>
      </c>
      <c r="P2977">
        <v>0</v>
      </c>
      <c r="Q2977">
        <v>0</v>
      </c>
      <c r="R2977">
        <v>1</v>
      </c>
      <c r="S2977" t="s">
        <v>34</v>
      </c>
      <c r="T2977" t="s">
        <v>4988</v>
      </c>
      <c r="U2977">
        <v>1</v>
      </c>
    </row>
    <row r="2978" spans="1:21" x14ac:dyDescent="0.3">
      <c r="A2978" t="s">
        <v>4980</v>
      </c>
      <c r="B2978" t="s">
        <v>4981</v>
      </c>
      <c r="C2978" t="s">
        <v>3011</v>
      </c>
      <c r="D2978" t="s">
        <v>29</v>
      </c>
      <c r="E2978" t="s">
        <v>30</v>
      </c>
      <c r="F2978" s="6">
        <v>45535</v>
      </c>
      <c r="G2978">
        <v>77</v>
      </c>
      <c r="H2978">
        <v>68</v>
      </c>
      <c r="I2978">
        <v>0.88311688311688308</v>
      </c>
      <c r="J2978">
        <v>0.88311688311688308</v>
      </c>
      <c r="K2978" t="s">
        <v>31</v>
      </c>
      <c r="L2978" t="s">
        <v>31</v>
      </c>
      <c r="M2978">
        <v>2024</v>
      </c>
      <c r="N2978" t="s">
        <v>49</v>
      </c>
      <c r="O2978" t="s">
        <v>78</v>
      </c>
      <c r="P2978">
        <v>0</v>
      </c>
      <c r="Q2978">
        <v>0</v>
      </c>
      <c r="R2978">
        <v>1</v>
      </c>
      <c r="S2978" t="s">
        <v>34</v>
      </c>
      <c r="T2978" t="s">
        <v>4989</v>
      </c>
      <c r="U2978">
        <v>1</v>
      </c>
    </row>
    <row r="2979" spans="1:21" x14ac:dyDescent="0.3">
      <c r="A2979" t="s">
        <v>4980</v>
      </c>
      <c r="B2979" t="s">
        <v>4981</v>
      </c>
      <c r="C2979" t="s">
        <v>3011</v>
      </c>
      <c r="D2979" t="s">
        <v>29</v>
      </c>
      <c r="E2979" t="s">
        <v>30</v>
      </c>
      <c r="F2979" s="6">
        <v>45565</v>
      </c>
      <c r="G2979">
        <v>95</v>
      </c>
      <c r="H2979">
        <v>78</v>
      </c>
      <c r="I2979">
        <v>0.82105263157894737</v>
      </c>
      <c r="J2979">
        <v>0.82105263157894737</v>
      </c>
      <c r="K2979" t="s">
        <v>31</v>
      </c>
      <c r="L2979" t="s">
        <v>31</v>
      </c>
      <c r="M2979">
        <v>2024</v>
      </c>
      <c r="N2979" t="s">
        <v>51</v>
      </c>
      <c r="O2979" t="s">
        <v>78</v>
      </c>
      <c r="P2979">
        <v>0</v>
      </c>
      <c r="Q2979">
        <v>0</v>
      </c>
      <c r="R2979">
        <v>1</v>
      </c>
      <c r="S2979" t="s">
        <v>34</v>
      </c>
      <c r="T2979" t="s">
        <v>4990</v>
      </c>
      <c r="U2979">
        <v>1</v>
      </c>
    </row>
    <row r="2980" spans="1:21" x14ac:dyDescent="0.3">
      <c r="A2980" t="s">
        <v>4980</v>
      </c>
      <c r="B2980" t="s">
        <v>4981</v>
      </c>
      <c r="C2980" t="s">
        <v>3011</v>
      </c>
      <c r="D2980" t="s">
        <v>29</v>
      </c>
      <c r="E2980" t="s">
        <v>30</v>
      </c>
      <c r="F2980" s="6">
        <v>45596</v>
      </c>
      <c r="G2980">
        <v>99</v>
      </c>
      <c r="H2980">
        <v>97</v>
      </c>
      <c r="I2980">
        <v>0.97979797979797978</v>
      </c>
      <c r="J2980">
        <v>0.97979797979797978</v>
      </c>
      <c r="K2980" t="s">
        <v>31</v>
      </c>
      <c r="L2980" t="s">
        <v>31</v>
      </c>
      <c r="M2980">
        <v>2024</v>
      </c>
      <c r="N2980" t="s">
        <v>53</v>
      </c>
      <c r="O2980" t="s">
        <v>78</v>
      </c>
      <c r="P2980">
        <v>0</v>
      </c>
      <c r="Q2980">
        <v>0</v>
      </c>
      <c r="R2980">
        <v>1</v>
      </c>
      <c r="S2980" t="s">
        <v>34</v>
      </c>
      <c r="T2980" t="s">
        <v>4991</v>
      </c>
      <c r="U2980">
        <v>1</v>
      </c>
    </row>
    <row r="2981" spans="1:21" x14ac:dyDescent="0.3">
      <c r="A2981" t="s">
        <v>4980</v>
      </c>
      <c r="B2981" t="s">
        <v>4981</v>
      </c>
      <c r="C2981" t="s">
        <v>3011</v>
      </c>
      <c r="D2981" t="s">
        <v>29</v>
      </c>
      <c r="E2981" t="s">
        <v>30</v>
      </c>
      <c r="F2981" s="6">
        <v>45626</v>
      </c>
      <c r="G2981">
        <v>100</v>
      </c>
      <c r="H2981">
        <v>99</v>
      </c>
      <c r="I2981">
        <v>0.99</v>
      </c>
      <c r="J2981">
        <v>0.99</v>
      </c>
      <c r="K2981" t="s">
        <v>31</v>
      </c>
      <c r="L2981" t="s">
        <v>31</v>
      </c>
      <c r="M2981">
        <v>2024</v>
      </c>
      <c r="N2981" t="s">
        <v>55</v>
      </c>
      <c r="O2981" t="s">
        <v>78</v>
      </c>
      <c r="P2981">
        <v>0</v>
      </c>
      <c r="Q2981">
        <v>0</v>
      </c>
      <c r="R2981">
        <v>1</v>
      </c>
      <c r="S2981" t="s">
        <v>34</v>
      </c>
      <c r="T2981" t="s">
        <v>4992</v>
      </c>
      <c r="U2981">
        <v>1</v>
      </c>
    </row>
    <row r="2982" spans="1:21" x14ac:dyDescent="0.3">
      <c r="A2982" t="s">
        <v>4980</v>
      </c>
      <c r="B2982" t="s">
        <v>4981</v>
      </c>
      <c r="C2982" t="s">
        <v>3011</v>
      </c>
      <c r="D2982" t="s">
        <v>29</v>
      </c>
      <c r="E2982" t="s">
        <v>30</v>
      </c>
      <c r="F2982" s="6">
        <v>45657</v>
      </c>
      <c r="G2982">
        <v>100</v>
      </c>
      <c r="H2982">
        <v>100</v>
      </c>
      <c r="I2982">
        <v>1</v>
      </c>
      <c r="J2982">
        <v>1</v>
      </c>
      <c r="K2982" t="s">
        <v>31</v>
      </c>
      <c r="L2982" t="s">
        <v>31</v>
      </c>
      <c r="M2982">
        <v>2024</v>
      </c>
      <c r="N2982" t="s">
        <v>57</v>
      </c>
      <c r="O2982" t="s">
        <v>78</v>
      </c>
      <c r="P2982">
        <v>0</v>
      </c>
      <c r="Q2982">
        <v>0</v>
      </c>
      <c r="R2982">
        <v>1</v>
      </c>
      <c r="S2982" t="s">
        <v>34</v>
      </c>
      <c r="T2982" t="s">
        <v>4993</v>
      </c>
      <c r="U2982">
        <v>1</v>
      </c>
    </row>
    <row r="2983" spans="1:21" x14ac:dyDescent="0.3">
      <c r="A2983" t="s">
        <v>4994</v>
      </c>
      <c r="B2983" t="s">
        <v>4995</v>
      </c>
      <c r="C2983" t="s">
        <v>3011</v>
      </c>
      <c r="D2983" t="s">
        <v>29</v>
      </c>
      <c r="E2983" t="s">
        <v>30</v>
      </c>
      <c r="F2983" s="6">
        <v>45412</v>
      </c>
      <c r="G2983">
        <v>12</v>
      </c>
      <c r="H2983">
        <v>12</v>
      </c>
      <c r="I2983">
        <v>1</v>
      </c>
      <c r="J2983">
        <v>1</v>
      </c>
      <c r="K2983" t="s">
        <v>31</v>
      </c>
      <c r="L2983" t="s">
        <v>31</v>
      </c>
      <c r="M2983">
        <v>2024</v>
      </c>
      <c r="N2983" t="s">
        <v>40</v>
      </c>
      <c r="O2983" t="s">
        <v>71</v>
      </c>
      <c r="P2983">
        <v>0</v>
      </c>
      <c r="Q2983">
        <v>0</v>
      </c>
      <c r="R2983">
        <v>1</v>
      </c>
      <c r="S2983" t="s">
        <v>34</v>
      </c>
      <c r="T2983" t="s">
        <v>4996</v>
      </c>
      <c r="U2983">
        <v>1</v>
      </c>
    </row>
    <row r="2984" spans="1:21" x14ac:dyDescent="0.3">
      <c r="A2984" t="s">
        <v>4994</v>
      </c>
      <c r="B2984" t="s">
        <v>4995</v>
      </c>
      <c r="C2984" t="s">
        <v>3011</v>
      </c>
      <c r="D2984" t="s">
        <v>29</v>
      </c>
      <c r="E2984" t="s">
        <v>30</v>
      </c>
      <c r="F2984" s="6">
        <v>45443</v>
      </c>
      <c r="G2984">
        <v>12</v>
      </c>
      <c r="H2984">
        <v>25</v>
      </c>
      <c r="I2984">
        <v>1.3</v>
      </c>
      <c r="J2984">
        <v>2.083333333333333</v>
      </c>
      <c r="K2984" t="s">
        <v>31</v>
      </c>
      <c r="L2984" t="s">
        <v>31</v>
      </c>
      <c r="M2984">
        <v>2024</v>
      </c>
      <c r="N2984" t="s">
        <v>42</v>
      </c>
      <c r="O2984" t="s">
        <v>71</v>
      </c>
      <c r="P2984">
        <v>0</v>
      </c>
      <c r="Q2984">
        <v>0</v>
      </c>
      <c r="R2984">
        <v>1</v>
      </c>
      <c r="S2984" t="s">
        <v>34</v>
      </c>
      <c r="T2984" t="s">
        <v>4997</v>
      </c>
      <c r="U2984">
        <v>1</v>
      </c>
    </row>
    <row r="2985" spans="1:21" x14ac:dyDescent="0.3">
      <c r="A2985" t="s">
        <v>4994</v>
      </c>
      <c r="B2985" t="s">
        <v>4995</v>
      </c>
      <c r="C2985" t="s">
        <v>3011</v>
      </c>
      <c r="D2985" t="s">
        <v>29</v>
      </c>
      <c r="E2985" t="s">
        <v>30</v>
      </c>
      <c r="F2985" s="6">
        <v>45473</v>
      </c>
      <c r="G2985">
        <v>12</v>
      </c>
      <c r="H2985">
        <v>52</v>
      </c>
      <c r="I2985">
        <v>1.3</v>
      </c>
      <c r="J2985">
        <v>4.333333333333333</v>
      </c>
      <c r="K2985" t="s">
        <v>31</v>
      </c>
      <c r="L2985" t="s">
        <v>31</v>
      </c>
      <c r="M2985">
        <v>2024</v>
      </c>
      <c r="N2985" t="s">
        <v>44</v>
      </c>
      <c r="O2985" t="s">
        <v>71</v>
      </c>
      <c r="P2985">
        <v>0</v>
      </c>
      <c r="Q2985">
        <v>0</v>
      </c>
      <c r="R2985">
        <v>1</v>
      </c>
      <c r="S2985" t="s">
        <v>34</v>
      </c>
      <c r="T2985" t="s">
        <v>4998</v>
      </c>
      <c r="U2985">
        <v>1</v>
      </c>
    </row>
    <row r="2986" spans="1:21" x14ac:dyDescent="0.3">
      <c r="A2986" t="s">
        <v>4994</v>
      </c>
      <c r="B2986" t="s">
        <v>4995</v>
      </c>
      <c r="C2986" t="s">
        <v>3011</v>
      </c>
      <c r="D2986" t="s">
        <v>29</v>
      </c>
      <c r="E2986" t="s">
        <v>30</v>
      </c>
      <c r="F2986" s="6">
        <v>45535</v>
      </c>
      <c r="G2986">
        <v>54</v>
      </c>
      <c r="H2986">
        <v>53</v>
      </c>
      <c r="I2986">
        <v>0.98148148148148151</v>
      </c>
      <c r="J2986">
        <v>0.98148148148148151</v>
      </c>
      <c r="K2986" t="s">
        <v>31</v>
      </c>
      <c r="L2986" t="s">
        <v>31</v>
      </c>
      <c r="M2986">
        <v>2024</v>
      </c>
      <c r="N2986" t="s">
        <v>49</v>
      </c>
      <c r="O2986" t="s">
        <v>78</v>
      </c>
      <c r="P2986">
        <v>0</v>
      </c>
      <c r="Q2986">
        <v>0</v>
      </c>
      <c r="R2986">
        <v>1</v>
      </c>
      <c r="S2986" t="s">
        <v>34</v>
      </c>
      <c r="T2986" t="s">
        <v>4999</v>
      </c>
      <c r="U2986">
        <v>1</v>
      </c>
    </row>
    <row r="2987" spans="1:21" x14ac:dyDescent="0.3">
      <c r="A2987" t="s">
        <v>4994</v>
      </c>
      <c r="B2987" t="s">
        <v>4995</v>
      </c>
      <c r="C2987" t="s">
        <v>3011</v>
      </c>
      <c r="D2987" t="s">
        <v>29</v>
      </c>
      <c r="E2987" t="s">
        <v>30</v>
      </c>
      <c r="F2987" s="6">
        <v>45565</v>
      </c>
      <c r="G2987">
        <v>69</v>
      </c>
      <c r="H2987">
        <v>71</v>
      </c>
      <c r="I2987">
        <v>1.0289855072463769</v>
      </c>
      <c r="J2987">
        <v>1.0289855072463769</v>
      </c>
      <c r="K2987" t="s">
        <v>31</v>
      </c>
      <c r="L2987" t="s">
        <v>31</v>
      </c>
      <c r="M2987">
        <v>2024</v>
      </c>
      <c r="N2987" t="s">
        <v>51</v>
      </c>
      <c r="O2987" t="s">
        <v>78</v>
      </c>
      <c r="P2987">
        <v>0</v>
      </c>
      <c r="Q2987">
        <v>0</v>
      </c>
      <c r="R2987">
        <v>1</v>
      </c>
      <c r="S2987" t="s">
        <v>34</v>
      </c>
      <c r="T2987" t="s">
        <v>5000</v>
      </c>
      <c r="U2987">
        <v>1</v>
      </c>
    </row>
    <row r="2988" spans="1:21" x14ac:dyDescent="0.3">
      <c r="A2988" t="s">
        <v>4994</v>
      </c>
      <c r="B2988" t="s">
        <v>4995</v>
      </c>
      <c r="C2988" t="s">
        <v>3011</v>
      </c>
      <c r="D2988" t="s">
        <v>29</v>
      </c>
      <c r="E2988" t="s">
        <v>30</v>
      </c>
      <c r="F2988" s="6">
        <v>45596</v>
      </c>
      <c r="G2988">
        <v>89</v>
      </c>
      <c r="H2988">
        <v>83</v>
      </c>
      <c r="I2988">
        <v>0.93258426966292129</v>
      </c>
      <c r="J2988">
        <v>0.93258426966292129</v>
      </c>
      <c r="K2988" t="s">
        <v>31</v>
      </c>
      <c r="L2988" t="s">
        <v>31</v>
      </c>
      <c r="M2988">
        <v>2024</v>
      </c>
      <c r="N2988" t="s">
        <v>53</v>
      </c>
      <c r="O2988" t="s">
        <v>78</v>
      </c>
      <c r="P2988">
        <v>0</v>
      </c>
      <c r="Q2988">
        <v>0</v>
      </c>
      <c r="R2988">
        <v>1</v>
      </c>
      <c r="S2988" t="s">
        <v>34</v>
      </c>
      <c r="T2988" t="s">
        <v>5001</v>
      </c>
      <c r="U2988">
        <v>1</v>
      </c>
    </row>
    <row r="2989" spans="1:21" x14ac:dyDescent="0.3">
      <c r="A2989" t="s">
        <v>4994</v>
      </c>
      <c r="B2989" t="s">
        <v>4995</v>
      </c>
      <c r="C2989" t="s">
        <v>3011</v>
      </c>
      <c r="D2989" t="s">
        <v>29</v>
      </c>
      <c r="E2989" t="s">
        <v>30</v>
      </c>
      <c r="F2989" s="6">
        <v>45626</v>
      </c>
      <c r="G2989">
        <v>89</v>
      </c>
      <c r="H2989">
        <v>83</v>
      </c>
      <c r="I2989">
        <v>0.93258426966292129</v>
      </c>
      <c r="J2989">
        <v>0.93258426966292129</v>
      </c>
      <c r="K2989" t="s">
        <v>31</v>
      </c>
      <c r="L2989" t="s">
        <v>31</v>
      </c>
      <c r="M2989">
        <v>2024</v>
      </c>
      <c r="N2989" t="s">
        <v>55</v>
      </c>
      <c r="O2989" t="s">
        <v>78</v>
      </c>
      <c r="P2989">
        <v>0</v>
      </c>
      <c r="Q2989">
        <v>0</v>
      </c>
      <c r="R2989">
        <v>1</v>
      </c>
      <c r="S2989" t="s">
        <v>34</v>
      </c>
      <c r="T2989" t="s">
        <v>5002</v>
      </c>
      <c r="U2989">
        <v>1</v>
      </c>
    </row>
    <row r="2990" spans="1:21" x14ac:dyDescent="0.3">
      <c r="A2990" t="s">
        <v>4994</v>
      </c>
      <c r="B2990" t="s">
        <v>4995</v>
      </c>
      <c r="C2990" t="s">
        <v>3011</v>
      </c>
      <c r="D2990" t="s">
        <v>29</v>
      </c>
      <c r="E2990" t="s">
        <v>30</v>
      </c>
      <c r="F2990" s="6">
        <v>45657</v>
      </c>
      <c r="G2990">
        <v>100</v>
      </c>
      <c r="H2990">
        <v>100</v>
      </c>
      <c r="I2990">
        <v>1</v>
      </c>
      <c r="J2990">
        <v>1</v>
      </c>
      <c r="K2990" t="s">
        <v>31</v>
      </c>
      <c r="L2990" t="s">
        <v>31</v>
      </c>
      <c r="M2990">
        <v>2024</v>
      </c>
      <c r="N2990" t="s">
        <v>57</v>
      </c>
      <c r="O2990" t="s">
        <v>78</v>
      </c>
      <c r="P2990">
        <v>0</v>
      </c>
      <c r="Q2990">
        <v>0</v>
      </c>
      <c r="R2990">
        <v>1</v>
      </c>
      <c r="S2990" t="s">
        <v>34</v>
      </c>
      <c r="T2990" t="s">
        <v>5003</v>
      </c>
      <c r="U2990">
        <v>1</v>
      </c>
    </row>
    <row r="2991" spans="1:21" x14ac:dyDescent="0.3">
      <c r="A2991" t="s">
        <v>5004</v>
      </c>
      <c r="B2991" t="s">
        <v>5005</v>
      </c>
      <c r="C2991" t="s">
        <v>3437</v>
      </c>
      <c r="D2991" t="s">
        <v>29</v>
      </c>
      <c r="E2991" t="s">
        <v>30</v>
      </c>
      <c r="F2991" s="6">
        <v>45473</v>
      </c>
      <c r="G2991">
        <v>20</v>
      </c>
      <c r="H2991">
        <v>20</v>
      </c>
      <c r="I2991">
        <v>1</v>
      </c>
      <c r="J2991">
        <v>1</v>
      </c>
      <c r="K2991" t="s">
        <v>31</v>
      </c>
      <c r="L2991" t="s">
        <v>31</v>
      </c>
      <c r="M2991">
        <v>2024</v>
      </c>
      <c r="N2991" t="s">
        <v>44</v>
      </c>
      <c r="O2991" t="s">
        <v>71</v>
      </c>
      <c r="P2991">
        <v>0</v>
      </c>
      <c r="Q2991">
        <v>0</v>
      </c>
      <c r="R2991">
        <v>1</v>
      </c>
      <c r="S2991" t="s">
        <v>718</v>
      </c>
      <c r="T2991" t="s">
        <v>5006</v>
      </c>
      <c r="U2991">
        <v>1</v>
      </c>
    </row>
    <row r="2992" spans="1:21" x14ac:dyDescent="0.3">
      <c r="A2992" t="s">
        <v>5004</v>
      </c>
      <c r="B2992" t="s">
        <v>5005</v>
      </c>
      <c r="C2992" t="s">
        <v>3437</v>
      </c>
      <c r="D2992" t="s">
        <v>29</v>
      </c>
      <c r="E2992" t="s">
        <v>30</v>
      </c>
      <c r="F2992" s="6">
        <v>45504</v>
      </c>
      <c r="G2992">
        <v>20</v>
      </c>
      <c r="H2992">
        <v>20</v>
      </c>
      <c r="I2992">
        <v>1</v>
      </c>
      <c r="J2992">
        <v>1</v>
      </c>
      <c r="K2992" t="s">
        <v>31</v>
      </c>
      <c r="L2992" t="s">
        <v>31</v>
      </c>
      <c r="M2992">
        <v>2024</v>
      </c>
      <c r="N2992" t="s">
        <v>46</v>
      </c>
      <c r="O2992" t="s">
        <v>78</v>
      </c>
      <c r="P2992">
        <v>0</v>
      </c>
      <c r="Q2992">
        <v>0</v>
      </c>
      <c r="R2992">
        <v>1</v>
      </c>
      <c r="S2992" t="s">
        <v>718</v>
      </c>
      <c r="T2992" t="s">
        <v>5007</v>
      </c>
      <c r="U2992">
        <v>1</v>
      </c>
    </row>
    <row r="2993" spans="1:21" x14ac:dyDescent="0.3">
      <c r="A2993" t="s">
        <v>5004</v>
      </c>
      <c r="B2993" t="s">
        <v>5005</v>
      </c>
      <c r="C2993" t="s">
        <v>3437</v>
      </c>
      <c r="D2993" t="s">
        <v>29</v>
      </c>
      <c r="E2993" t="s">
        <v>30</v>
      </c>
      <c r="F2993" s="6">
        <v>45535</v>
      </c>
      <c r="G2993">
        <v>67</v>
      </c>
      <c r="H2993">
        <v>64</v>
      </c>
      <c r="I2993">
        <v>0.95522388059701491</v>
      </c>
      <c r="J2993">
        <v>0.95522388059701491</v>
      </c>
      <c r="K2993" t="s">
        <v>31</v>
      </c>
      <c r="L2993" t="s">
        <v>31</v>
      </c>
      <c r="M2993">
        <v>2024</v>
      </c>
      <c r="N2993" t="s">
        <v>49</v>
      </c>
      <c r="O2993" t="s">
        <v>78</v>
      </c>
      <c r="P2993">
        <v>0</v>
      </c>
      <c r="Q2993">
        <v>0</v>
      </c>
      <c r="R2993">
        <v>1</v>
      </c>
      <c r="S2993" t="s">
        <v>718</v>
      </c>
      <c r="T2993" t="s">
        <v>5008</v>
      </c>
      <c r="U2993">
        <v>1</v>
      </c>
    </row>
    <row r="2994" spans="1:21" x14ac:dyDescent="0.3">
      <c r="A2994" t="s">
        <v>5004</v>
      </c>
      <c r="B2994" t="s">
        <v>5005</v>
      </c>
      <c r="C2994" t="s">
        <v>3437</v>
      </c>
      <c r="D2994" t="s">
        <v>29</v>
      </c>
      <c r="E2994" t="s">
        <v>30</v>
      </c>
      <c r="F2994" s="6">
        <v>45565</v>
      </c>
      <c r="G2994">
        <v>84</v>
      </c>
      <c r="H2994">
        <v>84</v>
      </c>
      <c r="I2994">
        <v>1</v>
      </c>
      <c r="J2994">
        <v>1</v>
      </c>
      <c r="K2994" t="s">
        <v>31</v>
      </c>
      <c r="L2994" t="s">
        <v>31</v>
      </c>
      <c r="M2994">
        <v>2024</v>
      </c>
      <c r="N2994" t="s">
        <v>51</v>
      </c>
      <c r="O2994" t="s">
        <v>78</v>
      </c>
      <c r="P2994">
        <v>0</v>
      </c>
      <c r="Q2994">
        <v>0</v>
      </c>
      <c r="R2994">
        <v>1</v>
      </c>
      <c r="S2994" t="s">
        <v>718</v>
      </c>
      <c r="T2994" t="s">
        <v>5009</v>
      </c>
      <c r="U2994">
        <v>1</v>
      </c>
    </row>
    <row r="2995" spans="1:21" x14ac:dyDescent="0.3">
      <c r="A2995" t="s">
        <v>5004</v>
      </c>
      <c r="B2995" t="s">
        <v>5005</v>
      </c>
      <c r="C2995" t="s">
        <v>3437</v>
      </c>
      <c r="D2995" t="s">
        <v>29</v>
      </c>
      <c r="E2995" t="s">
        <v>30</v>
      </c>
      <c r="F2995" s="6">
        <v>45596</v>
      </c>
      <c r="G2995">
        <v>100</v>
      </c>
      <c r="H2995">
        <v>95</v>
      </c>
      <c r="I2995">
        <v>0.95</v>
      </c>
      <c r="J2995">
        <v>0.95</v>
      </c>
      <c r="K2995" t="s">
        <v>31</v>
      </c>
      <c r="L2995" t="s">
        <v>31</v>
      </c>
      <c r="M2995">
        <v>2024</v>
      </c>
      <c r="N2995" t="s">
        <v>53</v>
      </c>
      <c r="O2995" t="s">
        <v>78</v>
      </c>
      <c r="P2995">
        <v>0</v>
      </c>
      <c r="Q2995">
        <v>0</v>
      </c>
      <c r="R2995">
        <v>1</v>
      </c>
      <c r="S2995" t="s">
        <v>718</v>
      </c>
      <c r="T2995" t="s">
        <v>5010</v>
      </c>
      <c r="U2995">
        <v>1</v>
      </c>
    </row>
    <row r="2996" spans="1:21" x14ac:dyDescent="0.3">
      <c r="A2996" t="s">
        <v>5004</v>
      </c>
      <c r="B2996" t="s">
        <v>5005</v>
      </c>
      <c r="C2996" t="s">
        <v>3437</v>
      </c>
      <c r="D2996" t="s">
        <v>29</v>
      </c>
      <c r="E2996" t="s">
        <v>30</v>
      </c>
      <c r="F2996" s="6">
        <v>45626</v>
      </c>
      <c r="G2996">
        <v>100</v>
      </c>
      <c r="H2996">
        <v>99</v>
      </c>
      <c r="I2996">
        <v>0.99</v>
      </c>
      <c r="J2996">
        <v>0.99</v>
      </c>
      <c r="K2996" t="s">
        <v>31</v>
      </c>
      <c r="L2996" t="s">
        <v>31</v>
      </c>
      <c r="M2996">
        <v>2024</v>
      </c>
      <c r="N2996" t="s">
        <v>55</v>
      </c>
      <c r="O2996" t="s">
        <v>78</v>
      </c>
      <c r="P2996">
        <v>0</v>
      </c>
      <c r="Q2996">
        <v>0</v>
      </c>
      <c r="R2996">
        <v>1</v>
      </c>
      <c r="S2996" t="s">
        <v>718</v>
      </c>
      <c r="T2996" t="s">
        <v>5011</v>
      </c>
      <c r="U2996">
        <v>1</v>
      </c>
    </row>
    <row r="2997" spans="1:21" x14ac:dyDescent="0.3">
      <c r="A2997" t="s">
        <v>5004</v>
      </c>
      <c r="B2997" t="s">
        <v>5005</v>
      </c>
      <c r="C2997" t="s">
        <v>3437</v>
      </c>
      <c r="D2997" t="s">
        <v>29</v>
      </c>
      <c r="E2997" t="s">
        <v>30</v>
      </c>
      <c r="F2997" s="6">
        <v>45657</v>
      </c>
      <c r="G2997">
        <v>100</v>
      </c>
      <c r="H2997">
        <v>100</v>
      </c>
      <c r="I2997">
        <v>1</v>
      </c>
      <c r="J2997">
        <v>1</v>
      </c>
      <c r="K2997" t="s">
        <v>31</v>
      </c>
      <c r="L2997" t="s">
        <v>31</v>
      </c>
      <c r="M2997">
        <v>2024</v>
      </c>
      <c r="N2997" t="s">
        <v>57</v>
      </c>
      <c r="O2997" t="s">
        <v>78</v>
      </c>
      <c r="P2997">
        <v>0</v>
      </c>
      <c r="Q2997">
        <v>0</v>
      </c>
      <c r="R2997">
        <v>1</v>
      </c>
      <c r="S2997" t="s">
        <v>718</v>
      </c>
      <c r="T2997" t="s">
        <v>5012</v>
      </c>
      <c r="U2997">
        <v>1</v>
      </c>
    </row>
    <row r="2998" spans="1:21" x14ac:dyDescent="0.3">
      <c r="A2998" t="s">
        <v>5013</v>
      </c>
      <c r="B2998" t="s">
        <v>5014</v>
      </c>
      <c r="C2998" t="s">
        <v>97</v>
      </c>
      <c r="D2998" t="s">
        <v>98</v>
      </c>
      <c r="E2998" t="s">
        <v>30</v>
      </c>
      <c r="F2998" s="6">
        <v>45291</v>
      </c>
      <c r="G2998">
        <v>100</v>
      </c>
      <c r="H2998">
        <v>100</v>
      </c>
      <c r="I2998">
        <v>1</v>
      </c>
      <c r="J2998">
        <v>1</v>
      </c>
      <c r="K2998" t="s">
        <v>31</v>
      </c>
      <c r="L2998" t="s">
        <v>31</v>
      </c>
      <c r="M2998">
        <v>2023</v>
      </c>
      <c r="N2998" t="s">
        <v>57</v>
      </c>
      <c r="O2998" t="s">
        <v>47</v>
      </c>
      <c r="P2998">
        <v>0</v>
      </c>
      <c r="Q2998">
        <v>0</v>
      </c>
      <c r="R2998">
        <v>0</v>
      </c>
      <c r="S2998" t="s">
        <v>99</v>
      </c>
      <c r="T2998" t="s">
        <v>5015</v>
      </c>
      <c r="U2998">
        <v>1</v>
      </c>
    </row>
    <row r="2999" spans="1:21" x14ac:dyDescent="0.3">
      <c r="A2999" t="s">
        <v>5013</v>
      </c>
      <c r="B2999" t="s">
        <v>5014</v>
      </c>
      <c r="C2999" t="s">
        <v>97</v>
      </c>
      <c r="D2999" t="s">
        <v>98</v>
      </c>
      <c r="E2999" t="s">
        <v>30</v>
      </c>
      <c r="F2999" s="6">
        <v>45657</v>
      </c>
      <c r="G2999">
        <v>100</v>
      </c>
      <c r="H2999">
        <v>100</v>
      </c>
      <c r="I2999">
        <v>1</v>
      </c>
      <c r="J2999">
        <v>1</v>
      </c>
      <c r="K2999" t="s">
        <v>31</v>
      </c>
      <c r="L2999" t="s">
        <v>31</v>
      </c>
      <c r="M2999">
        <v>2024</v>
      </c>
      <c r="N2999" t="s">
        <v>57</v>
      </c>
      <c r="O2999" t="s">
        <v>78</v>
      </c>
      <c r="P2999">
        <v>0</v>
      </c>
      <c r="Q2999">
        <v>0</v>
      </c>
      <c r="R2999">
        <v>0</v>
      </c>
      <c r="S2999" t="s">
        <v>99</v>
      </c>
      <c r="T2999" t="s">
        <v>5016</v>
      </c>
      <c r="U2999">
        <v>1</v>
      </c>
    </row>
    <row r="3000" spans="1:21" x14ac:dyDescent="0.3">
      <c r="A3000" t="s">
        <v>5013</v>
      </c>
      <c r="B3000" t="s">
        <v>5014</v>
      </c>
      <c r="C3000" t="s">
        <v>97</v>
      </c>
      <c r="D3000" t="s">
        <v>98</v>
      </c>
      <c r="E3000" t="s">
        <v>30</v>
      </c>
      <c r="F3000" s="6">
        <v>46022</v>
      </c>
      <c r="G3000">
        <v>100</v>
      </c>
      <c r="H3000" t="s">
        <v>95</v>
      </c>
      <c r="I3000">
        <v>1</v>
      </c>
      <c r="J3000">
        <v>1</v>
      </c>
      <c r="K3000" t="s">
        <v>102</v>
      </c>
      <c r="L3000" t="s">
        <v>102</v>
      </c>
      <c r="M3000">
        <v>2025</v>
      </c>
      <c r="N3000" t="s">
        <v>57</v>
      </c>
      <c r="O3000" t="s">
        <v>103</v>
      </c>
      <c r="P3000">
        <v>2</v>
      </c>
      <c r="Q3000">
        <v>2</v>
      </c>
      <c r="R3000">
        <v>0</v>
      </c>
      <c r="S3000" t="s">
        <v>104</v>
      </c>
      <c r="T3000" t="s">
        <v>5017</v>
      </c>
      <c r="U3000">
        <v>31</v>
      </c>
    </row>
    <row r="3001" spans="1:21" x14ac:dyDescent="0.3">
      <c r="A3001" t="s">
        <v>4633</v>
      </c>
      <c r="B3001" t="s">
        <v>5018</v>
      </c>
      <c r="C3001" t="s">
        <v>97</v>
      </c>
      <c r="D3001" t="s">
        <v>98</v>
      </c>
      <c r="E3001" t="s">
        <v>30</v>
      </c>
      <c r="F3001" s="6">
        <v>45291</v>
      </c>
      <c r="G3001">
        <v>100</v>
      </c>
      <c r="H3001">
        <v>100</v>
      </c>
      <c r="I3001">
        <v>1</v>
      </c>
      <c r="J3001">
        <v>1</v>
      </c>
      <c r="K3001" t="s">
        <v>31</v>
      </c>
      <c r="L3001" t="s">
        <v>31</v>
      </c>
      <c r="M3001">
        <v>2023</v>
      </c>
      <c r="N3001" t="s">
        <v>57</v>
      </c>
      <c r="O3001" t="s">
        <v>47</v>
      </c>
      <c r="P3001">
        <v>0</v>
      </c>
      <c r="Q3001">
        <v>0</v>
      </c>
      <c r="R3001">
        <v>0</v>
      </c>
      <c r="S3001" t="s">
        <v>99</v>
      </c>
      <c r="T3001" t="s">
        <v>5019</v>
      </c>
      <c r="U3001">
        <v>1</v>
      </c>
    </row>
    <row r="3002" spans="1:21" x14ac:dyDescent="0.3">
      <c r="A3002" t="s">
        <v>4633</v>
      </c>
      <c r="B3002" t="s">
        <v>5018</v>
      </c>
      <c r="C3002" t="s">
        <v>97</v>
      </c>
      <c r="D3002" t="s">
        <v>98</v>
      </c>
      <c r="E3002" t="s">
        <v>30</v>
      </c>
      <c r="F3002" s="6">
        <v>45657</v>
      </c>
      <c r="G3002">
        <v>98</v>
      </c>
      <c r="H3002">
        <v>100</v>
      </c>
      <c r="I3002">
        <v>1.0204081632653059</v>
      </c>
      <c r="J3002">
        <v>1.0204081632653059</v>
      </c>
      <c r="K3002" t="s">
        <v>31</v>
      </c>
      <c r="L3002" t="s">
        <v>31</v>
      </c>
      <c r="M3002">
        <v>2024</v>
      </c>
      <c r="N3002" t="s">
        <v>57</v>
      </c>
      <c r="O3002" t="s">
        <v>78</v>
      </c>
      <c r="P3002">
        <v>0</v>
      </c>
      <c r="Q3002">
        <v>0</v>
      </c>
      <c r="R3002">
        <v>0</v>
      </c>
      <c r="S3002" t="s">
        <v>99</v>
      </c>
      <c r="T3002" t="s">
        <v>5020</v>
      </c>
      <c r="U3002">
        <v>1</v>
      </c>
    </row>
    <row r="3003" spans="1:21" x14ac:dyDescent="0.3">
      <c r="A3003" t="s">
        <v>4633</v>
      </c>
      <c r="B3003" t="s">
        <v>5018</v>
      </c>
      <c r="C3003" t="s">
        <v>97</v>
      </c>
      <c r="D3003" t="s">
        <v>98</v>
      </c>
      <c r="E3003" t="s">
        <v>30</v>
      </c>
      <c r="F3003" s="6">
        <v>46022</v>
      </c>
      <c r="G3003">
        <v>98</v>
      </c>
      <c r="H3003" t="s">
        <v>95</v>
      </c>
      <c r="I3003">
        <v>1.0204081632653059</v>
      </c>
      <c r="J3003">
        <v>1.0204081632653059</v>
      </c>
      <c r="K3003" t="s">
        <v>312</v>
      </c>
      <c r="L3003" t="s">
        <v>102</v>
      </c>
      <c r="M3003">
        <v>2025</v>
      </c>
      <c r="N3003" t="s">
        <v>57</v>
      </c>
      <c r="O3003" t="s">
        <v>103</v>
      </c>
      <c r="P3003">
        <v>2</v>
      </c>
      <c r="Q3003">
        <v>2</v>
      </c>
      <c r="R3003">
        <v>0</v>
      </c>
      <c r="S3003" t="s">
        <v>104</v>
      </c>
      <c r="T3003" t="s">
        <v>5021</v>
      </c>
      <c r="U3003">
        <v>31</v>
      </c>
    </row>
    <row r="3004" spans="1:21" x14ac:dyDescent="0.3">
      <c r="A3004" t="s">
        <v>192</v>
      </c>
      <c r="B3004" t="s">
        <v>5022</v>
      </c>
      <c r="C3004" t="s">
        <v>97</v>
      </c>
      <c r="D3004" t="s">
        <v>98</v>
      </c>
      <c r="E3004" t="s">
        <v>30</v>
      </c>
      <c r="F3004" s="6">
        <v>45291</v>
      </c>
      <c r="G3004">
        <v>100</v>
      </c>
      <c r="H3004">
        <v>100</v>
      </c>
      <c r="I3004">
        <v>1</v>
      </c>
      <c r="J3004">
        <v>1</v>
      </c>
      <c r="K3004" t="s">
        <v>31</v>
      </c>
      <c r="L3004" t="s">
        <v>31</v>
      </c>
      <c r="M3004">
        <v>2023</v>
      </c>
      <c r="N3004" t="s">
        <v>57</v>
      </c>
      <c r="O3004" t="s">
        <v>47</v>
      </c>
      <c r="P3004">
        <v>0</v>
      </c>
      <c r="Q3004">
        <v>0</v>
      </c>
      <c r="R3004">
        <v>0</v>
      </c>
      <c r="S3004" t="s">
        <v>99</v>
      </c>
      <c r="T3004" t="s">
        <v>5023</v>
      </c>
      <c r="U3004">
        <v>1</v>
      </c>
    </row>
    <row r="3005" spans="1:21" x14ac:dyDescent="0.3">
      <c r="A3005" t="s">
        <v>192</v>
      </c>
      <c r="B3005" t="s">
        <v>5022</v>
      </c>
      <c r="C3005" t="s">
        <v>97</v>
      </c>
      <c r="D3005" t="s">
        <v>98</v>
      </c>
      <c r="E3005" t="s">
        <v>30</v>
      </c>
      <c r="F3005" s="6">
        <v>45657</v>
      </c>
      <c r="G3005">
        <v>100</v>
      </c>
      <c r="H3005">
        <v>100</v>
      </c>
      <c r="I3005">
        <v>1</v>
      </c>
      <c r="J3005">
        <v>1</v>
      </c>
      <c r="K3005" t="s">
        <v>31</v>
      </c>
      <c r="L3005" t="s">
        <v>31</v>
      </c>
      <c r="M3005">
        <v>2024</v>
      </c>
      <c r="N3005" t="s">
        <v>57</v>
      </c>
      <c r="O3005" t="s">
        <v>78</v>
      </c>
      <c r="P3005">
        <v>0</v>
      </c>
      <c r="Q3005">
        <v>0</v>
      </c>
      <c r="R3005">
        <v>0</v>
      </c>
      <c r="S3005" t="s">
        <v>99</v>
      </c>
      <c r="T3005" t="s">
        <v>5024</v>
      </c>
      <c r="U3005">
        <v>1</v>
      </c>
    </row>
    <row r="3006" spans="1:21" x14ac:dyDescent="0.3">
      <c r="A3006" t="s">
        <v>192</v>
      </c>
      <c r="B3006" t="s">
        <v>5022</v>
      </c>
      <c r="C3006" t="s">
        <v>97</v>
      </c>
      <c r="D3006" t="s">
        <v>98</v>
      </c>
      <c r="E3006" t="s">
        <v>30</v>
      </c>
      <c r="F3006" s="6">
        <v>46022</v>
      </c>
      <c r="G3006">
        <v>100</v>
      </c>
      <c r="H3006" t="s">
        <v>95</v>
      </c>
      <c r="I3006">
        <v>1</v>
      </c>
      <c r="J3006">
        <v>1</v>
      </c>
      <c r="K3006" t="s">
        <v>102</v>
      </c>
      <c r="L3006" t="s">
        <v>102</v>
      </c>
      <c r="M3006">
        <v>2025</v>
      </c>
      <c r="N3006" t="s">
        <v>57</v>
      </c>
      <c r="O3006" t="s">
        <v>103</v>
      </c>
      <c r="P3006">
        <v>2</v>
      </c>
      <c r="Q3006">
        <v>2</v>
      </c>
      <c r="R3006">
        <v>0</v>
      </c>
      <c r="S3006" t="s">
        <v>104</v>
      </c>
      <c r="T3006" t="s">
        <v>5025</v>
      </c>
      <c r="U3006">
        <v>31</v>
      </c>
    </row>
    <row r="3007" spans="1:21" x14ac:dyDescent="0.3">
      <c r="A3007" t="s">
        <v>837</v>
      </c>
      <c r="B3007" t="s">
        <v>5026</v>
      </c>
      <c r="C3007" t="s">
        <v>97</v>
      </c>
      <c r="D3007" t="s">
        <v>222</v>
      </c>
      <c r="E3007" t="s">
        <v>30</v>
      </c>
      <c r="F3007" s="6">
        <v>45107</v>
      </c>
      <c r="G3007">
        <v>100</v>
      </c>
      <c r="H3007">
        <v>100</v>
      </c>
      <c r="I3007">
        <v>1</v>
      </c>
      <c r="J3007">
        <v>1</v>
      </c>
      <c r="K3007" t="s">
        <v>31</v>
      </c>
      <c r="L3007" t="s">
        <v>31</v>
      </c>
      <c r="M3007">
        <v>2023</v>
      </c>
      <c r="N3007" t="s">
        <v>44</v>
      </c>
      <c r="O3007" t="s">
        <v>33</v>
      </c>
      <c r="P3007">
        <v>0</v>
      </c>
      <c r="Q3007">
        <v>0</v>
      </c>
      <c r="R3007">
        <v>0</v>
      </c>
      <c r="S3007" t="s">
        <v>99</v>
      </c>
      <c r="T3007" t="s">
        <v>5027</v>
      </c>
      <c r="U3007">
        <v>1</v>
      </c>
    </row>
    <row r="3008" spans="1:21" x14ac:dyDescent="0.3">
      <c r="A3008" t="s">
        <v>837</v>
      </c>
      <c r="B3008" t="s">
        <v>5026</v>
      </c>
      <c r="C3008" t="s">
        <v>97</v>
      </c>
      <c r="D3008" t="s">
        <v>222</v>
      </c>
      <c r="E3008" t="s">
        <v>30</v>
      </c>
      <c r="F3008" s="6">
        <v>45291</v>
      </c>
      <c r="G3008">
        <v>100</v>
      </c>
      <c r="H3008">
        <v>100</v>
      </c>
      <c r="I3008">
        <v>1</v>
      </c>
      <c r="J3008">
        <v>1</v>
      </c>
      <c r="K3008" t="s">
        <v>31</v>
      </c>
      <c r="L3008" t="s">
        <v>31</v>
      </c>
      <c r="M3008">
        <v>2023</v>
      </c>
      <c r="N3008" t="s">
        <v>57</v>
      </c>
      <c r="O3008" t="s">
        <v>47</v>
      </c>
      <c r="P3008">
        <v>0</v>
      </c>
      <c r="Q3008">
        <v>0</v>
      </c>
      <c r="R3008">
        <v>0</v>
      </c>
      <c r="S3008" t="s">
        <v>99</v>
      </c>
      <c r="T3008" t="s">
        <v>5028</v>
      </c>
      <c r="U3008">
        <v>1</v>
      </c>
    </row>
    <row r="3009" spans="1:21" x14ac:dyDescent="0.3">
      <c r="A3009" t="s">
        <v>837</v>
      </c>
      <c r="B3009" t="s">
        <v>5026</v>
      </c>
      <c r="C3009" t="s">
        <v>97</v>
      </c>
      <c r="D3009" t="s">
        <v>222</v>
      </c>
      <c r="E3009" t="s">
        <v>30</v>
      </c>
      <c r="F3009" s="6">
        <v>45473</v>
      </c>
      <c r="G3009">
        <v>100</v>
      </c>
      <c r="H3009">
        <v>100</v>
      </c>
      <c r="I3009">
        <v>1</v>
      </c>
      <c r="J3009">
        <v>1</v>
      </c>
      <c r="K3009" t="s">
        <v>31</v>
      </c>
      <c r="L3009" t="s">
        <v>31</v>
      </c>
      <c r="M3009">
        <v>2024</v>
      </c>
      <c r="N3009" t="s">
        <v>44</v>
      </c>
      <c r="O3009" t="s">
        <v>71</v>
      </c>
      <c r="P3009">
        <v>0</v>
      </c>
      <c r="Q3009">
        <v>0</v>
      </c>
      <c r="R3009">
        <v>0</v>
      </c>
      <c r="S3009" t="s">
        <v>99</v>
      </c>
      <c r="T3009" t="s">
        <v>5029</v>
      </c>
      <c r="U3009">
        <v>1</v>
      </c>
    </row>
    <row r="3010" spans="1:21" x14ac:dyDescent="0.3">
      <c r="A3010" t="s">
        <v>837</v>
      </c>
      <c r="B3010" t="s">
        <v>5026</v>
      </c>
      <c r="C3010" t="s">
        <v>97</v>
      </c>
      <c r="D3010" t="s">
        <v>222</v>
      </c>
      <c r="E3010" t="s">
        <v>30</v>
      </c>
      <c r="F3010" s="6">
        <v>45657</v>
      </c>
      <c r="G3010">
        <v>100</v>
      </c>
      <c r="H3010">
        <v>100</v>
      </c>
      <c r="I3010">
        <v>1</v>
      </c>
      <c r="J3010">
        <v>1</v>
      </c>
      <c r="K3010" t="s">
        <v>31</v>
      </c>
      <c r="L3010" t="s">
        <v>31</v>
      </c>
      <c r="M3010">
        <v>2024</v>
      </c>
      <c r="N3010" t="s">
        <v>57</v>
      </c>
      <c r="O3010" t="s">
        <v>78</v>
      </c>
      <c r="P3010">
        <v>0</v>
      </c>
      <c r="Q3010">
        <v>0</v>
      </c>
      <c r="R3010">
        <v>0</v>
      </c>
      <c r="S3010" t="s">
        <v>99</v>
      </c>
      <c r="T3010" t="s">
        <v>5030</v>
      </c>
      <c r="U3010">
        <v>1</v>
      </c>
    </row>
    <row r="3011" spans="1:21" x14ac:dyDescent="0.3">
      <c r="A3011" t="s">
        <v>837</v>
      </c>
      <c r="B3011" t="s">
        <v>5026</v>
      </c>
      <c r="C3011" t="s">
        <v>97</v>
      </c>
      <c r="D3011" t="s">
        <v>222</v>
      </c>
      <c r="E3011" t="s">
        <v>30</v>
      </c>
      <c r="F3011" s="6">
        <v>45838</v>
      </c>
      <c r="G3011">
        <v>100</v>
      </c>
      <c r="H3011" t="s">
        <v>95</v>
      </c>
      <c r="I3011">
        <v>1</v>
      </c>
      <c r="J3011">
        <v>1</v>
      </c>
      <c r="K3011" t="s">
        <v>102</v>
      </c>
      <c r="L3011" t="s">
        <v>102</v>
      </c>
      <c r="M3011">
        <v>2025</v>
      </c>
      <c r="N3011" t="s">
        <v>44</v>
      </c>
      <c r="O3011" t="s">
        <v>244</v>
      </c>
      <c r="P3011">
        <v>2</v>
      </c>
      <c r="Q3011">
        <v>2</v>
      </c>
      <c r="R3011">
        <v>0</v>
      </c>
      <c r="S3011" t="s">
        <v>104</v>
      </c>
      <c r="T3011" t="s">
        <v>5031</v>
      </c>
      <c r="U3011">
        <v>30</v>
      </c>
    </row>
    <row r="3012" spans="1:21" x14ac:dyDescent="0.3">
      <c r="A3012" t="s">
        <v>837</v>
      </c>
      <c r="B3012" t="s">
        <v>5026</v>
      </c>
      <c r="C3012" t="s">
        <v>97</v>
      </c>
      <c r="D3012" t="s">
        <v>222</v>
      </c>
      <c r="E3012" t="s">
        <v>30</v>
      </c>
      <c r="F3012" s="6">
        <v>46022</v>
      </c>
      <c r="G3012">
        <v>100</v>
      </c>
      <c r="H3012" t="s">
        <v>95</v>
      </c>
      <c r="I3012">
        <v>1</v>
      </c>
      <c r="J3012">
        <v>1</v>
      </c>
      <c r="K3012" t="s">
        <v>102</v>
      </c>
      <c r="L3012" t="s">
        <v>102</v>
      </c>
      <c r="M3012">
        <v>2025</v>
      </c>
      <c r="N3012" t="s">
        <v>57</v>
      </c>
      <c r="O3012" t="s">
        <v>103</v>
      </c>
      <c r="P3012">
        <v>2</v>
      </c>
      <c r="Q3012">
        <v>2</v>
      </c>
      <c r="R3012">
        <v>0</v>
      </c>
      <c r="S3012" t="s">
        <v>104</v>
      </c>
      <c r="T3012" t="s">
        <v>5032</v>
      </c>
      <c r="U3012">
        <v>31</v>
      </c>
    </row>
    <row r="3013" spans="1:21" x14ac:dyDescent="0.3">
      <c r="A3013" t="s">
        <v>667</v>
      </c>
      <c r="B3013" t="s">
        <v>5033</v>
      </c>
      <c r="C3013" t="s">
        <v>760</v>
      </c>
      <c r="D3013" t="s">
        <v>222</v>
      </c>
      <c r="E3013" t="s">
        <v>30</v>
      </c>
      <c r="F3013" s="6">
        <v>44926</v>
      </c>
      <c r="G3013">
        <v>509</v>
      </c>
      <c r="H3013">
        <v>566</v>
      </c>
      <c r="I3013">
        <v>1.111984282907662</v>
      </c>
      <c r="J3013">
        <v>1.111984282907662</v>
      </c>
      <c r="K3013" t="s">
        <v>31</v>
      </c>
      <c r="L3013" t="s">
        <v>31</v>
      </c>
      <c r="M3013">
        <v>2022</v>
      </c>
      <c r="N3013" t="s">
        <v>57</v>
      </c>
      <c r="O3013" t="s">
        <v>90</v>
      </c>
      <c r="P3013">
        <v>0</v>
      </c>
      <c r="Q3013">
        <v>0</v>
      </c>
      <c r="R3013">
        <v>1</v>
      </c>
      <c r="S3013" t="s">
        <v>34</v>
      </c>
      <c r="T3013" t="s">
        <v>5034</v>
      </c>
      <c r="U3013">
        <v>1</v>
      </c>
    </row>
    <row r="3014" spans="1:21" x14ac:dyDescent="0.3">
      <c r="A3014" t="s">
        <v>667</v>
      </c>
      <c r="B3014" t="s">
        <v>5033</v>
      </c>
      <c r="C3014" t="s">
        <v>760</v>
      </c>
      <c r="D3014" t="s">
        <v>222</v>
      </c>
      <c r="E3014" t="s">
        <v>30</v>
      </c>
      <c r="F3014" s="6">
        <v>45107</v>
      </c>
      <c r="G3014">
        <v>305</v>
      </c>
      <c r="H3014">
        <v>209</v>
      </c>
      <c r="I3014">
        <v>0.68524590163934429</v>
      </c>
      <c r="J3014">
        <v>0.68524590163934429</v>
      </c>
      <c r="K3014" t="s">
        <v>31</v>
      </c>
      <c r="L3014" t="s">
        <v>31</v>
      </c>
      <c r="M3014">
        <v>2023</v>
      </c>
      <c r="N3014" t="s">
        <v>44</v>
      </c>
      <c r="O3014" t="s">
        <v>33</v>
      </c>
      <c r="P3014">
        <v>0</v>
      </c>
      <c r="Q3014">
        <v>0</v>
      </c>
      <c r="R3014">
        <v>1</v>
      </c>
      <c r="S3014" t="s">
        <v>34</v>
      </c>
      <c r="T3014" t="s">
        <v>5035</v>
      </c>
      <c r="U3014">
        <v>1</v>
      </c>
    </row>
    <row r="3015" spans="1:21" x14ac:dyDescent="0.3">
      <c r="A3015" t="s">
        <v>667</v>
      </c>
      <c r="B3015" t="s">
        <v>5033</v>
      </c>
      <c r="C3015" t="s">
        <v>760</v>
      </c>
      <c r="D3015" t="s">
        <v>222</v>
      </c>
      <c r="E3015" t="s">
        <v>30</v>
      </c>
      <c r="F3015" s="6">
        <v>45291</v>
      </c>
      <c r="G3015">
        <v>306</v>
      </c>
      <c r="H3015">
        <v>496</v>
      </c>
      <c r="I3015">
        <v>1.3</v>
      </c>
      <c r="J3015">
        <v>1.620915032679739</v>
      </c>
      <c r="K3015" t="s">
        <v>31</v>
      </c>
      <c r="L3015" t="s">
        <v>31</v>
      </c>
      <c r="M3015">
        <v>2023</v>
      </c>
      <c r="N3015" t="s">
        <v>57</v>
      </c>
      <c r="O3015" t="s">
        <v>47</v>
      </c>
      <c r="P3015">
        <v>0</v>
      </c>
      <c r="Q3015">
        <v>0</v>
      </c>
      <c r="R3015">
        <v>1</v>
      </c>
      <c r="S3015" t="s">
        <v>34</v>
      </c>
      <c r="T3015" t="s">
        <v>5036</v>
      </c>
      <c r="U3015">
        <v>1</v>
      </c>
    </row>
    <row r="3016" spans="1:21" x14ac:dyDescent="0.3">
      <c r="A3016" t="s">
        <v>667</v>
      </c>
      <c r="B3016" t="s">
        <v>5033</v>
      </c>
      <c r="C3016" t="s">
        <v>760</v>
      </c>
      <c r="D3016" t="s">
        <v>222</v>
      </c>
      <c r="E3016" t="s">
        <v>30</v>
      </c>
      <c r="F3016" s="6">
        <v>45473</v>
      </c>
      <c r="G3016">
        <v>336</v>
      </c>
      <c r="H3016">
        <v>143</v>
      </c>
      <c r="I3016">
        <v>0.42559523809523808</v>
      </c>
      <c r="J3016">
        <v>0.42559523809523808</v>
      </c>
      <c r="K3016" t="s">
        <v>31</v>
      </c>
      <c r="L3016" t="s">
        <v>31</v>
      </c>
      <c r="M3016">
        <v>2024</v>
      </c>
      <c r="N3016" t="s">
        <v>44</v>
      </c>
      <c r="O3016" t="s">
        <v>71</v>
      </c>
      <c r="P3016">
        <v>0</v>
      </c>
      <c r="Q3016">
        <v>0</v>
      </c>
      <c r="R3016">
        <v>1</v>
      </c>
      <c r="S3016" t="s">
        <v>34</v>
      </c>
      <c r="T3016" t="s">
        <v>5037</v>
      </c>
      <c r="U3016">
        <v>1</v>
      </c>
    </row>
    <row r="3017" spans="1:21" x14ac:dyDescent="0.3">
      <c r="A3017" t="s">
        <v>667</v>
      </c>
      <c r="B3017" t="s">
        <v>5033</v>
      </c>
      <c r="C3017" t="s">
        <v>760</v>
      </c>
      <c r="D3017" t="s">
        <v>222</v>
      </c>
      <c r="E3017" t="s">
        <v>30</v>
      </c>
      <c r="F3017" s="6">
        <v>45657</v>
      </c>
      <c r="G3017">
        <v>336</v>
      </c>
      <c r="H3017">
        <v>272</v>
      </c>
      <c r="I3017">
        <v>0.80952380952380953</v>
      </c>
      <c r="J3017">
        <v>0.80952380952380953</v>
      </c>
      <c r="K3017" t="s">
        <v>31</v>
      </c>
      <c r="L3017" t="s">
        <v>31</v>
      </c>
      <c r="M3017">
        <v>2024</v>
      </c>
      <c r="N3017" t="s">
        <v>57</v>
      </c>
      <c r="O3017" t="s">
        <v>78</v>
      </c>
      <c r="P3017">
        <v>0</v>
      </c>
      <c r="Q3017">
        <v>0</v>
      </c>
      <c r="R3017">
        <v>1</v>
      </c>
      <c r="S3017" t="s">
        <v>34</v>
      </c>
      <c r="T3017" t="s">
        <v>5038</v>
      </c>
      <c r="U3017">
        <v>1</v>
      </c>
    </row>
    <row r="3018" spans="1:21" x14ac:dyDescent="0.3">
      <c r="A3018" t="s">
        <v>667</v>
      </c>
      <c r="B3018" t="s">
        <v>5033</v>
      </c>
      <c r="C3018" t="s">
        <v>760</v>
      </c>
      <c r="D3018" t="s">
        <v>222</v>
      </c>
      <c r="E3018" t="s">
        <v>30</v>
      </c>
      <c r="F3018" s="6">
        <v>45838</v>
      </c>
      <c r="G3018">
        <v>369</v>
      </c>
      <c r="H3018">
        <v>103</v>
      </c>
      <c r="I3018">
        <v>0.2791327913279133</v>
      </c>
      <c r="J3018">
        <v>0.2791327913279133</v>
      </c>
      <c r="K3018" t="s">
        <v>31</v>
      </c>
      <c r="L3018" t="s">
        <v>31</v>
      </c>
      <c r="M3018">
        <v>2025</v>
      </c>
      <c r="N3018" t="s">
        <v>44</v>
      </c>
      <c r="O3018" t="s">
        <v>244</v>
      </c>
      <c r="P3018">
        <v>0</v>
      </c>
      <c r="Q3018">
        <v>0</v>
      </c>
      <c r="R3018">
        <v>1</v>
      </c>
      <c r="S3018" t="s">
        <v>34</v>
      </c>
      <c r="T3018" t="s">
        <v>5039</v>
      </c>
      <c r="U3018">
        <v>1</v>
      </c>
    </row>
    <row r="3019" spans="1:21" x14ac:dyDescent="0.3">
      <c r="A3019" t="s">
        <v>2782</v>
      </c>
      <c r="B3019" t="s">
        <v>2410</v>
      </c>
      <c r="C3019" t="s">
        <v>3437</v>
      </c>
      <c r="D3019" t="s">
        <v>222</v>
      </c>
      <c r="E3019" t="s">
        <v>30</v>
      </c>
      <c r="F3019" s="6">
        <v>44742</v>
      </c>
      <c r="G3019">
        <v>2</v>
      </c>
      <c r="H3019">
        <v>2</v>
      </c>
      <c r="I3019">
        <v>1</v>
      </c>
      <c r="J3019">
        <v>1</v>
      </c>
      <c r="K3019" t="s">
        <v>118</v>
      </c>
      <c r="L3019" t="s">
        <v>118</v>
      </c>
      <c r="M3019">
        <v>2022</v>
      </c>
      <c r="N3019" t="s">
        <v>44</v>
      </c>
      <c r="O3019" t="s">
        <v>88</v>
      </c>
      <c r="P3019">
        <v>0</v>
      </c>
      <c r="Q3019">
        <v>0</v>
      </c>
      <c r="R3019">
        <v>1</v>
      </c>
      <c r="S3019" t="s">
        <v>718</v>
      </c>
      <c r="T3019" t="s">
        <v>5040</v>
      </c>
      <c r="U3019">
        <v>1</v>
      </c>
    </row>
    <row r="3020" spans="1:21" x14ac:dyDescent="0.3">
      <c r="A3020" t="s">
        <v>2782</v>
      </c>
      <c r="B3020" t="s">
        <v>2410</v>
      </c>
      <c r="C3020" t="s">
        <v>3437</v>
      </c>
      <c r="D3020" t="s">
        <v>222</v>
      </c>
      <c r="E3020" t="s">
        <v>30</v>
      </c>
      <c r="F3020" s="6">
        <v>44926</v>
      </c>
      <c r="G3020">
        <v>1</v>
      </c>
      <c r="H3020">
        <v>1</v>
      </c>
      <c r="I3020">
        <v>1</v>
      </c>
      <c r="J3020">
        <v>1</v>
      </c>
      <c r="K3020" t="s">
        <v>118</v>
      </c>
      <c r="L3020" t="s">
        <v>118</v>
      </c>
      <c r="M3020">
        <v>2022</v>
      </c>
      <c r="N3020" t="s">
        <v>57</v>
      </c>
      <c r="O3020" t="s">
        <v>90</v>
      </c>
      <c r="P3020">
        <v>0</v>
      </c>
      <c r="Q3020">
        <v>0</v>
      </c>
      <c r="R3020">
        <v>1</v>
      </c>
      <c r="S3020" t="s">
        <v>718</v>
      </c>
      <c r="T3020" t="s">
        <v>5041</v>
      </c>
      <c r="U3020">
        <v>1</v>
      </c>
    </row>
    <row r="3021" spans="1:21" x14ac:dyDescent="0.3">
      <c r="A3021" t="s">
        <v>2782</v>
      </c>
      <c r="B3021" t="s">
        <v>2410</v>
      </c>
      <c r="C3021" t="s">
        <v>3437</v>
      </c>
      <c r="D3021" t="s">
        <v>222</v>
      </c>
      <c r="E3021" t="s">
        <v>30</v>
      </c>
      <c r="F3021" s="6">
        <v>45107</v>
      </c>
      <c r="G3021">
        <v>0</v>
      </c>
      <c r="H3021">
        <v>0</v>
      </c>
      <c r="K3021" t="s">
        <v>118</v>
      </c>
      <c r="L3021" t="s">
        <v>118</v>
      </c>
      <c r="M3021">
        <v>2023</v>
      </c>
      <c r="N3021" t="s">
        <v>44</v>
      </c>
      <c r="O3021" t="s">
        <v>33</v>
      </c>
      <c r="P3021">
        <v>0</v>
      </c>
      <c r="Q3021">
        <v>0</v>
      </c>
      <c r="R3021">
        <v>1</v>
      </c>
      <c r="S3021" t="s">
        <v>718</v>
      </c>
      <c r="T3021" t="s">
        <v>5042</v>
      </c>
      <c r="U3021">
        <v>1</v>
      </c>
    </row>
    <row r="3022" spans="1:21" x14ac:dyDescent="0.3">
      <c r="A3022" t="s">
        <v>2782</v>
      </c>
      <c r="B3022" t="s">
        <v>2410</v>
      </c>
      <c r="C3022" t="s">
        <v>3437</v>
      </c>
      <c r="D3022" t="s">
        <v>222</v>
      </c>
      <c r="E3022" t="s">
        <v>30</v>
      </c>
      <c r="F3022" s="6">
        <v>45291</v>
      </c>
      <c r="G3022">
        <v>1</v>
      </c>
      <c r="H3022">
        <v>1</v>
      </c>
      <c r="I3022">
        <v>1</v>
      </c>
      <c r="J3022">
        <v>1</v>
      </c>
      <c r="K3022" t="s">
        <v>118</v>
      </c>
      <c r="L3022" t="s">
        <v>118</v>
      </c>
      <c r="M3022">
        <v>2023</v>
      </c>
      <c r="N3022" t="s">
        <v>57</v>
      </c>
      <c r="O3022" t="s">
        <v>47</v>
      </c>
      <c r="P3022">
        <v>0</v>
      </c>
      <c r="Q3022">
        <v>0</v>
      </c>
      <c r="R3022">
        <v>1</v>
      </c>
      <c r="S3022" t="s">
        <v>718</v>
      </c>
      <c r="T3022" t="s">
        <v>5043</v>
      </c>
      <c r="U3022">
        <v>1</v>
      </c>
    </row>
    <row r="3023" spans="1:21" x14ac:dyDescent="0.3">
      <c r="A3023" t="s">
        <v>2782</v>
      </c>
      <c r="B3023" t="s">
        <v>2410</v>
      </c>
      <c r="C3023" t="s">
        <v>3437</v>
      </c>
      <c r="D3023" t="s">
        <v>222</v>
      </c>
      <c r="E3023" t="s">
        <v>30</v>
      </c>
      <c r="F3023" s="6">
        <v>45473</v>
      </c>
      <c r="G3023">
        <v>0</v>
      </c>
      <c r="H3023">
        <v>0</v>
      </c>
      <c r="K3023" t="s">
        <v>215</v>
      </c>
      <c r="L3023" t="s">
        <v>215</v>
      </c>
      <c r="M3023">
        <v>2023</v>
      </c>
      <c r="N3023" t="s">
        <v>44</v>
      </c>
      <c r="O3023" t="s">
        <v>33</v>
      </c>
      <c r="P3023">
        <v>0</v>
      </c>
      <c r="Q3023">
        <v>0</v>
      </c>
      <c r="R3023">
        <v>1</v>
      </c>
      <c r="S3023" t="s">
        <v>718</v>
      </c>
      <c r="T3023" t="s">
        <v>5044</v>
      </c>
      <c r="U3023">
        <v>1</v>
      </c>
    </row>
    <row r="3024" spans="1:21" x14ac:dyDescent="0.3">
      <c r="A3024" t="s">
        <v>2782</v>
      </c>
      <c r="B3024" t="s">
        <v>2410</v>
      </c>
      <c r="C3024" t="s">
        <v>3437</v>
      </c>
      <c r="D3024" t="s">
        <v>222</v>
      </c>
      <c r="E3024" t="s">
        <v>30</v>
      </c>
      <c r="F3024" s="6">
        <v>45657</v>
      </c>
      <c r="G3024">
        <v>0</v>
      </c>
      <c r="H3024">
        <v>0</v>
      </c>
      <c r="I3024">
        <v>1</v>
      </c>
      <c r="J3024">
        <v>1</v>
      </c>
      <c r="K3024" t="s">
        <v>215</v>
      </c>
      <c r="L3024" t="s">
        <v>215</v>
      </c>
      <c r="M3024">
        <v>2023</v>
      </c>
      <c r="N3024" t="s">
        <v>57</v>
      </c>
      <c r="O3024" t="s">
        <v>47</v>
      </c>
      <c r="P3024">
        <v>0</v>
      </c>
      <c r="Q3024">
        <v>0</v>
      </c>
      <c r="R3024">
        <v>1</v>
      </c>
      <c r="S3024" t="s">
        <v>718</v>
      </c>
      <c r="T3024" t="s">
        <v>5045</v>
      </c>
      <c r="U3024">
        <v>1</v>
      </c>
    </row>
    <row r="3025" spans="1:21" x14ac:dyDescent="0.3">
      <c r="A3025" t="s">
        <v>311</v>
      </c>
      <c r="B3025" t="s">
        <v>2415</v>
      </c>
      <c r="C3025" t="s">
        <v>3437</v>
      </c>
      <c r="D3025" t="s">
        <v>222</v>
      </c>
      <c r="E3025" t="s">
        <v>30</v>
      </c>
      <c r="F3025" s="6">
        <v>44742</v>
      </c>
      <c r="G3025">
        <v>2</v>
      </c>
      <c r="H3025">
        <v>2</v>
      </c>
      <c r="I3025">
        <v>1</v>
      </c>
      <c r="J3025">
        <v>1</v>
      </c>
      <c r="K3025" t="s">
        <v>118</v>
      </c>
      <c r="L3025" t="s">
        <v>118</v>
      </c>
      <c r="M3025">
        <v>2022</v>
      </c>
      <c r="N3025" t="s">
        <v>44</v>
      </c>
      <c r="O3025" t="s">
        <v>88</v>
      </c>
      <c r="P3025">
        <v>0</v>
      </c>
      <c r="Q3025">
        <v>0</v>
      </c>
      <c r="R3025">
        <v>0</v>
      </c>
      <c r="S3025" t="s">
        <v>718</v>
      </c>
      <c r="T3025" t="s">
        <v>5046</v>
      </c>
      <c r="U3025">
        <v>1</v>
      </c>
    </row>
    <row r="3026" spans="1:21" x14ac:dyDescent="0.3">
      <c r="A3026" t="s">
        <v>311</v>
      </c>
      <c r="B3026" t="s">
        <v>2415</v>
      </c>
      <c r="C3026" t="s">
        <v>3437</v>
      </c>
      <c r="D3026" t="s">
        <v>222</v>
      </c>
      <c r="E3026" t="s">
        <v>30</v>
      </c>
      <c r="F3026" s="6">
        <v>44926</v>
      </c>
      <c r="G3026">
        <v>2</v>
      </c>
      <c r="H3026">
        <v>2</v>
      </c>
      <c r="I3026">
        <v>1</v>
      </c>
      <c r="J3026">
        <v>1</v>
      </c>
      <c r="K3026" t="s">
        <v>118</v>
      </c>
      <c r="L3026" t="s">
        <v>118</v>
      </c>
      <c r="M3026">
        <v>2022</v>
      </c>
      <c r="N3026" t="s">
        <v>57</v>
      </c>
      <c r="O3026" t="s">
        <v>90</v>
      </c>
      <c r="P3026">
        <v>0</v>
      </c>
      <c r="Q3026">
        <v>0</v>
      </c>
      <c r="R3026">
        <v>0</v>
      </c>
      <c r="S3026" t="s">
        <v>718</v>
      </c>
      <c r="T3026" t="s">
        <v>5047</v>
      </c>
      <c r="U3026">
        <v>1</v>
      </c>
    </row>
    <row r="3027" spans="1:21" x14ac:dyDescent="0.3">
      <c r="A3027" t="s">
        <v>311</v>
      </c>
      <c r="B3027" t="s">
        <v>2415</v>
      </c>
      <c r="C3027" t="s">
        <v>3437</v>
      </c>
      <c r="D3027" t="s">
        <v>222</v>
      </c>
      <c r="E3027" t="s">
        <v>30</v>
      </c>
      <c r="F3027" s="6">
        <v>45107</v>
      </c>
      <c r="G3027">
        <v>0</v>
      </c>
      <c r="H3027">
        <v>0</v>
      </c>
      <c r="K3027" t="s">
        <v>118</v>
      </c>
      <c r="L3027" t="s">
        <v>118</v>
      </c>
      <c r="M3027">
        <v>2023</v>
      </c>
      <c r="N3027" t="s">
        <v>44</v>
      </c>
      <c r="O3027" t="s">
        <v>33</v>
      </c>
      <c r="P3027">
        <v>0</v>
      </c>
      <c r="Q3027">
        <v>0</v>
      </c>
      <c r="R3027">
        <v>1</v>
      </c>
      <c r="S3027" t="s">
        <v>718</v>
      </c>
      <c r="T3027" t="s">
        <v>5048</v>
      </c>
      <c r="U3027">
        <v>1</v>
      </c>
    </row>
    <row r="3028" spans="1:21" x14ac:dyDescent="0.3">
      <c r="A3028" t="s">
        <v>311</v>
      </c>
      <c r="B3028" t="s">
        <v>2415</v>
      </c>
      <c r="C3028" t="s">
        <v>3437</v>
      </c>
      <c r="D3028" t="s">
        <v>222</v>
      </c>
      <c r="E3028" t="s">
        <v>30</v>
      </c>
      <c r="F3028" s="6">
        <v>45291</v>
      </c>
      <c r="G3028">
        <v>1</v>
      </c>
      <c r="H3028">
        <v>1</v>
      </c>
      <c r="I3028">
        <v>1</v>
      </c>
      <c r="J3028">
        <v>1</v>
      </c>
      <c r="K3028" t="s">
        <v>118</v>
      </c>
      <c r="L3028" t="s">
        <v>118</v>
      </c>
      <c r="M3028">
        <v>2023</v>
      </c>
      <c r="N3028" t="s">
        <v>57</v>
      </c>
      <c r="O3028" t="s">
        <v>47</v>
      </c>
      <c r="P3028">
        <v>0</v>
      </c>
      <c r="Q3028">
        <v>0</v>
      </c>
      <c r="R3028">
        <v>1</v>
      </c>
      <c r="S3028" t="s">
        <v>718</v>
      </c>
      <c r="T3028" t="s">
        <v>5049</v>
      </c>
      <c r="U3028">
        <v>1</v>
      </c>
    </row>
    <row r="3029" spans="1:21" x14ac:dyDescent="0.3">
      <c r="A3029" t="s">
        <v>311</v>
      </c>
      <c r="B3029" t="s">
        <v>2415</v>
      </c>
      <c r="C3029" t="s">
        <v>3437</v>
      </c>
      <c r="D3029" t="s">
        <v>222</v>
      </c>
      <c r="E3029" t="s">
        <v>30</v>
      </c>
      <c r="F3029" s="6">
        <v>45473</v>
      </c>
      <c r="G3029">
        <v>0</v>
      </c>
      <c r="H3029">
        <v>0</v>
      </c>
      <c r="K3029" t="s">
        <v>118</v>
      </c>
      <c r="L3029" t="s">
        <v>118</v>
      </c>
      <c r="M3029">
        <v>2024</v>
      </c>
      <c r="N3029" t="s">
        <v>44</v>
      </c>
      <c r="O3029" t="s">
        <v>71</v>
      </c>
      <c r="P3029">
        <v>0</v>
      </c>
      <c r="Q3029">
        <v>0</v>
      </c>
      <c r="R3029">
        <v>1</v>
      </c>
      <c r="S3029" t="s">
        <v>718</v>
      </c>
      <c r="T3029" t="s">
        <v>5050</v>
      </c>
      <c r="U3029">
        <v>1</v>
      </c>
    </row>
    <row r="3030" spans="1:21" x14ac:dyDescent="0.3">
      <c r="A3030" t="s">
        <v>311</v>
      </c>
      <c r="B3030" t="s">
        <v>2415</v>
      </c>
      <c r="C3030" t="s">
        <v>3437</v>
      </c>
      <c r="D3030" t="s">
        <v>222</v>
      </c>
      <c r="E3030" t="s">
        <v>30</v>
      </c>
      <c r="F3030" s="6">
        <v>45657</v>
      </c>
      <c r="G3030">
        <v>5</v>
      </c>
      <c r="H3030">
        <v>5</v>
      </c>
      <c r="I3030">
        <v>1</v>
      </c>
      <c r="J3030">
        <v>1</v>
      </c>
      <c r="K3030" t="s">
        <v>118</v>
      </c>
      <c r="L3030" t="s">
        <v>118</v>
      </c>
      <c r="M3030">
        <v>2024</v>
      </c>
      <c r="N3030" t="s">
        <v>57</v>
      </c>
      <c r="O3030" t="s">
        <v>78</v>
      </c>
      <c r="P3030">
        <v>0</v>
      </c>
      <c r="Q3030">
        <v>0</v>
      </c>
      <c r="R3030">
        <v>1</v>
      </c>
      <c r="S3030" t="s">
        <v>718</v>
      </c>
      <c r="T3030" t="s">
        <v>5051</v>
      </c>
      <c r="U3030">
        <v>1</v>
      </c>
    </row>
    <row r="3031" spans="1:21" x14ac:dyDescent="0.3">
      <c r="A3031" t="s">
        <v>5052</v>
      </c>
      <c r="B3031" t="s">
        <v>5053</v>
      </c>
      <c r="C3031" t="s">
        <v>3331</v>
      </c>
      <c r="D3031" t="s">
        <v>222</v>
      </c>
      <c r="E3031" t="s">
        <v>30</v>
      </c>
      <c r="F3031" s="6">
        <v>45107</v>
      </c>
      <c r="G3031">
        <v>2558</v>
      </c>
      <c r="H3031">
        <v>2500</v>
      </c>
      <c r="I3031">
        <v>0.97732603596559808</v>
      </c>
      <c r="J3031">
        <v>0.97732603596559808</v>
      </c>
      <c r="K3031" t="s">
        <v>118</v>
      </c>
      <c r="L3031" t="s">
        <v>118</v>
      </c>
      <c r="M3031">
        <v>2023</v>
      </c>
      <c r="N3031" t="s">
        <v>44</v>
      </c>
      <c r="O3031" t="s">
        <v>33</v>
      </c>
      <c r="P3031">
        <v>0</v>
      </c>
      <c r="Q3031">
        <v>0</v>
      </c>
      <c r="R3031">
        <v>0</v>
      </c>
      <c r="S3031" t="s">
        <v>718</v>
      </c>
      <c r="T3031" t="s">
        <v>5054</v>
      </c>
      <c r="U3031">
        <v>1</v>
      </c>
    </row>
    <row r="3032" spans="1:21" x14ac:dyDescent="0.3">
      <c r="A3032" t="s">
        <v>5052</v>
      </c>
      <c r="B3032" t="s">
        <v>5053</v>
      </c>
      <c r="C3032" t="s">
        <v>3331</v>
      </c>
      <c r="D3032" t="s">
        <v>222</v>
      </c>
      <c r="E3032" t="s">
        <v>30</v>
      </c>
      <c r="F3032" s="6">
        <v>45291</v>
      </c>
      <c r="G3032">
        <v>5099</v>
      </c>
      <c r="H3032">
        <v>4977</v>
      </c>
      <c r="I3032">
        <v>0.97607373994900959</v>
      </c>
      <c r="J3032">
        <v>0.97607373994900959</v>
      </c>
      <c r="K3032" t="s">
        <v>118</v>
      </c>
      <c r="L3032" t="s">
        <v>118</v>
      </c>
      <c r="M3032">
        <v>2023</v>
      </c>
      <c r="N3032" t="s">
        <v>57</v>
      </c>
      <c r="O3032" t="s">
        <v>47</v>
      </c>
      <c r="P3032">
        <v>0</v>
      </c>
      <c r="Q3032">
        <v>0</v>
      </c>
      <c r="R3032">
        <v>0</v>
      </c>
      <c r="S3032" t="s">
        <v>718</v>
      </c>
      <c r="T3032" t="s">
        <v>5055</v>
      </c>
      <c r="U3032">
        <v>1</v>
      </c>
    </row>
    <row r="3033" spans="1:21" x14ac:dyDescent="0.3">
      <c r="A3033" t="s">
        <v>5052</v>
      </c>
      <c r="B3033" t="s">
        <v>5053</v>
      </c>
      <c r="C3033" t="s">
        <v>3331</v>
      </c>
      <c r="D3033" t="s">
        <v>222</v>
      </c>
      <c r="E3033" t="s">
        <v>30</v>
      </c>
      <c r="F3033" s="6">
        <v>45473</v>
      </c>
      <c r="G3033">
        <v>2575</v>
      </c>
      <c r="H3033">
        <v>2624</v>
      </c>
      <c r="I3033">
        <v>1.019029126213592</v>
      </c>
      <c r="J3033">
        <v>1.019029126213592</v>
      </c>
      <c r="K3033" t="s">
        <v>118</v>
      </c>
      <c r="L3033" t="s">
        <v>118</v>
      </c>
      <c r="M3033">
        <v>2024</v>
      </c>
      <c r="N3033" t="s">
        <v>44</v>
      </c>
      <c r="O3033" t="s">
        <v>71</v>
      </c>
      <c r="P3033">
        <v>0</v>
      </c>
      <c r="Q3033">
        <v>0</v>
      </c>
      <c r="R3033">
        <v>0</v>
      </c>
      <c r="S3033" t="s">
        <v>718</v>
      </c>
      <c r="T3033" t="s">
        <v>5056</v>
      </c>
      <c r="U3033">
        <v>1</v>
      </c>
    </row>
    <row r="3034" spans="1:21" x14ac:dyDescent="0.3">
      <c r="A3034" t="s">
        <v>5052</v>
      </c>
      <c r="B3034" t="s">
        <v>5053</v>
      </c>
      <c r="C3034" t="s">
        <v>3331</v>
      </c>
      <c r="D3034" t="s">
        <v>222</v>
      </c>
      <c r="E3034" t="s">
        <v>30</v>
      </c>
      <c r="F3034" s="6">
        <v>45838</v>
      </c>
      <c r="G3034">
        <v>2677</v>
      </c>
      <c r="H3034">
        <v>2764</v>
      </c>
      <c r="I3034">
        <v>1.0324990661187901</v>
      </c>
      <c r="J3034">
        <v>1.0324990661187901</v>
      </c>
      <c r="K3034" t="s">
        <v>118</v>
      </c>
      <c r="L3034" t="s">
        <v>118</v>
      </c>
      <c r="M3034">
        <v>2025</v>
      </c>
      <c r="N3034" t="s">
        <v>44</v>
      </c>
      <c r="O3034" t="s">
        <v>244</v>
      </c>
      <c r="P3034">
        <v>0</v>
      </c>
      <c r="Q3034">
        <v>0</v>
      </c>
      <c r="R3034">
        <v>0</v>
      </c>
      <c r="S3034" t="s">
        <v>130</v>
      </c>
      <c r="T3034" t="s">
        <v>5057</v>
      </c>
    </row>
    <row r="3035" spans="1:21" x14ac:dyDescent="0.3">
      <c r="A3035" t="s">
        <v>5058</v>
      </c>
      <c r="B3035" t="s">
        <v>5059</v>
      </c>
      <c r="C3035" t="s">
        <v>3331</v>
      </c>
      <c r="D3035" t="s">
        <v>222</v>
      </c>
      <c r="E3035" t="s">
        <v>30</v>
      </c>
      <c r="F3035" s="6">
        <v>45107</v>
      </c>
      <c r="G3035">
        <v>542</v>
      </c>
      <c r="H3035">
        <v>548</v>
      </c>
      <c r="I3035">
        <v>1.0110701107011071</v>
      </c>
      <c r="J3035">
        <v>1.0110701107011071</v>
      </c>
      <c r="K3035" t="s">
        <v>118</v>
      </c>
      <c r="L3035" t="s">
        <v>118</v>
      </c>
      <c r="M3035">
        <v>2023</v>
      </c>
      <c r="N3035" t="s">
        <v>44</v>
      </c>
      <c r="O3035" t="s">
        <v>33</v>
      </c>
      <c r="P3035">
        <v>0</v>
      </c>
      <c r="Q3035">
        <v>0</v>
      </c>
      <c r="R3035">
        <v>0</v>
      </c>
      <c r="S3035" t="s">
        <v>718</v>
      </c>
      <c r="T3035" t="s">
        <v>5060</v>
      </c>
      <c r="U3035">
        <v>1</v>
      </c>
    </row>
    <row r="3036" spans="1:21" x14ac:dyDescent="0.3">
      <c r="A3036" t="s">
        <v>5058</v>
      </c>
      <c r="B3036" t="s">
        <v>5059</v>
      </c>
      <c r="C3036" t="s">
        <v>3331</v>
      </c>
      <c r="D3036" t="s">
        <v>222</v>
      </c>
      <c r="E3036" t="s">
        <v>30</v>
      </c>
      <c r="F3036" s="6">
        <v>45291</v>
      </c>
      <c r="G3036">
        <v>1013</v>
      </c>
      <c r="H3036">
        <v>1000</v>
      </c>
      <c r="I3036">
        <v>0.98716683119447191</v>
      </c>
      <c r="J3036">
        <v>0.98716683119447191</v>
      </c>
      <c r="K3036" t="s">
        <v>118</v>
      </c>
      <c r="L3036" t="s">
        <v>118</v>
      </c>
      <c r="M3036">
        <v>2023</v>
      </c>
      <c r="N3036" t="s">
        <v>57</v>
      </c>
      <c r="O3036" t="s">
        <v>47</v>
      </c>
      <c r="P3036">
        <v>0</v>
      </c>
      <c r="Q3036">
        <v>0</v>
      </c>
      <c r="R3036">
        <v>0</v>
      </c>
      <c r="S3036" t="s">
        <v>718</v>
      </c>
      <c r="T3036" t="s">
        <v>5061</v>
      </c>
      <c r="U3036">
        <v>1</v>
      </c>
    </row>
    <row r="3037" spans="1:21" x14ac:dyDescent="0.3">
      <c r="A3037" t="s">
        <v>5058</v>
      </c>
      <c r="B3037" t="s">
        <v>5059</v>
      </c>
      <c r="C3037" t="s">
        <v>3331</v>
      </c>
      <c r="D3037" t="s">
        <v>222</v>
      </c>
      <c r="E3037" t="s">
        <v>30</v>
      </c>
      <c r="F3037" s="6">
        <v>45473</v>
      </c>
      <c r="G3037">
        <v>582</v>
      </c>
      <c r="H3037">
        <v>562</v>
      </c>
      <c r="I3037">
        <v>0.96563573883161513</v>
      </c>
      <c r="J3037">
        <v>0.96563573883161513</v>
      </c>
      <c r="K3037" t="s">
        <v>118</v>
      </c>
      <c r="L3037" t="s">
        <v>118</v>
      </c>
      <c r="M3037">
        <v>2024</v>
      </c>
      <c r="N3037" t="s">
        <v>44</v>
      </c>
      <c r="O3037" t="s">
        <v>71</v>
      </c>
      <c r="P3037">
        <v>0</v>
      </c>
      <c r="Q3037">
        <v>0</v>
      </c>
      <c r="R3037">
        <v>0</v>
      </c>
      <c r="S3037" t="s">
        <v>718</v>
      </c>
      <c r="T3037" t="s">
        <v>5062</v>
      </c>
      <c r="U3037">
        <v>1</v>
      </c>
    </row>
    <row r="3038" spans="1:21" x14ac:dyDescent="0.3">
      <c r="A3038" t="s">
        <v>5063</v>
      </c>
      <c r="B3038" t="s">
        <v>5064</v>
      </c>
      <c r="C3038" t="s">
        <v>3331</v>
      </c>
      <c r="D3038" t="s">
        <v>222</v>
      </c>
      <c r="E3038" t="s">
        <v>30</v>
      </c>
      <c r="F3038" s="6">
        <v>45107</v>
      </c>
      <c r="G3038">
        <v>15</v>
      </c>
      <c r="H3038">
        <v>21</v>
      </c>
      <c r="I3038">
        <v>1.3</v>
      </c>
      <c r="J3038">
        <v>1.4</v>
      </c>
      <c r="K3038" t="s">
        <v>118</v>
      </c>
      <c r="L3038" t="s">
        <v>118</v>
      </c>
      <c r="M3038">
        <v>2023</v>
      </c>
      <c r="N3038" t="s">
        <v>44</v>
      </c>
      <c r="O3038" t="s">
        <v>33</v>
      </c>
      <c r="P3038">
        <v>0</v>
      </c>
      <c r="Q3038">
        <v>0</v>
      </c>
      <c r="R3038">
        <v>0</v>
      </c>
      <c r="S3038" t="s">
        <v>718</v>
      </c>
      <c r="T3038" t="s">
        <v>5065</v>
      </c>
      <c r="U3038">
        <v>1</v>
      </c>
    </row>
    <row r="3039" spans="1:21" x14ac:dyDescent="0.3">
      <c r="A3039" t="s">
        <v>5063</v>
      </c>
      <c r="B3039" t="s">
        <v>5064</v>
      </c>
      <c r="C3039" t="s">
        <v>3331</v>
      </c>
      <c r="D3039" t="s">
        <v>222</v>
      </c>
      <c r="E3039" t="s">
        <v>30</v>
      </c>
      <c r="F3039" s="6">
        <v>45291</v>
      </c>
      <c r="G3039">
        <v>30</v>
      </c>
      <c r="H3039">
        <v>20</v>
      </c>
      <c r="I3039">
        <v>0.66666666666666663</v>
      </c>
      <c r="J3039">
        <v>0.66666666666666663</v>
      </c>
      <c r="K3039" t="s">
        <v>118</v>
      </c>
      <c r="L3039" t="s">
        <v>118</v>
      </c>
      <c r="M3039">
        <v>2023</v>
      </c>
      <c r="N3039" t="s">
        <v>57</v>
      </c>
      <c r="O3039" t="s">
        <v>47</v>
      </c>
      <c r="P3039">
        <v>0</v>
      </c>
      <c r="Q3039">
        <v>0</v>
      </c>
      <c r="R3039">
        <v>0</v>
      </c>
      <c r="S3039" t="s">
        <v>718</v>
      </c>
      <c r="T3039" t="s">
        <v>5066</v>
      </c>
      <c r="U3039">
        <v>1</v>
      </c>
    </row>
    <row r="3040" spans="1:21" x14ac:dyDescent="0.3">
      <c r="A3040" t="s">
        <v>5063</v>
      </c>
      <c r="B3040" t="s">
        <v>5064</v>
      </c>
      <c r="C3040" t="s">
        <v>3331</v>
      </c>
      <c r="D3040" t="s">
        <v>222</v>
      </c>
      <c r="E3040" t="s">
        <v>30</v>
      </c>
      <c r="F3040" s="6">
        <v>45473</v>
      </c>
      <c r="G3040">
        <v>0</v>
      </c>
      <c r="H3040">
        <v>0</v>
      </c>
      <c r="K3040" t="s">
        <v>118</v>
      </c>
      <c r="L3040" t="s">
        <v>118</v>
      </c>
      <c r="M3040">
        <v>2024</v>
      </c>
      <c r="N3040" t="s">
        <v>44</v>
      </c>
      <c r="O3040" t="s">
        <v>71</v>
      </c>
      <c r="P3040">
        <v>0</v>
      </c>
      <c r="Q3040">
        <v>0</v>
      </c>
      <c r="R3040">
        <v>0</v>
      </c>
      <c r="S3040" t="s">
        <v>718</v>
      </c>
      <c r="T3040" t="s">
        <v>5067</v>
      </c>
      <c r="U3040">
        <v>1</v>
      </c>
    </row>
    <row r="3041" spans="1:21" x14ac:dyDescent="0.3">
      <c r="A3041" t="s">
        <v>5068</v>
      </c>
      <c r="B3041" t="s">
        <v>5069</v>
      </c>
      <c r="C3041" t="s">
        <v>3331</v>
      </c>
      <c r="D3041" t="s">
        <v>222</v>
      </c>
      <c r="E3041" t="s">
        <v>30</v>
      </c>
      <c r="F3041" s="6">
        <v>45107</v>
      </c>
      <c r="G3041">
        <v>557</v>
      </c>
      <c r="H3041">
        <v>569</v>
      </c>
      <c r="I3041">
        <v>1.0215439856373429</v>
      </c>
      <c r="J3041">
        <v>1.0215439856373429</v>
      </c>
      <c r="K3041" t="s">
        <v>118</v>
      </c>
      <c r="L3041" t="s">
        <v>118</v>
      </c>
      <c r="M3041">
        <v>2023</v>
      </c>
      <c r="N3041" t="s">
        <v>44</v>
      </c>
      <c r="O3041" t="s">
        <v>33</v>
      </c>
      <c r="P3041">
        <v>0</v>
      </c>
      <c r="Q3041">
        <v>0</v>
      </c>
      <c r="R3041">
        <v>0</v>
      </c>
      <c r="S3041" t="s">
        <v>718</v>
      </c>
      <c r="T3041" t="s">
        <v>5070</v>
      </c>
      <c r="U3041">
        <v>1</v>
      </c>
    </row>
    <row r="3042" spans="1:21" x14ac:dyDescent="0.3">
      <c r="A3042" t="s">
        <v>5068</v>
      </c>
      <c r="B3042" t="s">
        <v>5069</v>
      </c>
      <c r="C3042" t="s">
        <v>3331</v>
      </c>
      <c r="D3042" t="s">
        <v>222</v>
      </c>
      <c r="E3042" t="s">
        <v>30</v>
      </c>
      <c r="F3042" s="6">
        <v>45291</v>
      </c>
      <c r="G3042">
        <v>1043</v>
      </c>
      <c r="H3042">
        <v>1020</v>
      </c>
      <c r="I3042">
        <v>0.97794822627037392</v>
      </c>
      <c r="J3042">
        <v>0.97794822627037392</v>
      </c>
      <c r="K3042" t="s">
        <v>118</v>
      </c>
      <c r="L3042" t="s">
        <v>118</v>
      </c>
      <c r="M3042">
        <v>2023</v>
      </c>
      <c r="N3042" t="s">
        <v>57</v>
      </c>
      <c r="O3042" t="s">
        <v>47</v>
      </c>
      <c r="P3042">
        <v>0</v>
      </c>
      <c r="Q3042">
        <v>0</v>
      </c>
      <c r="R3042">
        <v>0</v>
      </c>
      <c r="S3042" t="s">
        <v>718</v>
      </c>
      <c r="T3042" t="s">
        <v>5071</v>
      </c>
      <c r="U3042">
        <v>1</v>
      </c>
    </row>
    <row r="3043" spans="1:21" x14ac:dyDescent="0.3">
      <c r="A3043" t="s">
        <v>5068</v>
      </c>
      <c r="B3043" t="s">
        <v>5069</v>
      </c>
      <c r="C3043" t="s">
        <v>3331</v>
      </c>
      <c r="D3043" t="s">
        <v>222</v>
      </c>
      <c r="E3043" t="s">
        <v>30</v>
      </c>
      <c r="F3043" s="6">
        <v>45473</v>
      </c>
      <c r="G3043">
        <v>582</v>
      </c>
      <c r="H3043">
        <v>562</v>
      </c>
      <c r="I3043">
        <v>0.96563573883161513</v>
      </c>
      <c r="J3043">
        <v>0.96563573883161513</v>
      </c>
      <c r="K3043" t="s">
        <v>118</v>
      </c>
      <c r="L3043" t="s">
        <v>118</v>
      </c>
      <c r="M3043">
        <v>2024</v>
      </c>
      <c r="N3043" t="s">
        <v>44</v>
      </c>
      <c r="O3043" t="s">
        <v>71</v>
      </c>
      <c r="P3043">
        <v>0</v>
      </c>
      <c r="Q3043">
        <v>0</v>
      </c>
      <c r="R3043">
        <v>0</v>
      </c>
      <c r="S3043" t="s">
        <v>718</v>
      </c>
      <c r="T3043" t="s">
        <v>5072</v>
      </c>
      <c r="U3043">
        <v>1</v>
      </c>
    </row>
    <row r="3044" spans="1:21" x14ac:dyDescent="0.3">
      <c r="A3044" t="s">
        <v>5068</v>
      </c>
      <c r="B3044" t="s">
        <v>5069</v>
      </c>
      <c r="C3044" t="s">
        <v>3331</v>
      </c>
      <c r="D3044" t="s">
        <v>222</v>
      </c>
      <c r="E3044" t="s">
        <v>30</v>
      </c>
      <c r="F3044" s="6">
        <v>45838</v>
      </c>
      <c r="G3044">
        <v>582</v>
      </c>
      <c r="H3044">
        <v>562</v>
      </c>
      <c r="I3044">
        <v>0.96563573883161513</v>
      </c>
      <c r="J3044">
        <v>0.96563573883161513</v>
      </c>
      <c r="K3044" t="s">
        <v>118</v>
      </c>
      <c r="L3044" t="s">
        <v>118</v>
      </c>
      <c r="M3044">
        <v>2025</v>
      </c>
      <c r="N3044" t="s">
        <v>44</v>
      </c>
      <c r="O3044" t="s">
        <v>244</v>
      </c>
      <c r="P3044">
        <v>0</v>
      </c>
      <c r="Q3044">
        <v>0</v>
      </c>
      <c r="R3044">
        <v>0</v>
      </c>
      <c r="S3044" t="s">
        <v>130</v>
      </c>
      <c r="T3044" t="s">
        <v>5073</v>
      </c>
    </row>
    <row r="3045" spans="1:21" x14ac:dyDescent="0.3">
      <c r="A3045" t="s">
        <v>5074</v>
      </c>
      <c r="B3045" t="s">
        <v>5075</v>
      </c>
      <c r="C3045" t="s">
        <v>3331</v>
      </c>
      <c r="D3045" t="s">
        <v>222</v>
      </c>
      <c r="E3045" t="s">
        <v>30</v>
      </c>
      <c r="F3045" s="6">
        <v>45107</v>
      </c>
      <c r="G3045">
        <v>1987</v>
      </c>
      <c r="H3045">
        <v>1895</v>
      </c>
      <c r="I3045">
        <v>0.95369904378459991</v>
      </c>
      <c r="J3045">
        <v>0.95369904378459991</v>
      </c>
      <c r="K3045" t="s">
        <v>118</v>
      </c>
      <c r="L3045" t="s">
        <v>118</v>
      </c>
      <c r="M3045">
        <v>2023</v>
      </c>
      <c r="N3045" t="s">
        <v>44</v>
      </c>
      <c r="O3045" t="s">
        <v>33</v>
      </c>
      <c r="P3045">
        <v>0</v>
      </c>
      <c r="Q3045">
        <v>0</v>
      </c>
      <c r="R3045">
        <v>0</v>
      </c>
      <c r="S3045" t="s">
        <v>718</v>
      </c>
      <c r="T3045" t="s">
        <v>5076</v>
      </c>
      <c r="U3045">
        <v>1</v>
      </c>
    </row>
    <row r="3046" spans="1:21" x14ac:dyDescent="0.3">
      <c r="A3046" t="s">
        <v>5074</v>
      </c>
      <c r="B3046" t="s">
        <v>5075</v>
      </c>
      <c r="C3046" t="s">
        <v>3331</v>
      </c>
      <c r="D3046" t="s">
        <v>222</v>
      </c>
      <c r="E3046" t="s">
        <v>30</v>
      </c>
      <c r="F3046" s="6">
        <v>45291</v>
      </c>
      <c r="G3046">
        <v>4056</v>
      </c>
      <c r="H3046">
        <v>3957</v>
      </c>
      <c r="I3046">
        <v>0.97559171597633132</v>
      </c>
      <c r="J3046">
        <v>0.97559171597633132</v>
      </c>
      <c r="K3046" t="s">
        <v>118</v>
      </c>
      <c r="L3046" t="s">
        <v>118</v>
      </c>
      <c r="M3046">
        <v>2023</v>
      </c>
      <c r="N3046" t="s">
        <v>57</v>
      </c>
      <c r="O3046" t="s">
        <v>47</v>
      </c>
      <c r="P3046">
        <v>0</v>
      </c>
      <c r="Q3046">
        <v>0</v>
      </c>
      <c r="R3046">
        <v>0</v>
      </c>
      <c r="S3046" t="s">
        <v>718</v>
      </c>
      <c r="T3046" t="s">
        <v>5077</v>
      </c>
      <c r="U3046">
        <v>1</v>
      </c>
    </row>
    <row r="3047" spans="1:21" x14ac:dyDescent="0.3">
      <c r="A3047" t="s">
        <v>5074</v>
      </c>
      <c r="B3047" t="s">
        <v>5075</v>
      </c>
      <c r="C3047" t="s">
        <v>3331</v>
      </c>
      <c r="D3047" t="s">
        <v>222</v>
      </c>
      <c r="E3047" t="s">
        <v>30</v>
      </c>
      <c r="F3047" s="6">
        <v>45473</v>
      </c>
      <c r="G3047">
        <v>1992.779485500268</v>
      </c>
      <c r="H3047">
        <v>2062</v>
      </c>
      <c r="I3047">
        <v>1.03473566192516</v>
      </c>
      <c r="J3047">
        <v>1.03473566192516</v>
      </c>
      <c r="K3047" t="s">
        <v>118</v>
      </c>
      <c r="L3047" t="s">
        <v>118</v>
      </c>
      <c r="M3047">
        <v>2024</v>
      </c>
      <c r="N3047" t="s">
        <v>44</v>
      </c>
      <c r="O3047" t="s">
        <v>71</v>
      </c>
      <c r="P3047">
        <v>0</v>
      </c>
      <c r="Q3047">
        <v>0</v>
      </c>
      <c r="R3047">
        <v>0</v>
      </c>
      <c r="S3047" t="s">
        <v>718</v>
      </c>
      <c r="T3047" t="s">
        <v>5078</v>
      </c>
      <c r="U3047">
        <v>1</v>
      </c>
    </row>
    <row r="3048" spans="1:21" x14ac:dyDescent="0.3">
      <c r="A3048" t="s">
        <v>5074</v>
      </c>
      <c r="B3048" t="s">
        <v>5079</v>
      </c>
      <c r="C3048" t="s">
        <v>3331</v>
      </c>
      <c r="D3048" t="s">
        <v>222</v>
      </c>
      <c r="E3048" t="s">
        <v>30</v>
      </c>
      <c r="F3048" s="6">
        <v>45838</v>
      </c>
      <c r="G3048">
        <v>2107</v>
      </c>
      <c r="H3048">
        <v>2219</v>
      </c>
      <c r="I3048">
        <v>1.0531561461794019</v>
      </c>
      <c r="J3048">
        <v>1.0531561461794019</v>
      </c>
      <c r="K3048" t="s">
        <v>118</v>
      </c>
      <c r="L3048" t="s">
        <v>118</v>
      </c>
      <c r="M3048">
        <v>2025</v>
      </c>
      <c r="N3048" t="s">
        <v>44</v>
      </c>
      <c r="O3048" t="s">
        <v>244</v>
      </c>
      <c r="P3048">
        <v>0</v>
      </c>
      <c r="Q3048">
        <v>0</v>
      </c>
      <c r="R3048">
        <v>0</v>
      </c>
      <c r="S3048" t="s">
        <v>130</v>
      </c>
      <c r="T3048" t="s">
        <v>5080</v>
      </c>
    </row>
    <row r="3049" spans="1:21" x14ac:dyDescent="0.3">
      <c r="A3049" t="s">
        <v>5081</v>
      </c>
      <c r="B3049" t="s">
        <v>5082</v>
      </c>
      <c r="C3049" t="s">
        <v>3331</v>
      </c>
      <c r="D3049" t="s">
        <v>222</v>
      </c>
      <c r="E3049" t="s">
        <v>30</v>
      </c>
      <c r="F3049" s="6">
        <v>45107</v>
      </c>
      <c r="G3049">
        <v>7464800310</v>
      </c>
      <c r="H3049">
        <v>6799687380</v>
      </c>
      <c r="I3049">
        <v>0.91090010417170819</v>
      </c>
      <c r="J3049">
        <v>0.91090010417170819</v>
      </c>
      <c r="K3049" t="s">
        <v>335</v>
      </c>
      <c r="L3049" t="s">
        <v>335</v>
      </c>
      <c r="M3049">
        <v>2023</v>
      </c>
      <c r="N3049" t="s">
        <v>44</v>
      </c>
      <c r="O3049" t="s">
        <v>33</v>
      </c>
      <c r="P3049">
        <v>0</v>
      </c>
      <c r="Q3049">
        <v>0</v>
      </c>
      <c r="R3049">
        <v>0</v>
      </c>
      <c r="S3049" t="s">
        <v>336</v>
      </c>
      <c r="T3049" t="s">
        <v>5083</v>
      </c>
      <c r="U3049">
        <v>1</v>
      </c>
    </row>
    <row r="3050" spans="1:21" x14ac:dyDescent="0.3">
      <c r="A3050" t="s">
        <v>5081</v>
      </c>
      <c r="B3050" t="s">
        <v>5082</v>
      </c>
      <c r="C3050" t="s">
        <v>3331</v>
      </c>
      <c r="D3050" t="s">
        <v>222</v>
      </c>
      <c r="E3050" t="s">
        <v>30</v>
      </c>
      <c r="F3050" s="6">
        <v>45291</v>
      </c>
      <c r="G3050">
        <v>16525</v>
      </c>
      <c r="H3050">
        <v>17050</v>
      </c>
      <c r="I3050">
        <v>1.031770045385779</v>
      </c>
      <c r="J3050">
        <v>1.031770045385779</v>
      </c>
      <c r="K3050" t="s">
        <v>335</v>
      </c>
      <c r="L3050" t="s">
        <v>335</v>
      </c>
      <c r="M3050">
        <v>2023</v>
      </c>
      <c r="N3050" t="s">
        <v>57</v>
      </c>
      <c r="O3050" t="s">
        <v>47</v>
      </c>
      <c r="P3050">
        <v>0</v>
      </c>
      <c r="Q3050">
        <v>0</v>
      </c>
      <c r="R3050">
        <v>0</v>
      </c>
      <c r="S3050" t="s">
        <v>336</v>
      </c>
      <c r="T3050" t="s">
        <v>5084</v>
      </c>
      <c r="U3050">
        <v>1</v>
      </c>
    </row>
    <row r="3051" spans="1:21" x14ac:dyDescent="0.3">
      <c r="A3051" t="s">
        <v>5081</v>
      </c>
      <c r="B3051" t="s">
        <v>5082</v>
      </c>
      <c r="C3051" t="s">
        <v>3331</v>
      </c>
      <c r="D3051" t="s">
        <v>222</v>
      </c>
      <c r="E3051" t="s">
        <v>30</v>
      </c>
      <c r="F3051" s="6">
        <v>45473</v>
      </c>
      <c r="G3051">
        <v>8924.4965414416911</v>
      </c>
      <c r="H3051">
        <v>10555.383198</v>
      </c>
      <c r="I3051">
        <v>1.1827427069958669</v>
      </c>
      <c r="J3051">
        <v>1.1827427069958669</v>
      </c>
      <c r="K3051" t="s">
        <v>335</v>
      </c>
      <c r="L3051" t="s">
        <v>335</v>
      </c>
      <c r="M3051">
        <v>2024</v>
      </c>
      <c r="N3051" t="s">
        <v>44</v>
      </c>
      <c r="O3051" t="s">
        <v>71</v>
      </c>
      <c r="P3051">
        <v>0</v>
      </c>
      <c r="Q3051">
        <v>0</v>
      </c>
      <c r="R3051">
        <v>0</v>
      </c>
      <c r="S3051" t="s">
        <v>336</v>
      </c>
      <c r="T3051" t="s">
        <v>5085</v>
      </c>
      <c r="U3051">
        <v>1</v>
      </c>
    </row>
    <row r="3052" spans="1:21" x14ac:dyDescent="0.3">
      <c r="A3052" t="s">
        <v>5081</v>
      </c>
      <c r="B3052" t="s">
        <v>5082</v>
      </c>
      <c r="C3052" t="s">
        <v>3331</v>
      </c>
      <c r="D3052" t="s">
        <v>222</v>
      </c>
      <c r="E3052" t="s">
        <v>30</v>
      </c>
      <c r="F3052" s="6">
        <v>45838</v>
      </c>
      <c r="G3052">
        <v>100</v>
      </c>
      <c r="H3052">
        <v>107.61</v>
      </c>
      <c r="I3052">
        <v>1.0761000000000001</v>
      </c>
      <c r="J3052">
        <v>1.0761000000000001</v>
      </c>
      <c r="K3052" t="s">
        <v>31</v>
      </c>
      <c r="L3052" t="s">
        <v>31</v>
      </c>
      <c r="M3052">
        <v>2025</v>
      </c>
      <c r="N3052" t="s">
        <v>44</v>
      </c>
      <c r="O3052" t="s">
        <v>244</v>
      </c>
      <c r="P3052">
        <v>0</v>
      </c>
      <c r="Q3052">
        <v>0</v>
      </c>
      <c r="R3052">
        <v>0</v>
      </c>
      <c r="S3052" t="s">
        <v>130</v>
      </c>
      <c r="T3052" t="s">
        <v>5086</v>
      </c>
    </row>
    <row r="3053" spans="1:21" x14ac:dyDescent="0.3">
      <c r="A3053" t="s">
        <v>5087</v>
      </c>
      <c r="B3053" t="s">
        <v>5088</v>
      </c>
      <c r="C3053" t="s">
        <v>3331</v>
      </c>
      <c r="D3053" t="s">
        <v>222</v>
      </c>
      <c r="E3053" t="s">
        <v>30</v>
      </c>
      <c r="F3053" s="6">
        <v>45107</v>
      </c>
      <c r="G3053">
        <v>310095319</v>
      </c>
      <c r="H3053">
        <v>306819161</v>
      </c>
      <c r="I3053">
        <v>0.98943499692105963</v>
      </c>
      <c r="J3053">
        <v>0.98943499692105963</v>
      </c>
      <c r="K3053" t="s">
        <v>335</v>
      </c>
      <c r="L3053" t="s">
        <v>335</v>
      </c>
      <c r="M3053">
        <v>2023</v>
      </c>
      <c r="N3053" t="s">
        <v>44</v>
      </c>
      <c r="O3053" t="s">
        <v>33</v>
      </c>
      <c r="P3053">
        <v>0</v>
      </c>
      <c r="Q3053">
        <v>0</v>
      </c>
      <c r="R3053">
        <v>0</v>
      </c>
      <c r="S3053" t="s">
        <v>336</v>
      </c>
      <c r="T3053" t="s">
        <v>5089</v>
      </c>
      <c r="U3053">
        <v>1</v>
      </c>
    </row>
    <row r="3054" spans="1:21" x14ac:dyDescent="0.3">
      <c r="A3054" t="s">
        <v>5087</v>
      </c>
      <c r="B3054" t="s">
        <v>5088</v>
      </c>
      <c r="C3054" t="s">
        <v>3331</v>
      </c>
      <c r="D3054" t="s">
        <v>222</v>
      </c>
      <c r="E3054" t="s">
        <v>30</v>
      </c>
      <c r="F3054" s="6">
        <v>45291</v>
      </c>
      <c r="G3054">
        <v>758</v>
      </c>
      <c r="H3054">
        <v>306</v>
      </c>
      <c r="I3054">
        <v>0.40369393139841692</v>
      </c>
      <c r="J3054">
        <v>0.40369393139841692</v>
      </c>
      <c r="K3054" t="s">
        <v>335</v>
      </c>
      <c r="L3054" t="s">
        <v>335</v>
      </c>
      <c r="M3054">
        <v>2023</v>
      </c>
      <c r="N3054" t="s">
        <v>57</v>
      </c>
      <c r="O3054" t="s">
        <v>47</v>
      </c>
      <c r="P3054">
        <v>0</v>
      </c>
      <c r="Q3054">
        <v>0</v>
      </c>
      <c r="R3054">
        <v>0</v>
      </c>
      <c r="S3054" t="s">
        <v>336</v>
      </c>
      <c r="T3054" t="s">
        <v>5090</v>
      </c>
      <c r="U3054">
        <v>1</v>
      </c>
    </row>
    <row r="3055" spans="1:21" x14ac:dyDescent="0.3">
      <c r="A3055" t="s">
        <v>5087</v>
      </c>
      <c r="B3055" t="s">
        <v>5088</v>
      </c>
      <c r="C3055" t="s">
        <v>3331</v>
      </c>
      <c r="D3055" t="s">
        <v>222</v>
      </c>
      <c r="E3055" t="s">
        <v>30</v>
      </c>
      <c r="F3055" s="6">
        <v>45473</v>
      </c>
      <c r="G3055">
        <v>1028.02888967371</v>
      </c>
      <c r="H3055">
        <v>1782.0250679999999</v>
      </c>
      <c r="I3055">
        <v>1.3</v>
      </c>
      <c r="J3055">
        <v>1.7334387057601111</v>
      </c>
      <c r="K3055" t="s">
        <v>335</v>
      </c>
      <c r="L3055" t="s">
        <v>335</v>
      </c>
      <c r="M3055">
        <v>2024</v>
      </c>
      <c r="N3055" t="s">
        <v>44</v>
      </c>
      <c r="O3055" t="s">
        <v>71</v>
      </c>
      <c r="P3055">
        <v>0</v>
      </c>
      <c r="Q3055">
        <v>0</v>
      </c>
      <c r="R3055">
        <v>0</v>
      </c>
      <c r="S3055" t="s">
        <v>336</v>
      </c>
      <c r="T3055" t="s">
        <v>5091</v>
      </c>
      <c r="U3055">
        <v>1</v>
      </c>
    </row>
    <row r="3056" spans="1:21" x14ac:dyDescent="0.3">
      <c r="A3056" t="s">
        <v>5087</v>
      </c>
      <c r="B3056" t="s">
        <v>5088</v>
      </c>
      <c r="C3056" t="s">
        <v>3331</v>
      </c>
      <c r="D3056" t="s">
        <v>222</v>
      </c>
      <c r="E3056" t="s">
        <v>30</v>
      </c>
      <c r="F3056" s="6">
        <v>45838</v>
      </c>
      <c r="G3056">
        <v>100</v>
      </c>
      <c r="H3056">
        <v>143.04</v>
      </c>
      <c r="I3056">
        <v>1.3</v>
      </c>
      <c r="J3056">
        <v>1.4303999999999999</v>
      </c>
      <c r="K3056" t="s">
        <v>31</v>
      </c>
      <c r="L3056" t="s">
        <v>31</v>
      </c>
      <c r="M3056">
        <v>2025</v>
      </c>
      <c r="N3056" t="s">
        <v>44</v>
      </c>
      <c r="O3056" t="s">
        <v>244</v>
      </c>
      <c r="P3056">
        <v>0</v>
      </c>
      <c r="Q3056">
        <v>0</v>
      </c>
      <c r="R3056">
        <v>0</v>
      </c>
      <c r="S3056" t="s">
        <v>130</v>
      </c>
      <c r="T3056" t="s">
        <v>5092</v>
      </c>
    </row>
    <row r="3057" spans="1:21" x14ac:dyDescent="0.3">
      <c r="A3057" t="s">
        <v>5093</v>
      </c>
      <c r="B3057" t="s">
        <v>5094</v>
      </c>
      <c r="C3057" t="s">
        <v>3331</v>
      </c>
      <c r="D3057" t="s">
        <v>222</v>
      </c>
      <c r="E3057" t="s">
        <v>30</v>
      </c>
      <c r="F3057" s="6">
        <v>45107</v>
      </c>
      <c r="G3057">
        <v>8320861622</v>
      </c>
      <c r="H3057">
        <v>7224513910</v>
      </c>
      <c r="I3057">
        <v>0.86824108345927731</v>
      </c>
      <c r="J3057">
        <v>0.86824108345927731</v>
      </c>
      <c r="K3057" t="s">
        <v>335</v>
      </c>
      <c r="L3057" t="s">
        <v>335</v>
      </c>
      <c r="M3057">
        <v>2023</v>
      </c>
      <c r="N3057" t="s">
        <v>44</v>
      </c>
      <c r="O3057" t="s">
        <v>33</v>
      </c>
      <c r="P3057">
        <v>0</v>
      </c>
      <c r="Q3057">
        <v>0</v>
      </c>
      <c r="R3057">
        <v>0</v>
      </c>
      <c r="S3057" t="s">
        <v>336</v>
      </c>
      <c r="T3057" t="s">
        <v>5095</v>
      </c>
      <c r="U3057">
        <v>1</v>
      </c>
    </row>
    <row r="3058" spans="1:21" x14ac:dyDescent="0.3">
      <c r="A3058" t="s">
        <v>5096</v>
      </c>
      <c r="B3058" t="s">
        <v>5097</v>
      </c>
      <c r="C3058" t="s">
        <v>3331</v>
      </c>
      <c r="D3058" t="s">
        <v>222</v>
      </c>
      <c r="E3058" t="s">
        <v>30</v>
      </c>
      <c r="F3058" s="6">
        <v>45107</v>
      </c>
      <c r="G3058">
        <v>95</v>
      </c>
      <c r="H3058">
        <v>93</v>
      </c>
      <c r="I3058">
        <v>0.97894736842105268</v>
      </c>
      <c r="J3058">
        <v>0.97894736842105268</v>
      </c>
      <c r="K3058" t="s">
        <v>31</v>
      </c>
      <c r="L3058" t="s">
        <v>31</v>
      </c>
      <c r="M3058">
        <v>2023</v>
      </c>
      <c r="N3058" t="s">
        <v>44</v>
      </c>
      <c r="O3058" t="s">
        <v>33</v>
      </c>
      <c r="P3058">
        <v>0</v>
      </c>
      <c r="Q3058">
        <v>0</v>
      </c>
      <c r="R3058">
        <v>0</v>
      </c>
      <c r="S3058" t="s">
        <v>336</v>
      </c>
      <c r="T3058" t="s">
        <v>5098</v>
      </c>
      <c r="U3058">
        <v>1</v>
      </c>
    </row>
    <row r="3059" spans="1:21" x14ac:dyDescent="0.3">
      <c r="A3059" t="s">
        <v>5096</v>
      </c>
      <c r="B3059" t="s">
        <v>5097</v>
      </c>
      <c r="C3059" t="s">
        <v>3331</v>
      </c>
      <c r="D3059" t="s">
        <v>222</v>
      </c>
      <c r="E3059" t="s">
        <v>30</v>
      </c>
      <c r="F3059" s="6">
        <v>45291</v>
      </c>
      <c r="G3059">
        <v>100</v>
      </c>
      <c r="H3059">
        <v>100</v>
      </c>
      <c r="I3059">
        <v>1</v>
      </c>
      <c r="J3059">
        <v>1</v>
      </c>
      <c r="K3059" t="s">
        <v>31</v>
      </c>
      <c r="L3059" t="s">
        <v>31</v>
      </c>
      <c r="M3059">
        <v>2023</v>
      </c>
      <c r="N3059" t="s">
        <v>57</v>
      </c>
      <c r="O3059" t="s">
        <v>47</v>
      </c>
      <c r="P3059">
        <v>0</v>
      </c>
      <c r="Q3059">
        <v>0</v>
      </c>
      <c r="R3059">
        <v>0</v>
      </c>
      <c r="S3059" t="s">
        <v>336</v>
      </c>
      <c r="T3059" t="s">
        <v>5099</v>
      </c>
      <c r="U3059">
        <v>1</v>
      </c>
    </row>
    <row r="3060" spans="1:21" x14ac:dyDescent="0.3">
      <c r="A3060" t="s">
        <v>5100</v>
      </c>
      <c r="B3060" t="s">
        <v>5101</v>
      </c>
      <c r="C3060" t="s">
        <v>3331</v>
      </c>
      <c r="D3060" t="s">
        <v>222</v>
      </c>
      <c r="E3060" t="s">
        <v>30</v>
      </c>
      <c r="F3060" s="6">
        <v>45107</v>
      </c>
      <c r="G3060">
        <v>60</v>
      </c>
      <c r="H3060">
        <v>66</v>
      </c>
      <c r="I3060">
        <v>1.1000000000000001</v>
      </c>
      <c r="J3060">
        <v>1.1000000000000001</v>
      </c>
      <c r="K3060" t="s">
        <v>31</v>
      </c>
      <c r="L3060" t="s">
        <v>31</v>
      </c>
      <c r="M3060">
        <v>2023</v>
      </c>
      <c r="N3060" t="s">
        <v>44</v>
      </c>
      <c r="O3060" t="s">
        <v>33</v>
      </c>
      <c r="P3060">
        <v>0</v>
      </c>
      <c r="Q3060">
        <v>0</v>
      </c>
      <c r="R3060">
        <v>0</v>
      </c>
      <c r="S3060" t="s">
        <v>99</v>
      </c>
      <c r="T3060" t="s">
        <v>5102</v>
      </c>
      <c r="U3060">
        <v>1</v>
      </c>
    </row>
    <row r="3061" spans="1:21" x14ac:dyDescent="0.3">
      <c r="A3061" t="s">
        <v>5100</v>
      </c>
      <c r="B3061" t="s">
        <v>5101</v>
      </c>
      <c r="C3061" t="s">
        <v>3331</v>
      </c>
      <c r="D3061" t="s">
        <v>222</v>
      </c>
      <c r="E3061" t="s">
        <v>30</v>
      </c>
      <c r="F3061" s="6">
        <v>45291</v>
      </c>
      <c r="G3061">
        <v>100</v>
      </c>
      <c r="H3061">
        <v>86</v>
      </c>
      <c r="I3061">
        <v>0.86</v>
      </c>
      <c r="J3061">
        <v>0.86</v>
      </c>
      <c r="K3061" t="s">
        <v>31</v>
      </c>
      <c r="L3061" t="s">
        <v>31</v>
      </c>
      <c r="M3061">
        <v>2023</v>
      </c>
      <c r="N3061" t="s">
        <v>57</v>
      </c>
      <c r="O3061" t="s">
        <v>47</v>
      </c>
      <c r="P3061">
        <v>0</v>
      </c>
      <c r="Q3061">
        <v>0</v>
      </c>
      <c r="R3061">
        <v>0</v>
      </c>
      <c r="S3061" t="s">
        <v>99</v>
      </c>
      <c r="T3061" t="s">
        <v>5103</v>
      </c>
      <c r="U3061">
        <v>1</v>
      </c>
    </row>
    <row r="3062" spans="1:21" x14ac:dyDescent="0.3">
      <c r="A3062" t="s">
        <v>5100</v>
      </c>
      <c r="B3062" t="s">
        <v>5101</v>
      </c>
      <c r="C3062" t="s">
        <v>3331</v>
      </c>
      <c r="D3062" t="s">
        <v>222</v>
      </c>
      <c r="E3062" t="s">
        <v>30</v>
      </c>
      <c r="F3062" s="6">
        <v>45473</v>
      </c>
      <c r="G3062">
        <v>65.95</v>
      </c>
      <c r="H3062">
        <v>62.83</v>
      </c>
      <c r="I3062">
        <v>0.95269143290371483</v>
      </c>
      <c r="J3062">
        <v>0.95269143290371483</v>
      </c>
      <c r="K3062" t="s">
        <v>31</v>
      </c>
      <c r="L3062" t="s">
        <v>31</v>
      </c>
      <c r="M3062">
        <v>2024</v>
      </c>
      <c r="N3062" t="s">
        <v>44</v>
      </c>
      <c r="O3062" t="s">
        <v>71</v>
      </c>
      <c r="P3062">
        <v>0</v>
      </c>
      <c r="Q3062">
        <v>0</v>
      </c>
      <c r="R3062">
        <v>0</v>
      </c>
      <c r="S3062" t="s">
        <v>99</v>
      </c>
      <c r="T3062" t="s">
        <v>5104</v>
      </c>
      <c r="U3062">
        <v>1</v>
      </c>
    </row>
    <row r="3063" spans="1:21" x14ac:dyDescent="0.3">
      <c r="A3063" t="s">
        <v>5100</v>
      </c>
      <c r="B3063" t="s">
        <v>5101</v>
      </c>
      <c r="C3063" t="s">
        <v>3331</v>
      </c>
      <c r="D3063" t="s">
        <v>222</v>
      </c>
      <c r="E3063" t="s">
        <v>30</v>
      </c>
      <c r="F3063" s="6">
        <v>45838</v>
      </c>
      <c r="G3063">
        <v>69</v>
      </c>
      <c r="H3063">
        <v>47</v>
      </c>
      <c r="I3063">
        <v>0.6811594202898551</v>
      </c>
      <c r="J3063">
        <v>0.6811594202898551</v>
      </c>
      <c r="K3063" t="s">
        <v>31</v>
      </c>
      <c r="L3063" t="s">
        <v>31</v>
      </c>
      <c r="M3063">
        <v>2025</v>
      </c>
      <c r="N3063" t="s">
        <v>44</v>
      </c>
      <c r="O3063" t="s">
        <v>244</v>
      </c>
      <c r="P3063">
        <v>0</v>
      </c>
      <c r="Q3063">
        <v>0</v>
      </c>
      <c r="R3063">
        <v>0</v>
      </c>
      <c r="S3063" t="s">
        <v>130</v>
      </c>
      <c r="T3063" t="s">
        <v>5105</v>
      </c>
    </row>
    <row r="3064" spans="1:21" x14ac:dyDescent="0.3">
      <c r="A3064" t="s">
        <v>5106</v>
      </c>
      <c r="B3064" t="s">
        <v>5107</v>
      </c>
      <c r="C3064" t="s">
        <v>3331</v>
      </c>
      <c r="D3064" t="s">
        <v>222</v>
      </c>
      <c r="E3064" t="s">
        <v>30</v>
      </c>
      <c r="F3064" s="6">
        <v>45107</v>
      </c>
      <c r="G3064">
        <v>2</v>
      </c>
      <c r="H3064">
        <v>2</v>
      </c>
      <c r="I3064">
        <v>1</v>
      </c>
      <c r="J3064">
        <v>1</v>
      </c>
      <c r="K3064" t="s">
        <v>118</v>
      </c>
      <c r="L3064" t="s">
        <v>118</v>
      </c>
      <c r="M3064">
        <v>2023</v>
      </c>
      <c r="N3064" t="s">
        <v>44</v>
      </c>
      <c r="O3064" t="s">
        <v>33</v>
      </c>
      <c r="P3064">
        <v>0</v>
      </c>
      <c r="Q3064">
        <v>0</v>
      </c>
      <c r="R3064">
        <v>0</v>
      </c>
      <c r="S3064" t="s">
        <v>336</v>
      </c>
      <c r="T3064" t="s">
        <v>5108</v>
      </c>
      <c r="U3064">
        <v>1</v>
      </c>
    </row>
    <row r="3065" spans="1:21" x14ac:dyDescent="0.3">
      <c r="A3065" t="s">
        <v>5106</v>
      </c>
      <c r="B3065" t="s">
        <v>5107</v>
      </c>
      <c r="C3065" t="s">
        <v>3331</v>
      </c>
      <c r="D3065" t="s">
        <v>222</v>
      </c>
      <c r="E3065" t="s">
        <v>30</v>
      </c>
      <c r="F3065" s="6">
        <v>45291</v>
      </c>
      <c r="G3065">
        <v>2</v>
      </c>
      <c r="H3065">
        <v>2</v>
      </c>
      <c r="I3065">
        <v>1</v>
      </c>
      <c r="J3065">
        <v>1</v>
      </c>
      <c r="K3065" t="s">
        <v>118</v>
      </c>
      <c r="L3065" t="s">
        <v>118</v>
      </c>
      <c r="M3065">
        <v>2023</v>
      </c>
      <c r="N3065" t="s">
        <v>57</v>
      </c>
      <c r="O3065" t="s">
        <v>47</v>
      </c>
      <c r="P3065">
        <v>0</v>
      </c>
      <c r="Q3065">
        <v>0</v>
      </c>
      <c r="R3065">
        <v>0</v>
      </c>
      <c r="S3065" t="s">
        <v>336</v>
      </c>
      <c r="T3065" t="s">
        <v>5109</v>
      </c>
      <c r="U3065">
        <v>1</v>
      </c>
    </row>
    <row r="3066" spans="1:21" x14ac:dyDescent="0.3">
      <c r="A3066" t="s">
        <v>5110</v>
      </c>
      <c r="B3066" t="s">
        <v>5111</v>
      </c>
      <c r="C3066" t="s">
        <v>3331</v>
      </c>
      <c r="D3066" t="s">
        <v>222</v>
      </c>
      <c r="E3066" t="s">
        <v>30</v>
      </c>
      <c r="F3066" s="6">
        <v>45107</v>
      </c>
      <c r="G3066">
        <v>66.5</v>
      </c>
      <c r="H3066">
        <v>63.1</v>
      </c>
      <c r="I3066">
        <v>0.94887218045112787</v>
      </c>
      <c r="J3066">
        <v>0.94887218045112787</v>
      </c>
      <c r="K3066" t="s">
        <v>118</v>
      </c>
      <c r="L3066" t="s">
        <v>118</v>
      </c>
      <c r="M3066">
        <v>2023</v>
      </c>
      <c r="N3066" t="s">
        <v>44</v>
      </c>
      <c r="O3066" t="s">
        <v>33</v>
      </c>
      <c r="P3066">
        <v>1</v>
      </c>
      <c r="Q3066">
        <v>1</v>
      </c>
      <c r="R3066">
        <v>0</v>
      </c>
      <c r="S3066" t="s">
        <v>99</v>
      </c>
      <c r="T3066" t="s">
        <v>5112</v>
      </c>
      <c r="U3066">
        <v>1</v>
      </c>
    </row>
    <row r="3067" spans="1:21" x14ac:dyDescent="0.3">
      <c r="A3067" t="s">
        <v>5110</v>
      </c>
      <c r="B3067" t="s">
        <v>5111</v>
      </c>
      <c r="C3067" t="s">
        <v>3331</v>
      </c>
      <c r="D3067" t="s">
        <v>222</v>
      </c>
      <c r="E3067" t="s">
        <v>30</v>
      </c>
      <c r="F3067" s="6">
        <v>45291</v>
      </c>
      <c r="G3067">
        <v>67</v>
      </c>
      <c r="H3067">
        <v>63</v>
      </c>
      <c r="I3067">
        <v>0.94029850746268662</v>
      </c>
      <c r="J3067">
        <v>0.94029850746268662</v>
      </c>
      <c r="K3067" t="s">
        <v>118</v>
      </c>
      <c r="L3067" t="s">
        <v>118</v>
      </c>
      <c r="M3067">
        <v>2023</v>
      </c>
      <c r="N3067" t="s">
        <v>57</v>
      </c>
      <c r="O3067" t="s">
        <v>47</v>
      </c>
      <c r="P3067">
        <v>1</v>
      </c>
      <c r="Q3067">
        <v>1</v>
      </c>
      <c r="R3067">
        <v>0</v>
      </c>
      <c r="S3067" t="s">
        <v>99</v>
      </c>
      <c r="T3067" t="s">
        <v>5113</v>
      </c>
      <c r="U3067">
        <v>1</v>
      </c>
    </row>
    <row r="3068" spans="1:21" x14ac:dyDescent="0.3">
      <c r="A3068" t="s">
        <v>5114</v>
      </c>
      <c r="B3068" t="s">
        <v>5115</v>
      </c>
      <c r="C3068" t="s">
        <v>3331</v>
      </c>
      <c r="D3068" t="s">
        <v>222</v>
      </c>
      <c r="E3068" t="s">
        <v>30</v>
      </c>
      <c r="F3068" s="6">
        <v>45107</v>
      </c>
      <c r="G3068">
        <v>2527</v>
      </c>
      <c r="H3068">
        <v>2464</v>
      </c>
      <c r="I3068">
        <v>0.97506925207756234</v>
      </c>
      <c r="J3068">
        <v>0.97506925207756234</v>
      </c>
      <c r="K3068" t="s">
        <v>118</v>
      </c>
      <c r="L3068" t="s">
        <v>118</v>
      </c>
      <c r="M3068">
        <v>2023</v>
      </c>
      <c r="N3068" t="s">
        <v>44</v>
      </c>
      <c r="O3068" t="s">
        <v>33</v>
      </c>
      <c r="P3068">
        <v>0</v>
      </c>
      <c r="Q3068">
        <v>0</v>
      </c>
      <c r="R3068">
        <v>0</v>
      </c>
      <c r="S3068" t="s">
        <v>718</v>
      </c>
      <c r="T3068" t="s">
        <v>5116</v>
      </c>
      <c r="U3068">
        <v>1</v>
      </c>
    </row>
    <row r="3069" spans="1:21" x14ac:dyDescent="0.3">
      <c r="A3069" t="s">
        <v>5114</v>
      </c>
      <c r="B3069" t="s">
        <v>5115</v>
      </c>
      <c r="C3069" t="s">
        <v>3331</v>
      </c>
      <c r="D3069" t="s">
        <v>222</v>
      </c>
      <c r="E3069" t="s">
        <v>30</v>
      </c>
      <c r="F3069" s="6">
        <v>45291</v>
      </c>
      <c r="G3069">
        <v>5039</v>
      </c>
      <c r="H3069">
        <v>4921</v>
      </c>
      <c r="I3069">
        <v>0.97658265528874777</v>
      </c>
      <c r="J3069">
        <v>0.97658265528874777</v>
      </c>
      <c r="K3069" t="s">
        <v>118</v>
      </c>
      <c r="L3069" t="s">
        <v>118</v>
      </c>
      <c r="M3069">
        <v>2023</v>
      </c>
      <c r="N3069" t="s">
        <v>57</v>
      </c>
      <c r="O3069" t="s">
        <v>47</v>
      </c>
      <c r="P3069">
        <v>0</v>
      </c>
      <c r="Q3069">
        <v>0</v>
      </c>
      <c r="R3069">
        <v>0</v>
      </c>
      <c r="S3069" t="s">
        <v>718</v>
      </c>
      <c r="T3069" t="s">
        <v>5117</v>
      </c>
      <c r="U3069">
        <v>1</v>
      </c>
    </row>
    <row r="3070" spans="1:21" x14ac:dyDescent="0.3">
      <c r="A3070" t="s">
        <v>5118</v>
      </c>
      <c r="B3070" t="s">
        <v>5119</v>
      </c>
      <c r="C3070" t="s">
        <v>3331</v>
      </c>
      <c r="D3070" t="s">
        <v>222</v>
      </c>
      <c r="E3070" t="s">
        <v>30</v>
      </c>
      <c r="F3070" s="6">
        <v>45107</v>
      </c>
      <c r="G3070">
        <v>1702</v>
      </c>
      <c r="H3070">
        <v>1784</v>
      </c>
      <c r="I3070">
        <v>1.0481786133960049</v>
      </c>
      <c r="J3070">
        <v>1.0481786133960049</v>
      </c>
      <c r="K3070" t="s">
        <v>118</v>
      </c>
      <c r="L3070" t="s">
        <v>118</v>
      </c>
      <c r="M3070">
        <v>2023</v>
      </c>
      <c r="N3070" t="s">
        <v>44</v>
      </c>
      <c r="O3070" t="s">
        <v>33</v>
      </c>
      <c r="P3070">
        <v>0</v>
      </c>
      <c r="Q3070">
        <v>0</v>
      </c>
      <c r="R3070">
        <v>0</v>
      </c>
      <c r="S3070" t="s">
        <v>718</v>
      </c>
      <c r="T3070" t="s">
        <v>5120</v>
      </c>
      <c r="U3070">
        <v>1</v>
      </c>
    </row>
    <row r="3071" spans="1:21" x14ac:dyDescent="0.3">
      <c r="A3071" t="s">
        <v>5118</v>
      </c>
      <c r="B3071" t="s">
        <v>5119</v>
      </c>
      <c r="C3071" t="s">
        <v>3331</v>
      </c>
      <c r="D3071" t="s">
        <v>222</v>
      </c>
      <c r="E3071" t="s">
        <v>30</v>
      </c>
      <c r="F3071" s="6">
        <v>45291</v>
      </c>
      <c r="G3071">
        <v>3052</v>
      </c>
      <c r="H3071">
        <v>3218</v>
      </c>
      <c r="I3071">
        <v>1.054390563564876</v>
      </c>
      <c r="J3071">
        <v>1.054390563564876</v>
      </c>
      <c r="K3071" t="s">
        <v>118</v>
      </c>
      <c r="L3071" t="s">
        <v>118</v>
      </c>
      <c r="M3071">
        <v>2023</v>
      </c>
      <c r="N3071" t="s">
        <v>57</v>
      </c>
      <c r="O3071" t="s">
        <v>47</v>
      </c>
      <c r="P3071">
        <v>0</v>
      </c>
      <c r="Q3071">
        <v>0</v>
      </c>
      <c r="R3071">
        <v>0</v>
      </c>
      <c r="S3071" t="s">
        <v>718</v>
      </c>
      <c r="T3071" t="s">
        <v>5121</v>
      </c>
      <c r="U3071">
        <v>1</v>
      </c>
    </row>
    <row r="3072" spans="1:21" x14ac:dyDescent="0.3">
      <c r="A3072" t="s">
        <v>5122</v>
      </c>
      <c r="B3072" t="s">
        <v>5123</v>
      </c>
      <c r="C3072" t="s">
        <v>3331</v>
      </c>
      <c r="D3072" t="s">
        <v>222</v>
      </c>
      <c r="E3072" t="s">
        <v>30</v>
      </c>
      <c r="F3072" s="6">
        <v>45107</v>
      </c>
      <c r="G3072">
        <v>4934</v>
      </c>
      <c r="H3072">
        <v>4702</v>
      </c>
      <c r="I3072">
        <v>0.95297932711795708</v>
      </c>
      <c r="J3072">
        <v>0.95297932711795708</v>
      </c>
      <c r="K3072" t="s">
        <v>118</v>
      </c>
      <c r="L3072" t="s">
        <v>118</v>
      </c>
      <c r="M3072">
        <v>2023</v>
      </c>
      <c r="N3072" t="s">
        <v>44</v>
      </c>
      <c r="O3072" t="s">
        <v>33</v>
      </c>
      <c r="P3072">
        <v>0</v>
      </c>
      <c r="Q3072">
        <v>0</v>
      </c>
      <c r="R3072">
        <v>0</v>
      </c>
      <c r="S3072" t="s">
        <v>718</v>
      </c>
      <c r="T3072" t="s">
        <v>5124</v>
      </c>
      <c r="U3072">
        <v>1</v>
      </c>
    </row>
    <row r="3073" spans="1:21" x14ac:dyDescent="0.3">
      <c r="A3073" t="s">
        <v>5122</v>
      </c>
      <c r="B3073" t="s">
        <v>5123</v>
      </c>
      <c r="C3073" t="s">
        <v>3331</v>
      </c>
      <c r="D3073" t="s">
        <v>222</v>
      </c>
      <c r="E3073" t="s">
        <v>30</v>
      </c>
      <c r="F3073" s="6">
        <v>45291</v>
      </c>
      <c r="G3073">
        <v>10723</v>
      </c>
      <c r="H3073">
        <v>10070</v>
      </c>
      <c r="I3073">
        <v>0.93910286300475609</v>
      </c>
      <c r="J3073">
        <v>0.93910286300475609</v>
      </c>
      <c r="K3073" t="s">
        <v>118</v>
      </c>
      <c r="L3073" t="s">
        <v>118</v>
      </c>
      <c r="M3073">
        <v>2023</v>
      </c>
      <c r="N3073" t="s">
        <v>57</v>
      </c>
      <c r="O3073" t="s">
        <v>47</v>
      </c>
      <c r="P3073">
        <v>0</v>
      </c>
      <c r="Q3073">
        <v>0</v>
      </c>
      <c r="R3073">
        <v>0</v>
      </c>
      <c r="S3073" t="s">
        <v>718</v>
      </c>
      <c r="T3073" t="s">
        <v>5125</v>
      </c>
      <c r="U3073">
        <v>1</v>
      </c>
    </row>
    <row r="3074" spans="1:21" x14ac:dyDescent="0.3">
      <c r="A3074" t="s">
        <v>5126</v>
      </c>
      <c r="B3074" t="s">
        <v>5127</v>
      </c>
      <c r="C3074" t="s">
        <v>3331</v>
      </c>
      <c r="D3074" t="s">
        <v>222</v>
      </c>
      <c r="E3074" t="s">
        <v>30</v>
      </c>
      <c r="F3074" s="6">
        <v>45107</v>
      </c>
      <c r="G3074">
        <v>16</v>
      </c>
      <c r="H3074">
        <v>15</v>
      </c>
      <c r="I3074">
        <v>0.9375</v>
      </c>
      <c r="J3074">
        <v>0.9375</v>
      </c>
      <c r="K3074" t="s">
        <v>118</v>
      </c>
      <c r="L3074" t="s">
        <v>118</v>
      </c>
      <c r="M3074">
        <v>2023</v>
      </c>
      <c r="N3074" t="s">
        <v>44</v>
      </c>
      <c r="O3074" t="s">
        <v>33</v>
      </c>
      <c r="P3074">
        <v>0</v>
      </c>
      <c r="Q3074">
        <v>0</v>
      </c>
      <c r="R3074">
        <v>0</v>
      </c>
      <c r="S3074" t="s">
        <v>718</v>
      </c>
      <c r="T3074" t="s">
        <v>5128</v>
      </c>
      <c r="U3074">
        <v>1</v>
      </c>
    </row>
    <row r="3075" spans="1:21" x14ac:dyDescent="0.3">
      <c r="A3075" t="s">
        <v>5126</v>
      </c>
      <c r="B3075" t="s">
        <v>5127</v>
      </c>
      <c r="C3075" t="s">
        <v>3331</v>
      </c>
      <c r="D3075" t="s">
        <v>222</v>
      </c>
      <c r="E3075" t="s">
        <v>30</v>
      </c>
      <c r="F3075" s="6">
        <v>45291</v>
      </c>
      <c r="G3075">
        <v>432</v>
      </c>
      <c r="H3075">
        <v>292</v>
      </c>
      <c r="I3075">
        <v>0.67592592592592593</v>
      </c>
      <c r="J3075">
        <v>0.67592592592592593</v>
      </c>
      <c r="K3075" t="s">
        <v>118</v>
      </c>
      <c r="L3075" t="s">
        <v>118</v>
      </c>
      <c r="M3075">
        <v>2023</v>
      </c>
      <c r="N3075" t="s">
        <v>57</v>
      </c>
      <c r="O3075" t="s">
        <v>47</v>
      </c>
      <c r="P3075">
        <v>0</v>
      </c>
      <c r="Q3075">
        <v>0</v>
      </c>
      <c r="R3075">
        <v>0</v>
      </c>
      <c r="S3075" t="s">
        <v>718</v>
      </c>
      <c r="T3075" t="s">
        <v>5129</v>
      </c>
      <c r="U3075">
        <v>1</v>
      </c>
    </row>
    <row r="3076" spans="1:21" x14ac:dyDescent="0.3">
      <c r="A3076" t="s">
        <v>5130</v>
      </c>
      <c r="B3076" t="s">
        <v>5131</v>
      </c>
      <c r="C3076" t="s">
        <v>3331</v>
      </c>
      <c r="D3076" t="s">
        <v>222</v>
      </c>
      <c r="E3076" t="s">
        <v>30</v>
      </c>
      <c r="F3076" s="6">
        <v>45107</v>
      </c>
      <c r="G3076">
        <v>31</v>
      </c>
      <c r="H3076">
        <v>36</v>
      </c>
      <c r="I3076">
        <v>1.161290322580645</v>
      </c>
      <c r="J3076">
        <v>1.161290322580645</v>
      </c>
      <c r="K3076" t="s">
        <v>118</v>
      </c>
      <c r="L3076" t="s">
        <v>118</v>
      </c>
      <c r="M3076">
        <v>2023</v>
      </c>
      <c r="N3076" t="s">
        <v>44</v>
      </c>
      <c r="O3076" t="s">
        <v>33</v>
      </c>
      <c r="P3076">
        <v>0</v>
      </c>
      <c r="Q3076">
        <v>0</v>
      </c>
      <c r="R3076">
        <v>0</v>
      </c>
      <c r="S3076" t="s">
        <v>718</v>
      </c>
      <c r="T3076" t="s">
        <v>5132</v>
      </c>
      <c r="U3076">
        <v>1</v>
      </c>
    </row>
    <row r="3077" spans="1:21" x14ac:dyDescent="0.3">
      <c r="A3077" t="s">
        <v>5130</v>
      </c>
      <c r="B3077" t="s">
        <v>5131</v>
      </c>
      <c r="C3077" t="s">
        <v>3331</v>
      </c>
      <c r="D3077" t="s">
        <v>222</v>
      </c>
      <c r="E3077" t="s">
        <v>30</v>
      </c>
      <c r="F3077" s="6">
        <v>45291</v>
      </c>
      <c r="G3077">
        <v>60</v>
      </c>
      <c r="H3077">
        <v>56</v>
      </c>
      <c r="I3077">
        <v>0.93333333333333335</v>
      </c>
      <c r="J3077">
        <v>0.93333333333333335</v>
      </c>
      <c r="K3077" t="s">
        <v>118</v>
      </c>
      <c r="L3077" t="s">
        <v>118</v>
      </c>
      <c r="M3077">
        <v>2023</v>
      </c>
      <c r="N3077" t="s">
        <v>57</v>
      </c>
      <c r="O3077" t="s">
        <v>47</v>
      </c>
      <c r="P3077">
        <v>0</v>
      </c>
      <c r="Q3077">
        <v>0</v>
      </c>
      <c r="R3077">
        <v>0</v>
      </c>
      <c r="S3077" t="s">
        <v>718</v>
      </c>
      <c r="T3077" t="s">
        <v>5133</v>
      </c>
      <c r="U3077">
        <v>1</v>
      </c>
    </row>
    <row r="3078" spans="1:21" x14ac:dyDescent="0.3">
      <c r="A3078" t="s">
        <v>5134</v>
      </c>
      <c r="B3078" t="s">
        <v>5135</v>
      </c>
      <c r="C3078" t="s">
        <v>3331</v>
      </c>
      <c r="D3078" t="s">
        <v>222</v>
      </c>
      <c r="E3078" t="s">
        <v>30</v>
      </c>
      <c r="F3078" s="6">
        <v>45107</v>
      </c>
      <c r="G3078">
        <v>162</v>
      </c>
      <c r="H3078">
        <v>218</v>
      </c>
      <c r="I3078">
        <v>1.3</v>
      </c>
      <c r="J3078">
        <v>1.345679012345679</v>
      </c>
      <c r="K3078" t="s">
        <v>118</v>
      </c>
      <c r="L3078" t="s">
        <v>118</v>
      </c>
      <c r="M3078">
        <v>2023</v>
      </c>
      <c r="N3078" t="s">
        <v>44</v>
      </c>
      <c r="O3078" t="s">
        <v>33</v>
      </c>
      <c r="P3078">
        <v>0</v>
      </c>
      <c r="Q3078">
        <v>0</v>
      </c>
      <c r="R3078">
        <v>0</v>
      </c>
      <c r="S3078" t="s">
        <v>718</v>
      </c>
      <c r="T3078" t="s">
        <v>5136</v>
      </c>
      <c r="U3078">
        <v>1</v>
      </c>
    </row>
    <row r="3079" spans="1:21" x14ac:dyDescent="0.3">
      <c r="A3079" t="s">
        <v>5134</v>
      </c>
      <c r="B3079" t="s">
        <v>5135</v>
      </c>
      <c r="C3079" t="s">
        <v>3331</v>
      </c>
      <c r="D3079" t="s">
        <v>222</v>
      </c>
      <c r="E3079" t="s">
        <v>30</v>
      </c>
      <c r="F3079" s="6">
        <v>45291</v>
      </c>
      <c r="G3079">
        <v>3052</v>
      </c>
      <c r="H3079">
        <v>3218</v>
      </c>
      <c r="I3079">
        <v>1.054390563564876</v>
      </c>
      <c r="J3079">
        <v>1.054390563564876</v>
      </c>
      <c r="K3079" t="s">
        <v>118</v>
      </c>
      <c r="L3079" t="s">
        <v>118</v>
      </c>
      <c r="M3079">
        <v>2023</v>
      </c>
      <c r="N3079" t="s">
        <v>57</v>
      </c>
      <c r="O3079" t="s">
        <v>47</v>
      </c>
      <c r="P3079">
        <v>0</v>
      </c>
      <c r="Q3079">
        <v>0</v>
      </c>
      <c r="R3079">
        <v>0</v>
      </c>
      <c r="S3079" t="s">
        <v>718</v>
      </c>
      <c r="T3079" t="s">
        <v>5137</v>
      </c>
      <c r="U3079">
        <v>1</v>
      </c>
    </row>
    <row r="3080" spans="1:21" x14ac:dyDescent="0.3">
      <c r="A3080" t="s">
        <v>5138</v>
      </c>
      <c r="B3080" t="s">
        <v>5139</v>
      </c>
      <c r="C3080" t="s">
        <v>3331</v>
      </c>
      <c r="D3080" t="s">
        <v>222</v>
      </c>
      <c r="E3080" t="s">
        <v>30</v>
      </c>
      <c r="F3080" s="6">
        <v>45107</v>
      </c>
      <c r="G3080">
        <v>212</v>
      </c>
      <c r="H3080">
        <v>129</v>
      </c>
      <c r="I3080">
        <v>0.60849056603773588</v>
      </c>
      <c r="J3080">
        <v>0.60849056603773588</v>
      </c>
      <c r="K3080" t="s">
        <v>118</v>
      </c>
      <c r="L3080" t="s">
        <v>118</v>
      </c>
      <c r="M3080">
        <v>2023</v>
      </c>
      <c r="N3080" t="s">
        <v>44</v>
      </c>
      <c r="O3080" t="s">
        <v>33</v>
      </c>
      <c r="P3080">
        <v>0</v>
      </c>
      <c r="Q3080">
        <v>0</v>
      </c>
      <c r="R3080">
        <v>0</v>
      </c>
      <c r="S3080" t="s">
        <v>718</v>
      </c>
      <c r="T3080" t="s">
        <v>5140</v>
      </c>
      <c r="U3080">
        <v>1</v>
      </c>
    </row>
    <row r="3081" spans="1:21" x14ac:dyDescent="0.3">
      <c r="A3081" t="s">
        <v>5138</v>
      </c>
      <c r="B3081" t="s">
        <v>5139</v>
      </c>
      <c r="C3081" t="s">
        <v>3331</v>
      </c>
      <c r="D3081" t="s">
        <v>222</v>
      </c>
      <c r="E3081" t="s">
        <v>30</v>
      </c>
      <c r="F3081" s="6">
        <v>45291</v>
      </c>
      <c r="G3081">
        <v>432</v>
      </c>
      <c r="H3081">
        <v>292</v>
      </c>
      <c r="I3081">
        <v>0.67592592592592593</v>
      </c>
      <c r="J3081">
        <v>0.67592592592592593</v>
      </c>
      <c r="K3081" t="s">
        <v>118</v>
      </c>
      <c r="L3081" t="s">
        <v>118</v>
      </c>
      <c r="M3081">
        <v>2023</v>
      </c>
      <c r="N3081" t="s">
        <v>57</v>
      </c>
      <c r="O3081" t="s">
        <v>47</v>
      </c>
      <c r="P3081">
        <v>0</v>
      </c>
      <c r="Q3081">
        <v>0</v>
      </c>
      <c r="R3081">
        <v>0</v>
      </c>
      <c r="S3081" t="s">
        <v>718</v>
      </c>
      <c r="T3081" t="s">
        <v>5141</v>
      </c>
      <c r="U3081">
        <v>1</v>
      </c>
    </row>
    <row r="3082" spans="1:21" x14ac:dyDescent="0.3">
      <c r="A3082" t="s">
        <v>5142</v>
      </c>
      <c r="B3082" t="s">
        <v>5143</v>
      </c>
      <c r="C3082" t="s">
        <v>3331</v>
      </c>
      <c r="D3082" t="s">
        <v>222</v>
      </c>
      <c r="E3082" t="s">
        <v>30</v>
      </c>
      <c r="F3082" s="6">
        <v>45107</v>
      </c>
      <c r="G3082">
        <v>5146</v>
      </c>
      <c r="H3082">
        <v>4831</v>
      </c>
      <c r="I3082">
        <v>0.93878740769529734</v>
      </c>
      <c r="J3082">
        <v>0.93878740769529734</v>
      </c>
      <c r="K3082" t="s">
        <v>118</v>
      </c>
      <c r="L3082" t="s">
        <v>118</v>
      </c>
      <c r="M3082">
        <v>2023</v>
      </c>
      <c r="N3082" t="s">
        <v>44</v>
      </c>
      <c r="O3082" t="s">
        <v>33</v>
      </c>
      <c r="P3082">
        <v>0</v>
      </c>
      <c r="Q3082">
        <v>0</v>
      </c>
      <c r="R3082">
        <v>0</v>
      </c>
      <c r="S3082" t="s">
        <v>718</v>
      </c>
      <c r="T3082" t="s">
        <v>5144</v>
      </c>
      <c r="U3082">
        <v>1</v>
      </c>
    </row>
    <row r="3083" spans="1:21" x14ac:dyDescent="0.3">
      <c r="A3083" t="s">
        <v>5142</v>
      </c>
      <c r="B3083" t="s">
        <v>5143</v>
      </c>
      <c r="C3083" t="s">
        <v>3331</v>
      </c>
      <c r="D3083" t="s">
        <v>222</v>
      </c>
      <c r="E3083" t="s">
        <v>30</v>
      </c>
      <c r="F3083" s="6">
        <v>45291</v>
      </c>
      <c r="G3083">
        <v>11155</v>
      </c>
      <c r="H3083">
        <v>10362</v>
      </c>
      <c r="I3083">
        <v>0.92891080233079337</v>
      </c>
      <c r="J3083">
        <v>0.92891080233079337</v>
      </c>
      <c r="K3083" t="s">
        <v>118</v>
      </c>
      <c r="L3083" t="s">
        <v>118</v>
      </c>
      <c r="M3083">
        <v>2023</v>
      </c>
      <c r="N3083" t="s">
        <v>57</v>
      </c>
      <c r="O3083" t="s">
        <v>47</v>
      </c>
      <c r="P3083">
        <v>0</v>
      </c>
      <c r="Q3083">
        <v>0</v>
      </c>
      <c r="R3083">
        <v>0</v>
      </c>
      <c r="S3083" t="s">
        <v>718</v>
      </c>
      <c r="T3083" t="s">
        <v>5145</v>
      </c>
      <c r="U3083">
        <v>1</v>
      </c>
    </row>
    <row r="3084" spans="1:21" x14ac:dyDescent="0.3">
      <c r="A3084" t="s">
        <v>5146</v>
      </c>
      <c r="B3084" t="s">
        <v>5147</v>
      </c>
      <c r="C3084" t="s">
        <v>3331</v>
      </c>
      <c r="D3084" t="s">
        <v>222</v>
      </c>
      <c r="E3084" t="s">
        <v>30</v>
      </c>
      <c r="F3084" s="6">
        <v>45107</v>
      </c>
      <c r="G3084">
        <v>1037307448</v>
      </c>
      <c r="H3084">
        <v>695692471</v>
      </c>
      <c r="I3084">
        <v>0.67067143144623409</v>
      </c>
      <c r="J3084">
        <v>0.67067143144623409</v>
      </c>
      <c r="K3084" t="s">
        <v>335</v>
      </c>
      <c r="L3084" t="s">
        <v>335</v>
      </c>
      <c r="M3084">
        <v>2023</v>
      </c>
      <c r="N3084" t="s">
        <v>44</v>
      </c>
      <c r="O3084" t="s">
        <v>33</v>
      </c>
      <c r="P3084">
        <v>0</v>
      </c>
      <c r="Q3084">
        <v>0</v>
      </c>
      <c r="R3084">
        <v>0</v>
      </c>
      <c r="S3084" t="s">
        <v>198</v>
      </c>
      <c r="T3084" t="s">
        <v>5148</v>
      </c>
      <c r="U3084">
        <v>1</v>
      </c>
    </row>
    <row r="3085" spans="1:21" x14ac:dyDescent="0.3">
      <c r="A3085" t="s">
        <v>5146</v>
      </c>
      <c r="B3085" t="s">
        <v>5147</v>
      </c>
      <c r="C3085" t="s">
        <v>3331</v>
      </c>
      <c r="D3085" t="s">
        <v>222</v>
      </c>
      <c r="E3085" t="s">
        <v>30</v>
      </c>
      <c r="F3085" s="6">
        <v>45291</v>
      </c>
      <c r="G3085">
        <v>2243</v>
      </c>
      <c r="H3085">
        <v>2101</v>
      </c>
      <c r="I3085">
        <v>0.93669193045028976</v>
      </c>
      <c r="J3085">
        <v>0.93669193045028976</v>
      </c>
      <c r="K3085" t="s">
        <v>335</v>
      </c>
      <c r="L3085" t="s">
        <v>335</v>
      </c>
      <c r="M3085">
        <v>2023</v>
      </c>
      <c r="N3085" t="s">
        <v>57</v>
      </c>
      <c r="O3085" t="s">
        <v>47</v>
      </c>
      <c r="P3085">
        <v>0</v>
      </c>
      <c r="Q3085">
        <v>0</v>
      </c>
      <c r="R3085">
        <v>0</v>
      </c>
      <c r="S3085" t="s">
        <v>198</v>
      </c>
      <c r="T3085" t="s">
        <v>5149</v>
      </c>
      <c r="U3085">
        <v>1</v>
      </c>
    </row>
    <row r="3086" spans="1:21" x14ac:dyDescent="0.3">
      <c r="A3086" t="s">
        <v>5146</v>
      </c>
      <c r="B3086" t="s">
        <v>5147</v>
      </c>
      <c r="C3086" t="s">
        <v>3331</v>
      </c>
      <c r="D3086" t="s">
        <v>222</v>
      </c>
      <c r="E3086" t="s">
        <v>30</v>
      </c>
      <c r="F3086" s="6">
        <v>45473</v>
      </c>
      <c r="G3086">
        <v>1151.7570028791099</v>
      </c>
      <c r="H3086">
        <v>1979.0634379999999</v>
      </c>
      <c r="I3086">
        <v>1.3</v>
      </c>
      <c r="J3086">
        <v>1.7182994616510481</v>
      </c>
      <c r="K3086" t="s">
        <v>335</v>
      </c>
      <c r="L3086" t="s">
        <v>335</v>
      </c>
      <c r="M3086">
        <v>2024</v>
      </c>
      <c r="N3086" t="s">
        <v>44</v>
      </c>
      <c r="O3086" t="s">
        <v>71</v>
      </c>
      <c r="P3086">
        <v>0</v>
      </c>
      <c r="Q3086">
        <v>0</v>
      </c>
      <c r="R3086">
        <v>0</v>
      </c>
      <c r="S3086" t="s">
        <v>198</v>
      </c>
      <c r="T3086" t="s">
        <v>5150</v>
      </c>
      <c r="U3086">
        <v>1</v>
      </c>
    </row>
    <row r="3087" spans="1:21" x14ac:dyDescent="0.3">
      <c r="A3087" t="s">
        <v>5151</v>
      </c>
      <c r="B3087" t="s">
        <v>5152</v>
      </c>
      <c r="C3087" t="s">
        <v>3331</v>
      </c>
      <c r="D3087" t="s">
        <v>222</v>
      </c>
      <c r="E3087" t="s">
        <v>30</v>
      </c>
      <c r="F3087" s="6">
        <v>45107</v>
      </c>
      <c r="G3087">
        <v>42</v>
      </c>
      <c r="H3087">
        <v>36.54</v>
      </c>
      <c r="I3087">
        <v>0.87</v>
      </c>
      <c r="J3087">
        <v>0.87</v>
      </c>
      <c r="K3087" t="s">
        <v>118</v>
      </c>
      <c r="L3087" t="s">
        <v>109</v>
      </c>
      <c r="M3087">
        <v>2023</v>
      </c>
      <c r="N3087" t="s">
        <v>44</v>
      </c>
      <c r="O3087" t="s">
        <v>33</v>
      </c>
      <c r="P3087">
        <v>0</v>
      </c>
      <c r="Q3087">
        <v>0</v>
      </c>
      <c r="R3087">
        <v>0</v>
      </c>
      <c r="S3087" t="s">
        <v>130</v>
      </c>
      <c r="T3087" t="s">
        <v>5153</v>
      </c>
      <c r="U3087">
        <v>1</v>
      </c>
    </row>
    <row r="3088" spans="1:21" x14ac:dyDescent="0.3">
      <c r="A3088" t="s">
        <v>5151</v>
      </c>
      <c r="B3088" t="s">
        <v>5152</v>
      </c>
      <c r="C3088" t="s">
        <v>3331</v>
      </c>
      <c r="D3088" t="s">
        <v>222</v>
      </c>
      <c r="E3088" t="s">
        <v>30</v>
      </c>
      <c r="F3088" s="6">
        <v>45291</v>
      </c>
      <c r="G3088">
        <v>42</v>
      </c>
      <c r="H3088">
        <v>53</v>
      </c>
      <c r="I3088">
        <v>1.2619047619047621</v>
      </c>
      <c r="J3088">
        <v>1.2619047619047621</v>
      </c>
      <c r="K3088" t="s">
        <v>31</v>
      </c>
      <c r="L3088" t="s">
        <v>31</v>
      </c>
      <c r="M3088">
        <v>2023</v>
      </c>
      <c r="N3088" t="s">
        <v>57</v>
      </c>
      <c r="O3088" t="s">
        <v>47</v>
      </c>
      <c r="P3088">
        <v>0</v>
      </c>
      <c r="Q3088">
        <v>0</v>
      </c>
      <c r="R3088">
        <v>0</v>
      </c>
      <c r="S3088" t="s">
        <v>130</v>
      </c>
      <c r="T3088" t="s">
        <v>5154</v>
      </c>
      <c r="U3088">
        <v>1</v>
      </c>
    </row>
    <row r="3089" spans="1:21" x14ac:dyDescent="0.3">
      <c r="A3089" t="s">
        <v>5151</v>
      </c>
      <c r="B3089" t="s">
        <v>5152</v>
      </c>
      <c r="C3089" t="s">
        <v>3331</v>
      </c>
      <c r="D3089" t="s">
        <v>222</v>
      </c>
      <c r="E3089" t="s">
        <v>30</v>
      </c>
      <c r="F3089" s="6">
        <v>45473</v>
      </c>
      <c r="G3089">
        <v>50</v>
      </c>
      <c r="H3089">
        <v>59.59</v>
      </c>
      <c r="I3089">
        <v>1.1918</v>
      </c>
      <c r="J3089">
        <v>1.1918</v>
      </c>
      <c r="K3089" t="s">
        <v>31</v>
      </c>
      <c r="L3089" t="s">
        <v>31</v>
      </c>
      <c r="M3089">
        <v>2024</v>
      </c>
      <c r="N3089" t="s">
        <v>44</v>
      </c>
      <c r="O3089" t="s">
        <v>71</v>
      </c>
      <c r="P3089">
        <v>0</v>
      </c>
      <c r="Q3089">
        <v>0</v>
      </c>
      <c r="R3089">
        <v>0</v>
      </c>
      <c r="S3089" t="s">
        <v>130</v>
      </c>
      <c r="T3089" t="s">
        <v>5155</v>
      </c>
      <c r="U3089">
        <v>1</v>
      </c>
    </row>
    <row r="3090" spans="1:21" x14ac:dyDescent="0.3">
      <c r="A3090" t="s">
        <v>5156</v>
      </c>
      <c r="B3090" t="s">
        <v>5157</v>
      </c>
      <c r="C3090" t="s">
        <v>3331</v>
      </c>
      <c r="D3090" t="s">
        <v>222</v>
      </c>
      <c r="E3090" t="s">
        <v>30</v>
      </c>
      <c r="F3090" s="6">
        <v>45107</v>
      </c>
      <c r="G3090">
        <v>87.5</v>
      </c>
      <c r="H3090">
        <v>88.8</v>
      </c>
      <c r="I3090">
        <v>1.0148571428571429</v>
      </c>
      <c r="J3090">
        <v>1.0148571428571429</v>
      </c>
      <c r="K3090" t="s">
        <v>31</v>
      </c>
      <c r="L3090" t="s">
        <v>31</v>
      </c>
      <c r="M3090">
        <v>2023</v>
      </c>
      <c r="N3090" t="s">
        <v>44</v>
      </c>
      <c r="O3090" t="s">
        <v>33</v>
      </c>
      <c r="P3090">
        <v>1</v>
      </c>
      <c r="Q3090">
        <v>1</v>
      </c>
      <c r="R3090">
        <v>0</v>
      </c>
      <c r="S3090" t="s">
        <v>130</v>
      </c>
      <c r="T3090" t="s">
        <v>5158</v>
      </c>
      <c r="U3090">
        <v>1</v>
      </c>
    </row>
    <row r="3091" spans="1:21" x14ac:dyDescent="0.3">
      <c r="A3091" t="s">
        <v>5156</v>
      </c>
      <c r="B3091" t="s">
        <v>5157</v>
      </c>
      <c r="C3091" t="s">
        <v>3331</v>
      </c>
      <c r="D3091" t="s">
        <v>222</v>
      </c>
      <c r="E3091" t="s">
        <v>30</v>
      </c>
      <c r="F3091" s="6">
        <v>45291</v>
      </c>
      <c r="G3091">
        <v>87.3</v>
      </c>
      <c r="H3091">
        <v>89.6</v>
      </c>
      <c r="I3091">
        <v>1.0263459335624281</v>
      </c>
      <c r="J3091">
        <v>1.0263459335624281</v>
      </c>
      <c r="K3091" t="s">
        <v>31</v>
      </c>
      <c r="L3091" t="s">
        <v>31</v>
      </c>
      <c r="M3091">
        <v>2023</v>
      </c>
      <c r="N3091" t="s">
        <v>57</v>
      </c>
      <c r="O3091" t="s">
        <v>47</v>
      </c>
      <c r="P3091">
        <v>1</v>
      </c>
      <c r="Q3091">
        <v>1</v>
      </c>
      <c r="R3091">
        <v>0</v>
      </c>
      <c r="S3091" t="s">
        <v>130</v>
      </c>
      <c r="T3091" t="s">
        <v>5159</v>
      </c>
      <c r="U3091">
        <v>1</v>
      </c>
    </row>
    <row r="3092" spans="1:21" x14ac:dyDescent="0.3">
      <c r="A3092" t="s">
        <v>5156</v>
      </c>
      <c r="B3092" t="s">
        <v>5157</v>
      </c>
      <c r="C3092" t="s">
        <v>3331</v>
      </c>
      <c r="D3092" t="s">
        <v>222</v>
      </c>
      <c r="E3092" t="s">
        <v>30</v>
      </c>
      <c r="F3092" s="6">
        <v>45473</v>
      </c>
      <c r="G3092">
        <v>85</v>
      </c>
      <c r="H3092">
        <v>90.1</v>
      </c>
      <c r="I3092">
        <v>1.06</v>
      </c>
      <c r="J3092">
        <v>1.06</v>
      </c>
      <c r="K3092" t="s">
        <v>31</v>
      </c>
      <c r="L3092" t="s">
        <v>31</v>
      </c>
      <c r="M3092">
        <v>2024</v>
      </c>
      <c r="N3092" t="s">
        <v>44</v>
      </c>
      <c r="O3092" t="s">
        <v>71</v>
      </c>
      <c r="P3092">
        <v>1</v>
      </c>
      <c r="Q3092">
        <v>1</v>
      </c>
      <c r="R3092">
        <v>0</v>
      </c>
      <c r="S3092" t="s">
        <v>130</v>
      </c>
      <c r="T3092" t="s">
        <v>5160</v>
      </c>
      <c r="U3092">
        <v>1</v>
      </c>
    </row>
    <row r="3093" spans="1:21" x14ac:dyDescent="0.3">
      <c r="A3093" t="s">
        <v>5161</v>
      </c>
      <c r="B3093" t="s">
        <v>5162</v>
      </c>
      <c r="C3093" t="s">
        <v>3331</v>
      </c>
      <c r="D3093" t="s">
        <v>222</v>
      </c>
      <c r="E3093" t="s">
        <v>30</v>
      </c>
      <c r="F3093" s="6">
        <v>45107</v>
      </c>
      <c r="G3093">
        <v>80</v>
      </c>
      <c r="H3093">
        <v>79.180000000000007</v>
      </c>
      <c r="I3093">
        <v>0.98975000000000013</v>
      </c>
      <c r="J3093">
        <v>0.98975000000000013</v>
      </c>
      <c r="K3093" t="s">
        <v>31</v>
      </c>
      <c r="L3093" t="s">
        <v>31</v>
      </c>
      <c r="M3093">
        <v>2023</v>
      </c>
      <c r="N3093" t="s">
        <v>44</v>
      </c>
      <c r="O3093" t="s">
        <v>33</v>
      </c>
      <c r="P3093">
        <v>0</v>
      </c>
      <c r="Q3093">
        <v>0</v>
      </c>
      <c r="R3093">
        <v>0</v>
      </c>
      <c r="S3093" t="s">
        <v>130</v>
      </c>
      <c r="T3093" t="s">
        <v>5163</v>
      </c>
      <c r="U3093">
        <v>1</v>
      </c>
    </row>
    <row r="3094" spans="1:21" x14ac:dyDescent="0.3">
      <c r="A3094" t="s">
        <v>5161</v>
      </c>
      <c r="B3094" t="s">
        <v>5162</v>
      </c>
      <c r="C3094" t="s">
        <v>3331</v>
      </c>
      <c r="D3094" t="s">
        <v>222</v>
      </c>
      <c r="E3094" t="s">
        <v>30</v>
      </c>
      <c r="F3094" s="6">
        <v>45291</v>
      </c>
      <c r="G3094">
        <v>97.13</v>
      </c>
      <c r="H3094">
        <v>79.180000000000007</v>
      </c>
      <c r="I3094">
        <v>0.81519612889941329</v>
      </c>
      <c r="J3094">
        <v>0.81519612889941329</v>
      </c>
      <c r="K3094" t="s">
        <v>31</v>
      </c>
      <c r="L3094" t="s">
        <v>31</v>
      </c>
      <c r="M3094">
        <v>2023</v>
      </c>
      <c r="N3094" t="s">
        <v>57</v>
      </c>
      <c r="O3094" t="s">
        <v>47</v>
      </c>
      <c r="P3094">
        <v>0</v>
      </c>
      <c r="Q3094">
        <v>0</v>
      </c>
      <c r="R3094">
        <v>0</v>
      </c>
      <c r="S3094" t="s">
        <v>130</v>
      </c>
      <c r="T3094" t="s">
        <v>5164</v>
      </c>
      <c r="U3094">
        <v>1</v>
      </c>
    </row>
    <row r="3095" spans="1:21" x14ac:dyDescent="0.3">
      <c r="A3095" t="s">
        <v>5161</v>
      </c>
      <c r="B3095" t="s">
        <v>5162</v>
      </c>
      <c r="C3095" t="s">
        <v>3331</v>
      </c>
      <c r="D3095" t="s">
        <v>222</v>
      </c>
      <c r="E3095" t="s">
        <v>30</v>
      </c>
      <c r="F3095" s="6">
        <v>45473</v>
      </c>
      <c r="G3095">
        <v>81</v>
      </c>
      <c r="H3095">
        <v>83.01</v>
      </c>
      <c r="I3095">
        <v>1.0248148148148151</v>
      </c>
      <c r="J3095">
        <v>1.0248148148148151</v>
      </c>
      <c r="K3095" t="s">
        <v>31</v>
      </c>
      <c r="L3095" t="s">
        <v>31</v>
      </c>
      <c r="M3095">
        <v>2024</v>
      </c>
      <c r="N3095" t="s">
        <v>44</v>
      </c>
      <c r="O3095" t="s">
        <v>71</v>
      </c>
      <c r="P3095">
        <v>0</v>
      </c>
      <c r="Q3095">
        <v>0</v>
      </c>
      <c r="R3095">
        <v>0</v>
      </c>
      <c r="S3095" t="s">
        <v>130</v>
      </c>
      <c r="T3095" t="s">
        <v>5165</v>
      </c>
      <c r="U3095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222"/>
  <sheetViews>
    <sheetView workbookViewId="0"/>
  </sheetViews>
  <sheetFormatPr baseColWidth="10" defaultColWidth="8.88671875" defaultRowHeight="14.4" x14ac:dyDescent="0.3"/>
  <sheetData>
    <row r="1" spans="1:18" x14ac:dyDescent="0.3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18</v>
      </c>
      <c r="H1" s="5" t="s">
        <v>19</v>
      </c>
      <c r="I1" s="5" t="s">
        <v>5166</v>
      </c>
      <c r="J1" s="5" t="s">
        <v>13</v>
      </c>
      <c r="K1" s="5" t="s">
        <v>14</v>
      </c>
      <c r="L1" s="5" t="s">
        <v>6</v>
      </c>
      <c r="M1" s="5" t="s">
        <v>15</v>
      </c>
      <c r="N1" s="5" t="s">
        <v>16</v>
      </c>
      <c r="O1" s="5" t="s">
        <v>17</v>
      </c>
      <c r="P1" s="5" t="s">
        <v>24</v>
      </c>
      <c r="Q1" s="5" t="s">
        <v>20</v>
      </c>
      <c r="R1" s="5" t="s">
        <v>21</v>
      </c>
    </row>
    <row r="2" spans="1:18" x14ac:dyDescent="0.3">
      <c r="A2">
        <v>14</v>
      </c>
      <c r="B2" t="s">
        <v>716</v>
      </c>
      <c r="C2" t="s">
        <v>717</v>
      </c>
      <c r="D2" t="s">
        <v>222</v>
      </c>
      <c r="E2" t="s">
        <v>30</v>
      </c>
      <c r="F2" s="6">
        <v>45838</v>
      </c>
      <c r="G2">
        <v>2025</v>
      </c>
      <c r="H2" t="s">
        <v>44</v>
      </c>
      <c r="I2" t="s">
        <v>244</v>
      </c>
      <c r="J2">
        <v>53635</v>
      </c>
      <c r="K2">
        <v>56505</v>
      </c>
      <c r="L2">
        <v>1.053509834995805</v>
      </c>
      <c r="M2">
        <v>1.053509834995805</v>
      </c>
      <c r="N2" t="s">
        <v>118</v>
      </c>
      <c r="O2" t="s">
        <v>118</v>
      </c>
      <c r="P2" t="s">
        <v>5167</v>
      </c>
      <c r="Q2">
        <v>0</v>
      </c>
      <c r="R2">
        <v>0</v>
      </c>
    </row>
    <row r="3" spans="1:18" x14ac:dyDescent="0.3">
      <c r="A3">
        <v>14</v>
      </c>
      <c r="B3" t="s">
        <v>716</v>
      </c>
      <c r="C3" t="s">
        <v>717</v>
      </c>
      <c r="D3" t="s">
        <v>222</v>
      </c>
      <c r="E3" t="s">
        <v>30</v>
      </c>
      <c r="F3" s="6">
        <v>46022</v>
      </c>
      <c r="G3">
        <v>2025</v>
      </c>
      <c r="H3" t="s">
        <v>57</v>
      </c>
      <c r="I3" t="s">
        <v>103</v>
      </c>
      <c r="J3">
        <v>55756</v>
      </c>
      <c r="K3">
        <v>56807</v>
      </c>
      <c r="L3">
        <v>1.0188499892388261</v>
      </c>
      <c r="M3">
        <v>1.0188499892388261</v>
      </c>
      <c r="N3" t="s">
        <v>118</v>
      </c>
      <c r="O3" t="s">
        <v>118</v>
      </c>
      <c r="P3" t="s">
        <v>5168</v>
      </c>
      <c r="Q3">
        <v>0</v>
      </c>
      <c r="R3">
        <v>0</v>
      </c>
    </row>
    <row r="4" spans="1:18" x14ac:dyDescent="0.3">
      <c r="A4">
        <v>15</v>
      </c>
      <c r="B4" t="s">
        <v>3010</v>
      </c>
      <c r="C4" t="s">
        <v>3011</v>
      </c>
      <c r="D4" t="s">
        <v>233</v>
      </c>
      <c r="E4" t="s">
        <v>30</v>
      </c>
      <c r="F4" s="6">
        <v>45107</v>
      </c>
      <c r="G4">
        <v>2023</v>
      </c>
      <c r="H4" t="s">
        <v>44</v>
      </c>
      <c r="I4" t="s">
        <v>33</v>
      </c>
      <c r="J4">
        <v>62.74</v>
      </c>
      <c r="K4">
        <v>66</v>
      </c>
      <c r="L4">
        <v>1.0519604717883331</v>
      </c>
      <c r="M4">
        <v>1.0519604717883331</v>
      </c>
      <c r="N4" t="s">
        <v>31</v>
      </c>
      <c r="O4" t="s">
        <v>31</v>
      </c>
      <c r="P4" t="s">
        <v>5169</v>
      </c>
      <c r="Q4">
        <v>0</v>
      </c>
      <c r="R4">
        <v>0</v>
      </c>
    </row>
    <row r="5" spans="1:18" x14ac:dyDescent="0.3">
      <c r="A5">
        <v>15</v>
      </c>
      <c r="B5" t="s">
        <v>3010</v>
      </c>
      <c r="C5" t="s">
        <v>3011</v>
      </c>
      <c r="D5" t="s">
        <v>233</v>
      </c>
      <c r="E5" t="s">
        <v>30</v>
      </c>
      <c r="F5" s="6">
        <v>45291</v>
      </c>
      <c r="G5">
        <v>2023</v>
      </c>
      <c r="H5" t="s">
        <v>57</v>
      </c>
      <c r="I5" t="s">
        <v>47</v>
      </c>
      <c r="J5">
        <v>100</v>
      </c>
      <c r="K5">
        <v>100</v>
      </c>
      <c r="L5">
        <v>1</v>
      </c>
      <c r="M5">
        <v>1</v>
      </c>
      <c r="N5" t="s">
        <v>31</v>
      </c>
      <c r="O5" t="s">
        <v>31</v>
      </c>
      <c r="P5" t="s">
        <v>5170</v>
      </c>
      <c r="Q5">
        <v>0</v>
      </c>
      <c r="R5">
        <v>0</v>
      </c>
    </row>
    <row r="6" spans="1:18" x14ac:dyDescent="0.3">
      <c r="A6">
        <v>16</v>
      </c>
      <c r="B6" t="s">
        <v>3030</v>
      </c>
      <c r="C6" t="s">
        <v>3011</v>
      </c>
      <c r="D6" t="s">
        <v>233</v>
      </c>
      <c r="E6" t="s">
        <v>30</v>
      </c>
      <c r="F6" s="6">
        <v>45107</v>
      </c>
      <c r="G6">
        <v>2023</v>
      </c>
      <c r="H6" t="s">
        <v>44</v>
      </c>
      <c r="I6" t="s">
        <v>33</v>
      </c>
      <c r="J6">
        <v>66.319999999999993</v>
      </c>
      <c r="K6">
        <v>73</v>
      </c>
      <c r="L6">
        <v>1.1007237635705669</v>
      </c>
      <c r="M6">
        <v>1.1007237635705669</v>
      </c>
      <c r="N6" t="s">
        <v>31</v>
      </c>
      <c r="O6" t="s">
        <v>31</v>
      </c>
      <c r="P6" t="s">
        <v>5171</v>
      </c>
      <c r="Q6">
        <v>0</v>
      </c>
      <c r="R6">
        <v>0</v>
      </c>
    </row>
    <row r="7" spans="1:18" x14ac:dyDescent="0.3">
      <c r="A7">
        <v>16</v>
      </c>
      <c r="B7" t="s">
        <v>3030</v>
      </c>
      <c r="C7" t="s">
        <v>3011</v>
      </c>
      <c r="D7" t="s">
        <v>233</v>
      </c>
      <c r="E7" t="s">
        <v>30</v>
      </c>
      <c r="F7" s="6">
        <v>45291</v>
      </c>
      <c r="G7">
        <v>2023</v>
      </c>
      <c r="H7" t="s">
        <v>57</v>
      </c>
      <c r="I7" t="s">
        <v>47</v>
      </c>
      <c r="J7">
        <v>100</v>
      </c>
      <c r="K7">
        <v>100</v>
      </c>
      <c r="L7">
        <v>1</v>
      </c>
      <c r="M7">
        <v>1</v>
      </c>
      <c r="N7" t="s">
        <v>31</v>
      </c>
      <c r="O7" t="s">
        <v>31</v>
      </c>
      <c r="P7" t="s">
        <v>5172</v>
      </c>
      <c r="Q7">
        <v>0</v>
      </c>
      <c r="R7">
        <v>0</v>
      </c>
    </row>
    <row r="8" spans="1:18" x14ac:dyDescent="0.3">
      <c r="A8">
        <v>17</v>
      </c>
      <c r="B8" t="s">
        <v>3035</v>
      </c>
      <c r="C8" t="s">
        <v>3011</v>
      </c>
      <c r="D8" t="s">
        <v>233</v>
      </c>
      <c r="E8" t="s">
        <v>30</v>
      </c>
      <c r="F8" s="6">
        <v>45107</v>
      </c>
      <c r="G8">
        <v>2023</v>
      </c>
      <c r="H8" t="s">
        <v>44</v>
      </c>
      <c r="I8" t="s">
        <v>33</v>
      </c>
      <c r="J8">
        <v>67.81</v>
      </c>
      <c r="K8">
        <v>77.5</v>
      </c>
      <c r="L8">
        <v>1.1428992773927149</v>
      </c>
      <c r="M8">
        <v>1.1428992773927149</v>
      </c>
      <c r="N8" t="s">
        <v>31</v>
      </c>
      <c r="O8" t="s">
        <v>31</v>
      </c>
      <c r="P8" t="s">
        <v>5173</v>
      </c>
      <c r="Q8">
        <v>1</v>
      </c>
      <c r="R8">
        <v>1</v>
      </c>
    </row>
    <row r="9" spans="1:18" x14ac:dyDescent="0.3">
      <c r="A9">
        <v>17</v>
      </c>
      <c r="B9" t="s">
        <v>3035</v>
      </c>
      <c r="C9" t="s">
        <v>3011</v>
      </c>
      <c r="D9" t="s">
        <v>233</v>
      </c>
      <c r="E9" t="s">
        <v>30</v>
      </c>
      <c r="F9" s="6">
        <v>45291</v>
      </c>
      <c r="G9">
        <v>2023</v>
      </c>
      <c r="H9" t="s">
        <v>57</v>
      </c>
      <c r="I9" t="s">
        <v>47</v>
      </c>
      <c r="J9">
        <v>100</v>
      </c>
      <c r="K9">
        <v>99.38</v>
      </c>
      <c r="L9">
        <v>0.99379999999999991</v>
      </c>
      <c r="M9">
        <v>0.99379999999999991</v>
      </c>
      <c r="N9" t="s">
        <v>31</v>
      </c>
      <c r="O9" t="s">
        <v>31</v>
      </c>
      <c r="P9" t="s">
        <v>5174</v>
      </c>
      <c r="Q9">
        <v>1</v>
      </c>
      <c r="R9">
        <v>1</v>
      </c>
    </row>
    <row r="10" spans="1:18" x14ac:dyDescent="0.3">
      <c r="A10">
        <v>18</v>
      </c>
      <c r="B10" t="s">
        <v>3040</v>
      </c>
      <c r="C10" t="s">
        <v>3011</v>
      </c>
      <c r="D10" t="s">
        <v>233</v>
      </c>
      <c r="E10" t="s">
        <v>30</v>
      </c>
      <c r="F10" s="6">
        <v>45107</v>
      </c>
      <c r="G10">
        <v>2023</v>
      </c>
      <c r="H10" t="s">
        <v>44</v>
      </c>
      <c r="I10" t="s">
        <v>33</v>
      </c>
      <c r="J10">
        <v>64.88</v>
      </c>
      <c r="K10">
        <v>78.33</v>
      </c>
      <c r="L10">
        <v>1.2073057953144271</v>
      </c>
      <c r="M10">
        <v>1.2073057953144271</v>
      </c>
      <c r="N10" t="s">
        <v>31</v>
      </c>
      <c r="O10" t="s">
        <v>31</v>
      </c>
      <c r="P10" t="s">
        <v>5175</v>
      </c>
      <c r="Q10">
        <v>0</v>
      </c>
      <c r="R10">
        <v>0</v>
      </c>
    </row>
    <row r="11" spans="1:18" x14ac:dyDescent="0.3">
      <c r="A11">
        <v>18</v>
      </c>
      <c r="B11" t="s">
        <v>3040</v>
      </c>
      <c r="C11" t="s">
        <v>3011</v>
      </c>
      <c r="D11" t="s">
        <v>233</v>
      </c>
      <c r="E11" t="s">
        <v>30</v>
      </c>
      <c r="F11" s="6">
        <v>45291</v>
      </c>
      <c r="G11">
        <v>2023</v>
      </c>
      <c r="H11" t="s">
        <v>57</v>
      </c>
      <c r="I11" t="s">
        <v>47</v>
      </c>
      <c r="J11">
        <v>100</v>
      </c>
      <c r="K11">
        <v>100</v>
      </c>
      <c r="L11">
        <v>1</v>
      </c>
      <c r="M11">
        <v>1</v>
      </c>
      <c r="N11" t="s">
        <v>31</v>
      </c>
      <c r="O11" t="s">
        <v>31</v>
      </c>
      <c r="P11" t="s">
        <v>5176</v>
      </c>
      <c r="Q11">
        <v>0</v>
      </c>
      <c r="R11">
        <v>0</v>
      </c>
    </row>
    <row r="12" spans="1:18" x14ac:dyDescent="0.3">
      <c r="A12">
        <v>19</v>
      </c>
      <c r="B12" t="s">
        <v>3045</v>
      </c>
      <c r="C12" t="s">
        <v>3011</v>
      </c>
      <c r="D12" t="s">
        <v>233</v>
      </c>
      <c r="E12" t="s">
        <v>30</v>
      </c>
      <c r="F12" s="6">
        <v>45107</v>
      </c>
      <c r="G12">
        <v>2023</v>
      </c>
      <c r="H12" t="s">
        <v>44</v>
      </c>
      <c r="I12" t="s">
        <v>33</v>
      </c>
      <c r="J12">
        <v>51.39</v>
      </c>
      <c r="K12">
        <v>53.93</v>
      </c>
      <c r="L12">
        <v>1.0494259583576571</v>
      </c>
      <c r="M12">
        <v>1.0494259583576571</v>
      </c>
      <c r="N12" t="s">
        <v>31</v>
      </c>
      <c r="O12" t="s">
        <v>31</v>
      </c>
      <c r="P12" t="s">
        <v>5177</v>
      </c>
      <c r="Q12">
        <v>0</v>
      </c>
      <c r="R12">
        <v>0</v>
      </c>
    </row>
    <row r="13" spans="1:18" x14ac:dyDescent="0.3">
      <c r="A13">
        <v>19</v>
      </c>
      <c r="B13" t="s">
        <v>3045</v>
      </c>
      <c r="C13" t="s">
        <v>3011</v>
      </c>
      <c r="D13" t="s">
        <v>233</v>
      </c>
      <c r="E13" t="s">
        <v>30</v>
      </c>
      <c r="F13" s="6">
        <v>45291</v>
      </c>
      <c r="G13">
        <v>2023</v>
      </c>
      <c r="H13" t="s">
        <v>57</v>
      </c>
      <c r="I13" t="s">
        <v>47</v>
      </c>
      <c r="J13">
        <v>100</v>
      </c>
      <c r="K13">
        <v>92.86</v>
      </c>
      <c r="L13">
        <v>0.92859999999999998</v>
      </c>
      <c r="M13">
        <v>0.92859999999999998</v>
      </c>
      <c r="N13" t="s">
        <v>31</v>
      </c>
      <c r="O13" t="s">
        <v>31</v>
      </c>
      <c r="P13" t="s">
        <v>5178</v>
      </c>
      <c r="Q13">
        <v>0</v>
      </c>
      <c r="R13">
        <v>0</v>
      </c>
    </row>
    <row r="14" spans="1:18" x14ac:dyDescent="0.3">
      <c r="A14">
        <v>20</v>
      </c>
      <c r="B14" t="s">
        <v>3050</v>
      </c>
      <c r="C14" t="s">
        <v>3011</v>
      </c>
      <c r="D14" t="s">
        <v>233</v>
      </c>
      <c r="E14" t="s">
        <v>30</v>
      </c>
      <c r="F14" s="6">
        <v>45107</v>
      </c>
      <c r="G14">
        <v>2023</v>
      </c>
      <c r="H14" t="s">
        <v>44</v>
      </c>
      <c r="I14" t="s">
        <v>33</v>
      </c>
      <c r="J14">
        <v>54.33</v>
      </c>
      <c r="K14">
        <v>67</v>
      </c>
      <c r="L14">
        <v>1.233204491073072</v>
      </c>
      <c r="M14">
        <v>1.233204491073072</v>
      </c>
      <c r="N14" t="s">
        <v>31</v>
      </c>
      <c r="O14" t="s">
        <v>31</v>
      </c>
      <c r="P14" t="s">
        <v>5179</v>
      </c>
      <c r="Q14">
        <v>0</v>
      </c>
      <c r="R14">
        <v>0</v>
      </c>
    </row>
    <row r="15" spans="1:18" x14ac:dyDescent="0.3">
      <c r="A15">
        <v>20</v>
      </c>
      <c r="B15" t="s">
        <v>3050</v>
      </c>
      <c r="C15" t="s">
        <v>3011</v>
      </c>
      <c r="D15" t="s">
        <v>233</v>
      </c>
      <c r="E15" t="s">
        <v>30</v>
      </c>
      <c r="F15" s="6">
        <v>45291</v>
      </c>
      <c r="G15">
        <v>2023</v>
      </c>
      <c r="H15" t="s">
        <v>57</v>
      </c>
      <c r="I15" t="s">
        <v>47</v>
      </c>
      <c r="J15">
        <v>100</v>
      </c>
      <c r="K15">
        <v>100</v>
      </c>
      <c r="L15">
        <v>1</v>
      </c>
      <c r="M15">
        <v>1</v>
      </c>
      <c r="N15" t="s">
        <v>31</v>
      </c>
      <c r="O15" t="s">
        <v>31</v>
      </c>
      <c r="P15" t="s">
        <v>5180</v>
      </c>
      <c r="Q15">
        <v>0</v>
      </c>
      <c r="R15">
        <v>0</v>
      </c>
    </row>
    <row r="16" spans="1:18" x14ac:dyDescent="0.3">
      <c r="A16">
        <v>21</v>
      </c>
      <c r="B16" t="s">
        <v>3055</v>
      </c>
      <c r="C16" t="s">
        <v>3011</v>
      </c>
      <c r="D16" t="s">
        <v>233</v>
      </c>
      <c r="E16" t="s">
        <v>30</v>
      </c>
      <c r="F16" s="6">
        <v>45107</v>
      </c>
      <c r="G16">
        <v>2023</v>
      </c>
      <c r="H16" t="s">
        <v>44</v>
      </c>
      <c r="I16" t="s">
        <v>33</v>
      </c>
      <c r="J16">
        <v>60.38</v>
      </c>
      <c r="K16">
        <v>73.06</v>
      </c>
      <c r="L16">
        <v>1.210003312355084</v>
      </c>
      <c r="M16">
        <v>1.210003312355084</v>
      </c>
      <c r="N16" t="s">
        <v>31</v>
      </c>
      <c r="O16" t="s">
        <v>31</v>
      </c>
      <c r="P16" t="s">
        <v>5181</v>
      </c>
      <c r="Q16">
        <v>0</v>
      </c>
      <c r="R16">
        <v>0</v>
      </c>
    </row>
    <row r="17" spans="1:18" x14ac:dyDescent="0.3">
      <c r="A17">
        <v>21</v>
      </c>
      <c r="B17" t="s">
        <v>3055</v>
      </c>
      <c r="C17" t="s">
        <v>3011</v>
      </c>
      <c r="D17" t="s">
        <v>233</v>
      </c>
      <c r="E17" t="s">
        <v>30</v>
      </c>
      <c r="F17" s="6">
        <v>45291</v>
      </c>
      <c r="G17">
        <v>2023</v>
      </c>
      <c r="H17" t="s">
        <v>57</v>
      </c>
      <c r="I17" t="s">
        <v>47</v>
      </c>
      <c r="J17">
        <v>100</v>
      </c>
      <c r="K17">
        <v>100</v>
      </c>
      <c r="L17">
        <v>1</v>
      </c>
      <c r="M17">
        <v>1</v>
      </c>
      <c r="N17" t="s">
        <v>31</v>
      </c>
      <c r="O17" t="s">
        <v>31</v>
      </c>
      <c r="P17" t="s">
        <v>5182</v>
      </c>
      <c r="Q17">
        <v>0</v>
      </c>
      <c r="R17">
        <v>0</v>
      </c>
    </row>
    <row r="18" spans="1:18" x14ac:dyDescent="0.3">
      <c r="A18">
        <v>22</v>
      </c>
      <c r="B18" t="s">
        <v>3060</v>
      </c>
      <c r="C18" t="s">
        <v>3011</v>
      </c>
      <c r="D18" t="s">
        <v>233</v>
      </c>
      <c r="E18" t="s">
        <v>30</v>
      </c>
      <c r="F18" s="6">
        <v>45107</v>
      </c>
      <c r="G18">
        <v>2023</v>
      </c>
      <c r="H18" t="s">
        <v>44</v>
      </c>
      <c r="I18" t="s">
        <v>33</v>
      </c>
      <c r="J18">
        <v>69.650000000000006</v>
      </c>
      <c r="K18">
        <v>68.75</v>
      </c>
      <c r="L18">
        <v>0.98707824838478098</v>
      </c>
      <c r="M18">
        <v>0.98707824838478098</v>
      </c>
      <c r="N18" t="s">
        <v>31</v>
      </c>
      <c r="O18" t="s">
        <v>31</v>
      </c>
      <c r="P18" t="s">
        <v>5183</v>
      </c>
      <c r="Q18">
        <v>0</v>
      </c>
      <c r="R18">
        <v>0</v>
      </c>
    </row>
    <row r="19" spans="1:18" x14ac:dyDescent="0.3">
      <c r="A19">
        <v>22</v>
      </c>
      <c r="B19" t="s">
        <v>3060</v>
      </c>
      <c r="C19" t="s">
        <v>3011</v>
      </c>
      <c r="D19" t="s">
        <v>233</v>
      </c>
      <c r="E19" t="s">
        <v>30</v>
      </c>
      <c r="F19" s="6">
        <v>45291</v>
      </c>
      <c r="G19">
        <v>2023</v>
      </c>
      <c r="H19" t="s">
        <v>57</v>
      </c>
      <c r="I19" t="s">
        <v>47</v>
      </c>
      <c r="J19">
        <v>100</v>
      </c>
      <c r="K19">
        <v>100</v>
      </c>
      <c r="L19">
        <v>1</v>
      </c>
      <c r="M19">
        <v>1</v>
      </c>
      <c r="N19" t="s">
        <v>31</v>
      </c>
      <c r="O19" t="s">
        <v>31</v>
      </c>
      <c r="P19" t="s">
        <v>5184</v>
      </c>
      <c r="Q19">
        <v>0</v>
      </c>
      <c r="R19">
        <v>0</v>
      </c>
    </row>
    <row r="20" spans="1:18" x14ac:dyDescent="0.3">
      <c r="A20">
        <v>23</v>
      </c>
      <c r="B20" t="s">
        <v>3065</v>
      </c>
      <c r="C20" t="s">
        <v>3011</v>
      </c>
      <c r="D20" t="s">
        <v>233</v>
      </c>
      <c r="E20" t="s">
        <v>30</v>
      </c>
      <c r="F20" s="6">
        <v>45107</v>
      </c>
      <c r="G20">
        <v>2023</v>
      </c>
      <c r="H20" t="s">
        <v>44</v>
      </c>
      <c r="I20" t="s">
        <v>33</v>
      </c>
      <c r="J20">
        <v>61.42</v>
      </c>
      <c r="K20">
        <v>67.67</v>
      </c>
      <c r="L20">
        <v>1.1017583848909149</v>
      </c>
      <c r="M20">
        <v>1.1017583848909149</v>
      </c>
      <c r="N20" t="s">
        <v>31</v>
      </c>
      <c r="O20" t="s">
        <v>31</v>
      </c>
      <c r="P20" t="s">
        <v>5185</v>
      </c>
      <c r="Q20">
        <v>0</v>
      </c>
      <c r="R20">
        <v>0</v>
      </c>
    </row>
    <row r="21" spans="1:18" x14ac:dyDescent="0.3">
      <c r="A21">
        <v>23</v>
      </c>
      <c r="B21" t="s">
        <v>3065</v>
      </c>
      <c r="C21" t="s">
        <v>3011</v>
      </c>
      <c r="D21" t="s">
        <v>233</v>
      </c>
      <c r="E21" t="s">
        <v>30</v>
      </c>
      <c r="F21" s="6">
        <v>45291</v>
      </c>
      <c r="G21">
        <v>2023</v>
      </c>
      <c r="H21" t="s">
        <v>57</v>
      </c>
      <c r="I21" t="s">
        <v>47</v>
      </c>
      <c r="J21">
        <v>100</v>
      </c>
      <c r="K21">
        <v>100</v>
      </c>
      <c r="L21">
        <v>1</v>
      </c>
      <c r="M21">
        <v>1</v>
      </c>
      <c r="N21" t="s">
        <v>31</v>
      </c>
      <c r="O21" t="s">
        <v>31</v>
      </c>
      <c r="P21" t="s">
        <v>5186</v>
      </c>
      <c r="Q21">
        <v>0</v>
      </c>
      <c r="R21">
        <v>0</v>
      </c>
    </row>
    <row r="22" spans="1:18" x14ac:dyDescent="0.3">
      <c r="A22">
        <v>24</v>
      </c>
      <c r="B22" t="s">
        <v>3013</v>
      </c>
      <c r="C22" t="s">
        <v>3011</v>
      </c>
      <c r="D22" t="s">
        <v>233</v>
      </c>
      <c r="E22" t="s">
        <v>30</v>
      </c>
      <c r="F22" s="6">
        <v>45107</v>
      </c>
      <c r="G22">
        <v>2023</v>
      </c>
      <c r="H22" t="s">
        <v>44</v>
      </c>
      <c r="I22" t="s">
        <v>33</v>
      </c>
      <c r="J22">
        <v>51.82</v>
      </c>
      <c r="K22">
        <v>58.57</v>
      </c>
      <c r="L22">
        <v>1.1302585874179849</v>
      </c>
      <c r="M22">
        <v>1.1302585874179849</v>
      </c>
      <c r="N22" t="s">
        <v>31</v>
      </c>
      <c r="O22" t="s">
        <v>31</v>
      </c>
      <c r="P22" t="s">
        <v>5187</v>
      </c>
      <c r="Q22">
        <v>0</v>
      </c>
      <c r="R22">
        <v>0</v>
      </c>
    </row>
    <row r="23" spans="1:18" x14ac:dyDescent="0.3">
      <c r="A23">
        <v>24</v>
      </c>
      <c r="B23" t="s">
        <v>3013</v>
      </c>
      <c r="C23" t="s">
        <v>3011</v>
      </c>
      <c r="D23" t="s">
        <v>233</v>
      </c>
      <c r="E23" t="s">
        <v>30</v>
      </c>
      <c r="F23" s="6">
        <v>45291</v>
      </c>
      <c r="G23">
        <v>2023</v>
      </c>
      <c r="H23" t="s">
        <v>57</v>
      </c>
      <c r="I23" t="s">
        <v>47</v>
      </c>
      <c r="J23">
        <v>100</v>
      </c>
      <c r="K23">
        <v>100</v>
      </c>
      <c r="L23">
        <v>1</v>
      </c>
      <c r="M23">
        <v>1</v>
      </c>
      <c r="N23" t="s">
        <v>31</v>
      </c>
      <c r="O23" t="s">
        <v>31</v>
      </c>
      <c r="P23" t="s">
        <v>5188</v>
      </c>
      <c r="Q23">
        <v>0</v>
      </c>
      <c r="R23">
        <v>0</v>
      </c>
    </row>
    <row r="24" spans="1:18" x14ac:dyDescent="0.3">
      <c r="A24">
        <v>25</v>
      </c>
      <c r="B24" t="s">
        <v>3020</v>
      </c>
      <c r="C24" t="s">
        <v>3011</v>
      </c>
      <c r="D24" t="s">
        <v>233</v>
      </c>
      <c r="E24" t="s">
        <v>30</v>
      </c>
      <c r="F24" s="6">
        <v>45107</v>
      </c>
      <c r="G24">
        <v>2023</v>
      </c>
      <c r="H24" t="s">
        <v>44</v>
      </c>
      <c r="I24" t="s">
        <v>33</v>
      </c>
      <c r="J24">
        <v>69.58</v>
      </c>
      <c r="K24">
        <v>73.75</v>
      </c>
      <c r="L24">
        <v>1.059931014659385</v>
      </c>
      <c r="M24">
        <v>1.059931014659385</v>
      </c>
      <c r="N24" t="s">
        <v>31</v>
      </c>
      <c r="O24" t="s">
        <v>31</v>
      </c>
      <c r="P24" t="s">
        <v>5189</v>
      </c>
      <c r="Q24">
        <v>0</v>
      </c>
      <c r="R24">
        <v>0</v>
      </c>
    </row>
    <row r="25" spans="1:18" x14ac:dyDescent="0.3">
      <c r="A25">
        <v>25</v>
      </c>
      <c r="B25" t="s">
        <v>3020</v>
      </c>
      <c r="C25" t="s">
        <v>3011</v>
      </c>
      <c r="D25" t="s">
        <v>233</v>
      </c>
      <c r="E25" t="s">
        <v>30</v>
      </c>
      <c r="F25" s="6">
        <v>45291</v>
      </c>
      <c r="G25">
        <v>2023</v>
      </c>
      <c r="H25" t="s">
        <v>57</v>
      </c>
      <c r="I25" t="s">
        <v>47</v>
      </c>
      <c r="J25">
        <v>100</v>
      </c>
      <c r="K25">
        <v>98.75</v>
      </c>
      <c r="L25">
        <v>0.98750000000000004</v>
      </c>
      <c r="M25">
        <v>0.98750000000000004</v>
      </c>
      <c r="N25" t="s">
        <v>31</v>
      </c>
      <c r="O25" t="s">
        <v>31</v>
      </c>
      <c r="P25" t="s">
        <v>5190</v>
      </c>
      <c r="Q25">
        <v>0</v>
      </c>
      <c r="R25">
        <v>0</v>
      </c>
    </row>
    <row r="26" spans="1:18" x14ac:dyDescent="0.3">
      <c r="A26">
        <v>26</v>
      </c>
      <c r="B26" t="s">
        <v>3025</v>
      </c>
      <c r="C26" t="s">
        <v>3011</v>
      </c>
      <c r="D26" t="s">
        <v>233</v>
      </c>
      <c r="E26" t="s">
        <v>30</v>
      </c>
      <c r="F26" s="6">
        <v>45107</v>
      </c>
      <c r="G26">
        <v>2023</v>
      </c>
      <c r="H26" t="s">
        <v>44</v>
      </c>
      <c r="I26" t="s">
        <v>33</v>
      </c>
      <c r="J26">
        <v>72.27</v>
      </c>
      <c r="K26">
        <v>70.209999999999994</v>
      </c>
      <c r="L26">
        <v>0.97149577971495782</v>
      </c>
      <c r="M26">
        <v>0.97149577971495782</v>
      </c>
      <c r="N26" t="s">
        <v>31</v>
      </c>
      <c r="O26" t="s">
        <v>31</v>
      </c>
      <c r="P26" t="s">
        <v>5191</v>
      </c>
      <c r="Q26">
        <v>0</v>
      </c>
      <c r="R26">
        <v>0</v>
      </c>
    </row>
    <row r="27" spans="1:18" x14ac:dyDescent="0.3">
      <c r="A27">
        <v>26</v>
      </c>
      <c r="B27" t="s">
        <v>3025</v>
      </c>
      <c r="C27" t="s">
        <v>3011</v>
      </c>
      <c r="D27" t="s">
        <v>233</v>
      </c>
      <c r="E27" t="s">
        <v>30</v>
      </c>
      <c r="F27" s="6">
        <v>45291</v>
      </c>
      <c r="G27">
        <v>2023</v>
      </c>
      <c r="H27" t="s">
        <v>57</v>
      </c>
      <c r="I27" t="s">
        <v>47</v>
      </c>
      <c r="J27">
        <v>100</v>
      </c>
      <c r="K27">
        <v>100</v>
      </c>
      <c r="L27">
        <v>1</v>
      </c>
      <c r="M27">
        <v>1</v>
      </c>
      <c r="N27" t="s">
        <v>31</v>
      </c>
      <c r="O27" t="s">
        <v>31</v>
      </c>
      <c r="P27" t="s">
        <v>5192</v>
      </c>
      <c r="Q27">
        <v>0</v>
      </c>
      <c r="R27">
        <v>0</v>
      </c>
    </row>
    <row r="28" spans="1:18" x14ac:dyDescent="0.3">
      <c r="A28">
        <v>27</v>
      </c>
      <c r="B28" t="s">
        <v>3300</v>
      </c>
      <c r="C28" t="s">
        <v>3011</v>
      </c>
      <c r="D28" t="s">
        <v>233</v>
      </c>
      <c r="E28" t="s">
        <v>30</v>
      </c>
      <c r="F28" s="6">
        <v>45107</v>
      </c>
      <c r="G28">
        <v>2023</v>
      </c>
      <c r="H28" t="s">
        <v>44</v>
      </c>
      <c r="I28" t="s">
        <v>33</v>
      </c>
      <c r="J28">
        <v>71</v>
      </c>
      <c r="K28">
        <v>78</v>
      </c>
      <c r="L28">
        <v>1.098591549295775</v>
      </c>
      <c r="M28">
        <v>1.098591549295775</v>
      </c>
      <c r="N28" t="s">
        <v>31</v>
      </c>
      <c r="O28" t="s">
        <v>31</v>
      </c>
      <c r="P28" t="s">
        <v>5193</v>
      </c>
      <c r="Q28">
        <v>0</v>
      </c>
      <c r="R28">
        <v>0</v>
      </c>
    </row>
    <row r="29" spans="1:18" x14ac:dyDescent="0.3">
      <c r="A29">
        <v>27</v>
      </c>
      <c r="B29" t="s">
        <v>3300</v>
      </c>
      <c r="C29" t="s">
        <v>3011</v>
      </c>
      <c r="D29" t="s">
        <v>233</v>
      </c>
      <c r="E29" t="s">
        <v>30</v>
      </c>
      <c r="F29" s="6">
        <v>45291</v>
      </c>
      <c r="G29">
        <v>2023</v>
      </c>
      <c r="H29" t="s">
        <v>57</v>
      </c>
      <c r="I29" t="s">
        <v>47</v>
      </c>
      <c r="J29">
        <v>100</v>
      </c>
      <c r="K29">
        <v>99.75</v>
      </c>
      <c r="L29">
        <v>0.99750000000000005</v>
      </c>
      <c r="M29">
        <v>0.99750000000000005</v>
      </c>
      <c r="N29" t="s">
        <v>31</v>
      </c>
      <c r="O29" t="s">
        <v>31</v>
      </c>
      <c r="P29" t="s">
        <v>5194</v>
      </c>
      <c r="Q29">
        <v>0</v>
      </c>
      <c r="R29">
        <v>0</v>
      </c>
    </row>
    <row r="30" spans="1:18" x14ac:dyDescent="0.3">
      <c r="A30">
        <v>28</v>
      </c>
      <c r="B30" t="s">
        <v>3305</v>
      </c>
      <c r="C30" t="s">
        <v>3011</v>
      </c>
      <c r="D30" t="s">
        <v>233</v>
      </c>
      <c r="E30" t="s">
        <v>30</v>
      </c>
      <c r="F30" s="6">
        <v>45107</v>
      </c>
      <c r="G30">
        <v>2023</v>
      </c>
      <c r="H30" t="s">
        <v>44</v>
      </c>
      <c r="I30" t="s">
        <v>33</v>
      </c>
      <c r="J30">
        <v>74</v>
      </c>
      <c r="K30">
        <v>45</v>
      </c>
      <c r="L30">
        <v>0.60810810810810811</v>
      </c>
      <c r="M30">
        <v>0.60810810810810811</v>
      </c>
      <c r="N30" t="s">
        <v>31</v>
      </c>
      <c r="O30" t="s">
        <v>31</v>
      </c>
      <c r="P30" t="s">
        <v>5195</v>
      </c>
      <c r="Q30">
        <v>0</v>
      </c>
      <c r="R30">
        <v>0</v>
      </c>
    </row>
    <row r="31" spans="1:18" x14ac:dyDescent="0.3">
      <c r="A31">
        <v>28</v>
      </c>
      <c r="B31" t="s">
        <v>3305</v>
      </c>
      <c r="C31" t="s">
        <v>3011</v>
      </c>
      <c r="D31" t="s">
        <v>233</v>
      </c>
      <c r="E31" t="s">
        <v>30</v>
      </c>
      <c r="F31" s="6">
        <v>45291</v>
      </c>
      <c r="G31">
        <v>2023</v>
      </c>
      <c r="H31" t="s">
        <v>57</v>
      </c>
      <c r="I31" t="s">
        <v>47</v>
      </c>
      <c r="J31">
        <v>100</v>
      </c>
      <c r="K31">
        <v>97.4</v>
      </c>
      <c r="L31">
        <v>0.97400000000000009</v>
      </c>
      <c r="M31">
        <v>0.97400000000000009</v>
      </c>
      <c r="N31" t="s">
        <v>31</v>
      </c>
      <c r="O31" t="s">
        <v>31</v>
      </c>
      <c r="P31" t="s">
        <v>5196</v>
      </c>
      <c r="Q31">
        <v>0</v>
      </c>
      <c r="R31">
        <v>0</v>
      </c>
    </row>
    <row r="32" spans="1:18" x14ac:dyDescent="0.3">
      <c r="A32">
        <v>29</v>
      </c>
      <c r="B32" t="s">
        <v>3310</v>
      </c>
      <c r="C32" t="s">
        <v>3011</v>
      </c>
      <c r="D32" t="s">
        <v>233</v>
      </c>
      <c r="E32" t="s">
        <v>30</v>
      </c>
      <c r="F32" s="6">
        <v>45107</v>
      </c>
      <c r="G32">
        <v>2023</v>
      </c>
      <c r="H32" t="s">
        <v>44</v>
      </c>
      <c r="I32" t="s">
        <v>33</v>
      </c>
      <c r="J32">
        <v>52</v>
      </c>
      <c r="K32">
        <v>65</v>
      </c>
      <c r="L32">
        <v>1.25</v>
      </c>
      <c r="M32">
        <v>1.25</v>
      </c>
      <c r="N32" t="s">
        <v>31</v>
      </c>
      <c r="O32" t="s">
        <v>31</v>
      </c>
      <c r="P32" t="s">
        <v>5197</v>
      </c>
      <c r="Q32">
        <v>0</v>
      </c>
      <c r="R32">
        <v>0</v>
      </c>
    </row>
    <row r="33" spans="1:18" x14ac:dyDescent="0.3">
      <c r="A33">
        <v>29</v>
      </c>
      <c r="B33" t="s">
        <v>3310</v>
      </c>
      <c r="C33" t="s">
        <v>3011</v>
      </c>
      <c r="D33" t="s">
        <v>233</v>
      </c>
      <c r="E33" t="s">
        <v>30</v>
      </c>
      <c r="F33" s="6">
        <v>45291</v>
      </c>
      <c r="G33">
        <v>2023</v>
      </c>
      <c r="H33" t="s">
        <v>57</v>
      </c>
      <c r="I33" t="s">
        <v>47</v>
      </c>
      <c r="J33">
        <v>100</v>
      </c>
      <c r="K33">
        <v>98.83</v>
      </c>
      <c r="L33">
        <v>0.98829999999999996</v>
      </c>
      <c r="M33">
        <v>0.98829999999999996</v>
      </c>
      <c r="N33" t="s">
        <v>31</v>
      </c>
      <c r="O33" t="s">
        <v>31</v>
      </c>
      <c r="P33" t="s">
        <v>5198</v>
      </c>
      <c r="Q33">
        <v>0</v>
      </c>
      <c r="R33">
        <v>0</v>
      </c>
    </row>
    <row r="34" spans="1:18" x14ac:dyDescent="0.3">
      <c r="A34">
        <v>30</v>
      </c>
      <c r="B34" t="s">
        <v>3315</v>
      </c>
      <c r="C34" t="s">
        <v>3011</v>
      </c>
      <c r="D34" t="s">
        <v>233</v>
      </c>
      <c r="E34" t="s">
        <v>30</v>
      </c>
      <c r="F34" s="6">
        <v>45107</v>
      </c>
      <c r="G34">
        <v>2023</v>
      </c>
      <c r="H34" t="s">
        <v>44</v>
      </c>
      <c r="I34" t="s">
        <v>33</v>
      </c>
      <c r="J34">
        <v>70</v>
      </c>
      <c r="K34">
        <v>84</v>
      </c>
      <c r="L34">
        <v>1.2</v>
      </c>
      <c r="M34">
        <v>1.2</v>
      </c>
      <c r="N34" t="s">
        <v>31</v>
      </c>
      <c r="O34" t="s">
        <v>31</v>
      </c>
      <c r="P34" t="s">
        <v>5199</v>
      </c>
      <c r="Q34">
        <v>0</v>
      </c>
      <c r="R34">
        <v>0</v>
      </c>
    </row>
    <row r="35" spans="1:18" x14ac:dyDescent="0.3">
      <c r="A35">
        <v>30</v>
      </c>
      <c r="B35" t="s">
        <v>3315</v>
      </c>
      <c r="C35" t="s">
        <v>3011</v>
      </c>
      <c r="D35" t="s">
        <v>233</v>
      </c>
      <c r="E35" t="s">
        <v>30</v>
      </c>
      <c r="F35" s="6">
        <v>45291</v>
      </c>
      <c r="G35">
        <v>2023</v>
      </c>
      <c r="H35" t="s">
        <v>57</v>
      </c>
      <c r="I35" t="s">
        <v>47</v>
      </c>
      <c r="J35">
        <v>100</v>
      </c>
      <c r="K35">
        <v>98.75</v>
      </c>
      <c r="L35">
        <v>0.98750000000000004</v>
      </c>
      <c r="M35">
        <v>0.98750000000000004</v>
      </c>
      <c r="N35" t="s">
        <v>31</v>
      </c>
      <c r="O35" t="s">
        <v>31</v>
      </c>
      <c r="P35" t="s">
        <v>5200</v>
      </c>
      <c r="Q35">
        <v>0</v>
      </c>
      <c r="R35">
        <v>0</v>
      </c>
    </row>
    <row r="36" spans="1:18" x14ac:dyDescent="0.3">
      <c r="A36">
        <v>31</v>
      </c>
      <c r="B36" t="s">
        <v>3320</v>
      </c>
      <c r="D36" t="s">
        <v>233</v>
      </c>
      <c r="E36" t="s">
        <v>30</v>
      </c>
      <c r="F36" s="6">
        <v>45107</v>
      </c>
      <c r="G36">
        <v>2023</v>
      </c>
      <c r="H36" t="s">
        <v>44</v>
      </c>
      <c r="I36" t="s">
        <v>33</v>
      </c>
      <c r="J36">
        <v>41</v>
      </c>
      <c r="K36">
        <v>54</v>
      </c>
      <c r="L36">
        <v>1.3</v>
      </c>
      <c r="M36">
        <v>1.3170731707317069</v>
      </c>
      <c r="N36" t="s">
        <v>31</v>
      </c>
      <c r="O36" t="s">
        <v>31</v>
      </c>
      <c r="P36" t="s">
        <v>5201</v>
      </c>
      <c r="Q36">
        <v>0</v>
      </c>
      <c r="R36">
        <v>0</v>
      </c>
    </row>
    <row r="37" spans="1:18" x14ac:dyDescent="0.3">
      <c r="A37">
        <v>31</v>
      </c>
      <c r="B37" t="s">
        <v>3320</v>
      </c>
      <c r="D37" t="s">
        <v>233</v>
      </c>
      <c r="E37" t="s">
        <v>30</v>
      </c>
      <c r="F37" s="6">
        <v>45291</v>
      </c>
      <c r="G37">
        <v>2023</v>
      </c>
      <c r="H37" t="s">
        <v>57</v>
      </c>
      <c r="I37" t="s">
        <v>47</v>
      </c>
      <c r="J37">
        <v>100</v>
      </c>
      <c r="K37">
        <v>100</v>
      </c>
      <c r="L37">
        <v>1</v>
      </c>
      <c r="M37">
        <v>1</v>
      </c>
      <c r="N37" t="s">
        <v>31</v>
      </c>
      <c r="O37" t="s">
        <v>31</v>
      </c>
      <c r="P37" t="s">
        <v>5202</v>
      </c>
      <c r="Q37">
        <v>0</v>
      </c>
      <c r="R37">
        <v>0</v>
      </c>
    </row>
    <row r="38" spans="1:18" x14ac:dyDescent="0.3">
      <c r="A38">
        <v>32</v>
      </c>
      <c r="B38" t="s">
        <v>3325</v>
      </c>
      <c r="C38" t="s">
        <v>262</v>
      </c>
      <c r="D38" t="s">
        <v>233</v>
      </c>
      <c r="E38" t="s">
        <v>30</v>
      </c>
      <c r="F38" s="6">
        <v>45107</v>
      </c>
      <c r="G38">
        <v>2023</v>
      </c>
      <c r="H38" t="s">
        <v>44</v>
      </c>
      <c r="I38" t="s">
        <v>33</v>
      </c>
      <c r="J38">
        <v>56</v>
      </c>
      <c r="K38">
        <v>70</v>
      </c>
      <c r="L38">
        <v>1.25</v>
      </c>
      <c r="M38">
        <v>1.25</v>
      </c>
      <c r="N38" t="s">
        <v>31</v>
      </c>
      <c r="O38" t="s">
        <v>31</v>
      </c>
      <c r="P38" t="s">
        <v>5203</v>
      </c>
      <c r="Q38">
        <v>0</v>
      </c>
      <c r="R38">
        <v>0</v>
      </c>
    </row>
    <row r="39" spans="1:18" x14ac:dyDescent="0.3">
      <c r="A39">
        <v>32</v>
      </c>
      <c r="B39" t="s">
        <v>3325</v>
      </c>
      <c r="C39" t="s">
        <v>262</v>
      </c>
      <c r="D39" t="s">
        <v>233</v>
      </c>
      <c r="E39" t="s">
        <v>30</v>
      </c>
      <c r="F39" s="6">
        <v>45291</v>
      </c>
      <c r="G39">
        <v>2023</v>
      </c>
      <c r="H39" t="s">
        <v>57</v>
      </c>
      <c r="I39" t="s">
        <v>47</v>
      </c>
      <c r="J39">
        <v>100</v>
      </c>
      <c r="K39">
        <v>94.51</v>
      </c>
      <c r="L39">
        <v>0.94510000000000005</v>
      </c>
      <c r="M39">
        <v>0.94510000000000005</v>
      </c>
      <c r="N39" t="s">
        <v>31</v>
      </c>
      <c r="O39" t="s">
        <v>31</v>
      </c>
      <c r="P39" t="s">
        <v>5204</v>
      </c>
      <c r="Q39">
        <v>0</v>
      </c>
      <c r="R39">
        <v>0</v>
      </c>
    </row>
    <row r="40" spans="1:18" x14ac:dyDescent="0.3">
      <c r="A40">
        <v>33</v>
      </c>
      <c r="B40" t="s">
        <v>3330</v>
      </c>
      <c r="C40" t="s">
        <v>3331</v>
      </c>
      <c r="D40" t="s">
        <v>233</v>
      </c>
      <c r="E40" t="s">
        <v>30</v>
      </c>
      <c r="F40" s="6">
        <v>45107</v>
      </c>
      <c r="G40">
        <v>2023</v>
      </c>
      <c r="H40" t="s">
        <v>44</v>
      </c>
      <c r="I40" t="s">
        <v>33</v>
      </c>
      <c r="J40">
        <v>52</v>
      </c>
      <c r="K40">
        <v>56</v>
      </c>
      <c r="L40">
        <v>1.0769230769230771</v>
      </c>
      <c r="M40">
        <v>1.0769230769230771</v>
      </c>
      <c r="N40" t="s">
        <v>31</v>
      </c>
      <c r="O40" t="s">
        <v>31</v>
      </c>
      <c r="P40" t="s">
        <v>5205</v>
      </c>
      <c r="Q40">
        <v>0</v>
      </c>
      <c r="R40">
        <v>0</v>
      </c>
    </row>
    <row r="41" spans="1:18" x14ac:dyDescent="0.3">
      <c r="A41">
        <v>33</v>
      </c>
      <c r="B41" t="s">
        <v>3330</v>
      </c>
      <c r="C41" t="s">
        <v>3331</v>
      </c>
      <c r="D41" t="s">
        <v>233</v>
      </c>
      <c r="E41" t="s">
        <v>30</v>
      </c>
      <c r="F41" s="6">
        <v>45291</v>
      </c>
      <c r="G41">
        <v>2023</v>
      </c>
      <c r="H41" t="s">
        <v>57</v>
      </c>
      <c r="I41" t="s">
        <v>47</v>
      </c>
      <c r="J41">
        <v>100</v>
      </c>
      <c r="K41">
        <v>86.53</v>
      </c>
      <c r="L41">
        <v>0.86529999999999996</v>
      </c>
      <c r="M41">
        <v>0.86529999999999996</v>
      </c>
      <c r="N41" t="s">
        <v>31</v>
      </c>
      <c r="O41" t="s">
        <v>31</v>
      </c>
      <c r="P41" t="s">
        <v>5206</v>
      </c>
      <c r="Q41">
        <v>0</v>
      </c>
      <c r="R41">
        <v>0</v>
      </c>
    </row>
    <row r="42" spans="1:18" x14ac:dyDescent="0.3">
      <c r="A42">
        <v>34</v>
      </c>
      <c r="B42" t="s">
        <v>3336</v>
      </c>
      <c r="C42" t="s">
        <v>184</v>
      </c>
      <c r="D42" t="s">
        <v>233</v>
      </c>
      <c r="E42" t="s">
        <v>30</v>
      </c>
      <c r="F42" s="6">
        <v>45107</v>
      </c>
      <c r="G42">
        <v>2023</v>
      </c>
      <c r="H42" t="s">
        <v>44</v>
      </c>
      <c r="I42" t="s">
        <v>33</v>
      </c>
      <c r="J42">
        <v>66</v>
      </c>
      <c r="K42">
        <v>66</v>
      </c>
      <c r="L42">
        <v>1</v>
      </c>
      <c r="M42">
        <v>1</v>
      </c>
      <c r="N42" t="s">
        <v>31</v>
      </c>
      <c r="O42" t="s">
        <v>31</v>
      </c>
      <c r="P42" t="s">
        <v>5207</v>
      </c>
      <c r="Q42">
        <v>0</v>
      </c>
      <c r="R42">
        <v>0</v>
      </c>
    </row>
    <row r="43" spans="1:18" x14ac:dyDescent="0.3">
      <c r="A43">
        <v>34</v>
      </c>
      <c r="B43" t="s">
        <v>3336</v>
      </c>
      <c r="C43" t="s">
        <v>184</v>
      </c>
      <c r="D43" t="s">
        <v>233</v>
      </c>
      <c r="E43" t="s">
        <v>30</v>
      </c>
      <c r="F43" s="6">
        <v>45291</v>
      </c>
      <c r="G43">
        <v>2023</v>
      </c>
      <c r="H43" t="s">
        <v>57</v>
      </c>
      <c r="I43" t="s">
        <v>47</v>
      </c>
      <c r="J43">
        <v>100</v>
      </c>
      <c r="K43">
        <v>94.6</v>
      </c>
      <c r="L43">
        <v>0.94599999999999995</v>
      </c>
      <c r="M43">
        <v>0.94599999999999995</v>
      </c>
      <c r="N43" t="s">
        <v>31</v>
      </c>
      <c r="O43" t="s">
        <v>31</v>
      </c>
      <c r="P43" t="s">
        <v>5208</v>
      </c>
      <c r="Q43">
        <v>0</v>
      </c>
      <c r="R43">
        <v>0</v>
      </c>
    </row>
    <row r="44" spans="1:18" x14ac:dyDescent="0.3">
      <c r="A44">
        <v>35</v>
      </c>
      <c r="B44" t="s">
        <v>3360</v>
      </c>
      <c r="C44" t="s">
        <v>5209</v>
      </c>
      <c r="D44" t="s">
        <v>233</v>
      </c>
      <c r="E44" t="s">
        <v>30</v>
      </c>
      <c r="F44" s="6">
        <v>45107</v>
      </c>
      <c r="G44">
        <v>2023</v>
      </c>
      <c r="H44" t="s">
        <v>44</v>
      </c>
      <c r="I44" t="s">
        <v>33</v>
      </c>
      <c r="J44">
        <v>63</v>
      </c>
      <c r="K44">
        <v>52</v>
      </c>
      <c r="L44">
        <v>0.82539682539682535</v>
      </c>
      <c r="M44">
        <v>0.82539682539682535</v>
      </c>
      <c r="N44" t="s">
        <v>31</v>
      </c>
      <c r="O44" t="s">
        <v>31</v>
      </c>
      <c r="P44" t="s">
        <v>5210</v>
      </c>
      <c r="Q44">
        <v>0</v>
      </c>
      <c r="R44">
        <v>0</v>
      </c>
    </row>
    <row r="45" spans="1:18" x14ac:dyDescent="0.3">
      <c r="A45">
        <v>35</v>
      </c>
      <c r="B45" t="s">
        <v>3360</v>
      </c>
      <c r="C45" t="s">
        <v>5209</v>
      </c>
      <c r="D45" t="s">
        <v>233</v>
      </c>
      <c r="E45" t="s">
        <v>30</v>
      </c>
      <c r="F45" s="6">
        <v>45291</v>
      </c>
      <c r="G45">
        <v>2023</v>
      </c>
      <c r="H45" t="s">
        <v>57</v>
      </c>
      <c r="I45" t="s">
        <v>47</v>
      </c>
      <c r="J45">
        <v>100</v>
      </c>
      <c r="K45">
        <v>99.86</v>
      </c>
      <c r="L45">
        <v>0.99860000000000004</v>
      </c>
      <c r="M45">
        <v>0.99860000000000004</v>
      </c>
      <c r="N45" t="s">
        <v>31</v>
      </c>
      <c r="O45" t="s">
        <v>31</v>
      </c>
      <c r="P45" t="s">
        <v>5211</v>
      </c>
      <c r="Q45">
        <v>0</v>
      </c>
      <c r="R45">
        <v>0</v>
      </c>
    </row>
    <row r="46" spans="1:18" x14ac:dyDescent="0.3">
      <c r="A46">
        <v>36</v>
      </c>
      <c r="B46" t="s">
        <v>3381</v>
      </c>
      <c r="C46" t="s">
        <v>717</v>
      </c>
      <c r="D46" t="s">
        <v>233</v>
      </c>
      <c r="E46" t="s">
        <v>30</v>
      </c>
      <c r="F46" s="6">
        <v>45107</v>
      </c>
      <c r="G46">
        <v>2023</v>
      </c>
      <c r="H46" t="s">
        <v>44</v>
      </c>
      <c r="I46" t="s">
        <v>33</v>
      </c>
      <c r="J46">
        <v>88</v>
      </c>
      <c r="K46">
        <v>94</v>
      </c>
      <c r="L46">
        <v>1.0681818181818179</v>
      </c>
      <c r="M46">
        <v>1.0681818181818179</v>
      </c>
      <c r="N46" t="s">
        <v>31</v>
      </c>
      <c r="O46" t="s">
        <v>31</v>
      </c>
      <c r="P46" t="s">
        <v>5212</v>
      </c>
      <c r="Q46">
        <v>0</v>
      </c>
      <c r="R46">
        <v>0</v>
      </c>
    </row>
    <row r="47" spans="1:18" x14ac:dyDescent="0.3">
      <c r="A47">
        <v>36</v>
      </c>
      <c r="B47" t="s">
        <v>3381</v>
      </c>
      <c r="C47" t="s">
        <v>717</v>
      </c>
      <c r="D47" t="s">
        <v>233</v>
      </c>
      <c r="E47" t="s">
        <v>30</v>
      </c>
      <c r="F47" s="6">
        <v>45291</v>
      </c>
      <c r="G47">
        <v>2023</v>
      </c>
      <c r="H47" t="s">
        <v>57</v>
      </c>
      <c r="I47" t="s">
        <v>47</v>
      </c>
      <c r="J47">
        <v>100</v>
      </c>
      <c r="K47">
        <v>100</v>
      </c>
      <c r="L47">
        <v>1</v>
      </c>
      <c r="M47">
        <v>1</v>
      </c>
      <c r="N47" t="s">
        <v>31</v>
      </c>
      <c r="O47" t="s">
        <v>31</v>
      </c>
      <c r="P47" t="s">
        <v>5213</v>
      </c>
      <c r="Q47">
        <v>0</v>
      </c>
      <c r="R47">
        <v>0</v>
      </c>
    </row>
    <row r="48" spans="1:18" x14ac:dyDescent="0.3">
      <c r="A48">
        <v>37</v>
      </c>
      <c r="B48" t="s">
        <v>3362</v>
      </c>
      <c r="C48" t="s">
        <v>266</v>
      </c>
      <c r="D48" t="s">
        <v>233</v>
      </c>
      <c r="E48" t="s">
        <v>30</v>
      </c>
      <c r="F48" s="6">
        <v>45107</v>
      </c>
      <c r="G48">
        <v>2023</v>
      </c>
      <c r="H48" t="s">
        <v>44</v>
      </c>
      <c r="I48" t="s">
        <v>33</v>
      </c>
      <c r="J48">
        <v>58</v>
      </c>
      <c r="K48">
        <v>37</v>
      </c>
      <c r="L48">
        <v>0.63793103448275867</v>
      </c>
      <c r="M48">
        <v>0.63793103448275867</v>
      </c>
      <c r="N48" t="s">
        <v>31</v>
      </c>
      <c r="O48" t="s">
        <v>31</v>
      </c>
      <c r="P48" t="s">
        <v>5214</v>
      </c>
      <c r="Q48">
        <v>0</v>
      </c>
      <c r="R48">
        <v>0</v>
      </c>
    </row>
    <row r="49" spans="1:18" x14ac:dyDescent="0.3">
      <c r="A49">
        <v>37</v>
      </c>
      <c r="B49" t="s">
        <v>3362</v>
      </c>
      <c r="C49" t="s">
        <v>266</v>
      </c>
      <c r="D49" t="s">
        <v>233</v>
      </c>
      <c r="E49" t="s">
        <v>30</v>
      </c>
      <c r="F49" s="6">
        <v>45291</v>
      </c>
      <c r="G49">
        <v>2023</v>
      </c>
      <c r="H49" t="s">
        <v>57</v>
      </c>
      <c r="I49" t="s">
        <v>47</v>
      </c>
      <c r="J49">
        <v>100</v>
      </c>
      <c r="K49">
        <v>84.33</v>
      </c>
      <c r="L49">
        <v>0.84329999999999994</v>
      </c>
      <c r="M49">
        <v>0.84329999999999994</v>
      </c>
      <c r="N49" t="s">
        <v>31</v>
      </c>
      <c r="O49" t="s">
        <v>31</v>
      </c>
      <c r="P49" t="s">
        <v>5215</v>
      </c>
      <c r="Q49">
        <v>0</v>
      </c>
      <c r="R49">
        <v>0</v>
      </c>
    </row>
    <row r="50" spans="1:18" x14ac:dyDescent="0.3">
      <c r="A50">
        <v>38</v>
      </c>
      <c r="B50" t="s">
        <v>3386</v>
      </c>
      <c r="C50" t="s">
        <v>2619</v>
      </c>
      <c r="D50" t="s">
        <v>233</v>
      </c>
      <c r="E50" t="s">
        <v>30</v>
      </c>
      <c r="F50" s="6">
        <v>45107</v>
      </c>
      <c r="G50">
        <v>2023</v>
      </c>
      <c r="H50" t="s">
        <v>44</v>
      </c>
      <c r="I50" t="s">
        <v>33</v>
      </c>
      <c r="J50">
        <v>58</v>
      </c>
      <c r="K50">
        <v>50</v>
      </c>
      <c r="L50">
        <v>0.86206896551724133</v>
      </c>
      <c r="M50">
        <v>0.86206896551724133</v>
      </c>
      <c r="N50" t="s">
        <v>31</v>
      </c>
      <c r="O50" t="s">
        <v>31</v>
      </c>
      <c r="P50" t="s">
        <v>5216</v>
      </c>
      <c r="Q50">
        <v>0</v>
      </c>
      <c r="R50">
        <v>0</v>
      </c>
    </row>
    <row r="51" spans="1:18" x14ac:dyDescent="0.3">
      <c r="A51">
        <v>38</v>
      </c>
      <c r="B51" t="s">
        <v>3386</v>
      </c>
      <c r="C51" t="s">
        <v>2619</v>
      </c>
      <c r="D51" t="s">
        <v>233</v>
      </c>
      <c r="E51" t="s">
        <v>30</v>
      </c>
      <c r="F51" s="6">
        <v>45291</v>
      </c>
      <c r="G51">
        <v>2023</v>
      </c>
      <c r="H51" t="s">
        <v>57</v>
      </c>
      <c r="I51" t="s">
        <v>47</v>
      </c>
      <c r="J51">
        <v>100</v>
      </c>
      <c r="K51">
        <v>98</v>
      </c>
      <c r="L51">
        <v>0.98</v>
      </c>
      <c r="M51">
        <v>0.98</v>
      </c>
      <c r="N51" t="s">
        <v>31</v>
      </c>
      <c r="O51" t="s">
        <v>31</v>
      </c>
      <c r="P51" t="s">
        <v>5217</v>
      </c>
      <c r="Q51">
        <v>0</v>
      </c>
      <c r="R51">
        <v>0</v>
      </c>
    </row>
    <row r="52" spans="1:18" x14ac:dyDescent="0.3">
      <c r="A52">
        <v>39</v>
      </c>
      <c r="B52" t="s">
        <v>3391</v>
      </c>
      <c r="C52" t="s">
        <v>150</v>
      </c>
      <c r="D52" t="s">
        <v>233</v>
      </c>
      <c r="E52" t="s">
        <v>30</v>
      </c>
      <c r="F52" s="6">
        <v>45107</v>
      </c>
      <c r="G52">
        <v>2023</v>
      </c>
      <c r="H52" t="s">
        <v>44</v>
      </c>
      <c r="I52" t="s">
        <v>33</v>
      </c>
      <c r="J52">
        <v>20</v>
      </c>
      <c r="K52">
        <v>24</v>
      </c>
      <c r="L52">
        <v>1.2</v>
      </c>
      <c r="M52">
        <v>1.2</v>
      </c>
      <c r="N52" t="s">
        <v>31</v>
      </c>
      <c r="O52" t="s">
        <v>31</v>
      </c>
      <c r="P52" t="s">
        <v>5218</v>
      </c>
      <c r="Q52">
        <v>0</v>
      </c>
      <c r="R52">
        <v>0</v>
      </c>
    </row>
    <row r="53" spans="1:18" x14ac:dyDescent="0.3">
      <c r="A53">
        <v>39</v>
      </c>
      <c r="B53" t="s">
        <v>3391</v>
      </c>
      <c r="C53" t="s">
        <v>150</v>
      </c>
      <c r="D53" t="s">
        <v>233</v>
      </c>
      <c r="E53" t="s">
        <v>30</v>
      </c>
      <c r="F53" s="6">
        <v>45291</v>
      </c>
      <c r="G53">
        <v>2023</v>
      </c>
      <c r="H53" t="s">
        <v>57</v>
      </c>
      <c r="I53" t="s">
        <v>47</v>
      </c>
      <c r="J53">
        <v>100</v>
      </c>
      <c r="K53">
        <v>100</v>
      </c>
      <c r="L53">
        <v>1</v>
      </c>
      <c r="M53">
        <v>1</v>
      </c>
      <c r="N53" t="s">
        <v>31</v>
      </c>
      <c r="O53" t="s">
        <v>31</v>
      </c>
      <c r="P53" t="s">
        <v>5219</v>
      </c>
      <c r="Q53">
        <v>0</v>
      </c>
      <c r="R53">
        <v>0</v>
      </c>
    </row>
    <row r="54" spans="1:18" x14ac:dyDescent="0.3">
      <c r="A54">
        <v>40</v>
      </c>
      <c r="B54" t="s">
        <v>5220</v>
      </c>
      <c r="C54" t="s">
        <v>649</v>
      </c>
      <c r="D54" t="s">
        <v>233</v>
      </c>
      <c r="E54" t="s">
        <v>30</v>
      </c>
      <c r="F54" s="6">
        <v>45107</v>
      </c>
      <c r="G54">
        <v>2023</v>
      </c>
      <c r="H54" t="s">
        <v>44</v>
      </c>
      <c r="I54" t="s">
        <v>33</v>
      </c>
      <c r="J54">
        <v>54</v>
      </c>
      <c r="K54">
        <v>63</v>
      </c>
      <c r="L54">
        <v>1.166666666666667</v>
      </c>
      <c r="M54">
        <v>1.166666666666667</v>
      </c>
      <c r="N54" t="s">
        <v>31</v>
      </c>
      <c r="O54" t="s">
        <v>31</v>
      </c>
      <c r="P54" t="s">
        <v>5221</v>
      </c>
      <c r="Q54">
        <v>0</v>
      </c>
      <c r="R54">
        <v>0</v>
      </c>
    </row>
    <row r="55" spans="1:18" x14ac:dyDescent="0.3">
      <c r="A55">
        <v>40</v>
      </c>
      <c r="B55" t="s">
        <v>5220</v>
      </c>
      <c r="C55" t="s">
        <v>649</v>
      </c>
      <c r="D55" t="s">
        <v>233</v>
      </c>
      <c r="E55" t="s">
        <v>30</v>
      </c>
      <c r="F55" s="6">
        <v>45291</v>
      </c>
      <c r="G55">
        <v>2023</v>
      </c>
      <c r="H55" t="s">
        <v>57</v>
      </c>
      <c r="I55" t="s">
        <v>47</v>
      </c>
      <c r="J55">
        <v>100</v>
      </c>
      <c r="K55">
        <v>90</v>
      </c>
      <c r="L55">
        <v>0.9</v>
      </c>
      <c r="M55">
        <v>0.9</v>
      </c>
      <c r="N55" t="s">
        <v>31</v>
      </c>
      <c r="O55" t="s">
        <v>31</v>
      </c>
      <c r="P55" t="s">
        <v>5222</v>
      </c>
      <c r="Q55">
        <v>0</v>
      </c>
      <c r="R55">
        <v>0</v>
      </c>
    </row>
    <row r="56" spans="1:18" x14ac:dyDescent="0.3">
      <c r="A56">
        <v>41</v>
      </c>
      <c r="B56" t="s">
        <v>3401</v>
      </c>
      <c r="C56" t="s">
        <v>2678</v>
      </c>
      <c r="D56" t="s">
        <v>233</v>
      </c>
      <c r="E56" t="s">
        <v>30</v>
      </c>
      <c r="F56" s="6">
        <v>45107</v>
      </c>
      <c r="G56">
        <v>2023</v>
      </c>
      <c r="H56" t="s">
        <v>44</v>
      </c>
      <c r="I56" t="s">
        <v>33</v>
      </c>
      <c r="J56">
        <v>62</v>
      </c>
      <c r="K56">
        <v>51</v>
      </c>
      <c r="L56">
        <v>0.82258064516129037</v>
      </c>
      <c r="M56">
        <v>0.82258064516129037</v>
      </c>
      <c r="N56" t="s">
        <v>31</v>
      </c>
      <c r="O56" t="s">
        <v>31</v>
      </c>
      <c r="P56" t="s">
        <v>5223</v>
      </c>
      <c r="Q56">
        <v>0</v>
      </c>
      <c r="R56">
        <v>0</v>
      </c>
    </row>
    <row r="57" spans="1:18" x14ac:dyDescent="0.3">
      <c r="A57">
        <v>41</v>
      </c>
      <c r="B57" t="s">
        <v>3401</v>
      </c>
      <c r="C57" t="s">
        <v>2678</v>
      </c>
      <c r="D57" t="s">
        <v>233</v>
      </c>
      <c r="E57" t="s">
        <v>30</v>
      </c>
      <c r="F57" s="6">
        <v>45291</v>
      </c>
      <c r="G57">
        <v>2023</v>
      </c>
      <c r="H57" t="s">
        <v>57</v>
      </c>
      <c r="I57" t="s">
        <v>47</v>
      </c>
      <c r="J57">
        <v>100</v>
      </c>
      <c r="K57">
        <v>100</v>
      </c>
      <c r="L57">
        <v>1</v>
      </c>
      <c r="M57">
        <v>1</v>
      </c>
      <c r="N57" t="s">
        <v>31</v>
      </c>
      <c r="O57" t="s">
        <v>31</v>
      </c>
      <c r="P57" t="s">
        <v>5224</v>
      </c>
      <c r="Q57">
        <v>0</v>
      </c>
      <c r="R57">
        <v>0</v>
      </c>
    </row>
    <row r="58" spans="1:18" x14ac:dyDescent="0.3">
      <c r="A58">
        <v>42</v>
      </c>
      <c r="B58" t="s">
        <v>3431</v>
      </c>
      <c r="C58" t="s">
        <v>2862</v>
      </c>
      <c r="D58" t="s">
        <v>233</v>
      </c>
      <c r="E58" t="s">
        <v>30</v>
      </c>
      <c r="F58" s="6">
        <v>45107</v>
      </c>
      <c r="G58">
        <v>2023</v>
      </c>
      <c r="H58" t="s">
        <v>44</v>
      </c>
      <c r="I58" t="s">
        <v>33</v>
      </c>
      <c r="J58">
        <v>63</v>
      </c>
      <c r="K58">
        <v>62</v>
      </c>
      <c r="L58">
        <v>0.98412698412698407</v>
      </c>
      <c r="M58">
        <v>0.98412698412698407</v>
      </c>
      <c r="N58" t="s">
        <v>31</v>
      </c>
      <c r="O58" t="s">
        <v>31</v>
      </c>
      <c r="P58" t="s">
        <v>5225</v>
      </c>
      <c r="Q58">
        <v>0</v>
      </c>
      <c r="R58">
        <v>0</v>
      </c>
    </row>
    <row r="59" spans="1:18" x14ac:dyDescent="0.3">
      <c r="A59">
        <v>42</v>
      </c>
      <c r="B59" t="s">
        <v>3431</v>
      </c>
      <c r="C59" t="s">
        <v>2862</v>
      </c>
      <c r="D59" t="s">
        <v>233</v>
      </c>
      <c r="E59" t="s">
        <v>30</v>
      </c>
      <c r="F59" s="6">
        <v>45291</v>
      </c>
      <c r="G59">
        <v>2023</v>
      </c>
      <c r="H59" t="s">
        <v>57</v>
      </c>
      <c r="I59" t="s">
        <v>47</v>
      </c>
      <c r="J59">
        <v>100</v>
      </c>
      <c r="K59">
        <v>100</v>
      </c>
      <c r="L59">
        <v>1</v>
      </c>
      <c r="M59">
        <v>1</v>
      </c>
      <c r="N59" t="s">
        <v>31</v>
      </c>
      <c r="O59" t="s">
        <v>31</v>
      </c>
      <c r="P59" t="s">
        <v>5226</v>
      </c>
      <c r="Q59">
        <v>0</v>
      </c>
      <c r="R59">
        <v>0</v>
      </c>
    </row>
    <row r="60" spans="1:18" x14ac:dyDescent="0.3">
      <c r="A60">
        <v>43</v>
      </c>
      <c r="B60" t="s">
        <v>3436</v>
      </c>
      <c r="C60" t="s">
        <v>3437</v>
      </c>
      <c r="D60" t="s">
        <v>233</v>
      </c>
      <c r="E60" t="s">
        <v>30</v>
      </c>
      <c r="F60" s="6">
        <v>45107</v>
      </c>
      <c r="G60">
        <v>2023</v>
      </c>
      <c r="H60" t="s">
        <v>44</v>
      </c>
      <c r="I60" t="s">
        <v>33</v>
      </c>
      <c r="J60">
        <v>78</v>
      </c>
      <c r="K60">
        <v>73</v>
      </c>
      <c r="L60">
        <v>0.9358974358974359</v>
      </c>
      <c r="M60">
        <v>0.9358974358974359</v>
      </c>
      <c r="N60" t="s">
        <v>31</v>
      </c>
      <c r="O60" t="s">
        <v>31</v>
      </c>
      <c r="P60" t="s">
        <v>5227</v>
      </c>
      <c r="Q60">
        <v>0</v>
      </c>
      <c r="R60">
        <v>0</v>
      </c>
    </row>
    <row r="61" spans="1:18" x14ac:dyDescent="0.3">
      <c r="A61">
        <v>43</v>
      </c>
      <c r="B61" t="s">
        <v>3436</v>
      </c>
      <c r="C61" t="s">
        <v>3437</v>
      </c>
      <c r="D61" t="s">
        <v>233</v>
      </c>
      <c r="E61" t="s">
        <v>30</v>
      </c>
      <c r="F61" s="6">
        <v>45291</v>
      </c>
      <c r="G61">
        <v>2023</v>
      </c>
      <c r="H61" t="s">
        <v>57</v>
      </c>
      <c r="I61" t="s">
        <v>47</v>
      </c>
      <c r="J61">
        <v>100</v>
      </c>
      <c r="K61">
        <v>96</v>
      </c>
      <c r="L61">
        <v>0.96</v>
      </c>
      <c r="M61">
        <v>0.96</v>
      </c>
      <c r="N61" t="s">
        <v>31</v>
      </c>
      <c r="O61" t="s">
        <v>31</v>
      </c>
      <c r="P61" t="s">
        <v>5228</v>
      </c>
      <c r="Q61">
        <v>0</v>
      </c>
      <c r="R61">
        <v>0</v>
      </c>
    </row>
    <row r="62" spans="1:18" x14ac:dyDescent="0.3">
      <c r="A62">
        <v>44</v>
      </c>
      <c r="B62" t="s">
        <v>3478</v>
      </c>
      <c r="C62" t="s">
        <v>174</v>
      </c>
      <c r="D62" t="s">
        <v>233</v>
      </c>
      <c r="E62" t="s">
        <v>30</v>
      </c>
      <c r="F62" s="6">
        <v>45107</v>
      </c>
      <c r="G62">
        <v>2023</v>
      </c>
      <c r="H62" t="s">
        <v>44</v>
      </c>
      <c r="I62" t="s">
        <v>33</v>
      </c>
      <c r="J62">
        <v>50</v>
      </c>
      <c r="K62">
        <v>56</v>
      </c>
      <c r="L62">
        <v>1.1200000000000001</v>
      </c>
      <c r="M62">
        <v>1.1200000000000001</v>
      </c>
      <c r="N62" t="s">
        <v>31</v>
      </c>
      <c r="O62" t="s">
        <v>31</v>
      </c>
      <c r="P62" t="s">
        <v>5229</v>
      </c>
      <c r="Q62">
        <v>0</v>
      </c>
      <c r="R62">
        <v>0</v>
      </c>
    </row>
    <row r="63" spans="1:18" x14ac:dyDescent="0.3">
      <c r="A63">
        <v>44</v>
      </c>
      <c r="B63" t="s">
        <v>3478</v>
      </c>
      <c r="C63" t="s">
        <v>174</v>
      </c>
      <c r="D63" t="s">
        <v>233</v>
      </c>
      <c r="E63" t="s">
        <v>30</v>
      </c>
      <c r="F63" s="6">
        <v>45291</v>
      </c>
      <c r="G63">
        <v>2023</v>
      </c>
      <c r="H63" t="s">
        <v>57</v>
      </c>
      <c r="I63" t="s">
        <v>47</v>
      </c>
      <c r="J63">
        <v>100</v>
      </c>
      <c r="K63">
        <v>94</v>
      </c>
      <c r="L63">
        <v>0.94</v>
      </c>
      <c r="M63">
        <v>0.94</v>
      </c>
      <c r="N63" t="s">
        <v>31</v>
      </c>
      <c r="O63" t="s">
        <v>31</v>
      </c>
      <c r="P63" t="s">
        <v>5230</v>
      </c>
      <c r="Q63">
        <v>0</v>
      </c>
      <c r="R63">
        <v>0</v>
      </c>
    </row>
    <row r="64" spans="1:18" x14ac:dyDescent="0.3">
      <c r="A64">
        <v>45</v>
      </c>
      <c r="B64" t="s">
        <v>3483</v>
      </c>
      <c r="C64" t="s">
        <v>251</v>
      </c>
      <c r="D64" t="s">
        <v>233</v>
      </c>
      <c r="E64" t="s">
        <v>30</v>
      </c>
      <c r="F64" s="6">
        <v>45107</v>
      </c>
      <c r="G64">
        <v>2023</v>
      </c>
      <c r="H64" t="s">
        <v>44</v>
      </c>
      <c r="I64" t="s">
        <v>33</v>
      </c>
      <c r="J64">
        <v>63</v>
      </c>
      <c r="K64">
        <v>53</v>
      </c>
      <c r="L64">
        <v>0.84126984126984128</v>
      </c>
      <c r="M64">
        <v>0.84126984126984128</v>
      </c>
      <c r="N64" t="s">
        <v>31</v>
      </c>
      <c r="O64" t="s">
        <v>31</v>
      </c>
      <c r="P64" t="s">
        <v>5231</v>
      </c>
      <c r="Q64">
        <v>0</v>
      </c>
      <c r="R64">
        <v>0</v>
      </c>
    </row>
    <row r="65" spans="1:18" x14ac:dyDescent="0.3">
      <c r="A65">
        <v>45</v>
      </c>
      <c r="B65" t="s">
        <v>3483</v>
      </c>
      <c r="C65" t="s">
        <v>251</v>
      </c>
      <c r="D65" t="s">
        <v>233</v>
      </c>
      <c r="E65" t="s">
        <v>30</v>
      </c>
      <c r="F65" s="6">
        <v>45291</v>
      </c>
      <c r="G65">
        <v>2023</v>
      </c>
      <c r="H65" t="s">
        <v>57</v>
      </c>
      <c r="I65" t="s">
        <v>47</v>
      </c>
      <c r="J65">
        <v>100</v>
      </c>
      <c r="K65">
        <v>86.67</v>
      </c>
      <c r="L65">
        <v>0.86670000000000003</v>
      </c>
      <c r="M65">
        <v>0.86670000000000003</v>
      </c>
      <c r="N65" t="s">
        <v>31</v>
      </c>
      <c r="O65" t="s">
        <v>31</v>
      </c>
      <c r="P65" t="s">
        <v>5232</v>
      </c>
      <c r="Q65">
        <v>0</v>
      </c>
      <c r="R65">
        <v>0</v>
      </c>
    </row>
    <row r="66" spans="1:18" x14ac:dyDescent="0.3">
      <c r="A66">
        <v>46</v>
      </c>
      <c r="B66" t="s">
        <v>3488</v>
      </c>
      <c r="C66" t="s">
        <v>225</v>
      </c>
      <c r="D66" t="s">
        <v>233</v>
      </c>
      <c r="E66" t="s">
        <v>30</v>
      </c>
      <c r="F66" s="6">
        <v>45107</v>
      </c>
      <c r="G66">
        <v>2023</v>
      </c>
      <c r="H66" t="s">
        <v>44</v>
      </c>
      <c r="I66" t="s">
        <v>33</v>
      </c>
      <c r="J66">
        <v>56</v>
      </c>
      <c r="K66">
        <v>74</v>
      </c>
      <c r="L66">
        <v>1.3</v>
      </c>
      <c r="M66">
        <v>1.321428571428571</v>
      </c>
      <c r="N66" t="s">
        <v>31</v>
      </c>
      <c r="O66" t="s">
        <v>31</v>
      </c>
      <c r="P66" t="s">
        <v>5233</v>
      </c>
      <c r="Q66">
        <v>0</v>
      </c>
      <c r="R66">
        <v>0</v>
      </c>
    </row>
    <row r="67" spans="1:18" x14ac:dyDescent="0.3">
      <c r="A67">
        <v>46</v>
      </c>
      <c r="B67" t="s">
        <v>3488</v>
      </c>
      <c r="C67" t="s">
        <v>225</v>
      </c>
      <c r="D67" t="s">
        <v>233</v>
      </c>
      <c r="E67" t="s">
        <v>30</v>
      </c>
      <c r="F67" s="6">
        <v>45291</v>
      </c>
      <c r="G67">
        <v>2023</v>
      </c>
      <c r="H67" t="s">
        <v>57</v>
      </c>
      <c r="I67" t="s">
        <v>47</v>
      </c>
      <c r="J67">
        <v>100</v>
      </c>
      <c r="K67">
        <v>93.75</v>
      </c>
      <c r="L67">
        <v>0.9375</v>
      </c>
      <c r="M67">
        <v>0.9375</v>
      </c>
      <c r="N67" t="s">
        <v>31</v>
      </c>
      <c r="O67" t="s">
        <v>31</v>
      </c>
      <c r="P67" t="s">
        <v>5234</v>
      </c>
      <c r="Q67">
        <v>0</v>
      </c>
      <c r="R67">
        <v>0</v>
      </c>
    </row>
    <row r="68" spans="1:18" x14ac:dyDescent="0.3">
      <c r="A68">
        <v>47</v>
      </c>
      <c r="B68" t="s">
        <v>3503</v>
      </c>
      <c r="D68" t="s">
        <v>233</v>
      </c>
      <c r="E68" t="s">
        <v>30</v>
      </c>
      <c r="F68" s="6">
        <v>45107</v>
      </c>
      <c r="G68">
        <v>2023</v>
      </c>
      <c r="H68" t="s">
        <v>44</v>
      </c>
      <c r="I68" t="s">
        <v>33</v>
      </c>
      <c r="J68">
        <v>52</v>
      </c>
      <c r="K68">
        <v>63</v>
      </c>
      <c r="L68">
        <v>1.211538461538461</v>
      </c>
      <c r="M68">
        <v>1.211538461538461</v>
      </c>
      <c r="N68" t="s">
        <v>31</v>
      </c>
      <c r="O68" t="s">
        <v>31</v>
      </c>
      <c r="P68" t="s">
        <v>5235</v>
      </c>
      <c r="Q68">
        <v>0</v>
      </c>
      <c r="R68">
        <v>0</v>
      </c>
    </row>
    <row r="69" spans="1:18" x14ac:dyDescent="0.3">
      <c r="A69">
        <v>47</v>
      </c>
      <c r="B69" t="s">
        <v>3503</v>
      </c>
      <c r="D69" t="s">
        <v>233</v>
      </c>
      <c r="E69" t="s">
        <v>30</v>
      </c>
      <c r="F69" s="6">
        <v>45291</v>
      </c>
      <c r="G69">
        <v>2023</v>
      </c>
      <c r="H69" t="s">
        <v>57</v>
      </c>
      <c r="I69" t="s">
        <v>47</v>
      </c>
      <c r="J69">
        <v>100</v>
      </c>
      <c r="K69">
        <v>98.75</v>
      </c>
      <c r="L69">
        <v>0.98750000000000004</v>
      </c>
      <c r="M69">
        <v>0.98750000000000004</v>
      </c>
      <c r="N69" t="s">
        <v>31</v>
      </c>
      <c r="O69" t="s">
        <v>31</v>
      </c>
      <c r="P69" t="s">
        <v>5236</v>
      </c>
      <c r="Q69">
        <v>0</v>
      </c>
      <c r="R69">
        <v>0</v>
      </c>
    </row>
    <row r="70" spans="1:18" x14ac:dyDescent="0.3">
      <c r="A70">
        <v>48</v>
      </c>
      <c r="B70" t="s">
        <v>5237</v>
      </c>
      <c r="C70" t="s">
        <v>169</v>
      </c>
      <c r="D70" t="s">
        <v>233</v>
      </c>
      <c r="E70" t="s">
        <v>30</v>
      </c>
      <c r="F70" s="6">
        <v>45107</v>
      </c>
      <c r="G70">
        <v>2023</v>
      </c>
      <c r="H70" t="s">
        <v>44</v>
      </c>
      <c r="I70" t="s">
        <v>33</v>
      </c>
      <c r="J70">
        <v>44</v>
      </c>
      <c r="K70">
        <v>49</v>
      </c>
      <c r="L70">
        <v>1.113636363636364</v>
      </c>
      <c r="M70">
        <v>1.113636363636364</v>
      </c>
      <c r="N70" t="s">
        <v>31</v>
      </c>
      <c r="O70" t="s">
        <v>31</v>
      </c>
      <c r="P70" t="s">
        <v>5238</v>
      </c>
      <c r="Q70">
        <v>0</v>
      </c>
      <c r="R70">
        <v>0</v>
      </c>
    </row>
    <row r="71" spans="1:18" x14ac:dyDescent="0.3">
      <c r="A71">
        <v>48</v>
      </c>
      <c r="B71" t="s">
        <v>5237</v>
      </c>
      <c r="C71" t="s">
        <v>169</v>
      </c>
      <c r="D71" t="s">
        <v>233</v>
      </c>
      <c r="E71" t="s">
        <v>30</v>
      </c>
      <c r="F71" s="6">
        <v>45291</v>
      </c>
      <c r="G71">
        <v>2023</v>
      </c>
      <c r="H71" t="s">
        <v>57</v>
      </c>
      <c r="I71" t="s">
        <v>47</v>
      </c>
      <c r="J71">
        <v>100</v>
      </c>
      <c r="K71">
        <v>94.17</v>
      </c>
      <c r="L71">
        <v>0.94169999999999998</v>
      </c>
      <c r="M71">
        <v>0.94169999999999998</v>
      </c>
      <c r="N71" t="s">
        <v>31</v>
      </c>
      <c r="O71" t="s">
        <v>31</v>
      </c>
      <c r="P71" t="s">
        <v>5239</v>
      </c>
      <c r="Q71">
        <v>0</v>
      </c>
      <c r="R71">
        <v>0</v>
      </c>
    </row>
    <row r="72" spans="1:18" x14ac:dyDescent="0.3">
      <c r="A72">
        <v>49</v>
      </c>
      <c r="B72" t="s">
        <v>5240</v>
      </c>
      <c r="C72" t="s">
        <v>232</v>
      </c>
      <c r="D72" t="s">
        <v>233</v>
      </c>
      <c r="E72" t="s">
        <v>30</v>
      </c>
      <c r="F72" s="6">
        <v>45107</v>
      </c>
      <c r="G72">
        <v>2023</v>
      </c>
      <c r="H72" t="s">
        <v>44</v>
      </c>
      <c r="I72" t="s">
        <v>33</v>
      </c>
      <c r="J72">
        <v>62</v>
      </c>
      <c r="K72">
        <v>64</v>
      </c>
      <c r="L72">
        <v>1.032258064516129</v>
      </c>
      <c r="M72">
        <v>1.032258064516129</v>
      </c>
      <c r="N72" t="s">
        <v>31</v>
      </c>
      <c r="O72" t="s">
        <v>31</v>
      </c>
      <c r="P72" t="s">
        <v>5241</v>
      </c>
      <c r="Q72">
        <v>0</v>
      </c>
      <c r="R72">
        <v>0</v>
      </c>
    </row>
    <row r="73" spans="1:18" x14ac:dyDescent="0.3">
      <c r="A73">
        <v>49</v>
      </c>
      <c r="B73" t="s">
        <v>5240</v>
      </c>
      <c r="C73" t="s">
        <v>232</v>
      </c>
      <c r="D73" t="s">
        <v>233</v>
      </c>
      <c r="E73" t="s">
        <v>30</v>
      </c>
      <c r="F73" s="6">
        <v>45291</v>
      </c>
      <c r="G73">
        <v>2023</v>
      </c>
      <c r="H73" t="s">
        <v>57</v>
      </c>
      <c r="I73" t="s">
        <v>47</v>
      </c>
      <c r="J73">
        <v>100</v>
      </c>
      <c r="K73">
        <v>99</v>
      </c>
      <c r="L73">
        <v>0.99</v>
      </c>
      <c r="M73">
        <v>0.99</v>
      </c>
      <c r="N73" t="s">
        <v>31</v>
      </c>
      <c r="O73" t="s">
        <v>31</v>
      </c>
      <c r="P73" t="s">
        <v>5242</v>
      </c>
      <c r="Q73">
        <v>0</v>
      </c>
      <c r="R73">
        <v>0</v>
      </c>
    </row>
    <row r="74" spans="1:18" x14ac:dyDescent="0.3">
      <c r="A74">
        <v>50</v>
      </c>
      <c r="B74" t="s">
        <v>3524</v>
      </c>
      <c r="C74" t="s">
        <v>61</v>
      </c>
      <c r="D74" t="s">
        <v>233</v>
      </c>
      <c r="E74" t="s">
        <v>30</v>
      </c>
      <c r="F74" s="6">
        <v>45107</v>
      </c>
      <c r="G74">
        <v>2023</v>
      </c>
      <c r="H74" t="s">
        <v>44</v>
      </c>
      <c r="I74" t="s">
        <v>33</v>
      </c>
      <c r="J74">
        <v>43</v>
      </c>
      <c r="K74">
        <v>46</v>
      </c>
      <c r="L74">
        <v>1.069767441860465</v>
      </c>
      <c r="M74">
        <v>1.069767441860465</v>
      </c>
      <c r="N74" t="s">
        <v>31</v>
      </c>
      <c r="O74" t="s">
        <v>31</v>
      </c>
      <c r="P74" t="s">
        <v>5243</v>
      </c>
      <c r="Q74">
        <v>0</v>
      </c>
      <c r="R74">
        <v>0</v>
      </c>
    </row>
    <row r="75" spans="1:18" x14ac:dyDescent="0.3">
      <c r="A75">
        <v>50</v>
      </c>
      <c r="B75" t="s">
        <v>3524</v>
      </c>
      <c r="C75" t="s">
        <v>61</v>
      </c>
      <c r="D75" t="s">
        <v>233</v>
      </c>
      <c r="E75" t="s">
        <v>30</v>
      </c>
      <c r="F75" s="6">
        <v>45291</v>
      </c>
      <c r="G75">
        <v>2023</v>
      </c>
      <c r="H75" t="s">
        <v>57</v>
      </c>
      <c r="I75" t="s">
        <v>47</v>
      </c>
      <c r="J75">
        <v>100</v>
      </c>
      <c r="K75">
        <v>87.5</v>
      </c>
      <c r="L75">
        <v>0.875</v>
      </c>
      <c r="M75">
        <v>0.875</v>
      </c>
      <c r="N75" t="s">
        <v>31</v>
      </c>
      <c r="O75" t="s">
        <v>31</v>
      </c>
      <c r="P75" t="s">
        <v>5244</v>
      </c>
      <c r="Q75">
        <v>0</v>
      </c>
      <c r="R75">
        <v>0</v>
      </c>
    </row>
    <row r="76" spans="1:18" x14ac:dyDescent="0.3">
      <c r="A76">
        <v>51</v>
      </c>
      <c r="B76" t="s">
        <v>3529</v>
      </c>
      <c r="C76" t="s">
        <v>760</v>
      </c>
      <c r="D76" t="s">
        <v>233</v>
      </c>
      <c r="E76" t="s">
        <v>30</v>
      </c>
      <c r="F76" s="6">
        <v>45107</v>
      </c>
      <c r="G76">
        <v>2023</v>
      </c>
      <c r="H76" t="s">
        <v>44</v>
      </c>
      <c r="I76" t="s">
        <v>33</v>
      </c>
      <c r="J76">
        <v>39</v>
      </c>
      <c r="K76">
        <v>20</v>
      </c>
      <c r="L76">
        <v>0.51282051282051277</v>
      </c>
      <c r="M76">
        <v>0.51282051282051277</v>
      </c>
      <c r="N76" t="s">
        <v>31</v>
      </c>
      <c r="O76" t="s">
        <v>31</v>
      </c>
      <c r="P76" t="s">
        <v>5245</v>
      </c>
      <c r="Q76">
        <v>0</v>
      </c>
      <c r="R76">
        <v>0</v>
      </c>
    </row>
    <row r="77" spans="1:18" x14ac:dyDescent="0.3">
      <c r="A77">
        <v>51</v>
      </c>
      <c r="B77" t="s">
        <v>3529</v>
      </c>
      <c r="C77" t="s">
        <v>760</v>
      </c>
      <c r="D77" t="s">
        <v>233</v>
      </c>
      <c r="E77" t="s">
        <v>30</v>
      </c>
      <c r="F77" s="6">
        <v>45291</v>
      </c>
      <c r="G77">
        <v>2023</v>
      </c>
      <c r="H77" t="s">
        <v>57</v>
      </c>
      <c r="I77" t="s">
        <v>47</v>
      </c>
      <c r="J77">
        <v>100</v>
      </c>
      <c r="K77">
        <v>86.25</v>
      </c>
      <c r="L77">
        <v>0.86250000000000004</v>
      </c>
      <c r="M77">
        <v>0.86250000000000004</v>
      </c>
      <c r="N77" t="s">
        <v>31</v>
      </c>
      <c r="O77" t="s">
        <v>31</v>
      </c>
      <c r="P77" t="s">
        <v>5246</v>
      </c>
      <c r="Q77">
        <v>0</v>
      </c>
      <c r="R77">
        <v>0</v>
      </c>
    </row>
    <row r="78" spans="1:18" x14ac:dyDescent="0.3">
      <c r="A78">
        <v>52</v>
      </c>
      <c r="B78" t="s">
        <v>3534</v>
      </c>
      <c r="C78" t="s">
        <v>663</v>
      </c>
      <c r="D78" t="s">
        <v>233</v>
      </c>
      <c r="E78" t="s">
        <v>30</v>
      </c>
      <c r="F78" s="6">
        <v>45107</v>
      </c>
      <c r="G78">
        <v>2023</v>
      </c>
      <c r="H78" t="s">
        <v>44</v>
      </c>
      <c r="I78" t="s">
        <v>33</v>
      </c>
      <c r="J78">
        <v>56</v>
      </c>
      <c r="K78">
        <v>63</v>
      </c>
      <c r="L78">
        <v>1.125</v>
      </c>
      <c r="M78">
        <v>1.125</v>
      </c>
      <c r="N78" t="s">
        <v>31</v>
      </c>
      <c r="O78" t="s">
        <v>31</v>
      </c>
      <c r="P78" t="s">
        <v>5247</v>
      </c>
      <c r="Q78">
        <v>0</v>
      </c>
      <c r="R78">
        <v>0</v>
      </c>
    </row>
    <row r="79" spans="1:18" x14ac:dyDescent="0.3">
      <c r="A79">
        <v>52</v>
      </c>
      <c r="B79" t="s">
        <v>3534</v>
      </c>
      <c r="C79" t="s">
        <v>663</v>
      </c>
      <c r="D79" t="s">
        <v>233</v>
      </c>
      <c r="E79" t="s">
        <v>30</v>
      </c>
      <c r="F79" s="6">
        <v>45291</v>
      </c>
      <c r="G79">
        <v>2023</v>
      </c>
      <c r="H79" t="s">
        <v>57</v>
      </c>
      <c r="I79" t="s">
        <v>47</v>
      </c>
      <c r="J79">
        <v>100</v>
      </c>
      <c r="K79">
        <v>90.95</v>
      </c>
      <c r="L79">
        <v>0.90949999999999998</v>
      </c>
      <c r="M79">
        <v>0.90949999999999998</v>
      </c>
      <c r="N79" t="s">
        <v>31</v>
      </c>
      <c r="O79" t="s">
        <v>31</v>
      </c>
      <c r="P79" t="s">
        <v>5248</v>
      </c>
      <c r="Q79">
        <v>0</v>
      </c>
      <c r="R79">
        <v>0</v>
      </c>
    </row>
    <row r="80" spans="1:18" x14ac:dyDescent="0.3">
      <c r="A80">
        <v>53</v>
      </c>
      <c r="B80" t="s">
        <v>3539</v>
      </c>
      <c r="C80" t="s">
        <v>842</v>
      </c>
      <c r="D80" t="s">
        <v>233</v>
      </c>
      <c r="E80" t="s">
        <v>30</v>
      </c>
      <c r="F80" s="6">
        <v>45107</v>
      </c>
      <c r="G80">
        <v>2023</v>
      </c>
      <c r="H80" t="s">
        <v>44</v>
      </c>
      <c r="I80" t="s">
        <v>33</v>
      </c>
      <c r="J80">
        <v>67</v>
      </c>
      <c r="K80">
        <v>61</v>
      </c>
      <c r="L80">
        <v>0.91044776119402981</v>
      </c>
      <c r="M80">
        <v>0.91044776119402981</v>
      </c>
      <c r="N80" t="s">
        <v>31</v>
      </c>
      <c r="O80" t="s">
        <v>31</v>
      </c>
      <c r="P80" t="s">
        <v>5249</v>
      </c>
      <c r="Q80">
        <v>0</v>
      </c>
      <c r="R80">
        <v>0</v>
      </c>
    </row>
    <row r="81" spans="1:18" x14ac:dyDescent="0.3">
      <c r="A81">
        <v>53</v>
      </c>
      <c r="B81" t="s">
        <v>3539</v>
      </c>
      <c r="C81" t="s">
        <v>842</v>
      </c>
      <c r="D81" t="s">
        <v>233</v>
      </c>
      <c r="E81" t="s">
        <v>30</v>
      </c>
      <c r="F81" s="6">
        <v>45291</v>
      </c>
      <c r="G81">
        <v>2023</v>
      </c>
      <c r="H81" t="s">
        <v>57</v>
      </c>
      <c r="I81" t="s">
        <v>47</v>
      </c>
      <c r="J81">
        <v>100</v>
      </c>
      <c r="K81">
        <v>99.78</v>
      </c>
      <c r="L81">
        <v>0.99780000000000002</v>
      </c>
      <c r="M81">
        <v>0.99780000000000002</v>
      </c>
      <c r="N81" t="s">
        <v>31</v>
      </c>
      <c r="O81" t="s">
        <v>31</v>
      </c>
      <c r="P81" t="s">
        <v>5250</v>
      </c>
      <c r="Q81">
        <v>0</v>
      </c>
      <c r="R81">
        <v>0</v>
      </c>
    </row>
    <row r="82" spans="1:18" x14ac:dyDescent="0.3">
      <c r="A82">
        <v>54</v>
      </c>
      <c r="B82" t="s">
        <v>3544</v>
      </c>
      <c r="C82" t="s">
        <v>1997</v>
      </c>
      <c r="D82" t="s">
        <v>233</v>
      </c>
      <c r="E82" t="s">
        <v>30</v>
      </c>
      <c r="F82" s="6">
        <v>45107</v>
      </c>
      <c r="G82">
        <v>2023</v>
      </c>
      <c r="H82" t="s">
        <v>44</v>
      </c>
      <c r="I82" t="s">
        <v>33</v>
      </c>
      <c r="J82">
        <v>56</v>
      </c>
      <c r="K82">
        <v>70</v>
      </c>
      <c r="L82">
        <v>1.25</v>
      </c>
      <c r="M82">
        <v>1.25</v>
      </c>
      <c r="N82" t="s">
        <v>31</v>
      </c>
      <c r="O82" t="s">
        <v>31</v>
      </c>
      <c r="P82" t="s">
        <v>5251</v>
      </c>
      <c r="Q82">
        <v>0</v>
      </c>
      <c r="R82">
        <v>0</v>
      </c>
    </row>
    <row r="83" spans="1:18" x14ac:dyDescent="0.3">
      <c r="A83">
        <v>54</v>
      </c>
      <c r="B83" t="s">
        <v>3544</v>
      </c>
      <c r="C83" t="s">
        <v>1997</v>
      </c>
      <c r="D83" t="s">
        <v>233</v>
      </c>
      <c r="E83" t="s">
        <v>30</v>
      </c>
      <c r="F83" s="6">
        <v>45291</v>
      </c>
      <c r="G83">
        <v>2023</v>
      </c>
      <c r="H83" t="s">
        <v>57</v>
      </c>
      <c r="I83" t="s">
        <v>47</v>
      </c>
      <c r="J83">
        <v>100</v>
      </c>
      <c r="K83">
        <v>100</v>
      </c>
      <c r="L83">
        <v>1</v>
      </c>
      <c r="M83">
        <v>1</v>
      </c>
      <c r="N83" t="s">
        <v>31</v>
      </c>
      <c r="O83" t="s">
        <v>31</v>
      </c>
      <c r="P83" t="s">
        <v>5252</v>
      </c>
      <c r="Q83">
        <v>0</v>
      </c>
      <c r="R83">
        <v>0</v>
      </c>
    </row>
    <row r="84" spans="1:18" x14ac:dyDescent="0.3">
      <c r="A84">
        <v>55</v>
      </c>
      <c r="B84" t="s">
        <v>3549</v>
      </c>
      <c r="C84" t="s">
        <v>28</v>
      </c>
      <c r="D84" t="s">
        <v>233</v>
      </c>
      <c r="E84" t="s">
        <v>30</v>
      </c>
      <c r="F84" s="6">
        <v>45107</v>
      </c>
      <c r="G84">
        <v>2023</v>
      </c>
      <c r="H84" t="s">
        <v>44</v>
      </c>
      <c r="I84" t="s">
        <v>33</v>
      </c>
      <c r="J84">
        <v>56</v>
      </c>
      <c r="K84">
        <v>66</v>
      </c>
      <c r="L84">
        <v>1.178571428571429</v>
      </c>
      <c r="M84">
        <v>1.178571428571429</v>
      </c>
      <c r="N84" t="s">
        <v>31</v>
      </c>
      <c r="O84" t="s">
        <v>31</v>
      </c>
      <c r="P84" t="s">
        <v>5253</v>
      </c>
      <c r="Q84">
        <v>0</v>
      </c>
      <c r="R84">
        <v>0</v>
      </c>
    </row>
    <row r="85" spans="1:18" x14ac:dyDescent="0.3">
      <c r="A85">
        <v>55</v>
      </c>
      <c r="B85" t="s">
        <v>3549</v>
      </c>
      <c r="C85" t="s">
        <v>28</v>
      </c>
      <c r="D85" t="s">
        <v>233</v>
      </c>
      <c r="E85" t="s">
        <v>30</v>
      </c>
      <c r="F85" s="6">
        <v>45291</v>
      </c>
      <c r="G85">
        <v>2023</v>
      </c>
      <c r="H85" t="s">
        <v>57</v>
      </c>
      <c r="I85" t="s">
        <v>47</v>
      </c>
      <c r="J85">
        <v>100</v>
      </c>
      <c r="K85">
        <v>100</v>
      </c>
      <c r="L85">
        <v>1</v>
      </c>
      <c r="M85">
        <v>1</v>
      </c>
      <c r="N85" t="s">
        <v>31</v>
      </c>
      <c r="O85" t="s">
        <v>31</v>
      </c>
      <c r="P85" t="s">
        <v>5254</v>
      </c>
      <c r="Q85">
        <v>0</v>
      </c>
      <c r="R85">
        <v>0</v>
      </c>
    </row>
    <row r="86" spans="1:18" x14ac:dyDescent="0.3">
      <c r="A86">
        <v>56</v>
      </c>
      <c r="B86" t="s">
        <v>3554</v>
      </c>
      <c r="C86" t="s">
        <v>3011</v>
      </c>
      <c r="D86" t="s">
        <v>233</v>
      </c>
      <c r="E86" t="s">
        <v>30</v>
      </c>
      <c r="F86" s="6">
        <v>45107</v>
      </c>
      <c r="G86">
        <v>2023</v>
      </c>
      <c r="H86" t="s">
        <v>44</v>
      </c>
      <c r="I86" t="s">
        <v>33</v>
      </c>
      <c r="J86">
        <v>61</v>
      </c>
      <c r="K86">
        <v>69</v>
      </c>
      <c r="L86">
        <v>1.131147540983606</v>
      </c>
      <c r="M86">
        <v>1.131147540983606</v>
      </c>
      <c r="N86" t="s">
        <v>31</v>
      </c>
      <c r="O86" t="s">
        <v>31</v>
      </c>
      <c r="P86" t="s">
        <v>5255</v>
      </c>
      <c r="Q86">
        <v>0</v>
      </c>
      <c r="R86">
        <v>0</v>
      </c>
    </row>
    <row r="87" spans="1:18" x14ac:dyDescent="0.3">
      <c r="A87">
        <v>56</v>
      </c>
      <c r="B87" t="s">
        <v>3554</v>
      </c>
      <c r="C87" t="s">
        <v>3011</v>
      </c>
      <c r="D87" t="s">
        <v>233</v>
      </c>
      <c r="E87" t="s">
        <v>30</v>
      </c>
      <c r="F87" s="6">
        <v>45291</v>
      </c>
      <c r="G87">
        <v>2023</v>
      </c>
      <c r="H87" t="s">
        <v>57</v>
      </c>
      <c r="I87" t="s">
        <v>47</v>
      </c>
      <c r="J87">
        <v>100</v>
      </c>
      <c r="K87">
        <v>100</v>
      </c>
      <c r="L87">
        <v>1</v>
      </c>
      <c r="M87">
        <v>1</v>
      </c>
      <c r="N87" t="s">
        <v>31</v>
      </c>
      <c r="O87" t="s">
        <v>31</v>
      </c>
      <c r="P87" t="s">
        <v>5256</v>
      </c>
      <c r="Q87">
        <v>0</v>
      </c>
      <c r="R87">
        <v>0</v>
      </c>
    </row>
    <row r="88" spans="1:18" x14ac:dyDescent="0.3">
      <c r="A88">
        <v>57</v>
      </c>
      <c r="B88" t="s">
        <v>3559</v>
      </c>
      <c r="C88" t="s">
        <v>3011</v>
      </c>
      <c r="D88" t="s">
        <v>233</v>
      </c>
      <c r="E88" t="s">
        <v>30</v>
      </c>
      <c r="F88" s="6">
        <v>45107</v>
      </c>
      <c r="G88">
        <v>2023</v>
      </c>
      <c r="H88" t="s">
        <v>44</v>
      </c>
      <c r="I88" t="s">
        <v>33</v>
      </c>
      <c r="J88">
        <v>64</v>
      </c>
      <c r="K88">
        <v>66</v>
      </c>
      <c r="L88">
        <v>1.03125</v>
      </c>
      <c r="M88">
        <v>1.03125</v>
      </c>
      <c r="N88" t="s">
        <v>31</v>
      </c>
      <c r="O88" t="s">
        <v>31</v>
      </c>
      <c r="P88" t="s">
        <v>5257</v>
      </c>
      <c r="Q88">
        <v>0</v>
      </c>
      <c r="R88">
        <v>0</v>
      </c>
    </row>
    <row r="89" spans="1:18" x14ac:dyDescent="0.3">
      <c r="A89">
        <v>57</v>
      </c>
      <c r="B89" t="s">
        <v>3559</v>
      </c>
      <c r="C89" t="s">
        <v>3011</v>
      </c>
      <c r="D89" t="s">
        <v>233</v>
      </c>
      <c r="E89" t="s">
        <v>30</v>
      </c>
      <c r="F89" s="6">
        <v>45291</v>
      </c>
      <c r="G89">
        <v>2023</v>
      </c>
      <c r="H89" t="s">
        <v>57</v>
      </c>
      <c r="I89" t="s">
        <v>47</v>
      </c>
      <c r="J89">
        <v>100</v>
      </c>
      <c r="K89">
        <v>97.74</v>
      </c>
      <c r="L89">
        <v>0.97739999999999994</v>
      </c>
      <c r="M89">
        <v>0.97739999999999994</v>
      </c>
      <c r="N89" t="s">
        <v>31</v>
      </c>
      <c r="O89" t="s">
        <v>31</v>
      </c>
      <c r="P89" t="s">
        <v>5258</v>
      </c>
      <c r="Q89">
        <v>0</v>
      </c>
      <c r="R89">
        <v>0</v>
      </c>
    </row>
    <row r="90" spans="1:18" x14ac:dyDescent="0.3">
      <c r="A90">
        <v>58</v>
      </c>
      <c r="B90" t="s">
        <v>3564</v>
      </c>
      <c r="C90" t="s">
        <v>3011</v>
      </c>
      <c r="D90" t="s">
        <v>233</v>
      </c>
      <c r="E90" t="s">
        <v>30</v>
      </c>
      <c r="F90" s="6">
        <v>45107</v>
      </c>
      <c r="G90">
        <v>2023</v>
      </c>
      <c r="H90" t="s">
        <v>44</v>
      </c>
      <c r="I90" t="s">
        <v>33</v>
      </c>
      <c r="J90">
        <v>71</v>
      </c>
      <c r="K90">
        <v>84</v>
      </c>
      <c r="L90">
        <v>1.183098591549296</v>
      </c>
      <c r="M90">
        <v>1.183098591549296</v>
      </c>
      <c r="N90" t="s">
        <v>31</v>
      </c>
      <c r="O90" t="s">
        <v>31</v>
      </c>
      <c r="P90" t="s">
        <v>5259</v>
      </c>
      <c r="Q90">
        <v>0</v>
      </c>
      <c r="R90">
        <v>0</v>
      </c>
    </row>
    <row r="91" spans="1:18" x14ac:dyDescent="0.3">
      <c r="A91">
        <v>58</v>
      </c>
      <c r="B91" t="s">
        <v>3564</v>
      </c>
      <c r="C91" t="s">
        <v>3011</v>
      </c>
      <c r="D91" t="s">
        <v>233</v>
      </c>
      <c r="E91" t="s">
        <v>30</v>
      </c>
      <c r="F91" s="6">
        <v>45291</v>
      </c>
      <c r="G91">
        <v>2023</v>
      </c>
      <c r="H91" t="s">
        <v>57</v>
      </c>
      <c r="I91" t="s">
        <v>47</v>
      </c>
      <c r="J91">
        <v>100</v>
      </c>
      <c r="K91">
        <v>100</v>
      </c>
      <c r="L91">
        <v>1</v>
      </c>
      <c r="M91">
        <v>1</v>
      </c>
      <c r="N91" t="s">
        <v>31</v>
      </c>
      <c r="O91" t="s">
        <v>31</v>
      </c>
      <c r="P91" t="s">
        <v>5260</v>
      </c>
      <c r="Q91">
        <v>0</v>
      </c>
      <c r="R91">
        <v>0</v>
      </c>
    </row>
    <row r="92" spans="1:18" x14ac:dyDescent="0.3">
      <c r="A92">
        <v>59</v>
      </c>
      <c r="B92" t="s">
        <v>5261</v>
      </c>
      <c r="C92" t="s">
        <v>3011</v>
      </c>
      <c r="D92" t="s">
        <v>233</v>
      </c>
      <c r="E92" t="s">
        <v>30</v>
      </c>
      <c r="F92" s="6">
        <v>45107</v>
      </c>
      <c r="G92">
        <v>2023</v>
      </c>
      <c r="H92" t="s">
        <v>44</v>
      </c>
      <c r="I92" t="s">
        <v>33</v>
      </c>
      <c r="J92">
        <v>54</v>
      </c>
      <c r="K92">
        <v>70</v>
      </c>
      <c r="L92">
        <v>1.2962962962962961</v>
      </c>
      <c r="M92">
        <v>1.2962962962962961</v>
      </c>
      <c r="N92" t="s">
        <v>31</v>
      </c>
      <c r="O92" t="s">
        <v>31</v>
      </c>
      <c r="P92" t="s">
        <v>5262</v>
      </c>
      <c r="Q92">
        <v>0</v>
      </c>
      <c r="R92">
        <v>0</v>
      </c>
    </row>
    <row r="93" spans="1:18" x14ac:dyDescent="0.3">
      <c r="A93">
        <v>59</v>
      </c>
      <c r="B93" t="s">
        <v>5261</v>
      </c>
      <c r="C93" t="s">
        <v>3011</v>
      </c>
      <c r="D93" t="s">
        <v>233</v>
      </c>
      <c r="E93" t="s">
        <v>30</v>
      </c>
      <c r="F93" s="6">
        <v>45291</v>
      </c>
      <c r="G93">
        <v>2023</v>
      </c>
      <c r="H93" t="s">
        <v>57</v>
      </c>
      <c r="I93" t="s">
        <v>47</v>
      </c>
      <c r="J93">
        <v>100</v>
      </c>
      <c r="K93">
        <v>98.4</v>
      </c>
      <c r="L93">
        <v>0.9840000000000001</v>
      </c>
      <c r="M93">
        <v>0.9840000000000001</v>
      </c>
      <c r="N93" t="s">
        <v>31</v>
      </c>
      <c r="O93" t="s">
        <v>31</v>
      </c>
      <c r="P93" t="s">
        <v>5263</v>
      </c>
      <c r="Q93">
        <v>0</v>
      </c>
      <c r="R93">
        <v>0</v>
      </c>
    </row>
    <row r="94" spans="1:18" x14ac:dyDescent="0.3">
      <c r="A94">
        <v>60</v>
      </c>
      <c r="B94" t="s">
        <v>4069</v>
      </c>
      <c r="C94" t="s">
        <v>3011</v>
      </c>
      <c r="D94" t="s">
        <v>233</v>
      </c>
      <c r="E94" t="s">
        <v>30</v>
      </c>
      <c r="F94" s="6">
        <v>45107</v>
      </c>
      <c r="G94">
        <v>2023</v>
      </c>
      <c r="H94" t="s">
        <v>44</v>
      </c>
      <c r="I94" t="s">
        <v>33</v>
      </c>
      <c r="J94">
        <v>53</v>
      </c>
      <c r="K94">
        <v>33</v>
      </c>
      <c r="L94">
        <v>0.62264150943396224</v>
      </c>
      <c r="M94">
        <v>0.62264150943396224</v>
      </c>
      <c r="N94" t="s">
        <v>31</v>
      </c>
      <c r="O94" t="s">
        <v>31</v>
      </c>
      <c r="P94" t="s">
        <v>5264</v>
      </c>
      <c r="Q94">
        <v>0</v>
      </c>
      <c r="R94">
        <v>0</v>
      </c>
    </row>
    <row r="95" spans="1:18" x14ac:dyDescent="0.3">
      <c r="A95">
        <v>60</v>
      </c>
      <c r="B95" t="s">
        <v>4069</v>
      </c>
      <c r="C95" t="s">
        <v>3011</v>
      </c>
      <c r="D95" t="s">
        <v>233</v>
      </c>
      <c r="E95" t="s">
        <v>30</v>
      </c>
      <c r="F95" s="6">
        <v>45291</v>
      </c>
      <c r="G95">
        <v>2023</v>
      </c>
      <c r="H95" t="s">
        <v>57</v>
      </c>
      <c r="I95" t="s">
        <v>47</v>
      </c>
      <c r="J95">
        <v>100</v>
      </c>
      <c r="K95">
        <v>55</v>
      </c>
      <c r="L95">
        <v>0.55000000000000004</v>
      </c>
      <c r="M95">
        <v>0.55000000000000004</v>
      </c>
      <c r="N95" t="s">
        <v>31</v>
      </c>
      <c r="O95" t="s">
        <v>31</v>
      </c>
      <c r="P95" t="s">
        <v>5265</v>
      </c>
      <c r="Q95">
        <v>0</v>
      </c>
      <c r="R95">
        <v>0</v>
      </c>
    </row>
    <row r="96" spans="1:18" x14ac:dyDescent="0.3">
      <c r="A96">
        <v>61</v>
      </c>
      <c r="B96" t="s">
        <v>4091</v>
      </c>
      <c r="C96" t="s">
        <v>3011</v>
      </c>
      <c r="D96" t="s">
        <v>233</v>
      </c>
      <c r="E96" t="s">
        <v>30</v>
      </c>
      <c r="F96" s="6">
        <v>45107</v>
      </c>
      <c r="G96">
        <v>2023</v>
      </c>
      <c r="H96" t="s">
        <v>44</v>
      </c>
      <c r="I96" t="s">
        <v>33</v>
      </c>
      <c r="J96">
        <v>63</v>
      </c>
      <c r="K96">
        <v>50</v>
      </c>
      <c r="L96">
        <v>0.79365079365079361</v>
      </c>
      <c r="M96">
        <v>0.79365079365079361</v>
      </c>
      <c r="N96" t="s">
        <v>31</v>
      </c>
      <c r="O96" t="s">
        <v>31</v>
      </c>
      <c r="P96" t="s">
        <v>5266</v>
      </c>
      <c r="Q96">
        <v>0</v>
      </c>
      <c r="R96">
        <v>0</v>
      </c>
    </row>
    <row r="97" spans="1:18" x14ac:dyDescent="0.3">
      <c r="A97">
        <v>61</v>
      </c>
      <c r="B97" t="s">
        <v>4091</v>
      </c>
      <c r="C97" t="s">
        <v>3011</v>
      </c>
      <c r="D97" t="s">
        <v>233</v>
      </c>
      <c r="E97" t="s">
        <v>30</v>
      </c>
      <c r="F97" s="6">
        <v>45291</v>
      </c>
      <c r="G97">
        <v>2023</v>
      </c>
      <c r="H97" t="s">
        <v>57</v>
      </c>
      <c r="I97" t="s">
        <v>47</v>
      </c>
      <c r="J97">
        <v>100</v>
      </c>
      <c r="K97">
        <v>83.33</v>
      </c>
      <c r="L97">
        <v>0.83329999999999993</v>
      </c>
      <c r="M97">
        <v>0.83329999999999993</v>
      </c>
      <c r="N97" t="s">
        <v>31</v>
      </c>
      <c r="O97" t="s">
        <v>31</v>
      </c>
      <c r="P97" t="s">
        <v>5267</v>
      </c>
      <c r="Q97">
        <v>0</v>
      </c>
      <c r="R97">
        <v>0</v>
      </c>
    </row>
    <row r="98" spans="1:18" x14ac:dyDescent="0.3">
      <c r="A98">
        <v>62</v>
      </c>
      <c r="B98" t="s">
        <v>5268</v>
      </c>
      <c r="C98" t="s">
        <v>3011</v>
      </c>
      <c r="D98" t="s">
        <v>233</v>
      </c>
      <c r="E98" t="s">
        <v>30</v>
      </c>
      <c r="F98" s="6">
        <v>45107</v>
      </c>
      <c r="G98">
        <v>2023</v>
      </c>
      <c r="H98" t="s">
        <v>44</v>
      </c>
      <c r="I98" t="s">
        <v>33</v>
      </c>
      <c r="J98">
        <v>50</v>
      </c>
      <c r="K98">
        <v>78</v>
      </c>
      <c r="L98">
        <v>1.3</v>
      </c>
      <c r="M98">
        <v>1.56</v>
      </c>
      <c r="N98" t="s">
        <v>31</v>
      </c>
      <c r="O98" t="s">
        <v>31</v>
      </c>
      <c r="P98" t="s">
        <v>5269</v>
      </c>
      <c r="Q98">
        <v>0</v>
      </c>
      <c r="R98">
        <v>0</v>
      </c>
    </row>
    <row r="99" spans="1:18" x14ac:dyDescent="0.3">
      <c r="A99">
        <v>62</v>
      </c>
      <c r="B99" t="s">
        <v>5268</v>
      </c>
      <c r="C99" t="s">
        <v>3011</v>
      </c>
      <c r="D99" t="s">
        <v>233</v>
      </c>
      <c r="E99" t="s">
        <v>30</v>
      </c>
      <c r="F99" s="6">
        <v>45291</v>
      </c>
      <c r="G99">
        <v>2023</v>
      </c>
      <c r="H99" t="s">
        <v>57</v>
      </c>
      <c r="I99" t="s">
        <v>47</v>
      </c>
      <c r="J99">
        <v>100</v>
      </c>
      <c r="K99">
        <v>100</v>
      </c>
      <c r="L99">
        <v>1</v>
      </c>
      <c r="M99">
        <v>1</v>
      </c>
      <c r="N99" t="s">
        <v>31</v>
      </c>
      <c r="O99" t="s">
        <v>31</v>
      </c>
      <c r="P99" t="s">
        <v>5270</v>
      </c>
      <c r="Q99">
        <v>0</v>
      </c>
      <c r="R99">
        <v>0</v>
      </c>
    </row>
    <row r="100" spans="1:18" x14ac:dyDescent="0.3">
      <c r="A100">
        <v>63</v>
      </c>
      <c r="B100" t="s">
        <v>4101</v>
      </c>
      <c r="C100" t="s">
        <v>3011</v>
      </c>
      <c r="D100" t="s">
        <v>233</v>
      </c>
      <c r="E100" t="s">
        <v>30</v>
      </c>
      <c r="F100" s="6">
        <v>45107</v>
      </c>
      <c r="G100">
        <v>2023</v>
      </c>
      <c r="H100" t="s">
        <v>44</v>
      </c>
      <c r="I100" t="s">
        <v>33</v>
      </c>
      <c r="J100">
        <v>68</v>
      </c>
      <c r="K100">
        <v>71</v>
      </c>
      <c r="L100">
        <v>1.044117647058824</v>
      </c>
      <c r="M100">
        <v>1.044117647058824</v>
      </c>
      <c r="N100" t="s">
        <v>31</v>
      </c>
      <c r="O100" t="s">
        <v>31</v>
      </c>
      <c r="P100" t="s">
        <v>5271</v>
      </c>
      <c r="Q100">
        <v>0</v>
      </c>
      <c r="R100">
        <v>0</v>
      </c>
    </row>
    <row r="101" spans="1:18" x14ac:dyDescent="0.3">
      <c r="A101">
        <v>63</v>
      </c>
      <c r="B101" t="s">
        <v>4101</v>
      </c>
      <c r="C101" t="s">
        <v>3011</v>
      </c>
      <c r="D101" t="s">
        <v>233</v>
      </c>
      <c r="E101" t="s">
        <v>30</v>
      </c>
      <c r="F101" s="6">
        <v>45291</v>
      </c>
      <c r="G101">
        <v>2023</v>
      </c>
      <c r="H101" t="s">
        <v>57</v>
      </c>
      <c r="I101" t="s">
        <v>47</v>
      </c>
      <c r="J101">
        <v>100</v>
      </c>
      <c r="K101">
        <v>100</v>
      </c>
      <c r="L101">
        <v>1</v>
      </c>
      <c r="M101">
        <v>1</v>
      </c>
      <c r="N101" t="s">
        <v>31</v>
      </c>
      <c r="O101" t="s">
        <v>31</v>
      </c>
      <c r="P101" t="s">
        <v>5272</v>
      </c>
      <c r="Q101">
        <v>0</v>
      </c>
      <c r="R101">
        <v>0</v>
      </c>
    </row>
    <row r="102" spans="1:18" x14ac:dyDescent="0.3">
      <c r="A102">
        <v>64</v>
      </c>
      <c r="B102" t="s">
        <v>4106</v>
      </c>
      <c r="C102" t="s">
        <v>3011</v>
      </c>
      <c r="D102" t="s">
        <v>233</v>
      </c>
      <c r="E102" t="s">
        <v>30</v>
      </c>
      <c r="F102" s="6">
        <v>45107</v>
      </c>
      <c r="G102">
        <v>2023</v>
      </c>
      <c r="H102" t="s">
        <v>44</v>
      </c>
      <c r="I102" t="s">
        <v>33</v>
      </c>
      <c r="J102">
        <v>53</v>
      </c>
      <c r="K102">
        <v>63</v>
      </c>
      <c r="L102">
        <v>1.188679245283019</v>
      </c>
      <c r="M102">
        <v>1.188679245283019</v>
      </c>
      <c r="N102" t="s">
        <v>31</v>
      </c>
      <c r="O102" t="s">
        <v>31</v>
      </c>
      <c r="P102" t="s">
        <v>5273</v>
      </c>
      <c r="Q102">
        <v>0</v>
      </c>
      <c r="R102">
        <v>0</v>
      </c>
    </row>
    <row r="103" spans="1:18" x14ac:dyDescent="0.3">
      <c r="A103">
        <v>64</v>
      </c>
      <c r="B103" t="s">
        <v>4106</v>
      </c>
      <c r="C103" t="s">
        <v>3011</v>
      </c>
      <c r="D103" t="s">
        <v>233</v>
      </c>
      <c r="E103" t="s">
        <v>30</v>
      </c>
      <c r="F103" s="6">
        <v>45291</v>
      </c>
      <c r="G103">
        <v>2023</v>
      </c>
      <c r="H103" t="s">
        <v>57</v>
      </c>
      <c r="I103" t="s">
        <v>47</v>
      </c>
      <c r="J103">
        <v>100</v>
      </c>
      <c r="K103">
        <v>100</v>
      </c>
      <c r="L103">
        <v>1</v>
      </c>
      <c r="M103">
        <v>1</v>
      </c>
      <c r="N103" t="s">
        <v>31</v>
      </c>
      <c r="O103" t="s">
        <v>31</v>
      </c>
      <c r="P103" t="s">
        <v>5274</v>
      </c>
      <c r="Q103">
        <v>0</v>
      </c>
      <c r="R103">
        <v>0</v>
      </c>
    </row>
    <row r="104" spans="1:18" x14ac:dyDescent="0.3">
      <c r="A104">
        <v>65</v>
      </c>
      <c r="B104" t="s">
        <v>4111</v>
      </c>
      <c r="C104" t="s">
        <v>3011</v>
      </c>
      <c r="D104" t="s">
        <v>233</v>
      </c>
      <c r="E104" t="s">
        <v>30</v>
      </c>
      <c r="F104" s="6">
        <v>45107</v>
      </c>
      <c r="G104">
        <v>2023</v>
      </c>
      <c r="H104" t="s">
        <v>44</v>
      </c>
      <c r="I104" t="s">
        <v>33</v>
      </c>
      <c r="J104">
        <v>65</v>
      </c>
      <c r="K104">
        <v>67</v>
      </c>
      <c r="L104">
        <v>1.0307692307692311</v>
      </c>
      <c r="M104">
        <v>1.0307692307692311</v>
      </c>
      <c r="N104" t="s">
        <v>31</v>
      </c>
      <c r="O104" t="s">
        <v>31</v>
      </c>
      <c r="P104" t="s">
        <v>5275</v>
      </c>
      <c r="Q104">
        <v>0</v>
      </c>
      <c r="R104">
        <v>0</v>
      </c>
    </row>
    <row r="105" spans="1:18" x14ac:dyDescent="0.3">
      <c r="A105">
        <v>65</v>
      </c>
      <c r="B105" t="s">
        <v>4111</v>
      </c>
      <c r="C105" t="s">
        <v>3011</v>
      </c>
      <c r="D105" t="s">
        <v>233</v>
      </c>
      <c r="E105" t="s">
        <v>30</v>
      </c>
      <c r="F105" s="6">
        <v>45291</v>
      </c>
      <c r="G105">
        <v>2023</v>
      </c>
      <c r="H105" t="s">
        <v>57</v>
      </c>
      <c r="I105" t="s">
        <v>47</v>
      </c>
      <c r="J105">
        <v>100</v>
      </c>
      <c r="K105">
        <v>100</v>
      </c>
      <c r="L105">
        <v>1</v>
      </c>
      <c r="M105">
        <v>1</v>
      </c>
      <c r="N105" t="s">
        <v>31</v>
      </c>
      <c r="O105" t="s">
        <v>31</v>
      </c>
      <c r="P105" t="s">
        <v>5276</v>
      </c>
      <c r="Q105">
        <v>0</v>
      </c>
      <c r="R105">
        <v>0</v>
      </c>
    </row>
    <row r="106" spans="1:18" x14ac:dyDescent="0.3">
      <c r="A106">
        <v>66</v>
      </c>
      <c r="B106" t="s">
        <v>4116</v>
      </c>
      <c r="C106" t="s">
        <v>3011</v>
      </c>
      <c r="D106" t="s">
        <v>233</v>
      </c>
      <c r="E106" t="s">
        <v>30</v>
      </c>
      <c r="F106" s="6">
        <v>45107</v>
      </c>
      <c r="G106">
        <v>2023</v>
      </c>
      <c r="H106" t="s">
        <v>44</v>
      </c>
      <c r="I106" t="s">
        <v>33</v>
      </c>
      <c r="J106">
        <v>52</v>
      </c>
      <c r="K106">
        <v>67</v>
      </c>
      <c r="L106">
        <v>1.288461538461539</v>
      </c>
      <c r="M106">
        <v>1.288461538461539</v>
      </c>
      <c r="N106" t="s">
        <v>31</v>
      </c>
      <c r="O106" t="s">
        <v>31</v>
      </c>
      <c r="P106" t="s">
        <v>5277</v>
      </c>
      <c r="Q106">
        <v>0</v>
      </c>
      <c r="R106">
        <v>0</v>
      </c>
    </row>
    <row r="107" spans="1:18" x14ac:dyDescent="0.3">
      <c r="A107">
        <v>66</v>
      </c>
      <c r="B107" t="s">
        <v>4116</v>
      </c>
      <c r="C107" t="s">
        <v>3011</v>
      </c>
      <c r="D107" t="s">
        <v>233</v>
      </c>
      <c r="E107" t="s">
        <v>30</v>
      </c>
      <c r="F107" s="6">
        <v>45291</v>
      </c>
      <c r="G107">
        <v>2023</v>
      </c>
      <c r="H107" t="s">
        <v>57</v>
      </c>
      <c r="I107" t="s">
        <v>47</v>
      </c>
      <c r="J107">
        <v>100</v>
      </c>
      <c r="K107">
        <v>100</v>
      </c>
      <c r="L107">
        <v>1</v>
      </c>
      <c r="M107">
        <v>1</v>
      </c>
      <c r="N107" t="s">
        <v>31</v>
      </c>
      <c r="O107" t="s">
        <v>31</v>
      </c>
      <c r="P107" t="s">
        <v>5278</v>
      </c>
      <c r="Q107">
        <v>0</v>
      </c>
      <c r="R107">
        <v>0</v>
      </c>
    </row>
    <row r="108" spans="1:18" x14ac:dyDescent="0.3">
      <c r="A108">
        <v>67</v>
      </c>
      <c r="B108" t="s">
        <v>4084</v>
      </c>
      <c r="C108" t="s">
        <v>3331</v>
      </c>
      <c r="D108" t="s">
        <v>233</v>
      </c>
      <c r="E108" t="s">
        <v>30</v>
      </c>
      <c r="F108" s="6">
        <v>45107</v>
      </c>
      <c r="G108">
        <v>2023</v>
      </c>
      <c r="H108" t="s">
        <v>44</v>
      </c>
      <c r="I108" t="s">
        <v>33</v>
      </c>
      <c r="J108">
        <v>59</v>
      </c>
      <c r="K108">
        <v>62</v>
      </c>
      <c r="L108">
        <v>1.050847457627119</v>
      </c>
      <c r="M108">
        <v>1.050847457627119</v>
      </c>
      <c r="N108" t="s">
        <v>31</v>
      </c>
      <c r="O108" t="s">
        <v>31</v>
      </c>
      <c r="P108" t="s">
        <v>5279</v>
      </c>
      <c r="Q108">
        <v>0</v>
      </c>
      <c r="R108">
        <v>0</v>
      </c>
    </row>
    <row r="109" spans="1:18" x14ac:dyDescent="0.3">
      <c r="A109">
        <v>67</v>
      </c>
      <c r="B109" t="s">
        <v>4084</v>
      </c>
      <c r="C109" t="s">
        <v>3331</v>
      </c>
      <c r="D109" t="s">
        <v>233</v>
      </c>
      <c r="E109" t="s">
        <v>30</v>
      </c>
      <c r="F109" s="6">
        <v>45291</v>
      </c>
      <c r="G109">
        <v>2023</v>
      </c>
      <c r="H109" t="s">
        <v>57</v>
      </c>
      <c r="I109" t="s">
        <v>47</v>
      </c>
      <c r="J109">
        <v>100</v>
      </c>
      <c r="K109">
        <v>100</v>
      </c>
      <c r="L109">
        <v>1</v>
      </c>
      <c r="M109">
        <v>1</v>
      </c>
      <c r="N109" t="s">
        <v>31</v>
      </c>
      <c r="O109" t="s">
        <v>31</v>
      </c>
      <c r="P109" t="s">
        <v>5280</v>
      </c>
      <c r="Q109">
        <v>0</v>
      </c>
      <c r="R109">
        <v>0</v>
      </c>
    </row>
    <row r="110" spans="1:18" x14ac:dyDescent="0.3">
      <c r="A110">
        <v>70</v>
      </c>
      <c r="B110" t="s">
        <v>3590</v>
      </c>
      <c r="C110" t="s">
        <v>309</v>
      </c>
      <c r="D110" t="s">
        <v>233</v>
      </c>
      <c r="E110" t="s">
        <v>30</v>
      </c>
      <c r="F110" s="6">
        <v>45107</v>
      </c>
      <c r="G110">
        <v>2023</v>
      </c>
      <c r="H110" t="s">
        <v>44</v>
      </c>
      <c r="I110" t="s">
        <v>33</v>
      </c>
      <c r="J110">
        <v>50.8</v>
      </c>
      <c r="K110">
        <v>47.47</v>
      </c>
      <c r="L110">
        <v>0.93444881889763787</v>
      </c>
      <c r="M110">
        <v>0.93444881889763787</v>
      </c>
      <c r="N110" t="s">
        <v>31</v>
      </c>
      <c r="O110" t="s">
        <v>31</v>
      </c>
      <c r="P110" t="s">
        <v>5281</v>
      </c>
      <c r="Q110">
        <v>0</v>
      </c>
      <c r="R110">
        <v>0</v>
      </c>
    </row>
    <row r="111" spans="1:18" x14ac:dyDescent="0.3">
      <c r="A111">
        <v>70</v>
      </c>
      <c r="B111" t="s">
        <v>3590</v>
      </c>
      <c r="C111" t="s">
        <v>309</v>
      </c>
      <c r="D111" t="s">
        <v>233</v>
      </c>
      <c r="E111" t="s">
        <v>30</v>
      </c>
      <c r="F111" s="6">
        <v>45291</v>
      </c>
      <c r="G111">
        <v>2023</v>
      </c>
      <c r="H111" t="s">
        <v>57</v>
      </c>
      <c r="I111" t="s">
        <v>47</v>
      </c>
      <c r="J111">
        <v>100</v>
      </c>
      <c r="K111">
        <v>100</v>
      </c>
      <c r="L111">
        <v>1</v>
      </c>
      <c r="M111">
        <v>1</v>
      </c>
      <c r="N111" t="s">
        <v>31</v>
      </c>
      <c r="O111" t="s">
        <v>31</v>
      </c>
      <c r="P111" t="s">
        <v>5282</v>
      </c>
      <c r="Q111">
        <v>0</v>
      </c>
      <c r="R111">
        <v>0</v>
      </c>
    </row>
    <row r="112" spans="1:18" x14ac:dyDescent="0.3">
      <c r="A112">
        <v>71</v>
      </c>
      <c r="B112" t="s">
        <v>3595</v>
      </c>
      <c r="C112" t="s">
        <v>299</v>
      </c>
      <c r="D112" t="s">
        <v>233</v>
      </c>
      <c r="E112" t="s">
        <v>30</v>
      </c>
      <c r="F112" s="6">
        <v>45107</v>
      </c>
      <c r="G112">
        <v>2023</v>
      </c>
      <c r="H112" t="s">
        <v>44</v>
      </c>
      <c r="I112" t="s">
        <v>33</v>
      </c>
      <c r="J112">
        <v>31.86</v>
      </c>
      <c r="K112">
        <v>54</v>
      </c>
      <c r="L112">
        <v>1.3</v>
      </c>
      <c r="M112">
        <v>1.6949152542372881</v>
      </c>
      <c r="N112" t="s">
        <v>31</v>
      </c>
      <c r="O112" t="s">
        <v>31</v>
      </c>
      <c r="P112" t="s">
        <v>5283</v>
      </c>
      <c r="Q112">
        <v>0</v>
      </c>
      <c r="R112">
        <v>0</v>
      </c>
    </row>
    <row r="113" spans="1:18" x14ac:dyDescent="0.3">
      <c r="A113">
        <v>71</v>
      </c>
      <c r="B113" t="s">
        <v>3595</v>
      </c>
      <c r="C113" t="s">
        <v>299</v>
      </c>
      <c r="D113" t="s">
        <v>233</v>
      </c>
      <c r="E113" t="s">
        <v>30</v>
      </c>
      <c r="F113" s="6">
        <v>45291</v>
      </c>
      <c r="G113">
        <v>2023</v>
      </c>
      <c r="H113" t="s">
        <v>57</v>
      </c>
      <c r="I113" t="s">
        <v>47</v>
      </c>
      <c r="J113">
        <v>100</v>
      </c>
      <c r="K113">
        <v>100</v>
      </c>
      <c r="L113">
        <v>1</v>
      </c>
      <c r="M113">
        <v>1</v>
      </c>
      <c r="N113" t="s">
        <v>31</v>
      </c>
      <c r="O113" t="s">
        <v>31</v>
      </c>
      <c r="P113" t="s">
        <v>5284</v>
      </c>
      <c r="Q113">
        <v>0</v>
      </c>
      <c r="R113">
        <v>0</v>
      </c>
    </row>
    <row r="114" spans="1:18" x14ac:dyDescent="0.3">
      <c r="A114">
        <v>72</v>
      </c>
      <c r="B114" t="s">
        <v>3600</v>
      </c>
      <c r="C114" t="s">
        <v>2177</v>
      </c>
      <c r="D114" t="s">
        <v>233</v>
      </c>
      <c r="E114" t="s">
        <v>30</v>
      </c>
      <c r="F114" s="6">
        <v>45107</v>
      </c>
      <c r="G114">
        <v>2023</v>
      </c>
      <c r="H114" t="s">
        <v>44</v>
      </c>
      <c r="I114" t="s">
        <v>33</v>
      </c>
      <c r="J114">
        <v>15.06</v>
      </c>
      <c r="K114">
        <v>17.3</v>
      </c>
      <c r="L114">
        <v>1.1487383798140769</v>
      </c>
      <c r="M114">
        <v>1.1487383798140769</v>
      </c>
      <c r="N114" t="s">
        <v>31</v>
      </c>
      <c r="O114" t="s">
        <v>31</v>
      </c>
      <c r="P114" t="s">
        <v>5285</v>
      </c>
      <c r="Q114">
        <v>1</v>
      </c>
      <c r="R114">
        <v>1</v>
      </c>
    </row>
    <row r="115" spans="1:18" x14ac:dyDescent="0.3">
      <c r="A115">
        <v>72</v>
      </c>
      <c r="B115" t="s">
        <v>3600</v>
      </c>
      <c r="C115" t="s">
        <v>2177</v>
      </c>
      <c r="D115" t="s">
        <v>233</v>
      </c>
      <c r="E115" t="s">
        <v>30</v>
      </c>
      <c r="F115" s="6">
        <v>45291</v>
      </c>
      <c r="G115">
        <v>2023</v>
      </c>
      <c r="H115" t="s">
        <v>57</v>
      </c>
      <c r="I115" t="s">
        <v>47</v>
      </c>
      <c r="J115">
        <v>100</v>
      </c>
      <c r="K115">
        <v>100</v>
      </c>
      <c r="L115">
        <v>1</v>
      </c>
      <c r="M115">
        <v>1</v>
      </c>
      <c r="N115" t="s">
        <v>31</v>
      </c>
      <c r="O115" t="s">
        <v>31</v>
      </c>
      <c r="P115" t="s">
        <v>5286</v>
      </c>
      <c r="Q115">
        <v>1</v>
      </c>
      <c r="R115">
        <v>1</v>
      </c>
    </row>
    <row r="116" spans="1:18" x14ac:dyDescent="0.3">
      <c r="A116">
        <v>75</v>
      </c>
      <c r="B116" t="s">
        <v>3454</v>
      </c>
      <c r="C116" t="s">
        <v>2937</v>
      </c>
      <c r="D116" t="s">
        <v>233</v>
      </c>
      <c r="E116" t="s">
        <v>30</v>
      </c>
      <c r="F116" s="6">
        <v>45107</v>
      </c>
      <c r="G116">
        <v>2023</v>
      </c>
      <c r="H116" t="s">
        <v>44</v>
      </c>
      <c r="I116" t="s">
        <v>33</v>
      </c>
      <c r="J116">
        <v>58</v>
      </c>
      <c r="K116">
        <v>62</v>
      </c>
      <c r="L116">
        <v>1.068965517241379</v>
      </c>
      <c r="M116">
        <v>1.068965517241379</v>
      </c>
      <c r="N116" t="s">
        <v>31</v>
      </c>
      <c r="O116" t="s">
        <v>31</v>
      </c>
      <c r="P116" t="s">
        <v>5287</v>
      </c>
      <c r="Q116">
        <v>0</v>
      </c>
      <c r="R116">
        <v>0</v>
      </c>
    </row>
    <row r="117" spans="1:18" x14ac:dyDescent="0.3">
      <c r="A117">
        <v>75</v>
      </c>
      <c r="B117" t="s">
        <v>3454</v>
      </c>
      <c r="C117" t="s">
        <v>2937</v>
      </c>
      <c r="D117" t="s">
        <v>233</v>
      </c>
      <c r="E117" t="s">
        <v>30</v>
      </c>
      <c r="F117" s="6">
        <v>45291</v>
      </c>
      <c r="G117">
        <v>2023</v>
      </c>
      <c r="H117" t="s">
        <v>57</v>
      </c>
      <c r="I117" t="s">
        <v>47</v>
      </c>
      <c r="J117">
        <v>100</v>
      </c>
      <c r="K117">
        <v>92.5</v>
      </c>
      <c r="L117">
        <v>0.92500000000000004</v>
      </c>
      <c r="M117">
        <v>0.92500000000000004</v>
      </c>
      <c r="N117" t="s">
        <v>31</v>
      </c>
      <c r="O117" t="s">
        <v>31</v>
      </c>
      <c r="P117" t="s">
        <v>5288</v>
      </c>
      <c r="Q117">
        <v>0</v>
      </c>
      <c r="R117">
        <v>0</v>
      </c>
    </row>
    <row r="118" spans="1:18" x14ac:dyDescent="0.3">
      <c r="A118">
        <v>76</v>
      </c>
      <c r="B118" t="s">
        <v>3458</v>
      </c>
      <c r="C118" t="s">
        <v>717</v>
      </c>
      <c r="D118" t="s">
        <v>233</v>
      </c>
      <c r="E118" t="s">
        <v>30</v>
      </c>
      <c r="F118" s="6">
        <v>45107</v>
      </c>
      <c r="G118">
        <v>2023</v>
      </c>
      <c r="H118" t="s">
        <v>44</v>
      </c>
      <c r="I118" t="s">
        <v>33</v>
      </c>
      <c r="J118">
        <v>94</v>
      </c>
      <c r="K118">
        <v>91</v>
      </c>
      <c r="L118">
        <v>0.96808510638297873</v>
      </c>
      <c r="M118">
        <v>0.96808510638297873</v>
      </c>
      <c r="N118" t="s">
        <v>31</v>
      </c>
      <c r="O118" t="s">
        <v>31</v>
      </c>
      <c r="P118" t="s">
        <v>5289</v>
      </c>
      <c r="Q118">
        <v>0</v>
      </c>
      <c r="R118">
        <v>0</v>
      </c>
    </row>
    <row r="119" spans="1:18" x14ac:dyDescent="0.3">
      <c r="A119">
        <v>76</v>
      </c>
      <c r="B119" t="s">
        <v>3458</v>
      </c>
      <c r="C119" t="s">
        <v>3331</v>
      </c>
      <c r="D119" t="s">
        <v>233</v>
      </c>
      <c r="E119" t="s">
        <v>30</v>
      </c>
      <c r="F119" s="6">
        <v>45291</v>
      </c>
      <c r="G119">
        <v>2023</v>
      </c>
      <c r="H119" t="s">
        <v>57</v>
      </c>
      <c r="I119" t="s">
        <v>47</v>
      </c>
      <c r="J119">
        <v>100</v>
      </c>
      <c r="K119">
        <v>99.88</v>
      </c>
      <c r="L119">
        <v>0.99879999999999991</v>
      </c>
      <c r="M119">
        <v>0.99879999999999991</v>
      </c>
      <c r="N119" t="s">
        <v>31</v>
      </c>
      <c r="O119" t="s">
        <v>31</v>
      </c>
      <c r="P119" t="s">
        <v>5290</v>
      </c>
      <c r="Q119">
        <v>0</v>
      </c>
      <c r="R119">
        <v>0</v>
      </c>
    </row>
    <row r="120" spans="1:18" x14ac:dyDescent="0.3">
      <c r="A120">
        <v>79</v>
      </c>
      <c r="B120" t="s">
        <v>4824</v>
      </c>
      <c r="C120" t="s">
        <v>283</v>
      </c>
      <c r="D120" t="s">
        <v>284</v>
      </c>
      <c r="E120" t="s">
        <v>30</v>
      </c>
      <c r="F120" s="6">
        <v>45169</v>
      </c>
      <c r="G120">
        <v>2023</v>
      </c>
      <c r="H120" t="s">
        <v>49</v>
      </c>
      <c r="I120" t="s">
        <v>47</v>
      </c>
      <c r="J120">
        <v>85</v>
      </c>
      <c r="K120">
        <v>100</v>
      </c>
      <c r="L120">
        <v>1.1764705882352939</v>
      </c>
      <c r="M120">
        <v>1.1764705882352939</v>
      </c>
      <c r="N120" t="s">
        <v>31</v>
      </c>
      <c r="O120" t="s">
        <v>31</v>
      </c>
      <c r="P120" t="s">
        <v>4828</v>
      </c>
      <c r="Q120">
        <v>0</v>
      </c>
      <c r="R120">
        <v>0</v>
      </c>
    </row>
    <row r="121" spans="1:18" x14ac:dyDescent="0.3">
      <c r="A121">
        <v>79</v>
      </c>
      <c r="B121" t="s">
        <v>4824</v>
      </c>
      <c r="C121" t="s">
        <v>283</v>
      </c>
      <c r="D121" t="s">
        <v>284</v>
      </c>
      <c r="E121" t="s">
        <v>30</v>
      </c>
      <c r="F121" s="6">
        <v>45230</v>
      </c>
      <c r="G121">
        <v>2023</v>
      </c>
      <c r="H121" t="s">
        <v>53</v>
      </c>
      <c r="I121" t="s">
        <v>47</v>
      </c>
      <c r="J121">
        <v>85</v>
      </c>
      <c r="K121">
        <v>100</v>
      </c>
      <c r="L121">
        <v>1.1764705882352939</v>
      </c>
      <c r="M121">
        <v>1.1764705882352939</v>
      </c>
      <c r="N121" t="s">
        <v>31</v>
      </c>
      <c r="O121" t="s">
        <v>31</v>
      </c>
      <c r="P121" t="s">
        <v>4829</v>
      </c>
      <c r="Q121">
        <v>0</v>
      </c>
      <c r="R121">
        <v>0</v>
      </c>
    </row>
    <row r="122" spans="1:18" x14ac:dyDescent="0.3">
      <c r="A122">
        <v>80</v>
      </c>
      <c r="B122" t="s">
        <v>3605</v>
      </c>
      <c r="C122" t="s">
        <v>283</v>
      </c>
      <c r="D122" t="s">
        <v>233</v>
      </c>
      <c r="E122" t="s">
        <v>30</v>
      </c>
      <c r="F122" s="6">
        <v>45107</v>
      </c>
      <c r="G122">
        <v>2023</v>
      </c>
      <c r="H122" t="s">
        <v>44</v>
      </c>
      <c r="I122" t="s">
        <v>33</v>
      </c>
      <c r="J122">
        <v>57.83</v>
      </c>
      <c r="K122">
        <v>47.72</v>
      </c>
      <c r="L122">
        <v>0.82517724364516687</v>
      </c>
      <c r="M122">
        <v>0.82517724364516687</v>
      </c>
      <c r="N122" t="s">
        <v>31</v>
      </c>
      <c r="O122" t="s">
        <v>31</v>
      </c>
      <c r="P122" t="s">
        <v>5291</v>
      </c>
      <c r="Q122">
        <v>0</v>
      </c>
      <c r="R122">
        <v>0</v>
      </c>
    </row>
    <row r="123" spans="1:18" x14ac:dyDescent="0.3">
      <c r="A123">
        <v>80</v>
      </c>
      <c r="B123" t="s">
        <v>3605</v>
      </c>
      <c r="C123" t="s">
        <v>283</v>
      </c>
      <c r="D123" t="s">
        <v>233</v>
      </c>
      <c r="E123" t="s">
        <v>30</v>
      </c>
      <c r="F123" s="6">
        <v>45291</v>
      </c>
      <c r="G123">
        <v>2023</v>
      </c>
      <c r="H123" t="s">
        <v>57</v>
      </c>
      <c r="I123" t="s">
        <v>47</v>
      </c>
      <c r="J123">
        <v>100</v>
      </c>
      <c r="K123">
        <v>100</v>
      </c>
      <c r="L123">
        <v>1</v>
      </c>
      <c r="M123">
        <v>1</v>
      </c>
      <c r="N123" t="s">
        <v>31</v>
      </c>
      <c r="O123" t="s">
        <v>31</v>
      </c>
      <c r="P123" t="s">
        <v>5292</v>
      </c>
      <c r="Q123">
        <v>0</v>
      </c>
      <c r="R123">
        <v>0</v>
      </c>
    </row>
    <row r="124" spans="1:18" x14ac:dyDescent="0.3">
      <c r="A124">
        <v>81</v>
      </c>
      <c r="B124" t="s">
        <v>5293</v>
      </c>
      <c r="C124" t="s">
        <v>129</v>
      </c>
      <c r="D124" t="s">
        <v>233</v>
      </c>
      <c r="E124" t="s">
        <v>30</v>
      </c>
      <c r="F124" s="6">
        <v>45107</v>
      </c>
      <c r="G124">
        <v>2023</v>
      </c>
      <c r="H124" t="s">
        <v>44</v>
      </c>
      <c r="I124" t="s">
        <v>33</v>
      </c>
      <c r="J124">
        <v>39.369999999999997</v>
      </c>
      <c r="K124">
        <v>41.15</v>
      </c>
      <c r="L124">
        <v>1.0452120904241811</v>
      </c>
      <c r="M124">
        <v>1.0452120904241811</v>
      </c>
      <c r="N124" t="s">
        <v>31</v>
      </c>
      <c r="O124" t="s">
        <v>31</v>
      </c>
      <c r="P124" t="s">
        <v>5294</v>
      </c>
      <c r="Q124">
        <v>0</v>
      </c>
      <c r="R124">
        <v>0</v>
      </c>
    </row>
    <row r="125" spans="1:18" x14ac:dyDescent="0.3">
      <c r="A125">
        <v>81</v>
      </c>
      <c r="B125" t="s">
        <v>5293</v>
      </c>
      <c r="C125" t="s">
        <v>129</v>
      </c>
      <c r="D125" t="s">
        <v>233</v>
      </c>
      <c r="E125" t="s">
        <v>30</v>
      </c>
      <c r="F125" s="6">
        <v>45291</v>
      </c>
      <c r="G125">
        <v>2023</v>
      </c>
      <c r="H125" t="s">
        <v>57</v>
      </c>
      <c r="I125" t="s">
        <v>47</v>
      </c>
      <c r="J125">
        <v>100</v>
      </c>
      <c r="K125">
        <v>100</v>
      </c>
      <c r="L125">
        <v>1</v>
      </c>
      <c r="M125">
        <v>1</v>
      </c>
      <c r="N125" t="s">
        <v>31</v>
      </c>
      <c r="O125" t="s">
        <v>31</v>
      </c>
      <c r="P125" t="s">
        <v>5295</v>
      </c>
      <c r="Q125">
        <v>0</v>
      </c>
      <c r="R125">
        <v>0</v>
      </c>
    </row>
    <row r="126" spans="1:18" x14ac:dyDescent="0.3">
      <c r="A126">
        <v>97</v>
      </c>
      <c r="B126" t="s">
        <v>2410</v>
      </c>
      <c r="C126" t="s">
        <v>3437</v>
      </c>
      <c r="D126" t="s">
        <v>222</v>
      </c>
      <c r="E126" t="s">
        <v>30</v>
      </c>
      <c r="F126" s="6">
        <v>45473</v>
      </c>
      <c r="G126">
        <v>2024</v>
      </c>
      <c r="H126" t="s">
        <v>44</v>
      </c>
      <c r="I126" t="s">
        <v>71</v>
      </c>
      <c r="J126">
        <v>0</v>
      </c>
      <c r="K126">
        <v>0</v>
      </c>
      <c r="P126" t="s">
        <v>5044</v>
      </c>
      <c r="Q126">
        <v>0</v>
      </c>
      <c r="R126">
        <v>0</v>
      </c>
    </row>
    <row r="127" spans="1:18" x14ac:dyDescent="0.3">
      <c r="A127">
        <v>97</v>
      </c>
      <c r="B127" t="s">
        <v>2410</v>
      </c>
      <c r="C127" t="s">
        <v>3437</v>
      </c>
      <c r="D127" t="s">
        <v>222</v>
      </c>
      <c r="E127" t="s">
        <v>30</v>
      </c>
      <c r="F127" s="6">
        <v>45657</v>
      </c>
      <c r="G127">
        <v>2024</v>
      </c>
      <c r="H127" t="s">
        <v>57</v>
      </c>
      <c r="I127" t="s">
        <v>78</v>
      </c>
      <c r="J127">
        <v>0</v>
      </c>
      <c r="K127">
        <v>0</v>
      </c>
      <c r="P127" t="s">
        <v>5045</v>
      </c>
      <c r="Q127">
        <v>0</v>
      </c>
      <c r="R127">
        <v>0</v>
      </c>
    </row>
    <row r="128" spans="1:18" x14ac:dyDescent="0.3">
      <c r="A128">
        <v>97</v>
      </c>
      <c r="B128" t="s">
        <v>2410</v>
      </c>
      <c r="C128" t="s">
        <v>3437</v>
      </c>
      <c r="D128" t="s">
        <v>222</v>
      </c>
      <c r="E128" t="s">
        <v>30</v>
      </c>
      <c r="F128" s="6">
        <v>45838</v>
      </c>
      <c r="G128">
        <v>2025</v>
      </c>
      <c r="H128" t="s">
        <v>44</v>
      </c>
      <c r="I128" t="s">
        <v>244</v>
      </c>
      <c r="J128">
        <v>0</v>
      </c>
      <c r="K128">
        <v>0</v>
      </c>
      <c r="P128" t="s">
        <v>5296</v>
      </c>
      <c r="Q128">
        <v>0</v>
      </c>
      <c r="R128">
        <v>0</v>
      </c>
    </row>
    <row r="129" spans="1:18" x14ac:dyDescent="0.3">
      <c r="A129">
        <v>97</v>
      </c>
      <c r="B129" t="s">
        <v>2410</v>
      </c>
      <c r="C129" t="s">
        <v>3437</v>
      </c>
      <c r="D129" t="s">
        <v>222</v>
      </c>
      <c r="E129" t="s">
        <v>30</v>
      </c>
      <c r="F129" s="6">
        <v>46022</v>
      </c>
      <c r="G129">
        <v>2025</v>
      </c>
      <c r="H129" t="s">
        <v>57</v>
      </c>
      <c r="I129" t="s">
        <v>103</v>
      </c>
      <c r="J129">
        <v>0</v>
      </c>
      <c r="K129">
        <v>0</v>
      </c>
      <c r="P129" t="s">
        <v>5297</v>
      </c>
      <c r="Q129">
        <v>0</v>
      </c>
      <c r="R129">
        <v>0</v>
      </c>
    </row>
    <row r="130" spans="1:18" x14ac:dyDescent="0.3">
      <c r="A130">
        <v>98</v>
      </c>
      <c r="B130" t="s">
        <v>2415</v>
      </c>
      <c r="C130" t="s">
        <v>3437</v>
      </c>
      <c r="D130" t="s">
        <v>222</v>
      </c>
      <c r="E130" t="s">
        <v>30</v>
      </c>
      <c r="F130" s="6">
        <v>45838</v>
      </c>
      <c r="G130">
        <v>2025</v>
      </c>
      <c r="H130" t="s">
        <v>44</v>
      </c>
      <c r="I130" t="s">
        <v>244</v>
      </c>
      <c r="J130">
        <v>10</v>
      </c>
      <c r="K130">
        <v>10</v>
      </c>
      <c r="L130">
        <v>1</v>
      </c>
      <c r="M130">
        <v>1</v>
      </c>
      <c r="N130" t="s">
        <v>118</v>
      </c>
      <c r="O130" t="s">
        <v>118</v>
      </c>
      <c r="P130" t="s">
        <v>5298</v>
      </c>
      <c r="Q130">
        <v>0</v>
      </c>
      <c r="R130">
        <v>0</v>
      </c>
    </row>
    <row r="131" spans="1:18" x14ac:dyDescent="0.3">
      <c r="A131">
        <v>98</v>
      </c>
      <c r="B131" t="s">
        <v>2415</v>
      </c>
      <c r="C131" t="s">
        <v>3437</v>
      </c>
      <c r="D131" t="s">
        <v>222</v>
      </c>
      <c r="E131" t="s">
        <v>30</v>
      </c>
      <c r="F131" s="6">
        <v>46022</v>
      </c>
      <c r="G131">
        <v>2025</v>
      </c>
      <c r="H131" t="s">
        <v>57</v>
      </c>
      <c r="I131" t="s">
        <v>103</v>
      </c>
      <c r="J131">
        <v>5</v>
      </c>
      <c r="K131">
        <v>5</v>
      </c>
      <c r="L131">
        <v>1</v>
      </c>
      <c r="M131">
        <v>1</v>
      </c>
      <c r="N131" t="s">
        <v>118</v>
      </c>
      <c r="O131" t="s">
        <v>118</v>
      </c>
      <c r="P131" t="s">
        <v>5299</v>
      </c>
      <c r="Q131">
        <v>0</v>
      </c>
      <c r="R131">
        <v>0</v>
      </c>
    </row>
    <row r="132" spans="1:18" x14ac:dyDescent="0.3">
      <c r="A132">
        <v>108</v>
      </c>
      <c r="B132" t="s">
        <v>125</v>
      </c>
      <c r="C132" t="s">
        <v>126</v>
      </c>
      <c r="D132" t="s">
        <v>98</v>
      </c>
      <c r="E132" t="s">
        <v>30</v>
      </c>
      <c r="F132" s="6">
        <v>45291</v>
      </c>
      <c r="G132">
        <v>2023</v>
      </c>
      <c r="H132" t="s">
        <v>57</v>
      </c>
      <c r="I132" t="s">
        <v>47</v>
      </c>
      <c r="P132" t="s">
        <v>5300</v>
      </c>
      <c r="Q132">
        <v>0</v>
      </c>
      <c r="R132">
        <v>0</v>
      </c>
    </row>
    <row r="133" spans="1:18" x14ac:dyDescent="0.3">
      <c r="A133">
        <v>109</v>
      </c>
      <c r="B133" t="s">
        <v>125</v>
      </c>
      <c r="C133" t="s">
        <v>5301</v>
      </c>
      <c r="D133" t="s">
        <v>98</v>
      </c>
      <c r="E133" t="s">
        <v>30</v>
      </c>
      <c r="F133" s="6">
        <v>45291</v>
      </c>
      <c r="G133">
        <v>2023</v>
      </c>
      <c r="H133" t="s">
        <v>57</v>
      </c>
      <c r="I133" t="s">
        <v>47</v>
      </c>
      <c r="P133" t="s">
        <v>5302</v>
      </c>
      <c r="Q133">
        <v>0</v>
      </c>
      <c r="R133">
        <v>0</v>
      </c>
    </row>
    <row r="134" spans="1:18" x14ac:dyDescent="0.3">
      <c r="A134">
        <v>110</v>
      </c>
      <c r="B134" t="s">
        <v>125</v>
      </c>
      <c r="C134" t="s">
        <v>225</v>
      </c>
      <c r="D134" t="s">
        <v>98</v>
      </c>
      <c r="E134" t="s">
        <v>30</v>
      </c>
      <c r="F134" s="6">
        <v>44865</v>
      </c>
      <c r="G134">
        <v>2022</v>
      </c>
      <c r="H134" t="s">
        <v>53</v>
      </c>
      <c r="I134" t="s">
        <v>90</v>
      </c>
      <c r="J134">
        <v>80</v>
      </c>
      <c r="K134">
        <v>73.401915113871596</v>
      </c>
      <c r="L134">
        <v>0.9175239389233949</v>
      </c>
      <c r="M134">
        <v>0.9175239389233949</v>
      </c>
      <c r="N134" t="s">
        <v>31</v>
      </c>
      <c r="O134" t="s">
        <v>31</v>
      </c>
      <c r="P134" t="s">
        <v>226</v>
      </c>
      <c r="Q134">
        <v>0</v>
      </c>
      <c r="R134">
        <v>0</v>
      </c>
    </row>
    <row r="135" spans="1:18" x14ac:dyDescent="0.3">
      <c r="A135">
        <v>112</v>
      </c>
      <c r="B135" t="s">
        <v>125</v>
      </c>
      <c r="C135" t="s">
        <v>251</v>
      </c>
      <c r="D135" t="s">
        <v>98</v>
      </c>
      <c r="E135" t="s">
        <v>30</v>
      </c>
      <c r="F135" s="6">
        <v>44865</v>
      </c>
      <c r="G135">
        <v>2022</v>
      </c>
      <c r="H135" t="s">
        <v>53</v>
      </c>
      <c r="I135" t="s">
        <v>90</v>
      </c>
      <c r="J135">
        <v>80</v>
      </c>
      <c r="K135">
        <v>74.166215125198292</v>
      </c>
      <c r="L135">
        <v>0.92707768906497867</v>
      </c>
      <c r="M135">
        <v>0.92707768906497867</v>
      </c>
      <c r="N135" t="s">
        <v>31</v>
      </c>
      <c r="O135" t="s">
        <v>31</v>
      </c>
      <c r="P135" t="s">
        <v>252</v>
      </c>
      <c r="Q135">
        <v>0</v>
      </c>
      <c r="R135">
        <v>0</v>
      </c>
    </row>
    <row r="136" spans="1:18" x14ac:dyDescent="0.3">
      <c r="A136">
        <v>113</v>
      </c>
      <c r="B136" t="s">
        <v>125</v>
      </c>
      <c r="C136" t="s">
        <v>259</v>
      </c>
      <c r="D136" t="s">
        <v>98</v>
      </c>
      <c r="E136" t="s">
        <v>30</v>
      </c>
      <c r="F136" s="6">
        <v>44865</v>
      </c>
      <c r="G136">
        <v>2022</v>
      </c>
      <c r="H136" t="s">
        <v>53</v>
      </c>
      <c r="I136" t="s">
        <v>90</v>
      </c>
      <c r="J136">
        <v>80</v>
      </c>
      <c r="K136">
        <v>76.616718813056906</v>
      </c>
      <c r="L136">
        <v>0.95770898516321135</v>
      </c>
      <c r="M136">
        <v>0.95770898516321135</v>
      </c>
      <c r="N136" t="s">
        <v>31</v>
      </c>
      <c r="O136" t="s">
        <v>31</v>
      </c>
      <c r="P136" t="s">
        <v>260</v>
      </c>
      <c r="Q136">
        <v>0</v>
      </c>
      <c r="R136">
        <v>0</v>
      </c>
    </row>
    <row r="137" spans="1:18" x14ac:dyDescent="0.3">
      <c r="A137">
        <v>113</v>
      </c>
      <c r="B137" t="s">
        <v>125</v>
      </c>
      <c r="C137" t="s">
        <v>259</v>
      </c>
      <c r="D137" t="s">
        <v>98</v>
      </c>
      <c r="E137" t="s">
        <v>30</v>
      </c>
      <c r="F137" s="6">
        <v>45230</v>
      </c>
      <c r="G137">
        <v>2023</v>
      </c>
      <c r="H137" t="s">
        <v>53</v>
      </c>
      <c r="I137" t="s">
        <v>47</v>
      </c>
      <c r="J137">
        <v>80</v>
      </c>
      <c r="K137">
        <v>88.101513502306503</v>
      </c>
      <c r="L137">
        <v>1.1012689187788309</v>
      </c>
      <c r="M137">
        <v>1.1012689187788309</v>
      </c>
      <c r="N137" t="s">
        <v>31</v>
      </c>
      <c r="O137" t="s">
        <v>31</v>
      </c>
      <c r="P137" t="s">
        <v>261</v>
      </c>
      <c r="Q137">
        <v>0</v>
      </c>
      <c r="R137">
        <v>0</v>
      </c>
    </row>
    <row r="138" spans="1:18" x14ac:dyDescent="0.3">
      <c r="A138">
        <v>113</v>
      </c>
      <c r="B138" t="s">
        <v>125</v>
      </c>
      <c r="C138" t="s">
        <v>259</v>
      </c>
      <c r="D138" t="s">
        <v>98</v>
      </c>
      <c r="E138" t="s">
        <v>30</v>
      </c>
      <c r="F138" s="6">
        <v>45596</v>
      </c>
      <c r="G138">
        <v>2024</v>
      </c>
      <c r="H138" t="s">
        <v>53</v>
      </c>
      <c r="I138" t="s">
        <v>78</v>
      </c>
      <c r="J138">
        <v>80</v>
      </c>
      <c r="K138">
        <v>88</v>
      </c>
      <c r="L138">
        <v>1.1000000000000001</v>
      </c>
      <c r="M138">
        <v>1.1000000000000001</v>
      </c>
      <c r="N138" t="s">
        <v>31</v>
      </c>
      <c r="O138" t="s">
        <v>31</v>
      </c>
      <c r="P138" t="s">
        <v>263</v>
      </c>
      <c r="Q138">
        <v>0</v>
      </c>
      <c r="R138">
        <v>0</v>
      </c>
    </row>
    <row r="139" spans="1:18" x14ac:dyDescent="0.3">
      <c r="A139">
        <v>114</v>
      </c>
      <c r="B139" t="s">
        <v>125</v>
      </c>
      <c r="C139" t="s">
        <v>266</v>
      </c>
      <c r="D139" t="s">
        <v>98</v>
      </c>
      <c r="E139" t="s">
        <v>30</v>
      </c>
      <c r="F139" s="6">
        <v>44865</v>
      </c>
      <c r="G139">
        <v>2022</v>
      </c>
      <c r="H139" t="s">
        <v>53</v>
      </c>
      <c r="I139" t="s">
        <v>90</v>
      </c>
      <c r="J139">
        <v>80</v>
      </c>
      <c r="K139">
        <v>79.427055947965997</v>
      </c>
      <c r="L139">
        <v>0.99283819934957496</v>
      </c>
      <c r="M139">
        <v>0.99283819934957496</v>
      </c>
      <c r="N139" t="s">
        <v>31</v>
      </c>
      <c r="O139" t="s">
        <v>31</v>
      </c>
      <c r="P139" t="s">
        <v>267</v>
      </c>
      <c r="Q139">
        <v>0</v>
      </c>
      <c r="R139">
        <v>0</v>
      </c>
    </row>
    <row r="140" spans="1:18" x14ac:dyDescent="0.3">
      <c r="A140">
        <v>114</v>
      </c>
      <c r="B140" t="s">
        <v>125</v>
      </c>
      <c r="C140" t="s">
        <v>266</v>
      </c>
      <c r="D140" t="s">
        <v>98</v>
      </c>
      <c r="E140" t="s">
        <v>30</v>
      </c>
      <c r="F140" s="6">
        <v>45230</v>
      </c>
      <c r="G140">
        <v>2023</v>
      </c>
      <c r="H140" t="s">
        <v>53</v>
      </c>
      <c r="I140" t="s">
        <v>47</v>
      </c>
      <c r="J140">
        <v>80</v>
      </c>
      <c r="K140">
        <v>86.20923251499039</v>
      </c>
      <c r="L140">
        <v>1.07761540643738</v>
      </c>
      <c r="M140">
        <v>1.07761540643738</v>
      </c>
      <c r="N140" t="s">
        <v>31</v>
      </c>
      <c r="O140" t="s">
        <v>31</v>
      </c>
      <c r="P140" t="s">
        <v>268</v>
      </c>
      <c r="Q140">
        <v>0</v>
      </c>
      <c r="R140">
        <v>0</v>
      </c>
    </row>
    <row r="141" spans="1:18" x14ac:dyDescent="0.3">
      <c r="A141">
        <v>114</v>
      </c>
      <c r="B141" t="s">
        <v>125</v>
      </c>
      <c r="C141" t="s">
        <v>266</v>
      </c>
      <c r="D141" t="s">
        <v>98</v>
      </c>
      <c r="E141" t="s">
        <v>30</v>
      </c>
      <c r="F141" s="6">
        <v>45596</v>
      </c>
      <c r="G141">
        <v>2024</v>
      </c>
      <c r="H141" t="s">
        <v>53</v>
      </c>
      <c r="I141" t="s">
        <v>78</v>
      </c>
      <c r="J141">
        <v>80</v>
      </c>
      <c r="K141">
        <v>81</v>
      </c>
      <c r="L141">
        <v>1.0125</v>
      </c>
      <c r="M141">
        <v>1.0125</v>
      </c>
      <c r="N141" t="s">
        <v>31</v>
      </c>
      <c r="O141" t="s">
        <v>31</v>
      </c>
      <c r="P141" t="s">
        <v>269</v>
      </c>
      <c r="Q141">
        <v>0</v>
      </c>
      <c r="R141">
        <v>0</v>
      </c>
    </row>
    <row r="142" spans="1:18" x14ac:dyDescent="0.3">
      <c r="A142">
        <v>117</v>
      </c>
      <c r="B142" t="s">
        <v>125</v>
      </c>
      <c r="C142" t="s">
        <v>299</v>
      </c>
      <c r="D142" t="s">
        <v>98</v>
      </c>
      <c r="E142" t="s">
        <v>30</v>
      </c>
      <c r="F142" s="6">
        <v>44865</v>
      </c>
      <c r="G142">
        <v>2022</v>
      </c>
      <c r="H142" t="s">
        <v>53</v>
      </c>
      <c r="I142" t="s">
        <v>90</v>
      </c>
      <c r="J142">
        <v>80</v>
      </c>
      <c r="K142">
        <v>86.602201544730292</v>
      </c>
      <c r="L142">
        <v>1.082527519309129</v>
      </c>
      <c r="M142">
        <v>1.082527519309129</v>
      </c>
      <c r="N142" t="s">
        <v>31</v>
      </c>
      <c r="O142" t="s">
        <v>31</v>
      </c>
      <c r="P142" t="s">
        <v>300</v>
      </c>
      <c r="Q142">
        <v>0</v>
      </c>
      <c r="R142">
        <v>0</v>
      </c>
    </row>
    <row r="143" spans="1:18" x14ac:dyDescent="0.3">
      <c r="A143">
        <v>117</v>
      </c>
      <c r="B143" t="s">
        <v>125</v>
      </c>
      <c r="C143" t="s">
        <v>299</v>
      </c>
      <c r="D143" t="s">
        <v>98</v>
      </c>
      <c r="E143" t="s">
        <v>30</v>
      </c>
      <c r="F143" s="6">
        <v>45230</v>
      </c>
      <c r="G143">
        <v>2023</v>
      </c>
      <c r="H143" t="s">
        <v>53</v>
      </c>
      <c r="I143" t="s">
        <v>47</v>
      </c>
      <c r="J143">
        <v>80</v>
      </c>
      <c r="K143">
        <v>90.107415856608498</v>
      </c>
      <c r="L143">
        <v>1.1263426982076059</v>
      </c>
      <c r="M143">
        <v>1.1263426982076059</v>
      </c>
      <c r="N143" t="s">
        <v>31</v>
      </c>
      <c r="O143" t="s">
        <v>31</v>
      </c>
      <c r="P143" t="s">
        <v>301</v>
      </c>
      <c r="Q143">
        <v>0</v>
      </c>
      <c r="R143">
        <v>0</v>
      </c>
    </row>
    <row r="144" spans="1:18" x14ac:dyDescent="0.3">
      <c r="A144">
        <v>118</v>
      </c>
      <c r="B144" t="s">
        <v>125</v>
      </c>
      <c r="C144" t="s">
        <v>305</v>
      </c>
      <c r="D144" t="s">
        <v>98</v>
      </c>
      <c r="E144" t="s">
        <v>30</v>
      </c>
      <c r="F144" s="6">
        <v>44865</v>
      </c>
      <c r="G144">
        <v>2022</v>
      </c>
      <c r="H144" t="s">
        <v>53</v>
      </c>
      <c r="I144" t="s">
        <v>90</v>
      </c>
      <c r="J144">
        <v>80</v>
      </c>
      <c r="K144">
        <v>88.120620620620599</v>
      </c>
      <c r="L144">
        <v>1.101507757757757</v>
      </c>
      <c r="M144">
        <v>1.101507757757757</v>
      </c>
      <c r="N144" t="s">
        <v>31</v>
      </c>
      <c r="O144" t="s">
        <v>31</v>
      </c>
      <c r="P144" t="s">
        <v>306</v>
      </c>
      <c r="Q144">
        <v>0</v>
      </c>
      <c r="R144">
        <v>0</v>
      </c>
    </row>
    <row r="145" spans="1:18" x14ac:dyDescent="0.3">
      <c r="A145">
        <v>124</v>
      </c>
      <c r="B145" t="s">
        <v>446</v>
      </c>
      <c r="C145" t="s">
        <v>97</v>
      </c>
      <c r="D145" t="s">
        <v>29</v>
      </c>
      <c r="E145" t="s">
        <v>108</v>
      </c>
      <c r="F145" s="6">
        <v>45869</v>
      </c>
      <c r="G145">
        <v>2025</v>
      </c>
      <c r="H145" t="s">
        <v>46</v>
      </c>
      <c r="I145" t="s">
        <v>103</v>
      </c>
      <c r="J145">
        <v>0.2</v>
      </c>
      <c r="K145">
        <v>0.08</v>
      </c>
      <c r="L145">
        <v>1</v>
      </c>
      <c r="M145">
        <v>1</v>
      </c>
      <c r="N145" t="s">
        <v>109</v>
      </c>
      <c r="O145" t="s">
        <v>109</v>
      </c>
      <c r="P145" t="s">
        <v>496</v>
      </c>
      <c r="Q145">
        <v>1</v>
      </c>
      <c r="R145">
        <v>2</v>
      </c>
    </row>
    <row r="146" spans="1:18" x14ac:dyDescent="0.3">
      <c r="A146">
        <v>133</v>
      </c>
      <c r="B146" t="s">
        <v>125</v>
      </c>
      <c r="C146" t="s">
        <v>663</v>
      </c>
      <c r="D146" t="s">
        <v>98</v>
      </c>
      <c r="E146" t="s">
        <v>30</v>
      </c>
      <c r="F146" s="6">
        <v>44865</v>
      </c>
      <c r="G146">
        <v>2022</v>
      </c>
      <c r="H146" t="s">
        <v>53</v>
      </c>
      <c r="I146" t="s">
        <v>90</v>
      </c>
      <c r="J146">
        <v>80</v>
      </c>
      <c r="K146">
        <v>84.895356277709197</v>
      </c>
      <c r="L146">
        <v>1.061191953471365</v>
      </c>
      <c r="M146">
        <v>1.061191953471365</v>
      </c>
      <c r="N146" t="s">
        <v>31</v>
      </c>
      <c r="O146" t="s">
        <v>31</v>
      </c>
      <c r="P146" t="s">
        <v>664</v>
      </c>
      <c r="Q146">
        <v>0</v>
      </c>
      <c r="R146">
        <v>0</v>
      </c>
    </row>
    <row r="147" spans="1:18" x14ac:dyDescent="0.3">
      <c r="A147">
        <v>150</v>
      </c>
      <c r="B147" t="s">
        <v>125</v>
      </c>
      <c r="C147" t="s">
        <v>827</v>
      </c>
      <c r="D147" t="s">
        <v>98</v>
      </c>
      <c r="E147" t="s">
        <v>30</v>
      </c>
      <c r="F147" s="6">
        <v>44865</v>
      </c>
      <c r="G147">
        <v>2022</v>
      </c>
      <c r="H147" t="s">
        <v>53</v>
      </c>
      <c r="I147" t="s">
        <v>90</v>
      </c>
      <c r="J147">
        <v>80</v>
      </c>
      <c r="K147">
        <v>73.639994105511391</v>
      </c>
      <c r="L147">
        <v>0.92049992631889244</v>
      </c>
      <c r="M147">
        <v>0.92049992631889244</v>
      </c>
      <c r="N147" t="s">
        <v>31</v>
      </c>
      <c r="O147" t="s">
        <v>31</v>
      </c>
      <c r="P147" t="s">
        <v>828</v>
      </c>
      <c r="Q147">
        <v>0</v>
      </c>
      <c r="R147">
        <v>0</v>
      </c>
    </row>
    <row r="148" spans="1:18" x14ac:dyDescent="0.3">
      <c r="A148">
        <v>194</v>
      </c>
      <c r="B148" t="s">
        <v>976</v>
      </c>
      <c r="C148" t="s">
        <v>717</v>
      </c>
      <c r="D148" t="s">
        <v>222</v>
      </c>
      <c r="E148" t="s">
        <v>30</v>
      </c>
      <c r="F148" s="6">
        <v>46022</v>
      </c>
      <c r="G148">
        <v>2025</v>
      </c>
      <c r="H148" t="s">
        <v>57</v>
      </c>
      <c r="I148" t="s">
        <v>103</v>
      </c>
      <c r="J148">
        <v>85</v>
      </c>
      <c r="K148">
        <v>89.9</v>
      </c>
      <c r="L148">
        <v>1.0576470588235289</v>
      </c>
      <c r="M148">
        <v>1.0576470588235289</v>
      </c>
      <c r="N148" t="s">
        <v>31</v>
      </c>
      <c r="O148" t="s">
        <v>31</v>
      </c>
      <c r="P148" t="s">
        <v>5303</v>
      </c>
      <c r="Q148">
        <v>0</v>
      </c>
      <c r="R148">
        <v>0</v>
      </c>
    </row>
    <row r="149" spans="1:18" x14ac:dyDescent="0.3">
      <c r="A149">
        <v>204</v>
      </c>
      <c r="B149" t="s">
        <v>1071</v>
      </c>
      <c r="C149" t="s">
        <v>225</v>
      </c>
      <c r="D149" t="s">
        <v>222</v>
      </c>
      <c r="E149" t="s">
        <v>30</v>
      </c>
      <c r="F149" s="6">
        <v>44925</v>
      </c>
      <c r="G149">
        <v>2022</v>
      </c>
      <c r="H149" t="s">
        <v>57</v>
      </c>
      <c r="I149" t="s">
        <v>90</v>
      </c>
      <c r="J149">
        <v>82987</v>
      </c>
      <c r="K149">
        <v>18386</v>
      </c>
      <c r="L149">
        <v>0.22155277332594259</v>
      </c>
      <c r="M149">
        <v>0.22155277332594259</v>
      </c>
      <c r="N149" t="s">
        <v>335</v>
      </c>
      <c r="O149" t="s">
        <v>335</v>
      </c>
      <c r="P149" t="s">
        <v>1073</v>
      </c>
      <c r="Q149">
        <v>0</v>
      </c>
      <c r="R149">
        <v>0</v>
      </c>
    </row>
    <row r="150" spans="1:18" x14ac:dyDescent="0.3">
      <c r="A150">
        <v>205</v>
      </c>
      <c r="B150" t="s">
        <v>1085</v>
      </c>
      <c r="C150" t="s">
        <v>225</v>
      </c>
      <c r="D150" t="s">
        <v>222</v>
      </c>
      <c r="E150" t="s">
        <v>30</v>
      </c>
      <c r="F150" s="6">
        <v>44925</v>
      </c>
      <c r="G150">
        <v>2022</v>
      </c>
      <c r="H150" t="s">
        <v>57</v>
      </c>
      <c r="I150" t="s">
        <v>33</v>
      </c>
      <c r="J150">
        <v>2605</v>
      </c>
      <c r="K150">
        <v>2605</v>
      </c>
      <c r="L150">
        <v>1</v>
      </c>
      <c r="M150">
        <v>1</v>
      </c>
      <c r="N150" t="s">
        <v>335</v>
      </c>
      <c r="O150" t="s">
        <v>335</v>
      </c>
      <c r="P150" t="s">
        <v>5304</v>
      </c>
      <c r="Q150">
        <v>0</v>
      </c>
      <c r="R150">
        <v>0</v>
      </c>
    </row>
    <row r="151" spans="1:18" x14ac:dyDescent="0.3">
      <c r="A151">
        <v>213</v>
      </c>
      <c r="B151" t="s">
        <v>1181</v>
      </c>
      <c r="C151" t="s">
        <v>299</v>
      </c>
      <c r="D151" t="s">
        <v>233</v>
      </c>
      <c r="E151" t="s">
        <v>30</v>
      </c>
      <c r="F151" s="6">
        <v>45016</v>
      </c>
      <c r="G151">
        <v>2023</v>
      </c>
      <c r="H151" t="s">
        <v>38</v>
      </c>
      <c r="I151" t="s">
        <v>33</v>
      </c>
      <c r="J151">
        <v>90</v>
      </c>
      <c r="K151">
        <v>100</v>
      </c>
      <c r="M151">
        <v>1.1111111111111109</v>
      </c>
      <c r="P151" t="s">
        <v>1182</v>
      </c>
      <c r="Q151">
        <v>1</v>
      </c>
      <c r="R151">
        <v>1</v>
      </c>
    </row>
    <row r="152" spans="1:18" x14ac:dyDescent="0.3">
      <c r="A152">
        <v>213</v>
      </c>
      <c r="B152" t="s">
        <v>1181</v>
      </c>
      <c r="C152" t="s">
        <v>299</v>
      </c>
      <c r="D152" t="s">
        <v>233</v>
      </c>
      <c r="E152" t="s">
        <v>30</v>
      </c>
      <c r="F152" s="6">
        <v>45199</v>
      </c>
      <c r="G152">
        <v>2023</v>
      </c>
      <c r="H152" t="s">
        <v>51</v>
      </c>
      <c r="I152" t="s">
        <v>47</v>
      </c>
      <c r="J152">
        <v>90</v>
      </c>
      <c r="K152">
        <v>86.4</v>
      </c>
      <c r="L152">
        <v>0.96000000000000008</v>
      </c>
      <c r="M152">
        <v>0.96000000000000008</v>
      </c>
      <c r="P152" t="s">
        <v>1184</v>
      </c>
      <c r="Q152">
        <v>1</v>
      </c>
      <c r="R152">
        <v>1</v>
      </c>
    </row>
    <row r="153" spans="1:18" x14ac:dyDescent="0.3">
      <c r="A153">
        <v>217</v>
      </c>
      <c r="B153" t="s">
        <v>1272</v>
      </c>
      <c r="C153" t="s">
        <v>299</v>
      </c>
      <c r="D153" t="s">
        <v>29</v>
      </c>
      <c r="E153" t="s">
        <v>30</v>
      </c>
      <c r="F153" s="6">
        <v>44957</v>
      </c>
      <c r="G153">
        <v>2023</v>
      </c>
      <c r="H153" t="s">
        <v>32</v>
      </c>
      <c r="I153" t="s">
        <v>33</v>
      </c>
      <c r="J153">
        <v>30</v>
      </c>
      <c r="K153">
        <v>80.27</v>
      </c>
      <c r="L153">
        <v>2.675666666666666</v>
      </c>
      <c r="M153">
        <v>2.675666666666666</v>
      </c>
      <c r="P153" t="s">
        <v>1273</v>
      </c>
      <c r="Q153">
        <v>0</v>
      </c>
      <c r="R153">
        <v>0</v>
      </c>
    </row>
    <row r="154" spans="1:18" x14ac:dyDescent="0.3">
      <c r="A154">
        <v>217</v>
      </c>
      <c r="B154" t="s">
        <v>1272</v>
      </c>
      <c r="C154" t="s">
        <v>299</v>
      </c>
      <c r="D154" t="s">
        <v>29</v>
      </c>
      <c r="E154" t="s">
        <v>30</v>
      </c>
      <c r="F154" s="6">
        <v>44985</v>
      </c>
      <c r="G154">
        <v>2023</v>
      </c>
      <c r="H154" t="s">
        <v>36</v>
      </c>
      <c r="I154" t="s">
        <v>33</v>
      </c>
      <c r="J154">
        <v>30</v>
      </c>
      <c r="K154">
        <v>57.67</v>
      </c>
      <c r="L154">
        <v>1.922333333333333</v>
      </c>
      <c r="M154">
        <v>1.922333333333333</v>
      </c>
      <c r="P154" t="s">
        <v>1274</v>
      </c>
      <c r="Q154">
        <v>0</v>
      </c>
      <c r="R154">
        <v>0</v>
      </c>
    </row>
    <row r="155" spans="1:18" x14ac:dyDescent="0.3">
      <c r="A155">
        <v>217</v>
      </c>
      <c r="B155" t="s">
        <v>1272</v>
      </c>
      <c r="C155" t="s">
        <v>299</v>
      </c>
      <c r="D155" t="s">
        <v>29</v>
      </c>
      <c r="E155" t="s">
        <v>30</v>
      </c>
      <c r="F155" s="6">
        <v>45016</v>
      </c>
      <c r="G155">
        <v>2023</v>
      </c>
      <c r="H155" t="s">
        <v>38</v>
      </c>
      <c r="I155" t="s">
        <v>33</v>
      </c>
      <c r="J155">
        <v>30</v>
      </c>
      <c r="K155">
        <v>53.68</v>
      </c>
      <c r="L155">
        <v>1.789333333333333</v>
      </c>
      <c r="M155">
        <v>1.789333333333333</v>
      </c>
      <c r="P155" t="s">
        <v>1275</v>
      </c>
      <c r="Q155">
        <v>0</v>
      </c>
      <c r="R155">
        <v>0</v>
      </c>
    </row>
    <row r="156" spans="1:18" x14ac:dyDescent="0.3">
      <c r="A156">
        <v>217</v>
      </c>
      <c r="B156" t="s">
        <v>1272</v>
      </c>
      <c r="C156" t="s">
        <v>299</v>
      </c>
      <c r="D156" t="s">
        <v>29</v>
      </c>
      <c r="E156" t="s">
        <v>30</v>
      </c>
      <c r="F156" s="6">
        <v>45046</v>
      </c>
      <c r="G156">
        <v>2023</v>
      </c>
      <c r="H156" t="s">
        <v>40</v>
      </c>
      <c r="I156" t="s">
        <v>33</v>
      </c>
      <c r="J156">
        <v>30</v>
      </c>
      <c r="K156">
        <v>65.3</v>
      </c>
      <c r="L156">
        <v>2.1766666666666672</v>
      </c>
      <c r="M156">
        <v>2.1766666666666672</v>
      </c>
      <c r="P156" t="s">
        <v>1276</v>
      </c>
      <c r="Q156">
        <v>0</v>
      </c>
      <c r="R156">
        <v>0</v>
      </c>
    </row>
    <row r="157" spans="1:18" x14ac:dyDescent="0.3">
      <c r="A157">
        <v>217</v>
      </c>
      <c r="B157" t="s">
        <v>1272</v>
      </c>
      <c r="C157" t="s">
        <v>299</v>
      </c>
      <c r="D157" t="s">
        <v>29</v>
      </c>
      <c r="E157" t="s">
        <v>30</v>
      </c>
      <c r="F157" s="6">
        <v>45077</v>
      </c>
      <c r="G157">
        <v>2023</v>
      </c>
      <c r="H157" t="s">
        <v>42</v>
      </c>
      <c r="I157" t="s">
        <v>33</v>
      </c>
      <c r="J157">
        <v>30</v>
      </c>
      <c r="K157">
        <v>33.94</v>
      </c>
      <c r="L157">
        <v>1.1313333333333331</v>
      </c>
      <c r="M157">
        <v>1.1313333333333331</v>
      </c>
      <c r="P157" t="s">
        <v>1277</v>
      </c>
      <c r="Q157">
        <v>0</v>
      </c>
      <c r="R157">
        <v>0</v>
      </c>
    </row>
    <row r="158" spans="1:18" x14ac:dyDescent="0.3">
      <c r="A158">
        <v>217</v>
      </c>
      <c r="B158" t="s">
        <v>1272</v>
      </c>
      <c r="C158" t="s">
        <v>299</v>
      </c>
      <c r="D158" t="s">
        <v>29</v>
      </c>
      <c r="E158" t="s">
        <v>30</v>
      </c>
      <c r="F158" s="6">
        <v>45138</v>
      </c>
      <c r="G158">
        <v>2023</v>
      </c>
      <c r="H158" t="s">
        <v>46</v>
      </c>
      <c r="I158" t="s">
        <v>47</v>
      </c>
      <c r="J158">
        <v>30</v>
      </c>
      <c r="K158">
        <v>24.49</v>
      </c>
      <c r="L158">
        <v>0.81633333333333324</v>
      </c>
      <c r="M158">
        <v>0.81633333333333324</v>
      </c>
      <c r="P158" t="s">
        <v>1279</v>
      </c>
      <c r="Q158">
        <v>0</v>
      </c>
      <c r="R158">
        <v>0</v>
      </c>
    </row>
    <row r="159" spans="1:18" x14ac:dyDescent="0.3">
      <c r="A159">
        <v>217</v>
      </c>
      <c r="B159" t="s">
        <v>1272</v>
      </c>
      <c r="C159" t="s">
        <v>299</v>
      </c>
      <c r="D159" t="s">
        <v>29</v>
      </c>
      <c r="E159" t="s">
        <v>30</v>
      </c>
      <c r="F159" s="6">
        <v>45169</v>
      </c>
      <c r="G159">
        <v>2023</v>
      </c>
      <c r="H159" t="s">
        <v>49</v>
      </c>
      <c r="I159" t="s">
        <v>47</v>
      </c>
      <c r="J159">
        <v>30</v>
      </c>
      <c r="K159">
        <v>26.43</v>
      </c>
      <c r="L159">
        <v>0.88100000000000001</v>
      </c>
      <c r="M159">
        <v>0.88100000000000001</v>
      </c>
      <c r="P159" t="s">
        <v>1280</v>
      </c>
      <c r="Q159">
        <v>0</v>
      </c>
      <c r="R159">
        <v>0</v>
      </c>
    </row>
    <row r="160" spans="1:18" x14ac:dyDescent="0.3">
      <c r="A160">
        <v>217</v>
      </c>
      <c r="B160" t="s">
        <v>1272</v>
      </c>
      <c r="C160" t="s">
        <v>299</v>
      </c>
      <c r="D160" t="s">
        <v>29</v>
      </c>
      <c r="E160" t="s">
        <v>30</v>
      </c>
      <c r="F160" s="6">
        <v>45199</v>
      </c>
      <c r="G160">
        <v>2023</v>
      </c>
      <c r="H160" t="s">
        <v>51</v>
      </c>
      <c r="I160" t="s">
        <v>47</v>
      </c>
      <c r="J160">
        <v>30</v>
      </c>
      <c r="K160">
        <v>24.29</v>
      </c>
      <c r="L160">
        <v>0.80966666666666665</v>
      </c>
      <c r="M160">
        <v>0.80966666666666665</v>
      </c>
      <c r="P160" t="s">
        <v>1281</v>
      </c>
      <c r="Q160">
        <v>0</v>
      </c>
      <c r="R160">
        <v>0</v>
      </c>
    </row>
    <row r="161" spans="1:18" x14ac:dyDescent="0.3">
      <c r="A161">
        <v>217</v>
      </c>
      <c r="B161" t="s">
        <v>1272</v>
      </c>
      <c r="C161" t="s">
        <v>299</v>
      </c>
      <c r="D161" t="s">
        <v>29</v>
      </c>
      <c r="E161" t="s">
        <v>30</v>
      </c>
      <c r="F161" s="6">
        <v>45230</v>
      </c>
      <c r="G161">
        <v>2023</v>
      </c>
      <c r="H161" t="s">
        <v>53</v>
      </c>
      <c r="I161" t="s">
        <v>47</v>
      </c>
      <c r="J161">
        <v>30</v>
      </c>
      <c r="K161">
        <v>16.29</v>
      </c>
      <c r="L161">
        <v>0.54299999999999993</v>
      </c>
      <c r="M161">
        <v>0.54299999999999993</v>
      </c>
      <c r="P161" t="s">
        <v>1282</v>
      </c>
      <c r="Q161">
        <v>0</v>
      </c>
      <c r="R161">
        <v>0</v>
      </c>
    </row>
    <row r="162" spans="1:18" x14ac:dyDescent="0.3">
      <c r="A162">
        <v>217</v>
      </c>
      <c r="B162" t="s">
        <v>1272</v>
      </c>
      <c r="C162" t="s">
        <v>299</v>
      </c>
      <c r="D162" t="s">
        <v>29</v>
      </c>
      <c r="E162" t="s">
        <v>30</v>
      </c>
      <c r="F162" s="6">
        <v>45260</v>
      </c>
      <c r="G162">
        <v>2023</v>
      </c>
      <c r="H162" t="s">
        <v>55</v>
      </c>
      <c r="I162" t="s">
        <v>47</v>
      </c>
      <c r="J162">
        <v>30</v>
      </c>
      <c r="K162">
        <v>12.74</v>
      </c>
      <c r="L162">
        <v>0.42466666666666669</v>
      </c>
      <c r="M162">
        <v>0.42466666666666669</v>
      </c>
      <c r="P162" t="s">
        <v>1283</v>
      </c>
      <c r="Q162">
        <v>0</v>
      </c>
      <c r="R162">
        <v>0</v>
      </c>
    </row>
    <row r="163" spans="1:18" x14ac:dyDescent="0.3">
      <c r="A163">
        <v>218</v>
      </c>
      <c r="B163" t="s">
        <v>1328</v>
      </c>
      <c r="C163" t="s">
        <v>299</v>
      </c>
      <c r="D163" t="s">
        <v>29</v>
      </c>
      <c r="E163" t="s">
        <v>108</v>
      </c>
      <c r="F163" s="6">
        <v>44957</v>
      </c>
      <c r="G163">
        <v>2023</v>
      </c>
      <c r="H163" t="s">
        <v>32</v>
      </c>
      <c r="I163" t="s">
        <v>33</v>
      </c>
      <c r="J163">
        <v>172000</v>
      </c>
      <c r="K163">
        <v>117609</v>
      </c>
      <c r="L163">
        <v>1.3</v>
      </c>
      <c r="M163">
        <v>1.462473110051101</v>
      </c>
      <c r="N163" t="s">
        <v>1329</v>
      </c>
      <c r="O163" t="s">
        <v>1329</v>
      </c>
      <c r="P163" t="s">
        <v>1330</v>
      </c>
      <c r="Q163">
        <v>0</v>
      </c>
      <c r="R163">
        <v>0</v>
      </c>
    </row>
    <row r="164" spans="1:18" x14ac:dyDescent="0.3">
      <c r="A164">
        <v>218</v>
      </c>
      <c r="B164" t="s">
        <v>1328</v>
      </c>
      <c r="C164" t="s">
        <v>299</v>
      </c>
      <c r="D164" t="s">
        <v>29</v>
      </c>
      <c r="E164" t="s">
        <v>108</v>
      </c>
      <c r="F164" s="6">
        <v>44985</v>
      </c>
      <c r="G164">
        <v>2023</v>
      </c>
      <c r="H164" t="s">
        <v>36</v>
      </c>
      <c r="I164" t="s">
        <v>33</v>
      </c>
      <c r="J164">
        <v>172000</v>
      </c>
      <c r="K164">
        <v>109691</v>
      </c>
      <c r="L164">
        <v>1.3</v>
      </c>
      <c r="M164">
        <v>1.568041133730206</v>
      </c>
      <c r="N164" t="s">
        <v>1329</v>
      </c>
      <c r="O164" t="s">
        <v>1329</v>
      </c>
      <c r="P164" t="s">
        <v>1331</v>
      </c>
      <c r="Q164">
        <v>0</v>
      </c>
      <c r="R164">
        <v>0</v>
      </c>
    </row>
    <row r="165" spans="1:18" x14ac:dyDescent="0.3">
      <c r="A165">
        <v>218</v>
      </c>
      <c r="B165" t="s">
        <v>1328</v>
      </c>
      <c r="C165" t="s">
        <v>299</v>
      </c>
      <c r="D165" t="s">
        <v>29</v>
      </c>
      <c r="E165" t="s">
        <v>108</v>
      </c>
      <c r="F165" s="6">
        <v>45016</v>
      </c>
      <c r="G165">
        <v>2023</v>
      </c>
      <c r="H165" t="s">
        <v>38</v>
      </c>
      <c r="I165" t="s">
        <v>33</v>
      </c>
      <c r="J165">
        <v>172000</v>
      </c>
      <c r="K165">
        <v>146827</v>
      </c>
      <c r="L165">
        <v>1.1714466685282681</v>
      </c>
      <c r="M165">
        <v>1.1714466685282681</v>
      </c>
      <c r="N165" t="s">
        <v>1329</v>
      </c>
      <c r="O165" t="s">
        <v>1329</v>
      </c>
      <c r="P165" t="s">
        <v>1332</v>
      </c>
      <c r="Q165">
        <v>0</v>
      </c>
      <c r="R165">
        <v>0</v>
      </c>
    </row>
    <row r="166" spans="1:18" x14ac:dyDescent="0.3">
      <c r="A166">
        <v>218</v>
      </c>
      <c r="B166" t="s">
        <v>1328</v>
      </c>
      <c r="C166" t="s">
        <v>299</v>
      </c>
      <c r="D166" t="s">
        <v>29</v>
      </c>
      <c r="E166" t="s">
        <v>108</v>
      </c>
      <c r="F166" s="6">
        <v>45046</v>
      </c>
      <c r="G166">
        <v>2023</v>
      </c>
      <c r="H166" t="s">
        <v>40</v>
      </c>
      <c r="I166" t="s">
        <v>33</v>
      </c>
      <c r="J166">
        <v>172000</v>
      </c>
      <c r="K166">
        <v>131019</v>
      </c>
      <c r="L166">
        <v>1.3</v>
      </c>
      <c r="M166">
        <v>1.3127866950594951</v>
      </c>
      <c r="N166" t="s">
        <v>1329</v>
      </c>
      <c r="O166" t="s">
        <v>1329</v>
      </c>
      <c r="P166" t="s">
        <v>1333</v>
      </c>
      <c r="Q166">
        <v>0</v>
      </c>
      <c r="R166">
        <v>0</v>
      </c>
    </row>
    <row r="167" spans="1:18" x14ac:dyDescent="0.3">
      <c r="A167">
        <v>218</v>
      </c>
      <c r="B167" t="s">
        <v>1328</v>
      </c>
      <c r="C167" t="s">
        <v>299</v>
      </c>
      <c r="D167" t="s">
        <v>29</v>
      </c>
      <c r="E167" t="s">
        <v>108</v>
      </c>
      <c r="F167" s="6">
        <v>45077</v>
      </c>
      <c r="G167">
        <v>2023</v>
      </c>
      <c r="H167" t="s">
        <v>42</v>
      </c>
      <c r="I167" t="s">
        <v>33</v>
      </c>
      <c r="J167">
        <v>172000</v>
      </c>
      <c r="K167">
        <v>142579</v>
      </c>
      <c r="L167">
        <v>1.206348761037741</v>
      </c>
      <c r="M167">
        <v>1.206348761037741</v>
      </c>
      <c r="N167" t="s">
        <v>1329</v>
      </c>
      <c r="O167" t="s">
        <v>1329</v>
      </c>
      <c r="P167" t="s">
        <v>1334</v>
      </c>
      <c r="Q167">
        <v>0</v>
      </c>
      <c r="R167">
        <v>0</v>
      </c>
    </row>
    <row r="168" spans="1:18" x14ac:dyDescent="0.3">
      <c r="A168">
        <v>218</v>
      </c>
      <c r="B168" t="s">
        <v>1328</v>
      </c>
      <c r="C168" t="s">
        <v>299</v>
      </c>
      <c r="D168" t="s">
        <v>29</v>
      </c>
      <c r="E168" t="s">
        <v>108</v>
      </c>
      <c r="F168" s="6">
        <v>45138</v>
      </c>
      <c r="G168">
        <v>2023</v>
      </c>
      <c r="H168" t="s">
        <v>46</v>
      </c>
      <c r="I168" t="s">
        <v>47</v>
      </c>
      <c r="J168">
        <v>172000</v>
      </c>
      <c r="K168">
        <v>125486</v>
      </c>
      <c r="L168">
        <v>1.3</v>
      </c>
      <c r="M168">
        <v>1.370670831805938</v>
      </c>
      <c r="N168" t="s">
        <v>1329</v>
      </c>
      <c r="O168" t="s">
        <v>1329</v>
      </c>
      <c r="P168" t="s">
        <v>1336</v>
      </c>
      <c r="Q168">
        <v>0</v>
      </c>
      <c r="R168">
        <v>0</v>
      </c>
    </row>
    <row r="169" spans="1:18" x14ac:dyDescent="0.3">
      <c r="A169">
        <v>218</v>
      </c>
      <c r="B169" t="s">
        <v>1328</v>
      </c>
      <c r="C169" t="s">
        <v>299</v>
      </c>
      <c r="D169" t="s">
        <v>29</v>
      </c>
      <c r="E169" t="s">
        <v>108</v>
      </c>
      <c r="F169" s="6">
        <v>45169</v>
      </c>
      <c r="G169">
        <v>2023</v>
      </c>
      <c r="H169" t="s">
        <v>49</v>
      </c>
      <c r="I169" t="s">
        <v>47</v>
      </c>
      <c r="J169">
        <v>172000</v>
      </c>
      <c r="K169">
        <v>143021.71</v>
      </c>
      <c r="L169">
        <v>1.2026146240315549</v>
      </c>
      <c r="M169">
        <v>1.2026146240315549</v>
      </c>
      <c r="N169" t="s">
        <v>1329</v>
      </c>
      <c r="O169" t="s">
        <v>1329</v>
      </c>
      <c r="P169" t="s">
        <v>1337</v>
      </c>
      <c r="Q169">
        <v>0</v>
      </c>
      <c r="R169">
        <v>0</v>
      </c>
    </row>
    <row r="170" spans="1:18" x14ac:dyDescent="0.3">
      <c r="A170">
        <v>218</v>
      </c>
      <c r="B170" t="s">
        <v>1328</v>
      </c>
      <c r="C170" t="s">
        <v>299</v>
      </c>
      <c r="D170" t="s">
        <v>29</v>
      </c>
      <c r="E170" t="s">
        <v>108</v>
      </c>
      <c r="F170" s="6">
        <v>45199</v>
      </c>
      <c r="G170">
        <v>2023</v>
      </c>
      <c r="H170" t="s">
        <v>51</v>
      </c>
      <c r="I170" t="s">
        <v>47</v>
      </c>
      <c r="J170">
        <v>172000</v>
      </c>
      <c r="K170">
        <v>96636.99</v>
      </c>
      <c r="L170">
        <v>1.3</v>
      </c>
      <c r="M170">
        <v>1.7798567608531679</v>
      </c>
      <c r="N170" t="s">
        <v>1329</v>
      </c>
      <c r="O170" t="s">
        <v>1329</v>
      </c>
      <c r="P170" t="s">
        <v>1338</v>
      </c>
      <c r="Q170">
        <v>0</v>
      </c>
      <c r="R170">
        <v>0</v>
      </c>
    </row>
    <row r="171" spans="1:18" x14ac:dyDescent="0.3">
      <c r="A171">
        <v>218</v>
      </c>
      <c r="B171" t="s">
        <v>1328</v>
      </c>
      <c r="C171" t="s">
        <v>299</v>
      </c>
      <c r="D171" t="s">
        <v>29</v>
      </c>
      <c r="E171" t="s">
        <v>108</v>
      </c>
      <c r="F171" s="6">
        <v>45230</v>
      </c>
      <c r="G171">
        <v>2023</v>
      </c>
      <c r="H171" t="s">
        <v>53</v>
      </c>
      <c r="I171" t="s">
        <v>47</v>
      </c>
      <c r="J171">
        <v>172000</v>
      </c>
      <c r="K171">
        <v>141458.28</v>
      </c>
      <c r="L171">
        <v>1.2159062021678759</v>
      </c>
      <c r="M171">
        <v>1.2159062021678759</v>
      </c>
      <c r="N171" t="s">
        <v>1329</v>
      </c>
      <c r="O171" t="s">
        <v>1329</v>
      </c>
      <c r="P171" t="s">
        <v>1339</v>
      </c>
      <c r="Q171">
        <v>0</v>
      </c>
      <c r="R171">
        <v>0</v>
      </c>
    </row>
    <row r="172" spans="1:18" x14ac:dyDescent="0.3">
      <c r="A172">
        <v>218</v>
      </c>
      <c r="B172" t="s">
        <v>1328</v>
      </c>
      <c r="C172" t="s">
        <v>299</v>
      </c>
      <c r="D172" t="s">
        <v>29</v>
      </c>
      <c r="E172" t="s">
        <v>108</v>
      </c>
      <c r="F172" s="6">
        <v>45260</v>
      </c>
      <c r="G172">
        <v>2023</v>
      </c>
      <c r="H172" t="s">
        <v>55</v>
      </c>
      <c r="I172" t="s">
        <v>47</v>
      </c>
      <c r="J172">
        <v>172000</v>
      </c>
      <c r="K172">
        <v>129770</v>
      </c>
      <c r="L172">
        <v>1.3</v>
      </c>
      <c r="M172">
        <v>1.32542190028512</v>
      </c>
      <c r="N172" t="s">
        <v>1329</v>
      </c>
      <c r="O172" t="s">
        <v>1329</v>
      </c>
      <c r="P172" t="s">
        <v>1340</v>
      </c>
      <c r="Q172">
        <v>0</v>
      </c>
      <c r="R172">
        <v>0</v>
      </c>
    </row>
    <row r="173" spans="1:18" x14ac:dyDescent="0.3">
      <c r="A173">
        <v>225</v>
      </c>
      <c r="B173" t="s">
        <v>1434</v>
      </c>
      <c r="C173" t="s">
        <v>299</v>
      </c>
      <c r="D173" t="s">
        <v>29</v>
      </c>
      <c r="E173" t="s">
        <v>30</v>
      </c>
      <c r="F173" s="6">
        <v>44957</v>
      </c>
      <c r="G173">
        <v>2023</v>
      </c>
      <c r="H173" t="s">
        <v>32</v>
      </c>
      <c r="I173" t="s">
        <v>33</v>
      </c>
      <c r="J173">
        <v>6</v>
      </c>
      <c r="K173">
        <v>25</v>
      </c>
      <c r="L173">
        <v>4.166666666666667</v>
      </c>
      <c r="M173">
        <v>4.166666666666667</v>
      </c>
      <c r="P173" t="s">
        <v>1435</v>
      </c>
      <c r="Q173">
        <v>0</v>
      </c>
      <c r="R173">
        <v>0</v>
      </c>
    </row>
    <row r="174" spans="1:18" x14ac:dyDescent="0.3">
      <c r="A174">
        <v>225</v>
      </c>
      <c r="B174" t="s">
        <v>1434</v>
      </c>
      <c r="C174" t="s">
        <v>299</v>
      </c>
      <c r="D174" t="s">
        <v>29</v>
      </c>
      <c r="E174" t="s">
        <v>30</v>
      </c>
      <c r="F174" s="6">
        <v>44985</v>
      </c>
      <c r="G174">
        <v>2023</v>
      </c>
      <c r="H174" t="s">
        <v>36</v>
      </c>
      <c r="I174" t="s">
        <v>33</v>
      </c>
      <c r="J174">
        <v>6</v>
      </c>
      <c r="K174">
        <v>20</v>
      </c>
      <c r="L174">
        <v>3.333333333333333</v>
      </c>
      <c r="M174">
        <v>3.333333333333333</v>
      </c>
      <c r="P174" t="s">
        <v>1436</v>
      </c>
      <c r="Q174">
        <v>0</v>
      </c>
      <c r="R174">
        <v>0</v>
      </c>
    </row>
    <row r="175" spans="1:18" x14ac:dyDescent="0.3">
      <c r="A175">
        <v>225</v>
      </c>
      <c r="B175" t="s">
        <v>1434</v>
      </c>
      <c r="C175" t="s">
        <v>299</v>
      </c>
      <c r="D175" t="s">
        <v>29</v>
      </c>
      <c r="E175" t="s">
        <v>30</v>
      </c>
      <c r="F175" s="6">
        <v>45016</v>
      </c>
      <c r="G175">
        <v>2023</v>
      </c>
      <c r="H175" t="s">
        <v>38</v>
      </c>
      <c r="I175" t="s">
        <v>33</v>
      </c>
      <c r="J175">
        <v>6</v>
      </c>
      <c r="K175">
        <v>19</v>
      </c>
      <c r="L175">
        <v>3.166666666666667</v>
      </c>
      <c r="M175">
        <v>3.166666666666667</v>
      </c>
      <c r="P175" t="s">
        <v>1437</v>
      </c>
      <c r="Q175">
        <v>0</v>
      </c>
      <c r="R175">
        <v>0</v>
      </c>
    </row>
    <row r="176" spans="1:18" x14ac:dyDescent="0.3">
      <c r="A176">
        <v>225</v>
      </c>
      <c r="B176" t="s">
        <v>1434</v>
      </c>
      <c r="C176" t="s">
        <v>299</v>
      </c>
      <c r="D176" t="s">
        <v>29</v>
      </c>
      <c r="E176" t="s">
        <v>30</v>
      </c>
      <c r="F176" s="6">
        <v>45046</v>
      </c>
      <c r="G176">
        <v>2023</v>
      </c>
      <c r="H176" t="s">
        <v>40</v>
      </c>
      <c r="I176" t="s">
        <v>33</v>
      </c>
      <c r="J176">
        <v>6</v>
      </c>
      <c r="K176">
        <v>20</v>
      </c>
      <c r="L176">
        <v>3.333333333333333</v>
      </c>
      <c r="M176">
        <v>3.333333333333333</v>
      </c>
      <c r="P176" t="s">
        <v>1438</v>
      </c>
      <c r="Q176">
        <v>0</v>
      </c>
      <c r="R176">
        <v>0</v>
      </c>
    </row>
    <row r="177" spans="1:18" x14ac:dyDescent="0.3">
      <c r="A177">
        <v>225</v>
      </c>
      <c r="B177" t="s">
        <v>1434</v>
      </c>
      <c r="C177" t="s">
        <v>299</v>
      </c>
      <c r="D177" t="s">
        <v>29</v>
      </c>
      <c r="E177" t="s">
        <v>30</v>
      </c>
      <c r="F177" s="6">
        <v>45077</v>
      </c>
      <c r="G177">
        <v>2023</v>
      </c>
      <c r="H177" t="s">
        <v>42</v>
      </c>
      <c r="I177" t="s">
        <v>33</v>
      </c>
      <c r="J177">
        <v>6</v>
      </c>
      <c r="K177">
        <v>23</v>
      </c>
      <c r="L177">
        <v>3.833333333333333</v>
      </c>
      <c r="M177">
        <v>3.833333333333333</v>
      </c>
      <c r="P177" t="s">
        <v>1439</v>
      </c>
      <c r="Q177">
        <v>0</v>
      </c>
      <c r="R177">
        <v>0</v>
      </c>
    </row>
    <row r="178" spans="1:18" x14ac:dyDescent="0.3">
      <c r="A178">
        <v>225</v>
      </c>
      <c r="B178" t="s">
        <v>1434</v>
      </c>
      <c r="C178" t="s">
        <v>299</v>
      </c>
      <c r="D178" t="s">
        <v>29</v>
      </c>
      <c r="E178" t="s">
        <v>30</v>
      </c>
      <c r="F178" s="6">
        <v>45138</v>
      </c>
      <c r="G178">
        <v>2023</v>
      </c>
      <c r="H178" t="s">
        <v>46</v>
      </c>
      <c r="I178" t="s">
        <v>47</v>
      </c>
      <c r="J178">
        <v>6</v>
      </c>
      <c r="K178">
        <v>20</v>
      </c>
      <c r="L178">
        <v>1</v>
      </c>
      <c r="M178">
        <v>3.333333333333333</v>
      </c>
      <c r="P178" t="s">
        <v>1441</v>
      </c>
      <c r="Q178">
        <v>0</v>
      </c>
      <c r="R178">
        <v>0</v>
      </c>
    </row>
    <row r="179" spans="1:18" x14ac:dyDescent="0.3">
      <c r="A179">
        <v>225</v>
      </c>
      <c r="B179" t="s">
        <v>1434</v>
      </c>
      <c r="C179" t="s">
        <v>299</v>
      </c>
      <c r="D179" t="s">
        <v>29</v>
      </c>
      <c r="E179" t="s">
        <v>30</v>
      </c>
      <c r="F179" s="6">
        <v>45169</v>
      </c>
      <c r="G179">
        <v>2023</v>
      </c>
      <c r="H179" t="s">
        <v>49</v>
      </c>
      <c r="I179" t="s">
        <v>47</v>
      </c>
      <c r="J179">
        <v>6</v>
      </c>
      <c r="K179">
        <v>23</v>
      </c>
      <c r="L179">
        <v>1</v>
      </c>
      <c r="M179">
        <v>3.833333333333333</v>
      </c>
      <c r="P179" t="s">
        <v>1442</v>
      </c>
      <c r="Q179">
        <v>0</v>
      </c>
      <c r="R179">
        <v>0</v>
      </c>
    </row>
    <row r="180" spans="1:18" x14ac:dyDescent="0.3">
      <c r="A180">
        <v>225</v>
      </c>
      <c r="B180" t="s">
        <v>1434</v>
      </c>
      <c r="C180" t="s">
        <v>299</v>
      </c>
      <c r="D180" t="s">
        <v>29</v>
      </c>
      <c r="E180" t="s">
        <v>30</v>
      </c>
      <c r="F180" s="6">
        <v>45199</v>
      </c>
      <c r="G180">
        <v>2023</v>
      </c>
      <c r="H180" t="s">
        <v>51</v>
      </c>
      <c r="I180" t="s">
        <v>47</v>
      </c>
      <c r="J180">
        <v>6</v>
      </c>
      <c r="K180">
        <v>21</v>
      </c>
      <c r="L180">
        <v>1</v>
      </c>
      <c r="M180">
        <v>3.5</v>
      </c>
      <c r="P180" t="s">
        <v>1443</v>
      </c>
      <c r="Q180">
        <v>0</v>
      </c>
      <c r="R180">
        <v>0</v>
      </c>
    </row>
    <row r="181" spans="1:18" x14ac:dyDescent="0.3">
      <c r="A181">
        <v>225</v>
      </c>
      <c r="B181" t="s">
        <v>1434</v>
      </c>
      <c r="C181" t="s">
        <v>299</v>
      </c>
      <c r="D181" t="s">
        <v>29</v>
      </c>
      <c r="E181" t="s">
        <v>30</v>
      </c>
      <c r="F181" s="6">
        <v>45230</v>
      </c>
      <c r="G181">
        <v>2023</v>
      </c>
      <c r="H181" t="s">
        <v>53</v>
      </c>
      <c r="I181" t="s">
        <v>47</v>
      </c>
      <c r="J181">
        <v>6</v>
      </c>
      <c r="K181">
        <v>19</v>
      </c>
      <c r="L181">
        <v>3.166666666666667</v>
      </c>
      <c r="M181">
        <v>3.166666666666667</v>
      </c>
      <c r="P181" t="s">
        <v>1444</v>
      </c>
      <c r="Q181">
        <v>0</v>
      </c>
      <c r="R181">
        <v>0</v>
      </c>
    </row>
    <row r="182" spans="1:18" x14ac:dyDescent="0.3">
      <c r="A182">
        <v>225</v>
      </c>
      <c r="B182" t="s">
        <v>1434</v>
      </c>
      <c r="C182" t="s">
        <v>299</v>
      </c>
      <c r="D182" t="s">
        <v>29</v>
      </c>
      <c r="E182" t="s">
        <v>30</v>
      </c>
      <c r="F182" s="6">
        <v>45260</v>
      </c>
      <c r="G182">
        <v>2023</v>
      </c>
      <c r="H182" t="s">
        <v>55</v>
      </c>
      <c r="I182" t="s">
        <v>47</v>
      </c>
      <c r="J182">
        <v>6</v>
      </c>
      <c r="K182">
        <v>18</v>
      </c>
      <c r="L182">
        <v>3</v>
      </c>
      <c r="M182">
        <v>3</v>
      </c>
      <c r="P182" t="s">
        <v>1445</v>
      </c>
      <c r="Q182">
        <v>0</v>
      </c>
      <c r="R182">
        <v>0</v>
      </c>
    </row>
    <row r="183" spans="1:18" x14ac:dyDescent="0.3">
      <c r="A183">
        <v>233</v>
      </c>
      <c r="B183" t="s">
        <v>1528</v>
      </c>
      <c r="C183" t="s">
        <v>299</v>
      </c>
      <c r="D183" t="s">
        <v>233</v>
      </c>
      <c r="E183" t="s">
        <v>30</v>
      </c>
      <c r="F183" s="6">
        <v>45016</v>
      </c>
      <c r="G183">
        <v>2023</v>
      </c>
      <c r="H183" t="s">
        <v>38</v>
      </c>
      <c r="I183" t="s">
        <v>33</v>
      </c>
      <c r="J183">
        <v>20</v>
      </c>
      <c r="K183">
        <v>64.290000000000006</v>
      </c>
      <c r="M183">
        <v>3.2145000000000001</v>
      </c>
      <c r="P183" t="s">
        <v>1529</v>
      </c>
      <c r="Q183">
        <v>0</v>
      </c>
      <c r="R183">
        <v>0</v>
      </c>
    </row>
    <row r="184" spans="1:18" x14ac:dyDescent="0.3">
      <c r="A184">
        <v>233</v>
      </c>
      <c r="B184" t="s">
        <v>1528</v>
      </c>
      <c r="C184" t="s">
        <v>299</v>
      </c>
      <c r="D184" t="s">
        <v>233</v>
      </c>
      <c r="E184" t="s">
        <v>30</v>
      </c>
      <c r="F184" s="6">
        <v>45199</v>
      </c>
      <c r="G184">
        <v>2023</v>
      </c>
      <c r="H184" t="s">
        <v>51</v>
      </c>
      <c r="I184" t="s">
        <v>47</v>
      </c>
      <c r="J184">
        <v>20</v>
      </c>
      <c r="K184">
        <v>0</v>
      </c>
      <c r="M184">
        <v>0</v>
      </c>
      <c r="P184" t="s">
        <v>1531</v>
      </c>
      <c r="Q184">
        <v>0</v>
      </c>
      <c r="R184">
        <v>0</v>
      </c>
    </row>
    <row r="185" spans="1:18" x14ac:dyDescent="0.3">
      <c r="A185">
        <v>234</v>
      </c>
      <c r="B185" t="s">
        <v>1544</v>
      </c>
      <c r="C185" t="s">
        <v>299</v>
      </c>
      <c r="D185" t="s">
        <v>233</v>
      </c>
      <c r="E185" t="s">
        <v>30</v>
      </c>
      <c r="F185" s="6">
        <v>45016</v>
      </c>
      <c r="G185">
        <v>2023</v>
      </c>
      <c r="H185" t="s">
        <v>38</v>
      </c>
      <c r="I185" t="s">
        <v>33</v>
      </c>
      <c r="J185">
        <v>4000</v>
      </c>
      <c r="K185">
        <v>3692.25</v>
      </c>
      <c r="M185">
        <v>0.92306250000000001</v>
      </c>
      <c r="P185" t="s">
        <v>1545</v>
      </c>
      <c r="Q185">
        <v>0</v>
      </c>
      <c r="R185">
        <v>0</v>
      </c>
    </row>
    <row r="186" spans="1:18" x14ac:dyDescent="0.3">
      <c r="A186">
        <v>234</v>
      </c>
      <c r="B186" t="s">
        <v>1544</v>
      </c>
      <c r="C186" t="s">
        <v>299</v>
      </c>
      <c r="D186" t="s">
        <v>233</v>
      </c>
      <c r="E186" t="s">
        <v>30</v>
      </c>
      <c r="F186" s="6">
        <v>45199</v>
      </c>
      <c r="G186">
        <v>2023</v>
      </c>
      <c r="H186" t="s">
        <v>51</v>
      </c>
      <c r="I186" t="s">
        <v>47</v>
      </c>
      <c r="J186">
        <v>4000</v>
      </c>
      <c r="P186" t="s">
        <v>1547</v>
      </c>
      <c r="Q186">
        <v>0</v>
      </c>
      <c r="R186">
        <v>0</v>
      </c>
    </row>
    <row r="187" spans="1:18" x14ac:dyDescent="0.3">
      <c r="A187">
        <v>238</v>
      </c>
      <c r="B187" t="s">
        <v>1569</v>
      </c>
      <c r="C187" t="s">
        <v>299</v>
      </c>
      <c r="D187" t="s">
        <v>233</v>
      </c>
      <c r="E187" t="s">
        <v>30</v>
      </c>
      <c r="F187" s="6">
        <v>45016</v>
      </c>
      <c r="G187">
        <v>2023</v>
      </c>
      <c r="H187" t="s">
        <v>38</v>
      </c>
      <c r="I187" t="s">
        <v>33</v>
      </c>
      <c r="J187">
        <v>90</v>
      </c>
      <c r="K187">
        <v>94.44</v>
      </c>
      <c r="M187">
        <v>1.049333333333333</v>
      </c>
      <c r="P187" t="s">
        <v>1570</v>
      </c>
      <c r="Q187">
        <v>0</v>
      </c>
      <c r="R187">
        <v>0</v>
      </c>
    </row>
    <row r="188" spans="1:18" x14ac:dyDescent="0.3">
      <c r="A188">
        <v>238</v>
      </c>
      <c r="B188" t="s">
        <v>1569</v>
      </c>
      <c r="C188" t="s">
        <v>299</v>
      </c>
      <c r="D188" t="s">
        <v>233</v>
      </c>
      <c r="E188" t="s">
        <v>30</v>
      </c>
      <c r="F188" s="6">
        <v>45199</v>
      </c>
      <c r="G188">
        <v>2023</v>
      </c>
      <c r="H188" t="s">
        <v>51</v>
      </c>
      <c r="I188" t="s">
        <v>47</v>
      </c>
      <c r="J188">
        <v>90</v>
      </c>
      <c r="K188">
        <v>44.4444444444444</v>
      </c>
      <c r="M188">
        <v>0.49382716049382669</v>
      </c>
      <c r="P188" t="s">
        <v>1572</v>
      </c>
      <c r="Q188">
        <v>0</v>
      </c>
      <c r="R188">
        <v>0</v>
      </c>
    </row>
    <row r="189" spans="1:18" x14ac:dyDescent="0.3">
      <c r="A189">
        <v>243</v>
      </c>
      <c r="B189" t="s">
        <v>1692</v>
      </c>
      <c r="C189" t="s">
        <v>187</v>
      </c>
      <c r="D189" t="s">
        <v>29</v>
      </c>
      <c r="E189" t="s">
        <v>108</v>
      </c>
      <c r="F189" s="6">
        <v>44957</v>
      </c>
      <c r="G189">
        <v>2023</v>
      </c>
      <c r="H189" t="s">
        <v>32</v>
      </c>
      <c r="I189" t="s">
        <v>33</v>
      </c>
      <c r="J189">
        <v>0</v>
      </c>
      <c r="K189">
        <v>0</v>
      </c>
      <c r="N189" t="s">
        <v>31</v>
      </c>
      <c r="O189" t="s">
        <v>31</v>
      </c>
      <c r="P189" t="s">
        <v>1693</v>
      </c>
      <c r="Q189">
        <v>0</v>
      </c>
      <c r="R189">
        <v>0</v>
      </c>
    </row>
    <row r="190" spans="1:18" x14ac:dyDescent="0.3">
      <c r="A190">
        <v>243</v>
      </c>
      <c r="B190" t="s">
        <v>1692</v>
      </c>
      <c r="C190" t="s">
        <v>187</v>
      </c>
      <c r="D190" t="s">
        <v>29</v>
      </c>
      <c r="E190" t="s">
        <v>108</v>
      </c>
      <c r="F190" s="6">
        <v>44985</v>
      </c>
      <c r="G190">
        <v>2023</v>
      </c>
      <c r="H190" t="s">
        <v>36</v>
      </c>
      <c r="I190" t="s">
        <v>33</v>
      </c>
      <c r="J190">
        <v>0</v>
      </c>
      <c r="K190">
        <v>0</v>
      </c>
      <c r="N190" t="s">
        <v>31</v>
      </c>
      <c r="O190" t="s">
        <v>31</v>
      </c>
      <c r="P190" t="s">
        <v>1694</v>
      </c>
      <c r="Q190">
        <v>0</v>
      </c>
      <c r="R190">
        <v>0</v>
      </c>
    </row>
    <row r="191" spans="1:18" x14ac:dyDescent="0.3">
      <c r="A191">
        <v>243</v>
      </c>
      <c r="B191" t="s">
        <v>1692</v>
      </c>
      <c r="C191" t="s">
        <v>187</v>
      </c>
      <c r="D191" t="s">
        <v>29</v>
      </c>
      <c r="E191" t="s">
        <v>108</v>
      </c>
      <c r="F191" s="6">
        <v>45016</v>
      </c>
      <c r="G191">
        <v>2023</v>
      </c>
      <c r="H191" t="s">
        <v>38</v>
      </c>
      <c r="I191" t="s">
        <v>33</v>
      </c>
      <c r="J191">
        <v>0</v>
      </c>
      <c r="K191">
        <v>0</v>
      </c>
      <c r="N191" t="s">
        <v>31</v>
      </c>
      <c r="O191" t="s">
        <v>31</v>
      </c>
      <c r="P191" t="s">
        <v>1695</v>
      </c>
      <c r="Q191">
        <v>0</v>
      </c>
      <c r="R191">
        <v>0</v>
      </c>
    </row>
    <row r="192" spans="1:18" x14ac:dyDescent="0.3">
      <c r="A192">
        <v>243</v>
      </c>
      <c r="B192" t="s">
        <v>1692</v>
      </c>
      <c r="C192" t="s">
        <v>187</v>
      </c>
      <c r="D192" t="s">
        <v>29</v>
      </c>
      <c r="E192" t="s">
        <v>108</v>
      </c>
      <c r="F192" s="6">
        <v>45046</v>
      </c>
      <c r="G192">
        <v>2023</v>
      </c>
      <c r="H192" t="s">
        <v>40</v>
      </c>
      <c r="I192" t="s">
        <v>33</v>
      </c>
      <c r="J192">
        <v>0</v>
      </c>
      <c r="K192">
        <v>0</v>
      </c>
      <c r="N192" t="s">
        <v>31</v>
      </c>
      <c r="O192" t="s">
        <v>31</v>
      </c>
      <c r="P192" t="s">
        <v>1696</v>
      </c>
      <c r="Q192">
        <v>0</v>
      </c>
      <c r="R192">
        <v>0</v>
      </c>
    </row>
    <row r="193" spans="1:18" x14ac:dyDescent="0.3">
      <c r="A193">
        <v>243</v>
      </c>
      <c r="B193" t="s">
        <v>1692</v>
      </c>
      <c r="C193" t="s">
        <v>187</v>
      </c>
      <c r="D193" t="s">
        <v>29</v>
      </c>
      <c r="E193" t="s">
        <v>108</v>
      </c>
      <c r="F193" s="6">
        <v>45077</v>
      </c>
      <c r="G193">
        <v>2023</v>
      </c>
      <c r="H193" t="s">
        <v>42</v>
      </c>
      <c r="I193" t="s">
        <v>33</v>
      </c>
      <c r="J193">
        <v>0</v>
      </c>
      <c r="K193">
        <v>0</v>
      </c>
      <c r="N193" t="s">
        <v>31</v>
      </c>
      <c r="O193" t="s">
        <v>31</v>
      </c>
      <c r="P193" t="s">
        <v>1697</v>
      </c>
      <c r="Q193">
        <v>0</v>
      </c>
      <c r="R193">
        <v>0</v>
      </c>
    </row>
    <row r="194" spans="1:18" x14ac:dyDescent="0.3">
      <c r="A194">
        <v>243</v>
      </c>
      <c r="B194" t="s">
        <v>1692</v>
      </c>
      <c r="C194" t="s">
        <v>187</v>
      </c>
      <c r="D194" t="s">
        <v>29</v>
      </c>
      <c r="E194" t="s">
        <v>108</v>
      </c>
      <c r="F194" s="6">
        <v>45138</v>
      </c>
      <c r="G194">
        <v>2023</v>
      </c>
      <c r="H194" t="s">
        <v>46</v>
      </c>
      <c r="I194" t="s">
        <v>47</v>
      </c>
      <c r="J194">
        <v>0</v>
      </c>
      <c r="K194">
        <v>16.666666666666998</v>
      </c>
      <c r="L194">
        <v>0</v>
      </c>
      <c r="M194">
        <v>0</v>
      </c>
      <c r="N194" t="s">
        <v>31</v>
      </c>
      <c r="O194" t="s">
        <v>31</v>
      </c>
      <c r="P194" t="s">
        <v>1699</v>
      </c>
      <c r="Q194">
        <v>0</v>
      </c>
      <c r="R194">
        <v>0</v>
      </c>
    </row>
    <row r="195" spans="1:18" x14ac:dyDescent="0.3">
      <c r="A195">
        <v>243</v>
      </c>
      <c r="B195" t="s">
        <v>1692</v>
      </c>
      <c r="C195" t="s">
        <v>187</v>
      </c>
      <c r="D195" t="s">
        <v>29</v>
      </c>
      <c r="E195" t="s">
        <v>108</v>
      </c>
      <c r="F195" s="6">
        <v>45169</v>
      </c>
      <c r="G195">
        <v>2023</v>
      </c>
      <c r="H195" t="s">
        <v>49</v>
      </c>
      <c r="I195" t="s">
        <v>47</v>
      </c>
      <c r="J195">
        <v>0</v>
      </c>
      <c r="K195">
        <v>9.09</v>
      </c>
      <c r="L195">
        <v>0</v>
      </c>
      <c r="M195">
        <v>0</v>
      </c>
      <c r="N195" t="s">
        <v>31</v>
      </c>
      <c r="O195" t="s">
        <v>31</v>
      </c>
      <c r="P195" t="s">
        <v>1700</v>
      </c>
      <c r="Q195">
        <v>0</v>
      </c>
      <c r="R195">
        <v>0</v>
      </c>
    </row>
    <row r="196" spans="1:18" x14ac:dyDescent="0.3">
      <c r="A196">
        <v>243</v>
      </c>
      <c r="B196" t="s">
        <v>1692</v>
      </c>
      <c r="C196" t="s">
        <v>187</v>
      </c>
      <c r="D196" t="s">
        <v>29</v>
      </c>
      <c r="E196" t="s">
        <v>108</v>
      </c>
      <c r="F196" s="6">
        <v>45199</v>
      </c>
      <c r="G196">
        <v>2023</v>
      </c>
      <c r="H196" t="s">
        <v>51</v>
      </c>
      <c r="I196" t="s">
        <v>47</v>
      </c>
      <c r="J196">
        <v>0</v>
      </c>
      <c r="K196">
        <v>0</v>
      </c>
      <c r="N196" t="s">
        <v>31</v>
      </c>
      <c r="O196" t="s">
        <v>31</v>
      </c>
      <c r="P196" t="s">
        <v>1701</v>
      </c>
      <c r="Q196">
        <v>0</v>
      </c>
      <c r="R196">
        <v>0</v>
      </c>
    </row>
    <row r="197" spans="1:18" x14ac:dyDescent="0.3">
      <c r="A197">
        <v>243</v>
      </c>
      <c r="B197" t="s">
        <v>1692</v>
      </c>
      <c r="C197" t="s">
        <v>187</v>
      </c>
      <c r="D197" t="s">
        <v>29</v>
      </c>
      <c r="E197" t="s">
        <v>108</v>
      </c>
      <c r="F197" s="6">
        <v>45230</v>
      </c>
      <c r="G197">
        <v>2023</v>
      </c>
      <c r="H197" t="s">
        <v>53</v>
      </c>
      <c r="I197" t="s">
        <v>47</v>
      </c>
      <c r="J197">
        <v>0</v>
      </c>
      <c r="K197">
        <v>11.11</v>
      </c>
      <c r="L197">
        <v>0</v>
      </c>
      <c r="M197">
        <v>0</v>
      </c>
      <c r="N197" t="s">
        <v>31</v>
      </c>
      <c r="O197" t="s">
        <v>31</v>
      </c>
      <c r="P197" t="s">
        <v>1702</v>
      </c>
      <c r="Q197">
        <v>0</v>
      </c>
      <c r="R197">
        <v>0</v>
      </c>
    </row>
    <row r="198" spans="1:18" x14ac:dyDescent="0.3">
      <c r="A198">
        <v>243</v>
      </c>
      <c r="B198" t="s">
        <v>1692</v>
      </c>
      <c r="C198" t="s">
        <v>187</v>
      </c>
      <c r="D198" t="s">
        <v>29</v>
      </c>
      <c r="E198" t="s">
        <v>108</v>
      </c>
      <c r="F198" s="6">
        <v>45260</v>
      </c>
      <c r="G198">
        <v>2023</v>
      </c>
      <c r="H198" t="s">
        <v>55</v>
      </c>
      <c r="I198" t="s">
        <v>47</v>
      </c>
      <c r="J198">
        <v>0</v>
      </c>
      <c r="K198">
        <v>0</v>
      </c>
      <c r="N198" t="s">
        <v>31</v>
      </c>
      <c r="O198" t="s">
        <v>31</v>
      </c>
      <c r="P198" t="s">
        <v>1703</v>
      </c>
      <c r="Q198">
        <v>0</v>
      </c>
      <c r="R198">
        <v>0</v>
      </c>
    </row>
    <row r="199" spans="1:18" x14ac:dyDescent="0.3">
      <c r="A199">
        <v>253</v>
      </c>
      <c r="B199" t="s">
        <v>1785</v>
      </c>
      <c r="C199" t="s">
        <v>283</v>
      </c>
      <c r="D199" t="s">
        <v>284</v>
      </c>
      <c r="E199" t="s">
        <v>108</v>
      </c>
      <c r="F199" s="6">
        <v>45046</v>
      </c>
      <c r="G199">
        <v>2023</v>
      </c>
      <c r="H199" t="s">
        <v>40</v>
      </c>
      <c r="I199" t="s">
        <v>47</v>
      </c>
      <c r="J199">
        <v>8</v>
      </c>
      <c r="K199">
        <v>8</v>
      </c>
      <c r="L199">
        <v>1</v>
      </c>
      <c r="M199">
        <v>1</v>
      </c>
      <c r="N199" t="s">
        <v>3807</v>
      </c>
      <c r="O199" t="s">
        <v>3807</v>
      </c>
      <c r="P199" t="s">
        <v>1787</v>
      </c>
      <c r="Q199">
        <v>0</v>
      </c>
      <c r="R199">
        <v>0</v>
      </c>
    </row>
    <row r="200" spans="1:18" x14ac:dyDescent="0.3">
      <c r="A200">
        <v>253</v>
      </c>
      <c r="B200" t="s">
        <v>1785</v>
      </c>
      <c r="C200" t="s">
        <v>283</v>
      </c>
      <c r="D200" t="s">
        <v>284</v>
      </c>
      <c r="E200" t="s">
        <v>108</v>
      </c>
      <c r="F200" s="6">
        <v>45169</v>
      </c>
      <c r="G200">
        <v>2023</v>
      </c>
      <c r="H200" t="s">
        <v>49</v>
      </c>
      <c r="I200" t="s">
        <v>47</v>
      </c>
      <c r="J200">
        <v>8</v>
      </c>
      <c r="K200">
        <v>4.5</v>
      </c>
      <c r="L200">
        <v>1.3</v>
      </c>
      <c r="M200">
        <v>1.7777777777777779</v>
      </c>
      <c r="N200" t="s">
        <v>3807</v>
      </c>
      <c r="O200" t="s">
        <v>3807</v>
      </c>
      <c r="P200" t="s">
        <v>1789</v>
      </c>
      <c r="Q200">
        <v>0</v>
      </c>
      <c r="R200">
        <v>0</v>
      </c>
    </row>
    <row r="201" spans="1:18" x14ac:dyDescent="0.3">
      <c r="A201">
        <v>253</v>
      </c>
      <c r="B201" t="s">
        <v>1785</v>
      </c>
      <c r="C201" t="s">
        <v>283</v>
      </c>
      <c r="D201" t="s">
        <v>284</v>
      </c>
      <c r="E201" t="s">
        <v>108</v>
      </c>
      <c r="F201" s="6">
        <v>45230</v>
      </c>
      <c r="G201">
        <v>2023</v>
      </c>
      <c r="H201" t="s">
        <v>53</v>
      </c>
      <c r="I201" t="s">
        <v>47</v>
      </c>
      <c r="J201">
        <v>8</v>
      </c>
      <c r="K201">
        <v>5.8</v>
      </c>
      <c r="L201">
        <v>1.3</v>
      </c>
      <c r="M201">
        <v>1.3793103448275861</v>
      </c>
      <c r="N201" t="s">
        <v>3807</v>
      </c>
      <c r="O201" t="s">
        <v>3807</v>
      </c>
      <c r="P201" t="s">
        <v>1790</v>
      </c>
      <c r="Q201">
        <v>0</v>
      </c>
      <c r="R201">
        <v>0</v>
      </c>
    </row>
    <row r="202" spans="1:18" x14ac:dyDescent="0.3">
      <c r="A202">
        <v>259</v>
      </c>
      <c r="B202" t="s">
        <v>1822</v>
      </c>
      <c r="C202" t="s">
        <v>138</v>
      </c>
      <c r="D202" t="s">
        <v>233</v>
      </c>
      <c r="E202" t="s">
        <v>30</v>
      </c>
      <c r="F202" s="6">
        <v>45199</v>
      </c>
      <c r="G202">
        <v>2023</v>
      </c>
      <c r="H202" t="s">
        <v>51</v>
      </c>
      <c r="I202" t="s">
        <v>47</v>
      </c>
      <c r="J202">
        <v>100</v>
      </c>
      <c r="K202">
        <v>68.75</v>
      </c>
      <c r="L202">
        <v>0.6875</v>
      </c>
      <c r="M202">
        <v>0.6875</v>
      </c>
      <c r="N202" t="s">
        <v>31</v>
      </c>
      <c r="O202" t="s">
        <v>31</v>
      </c>
      <c r="P202" t="s">
        <v>1824</v>
      </c>
      <c r="Q202">
        <v>0</v>
      </c>
      <c r="R202">
        <v>0</v>
      </c>
    </row>
    <row r="203" spans="1:18" x14ac:dyDescent="0.3">
      <c r="A203">
        <v>275</v>
      </c>
      <c r="B203" t="s">
        <v>1987</v>
      </c>
      <c r="C203" t="s">
        <v>1988</v>
      </c>
      <c r="D203" t="s">
        <v>98</v>
      </c>
      <c r="E203" t="s">
        <v>30</v>
      </c>
      <c r="F203" s="6">
        <v>45291</v>
      </c>
      <c r="G203">
        <v>2023</v>
      </c>
      <c r="H203" t="s">
        <v>57</v>
      </c>
      <c r="I203" t="s">
        <v>47</v>
      </c>
      <c r="J203">
        <v>80</v>
      </c>
      <c r="K203">
        <v>83</v>
      </c>
      <c r="L203">
        <v>1.0375000000000001</v>
      </c>
      <c r="M203">
        <v>1.0375000000000001</v>
      </c>
      <c r="N203" t="s">
        <v>31</v>
      </c>
      <c r="O203" t="s">
        <v>31</v>
      </c>
      <c r="P203" t="s">
        <v>5305</v>
      </c>
      <c r="Q203">
        <v>0</v>
      </c>
      <c r="R203">
        <v>0</v>
      </c>
    </row>
    <row r="204" spans="1:18" x14ac:dyDescent="0.3">
      <c r="A204">
        <v>289</v>
      </c>
      <c r="B204" t="s">
        <v>2103</v>
      </c>
      <c r="C204" t="s">
        <v>309</v>
      </c>
      <c r="D204" t="s">
        <v>233</v>
      </c>
      <c r="E204" t="s">
        <v>30</v>
      </c>
      <c r="F204" s="6">
        <v>45016</v>
      </c>
      <c r="G204">
        <v>2023</v>
      </c>
      <c r="H204" t="s">
        <v>38</v>
      </c>
      <c r="I204" t="s">
        <v>33</v>
      </c>
      <c r="J204">
        <v>95</v>
      </c>
      <c r="K204">
        <v>0</v>
      </c>
      <c r="L204">
        <v>0</v>
      </c>
      <c r="M204">
        <v>0</v>
      </c>
      <c r="P204" t="s">
        <v>2104</v>
      </c>
      <c r="Q204">
        <v>0</v>
      </c>
      <c r="R204">
        <v>0</v>
      </c>
    </row>
    <row r="205" spans="1:18" x14ac:dyDescent="0.3">
      <c r="A205">
        <v>289</v>
      </c>
      <c r="B205" t="s">
        <v>2103</v>
      </c>
      <c r="C205" t="s">
        <v>309</v>
      </c>
      <c r="D205" t="s">
        <v>233</v>
      </c>
      <c r="E205" t="s">
        <v>30</v>
      </c>
      <c r="F205" s="6">
        <v>45199</v>
      </c>
      <c r="G205">
        <v>2023</v>
      </c>
      <c r="H205" t="s">
        <v>51</v>
      </c>
      <c r="I205" t="s">
        <v>47</v>
      </c>
      <c r="J205">
        <v>95</v>
      </c>
      <c r="K205">
        <v>87.5</v>
      </c>
      <c r="L205">
        <v>0.92105263157894735</v>
      </c>
      <c r="M205">
        <v>0.92105263157894735</v>
      </c>
      <c r="N205" t="s">
        <v>31</v>
      </c>
      <c r="O205" t="s">
        <v>31</v>
      </c>
      <c r="P205" t="s">
        <v>2106</v>
      </c>
      <c r="Q205">
        <v>0</v>
      </c>
      <c r="R205">
        <v>0</v>
      </c>
    </row>
    <row r="206" spans="1:18" x14ac:dyDescent="0.3">
      <c r="A206">
        <v>290</v>
      </c>
      <c r="B206" t="s">
        <v>2113</v>
      </c>
      <c r="C206" t="s">
        <v>2114</v>
      </c>
      <c r="D206" t="s">
        <v>284</v>
      </c>
      <c r="E206" t="s">
        <v>30</v>
      </c>
      <c r="F206" s="6">
        <v>45168</v>
      </c>
      <c r="G206">
        <v>2023</v>
      </c>
      <c r="H206" t="s">
        <v>49</v>
      </c>
      <c r="I206" t="s">
        <v>47</v>
      </c>
      <c r="J206">
        <v>90</v>
      </c>
      <c r="K206">
        <v>81.819999999999993</v>
      </c>
      <c r="L206">
        <v>0.90911111111111098</v>
      </c>
      <c r="M206">
        <v>0.90911111111111098</v>
      </c>
      <c r="P206" t="s">
        <v>2116</v>
      </c>
      <c r="Q206">
        <v>1</v>
      </c>
      <c r="R206">
        <v>1</v>
      </c>
    </row>
    <row r="207" spans="1:18" x14ac:dyDescent="0.3">
      <c r="A207">
        <v>290</v>
      </c>
      <c r="B207" t="s">
        <v>2113</v>
      </c>
      <c r="C207" t="s">
        <v>2114</v>
      </c>
      <c r="D207" t="s">
        <v>284</v>
      </c>
      <c r="E207" t="s">
        <v>30</v>
      </c>
      <c r="F207" s="6">
        <v>45230</v>
      </c>
      <c r="G207">
        <v>2023</v>
      </c>
      <c r="H207" t="s">
        <v>53</v>
      </c>
      <c r="I207" t="s">
        <v>47</v>
      </c>
      <c r="J207">
        <v>90</v>
      </c>
      <c r="K207">
        <v>90.91</v>
      </c>
      <c r="L207">
        <v>1.010111111111111</v>
      </c>
      <c r="M207">
        <v>1.010111111111111</v>
      </c>
      <c r="P207" t="s">
        <v>2117</v>
      </c>
      <c r="Q207">
        <v>1</v>
      </c>
      <c r="R207">
        <v>1</v>
      </c>
    </row>
    <row r="208" spans="1:18" x14ac:dyDescent="0.3">
      <c r="A208">
        <v>300</v>
      </c>
      <c r="B208" t="s">
        <v>2207</v>
      </c>
      <c r="C208" t="s">
        <v>169</v>
      </c>
      <c r="D208" t="s">
        <v>233</v>
      </c>
      <c r="E208" t="s">
        <v>30</v>
      </c>
      <c r="F208" s="6">
        <v>45016</v>
      </c>
      <c r="G208">
        <v>2023</v>
      </c>
      <c r="H208" t="s">
        <v>38</v>
      </c>
      <c r="I208" t="s">
        <v>33</v>
      </c>
      <c r="J208">
        <v>100</v>
      </c>
      <c r="K208">
        <v>100</v>
      </c>
      <c r="L208">
        <v>1</v>
      </c>
      <c r="M208">
        <v>1</v>
      </c>
      <c r="N208" t="s">
        <v>31</v>
      </c>
      <c r="O208" t="s">
        <v>31</v>
      </c>
      <c r="P208" t="s">
        <v>2208</v>
      </c>
      <c r="Q208">
        <v>0</v>
      </c>
      <c r="R208">
        <v>0</v>
      </c>
    </row>
    <row r="209" spans="1:18" x14ac:dyDescent="0.3">
      <c r="A209">
        <v>300</v>
      </c>
      <c r="B209" t="s">
        <v>2207</v>
      </c>
      <c r="C209" t="s">
        <v>169</v>
      </c>
      <c r="D209" t="s">
        <v>233</v>
      </c>
      <c r="E209" t="s">
        <v>30</v>
      </c>
      <c r="F209" s="6">
        <v>45199</v>
      </c>
      <c r="G209">
        <v>2023</v>
      </c>
      <c r="H209" t="s">
        <v>51</v>
      </c>
      <c r="I209" t="s">
        <v>47</v>
      </c>
      <c r="J209">
        <v>100</v>
      </c>
      <c r="K209">
        <v>100</v>
      </c>
      <c r="L209">
        <v>1</v>
      </c>
      <c r="M209">
        <v>1</v>
      </c>
      <c r="N209" t="s">
        <v>31</v>
      </c>
      <c r="O209" t="s">
        <v>31</v>
      </c>
      <c r="P209" t="s">
        <v>2210</v>
      </c>
      <c r="Q209">
        <v>0</v>
      </c>
      <c r="R209">
        <v>0</v>
      </c>
    </row>
    <row r="210" spans="1:18" x14ac:dyDescent="0.3">
      <c r="A210">
        <v>301</v>
      </c>
      <c r="B210" t="s">
        <v>2220</v>
      </c>
      <c r="C210" t="s">
        <v>169</v>
      </c>
      <c r="D210" t="s">
        <v>233</v>
      </c>
      <c r="E210" t="s">
        <v>30</v>
      </c>
      <c r="F210" s="6">
        <v>45016</v>
      </c>
      <c r="G210">
        <v>2023</v>
      </c>
      <c r="H210" t="s">
        <v>38</v>
      </c>
      <c r="I210" t="s">
        <v>33</v>
      </c>
      <c r="J210">
        <v>100</v>
      </c>
      <c r="K210">
        <v>100</v>
      </c>
      <c r="L210">
        <v>1</v>
      </c>
      <c r="M210">
        <v>1</v>
      </c>
      <c r="N210" t="s">
        <v>31</v>
      </c>
      <c r="O210" t="s">
        <v>31</v>
      </c>
      <c r="P210" t="s">
        <v>2221</v>
      </c>
      <c r="Q210">
        <v>0</v>
      </c>
      <c r="R210">
        <v>0</v>
      </c>
    </row>
    <row r="211" spans="1:18" x14ac:dyDescent="0.3">
      <c r="A211">
        <v>301</v>
      </c>
      <c r="B211" t="s">
        <v>2220</v>
      </c>
      <c r="C211" t="s">
        <v>169</v>
      </c>
      <c r="D211" t="s">
        <v>233</v>
      </c>
      <c r="E211" t="s">
        <v>30</v>
      </c>
      <c r="F211" s="6">
        <v>45199</v>
      </c>
      <c r="G211">
        <v>2023</v>
      </c>
      <c r="H211" t="s">
        <v>51</v>
      </c>
      <c r="I211" t="s">
        <v>47</v>
      </c>
      <c r="J211">
        <v>100</v>
      </c>
      <c r="K211">
        <v>100</v>
      </c>
      <c r="L211">
        <v>1</v>
      </c>
      <c r="M211">
        <v>1</v>
      </c>
      <c r="N211" t="s">
        <v>31</v>
      </c>
      <c r="O211" t="s">
        <v>31</v>
      </c>
      <c r="P211" t="s">
        <v>2223</v>
      </c>
      <c r="Q211">
        <v>0</v>
      </c>
      <c r="R211">
        <v>0</v>
      </c>
    </row>
    <row r="212" spans="1:18" x14ac:dyDescent="0.3">
      <c r="A212">
        <v>306</v>
      </c>
      <c r="B212" t="s">
        <v>2272</v>
      </c>
      <c r="C212" t="s">
        <v>138</v>
      </c>
      <c r="D212" t="s">
        <v>233</v>
      </c>
      <c r="E212" t="s">
        <v>30</v>
      </c>
      <c r="F212" s="6">
        <v>45199</v>
      </c>
      <c r="G212">
        <v>2023</v>
      </c>
      <c r="H212" t="s">
        <v>51</v>
      </c>
      <c r="I212" t="s">
        <v>47</v>
      </c>
      <c r="J212">
        <v>100</v>
      </c>
      <c r="K212">
        <v>103.17</v>
      </c>
      <c r="L212">
        <v>1.0317000000000001</v>
      </c>
      <c r="M212">
        <v>1.0317000000000001</v>
      </c>
      <c r="N212" t="s">
        <v>31</v>
      </c>
      <c r="O212" t="s">
        <v>31</v>
      </c>
      <c r="P212" t="s">
        <v>2274</v>
      </c>
      <c r="Q212">
        <v>0</v>
      </c>
      <c r="R212">
        <v>0</v>
      </c>
    </row>
    <row r="213" spans="1:18" x14ac:dyDescent="0.3">
      <c r="A213">
        <v>348</v>
      </c>
      <c r="B213" t="s">
        <v>2568</v>
      </c>
      <c r="C213" t="s">
        <v>174</v>
      </c>
      <c r="D213" t="s">
        <v>233</v>
      </c>
      <c r="E213" t="s">
        <v>30</v>
      </c>
      <c r="F213" s="6">
        <v>45016</v>
      </c>
      <c r="G213">
        <v>2023</v>
      </c>
      <c r="H213" t="s">
        <v>38</v>
      </c>
      <c r="I213" t="s">
        <v>33</v>
      </c>
      <c r="J213">
        <v>99</v>
      </c>
      <c r="K213">
        <v>99.94</v>
      </c>
      <c r="L213">
        <v>1.009494949494949</v>
      </c>
      <c r="M213">
        <v>1.009494949494949</v>
      </c>
      <c r="N213" t="s">
        <v>31</v>
      </c>
      <c r="O213" t="s">
        <v>31</v>
      </c>
      <c r="P213" t="s">
        <v>2569</v>
      </c>
      <c r="Q213">
        <v>0</v>
      </c>
      <c r="R213">
        <v>1</v>
      </c>
    </row>
    <row r="214" spans="1:18" x14ac:dyDescent="0.3">
      <c r="A214">
        <v>348</v>
      </c>
      <c r="B214" t="s">
        <v>2568</v>
      </c>
      <c r="C214" t="s">
        <v>174</v>
      </c>
      <c r="D214" t="s">
        <v>233</v>
      </c>
      <c r="E214" t="s">
        <v>30</v>
      </c>
      <c r="F214" s="6">
        <v>45199</v>
      </c>
      <c r="G214">
        <v>2023</v>
      </c>
      <c r="H214" t="s">
        <v>51</v>
      </c>
      <c r="I214" t="s">
        <v>47</v>
      </c>
      <c r="J214">
        <v>99</v>
      </c>
      <c r="K214">
        <v>100</v>
      </c>
      <c r="L214">
        <v>1.0101010101010099</v>
      </c>
      <c r="M214">
        <v>1.0101010101010099</v>
      </c>
      <c r="N214" t="s">
        <v>31</v>
      </c>
      <c r="O214" t="s">
        <v>31</v>
      </c>
      <c r="P214" t="s">
        <v>2571</v>
      </c>
      <c r="Q214">
        <v>0</v>
      </c>
      <c r="R214">
        <v>1</v>
      </c>
    </row>
    <row r="215" spans="1:18" x14ac:dyDescent="0.3">
      <c r="A215">
        <v>359</v>
      </c>
      <c r="B215" t="s">
        <v>5306</v>
      </c>
      <c r="C215" t="s">
        <v>1988</v>
      </c>
      <c r="D215" t="s">
        <v>98</v>
      </c>
      <c r="E215" t="s">
        <v>30</v>
      </c>
      <c r="F215" s="6">
        <v>45291</v>
      </c>
      <c r="G215">
        <v>2023</v>
      </c>
      <c r="H215" t="s">
        <v>57</v>
      </c>
      <c r="I215" t="s">
        <v>47</v>
      </c>
      <c r="K215">
        <v>0</v>
      </c>
      <c r="P215" t="s">
        <v>5307</v>
      </c>
      <c r="Q215">
        <v>0</v>
      </c>
      <c r="R215">
        <v>0</v>
      </c>
    </row>
    <row r="216" spans="1:18" x14ac:dyDescent="0.3">
      <c r="A216">
        <v>363</v>
      </c>
      <c r="B216" t="s">
        <v>2699</v>
      </c>
      <c r="C216" t="s">
        <v>5308</v>
      </c>
      <c r="D216" t="s">
        <v>222</v>
      </c>
      <c r="E216" t="s">
        <v>30</v>
      </c>
      <c r="F216" s="6">
        <v>45107</v>
      </c>
      <c r="G216">
        <v>2023</v>
      </c>
      <c r="H216" t="s">
        <v>44</v>
      </c>
      <c r="I216" t="s">
        <v>33</v>
      </c>
      <c r="J216">
        <v>0</v>
      </c>
      <c r="K216">
        <v>0</v>
      </c>
      <c r="P216" t="s">
        <v>5309</v>
      </c>
      <c r="Q216">
        <v>0</v>
      </c>
      <c r="R216">
        <v>0</v>
      </c>
    </row>
    <row r="217" spans="1:18" x14ac:dyDescent="0.3">
      <c r="A217">
        <v>372</v>
      </c>
      <c r="B217" t="s">
        <v>2773</v>
      </c>
      <c r="C217" t="s">
        <v>2736</v>
      </c>
      <c r="D217" t="s">
        <v>233</v>
      </c>
      <c r="E217" t="s">
        <v>30</v>
      </c>
      <c r="F217" s="6">
        <v>45199</v>
      </c>
      <c r="G217">
        <v>2023</v>
      </c>
      <c r="H217" t="s">
        <v>51</v>
      </c>
      <c r="I217" t="s">
        <v>47</v>
      </c>
      <c r="J217">
        <v>87</v>
      </c>
      <c r="K217">
        <v>96</v>
      </c>
      <c r="L217">
        <v>1.103448275862069</v>
      </c>
      <c r="M217">
        <v>1.103448275862069</v>
      </c>
      <c r="N217" t="s">
        <v>31</v>
      </c>
      <c r="O217" t="s">
        <v>31</v>
      </c>
      <c r="P217" t="s">
        <v>2774</v>
      </c>
      <c r="Q217">
        <v>0</v>
      </c>
      <c r="R217">
        <v>0</v>
      </c>
    </row>
    <row r="218" spans="1:18" x14ac:dyDescent="0.3">
      <c r="A218">
        <v>373</v>
      </c>
      <c r="B218" t="s">
        <v>2785</v>
      </c>
      <c r="C218" t="s">
        <v>129</v>
      </c>
      <c r="D218" t="s">
        <v>233</v>
      </c>
      <c r="E218" t="s">
        <v>30</v>
      </c>
      <c r="F218" s="6">
        <v>45016</v>
      </c>
      <c r="G218">
        <v>2023</v>
      </c>
      <c r="H218" t="s">
        <v>38</v>
      </c>
      <c r="I218" t="s">
        <v>33</v>
      </c>
      <c r="N218" t="s">
        <v>31</v>
      </c>
      <c r="O218" t="s">
        <v>31</v>
      </c>
      <c r="P218" t="s">
        <v>5310</v>
      </c>
      <c r="Q218">
        <v>0</v>
      </c>
      <c r="R218">
        <v>0</v>
      </c>
    </row>
    <row r="219" spans="1:18" x14ac:dyDescent="0.3">
      <c r="A219">
        <v>373</v>
      </c>
      <c r="B219" t="s">
        <v>2785</v>
      </c>
      <c r="C219" t="s">
        <v>129</v>
      </c>
      <c r="D219" t="s">
        <v>233</v>
      </c>
      <c r="E219" t="s">
        <v>30</v>
      </c>
      <c r="F219" s="6">
        <v>45199</v>
      </c>
      <c r="G219">
        <v>2023</v>
      </c>
      <c r="H219" t="s">
        <v>51</v>
      </c>
      <c r="I219" t="s">
        <v>47</v>
      </c>
      <c r="J219">
        <v>100</v>
      </c>
      <c r="K219">
        <v>91.51</v>
      </c>
      <c r="M219">
        <v>0.91510000000000002</v>
      </c>
      <c r="N219" t="s">
        <v>31</v>
      </c>
      <c r="O219" t="s">
        <v>31</v>
      </c>
      <c r="P219" t="s">
        <v>2787</v>
      </c>
      <c r="Q219">
        <v>0</v>
      </c>
      <c r="R219">
        <v>0</v>
      </c>
    </row>
    <row r="220" spans="1:18" x14ac:dyDescent="0.3">
      <c r="A220">
        <v>376</v>
      </c>
      <c r="B220" t="s">
        <v>2811</v>
      </c>
      <c r="C220" t="s">
        <v>225</v>
      </c>
      <c r="D220" t="s">
        <v>222</v>
      </c>
      <c r="E220" t="s">
        <v>30</v>
      </c>
      <c r="F220" s="6">
        <v>44925</v>
      </c>
      <c r="G220">
        <v>2022</v>
      </c>
      <c r="H220" t="s">
        <v>57</v>
      </c>
      <c r="I220" t="s">
        <v>90</v>
      </c>
      <c r="J220">
        <v>5570</v>
      </c>
      <c r="K220">
        <v>9919</v>
      </c>
      <c r="L220">
        <v>1.3</v>
      </c>
      <c r="M220">
        <v>1.7807899461400361</v>
      </c>
      <c r="N220" t="s">
        <v>335</v>
      </c>
      <c r="O220" t="s">
        <v>335</v>
      </c>
      <c r="P220" t="s">
        <v>2813</v>
      </c>
      <c r="Q220">
        <v>0</v>
      </c>
      <c r="R220">
        <v>0</v>
      </c>
    </row>
    <row r="221" spans="1:18" x14ac:dyDescent="0.3">
      <c r="A221">
        <v>386</v>
      </c>
      <c r="B221" t="s">
        <v>2951</v>
      </c>
      <c r="C221" t="s">
        <v>2937</v>
      </c>
      <c r="D221" t="s">
        <v>222</v>
      </c>
      <c r="E221" t="s">
        <v>30</v>
      </c>
      <c r="F221" s="6">
        <v>45107</v>
      </c>
      <c r="G221">
        <v>2023</v>
      </c>
      <c r="H221" t="s">
        <v>44</v>
      </c>
      <c r="I221" t="s">
        <v>33</v>
      </c>
      <c r="J221">
        <v>5315.2060000000001</v>
      </c>
      <c r="K221">
        <v>5473.8577590000004</v>
      </c>
      <c r="L221">
        <v>1.0298486566654239</v>
      </c>
      <c r="M221">
        <v>1.0298486566654239</v>
      </c>
      <c r="N221" t="s">
        <v>335</v>
      </c>
      <c r="O221" t="s">
        <v>335</v>
      </c>
      <c r="P221" t="s">
        <v>5311</v>
      </c>
      <c r="Q221">
        <v>0</v>
      </c>
      <c r="R221">
        <v>0</v>
      </c>
    </row>
    <row r="222" spans="1:18" x14ac:dyDescent="0.3">
      <c r="A222">
        <v>390</v>
      </c>
      <c r="B222" t="s">
        <v>2994</v>
      </c>
      <c r="C222" t="s">
        <v>129</v>
      </c>
      <c r="D222" t="s">
        <v>233</v>
      </c>
      <c r="E222" t="s">
        <v>30</v>
      </c>
      <c r="F222" s="6">
        <v>45016</v>
      </c>
      <c r="G222">
        <v>2023</v>
      </c>
      <c r="H222" t="s">
        <v>38</v>
      </c>
      <c r="I222" t="s">
        <v>33</v>
      </c>
      <c r="P222" t="s">
        <v>5312</v>
      </c>
      <c r="Q222">
        <v>0</v>
      </c>
      <c r="R222">
        <v>0</v>
      </c>
    </row>
    <row r="223" spans="1:18" x14ac:dyDescent="0.3">
      <c r="A223">
        <v>390</v>
      </c>
      <c r="B223" t="s">
        <v>2994</v>
      </c>
      <c r="C223" t="s">
        <v>129</v>
      </c>
      <c r="D223" t="s">
        <v>233</v>
      </c>
      <c r="E223" t="s">
        <v>30</v>
      </c>
      <c r="F223" s="6">
        <v>45199</v>
      </c>
      <c r="G223">
        <v>2023</v>
      </c>
      <c r="H223" t="s">
        <v>51</v>
      </c>
      <c r="I223" t="s">
        <v>47</v>
      </c>
      <c r="J223">
        <v>100</v>
      </c>
      <c r="K223">
        <v>95.34</v>
      </c>
      <c r="M223">
        <v>0.95340000000000003</v>
      </c>
      <c r="P223" t="s">
        <v>2996</v>
      </c>
      <c r="Q223">
        <v>0</v>
      </c>
      <c r="R223">
        <v>0</v>
      </c>
    </row>
    <row r="224" spans="1:18" x14ac:dyDescent="0.3">
      <c r="A224">
        <v>396</v>
      </c>
      <c r="B224" t="s">
        <v>3124</v>
      </c>
      <c r="C224" t="s">
        <v>3071</v>
      </c>
      <c r="D224" t="s">
        <v>222</v>
      </c>
      <c r="E224" t="s">
        <v>30</v>
      </c>
      <c r="F224" s="6">
        <v>45107</v>
      </c>
      <c r="G224">
        <v>2023</v>
      </c>
      <c r="H224" t="s">
        <v>44</v>
      </c>
      <c r="I224" t="s">
        <v>33</v>
      </c>
      <c r="J224">
        <v>80</v>
      </c>
      <c r="K224">
        <v>91.07</v>
      </c>
      <c r="L224">
        <v>1.1383749999999999</v>
      </c>
      <c r="M224">
        <v>1.1383749999999999</v>
      </c>
      <c r="N224" t="s">
        <v>31</v>
      </c>
      <c r="O224" t="s">
        <v>31</v>
      </c>
      <c r="P224" t="s">
        <v>5313</v>
      </c>
      <c r="Q224">
        <v>0</v>
      </c>
      <c r="R224">
        <v>1</v>
      </c>
    </row>
    <row r="225" spans="1:18" x14ac:dyDescent="0.3">
      <c r="A225">
        <v>396</v>
      </c>
      <c r="B225" t="s">
        <v>3124</v>
      </c>
      <c r="C225" t="s">
        <v>3071</v>
      </c>
      <c r="D225" t="s">
        <v>222</v>
      </c>
      <c r="E225" t="s">
        <v>30</v>
      </c>
      <c r="F225" s="6">
        <v>45657</v>
      </c>
      <c r="G225">
        <v>2024</v>
      </c>
      <c r="H225" t="s">
        <v>57</v>
      </c>
      <c r="I225" t="s">
        <v>78</v>
      </c>
      <c r="J225">
        <v>80</v>
      </c>
      <c r="K225">
        <v>94.88</v>
      </c>
      <c r="L225">
        <v>1.1859999999999999</v>
      </c>
      <c r="M225">
        <v>1.1859999999999999</v>
      </c>
      <c r="N225" t="s">
        <v>31</v>
      </c>
      <c r="O225" t="s">
        <v>31</v>
      </c>
      <c r="P225" t="s">
        <v>5314</v>
      </c>
      <c r="Q225">
        <v>0</v>
      </c>
      <c r="R225">
        <v>1</v>
      </c>
    </row>
    <row r="226" spans="1:18" x14ac:dyDescent="0.3">
      <c r="A226">
        <v>396</v>
      </c>
      <c r="B226" t="s">
        <v>3124</v>
      </c>
      <c r="C226" t="s">
        <v>3071</v>
      </c>
      <c r="D226" t="s">
        <v>222</v>
      </c>
      <c r="E226" t="s">
        <v>30</v>
      </c>
      <c r="F226" s="6">
        <v>45838</v>
      </c>
      <c r="G226">
        <v>2025</v>
      </c>
      <c r="H226" t="s">
        <v>44</v>
      </c>
      <c r="I226" t="s">
        <v>244</v>
      </c>
      <c r="J226">
        <v>90</v>
      </c>
      <c r="K226">
        <v>95.26</v>
      </c>
      <c r="L226">
        <v>1.058444444444445</v>
      </c>
      <c r="M226">
        <v>1.058444444444445</v>
      </c>
      <c r="N226" t="s">
        <v>31</v>
      </c>
      <c r="O226" t="s">
        <v>31</v>
      </c>
      <c r="P226" t="s">
        <v>5315</v>
      </c>
      <c r="Q226">
        <v>0</v>
      </c>
      <c r="R226">
        <v>1</v>
      </c>
    </row>
    <row r="227" spans="1:18" x14ac:dyDescent="0.3">
      <c r="A227">
        <v>409</v>
      </c>
      <c r="B227" t="s">
        <v>3255</v>
      </c>
      <c r="C227" t="s">
        <v>184</v>
      </c>
      <c r="D227" t="s">
        <v>233</v>
      </c>
      <c r="E227" t="s">
        <v>30</v>
      </c>
      <c r="F227" s="6">
        <v>45107</v>
      </c>
      <c r="G227">
        <v>2023</v>
      </c>
      <c r="H227" t="s">
        <v>44</v>
      </c>
      <c r="I227" t="s">
        <v>33</v>
      </c>
      <c r="J227">
        <v>80</v>
      </c>
      <c r="K227">
        <v>103.71885459278499</v>
      </c>
      <c r="L227">
        <v>1.2964856824098121</v>
      </c>
      <c r="M227">
        <v>1.2964856824098121</v>
      </c>
      <c r="N227" t="s">
        <v>31</v>
      </c>
      <c r="O227" t="s">
        <v>31</v>
      </c>
      <c r="P227" t="s">
        <v>5316</v>
      </c>
      <c r="Q227">
        <v>0</v>
      </c>
      <c r="R227">
        <v>0</v>
      </c>
    </row>
    <row r="228" spans="1:18" x14ac:dyDescent="0.3">
      <c r="A228">
        <v>414</v>
      </c>
      <c r="B228" t="s">
        <v>3284</v>
      </c>
      <c r="C228" t="s">
        <v>129</v>
      </c>
      <c r="D228" t="s">
        <v>233</v>
      </c>
      <c r="E228" t="s">
        <v>30</v>
      </c>
      <c r="F228" s="6">
        <v>45016</v>
      </c>
      <c r="G228">
        <v>2023</v>
      </c>
      <c r="H228" t="s">
        <v>38</v>
      </c>
      <c r="I228" t="s">
        <v>33</v>
      </c>
      <c r="P228" t="s">
        <v>5317</v>
      </c>
      <c r="Q228">
        <v>0</v>
      </c>
      <c r="R228">
        <v>0</v>
      </c>
    </row>
    <row r="229" spans="1:18" x14ac:dyDescent="0.3">
      <c r="A229">
        <v>414</v>
      </c>
      <c r="B229" t="s">
        <v>3284</v>
      </c>
      <c r="C229" t="s">
        <v>129</v>
      </c>
      <c r="D229" t="s">
        <v>233</v>
      </c>
      <c r="E229" t="s">
        <v>30</v>
      </c>
      <c r="F229" s="6">
        <v>45199</v>
      </c>
      <c r="G229">
        <v>2023</v>
      </c>
      <c r="H229" t="s">
        <v>51</v>
      </c>
      <c r="I229" t="s">
        <v>47</v>
      </c>
      <c r="J229">
        <v>100</v>
      </c>
      <c r="K229">
        <v>93.54</v>
      </c>
      <c r="M229">
        <v>0.93540000000000001</v>
      </c>
      <c r="P229" t="s">
        <v>3286</v>
      </c>
      <c r="Q229">
        <v>0</v>
      </c>
      <c r="R229">
        <v>0</v>
      </c>
    </row>
    <row r="230" spans="1:18" x14ac:dyDescent="0.3">
      <c r="A230">
        <v>415</v>
      </c>
      <c r="B230" t="s">
        <v>3344</v>
      </c>
      <c r="C230" t="s">
        <v>129</v>
      </c>
      <c r="D230" t="s">
        <v>233</v>
      </c>
      <c r="E230" t="s">
        <v>30</v>
      </c>
      <c r="F230" s="6">
        <v>45016</v>
      </c>
      <c r="G230">
        <v>2023</v>
      </c>
      <c r="H230" t="s">
        <v>38</v>
      </c>
      <c r="I230" t="s">
        <v>33</v>
      </c>
      <c r="P230" t="s">
        <v>5318</v>
      </c>
      <c r="Q230">
        <v>0</v>
      </c>
      <c r="R230">
        <v>0</v>
      </c>
    </row>
    <row r="231" spans="1:18" x14ac:dyDescent="0.3">
      <c r="A231">
        <v>415</v>
      </c>
      <c r="B231" t="s">
        <v>3344</v>
      </c>
      <c r="C231" t="s">
        <v>129</v>
      </c>
      <c r="D231" t="s">
        <v>233</v>
      </c>
      <c r="E231" t="s">
        <v>30</v>
      </c>
      <c r="F231" s="6">
        <v>45199</v>
      </c>
      <c r="G231">
        <v>2023</v>
      </c>
      <c r="H231" t="s">
        <v>51</v>
      </c>
      <c r="I231" t="s">
        <v>47</v>
      </c>
      <c r="J231">
        <v>100</v>
      </c>
      <c r="K231">
        <v>93.94</v>
      </c>
      <c r="M231">
        <v>0.93940000000000001</v>
      </c>
      <c r="P231" t="s">
        <v>3346</v>
      </c>
      <c r="Q231">
        <v>0</v>
      </c>
      <c r="R231">
        <v>0</v>
      </c>
    </row>
    <row r="232" spans="1:18" x14ac:dyDescent="0.3">
      <c r="A232">
        <v>416</v>
      </c>
      <c r="B232" t="s">
        <v>3415</v>
      </c>
      <c r="C232" t="s">
        <v>129</v>
      </c>
      <c r="D232" t="s">
        <v>233</v>
      </c>
      <c r="E232" t="s">
        <v>30</v>
      </c>
      <c r="F232" s="6">
        <v>45016</v>
      </c>
      <c r="G232">
        <v>2023</v>
      </c>
      <c r="H232" t="s">
        <v>38</v>
      </c>
      <c r="I232" t="s">
        <v>33</v>
      </c>
      <c r="P232" t="s">
        <v>5319</v>
      </c>
      <c r="Q232">
        <v>0</v>
      </c>
      <c r="R232">
        <v>0</v>
      </c>
    </row>
    <row r="233" spans="1:18" x14ac:dyDescent="0.3">
      <c r="A233">
        <v>416</v>
      </c>
      <c r="B233" t="s">
        <v>3415</v>
      </c>
      <c r="C233" t="s">
        <v>129</v>
      </c>
      <c r="D233" t="s">
        <v>233</v>
      </c>
      <c r="E233" t="s">
        <v>30</v>
      </c>
      <c r="F233" s="6">
        <v>45199</v>
      </c>
      <c r="G233">
        <v>2023</v>
      </c>
      <c r="H233" t="s">
        <v>51</v>
      </c>
      <c r="I233" t="s">
        <v>47</v>
      </c>
      <c r="J233">
        <v>100</v>
      </c>
      <c r="K233">
        <v>87.92</v>
      </c>
      <c r="M233">
        <v>0.87919999999999998</v>
      </c>
      <c r="P233" t="s">
        <v>3417</v>
      </c>
      <c r="Q233">
        <v>0</v>
      </c>
      <c r="R233">
        <v>0</v>
      </c>
    </row>
    <row r="234" spans="1:18" x14ac:dyDescent="0.3">
      <c r="A234">
        <v>417</v>
      </c>
      <c r="B234" t="s">
        <v>3462</v>
      </c>
      <c r="C234" t="s">
        <v>129</v>
      </c>
      <c r="D234" t="s">
        <v>233</v>
      </c>
      <c r="E234" t="s">
        <v>30</v>
      </c>
      <c r="F234" s="6">
        <v>45016</v>
      </c>
      <c r="G234">
        <v>2023</v>
      </c>
      <c r="H234" t="s">
        <v>38</v>
      </c>
      <c r="I234" t="s">
        <v>33</v>
      </c>
      <c r="P234" t="s">
        <v>5320</v>
      </c>
      <c r="Q234">
        <v>0</v>
      </c>
      <c r="R234">
        <v>0</v>
      </c>
    </row>
    <row r="235" spans="1:18" x14ac:dyDescent="0.3">
      <c r="A235">
        <v>417</v>
      </c>
      <c r="B235" t="s">
        <v>3462</v>
      </c>
      <c r="C235" t="s">
        <v>129</v>
      </c>
      <c r="D235" t="s">
        <v>233</v>
      </c>
      <c r="E235" t="s">
        <v>30</v>
      </c>
      <c r="F235" s="6">
        <v>45199</v>
      </c>
      <c r="G235">
        <v>2023</v>
      </c>
      <c r="H235" t="s">
        <v>51</v>
      </c>
      <c r="I235" t="s">
        <v>47</v>
      </c>
      <c r="J235">
        <v>100</v>
      </c>
      <c r="K235">
        <v>93.76</v>
      </c>
      <c r="M235">
        <v>0.9376000000000001</v>
      </c>
      <c r="P235" t="s">
        <v>3464</v>
      </c>
      <c r="Q235">
        <v>0</v>
      </c>
      <c r="R235">
        <v>0</v>
      </c>
    </row>
    <row r="236" spans="1:18" x14ac:dyDescent="0.3">
      <c r="A236">
        <v>418</v>
      </c>
      <c r="B236" t="s">
        <v>3508</v>
      </c>
      <c r="C236" t="s">
        <v>129</v>
      </c>
      <c r="D236" t="s">
        <v>233</v>
      </c>
      <c r="E236" t="s">
        <v>30</v>
      </c>
      <c r="F236" s="6">
        <v>45016</v>
      </c>
      <c r="G236">
        <v>2023</v>
      </c>
      <c r="H236" t="s">
        <v>38</v>
      </c>
      <c r="I236" t="s">
        <v>33</v>
      </c>
      <c r="P236" t="s">
        <v>5321</v>
      </c>
      <c r="Q236">
        <v>0</v>
      </c>
      <c r="R236">
        <v>0</v>
      </c>
    </row>
    <row r="237" spans="1:18" x14ac:dyDescent="0.3">
      <c r="A237">
        <v>418</v>
      </c>
      <c r="B237" t="s">
        <v>3508</v>
      </c>
      <c r="C237" t="s">
        <v>129</v>
      </c>
      <c r="D237" t="s">
        <v>233</v>
      </c>
      <c r="E237" t="s">
        <v>30</v>
      </c>
      <c r="F237" s="6">
        <v>45199</v>
      </c>
      <c r="G237">
        <v>2023</v>
      </c>
      <c r="H237" t="s">
        <v>51</v>
      </c>
      <c r="I237" t="s">
        <v>47</v>
      </c>
      <c r="J237">
        <v>100</v>
      </c>
      <c r="K237">
        <v>85.61</v>
      </c>
      <c r="M237">
        <v>0.85609999999999997</v>
      </c>
      <c r="P237" t="s">
        <v>3510</v>
      </c>
      <c r="Q237">
        <v>0</v>
      </c>
      <c r="R237">
        <v>0</v>
      </c>
    </row>
    <row r="238" spans="1:18" x14ac:dyDescent="0.3">
      <c r="A238">
        <v>419</v>
      </c>
      <c r="B238" t="s">
        <v>3569</v>
      </c>
      <c r="C238" t="s">
        <v>129</v>
      </c>
      <c r="D238" t="s">
        <v>233</v>
      </c>
      <c r="E238" t="s">
        <v>30</v>
      </c>
      <c r="F238" s="6">
        <v>45016</v>
      </c>
      <c r="G238">
        <v>2023</v>
      </c>
      <c r="H238" t="s">
        <v>38</v>
      </c>
      <c r="I238" t="s">
        <v>33</v>
      </c>
      <c r="N238" t="s">
        <v>31</v>
      </c>
      <c r="O238" t="s">
        <v>31</v>
      </c>
      <c r="P238" t="s">
        <v>5322</v>
      </c>
      <c r="Q238">
        <v>0</v>
      </c>
      <c r="R238">
        <v>0</v>
      </c>
    </row>
    <row r="239" spans="1:18" x14ac:dyDescent="0.3">
      <c r="A239">
        <v>419</v>
      </c>
      <c r="B239" t="s">
        <v>3569</v>
      </c>
      <c r="C239" t="s">
        <v>129</v>
      </c>
      <c r="D239" t="s">
        <v>233</v>
      </c>
      <c r="E239" t="s">
        <v>30</v>
      </c>
      <c r="F239" s="6">
        <v>45199</v>
      </c>
      <c r="G239">
        <v>2023</v>
      </c>
      <c r="H239" t="s">
        <v>51</v>
      </c>
      <c r="I239" t="s">
        <v>47</v>
      </c>
      <c r="J239">
        <v>100</v>
      </c>
      <c r="K239">
        <v>88.35</v>
      </c>
      <c r="M239">
        <v>0.88349999999999995</v>
      </c>
      <c r="N239" t="s">
        <v>31</v>
      </c>
      <c r="O239" t="s">
        <v>31</v>
      </c>
      <c r="P239" t="s">
        <v>3571</v>
      </c>
      <c r="Q239">
        <v>0</v>
      </c>
      <c r="R239">
        <v>0</v>
      </c>
    </row>
    <row r="240" spans="1:18" x14ac:dyDescent="0.3">
      <c r="A240">
        <v>420</v>
      </c>
      <c r="B240" t="s">
        <v>3574</v>
      </c>
      <c r="C240" t="s">
        <v>129</v>
      </c>
      <c r="D240" t="s">
        <v>233</v>
      </c>
      <c r="E240" t="s">
        <v>30</v>
      </c>
      <c r="F240" s="6">
        <v>45016</v>
      </c>
      <c r="G240">
        <v>2023</v>
      </c>
      <c r="H240" t="s">
        <v>38</v>
      </c>
      <c r="I240" t="s">
        <v>33</v>
      </c>
      <c r="N240" t="s">
        <v>31</v>
      </c>
      <c r="O240" t="s">
        <v>31</v>
      </c>
      <c r="P240" t="s">
        <v>5323</v>
      </c>
      <c r="Q240">
        <v>0</v>
      </c>
      <c r="R240">
        <v>0</v>
      </c>
    </row>
    <row r="241" spans="1:18" x14ac:dyDescent="0.3">
      <c r="A241">
        <v>420</v>
      </c>
      <c r="B241" t="s">
        <v>3574</v>
      </c>
      <c r="C241" t="s">
        <v>129</v>
      </c>
      <c r="D241" t="s">
        <v>233</v>
      </c>
      <c r="E241" t="s">
        <v>30</v>
      </c>
      <c r="F241" s="6">
        <v>45199</v>
      </c>
      <c r="G241">
        <v>2023</v>
      </c>
      <c r="H241" t="s">
        <v>51</v>
      </c>
      <c r="I241" t="s">
        <v>47</v>
      </c>
      <c r="J241">
        <v>100</v>
      </c>
      <c r="K241">
        <v>94.59</v>
      </c>
      <c r="M241">
        <v>0.94590000000000007</v>
      </c>
      <c r="N241" t="s">
        <v>31</v>
      </c>
      <c r="O241" t="s">
        <v>31</v>
      </c>
      <c r="P241" t="s">
        <v>3576</v>
      </c>
      <c r="Q241">
        <v>0</v>
      </c>
      <c r="R241">
        <v>0</v>
      </c>
    </row>
    <row r="242" spans="1:18" x14ac:dyDescent="0.3">
      <c r="A242">
        <v>431</v>
      </c>
      <c r="B242" t="s">
        <v>3713</v>
      </c>
      <c r="C242" t="s">
        <v>97</v>
      </c>
      <c r="D242" t="s">
        <v>233</v>
      </c>
      <c r="E242" t="s">
        <v>30</v>
      </c>
      <c r="F242" s="6">
        <v>45199</v>
      </c>
      <c r="G242">
        <v>2023</v>
      </c>
      <c r="H242" t="s">
        <v>51</v>
      </c>
      <c r="I242" t="s">
        <v>47</v>
      </c>
      <c r="J242">
        <v>100</v>
      </c>
      <c r="K242">
        <v>100</v>
      </c>
      <c r="L242">
        <v>1</v>
      </c>
      <c r="M242">
        <v>1</v>
      </c>
      <c r="N242" t="s">
        <v>31</v>
      </c>
      <c r="O242" t="s">
        <v>31</v>
      </c>
      <c r="P242" t="s">
        <v>3714</v>
      </c>
      <c r="Q242">
        <v>0</v>
      </c>
      <c r="R242">
        <v>0</v>
      </c>
    </row>
    <row r="243" spans="1:18" x14ac:dyDescent="0.3">
      <c r="A243">
        <v>434</v>
      </c>
      <c r="B243" t="s">
        <v>5324</v>
      </c>
      <c r="C243" t="s">
        <v>299</v>
      </c>
      <c r="D243" t="s">
        <v>29</v>
      </c>
      <c r="E243" t="s">
        <v>108</v>
      </c>
      <c r="F243" s="6">
        <v>45199</v>
      </c>
      <c r="G243">
        <v>2023</v>
      </c>
      <c r="H243" t="s">
        <v>51</v>
      </c>
      <c r="I243" t="s">
        <v>47</v>
      </c>
      <c r="J243">
        <v>200</v>
      </c>
      <c r="K243">
        <v>90.7</v>
      </c>
      <c r="L243">
        <v>1.3</v>
      </c>
      <c r="M243">
        <v>2.2050716648291071</v>
      </c>
      <c r="P243" t="s">
        <v>3749</v>
      </c>
      <c r="Q243">
        <v>1</v>
      </c>
      <c r="R243">
        <v>1</v>
      </c>
    </row>
    <row r="244" spans="1:18" x14ac:dyDescent="0.3">
      <c r="A244">
        <v>434</v>
      </c>
      <c r="B244" t="s">
        <v>5324</v>
      </c>
      <c r="C244" t="s">
        <v>299</v>
      </c>
      <c r="D244" t="s">
        <v>29</v>
      </c>
      <c r="E244" t="s">
        <v>108</v>
      </c>
      <c r="F244" s="6">
        <v>45230</v>
      </c>
      <c r="G244">
        <v>2023</v>
      </c>
      <c r="H244" t="s">
        <v>53</v>
      </c>
      <c r="I244" t="s">
        <v>47</v>
      </c>
      <c r="J244">
        <v>200</v>
      </c>
      <c r="K244">
        <v>182.9</v>
      </c>
      <c r="L244">
        <v>1.0934937124111539</v>
      </c>
      <c r="M244">
        <v>1.0934937124111539</v>
      </c>
      <c r="P244" t="s">
        <v>3750</v>
      </c>
      <c r="Q244">
        <v>1</v>
      </c>
      <c r="R244">
        <v>1</v>
      </c>
    </row>
    <row r="245" spans="1:18" x14ac:dyDescent="0.3">
      <c r="A245">
        <v>434</v>
      </c>
      <c r="B245" t="s">
        <v>5324</v>
      </c>
      <c r="C245" t="s">
        <v>299</v>
      </c>
      <c r="D245" t="s">
        <v>29</v>
      </c>
      <c r="E245" t="s">
        <v>108</v>
      </c>
      <c r="F245" s="6">
        <v>45260</v>
      </c>
      <c r="G245">
        <v>2023</v>
      </c>
      <c r="H245" t="s">
        <v>55</v>
      </c>
      <c r="I245" t="s">
        <v>47</v>
      </c>
      <c r="J245">
        <v>200</v>
      </c>
      <c r="K245">
        <v>141.19999999999999</v>
      </c>
      <c r="L245">
        <v>1.3</v>
      </c>
      <c r="M245">
        <v>1.41643059490085</v>
      </c>
      <c r="P245" t="s">
        <v>3751</v>
      </c>
      <c r="Q245">
        <v>1</v>
      </c>
      <c r="R245">
        <v>1</v>
      </c>
    </row>
    <row r="246" spans="1:18" x14ac:dyDescent="0.3">
      <c r="A246">
        <v>435</v>
      </c>
      <c r="B246" t="s">
        <v>3797</v>
      </c>
      <c r="C246" t="s">
        <v>299</v>
      </c>
      <c r="D246" t="s">
        <v>222</v>
      </c>
      <c r="E246" t="s">
        <v>30</v>
      </c>
      <c r="F246" s="6">
        <v>45107</v>
      </c>
      <c r="G246">
        <v>2023</v>
      </c>
      <c r="H246" t="s">
        <v>44</v>
      </c>
      <c r="I246" t="s">
        <v>33</v>
      </c>
      <c r="K246">
        <v>0.43352601156068998</v>
      </c>
      <c r="N246" t="s">
        <v>109</v>
      </c>
      <c r="O246" t="s">
        <v>109</v>
      </c>
      <c r="P246" t="s">
        <v>5325</v>
      </c>
      <c r="Q246">
        <v>2</v>
      </c>
      <c r="R246">
        <v>2</v>
      </c>
    </row>
    <row r="247" spans="1:18" x14ac:dyDescent="0.3">
      <c r="A247">
        <v>435</v>
      </c>
      <c r="B247" t="s">
        <v>3797</v>
      </c>
      <c r="C247" t="s">
        <v>299</v>
      </c>
      <c r="D247" t="s">
        <v>222</v>
      </c>
      <c r="E247" t="s">
        <v>30</v>
      </c>
      <c r="F247" s="6">
        <v>45291</v>
      </c>
      <c r="G247">
        <v>2023</v>
      </c>
      <c r="H247" t="s">
        <v>57</v>
      </c>
      <c r="I247" t="s">
        <v>47</v>
      </c>
      <c r="K247">
        <v>0</v>
      </c>
      <c r="N247" t="s">
        <v>109</v>
      </c>
      <c r="O247" t="s">
        <v>109</v>
      </c>
      <c r="P247" t="s">
        <v>5326</v>
      </c>
      <c r="Q247">
        <v>2</v>
      </c>
      <c r="R247">
        <v>2</v>
      </c>
    </row>
    <row r="248" spans="1:18" x14ac:dyDescent="0.3">
      <c r="A248">
        <v>444</v>
      </c>
      <c r="B248" t="s">
        <v>3910</v>
      </c>
      <c r="C248" t="s">
        <v>150</v>
      </c>
      <c r="D248" t="s">
        <v>222</v>
      </c>
      <c r="E248" t="s">
        <v>30</v>
      </c>
      <c r="F248" s="6">
        <v>45473</v>
      </c>
      <c r="G248">
        <v>2024</v>
      </c>
      <c r="H248" t="s">
        <v>44</v>
      </c>
      <c r="I248" t="s">
        <v>71</v>
      </c>
      <c r="P248" t="s">
        <v>5327</v>
      </c>
      <c r="Q248">
        <v>0</v>
      </c>
      <c r="R248">
        <v>0</v>
      </c>
    </row>
    <row r="249" spans="1:18" x14ac:dyDescent="0.3">
      <c r="A249">
        <v>455</v>
      </c>
      <c r="B249" t="s">
        <v>3993</v>
      </c>
      <c r="C249" t="s">
        <v>3126</v>
      </c>
      <c r="D249" t="s">
        <v>233</v>
      </c>
      <c r="E249" t="s">
        <v>30</v>
      </c>
      <c r="F249" s="6">
        <v>45473</v>
      </c>
      <c r="G249">
        <v>2024</v>
      </c>
      <c r="H249" t="s">
        <v>44</v>
      </c>
      <c r="I249" t="s">
        <v>71</v>
      </c>
      <c r="P249" t="s">
        <v>5328</v>
      </c>
      <c r="Q249">
        <v>0</v>
      </c>
      <c r="R249">
        <v>0</v>
      </c>
    </row>
    <row r="250" spans="1:18" x14ac:dyDescent="0.3">
      <c r="A250">
        <v>466</v>
      </c>
      <c r="B250" t="s">
        <v>4043</v>
      </c>
      <c r="C250" t="s">
        <v>717</v>
      </c>
      <c r="D250" t="s">
        <v>222</v>
      </c>
      <c r="E250" t="s">
        <v>30</v>
      </c>
      <c r="F250" s="6">
        <v>44742</v>
      </c>
      <c r="G250">
        <v>2022</v>
      </c>
      <c r="H250" t="s">
        <v>44</v>
      </c>
      <c r="I250" t="s">
        <v>88</v>
      </c>
      <c r="J250">
        <v>25</v>
      </c>
      <c r="K250">
        <v>46.11</v>
      </c>
      <c r="L250">
        <v>1.3</v>
      </c>
      <c r="M250">
        <v>1.8444</v>
      </c>
      <c r="O250" t="s">
        <v>109</v>
      </c>
      <c r="P250" t="s">
        <v>5329</v>
      </c>
      <c r="Q250">
        <v>1</v>
      </c>
      <c r="R250">
        <v>1</v>
      </c>
    </row>
    <row r="251" spans="1:18" x14ac:dyDescent="0.3">
      <c r="A251">
        <v>466</v>
      </c>
      <c r="B251" t="s">
        <v>4043</v>
      </c>
      <c r="C251" t="s">
        <v>717</v>
      </c>
      <c r="D251" t="s">
        <v>222</v>
      </c>
      <c r="E251" t="s">
        <v>30</v>
      </c>
      <c r="F251" s="6">
        <v>44926</v>
      </c>
      <c r="G251">
        <v>2022</v>
      </c>
      <c r="H251" t="s">
        <v>57</v>
      </c>
      <c r="I251" t="s">
        <v>90</v>
      </c>
      <c r="J251">
        <v>25</v>
      </c>
      <c r="K251">
        <v>43.56</v>
      </c>
      <c r="L251">
        <v>1.3</v>
      </c>
      <c r="M251">
        <v>1.7423999999999999</v>
      </c>
      <c r="O251" t="s">
        <v>109</v>
      </c>
      <c r="P251" t="s">
        <v>5330</v>
      </c>
      <c r="Q251">
        <v>1</v>
      </c>
      <c r="R251">
        <v>1</v>
      </c>
    </row>
    <row r="252" spans="1:18" x14ac:dyDescent="0.3">
      <c r="A252">
        <v>466</v>
      </c>
      <c r="B252" t="s">
        <v>4043</v>
      </c>
      <c r="C252" t="s">
        <v>717</v>
      </c>
      <c r="D252" t="s">
        <v>222</v>
      </c>
      <c r="E252" t="s">
        <v>30</v>
      </c>
      <c r="F252" s="6">
        <v>45107</v>
      </c>
      <c r="G252">
        <v>2023</v>
      </c>
      <c r="H252" t="s">
        <v>44</v>
      </c>
      <c r="I252" t="s">
        <v>33</v>
      </c>
      <c r="J252">
        <v>42</v>
      </c>
      <c r="K252">
        <v>36.54</v>
      </c>
      <c r="L252">
        <v>0.87</v>
      </c>
      <c r="M252">
        <v>0.87</v>
      </c>
      <c r="O252" t="s">
        <v>109</v>
      </c>
      <c r="P252" t="s">
        <v>5331</v>
      </c>
      <c r="Q252">
        <v>1</v>
      </c>
      <c r="R252">
        <v>1</v>
      </c>
    </row>
    <row r="253" spans="1:18" x14ac:dyDescent="0.3">
      <c r="A253">
        <v>466</v>
      </c>
      <c r="B253" t="s">
        <v>4043</v>
      </c>
      <c r="C253" t="s">
        <v>717</v>
      </c>
      <c r="D253" t="s">
        <v>222</v>
      </c>
      <c r="E253" t="s">
        <v>30</v>
      </c>
      <c r="F253" s="6">
        <v>45291</v>
      </c>
      <c r="G253">
        <v>2023</v>
      </c>
      <c r="H253" t="s">
        <v>57</v>
      </c>
      <c r="I253" t="s">
        <v>47</v>
      </c>
      <c r="J253">
        <v>42</v>
      </c>
      <c r="K253">
        <v>53.34</v>
      </c>
      <c r="L253">
        <v>1.27</v>
      </c>
      <c r="M253">
        <v>1.27</v>
      </c>
      <c r="O253" t="s">
        <v>109</v>
      </c>
      <c r="P253" t="s">
        <v>5332</v>
      </c>
      <c r="Q253">
        <v>1</v>
      </c>
      <c r="R253">
        <v>1</v>
      </c>
    </row>
    <row r="254" spans="1:18" x14ac:dyDescent="0.3">
      <c r="A254">
        <v>485</v>
      </c>
      <c r="B254" t="s">
        <v>4235</v>
      </c>
      <c r="C254" t="s">
        <v>309</v>
      </c>
      <c r="D254" t="s">
        <v>29</v>
      </c>
      <c r="E254" t="s">
        <v>30</v>
      </c>
      <c r="F254" s="6">
        <v>45473</v>
      </c>
      <c r="G254">
        <v>2024</v>
      </c>
      <c r="H254" t="s">
        <v>44</v>
      </c>
      <c r="I254" t="s">
        <v>71</v>
      </c>
      <c r="P254" t="s">
        <v>5333</v>
      </c>
      <c r="Q254">
        <v>0</v>
      </c>
      <c r="R254">
        <v>0</v>
      </c>
    </row>
    <row r="255" spans="1:18" x14ac:dyDescent="0.3">
      <c r="A255">
        <v>488</v>
      </c>
      <c r="B255" t="s">
        <v>4272</v>
      </c>
      <c r="C255" t="s">
        <v>309</v>
      </c>
      <c r="D255" t="s">
        <v>29</v>
      </c>
      <c r="E255" t="s">
        <v>30</v>
      </c>
      <c r="F255" s="6">
        <v>45473</v>
      </c>
      <c r="G255">
        <v>2024</v>
      </c>
      <c r="H255" t="s">
        <v>44</v>
      </c>
      <c r="I255" t="s">
        <v>71</v>
      </c>
      <c r="P255" t="s">
        <v>5334</v>
      </c>
      <c r="Q255">
        <v>0</v>
      </c>
      <c r="R255">
        <v>0</v>
      </c>
    </row>
    <row r="256" spans="1:18" x14ac:dyDescent="0.3">
      <c r="A256">
        <v>489</v>
      </c>
      <c r="B256" t="s">
        <v>4311</v>
      </c>
      <c r="C256" t="s">
        <v>309</v>
      </c>
      <c r="D256" t="s">
        <v>29</v>
      </c>
      <c r="E256" t="s">
        <v>30</v>
      </c>
      <c r="F256" s="6">
        <v>45473</v>
      </c>
      <c r="G256">
        <v>2024</v>
      </c>
      <c r="H256" t="s">
        <v>44</v>
      </c>
      <c r="I256" t="s">
        <v>71</v>
      </c>
      <c r="P256" t="s">
        <v>5335</v>
      </c>
      <c r="Q256">
        <v>0</v>
      </c>
      <c r="R256">
        <v>0</v>
      </c>
    </row>
    <row r="257" spans="1:18" x14ac:dyDescent="0.3">
      <c r="A257" t="s">
        <v>26</v>
      </c>
      <c r="B257" t="s">
        <v>27</v>
      </c>
      <c r="C257" t="s">
        <v>28</v>
      </c>
      <c r="D257" t="s">
        <v>29</v>
      </c>
      <c r="E257" t="s">
        <v>30</v>
      </c>
      <c r="F257" s="6">
        <v>45107</v>
      </c>
      <c r="G257">
        <v>2023</v>
      </c>
      <c r="H257" t="s">
        <v>44</v>
      </c>
      <c r="I257" t="s">
        <v>33</v>
      </c>
      <c r="J257">
        <v>53.833333333333343</v>
      </c>
      <c r="K257">
        <v>49.333333333333343</v>
      </c>
      <c r="L257">
        <v>0.91640866873065019</v>
      </c>
      <c r="M257">
        <v>0.91640866873065019</v>
      </c>
      <c r="N257" t="s">
        <v>5336</v>
      </c>
      <c r="O257" t="s">
        <v>5337</v>
      </c>
      <c r="P257" t="s">
        <v>45</v>
      </c>
      <c r="Q257">
        <v>2</v>
      </c>
      <c r="R257">
        <v>2</v>
      </c>
    </row>
    <row r="258" spans="1:18" x14ac:dyDescent="0.3">
      <c r="A258" t="s">
        <v>26</v>
      </c>
      <c r="B258" t="s">
        <v>27</v>
      </c>
      <c r="C258" t="s">
        <v>28</v>
      </c>
      <c r="D258" t="s">
        <v>29</v>
      </c>
      <c r="E258" t="s">
        <v>30</v>
      </c>
      <c r="F258" s="6">
        <v>45291</v>
      </c>
      <c r="G258">
        <v>2023</v>
      </c>
      <c r="H258" t="s">
        <v>57</v>
      </c>
      <c r="I258" t="s">
        <v>47</v>
      </c>
      <c r="J258">
        <v>99.833333333333329</v>
      </c>
      <c r="K258">
        <v>98.833333333333329</v>
      </c>
      <c r="L258">
        <v>0.98998330550918201</v>
      </c>
      <c r="M258">
        <v>0.98998330550918201</v>
      </c>
      <c r="N258" t="s">
        <v>5338</v>
      </c>
      <c r="O258" t="s">
        <v>5339</v>
      </c>
      <c r="P258" t="s">
        <v>58</v>
      </c>
      <c r="Q258">
        <v>2</v>
      </c>
      <c r="R258">
        <v>2</v>
      </c>
    </row>
    <row r="259" spans="1:18" x14ac:dyDescent="0.3">
      <c r="A259" t="s">
        <v>59</v>
      </c>
      <c r="B259" t="s">
        <v>60</v>
      </c>
      <c r="C259" t="s">
        <v>61</v>
      </c>
      <c r="D259" t="s">
        <v>29</v>
      </c>
      <c r="E259" t="s">
        <v>30</v>
      </c>
      <c r="F259" s="6">
        <v>45107</v>
      </c>
      <c r="G259">
        <v>2023</v>
      </c>
      <c r="H259" t="s">
        <v>44</v>
      </c>
      <c r="I259" t="s">
        <v>33</v>
      </c>
      <c r="J259">
        <v>22</v>
      </c>
      <c r="K259">
        <v>23.666666666666671</v>
      </c>
      <c r="L259">
        <v>1.0757575757575759</v>
      </c>
      <c r="M259">
        <v>1.0757575757575759</v>
      </c>
      <c r="N259" t="s">
        <v>1460</v>
      </c>
      <c r="O259" t="s">
        <v>5340</v>
      </c>
      <c r="P259" t="s">
        <v>64</v>
      </c>
      <c r="Q259">
        <v>2</v>
      </c>
      <c r="R259">
        <v>2</v>
      </c>
    </row>
    <row r="260" spans="1:18" x14ac:dyDescent="0.3">
      <c r="A260" t="s">
        <v>59</v>
      </c>
      <c r="B260" t="s">
        <v>60</v>
      </c>
      <c r="C260" t="s">
        <v>61</v>
      </c>
      <c r="D260" t="s">
        <v>29</v>
      </c>
      <c r="E260" t="s">
        <v>30</v>
      </c>
      <c r="F260" s="6">
        <v>45291</v>
      </c>
      <c r="G260">
        <v>2023</v>
      </c>
      <c r="H260" t="s">
        <v>57</v>
      </c>
      <c r="I260" t="s">
        <v>47</v>
      </c>
      <c r="J260">
        <v>41.166666666666657</v>
      </c>
      <c r="K260">
        <v>43.833333333333343</v>
      </c>
      <c r="L260">
        <v>1.0647773279352231</v>
      </c>
      <c r="M260">
        <v>1.0647773279352231</v>
      </c>
      <c r="N260" t="s">
        <v>5341</v>
      </c>
      <c r="O260" t="s">
        <v>5342</v>
      </c>
      <c r="P260" t="s">
        <v>70</v>
      </c>
      <c r="Q260">
        <v>2</v>
      </c>
      <c r="R260">
        <v>2</v>
      </c>
    </row>
    <row r="261" spans="1:18" x14ac:dyDescent="0.3">
      <c r="A261" t="s">
        <v>59</v>
      </c>
      <c r="B261" t="s">
        <v>60</v>
      </c>
      <c r="C261" t="s">
        <v>61</v>
      </c>
      <c r="D261" t="s">
        <v>29</v>
      </c>
      <c r="E261" t="s">
        <v>30</v>
      </c>
      <c r="F261" s="6">
        <v>45473</v>
      </c>
      <c r="G261">
        <v>2024</v>
      </c>
      <c r="H261" t="s">
        <v>44</v>
      </c>
      <c r="I261" t="s">
        <v>71</v>
      </c>
      <c r="J261">
        <v>53.666666666666657</v>
      </c>
      <c r="K261">
        <v>51.333333333333343</v>
      </c>
      <c r="L261">
        <v>0.95652173913043492</v>
      </c>
      <c r="M261">
        <v>0.95652173913043492</v>
      </c>
      <c r="N261" t="s">
        <v>5343</v>
      </c>
      <c r="O261" t="s">
        <v>5344</v>
      </c>
      <c r="P261" t="s">
        <v>77</v>
      </c>
      <c r="Q261">
        <v>2</v>
      </c>
      <c r="R261">
        <v>2</v>
      </c>
    </row>
    <row r="262" spans="1:18" x14ac:dyDescent="0.3">
      <c r="A262" t="s">
        <v>59</v>
      </c>
      <c r="B262" t="s">
        <v>60</v>
      </c>
      <c r="C262" t="s">
        <v>61</v>
      </c>
      <c r="D262" t="s">
        <v>29</v>
      </c>
      <c r="E262" t="s">
        <v>30</v>
      </c>
      <c r="F262" s="6">
        <v>45657</v>
      </c>
      <c r="G262">
        <v>2024</v>
      </c>
      <c r="H262" t="s">
        <v>57</v>
      </c>
      <c r="I262" t="s">
        <v>78</v>
      </c>
      <c r="J262">
        <v>87.833333333333329</v>
      </c>
      <c r="K262">
        <v>86.833333333333329</v>
      </c>
      <c r="L262">
        <v>0.98861480075901331</v>
      </c>
      <c r="M262">
        <v>0.98861480075901331</v>
      </c>
      <c r="N262" t="s">
        <v>5345</v>
      </c>
      <c r="O262" t="s">
        <v>5346</v>
      </c>
      <c r="P262" t="s">
        <v>84</v>
      </c>
      <c r="Q262">
        <v>2</v>
      </c>
      <c r="R262">
        <v>2</v>
      </c>
    </row>
    <row r="263" spans="1:18" x14ac:dyDescent="0.3">
      <c r="A263" t="s">
        <v>85</v>
      </c>
      <c r="B263" t="s">
        <v>86</v>
      </c>
      <c r="C263" t="s">
        <v>87</v>
      </c>
      <c r="D263" t="s">
        <v>29</v>
      </c>
      <c r="E263" t="s">
        <v>30</v>
      </c>
      <c r="F263" s="6">
        <v>44742</v>
      </c>
      <c r="G263">
        <v>2022</v>
      </c>
      <c r="H263" t="s">
        <v>44</v>
      </c>
      <c r="I263" t="s">
        <v>88</v>
      </c>
      <c r="J263">
        <v>50</v>
      </c>
      <c r="K263">
        <v>30</v>
      </c>
      <c r="L263">
        <v>0.6</v>
      </c>
      <c r="M263">
        <v>0.6</v>
      </c>
      <c r="N263" t="s">
        <v>4242</v>
      </c>
      <c r="O263" t="s">
        <v>2505</v>
      </c>
      <c r="P263" t="s">
        <v>89</v>
      </c>
      <c r="Q263">
        <v>2</v>
      </c>
      <c r="R263">
        <v>2</v>
      </c>
    </row>
    <row r="264" spans="1:18" x14ac:dyDescent="0.3">
      <c r="A264" t="s">
        <v>85</v>
      </c>
      <c r="B264" t="s">
        <v>86</v>
      </c>
      <c r="C264" t="s">
        <v>187</v>
      </c>
      <c r="D264" t="s">
        <v>29</v>
      </c>
      <c r="E264" t="s">
        <v>30</v>
      </c>
      <c r="F264" s="6">
        <v>44925</v>
      </c>
      <c r="G264">
        <v>2022</v>
      </c>
      <c r="H264" t="s">
        <v>57</v>
      </c>
      <c r="I264" t="s">
        <v>90</v>
      </c>
      <c r="J264">
        <v>87</v>
      </c>
      <c r="K264">
        <v>89</v>
      </c>
      <c r="L264">
        <v>1.022988505747126</v>
      </c>
      <c r="M264">
        <v>1.022988505747126</v>
      </c>
      <c r="N264" t="s">
        <v>31</v>
      </c>
      <c r="O264" t="s">
        <v>31</v>
      </c>
      <c r="P264" t="s">
        <v>5347</v>
      </c>
      <c r="Q264">
        <v>0</v>
      </c>
      <c r="R264">
        <v>0</v>
      </c>
    </row>
    <row r="265" spans="1:18" x14ac:dyDescent="0.3">
      <c r="A265" t="s">
        <v>85</v>
      </c>
      <c r="B265" t="s">
        <v>86</v>
      </c>
      <c r="C265" t="s">
        <v>87</v>
      </c>
      <c r="D265" t="s">
        <v>29</v>
      </c>
      <c r="E265" t="s">
        <v>30</v>
      </c>
      <c r="F265" s="6">
        <v>44926</v>
      </c>
      <c r="G265">
        <v>2022</v>
      </c>
      <c r="H265" t="s">
        <v>57</v>
      </c>
      <c r="I265" t="s">
        <v>90</v>
      </c>
      <c r="J265">
        <v>87</v>
      </c>
      <c r="K265">
        <v>89</v>
      </c>
      <c r="L265">
        <v>1.022988505747126</v>
      </c>
      <c r="M265">
        <v>1.022988505747126</v>
      </c>
      <c r="N265" t="s">
        <v>1045</v>
      </c>
      <c r="O265" t="s">
        <v>280</v>
      </c>
      <c r="P265" t="s">
        <v>91</v>
      </c>
      <c r="Q265">
        <v>2</v>
      </c>
      <c r="R265">
        <v>2</v>
      </c>
    </row>
    <row r="266" spans="1:18" x14ac:dyDescent="0.3">
      <c r="A266" t="s">
        <v>85</v>
      </c>
      <c r="B266" t="s">
        <v>86</v>
      </c>
      <c r="C266" t="s">
        <v>87</v>
      </c>
      <c r="D266" t="s">
        <v>29</v>
      </c>
      <c r="E266" t="s">
        <v>30</v>
      </c>
      <c r="F266" s="6">
        <v>45107</v>
      </c>
      <c r="G266">
        <v>2023</v>
      </c>
      <c r="H266" t="s">
        <v>44</v>
      </c>
      <c r="I266" t="s">
        <v>33</v>
      </c>
      <c r="J266">
        <v>98</v>
      </c>
      <c r="K266">
        <v>98</v>
      </c>
      <c r="L266">
        <v>1</v>
      </c>
      <c r="M266">
        <v>1</v>
      </c>
      <c r="N266" t="s">
        <v>312</v>
      </c>
      <c r="O266" t="s">
        <v>312</v>
      </c>
      <c r="P266" t="s">
        <v>5348</v>
      </c>
      <c r="Q266">
        <v>2</v>
      </c>
      <c r="R266">
        <v>2</v>
      </c>
    </row>
    <row r="267" spans="1:18" x14ac:dyDescent="0.3">
      <c r="A267" t="s">
        <v>95</v>
      </c>
      <c r="B267" t="s">
        <v>96</v>
      </c>
      <c r="C267" t="s">
        <v>97</v>
      </c>
      <c r="D267" t="s">
        <v>98</v>
      </c>
      <c r="E267" t="s">
        <v>30</v>
      </c>
      <c r="F267" s="6">
        <v>45291</v>
      </c>
      <c r="G267">
        <v>2023</v>
      </c>
      <c r="H267" t="s">
        <v>57</v>
      </c>
      <c r="I267" t="s">
        <v>47</v>
      </c>
      <c r="J267">
        <v>100</v>
      </c>
      <c r="K267">
        <v>99</v>
      </c>
      <c r="L267">
        <v>0.99</v>
      </c>
      <c r="M267">
        <v>0.99</v>
      </c>
      <c r="N267" t="s">
        <v>102</v>
      </c>
      <c r="O267" t="s">
        <v>2577</v>
      </c>
      <c r="P267" t="s">
        <v>100</v>
      </c>
      <c r="Q267">
        <v>2</v>
      </c>
      <c r="R267">
        <v>2</v>
      </c>
    </row>
    <row r="268" spans="1:18" x14ac:dyDescent="0.3">
      <c r="A268" t="s">
        <v>95</v>
      </c>
      <c r="B268" t="s">
        <v>96</v>
      </c>
      <c r="C268" t="s">
        <v>97</v>
      </c>
      <c r="D268" t="s">
        <v>98</v>
      </c>
      <c r="E268" t="s">
        <v>30</v>
      </c>
      <c r="F268" s="6">
        <v>45657</v>
      </c>
      <c r="G268">
        <v>2024</v>
      </c>
      <c r="H268" t="s">
        <v>57</v>
      </c>
      <c r="I268" t="s">
        <v>78</v>
      </c>
      <c r="J268">
        <v>100</v>
      </c>
      <c r="K268">
        <v>99</v>
      </c>
      <c r="L268">
        <v>0.99</v>
      </c>
      <c r="M268">
        <v>0.99</v>
      </c>
      <c r="N268" t="s">
        <v>102</v>
      </c>
      <c r="O268" t="s">
        <v>2577</v>
      </c>
      <c r="P268" t="s">
        <v>101</v>
      </c>
      <c r="Q268">
        <v>2</v>
      </c>
      <c r="R268">
        <v>2</v>
      </c>
    </row>
    <row r="269" spans="1:18" x14ac:dyDescent="0.3">
      <c r="A269" t="s">
        <v>95</v>
      </c>
      <c r="B269" t="s">
        <v>96</v>
      </c>
      <c r="C269" t="s">
        <v>97</v>
      </c>
      <c r="D269" t="s">
        <v>98</v>
      </c>
      <c r="E269" t="s">
        <v>30</v>
      </c>
      <c r="F269" s="6">
        <v>46022</v>
      </c>
      <c r="G269">
        <v>2025</v>
      </c>
      <c r="H269" t="s">
        <v>57</v>
      </c>
      <c r="I269" t="s">
        <v>103</v>
      </c>
      <c r="J269">
        <v>100</v>
      </c>
      <c r="K269">
        <v>100</v>
      </c>
      <c r="L269">
        <v>1</v>
      </c>
      <c r="M269">
        <v>1</v>
      </c>
      <c r="N269" t="s">
        <v>102</v>
      </c>
      <c r="O269" t="s">
        <v>102</v>
      </c>
      <c r="P269" t="s">
        <v>105</v>
      </c>
      <c r="Q269">
        <v>2</v>
      </c>
      <c r="R269">
        <v>2</v>
      </c>
    </row>
    <row r="270" spans="1:18" x14ac:dyDescent="0.3">
      <c r="A270" t="s">
        <v>106</v>
      </c>
      <c r="B270" t="s">
        <v>107</v>
      </c>
      <c r="C270" t="s">
        <v>97</v>
      </c>
      <c r="D270" t="s">
        <v>98</v>
      </c>
      <c r="E270" t="s">
        <v>108</v>
      </c>
      <c r="F270" s="6">
        <v>45291</v>
      </c>
      <c r="G270">
        <v>2023</v>
      </c>
      <c r="H270" t="s">
        <v>57</v>
      </c>
      <c r="I270" t="s">
        <v>47</v>
      </c>
      <c r="J270">
        <v>2.14</v>
      </c>
      <c r="K270">
        <v>0.47</v>
      </c>
      <c r="L270">
        <v>1.3</v>
      </c>
      <c r="M270">
        <v>4.5531914893617023</v>
      </c>
      <c r="N270" t="s">
        <v>113</v>
      </c>
      <c r="O270" t="s">
        <v>2598</v>
      </c>
      <c r="P270" t="s">
        <v>110</v>
      </c>
      <c r="Q270">
        <v>2</v>
      </c>
      <c r="R270">
        <v>2</v>
      </c>
    </row>
    <row r="271" spans="1:18" x14ac:dyDescent="0.3">
      <c r="A271" t="s">
        <v>106</v>
      </c>
      <c r="B271" t="s">
        <v>107</v>
      </c>
      <c r="C271" t="s">
        <v>97</v>
      </c>
      <c r="D271" t="s">
        <v>98</v>
      </c>
      <c r="E271" t="s">
        <v>108</v>
      </c>
      <c r="F271" s="6">
        <v>45657</v>
      </c>
      <c r="G271">
        <v>2024</v>
      </c>
      <c r="H271" t="s">
        <v>57</v>
      </c>
      <c r="I271" t="s">
        <v>78</v>
      </c>
      <c r="J271">
        <v>1.2</v>
      </c>
      <c r="K271">
        <v>0.11</v>
      </c>
      <c r="L271">
        <v>1.3</v>
      </c>
      <c r="M271">
        <v>10.90909090909091</v>
      </c>
      <c r="N271" t="s">
        <v>5349</v>
      </c>
      <c r="O271" t="s">
        <v>5350</v>
      </c>
      <c r="P271" t="s">
        <v>111</v>
      </c>
      <c r="Q271">
        <v>2</v>
      </c>
      <c r="R271">
        <v>2</v>
      </c>
    </row>
    <row r="272" spans="1:18" x14ac:dyDescent="0.3">
      <c r="A272" t="s">
        <v>106</v>
      </c>
      <c r="B272" t="s">
        <v>107</v>
      </c>
      <c r="C272" t="s">
        <v>97</v>
      </c>
      <c r="D272" t="s">
        <v>98</v>
      </c>
      <c r="E272" t="s">
        <v>108</v>
      </c>
      <c r="F272" s="6">
        <v>46022</v>
      </c>
      <c r="G272">
        <v>2025</v>
      </c>
      <c r="H272" t="s">
        <v>57</v>
      </c>
      <c r="I272" t="s">
        <v>103</v>
      </c>
      <c r="J272">
        <v>2.14</v>
      </c>
      <c r="K272">
        <v>0.21</v>
      </c>
      <c r="L272">
        <v>1.3</v>
      </c>
      <c r="M272">
        <v>10.19047619047619</v>
      </c>
      <c r="N272" t="s">
        <v>113</v>
      </c>
      <c r="O272" t="s">
        <v>114</v>
      </c>
      <c r="P272" t="s">
        <v>115</v>
      </c>
      <c r="Q272">
        <v>2</v>
      </c>
      <c r="R272">
        <v>2</v>
      </c>
    </row>
    <row r="273" spans="1:18" x14ac:dyDescent="0.3">
      <c r="A273" t="s">
        <v>116</v>
      </c>
      <c r="B273" t="s">
        <v>117</v>
      </c>
      <c r="C273" t="s">
        <v>97</v>
      </c>
      <c r="D273" t="s">
        <v>98</v>
      </c>
      <c r="E273" t="s">
        <v>108</v>
      </c>
      <c r="F273" s="6">
        <v>45291</v>
      </c>
      <c r="G273">
        <v>2023</v>
      </c>
      <c r="H273" t="s">
        <v>57</v>
      </c>
      <c r="I273" t="s">
        <v>47</v>
      </c>
      <c r="J273">
        <v>1.0000000000000001E-5</v>
      </c>
      <c r="K273">
        <v>1.0000000000000001E-5</v>
      </c>
      <c r="L273">
        <v>1</v>
      </c>
      <c r="M273">
        <v>1</v>
      </c>
      <c r="N273" t="s">
        <v>122</v>
      </c>
      <c r="O273" t="s">
        <v>122</v>
      </c>
      <c r="P273" t="s">
        <v>119</v>
      </c>
      <c r="Q273">
        <v>2</v>
      </c>
      <c r="R273">
        <v>2</v>
      </c>
    </row>
    <row r="274" spans="1:18" x14ac:dyDescent="0.3">
      <c r="A274" t="s">
        <v>116</v>
      </c>
      <c r="B274" t="s">
        <v>117</v>
      </c>
      <c r="C274" t="s">
        <v>97</v>
      </c>
      <c r="D274" t="s">
        <v>98</v>
      </c>
      <c r="E274" t="s">
        <v>108</v>
      </c>
      <c r="F274" s="6">
        <v>45657</v>
      </c>
      <c r="G274">
        <v>2024</v>
      </c>
      <c r="H274" t="s">
        <v>57</v>
      </c>
      <c r="I274" t="s">
        <v>78</v>
      </c>
      <c r="J274">
        <v>0</v>
      </c>
      <c r="K274">
        <v>0</v>
      </c>
      <c r="L274">
        <v>0</v>
      </c>
      <c r="M274">
        <v>0</v>
      </c>
      <c r="N274" t="s">
        <v>122</v>
      </c>
      <c r="O274" t="s">
        <v>122</v>
      </c>
      <c r="P274" t="s">
        <v>120</v>
      </c>
      <c r="Q274">
        <v>2</v>
      </c>
      <c r="R274">
        <v>2</v>
      </c>
    </row>
    <row r="275" spans="1:18" x14ac:dyDescent="0.3">
      <c r="A275" t="s">
        <v>116</v>
      </c>
      <c r="B275" t="s">
        <v>117</v>
      </c>
      <c r="C275" t="s">
        <v>97</v>
      </c>
      <c r="D275" t="s">
        <v>98</v>
      </c>
      <c r="E275" t="s">
        <v>108</v>
      </c>
      <c r="F275" s="6">
        <v>46022</v>
      </c>
      <c r="G275">
        <v>2025</v>
      </c>
      <c r="H275" t="s">
        <v>57</v>
      </c>
      <c r="I275" t="s">
        <v>103</v>
      </c>
      <c r="J275">
        <v>0</v>
      </c>
      <c r="K275">
        <v>0</v>
      </c>
      <c r="L275">
        <v>0</v>
      </c>
      <c r="M275">
        <v>0</v>
      </c>
      <c r="N275" t="s">
        <v>122</v>
      </c>
      <c r="O275" t="s">
        <v>122</v>
      </c>
      <c r="P275" t="s">
        <v>123</v>
      </c>
      <c r="Q275">
        <v>2</v>
      </c>
      <c r="R275">
        <v>2</v>
      </c>
    </row>
    <row r="276" spans="1:18" x14ac:dyDescent="0.3">
      <c r="A276" t="s">
        <v>124</v>
      </c>
      <c r="B276" t="s">
        <v>125</v>
      </c>
      <c r="C276" t="s">
        <v>126</v>
      </c>
      <c r="D276" t="s">
        <v>98</v>
      </c>
      <c r="E276" t="s">
        <v>30</v>
      </c>
      <c r="F276" s="6">
        <v>45657</v>
      </c>
      <c r="G276">
        <v>2024</v>
      </c>
      <c r="H276" t="s">
        <v>57</v>
      </c>
      <c r="I276" t="s">
        <v>78</v>
      </c>
      <c r="L276">
        <v>0</v>
      </c>
      <c r="M276">
        <v>0</v>
      </c>
      <c r="P276" t="s">
        <v>127</v>
      </c>
      <c r="Q276">
        <v>2</v>
      </c>
      <c r="R276">
        <v>2</v>
      </c>
    </row>
    <row r="277" spans="1:18" x14ac:dyDescent="0.3">
      <c r="A277" t="s">
        <v>128</v>
      </c>
      <c r="B277" t="s">
        <v>125</v>
      </c>
      <c r="C277" t="s">
        <v>129</v>
      </c>
      <c r="D277" t="s">
        <v>98</v>
      </c>
      <c r="E277" t="s">
        <v>30</v>
      </c>
      <c r="F277" s="6">
        <v>44926</v>
      </c>
      <c r="G277">
        <v>2022</v>
      </c>
      <c r="H277" t="s">
        <v>57</v>
      </c>
      <c r="I277" t="s">
        <v>90</v>
      </c>
      <c r="J277">
        <v>80</v>
      </c>
      <c r="K277">
        <v>80.476190476190496</v>
      </c>
      <c r="L277">
        <v>1.0059523809523809</v>
      </c>
      <c r="M277">
        <v>1.0059523809523809</v>
      </c>
      <c r="N277" t="s">
        <v>193</v>
      </c>
      <c r="O277" t="s">
        <v>5351</v>
      </c>
      <c r="P277" t="s">
        <v>131</v>
      </c>
      <c r="Q277">
        <v>2</v>
      </c>
      <c r="R277">
        <v>2</v>
      </c>
    </row>
    <row r="278" spans="1:18" x14ac:dyDescent="0.3">
      <c r="A278" t="s">
        <v>128</v>
      </c>
      <c r="B278" t="s">
        <v>125</v>
      </c>
      <c r="C278" t="s">
        <v>133</v>
      </c>
      <c r="D278" t="s">
        <v>98</v>
      </c>
      <c r="E278" t="s">
        <v>30</v>
      </c>
      <c r="F278" s="6">
        <v>45291</v>
      </c>
      <c r="G278">
        <v>2023</v>
      </c>
      <c r="H278" t="s">
        <v>57</v>
      </c>
      <c r="I278" t="s">
        <v>47</v>
      </c>
      <c r="J278">
        <v>80</v>
      </c>
      <c r="K278">
        <v>88.077587110475463</v>
      </c>
      <c r="L278">
        <v>1.100969838880943</v>
      </c>
      <c r="M278">
        <v>1.100969838880943</v>
      </c>
      <c r="N278" t="s">
        <v>193</v>
      </c>
      <c r="O278" t="s">
        <v>5352</v>
      </c>
      <c r="P278" t="s">
        <v>135</v>
      </c>
      <c r="Q278">
        <v>2</v>
      </c>
      <c r="R278">
        <v>2</v>
      </c>
    </row>
    <row r="279" spans="1:18" x14ac:dyDescent="0.3">
      <c r="A279" t="s">
        <v>5353</v>
      </c>
      <c r="B279" t="s">
        <v>125</v>
      </c>
      <c r="C279" t="s">
        <v>133</v>
      </c>
      <c r="D279" t="s">
        <v>98</v>
      </c>
      <c r="E279" t="s">
        <v>30</v>
      </c>
      <c r="F279" s="6">
        <v>45291</v>
      </c>
      <c r="G279">
        <v>2023</v>
      </c>
      <c r="H279" t="s">
        <v>57</v>
      </c>
      <c r="I279" t="s">
        <v>47</v>
      </c>
      <c r="J279">
        <v>80</v>
      </c>
      <c r="K279">
        <v>89.440265168623696</v>
      </c>
      <c r="L279">
        <v>1.1180033146077959</v>
      </c>
      <c r="M279">
        <v>1.1180033146077959</v>
      </c>
      <c r="N279" t="s">
        <v>31</v>
      </c>
      <c r="O279" t="s">
        <v>31</v>
      </c>
      <c r="P279" t="s">
        <v>136</v>
      </c>
      <c r="Q279">
        <v>0</v>
      </c>
      <c r="R279">
        <v>0</v>
      </c>
    </row>
    <row r="280" spans="1:18" x14ac:dyDescent="0.3">
      <c r="A280" t="s">
        <v>137</v>
      </c>
      <c r="B280" t="s">
        <v>125</v>
      </c>
      <c r="C280" t="s">
        <v>138</v>
      </c>
      <c r="D280" t="s">
        <v>98</v>
      </c>
      <c r="E280" t="s">
        <v>30</v>
      </c>
      <c r="F280" s="6">
        <v>45291</v>
      </c>
      <c r="G280">
        <v>2023</v>
      </c>
      <c r="H280" t="s">
        <v>57</v>
      </c>
      <c r="I280" t="s">
        <v>47</v>
      </c>
      <c r="J280">
        <v>80</v>
      </c>
      <c r="K280">
        <v>96.689723320158109</v>
      </c>
      <c r="L280">
        <v>1.2086215415019761</v>
      </c>
      <c r="M280">
        <v>1.2086215415019761</v>
      </c>
      <c r="N280" t="s">
        <v>193</v>
      </c>
      <c r="O280" t="s">
        <v>5354</v>
      </c>
      <c r="P280" t="s">
        <v>140</v>
      </c>
      <c r="Q280">
        <v>2</v>
      </c>
      <c r="R280">
        <v>2</v>
      </c>
    </row>
    <row r="281" spans="1:18" x14ac:dyDescent="0.3">
      <c r="A281" t="s">
        <v>141</v>
      </c>
      <c r="B281" t="s">
        <v>125</v>
      </c>
      <c r="C281" t="s">
        <v>142</v>
      </c>
      <c r="D281" t="s">
        <v>98</v>
      </c>
      <c r="E281" t="s">
        <v>30</v>
      </c>
      <c r="F281" s="6">
        <v>45291</v>
      </c>
      <c r="G281">
        <v>2023</v>
      </c>
      <c r="H281" t="s">
        <v>57</v>
      </c>
      <c r="I281" t="s">
        <v>47</v>
      </c>
      <c r="J281">
        <v>80</v>
      </c>
      <c r="K281">
        <v>84.559884559884608</v>
      </c>
      <c r="L281">
        <v>1.056998556998558</v>
      </c>
      <c r="M281">
        <v>1.056998556998558</v>
      </c>
      <c r="N281" t="s">
        <v>193</v>
      </c>
      <c r="O281" t="s">
        <v>5355</v>
      </c>
      <c r="P281" t="s">
        <v>144</v>
      </c>
      <c r="Q281">
        <v>2</v>
      </c>
      <c r="R281">
        <v>2</v>
      </c>
    </row>
    <row r="282" spans="1:18" x14ac:dyDescent="0.3">
      <c r="A282" t="s">
        <v>145</v>
      </c>
      <c r="B282" t="s">
        <v>125</v>
      </c>
      <c r="C282" t="s">
        <v>146</v>
      </c>
      <c r="D282" t="s">
        <v>98</v>
      </c>
      <c r="E282" t="s">
        <v>30</v>
      </c>
      <c r="F282" s="6">
        <v>45291</v>
      </c>
      <c r="G282">
        <v>2023</v>
      </c>
      <c r="H282" t="s">
        <v>57</v>
      </c>
      <c r="I282" t="s">
        <v>47</v>
      </c>
      <c r="J282">
        <v>80</v>
      </c>
      <c r="K282">
        <v>86</v>
      </c>
      <c r="L282">
        <v>1.075</v>
      </c>
      <c r="M282">
        <v>1.075</v>
      </c>
      <c r="N282" t="s">
        <v>193</v>
      </c>
      <c r="O282" t="s">
        <v>4410</v>
      </c>
      <c r="P282" t="s">
        <v>148</v>
      </c>
      <c r="Q282">
        <v>2</v>
      </c>
      <c r="R282">
        <v>2</v>
      </c>
    </row>
    <row r="283" spans="1:18" x14ac:dyDescent="0.3">
      <c r="A283" t="s">
        <v>149</v>
      </c>
      <c r="B283" t="s">
        <v>125</v>
      </c>
      <c r="C283" t="s">
        <v>150</v>
      </c>
      <c r="D283" t="s">
        <v>98</v>
      </c>
      <c r="E283" t="s">
        <v>30</v>
      </c>
      <c r="F283" s="6">
        <v>45291</v>
      </c>
      <c r="G283">
        <v>2023</v>
      </c>
      <c r="H283" t="s">
        <v>57</v>
      </c>
      <c r="I283" t="s">
        <v>47</v>
      </c>
      <c r="J283">
        <v>80</v>
      </c>
      <c r="K283">
        <v>76.418533802500093</v>
      </c>
      <c r="L283">
        <v>0.95523167253125119</v>
      </c>
      <c r="M283">
        <v>0.95523167253125119</v>
      </c>
      <c r="N283" t="s">
        <v>193</v>
      </c>
      <c r="O283" t="s">
        <v>5356</v>
      </c>
      <c r="P283" t="s">
        <v>152</v>
      </c>
      <c r="Q283">
        <v>2</v>
      </c>
      <c r="R283">
        <v>2</v>
      </c>
    </row>
    <row r="284" spans="1:18" x14ac:dyDescent="0.3">
      <c r="A284" t="s">
        <v>153</v>
      </c>
      <c r="B284" t="s">
        <v>125</v>
      </c>
      <c r="C284" t="s">
        <v>154</v>
      </c>
      <c r="D284" t="s">
        <v>98</v>
      </c>
      <c r="E284" t="s">
        <v>30</v>
      </c>
      <c r="F284" s="6">
        <v>45291</v>
      </c>
      <c r="G284">
        <v>2023</v>
      </c>
      <c r="H284" t="s">
        <v>57</v>
      </c>
      <c r="I284" t="s">
        <v>47</v>
      </c>
      <c r="J284">
        <v>80</v>
      </c>
      <c r="K284">
        <v>82.904040404040401</v>
      </c>
      <c r="L284">
        <v>1.036300505050505</v>
      </c>
      <c r="M284">
        <v>1.036300505050505</v>
      </c>
      <c r="N284" t="s">
        <v>193</v>
      </c>
      <c r="O284" t="s">
        <v>5357</v>
      </c>
      <c r="P284" t="s">
        <v>156</v>
      </c>
      <c r="Q284">
        <v>2</v>
      </c>
      <c r="R284">
        <v>2</v>
      </c>
    </row>
    <row r="285" spans="1:18" x14ac:dyDescent="0.3">
      <c r="A285" t="s">
        <v>157</v>
      </c>
      <c r="B285" t="s">
        <v>125</v>
      </c>
      <c r="C285" t="s">
        <v>158</v>
      </c>
      <c r="D285" t="s">
        <v>98</v>
      </c>
      <c r="E285" t="s">
        <v>30</v>
      </c>
      <c r="F285" s="6">
        <v>45291</v>
      </c>
      <c r="G285">
        <v>2023</v>
      </c>
      <c r="H285" t="s">
        <v>57</v>
      </c>
      <c r="I285" t="s">
        <v>47</v>
      </c>
      <c r="J285">
        <v>80</v>
      </c>
      <c r="K285">
        <v>88.508473249579296</v>
      </c>
      <c r="L285">
        <v>1.1063559156197409</v>
      </c>
      <c r="M285">
        <v>1.1063559156197409</v>
      </c>
      <c r="N285" t="s">
        <v>193</v>
      </c>
      <c r="O285" t="s">
        <v>5358</v>
      </c>
      <c r="P285" t="s">
        <v>159</v>
      </c>
      <c r="Q285">
        <v>2</v>
      </c>
      <c r="R285">
        <v>2</v>
      </c>
    </row>
    <row r="286" spans="1:18" x14ac:dyDescent="0.3">
      <c r="A286" t="s">
        <v>160</v>
      </c>
      <c r="B286" t="s">
        <v>125</v>
      </c>
      <c r="C286" t="s">
        <v>161</v>
      </c>
      <c r="D286" t="s">
        <v>98</v>
      </c>
      <c r="E286" t="s">
        <v>30</v>
      </c>
      <c r="F286" s="6">
        <v>45291</v>
      </c>
      <c r="G286">
        <v>2023</v>
      </c>
      <c r="H286" t="s">
        <v>57</v>
      </c>
      <c r="I286" t="s">
        <v>47</v>
      </c>
      <c r="J286">
        <v>80</v>
      </c>
      <c r="K286">
        <v>94.811073336571098</v>
      </c>
      <c r="L286">
        <v>1.185138416707139</v>
      </c>
      <c r="M286">
        <v>1.185138416707139</v>
      </c>
      <c r="N286" t="s">
        <v>193</v>
      </c>
      <c r="O286" t="s">
        <v>5359</v>
      </c>
      <c r="P286" t="s">
        <v>163</v>
      </c>
      <c r="Q286">
        <v>2</v>
      </c>
      <c r="R286">
        <v>2</v>
      </c>
    </row>
    <row r="287" spans="1:18" x14ac:dyDescent="0.3">
      <c r="A287" t="s">
        <v>164</v>
      </c>
      <c r="B287" t="s">
        <v>125</v>
      </c>
      <c r="C287" t="s">
        <v>165</v>
      </c>
      <c r="D287" t="s">
        <v>98</v>
      </c>
      <c r="E287" t="s">
        <v>30</v>
      </c>
      <c r="F287" s="6">
        <v>45291</v>
      </c>
      <c r="G287">
        <v>2023</v>
      </c>
      <c r="H287" t="s">
        <v>57</v>
      </c>
      <c r="I287" t="s">
        <v>47</v>
      </c>
      <c r="J287">
        <v>80</v>
      </c>
      <c r="K287">
        <v>87.392767703668298</v>
      </c>
      <c r="L287">
        <v>1.092409596295854</v>
      </c>
      <c r="M287">
        <v>1.092409596295854</v>
      </c>
      <c r="N287" t="s">
        <v>193</v>
      </c>
      <c r="O287" t="s">
        <v>5360</v>
      </c>
      <c r="P287" t="s">
        <v>167</v>
      </c>
      <c r="Q287">
        <v>2</v>
      </c>
      <c r="R287">
        <v>2</v>
      </c>
    </row>
    <row r="288" spans="1:18" x14ac:dyDescent="0.3">
      <c r="A288" t="s">
        <v>168</v>
      </c>
      <c r="B288" t="s">
        <v>125</v>
      </c>
      <c r="C288" t="s">
        <v>169</v>
      </c>
      <c r="D288" t="s">
        <v>98</v>
      </c>
      <c r="E288" t="s">
        <v>30</v>
      </c>
      <c r="F288" s="6">
        <v>44926</v>
      </c>
      <c r="G288">
        <v>2022</v>
      </c>
      <c r="H288" t="s">
        <v>57</v>
      </c>
      <c r="I288" t="s">
        <v>90</v>
      </c>
      <c r="J288">
        <v>80</v>
      </c>
      <c r="K288">
        <v>68</v>
      </c>
      <c r="L288">
        <v>0.85</v>
      </c>
      <c r="M288">
        <v>0.85</v>
      </c>
      <c r="N288" t="s">
        <v>193</v>
      </c>
      <c r="O288" t="s">
        <v>5361</v>
      </c>
      <c r="P288" t="s">
        <v>170</v>
      </c>
      <c r="Q288">
        <v>2</v>
      </c>
      <c r="R288">
        <v>2</v>
      </c>
    </row>
    <row r="289" spans="1:18" x14ac:dyDescent="0.3">
      <c r="A289" t="s">
        <v>168</v>
      </c>
      <c r="B289" t="s">
        <v>125</v>
      </c>
      <c r="C289" t="s">
        <v>169</v>
      </c>
      <c r="D289" t="s">
        <v>98</v>
      </c>
      <c r="E289" t="s">
        <v>30</v>
      </c>
      <c r="F289" s="6">
        <v>45291</v>
      </c>
      <c r="G289">
        <v>2023</v>
      </c>
      <c r="H289" t="s">
        <v>57</v>
      </c>
      <c r="I289" t="s">
        <v>47</v>
      </c>
      <c r="J289">
        <v>80</v>
      </c>
      <c r="K289">
        <v>90.977702771558697</v>
      </c>
      <c r="L289">
        <v>1.137221284644484</v>
      </c>
      <c r="M289">
        <v>1.137221284644484</v>
      </c>
      <c r="N289" t="s">
        <v>193</v>
      </c>
      <c r="O289" t="s">
        <v>5362</v>
      </c>
      <c r="P289" t="s">
        <v>172</v>
      </c>
      <c r="Q289">
        <v>2</v>
      </c>
      <c r="R289">
        <v>2</v>
      </c>
    </row>
    <row r="290" spans="1:18" x14ac:dyDescent="0.3">
      <c r="A290" t="s">
        <v>173</v>
      </c>
      <c r="B290" t="s">
        <v>125</v>
      </c>
      <c r="C290" t="s">
        <v>174</v>
      </c>
      <c r="D290" t="s">
        <v>98</v>
      </c>
      <c r="E290" t="s">
        <v>30</v>
      </c>
      <c r="F290" s="6">
        <v>45291</v>
      </c>
      <c r="G290">
        <v>2023</v>
      </c>
      <c r="H290" t="s">
        <v>57</v>
      </c>
      <c r="I290" t="s">
        <v>47</v>
      </c>
      <c r="J290">
        <v>80</v>
      </c>
      <c r="K290">
        <v>81.991406812802296</v>
      </c>
      <c r="L290">
        <v>1.024892585160029</v>
      </c>
      <c r="M290">
        <v>1.024892585160029</v>
      </c>
      <c r="N290" t="s">
        <v>193</v>
      </c>
      <c r="O290" t="s">
        <v>5363</v>
      </c>
      <c r="P290" t="s">
        <v>176</v>
      </c>
      <c r="Q290">
        <v>2</v>
      </c>
      <c r="R290">
        <v>2</v>
      </c>
    </row>
    <row r="291" spans="1:18" x14ac:dyDescent="0.3">
      <c r="A291" t="s">
        <v>177</v>
      </c>
      <c r="B291" t="s">
        <v>125</v>
      </c>
      <c r="C291" t="s">
        <v>178</v>
      </c>
      <c r="D291" t="s">
        <v>98</v>
      </c>
      <c r="E291" t="s">
        <v>30</v>
      </c>
      <c r="F291" s="6">
        <v>45291</v>
      </c>
      <c r="G291">
        <v>2023</v>
      </c>
      <c r="H291" t="s">
        <v>57</v>
      </c>
      <c r="I291" t="s">
        <v>47</v>
      </c>
      <c r="J291">
        <v>80</v>
      </c>
      <c r="K291">
        <v>81.322057504242295</v>
      </c>
      <c r="L291">
        <v>1.016525718803029</v>
      </c>
      <c r="M291">
        <v>1.016525718803029</v>
      </c>
      <c r="N291" t="s">
        <v>193</v>
      </c>
      <c r="O291" t="s">
        <v>5364</v>
      </c>
      <c r="P291" t="s">
        <v>180</v>
      </c>
      <c r="Q291">
        <v>2</v>
      </c>
      <c r="R291">
        <v>2</v>
      </c>
    </row>
    <row r="292" spans="1:18" x14ac:dyDescent="0.3">
      <c r="A292" t="s">
        <v>181</v>
      </c>
      <c r="B292" t="s">
        <v>125</v>
      </c>
      <c r="C292" t="s">
        <v>184</v>
      </c>
      <c r="D292" t="s">
        <v>98</v>
      </c>
      <c r="E292" t="s">
        <v>30</v>
      </c>
      <c r="F292" s="6">
        <v>45291</v>
      </c>
      <c r="G292">
        <v>2023</v>
      </c>
      <c r="H292" t="s">
        <v>57</v>
      </c>
      <c r="I292" t="s">
        <v>47</v>
      </c>
      <c r="J292">
        <v>80</v>
      </c>
      <c r="K292">
        <v>77.756756756756801</v>
      </c>
      <c r="L292">
        <v>0.97195945945946005</v>
      </c>
      <c r="M292">
        <v>0.97195945945946005</v>
      </c>
      <c r="N292" t="s">
        <v>193</v>
      </c>
      <c r="O292" t="s">
        <v>5365</v>
      </c>
      <c r="P292" t="s">
        <v>185</v>
      </c>
      <c r="Q292">
        <v>2</v>
      </c>
      <c r="R292">
        <v>2</v>
      </c>
    </row>
    <row r="293" spans="1:18" x14ac:dyDescent="0.3">
      <c r="A293" t="s">
        <v>186</v>
      </c>
      <c r="B293" t="s">
        <v>125</v>
      </c>
      <c r="C293" t="s">
        <v>187</v>
      </c>
      <c r="D293" t="s">
        <v>98</v>
      </c>
      <c r="E293" t="s">
        <v>30</v>
      </c>
      <c r="F293" s="6">
        <v>45291</v>
      </c>
      <c r="G293">
        <v>2023</v>
      </c>
      <c r="H293" t="s">
        <v>57</v>
      </c>
      <c r="I293" t="s">
        <v>47</v>
      </c>
      <c r="J293">
        <v>80</v>
      </c>
      <c r="K293">
        <v>94.9579831932773</v>
      </c>
      <c r="L293">
        <v>1.1869747899159659</v>
      </c>
      <c r="M293">
        <v>1.1869747899159659</v>
      </c>
      <c r="N293" t="s">
        <v>193</v>
      </c>
      <c r="O293" t="s">
        <v>5366</v>
      </c>
      <c r="P293" t="s">
        <v>189</v>
      </c>
      <c r="Q293">
        <v>2</v>
      </c>
      <c r="R293">
        <v>2</v>
      </c>
    </row>
    <row r="294" spans="1:18" x14ac:dyDescent="0.3">
      <c r="A294" t="s">
        <v>190</v>
      </c>
      <c r="B294" t="s">
        <v>125</v>
      </c>
      <c r="C294" t="s">
        <v>165</v>
      </c>
      <c r="D294" t="s">
        <v>98</v>
      </c>
      <c r="E294" t="s">
        <v>30</v>
      </c>
      <c r="F294" s="6">
        <v>45657</v>
      </c>
      <c r="G294">
        <v>2024</v>
      </c>
      <c r="H294" t="s">
        <v>57</v>
      </c>
      <c r="I294" t="s">
        <v>78</v>
      </c>
      <c r="L294">
        <v>0</v>
      </c>
      <c r="M294">
        <v>0</v>
      </c>
      <c r="P294" t="s">
        <v>191</v>
      </c>
      <c r="Q294">
        <v>2</v>
      </c>
      <c r="R294">
        <v>2</v>
      </c>
    </row>
    <row r="295" spans="1:18" x14ac:dyDescent="0.3">
      <c r="A295" t="s">
        <v>190</v>
      </c>
      <c r="B295" t="s">
        <v>125</v>
      </c>
      <c r="C295" t="s">
        <v>165</v>
      </c>
      <c r="D295" t="s">
        <v>98</v>
      </c>
      <c r="E295" t="s">
        <v>30</v>
      </c>
      <c r="F295" s="6">
        <v>46022</v>
      </c>
      <c r="G295">
        <v>2025</v>
      </c>
      <c r="H295" t="s">
        <v>57</v>
      </c>
      <c r="I295" t="s">
        <v>103</v>
      </c>
      <c r="J295">
        <v>80</v>
      </c>
      <c r="K295">
        <v>94</v>
      </c>
      <c r="L295">
        <v>1.175</v>
      </c>
      <c r="M295">
        <v>1.175</v>
      </c>
      <c r="N295" t="s">
        <v>193</v>
      </c>
      <c r="O295" t="s">
        <v>194</v>
      </c>
      <c r="P295" t="s">
        <v>5367</v>
      </c>
      <c r="Q295">
        <v>2</v>
      </c>
      <c r="R295">
        <v>2</v>
      </c>
    </row>
    <row r="296" spans="1:18" x14ac:dyDescent="0.3">
      <c r="A296" t="s">
        <v>196</v>
      </c>
      <c r="B296" t="s">
        <v>197</v>
      </c>
      <c r="C296" t="s">
        <v>184</v>
      </c>
      <c r="D296" t="s">
        <v>29</v>
      </c>
      <c r="E296" t="s">
        <v>30</v>
      </c>
      <c r="F296" s="6">
        <v>45107</v>
      </c>
      <c r="G296">
        <v>2023</v>
      </c>
      <c r="H296" t="s">
        <v>44</v>
      </c>
      <c r="I296" t="s">
        <v>33</v>
      </c>
      <c r="J296">
        <v>57</v>
      </c>
      <c r="K296">
        <v>47</v>
      </c>
      <c r="L296">
        <v>0.82456140350877194</v>
      </c>
      <c r="M296">
        <v>0.82456140350877194</v>
      </c>
      <c r="N296" t="s">
        <v>5368</v>
      </c>
      <c r="O296" t="s">
        <v>5369</v>
      </c>
      <c r="P296" t="s">
        <v>200</v>
      </c>
      <c r="Q296">
        <v>2</v>
      </c>
      <c r="R296">
        <v>2</v>
      </c>
    </row>
    <row r="297" spans="1:18" x14ac:dyDescent="0.3">
      <c r="A297" t="s">
        <v>196</v>
      </c>
      <c r="B297" t="s">
        <v>197</v>
      </c>
      <c r="C297" t="s">
        <v>184</v>
      </c>
      <c r="D297" t="s">
        <v>29</v>
      </c>
      <c r="E297" t="s">
        <v>30</v>
      </c>
      <c r="F297" s="6">
        <v>45291</v>
      </c>
      <c r="G297">
        <v>2023</v>
      </c>
      <c r="H297" t="s">
        <v>57</v>
      </c>
      <c r="I297" t="s">
        <v>47</v>
      </c>
      <c r="J297">
        <v>79</v>
      </c>
      <c r="K297">
        <v>66.666666666666671</v>
      </c>
      <c r="L297">
        <v>0.84388185654008441</v>
      </c>
      <c r="M297">
        <v>0.84388185654008441</v>
      </c>
      <c r="N297" t="s">
        <v>5370</v>
      </c>
      <c r="O297" t="s">
        <v>4248</v>
      </c>
      <c r="P297" t="s">
        <v>206</v>
      </c>
      <c r="Q297">
        <v>2</v>
      </c>
      <c r="R297">
        <v>2</v>
      </c>
    </row>
    <row r="298" spans="1:18" x14ac:dyDescent="0.3">
      <c r="A298" t="s">
        <v>196</v>
      </c>
      <c r="B298" t="s">
        <v>197</v>
      </c>
      <c r="C298" t="s">
        <v>184</v>
      </c>
      <c r="D298" t="s">
        <v>29</v>
      </c>
      <c r="E298" t="s">
        <v>30</v>
      </c>
      <c r="F298" s="6">
        <v>45473</v>
      </c>
      <c r="G298">
        <v>2024</v>
      </c>
      <c r="H298" t="s">
        <v>44</v>
      </c>
      <c r="I298" t="s">
        <v>71</v>
      </c>
      <c r="J298">
        <v>78.666666666666671</v>
      </c>
      <c r="K298">
        <v>68.666666666666671</v>
      </c>
      <c r="L298">
        <v>0.8728813559322034</v>
      </c>
      <c r="M298">
        <v>0.8728813559322034</v>
      </c>
      <c r="N298" t="s">
        <v>5371</v>
      </c>
      <c r="O298" t="s">
        <v>5372</v>
      </c>
      <c r="P298" t="s">
        <v>212</v>
      </c>
      <c r="Q298">
        <v>2</v>
      </c>
      <c r="R298">
        <v>2</v>
      </c>
    </row>
    <row r="299" spans="1:18" x14ac:dyDescent="0.3">
      <c r="A299" t="s">
        <v>196</v>
      </c>
      <c r="B299" t="s">
        <v>197</v>
      </c>
      <c r="C299" t="s">
        <v>184</v>
      </c>
      <c r="D299" t="s">
        <v>29</v>
      </c>
      <c r="E299" t="s">
        <v>30</v>
      </c>
      <c r="F299" s="6">
        <v>45657</v>
      </c>
      <c r="G299">
        <v>2024</v>
      </c>
      <c r="H299" t="s">
        <v>57</v>
      </c>
      <c r="I299" t="s">
        <v>78</v>
      </c>
      <c r="J299">
        <v>63.25</v>
      </c>
      <c r="K299">
        <v>58.25</v>
      </c>
      <c r="L299">
        <v>0.92094861660079053</v>
      </c>
      <c r="M299">
        <v>0.92094861660079053</v>
      </c>
      <c r="N299" t="s">
        <v>5373</v>
      </c>
      <c r="O299" t="s">
        <v>5374</v>
      </c>
      <c r="P299" t="s">
        <v>219</v>
      </c>
      <c r="Q299">
        <v>2</v>
      </c>
      <c r="R299">
        <v>2</v>
      </c>
    </row>
    <row r="300" spans="1:18" x14ac:dyDescent="0.3">
      <c r="A300" t="s">
        <v>220</v>
      </c>
      <c r="B300" t="s">
        <v>221</v>
      </c>
      <c r="C300" t="s">
        <v>184</v>
      </c>
      <c r="D300" t="s">
        <v>222</v>
      </c>
      <c r="E300" t="s">
        <v>30</v>
      </c>
      <c r="F300" s="6">
        <v>45473</v>
      </c>
      <c r="G300">
        <v>2024</v>
      </c>
      <c r="H300" t="s">
        <v>44</v>
      </c>
      <c r="I300" t="s">
        <v>71</v>
      </c>
      <c r="J300">
        <v>5</v>
      </c>
      <c r="K300">
        <v>3</v>
      </c>
      <c r="L300">
        <v>0.6</v>
      </c>
      <c r="M300">
        <v>0.6</v>
      </c>
      <c r="N300" t="s">
        <v>823</v>
      </c>
      <c r="O300" t="s">
        <v>1849</v>
      </c>
      <c r="P300" t="s">
        <v>223</v>
      </c>
      <c r="Q300">
        <v>2</v>
      </c>
      <c r="R300">
        <v>2</v>
      </c>
    </row>
    <row r="301" spans="1:18" x14ac:dyDescent="0.3">
      <c r="A301" t="s">
        <v>224</v>
      </c>
      <c r="B301" t="s">
        <v>125</v>
      </c>
      <c r="C301" t="s">
        <v>225</v>
      </c>
      <c r="D301" t="s">
        <v>98</v>
      </c>
      <c r="E301" t="s">
        <v>30</v>
      </c>
      <c r="F301" s="6">
        <v>44926</v>
      </c>
      <c r="G301">
        <v>2022</v>
      </c>
      <c r="H301" t="s">
        <v>57</v>
      </c>
      <c r="I301" t="s">
        <v>90</v>
      </c>
      <c r="J301">
        <v>80</v>
      </c>
      <c r="K301">
        <v>73.401915113871596</v>
      </c>
      <c r="L301">
        <v>0.9175239389233949</v>
      </c>
      <c r="M301">
        <v>0.9175239389233949</v>
      </c>
      <c r="N301" t="s">
        <v>193</v>
      </c>
      <c r="O301" t="s">
        <v>5375</v>
      </c>
      <c r="P301" t="s">
        <v>5376</v>
      </c>
      <c r="Q301">
        <v>2</v>
      </c>
      <c r="R301">
        <v>2</v>
      </c>
    </row>
    <row r="302" spans="1:18" x14ac:dyDescent="0.3">
      <c r="A302" t="s">
        <v>224</v>
      </c>
      <c r="B302" t="s">
        <v>125</v>
      </c>
      <c r="C302" t="s">
        <v>225</v>
      </c>
      <c r="D302" t="s">
        <v>98</v>
      </c>
      <c r="E302" t="s">
        <v>30</v>
      </c>
      <c r="F302" s="6">
        <v>45291</v>
      </c>
      <c r="G302">
        <v>2023</v>
      </c>
      <c r="H302" t="s">
        <v>57</v>
      </c>
      <c r="I302" t="s">
        <v>47</v>
      </c>
      <c r="J302">
        <v>80</v>
      </c>
      <c r="K302">
        <v>78</v>
      </c>
      <c r="L302">
        <v>0.97499999999999998</v>
      </c>
      <c r="M302">
        <v>0.97499999999999998</v>
      </c>
      <c r="N302" t="s">
        <v>193</v>
      </c>
      <c r="O302" t="s">
        <v>5377</v>
      </c>
      <c r="P302" t="s">
        <v>228</v>
      </c>
      <c r="Q302">
        <v>2</v>
      </c>
      <c r="R302">
        <v>2</v>
      </c>
    </row>
    <row r="303" spans="1:18" x14ac:dyDescent="0.3">
      <c r="A303" t="s">
        <v>224</v>
      </c>
      <c r="B303" t="s">
        <v>125</v>
      </c>
      <c r="C303" t="s">
        <v>229</v>
      </c>
      <c r="D303" t="s">
        <v>98</v>
      </c>
      <c r="E303" t="s">
        <v>30</v>
      </c>
      <c r="F303" s="6">
        <v>45657</v>
      </c>
      <c r="G303">
        <v>2024</v>
      </c>
      <c r="H303" t="s">
        <v>57</v>
      </c>
      <c r="I303" t="s">
        <v>78</v>
      </c>
      <c r="L303">
        <v>0</v>
      </c>
      <c r="M303">
        <v>0</v>
      </c>
      <c r="P303" t="s">
        <v>230</v>
      </c>
      <c r="Q303">
        <v>2</v>
      </c>
      <c r="R303">
        <v>2</v>
      </c>
    </row>
    <row r="304" spans="1:18" x14ac:dyDescent="0.3">
      <c r="A304" t="s">
        <v>231</v>
      </c>
      <c r="B304" t="s">
        <v>125</v>
      </c>
      <c r="C304" t="s">
        <v>232</v>
      </c>
      <c r="D304" t="s">
        <v>233</v>
      </c>
      <c r="E304" t="s">
        <v>30</v>
      </c>
      <c r="F304" s="6">
        <v>45107</v>
      </c>
      <c r="G304">
        <v>2023</v>
      </c>
      <c r="H304" t="s">
        <v>44</v>
      </c>
      <c r="I304" t="s">
        <v>33</v>
      </c>
      <c r="J304">
        <v>80</v>
      </c>
      <c r="K304">
        <v>88.5</v>
      </c>
      <c r="L304">
        <v>1.10625</v>
      </c>
      <c r="M304">
        <v>1.10625</v>
      </c>
      <c r="N304" t="s">
        <v>193</v>
      </c>
      <c r="O304" t="s">
        <v>5378</v>
      </c>
      <c r="P304" t="s">
        <v>235</v>
      </c>
      <c r="Q304">
        <v>2</v>
      </c>
      <c r="R304">
        <v>2</v>
      </c>
    </row>
    <row r="305" spans="1:18" x14ac:dyDescent="0.3">
      <c r="A305" t="s">
        <v>231</v>
      </c>
      <c r="B305" t="s">
        <v>125</v>
      </c>
      <c r="C305" t="s">
        <v>232</v>
      </c>
      <c r="D305" t="s">
        <v>233</v>
      </c>
      <c r="E305" t="s">
        <v>30</v>
      </c>
      <c r="F305" s="6">
        <v>45291</v>
      </c>
      <c r="G305">
        <v>2023</v>
      </c>
      <c r="H305" t="s">
        <v>57</v>
      </c>
      <c r="I305" t="s">
        <v>47</v>
      </c>
      <c r="J305">
        <v>80</v>
      </c>
      <c r="K305">
        <v>94.5</v>
      </c>
      <c r="L305">
        <v>1.1812499999999999</v>
      </c>
      <c r="M305">
        <v>1.1812499999999999</v>
      </c>
      <c r="N305" t="s">
        <v>193</v>
      </c>
      <c r="O305" t="s">
        <v>5379</v>
      </c>
      <c r="P305" t="s">
        <v>237</v>
      </c>
      <c r="Q305">
        <v>2</v>
      </c>
      <c r="R305">
        <v>2</v>
      </c>
    </row>
    <row r="306" spans="1:18" x14ac:dyDescent="0.3">
      <c r="A306" t="s">
        <v>231</v>
      </c>
      <c r="B306" t="s">
        <v>125</v>
      </c>
      <c r="C306" t="s">
        <v>232</v>
      </c>
      <c r="D306" t="s">
        <v>233</v>
      </c>
      <c r="E306" t="s">
        <v>30</v>
      </c>
      <c r="F306" s="6">
        <v>45473</v>
      </c>
      <c r="G306">
        <v>2024</v>
      </c>
      <c r="H306" t="s">
        <v>44</v>
      </c>
      <c r="I306" t="s">
        <v>71</v>
      </c>
      <c r="J306">
        <v>80</v>
      </c>
      <c r="K306">
        <v>96</v>
      </c>
      <c r="L306">
        <v>1.2</v>
      </c>
      <c r="M306">
        <v>1.2</v>
      </c>
      <c r="N306" t="s">
        <v>193</v>
      </c>
      <c r="O306" t="s">
        <v>668</v>
      </c>
      <c r="P306" t="s">
        <v>239</v>
      </c>
      <c r="Q306">
        <v>2</v>
      </c>
      <c r="R306">
        <v>2</v>
      </c>
    </row>
    <row r="307" spans="1:18" x14ac:dyDescent="0.3">
      <c r="A307" t="s">
        <v>231</v>
      </c>
      <c r="B307" t="s">
        <v>125</v>
      </c>
      <c r="C307" t="s">
        <v>232</v>
      </c>
      <c r="D307" t="s">
        <v>233</v>
      </c>
      <c r="E307" t="s">
        <v>30</v>
      </c>
      <c r="F307" s="6">
        <v>45657</v>
      </c>
      <c r="G307">
        <v>2024</v>
      </c>
      <c r="H307" t="s">
        <v>57</v>
      </c>
      <c r="I307" t="s">
        <v>78</v>
      </c>
      <c r="J307">
        <v>80</v>
      </c>
      <c r="K307">
        <v>89.35</v>
      </c>
      <c r="L307">
        <v>1.1168750000000001</v>
      </c>
      <c r="M307">
        <v>1.1168750000000001</v>
      </c>
      <c r="N307" t="s">
        <v>193</v>
      </c>
      <c r="O307" t="s">
        <v>5380</v>
      </c>
      <c r="P307" t="s">
        <v>241</v>
      </c>
      <c r="Q307">
        <v>2</v>
      </c>
      <c r="R307">
        <v>2</v>
      </c>
    </row>
    <row r="308" spans="1:18" x14ac:dyDescent="0.3">
      <c r="A308" t="s">
        <v>231</v>
      </c>
      <c r="B308" t="s">
        <v>125</v>
      </c>
      <c r="C308" t="s">
        <v>232</v>
      </c>
      <c r="D308" t="s">
        <v>233</v>
      </c>
      <c r="E308" t="s">
        <v>30</v>
      </c>
      <c r="F308" s="6">
        <v>45838</v>
      </c>
      <c r="G308">
        <v>2025</v>
      </c>
      <c r="H308" t="s">
        <v>44</v>
      </c>
      <c r="I308" t="s">
        <v>244</v>
      </c>
      <c r="J308">
        <v>80</v>
      </c>
      <c r="K308">
        <v>96.35</v>
      </c>
      <c r="L308">
        <v>1.204375</v>
      </c>
      <c r="M308">
        <v>1.204375</v>
      </c>
      <c r="N308" t="s">
        <v>193</v>
      </c>
      <c r="O308" t="s">
        <v>5381</v>
      </c>
      <c r="P308" t="s">
        <v>246</v>
      </c>
      <c r="Q308">
        <v>2</v>
      </c>
      <c r="R308">
        <v>2</v>
      </c>
    </row>
    <row r="309" spans="1:18" x14ac:dyDescent="0.3">
      <c r="A309" t="s">
        <v>231</v>
      </c>
      <c r="B309" t="s">
        <v>125</v>
      </c>
      <c r="C309" t="s">
        <v>232</v>
      </c>
      <c r="D309" t="s">
        <v>233</v>
      </c>
      <c r="E309" t="s">
        <v>30</v>
      </c>
      <c r="F309" s="6">
        <v>46022</v>
      </c>
      <c r="G309">
        <v>2025</v>
      </c>
      <c r="H309" t="s">
        <v>57</v>
      </c>
      <c r="I309" t="s">
        <v>103</v>
      </c>
      <c r="J309">
        <v>80</v>
      </c>
      <c r="K309">
        <v>96.6</v>
      </c>
      <c r="L309">
        <v>1.2075</v>
      </c>
      <c r="M309">
        <v>1.2075</v>
      </c>
      <c r="N309" t="s">
        <v>193</v>
      </c>
      <c r="O309" t="s">
        <v>248</v>
      </c>
      <c r="P309" t="s">
        <v>249</v>
      </c>
      <c r="Q309">
        <v>2</v>
      </c>
      <c r="R309">
        <v>2</v>
      </c>
    </row>
    <row r="310" spans="1:18" x14ac:dyDescent="0.3">
      <c r="A310" t="s">
        <v>250</v>
      </c>
      <c r="B310" t="s">
        <v>125</v>
      </c>
      <c r="C310" t="s">
        <v>251</v>
      </c>
      <c r="D310" t="s">
        <v>98</v>
      </c>
      <c r="E310" t="s">
        <v>30</v>
      </c>
      <c r="F310" s="6">
        <v>44926</v>
      </c>
      <c r="G310">
        <v>2022</v>
      </c>
      <c r="H310" t="s">
        <v>57</v>
      </c>
      <c r="I310" t="s">
        <v>90</v>
      </c>
      <c r="J310">
        <v>80</v>
      </c>
      <c r="K310">
        <v>74.166215125198292</v>
      </c>
      <c r="L310">
        <v>0.92707768906497867</v>
      </c>
      <c r="M310">
        <v>0.92707768906497867</v>
      </c>
      <c r="N310" t="s">
        <v>193</v>
      </c>
      <c r="O310" t="s">
        <v>5382</v>
      </c>
      <c r="P310" t="s">
        <v>5383</v>
      </c>
      <c r="Q310">
        <v>2</v>
      </c>
      <c r="R310">
        <v>2</v>
      </c>
    </row>
    <row r="311" spans="1:18" x14ac:dyDescent="0.3">
      <c r="A311" t="s">
        <v>250</v>
      </c>
      <c r="B311" t="s">
        <v>125</v>
      </c>
      <c r="C311" t="s">
        <v>251</v>
      </c>
      <c r="D311" t="s">
        <v>98</v>
      </c>
      <c r="E311" t="s">
        <v>30</v>
      </c>
      <c r="F311" s="6">
        <v>45291</v>
      </c>
      <c r="G311">
        <v>2023</v>
      </c>
      <c r="H311" t="s">
        <v>57</v>
      </c>
      <c r="I311" t="s">
        <v>47</v>
      </c>
      <c r="J311">
        <v>80</v>
      </c>
      <c r="K311">
        <v>89.603847284377991</v>
      </c>
      <c r="L311">
        <v>1.120048091054725</v>
      </c>
      <c r="M311">
        <v>1.120048091054725</v>
      </c>
      <c r="N311" t="s">
        <v>193</v>
      </c>
      <c r="O311" t="s">
        <v>5384</v>
      </c>
      <c r="P311" t="s">
        <v>5385</v>
      </c>
      <c r="Q311">
        <v>2</v>
      </c>
      <c r="R311">
        <v>2</v>
      </c>
    </row>
    <row r="312" spans="1:18" x14ac:dyDescent="0.3">
      <c r="A312" t="s">
        <v>250</v>
      </c>
      <c r="B312" t="s">
        <v>125</v>
      </c>
      <c r="C312" t="s">
        <v>251</v>
      </c>
      <c r="D312" t="s">
        <v>98</v>
      </c>
      <c r="E312" t="s">
        <v>30</v>
      </c>
      <c r="F312" s="6">
        <v>45657</v>
      </c>
      <c r="G312">
        <v>2024</v>
      </c>
      <c r="H312" t="s">
        <v>57</v>
      </c>
      <c r="I312" t="s">
        <v>78</v>
      </c>
      <c r="J312">
        <v>80</v>
      </c>
      <c r="K312">
        <v>90</v>
      </c>
      <c r="L312">
        <v>1.125</v>
      </c>
      <c r="M312">
        <v>1.125</v>
      </c>
      <c r="N312" t="s">
        <v>193</v>
      </c>
      <c r="O312" t="s">
        <v>256</v>
      </c>
      <c r="P312" t="s">
        <v>5386</v>
      </c>
      <c r="Q312">
        <v>2</v>
      </c>
      <c r="R312">
        <v>2</v>
      </c>
    </row>
    <row r="313" spans="1:18" x14ac:dyDescent="0.3">
      <c r="A313" t="s">
        <v>250</v>
      </c>
      <c r="B313" t="s">
        <v>125</v>
      </c>
      <c r="C313" t="s">
        <v>251</v>
      </c>
      <c r="D313" t="s">
        <v>98</v>
      </c>
      <c r="E313" t="s">
        <v>30</v>
      </c>
      <c r="F313" s="6">
        <v>46022</v>
      </c>
      <c r="G313">
        <v>2025</v>
      </c>
      <c r="H313" t="s">
        <v>57</v>
      </c>
      <c r="I313" t="s">
        <v>103</v>
      </c>
      <c r="J313">
        <v>80</v>
      </c>
      <c r="K313">
        <v>90</v>
      </c>
      <c r="L313">
        <v>1.125</v>
      </c>
      <c r="M313">
        <v>1.125</v>
      </c>
      <c r="N313" t="s">
        <v>193</v>
      </c>
      <c r="O313" t="s">
        <v>256</v>
      </c>
      <c r="P313" t="s">
        <v>5387</v>
      </c>
      <c r="Q313">
        <v>2</v>
      </c>
      <c r="R313">
        <v>2</v>
      </c>
    </row>
    <row r="314" spans="1:18" x14ac:dyDescent="0.3">
      <c r="A314" t="s">
        <v>258</v>
      </c>
      <c r="B314" t="s">
        <v>125</v>
      </c>
      <c r="C314" t="s">
        <v>259</v>
      </c>
      <c r="D314" t="s">
        <v>98</v>
      </c>
      <c r="E314" t="s">
        <v>30</v>
      </c>
      <c r="F314" s="6">
        <v>44926</v>
      </c>
      <c r="G314">
        <v>2022</v>
      </c>
      <c r="H314" t="s">
        <v>57</v>
      </c>
      <c r="I314" t="s">
        <v>90</v>
      </c>
      <c r="J314">
        <v>80</v>
      </c>
      <c r="K314">
        <v>76.616718813056906</v>
      </c>
      <c r="L314">
        <v>0.95770898516321135</v>
      </c>
      <c r="M314">
        <v>0.95770898516321135</v>
      </c>
      <c r="N314" t="s">
        <v>193</v>
      </c>
      <c r="O314" t="s">
        <v>5388</v>
      </c>
      <c r="P314" t="s">
        <v>5389</v>
      </c>
      <c r="Q314">
        <v>2</v>
      </c>
      <c r="R314">
        <v>2</v>
      </c>
    </row>
    <row r="315" spans="1:18" x14ac:dyDescent="0.3">
      <c r="A315" t="s">
        <v>258</v>
      </c>
      <c r="B315" t="s">
        <v>125</v>
      </c>
      <c r="C315" t="s">
        <v>259</v>
      </c>
      <c r="D315" t="s">
        <v>98</v>
      </c>
      <c r="E315" t="s">
        <v>30</v>
      </c>
      <c r="F315" s="6">
        <v>45291</v>
      </c>
      <c r="G315">
        <v>2023</v>
      </c>
      <c r="H315" t="s">
        <v>57</v>
      </c>
      <c r="I315" t="s">
        <v>47</v>
      </c>
      <c r="J315">
        <v>80</v>
      </c>
      <c r="K315">
        <v>88.101513502306503</v>
      </c>
      <c r="L315">
        <v>1.1012689187788309</v>
      </c>
      <c r="M315">
        <v>1.1012689187788309</v>
      </c>
      <c r="N315" t="s">
        <v>193</v>
      </c>
      <c r="O315" t="s">
        <v>5390</v>
      </c>
      <c r="P315" t="s">
        <v>5391</v>
      </c>
      <c r="Q315">
        <v>2</v>
      </c>
      <c r="R315">
        <v>2</v>
      </c>
    </row>
    <row r="316" spans="1:18" x14ac:dyDescent="0.3">
      <c r="A316" t="s">
        <v>258</v>
      </c>
      <c r="B316" t="s">
        <v>125</v>
      </c>
      <c r="C316" t="s">
        <v>262</v>
      </c>
      <c r="D316" t="s">
        <v>98</v>
      </c>
      <c r="E316" t="s">
        <v>30</v>
      </c>
      <c r="F316" s="6">
        <v>45657</v>
      </c>
      <c r="G316">
        <v>2024</v>
      </c>
      <c r="H316" t="s">
        <v>57</v>
      </c>
      <c r="I316" t="s">
        <v>78</v>
      </c>
      <c r="J316">
        <v>80</v>
      </c>
      <c r="K316">
        <v>88</v>
      </c>
      <c r="L316">
        <v>1.1000000000000001</v>
      </c>
      <c r="M316">
        <v>1.1000000000000001</v>
      </c>
      <c r="N316" t="s">
        <v>193</v>
      </c>
      <c r="O316" t="s">
        <v>4404</v>
      </c>
      <c r="P316" t="s">
        <v>5392</v>
      </c>
      <c r="Q316">
        <v>2</v>
      </c>
      <c r="R316">
        <v>2</v>
      </c>
    </row>
    <row r="317" spans="1:18" x14ac:dyDescent="0.3">
      <c r="A317" t="s">
        <v>258</v>
      </c>
      <c r="B317" t="s">
        <v>125</v>
      </c>
      <c r="C317" t="s">
        <v>262</v>
      </c>
      <c r="D317" t="s">
        <v>98</v>
      </c>
      <c r="E317" t="s">
        <v>30</v>
      </c>
      <c r="F317" s="6">
        <v>46022</v>
      </c>
      <c r="G317">
        <v>2025</v>
      </c>
      <c r="H317" t="s">
        <v>57</v>
      </c>
      <c r="I317" t="s">
        <v>103</v>
      </c>
      <c r="J317">
        <v>80</v>
      </c>
      <c r="K317">
        <v>94</v>
      </c>
      <c r="L317">
        <v>1.175</v>
      </c>
      <c r="M317">
        <v>1.175</v>
      </c>
      <c r="N317" t="s">
        <v>193</v>
      </c>
      <c r="O317" t="s">
        <v>194</v>
      </c>
      <c r="P317" t="s">
        <v>5393</v>
      </c>
      <c r="Q317">
        <v>2</v>
      </c>
      <c r="R317">
        <v>2</v>
      </c>
    </row>
    <row r="318" spans="1:18" x14ac:dyDescent="0.3">
      <c r="A318" t="s">
        <v>265</v>
      </c>
      <c r="B318" t="s">
        <v>125</v>
      </c>
      <c r="C318" t="s">
        <v>266</v>
      </c>
      <c r="D318" t="s">
        <v>98</v>
      </c>
      <c r="E318" t="s">
        <v>30</v>
      </c>
      <c r="F318" s="6">
        <v>44926</v>
      </c>
      <c r="G318">
        <v>2022</v>
      </c>
      <c r="H318" t="s">
        <v>57</v>
      </c>
      <c r="I318" t="s">
        <v>90</v>
      </c>
      <c r="J318">
        <v>80</v>
      </c>
      <c r="K318">
        <v>79.427055947965997</v>
      </c>
      <c r="L318">
        <v>0.99283819934957496</v>
      </c>
      <c r="M318">
        <v>0.99283819934957496</v>
      </c>
      <c r="N318" t="s">
        <v>193</v>
      </c>
      <c r="O318" t="s">
        <v>5394</v>
      </c>
      <c r="P318" t="s">
        <v>5395</v>
      </c>
      <c r="Q318">
        <v>2</v>
      </c>
      <c r="R318">
        <v>2</v>
      </c>
    </row>
    <row r="319" spans="1:18" x14ac:dyDescent="0.3">
      <c r="A319" t="s">
        <v>265</v>
      </c>
      <c r="B319" t="s">
        <v>125</v>
      </c>
      <c r="C319" t="s">
        <v>266</v>
      </c>
      <c r="D319" t="s">
        <v>98</v>
      </c>
      <c r="E319" t="s">
        <v>30</v>
      </c>
      <c r="F319" s="6">
        <v>45291</v>
      </c>
      <c r="G319">
        <v>2023</v>
      </c>
      <c r="H319" t="s">
        <v>57</v>
      </c>
      <c r="I319" t="s">
        <v>47</v>
      </c>
      <c r="J319">
        <v>80</v>
      </c>
      <c r="K319">
        <v>86.209232514990404</v>
      </c>
      <c r="L319">
        <v>1.07761540643738</v>
      </c>
      <c r="M319">
        <v>1.07761540643738</v>
      </c>
      <c r="N319" t="s">
        <v>193</v>
      </c>
      <c r="O319" t="s">
        <v>5396</v>
      </c>
      <c r="P319" t="s">
        <v>5397</v>
      </c>
      <c r="Q319">
        <v>2</v>
      </c>
      <c r="R319">
        <v>2</v>
      </c>
    </row>
    <row r="320" spans="1:18" x14ac:dyDescent="0.3">
      <c r="A320" t="s">
        <v>265</v>
      </c>
      <c r="B320" t="s">
        <v>125</v>
      </c>
      <c r="C320" t="s">
        <v>266</v>
      </c>
      <c r="D320" t="s">
        <v>98</v>
      </c>
      <c r="E320" t="s">
        <v>30</v>
      </c>
      <c r="F320" s="6">
        <v>45657</v>
      </c>
      <c r="G320">
        <v>2024</v>
      </c>
      <c r="H320" t="s">
        <v>57</v>
      </c>
      <c r="I320" t="s">
        <v>78</v>
      </c>
      <c r="J320">
        <v>80</v>
      </c>
      <c r="K320">
        <v>81</v>
      </c>
      <c r="L320">
        <v>1.0125</v>
      </c>
      <c r="M320">
        <v>1.0125</v>
      </c>
      <c r="N320" t="s">
        <v>193</v>
      </c>
      <c r="O320" t="s">
        <v>1054</v>
      </c>
      <c r="P320" t="s">
        <v>5398</v>
      </c>
      <c r="Q320">
        <v>2</v>
      </c>
      <c r="R320">
        <v>2</v>
      </c>
    </row>
    <row r="321" spans="1:18" x14ac:dyDescent="0.3">
      <c r="A321" t="s">
        <v>265</v>
      </c>
      <c r="B321" t="s">
        <v>125</v>
      </c>
      <c r="C321" t="s">
        <v>270</v>
      </c>
      <c r="D321" t="s">
        <v>98</v>
      </c>
      <c r="E321" t="s">
        <v>30</v>
      </c>
      <c r="F321" s="6">
        <v>46022</v>
      </c>
      <c r="G321">
        <v>2025</v>
      </c>
      <c r="H321" t="s">
        <v>57</v>
      </c>
      <c r="I321" t="s">
        <v>103</v>
      </c>
      <c r="J321">
        <v>80</v>
      </c>
      <c r="K321">
        <v>74</v>
      </c>
      <c r="L321">
        <v>0.92500000000000004</v>
      </c>
      <c r="M321">
        <v>0.92500000000000004</v>
      </c>
      <c r="N321" t="s">
        <v>193</v>
      </c>
      <c r="O321" t="s">
        <v>272</v>
      </c>
      <c r="P321" t="s">
        <v>5399</v>
      </c>
      <c r="Q321">
        <v>2</v>
      </c>
      <c r="R321">
        <v>2</v>
      </c>
    </row>
    <row r="322" spans="1:18" x14ac:dyDescent="0.3">
      <c r="A322" t="s">
        <v>274</v>
      </c>
      <c r="B322" t="s">
        <v>125</v>
      </c>
      <c r="C322" t="s">
        <v>97</v>
      </c>
      <c r="D322" t="s">
        <v>98</v>
      </c>
      <c r="E322" t="s">
        <v>30</v>
      </c>
      <c r="F322" s="6">
        <v>45291</v>
      </c>
      <c r="G322">
        <v>2023</v>
      </c>
      <c r="H322" t="s">
        <v>57</v>
      </c>
      <c r="I322" t="s">
        <v>47</v>
      </c>
      <c r="J322">
        <v>80</v>
      </c>
      <c r="K322">
        <v>90.789405483854196</v>
      </c>
      <c r="L322">
        <v>1.1348675685481771</v>
      </c>
      <c r="M322">
        <v>1.1348675685481771</v>
      </c>
      <c r="N322" t="s">
        <v>193</v>
      </c>
      <c r="O322" t="s">
        <v>5400</v>
      </c>
      <c r="P322" t="s">
        <v>277</v>
      </c>
      <c r="Q322">
        <v>2</v>
      </c>
      <c r="R322">
        <v>2</v>
      </c>
    </row>
    <row r="323" spans="1:18" x14ac:dyDescent="0.3">
      <c r="A323" t="s">
        <v>274</v>
      </c>
      <c r="B323" t="s">
        <v>125</v>
      </c>
      <c r="C323" t="s">
        <v>97</v>
      </c>
      <c r="D323" t="s">
        <v>98</v>
      </c>
      <c r="E323" t="s">
        <v>30</v>
      </c>
      <c r="F323" s="6">
        <v>45657</v>
      </c>
      <c r="G323">
        <v>2024</v>
      </c>
      <c r="H323" t="s">
        <v>57</v>
      </c>
      <c r="I323" t="s">
        <v>78</v>
      </c>
      <c r="L323">
        <v>0</v>
      </c>
      <c r="M323">
        <v>0</v>
      </c>
      <c r="P323" t="s">
        <v>278</v>
      </c>
      <c r="Q323">
        <v>2</v>
      </c>
      <c r="R323">
        <v>2</v>
      </c>
    </row>
    <row r="324" spans="1:18" x14ac:dyDescent="0.3">
      <c r="A324" t="s">
        <v>274</v>
      </c>
      <c r="B324" t="s">
        <v>125</v>
      </c>
      <c r="C324" t="s">
        <v>97</v>
      </c>
      <c r="D324" t="s">
        <v>98</v>
      </c>
      <c r="E324" t="s">
        <v>30</v>
      </c>
      <c r="F324" s="6">
        <v>46022</v>
      </c>
      <c r="G324">
        <v>2025</v>
      </c>
      <c r="H324" t="s">
        <v>57</v>
      </c>
      <c r="I324" t="s">
        <v>103</v>
      </c>
      <c r="J324">
        <v>80</v>
      </c>
      <c r="K324">
        <v>89</v>
      </c>
      <c r="L324">
        <v>1.1125</v>
      </c>
      <c r="M324">
        <v>1.1125</v>
      </c>
      <c r="N324" t="s">
        <v>193</v>
      </c>
      <c r="O324" t="s">
        <v>280</v>
      </c>
      <c r="P324" t="s">
        <v>5401</v>
      </c>
      <c r="Q324">
        <v>2</v>
      </c>
      <c r="R324">
        <v>2</v>
      </c>
    </row>
    <row r="325" spans="1:18" x14ac:dyDescent="0.3">
      <c r="A325" t="s">
        <v>282</v>
      </c>
      <c r="B325" t="s">
        <v>125</v>
      </c>
      <c r="C325" t="s">
        <v>283</v>
      </c>
      <c r="D325" t="s">
        <v>284</v>
      </c>
      <c r="E325" t="s">
        <v>30</v>
      </c>
      <c r="F325" s="6">
        <v>45107</v>
      </c>
      <c r="G325">
        <v>2023</v>
      </c>
      <c r="H325" t="s">
        <v>44</v>
      </c>
      <c r="I325" t="s">
        <v>33</v>
      </c>
      <c r="J325">
        <v>80</v>
      </c>
      <c r="K325">
        <v>83.5</v>
      </c>
      <c r="L325">
        <v>1.04375</v>
      </c>
      <c r="M325">
        <v>1.04375</v>
      </c>
      <c r="N325" t="s">
        <v>193</v>
      </c>
      <c r="O325" t="s">
        <v>5402</v>
      </c>
      <c r="P325" t="s">
        <v>287</v>
      </c>
      <c r="Q325">
        <v>2</v>
      </c>
      <c r="R325">
        <v>2</v>
      </c>
    </row>
    <row r="326" spans="1:18" x14ac:dyDescent="0.3">
      <c r="A326" t="s">
        <v>282</v>
      </c>
      <c r="B326" t="s">
        <v>125</v>
      </c>
      <c r="C326" t="s">
        <v>283</v>
      </c>
      <c r="D326" t="s">
        <v>284</v>
      </c>
      <c r="E326" t="s">
        <v>30</v>
      </c>
      <c r="F326" s="6">
        <v>45291</v>
      </c>
      <c r="G326">
        <v>2023</v>
      </c>
      <c r="H326" t="s">
        <v>57</v>
      </c>
      <c r="I326" t="s">
        <v>47</v>
      </c>
      <c r="J326">
        <v>80</v>
      </c>
      <c r="K326">
        <v>86.666666666666671</v>
      </c>
      <c r="L326">
        <v>1.083333333333333</v>
      </c>
      <c r="M326">
        <v>1.083333333333333</v>
      </c>
      <c r="N326" t="s">
        <v>193</v>
      </c>
      <c r="O326" t="s">
        <v>5403</v>
      </c>
      <c r="P326" t="s">
        <v>290</v>
      </c>
      <c r="Q326">
        <v>2</v>
      </c>
      <c r="R326">
        <v>2</v>
      </c>
    </row>
    <row r="327" spans="1:18" x14ac:dyDescent="0.3">
      <c r="A327" t="s">
        <v>282</v>
      </c>
      <c r="B327" t="s">
        <v>125</v>
      </c>
      <c r="C327" t="s">
        <v>283</v>
      </c>
      <c r="D327" t="s">
        <v>284</v>
      </c>
      <c r="E327" t="s">
        <v>30</v>
      </c>
      <c r="F327" s="6">
        <v>45473</v>
      </c>
      <c r="G327">
        <v>2024</v>
      </c>
      <c r="H327" t="s">
        <v>44</v>
      </c>
      <c r="I327" t="s">
        <v>71</v>
      </c>
      <c r="L327">
        <v>0</v>
      </c>
      <c r="M327">
        <v>0</v>
      </c>
      <c r="P327" t="s">
        <v>293</v>
      </c>
      <c r="Q327">
        <v>2</v>
      </c>
      <c r="R327">
        <v>2</v>
      </c>
    </row>
    <row r="328" spans="1:18" x14ac:dyDescent="0.3">
      <c r="A328" t="s">
        <v>282</v>
      </c>
      <c r="B328" t="s">
        <v>125</v>
      </c>
      <c r="C328" t="s">
        <v>283</v>
      </c>
      <c r="D328" t="s">
        <v>284</v>
      </c>
      <c r="E328" t="s">
        <v>30</v>
      </c>
      <c r="F328" s="6">
        <v>45657</v>
      </c>
      <c r="G328">
        <v>2024</v>
      </c>
      <c r="H328" t="s">
        <v>57</v>
      </c>
      <c r="I328" t="s">
        <v>78</v>
      </c>
      <c r="J328">
        <v>80</v>
      </c>
      <c r="K328">
        <v>88</v>
      </c>
      <c r="L328">
        <v>1.1000000000000001</v>
      </c>
      <c r="M328">
        <v>1.1000000000000001</v>
      </c>
      <c r="N328" t="s">
        <v>193</v>
      </c>
      <c r="O328" t="s">
        <v>4404</v>
      </c>
      <c r="P328" t="s">
        <v>296</v>
      </c>
      <c r="Q328">
        <v>2</v>
      </c>
      <c r="R328">
        <v>2</v>
      </c>
    </row>
    <row r="329" spans="1:18" x14ac:dyDescent="0.3">
      <c r="A329" t="s">
        <v>282</v>
      </c>
      <c r="B329" t="s">
        <v>125</v>
      </c>
      <c r="C329" t="s">
        <v>283</v>
      </c>
      <c r="D329" t="s">
        <v>98</v>
      </c>
      <c r="E329" t="s">
        <v>30</v>
      </c>
      <c r="F329" s="6">
        <v>46022</v>
      </c>
      <c r="G329">
        <v>2025</v>
      </c>
      <c r="H329" t="s">
        <v>57</v>
      </c>
      <c r="I329" t="s">
        <v>103</v>
      </c>
      <c r="J329">
        <v>80</v>
      </c>
      <c r="K329">
        <v>100</v>
      </c>
      <c r="L329">
        <v>1.25</v>
      </c>
      <c r="M329">
        <v>1.25</v>
      </c>
      <c r="N329" t="s">
        <v>193</v>
      </c>
      <c r="O329" t="s">
        <v>102</v>
      </c>
      <c r="P329" t="s">
        <v>297</v>
      </c>
      <c r="Q329">
        <v>2</v>
      </c>
      <c r="R329">
        <v>2</v>
      </c>
    </row>
    <row r="330" spans="1:18" x14ac:dyDescent="0.3">
      <c r="A330" t="s">
        <v>298</v>
      </c>
      <c r="B330" t="s">
        <v>125</v>
      </c>
      <c r="C330" t="s">
        <v>299</v>
      </c>
      <c r="D330" t="s">
        <v>98</v>
      </c>
      <c r="E330" t="s">
        <v>30</v>
      </c>
      <c r="F330" s="6">
        <v>44926</v>
      </c>
      <c r="G330">
        <v>2022</v>
      </c>
      <c r="H330" t="s">
        <v>57</v>
      </c>
      <c r="I330" t="s">
        <v>90</v>
      </c>
      <c r="J330">
        <v>80</v>
      </c>
      <c r="K330">
        <v>86.602201544730292</v>
      </c>
      <c r="L330">
        <v>1.082527519309129</v>
      </c>
      <c r="M330">
        <v>1.082527519309129</v>
      </c>
      <c r="N330" t="s">
        <v>193</v>
      </c>
      <c r="O330" t="s">
        <v>5404</v>
      </c>
      <c r="P330" t="s">
        <v>5405</v>
      </c>
      <c r="Q330">
        <v>2</v>
      </c>
      <c r="R330">
        <v>2</v>
      </c>
    </row>
    <row r="331" spans="1:18" x14ac:dyDescent="0.3">
      <c r="A331" t="s">
        <v>298</v>
      </c>
      <c r="B331" t="s">
        <v>125</v>
      </c>
      <c r="C331" t="s">
        <v>299</v>
      </c>
      <c r="D331" t="s">
        <v>98</v>
      </c>
      <c r="E331" t="s">
        <v>30</v>
      </c>
      <c r="F331" s="6">
        <v>45291</v>
      </c>
      <c r="G331">
        <v>2023</v>
      </c>
      <c r="H331" t="s">
        <v>57</v>
      </c>
      <c r="I331" t="s">
        <v>47</v>
      </c>
      <c r="J331">
        <v>80</v>
      </c>
      <c r="K331">
        <v>90.107415856608498</v>
      </c>
      <c r="L331">
        <v>1.1263426982076059</v>
      </c>
      <c r="M331">
        <v>1.1263426982076059</v>
      </c>
      <c r="N331" t="s">
        <v>193</v>
      </c>
      <c r="O331" t="s">
        <v>5406</v>
      </c>
      <c r="P331" t="s">
        <v>5407</v>
      </c>
      <c r="Q331">
        <v>2</v>
      </c>
      <c r="R331">
        <v>2</v>
      </c>
    </row>
    <row r="332" spans="1:18" x14ac:dyDescent="0.3">
      <c r="A332" t="s">
        <v>298</v>
      </c>
      <c r="B332" t="s">
        <v>125</v>
      </c>
      <c r="C332" t="s">
        <v>299</v>
      </c>
      <c r="D332" t="s">
        <v>98</v>
      </c>
      <c r="E332" t="s">
        <v>30</v>
      </c>
      <c r="F332" s="6">
        <v>45657</v>
      </c>
      <c r="G332">
        <v>2024</v>
      </c>
      <c r="H332" t="s">
        <v>57</v>
      </c>
      <c r="I332" t="s">
        <v>78</v>
      </c>
      <c r="J332">
        <v>80</v>
      </c>
      <c r="K332">
        <v>89</v>
      </c>
      <c r="L332">
        <v>1.1125</v>
      </c>
      <c r="M332">
        <v>1.1125</v>
      </c>
      <c r="N332" t="s">
        <v>193</v>
      </c>
      <c r="O332" t="s">
        <v>280</v>
      </c>
      <c r="P332" t="s">
        <v>5408</v>
      </c>
      <c r="Q332">
        <v>2</v>
      </c>
      <c r="R332">
        <v>2</v>
      </c>
    </row>
    <row r="333" spans="1:18" x14ac:dyDescent="0.3">
      <c r="A333" t="s">
        <v>298</v>
      </c>
      <c r="B333" t="s">
        <v>125</v>
      </c>
      <c r="C333" t="s">
        <v>299</v>
      </c>
      <c r="D333" t="s">
        <v>98</v>
      </c>
      <c r="E333" t="s">
        <v>30</v>
      </c>
      <c r="F333" s="6">
        <v>46022</v>
      </c>
      <c r="G333">
        <v>2025</v>
      </c>
      <c r="H333" t="s">
        <v>57</v>
      </c>
      <c r="I333" t="s">
        <v>103</v>
      </c>
      <c r="J333">
        <v>80</v>
      </c>
      <c r="K333">
        <v>100</v>
      </c>
      <c r="L333">
        <v>1.25</v>
      </c>
      <c r="M333">
        <v>1.25</v>
      </c>
      <c r="N333" t="s">
        <v>193</v>
      </c>
      <c r="O333" t="s">
        <v>102</v>
      </c>
      <c r="P333" t="s">
        <v>5409</v>
      </c>
      <c r="Q333">
        <v>2</v>
      </c>
      <c r="R333">
        <v>2</v>
      </c>
    </row>
    <row r="334" spans="1:18" x14ac:dyDescent="0.3">
      <c r="A334" t="s">
        <v>304</v>
      </c>
      <c r="B334" t="s">
        <v>125</v>
      </c>
      <c r="C334" t="s">
        <v>305</v>
      </c>
      <c r="D334" t="s">
        <v>98</v>
      </c>
      <c r="E334" t="s">
        <v>30</v>
      </c>
      <c r="F334" s="6">
        <v>44926</v>
      </c>
      <c r="G334">
        <v>2022</v>
      </c>
      <c r="H334" t="s">
        <v>57</v>
      </c>
      <c r="I334" t="s">
        <v>90</v>
      </c>
      <c r="J334">
        <v>80</v>
      </c>
      <c r="K334">
        <v>88.120620620620599</v>
      </c>
      <c r="L334">
        <v>1.101507757757757</v>
      </c>
      <c r="M334">
        <v>1.101507757757757</v>
      </c>
      <c r="N334" t="s">
        <v>193</v>
      </c>
      <c r="O334" t="s">
        <v>5410</v>
      </c>
      <c r="P334" t="s">
        <v>5411</v>
      </c>
      <c r="Q334">
        <v>2</v>
      </c>
      <c r="R334">
        <v>2</v>
      </c>
    </row>
    <row r="335" spans="1:18" x14ac:dyDescent="0.3">
      <c r="A335" t="s">
        <v>304</v>
      </c>
      <c r="B335" t="s">
        <v>125</v>
      </c>
      <c r="C335" t="s">
        <v>305</v>
      </c>
      <c r="D335" t="s">
        <v>98</v>
      </c>
      <c r="E335" t="s">
        <v>30</v>
      </c>
      <c r="F335" s="6">
        <v>45291</v>
      </c>
      <c r="G335">
        <v>2023</v>
      </c>
      <c r="H335" t="s">
        <v>57</v>
      </c>
      <c r="I335" t="s">
        <v>47</v>
      </c>
      <c r="J335">
        <v>80</v>
      </c>
      <c r="K335">
        <v>94.138576779026195</v>
      </c>
      <c r="L335">
        <v>1.176732209737827</v>
      </c>
      <c r="M335">
        <v>1.176732209737827</v>
      </c>
      <c r="N335" t="s">
        <v>193</v>
      </c>
      <c r="O335" t="s">
        <v>5412</v>
      </c>
      <c r="P335" t="s">
        <v>307</v>
      </c>
      <c r="Q335">
        <v>2</v>
      </c>
      <c r="R335">
        <v>2</v>
      </c>
    </row>
    <row r="336" spans="1:18" x14ac:dyDescent="0.3">
      <c r="A336" t="s">
        <v>304</v>
      </c>
      <c r="B336" t="s">
        <v>308</v>
      </c>
      <c r="C336" t="s">
        <v>309</v>
      </c>
      <c r="D336" t="s">
        <v>98</v>
      </c>
      <c r="E336" t="s">
        <v>30</v>
      </c>
      <c r="F336" s="6">
        <v>45657</v>
      </c>
      <c r="G336">
        <v>2024</v>
      </c>
      <c r="H336" t="s">
        <v>57</v>
      </c>
      <c r="I336" t="s">
        <v>78</v>
      </c>
      <c r="J336">
        <v>80</v>
      </c>
      <c r="K336">
        <v>86</v>
      </c>
      <c r="L336">
        <v>1.075</v>
      </c>
      <c r="M336">
        <v>1.075</v>
      </c>
      <c r="N336" t="s">
        <v>193</v>
      </c>
      <c r="O336" t="s">
        <v>4410</v>
      </c>
      <c r="P336" t="s">
        <v>310</v>
      </c>
      <c r="Q336">
        <v>2</v>
      </c>
      <c r="R336">
        <v>2</v>
      </c>
    </row>
    <row r="337" spans="1:18" x14ac:dyDescent="0.3">
      <c r="A337" t="s">
        <v>304</v>
      </c>
      <c r="B337" t="s">
        <v>308</v>
      </c>
      <c r="C337" t="s">
        <v>309</v>
      </c>
      <c r="D337" t="s">
        <v>98</v>
      </c>
      <c r="E337" t="s">
        <v>30</v>
      </c>
      <c r="F337" s="6">
        <v>46022</v>
      </c>
      <c r="G337">
        <v>2025</v>
      </c>
      <c r="H337" t="s">
        <v>57</v>
      </c>
      <c r="I337" t="s">
        <v>103</v>
      </c>
      <c r="J337">
        <v>80</v>
      </c>
      <c r="K337">
        <v>98</v>
      </c>
      <c r="L337">
        <v>1.2250000000000001</v>
      </c>
      <c r="M337">
        <v>1.2250000000000001</v>
      </c>
      <c r="N337" t="s">
        <v>193</v>
      </c>
      <c r="O337" t="s">
        <v>312</v>
      </c>
      <c r="P337" t="s">
        <v>5413</v>
      </c>
      <c r="Q337">
        <v>2</v>
      </c>
      <c r="R337">
        <v>2</v>
      </c>
    </row>
    <row r="338" spans="1:18" x14ac:dyDescent="0.3">
      <c r="A338" t="s">
        <v>314</v>
      </c>
      <c r="B338" t="s">
        <v>315</v>
      </c>
      <c r="C338" t="s">
        <v>184</v>
      </c>
      <c r="D338" t="s">
        <v>29</v>
      </c>
      <c r="E338" t="s">
        <v>30</v>
      </c>
      <c r="F338" s="6">
        <v>45291</v>
      </c>
      <c r="G338">
        <v>2023</v>
      </c>
      <c r="H338" t="s">
        <v>57</v>
      </c>
      <c r="I338" t="s">
        <v>47</v>
      </c>
      <c r="J338">
        <v>60.4</v>
      </c>
      <c r="K338">
        <v>51</v>
      </c>
      <c r="L338">
        <v>0.8443708609271523</v>
      </c>
      <c r="M338">
        <v>0.8443708609271523</v>
      </c>
      <c r="N338" t="s">
        <v>5414</v>
      </c>
      <c r="O338" t="s">
        <v>5415</v>
      </c>
      <c r="P338" t="s">
        <v>320</v>
      </c>
      <c r="Q338">
        <v>2</v>
      </c>
      <c r="R338">
        <v>2</v>
      </c>
    </row>
    <row r="339" spans="1:18" x14ac:dyDescent="0.3">
      <c r="A339" t="s">
        <v>314</v>
      </c>
      <c r="B339" t="s">
        <v>315</v>
      </c>
      <c r="C339" t="s">
        <v>184</v>
      </c>
      <c r="D339" t="s">
        <v>29</v>
      </c>
      <c r="E339" t="s">
        <v>30</v>
      </c>
      <c r="F339" s="6">
        <v>45473</v>
      </c>
      <c r="G339">
        <v>2024</v>
      </c>
      <c r="H339" t="s">
        <v>44</v>
      </c>
      <c r="I339" t="s">
        <v>71</v>
      </c>
      <c r="J339">
        <v>66.833333333333329</v>
      </c>
      <c r="K339">
        <v>59.333333333333343</v>
      </c>
      <c r="L339">
        <v>0.88778054862842903</v>
      </c>
      <c r="M339">
        <v>0.88778054862842903</v>
      </c>
      <c r="N339" t="s">
        <v>5416</v>
      </c>
      <c r="O339" t="s">
        <v>5417</v>
      </c>
      <c r="P339" t="s">
        <v>326</v>
      </c>
      <c r="Q339">
        <v>2</v>
      </c>
      <c r="R339">
        <v>2</v>
      </c>
    </row>
    <row r="340" spans="1:18" x14ac:dyDescent="0.3">
      <c r="A340" t="s">
        <v>314</v>
      </c>
      <c r="B340" t="s">
        <v>315</v>
      </c>
      <c r="C340" t="s">
        <v>184</v>
      </c>
      <c r="D340" t="s">
        <v>29</v>
      </c>
      <c r="E340" t="s">
        <v>30</v>
      </c>
      <c r="F340" s="6">
        <v>45657</v>
      </c>
      <c r="G340">
        <v>2024</v>
      </c>
      <c r="H340" t="s">
        <v>57</v>
      </c>
      <c r="I340" t="s">
        <v>78</v>
      </c>
      <c r="J340">
        <v>67</v>
      </c>
      <c r="K340">
        <v>54.5</v>
      </c>
      <c r="L340">
        <v>0.81343283582089554</v>
      </c>
      <c r="M340">
        <v>0.81343283582089554</v>
      </c>
      <c r="N340" t="s">
        <v>5418</v>
      </c>
      <c r="O340" t="s">
        <v>5419</v>
      </c>
      <c r="P340" t="s">
        <v>332</v>
      </c>
      <c r="Q340">
        <v>2</v>
      </c>
      <c r="R340">
        <v>2</v>
      </c>
    </row>
    <row r="341" spans="1:18" x14ac:dyDescent="0.3">
      <c r="A341" t="s">
        <v>333</v>
      </c>
      <c r="B341" t="s">
        <v>334</v>
      </c>
      <c r="C341" t="s">
        <v>262</v>
      </c>
      <c r="D341" t="s">
        <v>29</v>
      </c>
      <c r="E341" t="s">
        <v>108</v>
      </c>
      <c r="F341" s="6">
        <v>44742</v>
      </c>
      <c r="G341">
        <v>2022</v>
      </c>
      <c r="H341" t="s">
        <v>44</v>
      </c>
      <c r="I341" t="s">
        <v>88</v>
      </c>
      <c r="J341">
        <v>32121729</v>
      </c>
      <c r="K341">
        <v>32046746.833333328</v>
      </c>
      <c r="L341">
        <v>1.0023397746753091</v>
      </c>
      <c r="M341">
        <v>1.0023397746753091</v>
      </c>
      <c r="N341" t="s">
        <v>5420</v>
      </c>
      <c r="O341" t="s">
        <v>5421</v>
      </c>
      <c r="P341" t="s">
        <v>342</v>
      </c>
      <c r="Q341">
        <v>2</v>
      </c>
      <c r="R341">
        <v>2</v>
      </c>
    </row>
    <row r="342" spans="1:18" x14ac:dyDescent="0.3">
      <c r="A342" t="s">
        <v>333</v>
      </c>
      <c r="B342" t="s">
        <v>334</v>
      </c>
      <c r="C342" t="s">
        <v>262</v>
      </c>
      <c r="D342" t="s">
        <v>29</v>
      </c>
      <c r="E342" t="s">
        <v>108</v>
      </c>
      <c r="F342" s="6">
        <v>44926</v>
      </c>
      <c r="G342">
        <v>2022</v>
      </c>
      <c r="H342" t="s">
        <v>57</v>
      </c>
      <c r="I342" t="s">
        <v>90</v>
      </c>
      <c r="J342">
        <v>79221267.5</v>
      </c>
      <c r="K342">
        <v>79804777.833333328</v>
      </c>
      <c r="L342">
        <v>0.99268827820620031</v>
      </c>
      <c r="M342">
        <v>0.99268827820620031</v>
      </c>
      <c r="N342" t="s">
        <v>5422</v>
      </c>
      <c r="O342" t="s">
        <v>5423</v>
      </c>
      <c r="P342" t="s">
        <v>348</v>
      </c>
      <c r="Q342">
        <v>2</v>
      </c>
      <c r="R342">
        <v>2</v>
      </c>
    </row>
    <row r="343" spans="1:18" x14ac:dyDescent="0.3">
      <c r="A343" t="s">
        <v>333</v>
      </c>
      <c r="B343" t="s">
        <v>334</v>
      </c>
      <c r="C343" t="s">
        <v>262</v>
      </c>
      <c r="D343" t="s">
        <v>29</v>
      </c>
      <c r="E343" t="s">
        <v>108</v>
      </c>
      <c r="F343" s="6">
        <v>45107</v>
      </c>
      <c r="G343">
        <v>2023</v>
      </c>
      <c r="H343" t="s">
        <v>44</v>
      </c>
      <c r="I343" t="s">
        <v>33</v>
      </c>
      <c r="J343">
        <v>37207984.833333343</v>
      </c>
      <c r="K343">
        <v>38026915.166666657</v>
      </c>
      <c r="L343">
        <v>0.97846445524849779</v>
      </c>
      <c r="M343">
        <v>0.97846445524849779</v>
      </c>
      <c r="N343" t="s">
        <v>5424</v>
      </c>
      <c r="O343" t="s">
        <v>5425</v>
      </c>
      <c r="P343" t="s">
        <v>354</v>
      </c>
      <c r="Q343">
        <v>2</v>
      </c>
      <c r="R343">
        <v>2</v>
      </c>
    </row>
    <row r="344" spans="1:18" x14ac:dyDescent="0.3">
      <c r="A344" t="s">
        <v>333</v>
      </c>
      <c r="B344" t="s">
        <v>334</v>
      </c>
      <c r="C344" t="s">
        <v>262</v>
      </c>
      <c r="D344" t="s">
        <v>29</v>
      </c>
      <c r="E344" t="s">
        <v>108</v>
      </c>
      <c r="F344" s="6">
        <v>45291</v>
      </c>
      <c r="G344">
        <v>2023</v>
      </c>
      <c r="H344" t="s">
        <v>57</v>
      </c>
      <c r="I344" t="s">
        <v>47</v>
      </c>
      <c r="J344">
        <v>89078870.5</v>
      </c>
      <c r="K344">
        <v>95751389.166666672</v>
      </c>
      <c r="L344">
        <v>0.93031413199601354</v>
      </c>
      <c r="M344">
        <v>0.93031413199601354</v>
      </c>
      <c r="N344" t="s">
        <v>5426</v>
      </c>
      <c r="O344" t="s">
        <v>5427</v>
      </c>
      <c r="P344" t="s">
        <v>360</v>
      </c>
      <c r="Q344">
        <v>2</v>
      </c>
      <c r="R344">
        <v>2</v>
      </c>
    </row>
    <row r="345" spans="1:18" x14ac:dyDescent="0.3">
      <c r="A345" t="s">
        <v>333</v>
      </c>
      <c r="B345" t="s">
        <v>334</v>
      </c>
      <c r="C345" t="s">
        <v>262</v>
      </c>
      <c r="D345" t="s">
        <v>29</v>
      </c>
      <c r="E345" t="s">
        <v>108</v>
      </c>
      <c r="F345" s="6">
        <v>45473</v>
      </c>
      <c r="G345">
        <v>2024</v>
      </c>
      <c r="H345" t="s">
        <v>44</v>
      </c>
      <c r="I345" t="s">
        <v>71</v>
      </c>
      <c r="J345">
        <v>40613985.833333343</v>
      </c>
      <c r="K345">
        <v>41264900.833333343</v>
      </c>
      <c r="L345">
        <v>0.98422594052439361</v>
      </c>
      <c r="M345">
        <v>0.98422594052439361</v>
      </c>
      <c r="N345" t="s">
        <v>5428</v>
      </c>
      <c r="O345" t="s">
        <v>5429</v>
      </c>
      <c r="P345" t="s">
        <v>366</v>
      </c>
      <c r="Q345">
        <v>2</v>
      </c>
      <c r="R345">
        <v>2</v>
      </c>
    </row>
    <row r="346" spans="1:18" x14ac:dyDescent="0.3">
      <c r="A346" t="s">
        <v>333</v>
      </c>
      <c r="B346" t="s">
        <v>334</v>
      </c>
      <c r="C346" t="s">
        <v>262</v>
      </c>
      <c r="D346" t="s">
        <v>29</v>
      </c>
      <c r="E346" t="s">
        <v>108</v>
      </c>
      <c r="F346" s="6">
        <v>45657</v>
      </c>
      <c r="G346">
        <v>2024</v>
      </c>
      <c r="H346" t="s">
        <v>57</v>
      </c>
      <c r="I346" t="s">
        <v>78</v>
      </c>
      <c r="J346">
        <v>99058217.833333328</v>
      </c>
      <c r="K346">
        <v>99779138.333333328</v>
      </c>
      <c r="L346">
        <v>0.99277483738543004</v>
      </c>
      <c r="M346">
        <v>0.99277483738543004</v>
      </c>
      <c r="N346" t="s">
        <v>5430</v>
      </c>
      <c r="O346" t="s">
        <v>5431</v>
      </c>
      <c r="P346" t="s">
        <v>372</v>
      </c>
      <c r="Q346">
        <v>2</v>
      </c>
      <c r="R346">
        <v>2</v>
      </c>
    </row>
    <row r="347" spans="1:18" x14ac:dyDescent="0.3">
      <c r="A347" t="s">
        <v>333</v>
      </c>
      <c r="B347" t="s">
        <v>334</v>
      </c>
      <c r="C347" t="s">
        <v>262</v>
      </c>
      <c r="D347" t="s">
        <v>29</v>
      </c>
      <c r="E347" t="s">
        <v>108</v>
      </c>
      <c r="F347" s="6">
        <v>45838</v>
      </c>
      <c r="G347">
        <v>2025</v>
      </c>
      <c r="H347" t="s">
        <v>44</v>
      </c>
      <c r="I347" t="s">
        <v>244</v>
      </c>
      <c r="J347">
        <v>102</v>
      </c>
      <c r="K347">
        <v>107.4283333333333</v>
      </c>
      <c r="L347">
        <v>0.94947018942861139</v>
      </c>
      <c r="M347">
        <v>0.94947018942861139</v>
      </c>
      <c r="N347" t="s">
        <v>374</v>
      </c>
      <c r="O347" t="s">
        <v>5432</v>
      </c>
      <c r="P347" t="s">
        <v>390</v>
      </c>
      <c r="Q347">
        <v>2</v>
      </c>
      <c r="R347">
        <v>2</v>
      </c>
    </row>
    <row r="348" spans="1:18" x14ac:dyDescent="0.3">
      <c r="A348" t="s">
        <v>333</v>
      </c>
      <c r="B348" t="s">
        <v>334</v>
      </c>
      <c r="C348" t="s">
        <v>262</v>
      </c>
      <c r="D348" t="s">
        <v>29</v>
      </c>
      <c r="E348" t="s">
        <v>108</v>
      </c>
      <c r="F348" s="6">
        <v>46022</v>
      </c>
      <c r="G348">
        <v>2025</v>
      </c>
      <c r="H348" t="s">
        <v>57</v>
      </c>
      <c r="I348" t="s">
        <v>103</v>
      </c>
      <c r="J348">
        <v>102</v>
      </c>
      <c r="K348">
        <v>106.328</v>
      </c>
      <c r="L348">
        <v>0.95929576405086148</v>
      </c>
      <c r="M348">
        <v>0.95929576405086148</v>
      </c>
      <c r="N348" t="s">
        <v>374</v>
      </c>
      <c r="O348" t="s">
        <v>5433</v>
      </c>
      <c r="P348" t="s">
        <v>405</v>
      </c>
      <c r="Q348">
        <v>2</v>
      </c>
      <c r="R348">
        <v>2</v>
      </c>
    </row>
    <row r="349" spans="1:18" x14ac:dyDescent="0.3">
      <c r="A349" t="s">
        <v>333</v>
      </c>
      <c r="B349" t="s">
        <v>334</v>
      </c>
      <c r="C349" t="s">
        <v>262</v>
      </c>
      <c r="D349" t="s">
        <v>29</v>
      </c>
      <c r="E349" t="s">
        <v>108</v>
      </c>
      <c r="F349" s="6">
        <v>46203</v>
      </c>
      <c r="G349">
        <v>2026</v>
      </c>
      <c r="H349" t="s">
        <v>44</v>
      </c>
      <c r="I349" t="s">
        <v>408</v>
      </c>
      <c r="J349">
        <v>100</v>
      </c>
      <c r="K349">
        <v>98.65</v>
      </c>
      <c r="L349">
        <v>1.013684744044602</v>
      </c>
      <c r="M349">
        <v>1.013684744044602</v>
      </c>
      <c r="N349" t="s">
        <v>102</v>
      </c>
      <c r="O349" t="s">
        <v>407</v>
      </c>
      <c r="P349" t="s">
        <v>5434</v>
      </c>
      <c r="Q349">
        <v>2</v>
      </c>
      <c r="R349">
        <v>2</v>
      </c>
    </row>
    <row r="350" spans="1:18" x14ac:dyDescent="0.3">
      <c r="A350" t="s">
        <v>410</v>
      </c>
      <c r="B350" t="s">
        <v>411</v>
      </c>
      <c r="C350" t="s">
        <v>309</v>
      </c>
      <c r="D350" t="s">
        <v>284</v>
      </c>
      <c r="E350" t="s">
        <v>30</v>
      </c>
      <c r="F350" s="6">
        <v>45107</v>
      </c>
      <c r="G350">
        <v>2023</v>
      </c>
      <c r="H350" t="s">
        <v>44</v>
      </c>
      <c r="I350" t="s">
        <v>33</v>
      </c>
      <c r="J350">
        <v>80</v>
      </c>
      <c r="K350">
        <v>91.666666666666671</v>
      </c>
      <c r="L350">
        <v>1.145833333333333</v>
      </c>
      <c r="M350">
        <v>1.145833333333333</v>
      </c>
      <c r="N350" t="s">
        <v>193</v>
      </c>
      <c r="O350" t="s">
        <v>1993</v>
      </c>
      <c r="P350" t="s">
        <v>414</v>
      </c>
      <c r="Q350">
        <v>2</v>
      </c>
      <c r="R350">
        <v>2</v>
      </c>
    </row>
    <row r="351" spans="1:18" x14ac:dyDescent="0.3">
      <c r="A351" t="s">
        <v>410</v>
      </c>
      <c r="B351" t="s">
        <v>411</v>
      </c>
      <c r="C351" t="s">
        <v>309</v>
      </c>
      <c r="D351" t="s">
        <v>284</v>
      </c>
      <c r="E351" t="s">
        <v>30</v>
      </c>
      <c r="F351" s="6">
        <v>45291</v>
      </c>
      <c r="G351">
        <v>2023</v>
      </c>
      <c r="H351" t="s">
        <v>57</v>
      </c>
      <c r="I351" t="s">
        <v>47</v>
      </c>
      <c r="J351">
        <v>80</v>
      </c>
      <c r="K351">
        <v>90.303333333333327</v>
      </c>
      <c r="L351">
        <v>1.1287916666666671</v>
      </c>
      <c r="M351">
        <v>1.1287916666666671</v>
      </c>
      <c r="N351" t="s">
        <v>193</v>
      </c>
      <c r="O351" t="s">
        <v>5435</v>
      </c>
      <c r="P351" t="s">
        <v>417</v>
      </c>
      <c r="Q351">
        <v>2</v>
      </c>
      <c r="R351">
        <v>2</v>
      </c>
    </row>
    <row r="352" spans="1:18" x14ac:dyDescent="0.3">
      <c r="A352" t="s">
        <v>410</v>
      </c>
      <c r="B352" t="s">
        <v>411</v>
      </c>
      <c r="C352" t="s">
        <v>309</v>
      </c>
      <c r="D352" t="s">
        <v>284</v>
      </c>
      <c r="E352" t="s">
        <v>30</v>
      </c>
      <c r="F352" s="6">
        <v>45473</v>
      </c>
      <c r="G352">
        <v>2024</v>
      </c>
      <c r="H352" t="s">
        <v>44</v>
      </c>
      <c r="I352" t="s">
        <v>71</v>
      </c>
      <c r="J352">
        <v>80</v>
      </c>
      <c r="K352">
        <v>96.446666666666673</v>
      </c>
      <c r="L352">
        <v>1.205583333333333</v>
      </c>
      <c r="M352">
        <v>1.205583333333333</v>
      </c>
      <c r="N352" t="s">
        <v>193</v>
      </c>
      <c r="O352" t="s">
        <v>5436</v>
      </c>
      <c r="P352" t="s">
        <v>420</v>
      </c>
      <c r="Q352">
        <v>2</v>
      </c>
      <c r="R352">
        <v>2</v>
      </c>
    </row>
    <row r="353" spans="1:18" x14ac:dyDescent="0.3">
      <c r="A353" t="s">
        <v>410</v>
      </c>
      <c r="B353" t="s">
        <v>411</v>
      </c>
      <c r="C353" t="s">
        <v>309</v>
      </c>
      <c r="D353" t="s">
        <v>284</v>
      </c>
      <c r="E353" t="s">
        <v>30</v>
      </c>
      <c r="F353" s="6">
        <v>45657</v>
      </c>
      <c r="G353">
        <v>2024</v>
      </c>
      <c r="H353" t="s">
        <v>57</v>
      </c>
      <c r="I353" t="s">
        <v>78</v>
      </c>
      <c r="J353">
        <v>80</v>
      </c>
      <c r="K353">
        <v>92.19</v>
      </c>
      <c r="L353">
        <v>1.1523749999999999</v>
      </c>
      <c r="M353">
        <v>1.1523749999999999</v>
      </c>
      <c r="N353" t="s">
        <v>193</v>
      </c>
      <c r="O353" t="s">
        <v>5437</v>
      </c>
      <c r="P353" t="s">
        <v>423</v>
      </c>
      <c r="Q353">
        <v>2</v>
      </c>
      <c r="R353">
        <v>2</v>
      </c>
    </row>
    <row r="354" spans="1:18" x14ac:dyDescent="0.3">
      <c r="A354" t="s">
        <v>410</v>
      </c>
      <c r="B354" t="s">
        <v>411</v>
      </c>
      <c r="C354" t="s">
        <v>309</v>
      </c>
      <c r="D354" t="s">
        <v>29</v>
      </c>
      <c r="E354" t="s">
        <v>30</v>
      </c>
      <c r="F354" s="6">
        <v>45838</v>
      </c>
      <c r="G354">
        <v>2025</v>
      </c>
      <c r="H354" t="s">
        <v>44</v>
      </c>
      <c r="I354" t="s">
        <v>244</v>
      </c>
      <c r="J354">
        <v>90</v>
      </c>
      <c r="K354">
        <v>81.16</v>
      </c>
      <c r="L354">
        <v>0.90177777777777779</v>
      </c>
      <c r="M354">
        <v>0.90177777777777779</v>
      </c>
      <c r="N354" t="s">
        <v>256</v>
      </c>
      <c r="O354" t="s">
        <v>5438</v>
      </c>
      <c r="P354" t="s">
        <v>432</v>
      </c>
      <c r="Q354">
        <v>2</v>
      </c>
      <c r="R354">
        <v>2</v>
      </c>
    </row>
    <row r="355" spans="1:18" x14ac:dyDescent="0.3">
      <c r="A355" t="s">
        <v>410</v>
      </c>
      <c r="B355" t="s">
        <v>411</v>
      </c>
      <c r="C355" t="s">
        <v>309</v>
      </c>
      <c r="D355" t="s">
        <v>29</v>
      </c>
      <c r="E355" t="s">
        <v>30</v>
      </c>
      <c r="F355" s="6">
        <v>46022</v>
      </c>
      <c r="G355">
        <v>2025</v>
      </c>
      <c r="H355" t="s">
        <v>57</v>
      </c>
      <c r="I355" t="s">
        <v>103</v>
      </c>
      <c r="J355">
        <v>90</v>
      </c>
      <c r="K355">
        <v>83.00800000000001</v>
      </c>
      <c r="L355">
        <v>0.92231111111111119</v>
      </c>
      <c r="M355">
        <v>0.92231111111111119</v>
      </c>
      <c r="N355" t="s">
        <v>256</v>
      </c>
      <c r="O355" t="s">
        <v>5439</v>
      </c>
      <c r="P355" t="s">
        <v>443</v>
      </c>
      <c r="Q355">
        <v>2</v>
      </c>
      <c r="R355">
        <v>2</v>
      </c>
    </row>
    <row r="356" spans="1:18" x14ac:dyDescent="0.3">
      <c r="A356" t="s">
        <v>410</v>
      </c>
      <c r="B356" t="s">
        <v>411</v>
      </c>
      <c r="C356" t="s">
        <v>309</v>
      </c>
      <c r="D356" t="s">
        <v>29</v>
      </c>
      <c r="E356" t="s">
        <v>30</v>
      </c>
      <c r="F356" s="6">
        <v>46203</v>
      </c>
      <c r="G356">
        <v>2026</v>
      </c>
      <c r="H356" t="s">
        <v>44</v>
      </c>
      <c r="I356" t="s">
        <v>408</v>
      </c>
      <c r="J356">
        <v>80</v>
      </c>
      <c r="L356">
        <v>0</v>
      </c>
      <c r="M356">
        <v>0</v>
      </c>
      <c r="N356" t="s">
        <v>193</v>
      </c>
      <c r="P356" t="s">
        <v>5440</v>
      </c>
      <c r="Q356">
        <v>2</v>
      </c>
      <c r="R356">
        <v>2</v>
      </c>
    </row>
    <row r="357" spans="1:18" x14ac:dyDescent="0.3">
      <c r="A357" t="s">
        <v>445</v>
      </c>
      <c r="B357" t="s">
        <v>446</v>
      </c>
      <c r="C357" t="s">
        <v>97</v>
      </c>
      <c r="D357" t="s">
        <v>29</v>
      </c>
      <c r="E357" t="s">
        <v>108</v>
      </c>
      <c r="F357" s="6">
        <v>44742</v>
      </c>
      <c r="G357">
        <v>2022</v>
      </c>
      <c r="H357" t="s">
        <v>44</v>
      </c>
      <c r="I357" t="s">
        <v>88</v>
      </c>
      <c r="J357">
        <v>1.6</v>
      </c>
      <c r="K357">
        <v>0.02</v>
      </c>
      <c r="L357">
        <v>1.3</v>
      </c>
      <c r="M357">
        <v>79.999999999999986</v>
      </c>
      <c r="N357" t="s">
        <v>501</v>
      </c>
      <c r="O357" t="s">
        <v>3742</v>
      </c>
      <c r="P357" t="s">
        <v>452</v>
      </c>
      <c r="Q357">
        <v>2</v>
      </c>
      <c r="R357">
        <v>2</v>
      </c>
    </row>
    <row r="358" spans="1:18" x14ac:dyDescent="0.3">
      <c r="A358" t="s">
        <v>445</v>
      </c>
      <c r="B358" t="s">
        <v>446</v>
      </c>
      <c r="C358" t="s">
        <v>97</v>
      </c>
      <c r="D358" t="s">
        <v>29</v>
      </c>
      <c r="E358" t="s">
        <v>108</v>
      </c>
      <c r="F358" s="6">
        <v>44926</v>
      </c>
      <c r="G358">
        <v>2022</v>
      </c>
      <c r="H358" t="s">
        <v>57</v>
      </c>
      <c r="I358" t="s">
        <v>90</v>
      </c>
      <c r="J358">
        <v>1.6</v>
      </c>
      <c r="K358">
        <v>4.1666666666666657E-2</v>
      </c>
      <c r="L358">
        <v>1.3</v>
      </c>
      <c r="M358">
        <v>38.4</v>
      </c>
      <c r="N358" t="s">
        <v>501</v>
      </c>
      <c r="O358" t="s">
        <v>5441</v>
      </c>
      <c r="P358" t="s">
        <v>458</v>
      </c>
      <c r="Q358">
        <v>2</v>
      </c>
      <c r="R358">
        <v>2</v>
      </c>
    </row>
    <row r="359" spans="1:18" x14ac:dyDescent="0.3">
      <c r="A359" t="s">
        <v>445</v>
      </c>
      <c r="B359" t="s">
        <v>446</v>
      </c>
      <c r="C359" t="s">
        <v>97</v>
      </c>
      <c r="D359" t="s">
        <v>29</v>
      </c>
      <c r="E359" t="s">
        <v>108</v>
      </c>
      <c r="F359" s="6">
        <v>45107</v>
      </c>
      <c r="G359">
        <v>2023</v>
      </c>
      <c r="H359" t="s">
        <v>44</v>
      </c>
      <c r="I359" t="s">
        <v>33</v>
      </c>
      <c r="J359">
        <v>1.6</v>
      </c>
      <c r="K359">
        <v>2.5904903930447878E-2</v>
      </c>
      <c r="L359">
        <v>1.3</v>
      </c>
      <c r="M359">
        <v>61.764367252464723</v>
      </c>
      <c r="N359" t="s">
        <v>501</v>
      </c>
      <c r="O359" t="s">
        <v>5442</v>
      </c>
      <c r="P359" t="s">
        <v>464</v>
      </c>
      <c r="Q359">
        <v>2</v>
      </c>
      <c r="R359">
        <v>2</v>
      </c>
    </row>
    <row r="360" spans="1:18" x14ac:dyDescent="0.3">
      <c r="A360" t="s">
        <v>445</v>
      </c>
      <c r="B360" t="s">
        <v>446</v>
      </c>
      <c r="C360" t="s">
        <v>97</v>
      </c>
      <c r="D360" t="s">
        <v>29</v>
      </c>
      <c r="E360" t="s">
        <v>108</v>
      </c>
      <c r="F360" s="6">
        <v>45291</v>
      </c>
      <c r="G360">
        <v>2023</v>
      </c>
      <c r="H360" t="s">
        <v>57</v>
      </c>
      <c r="I360" t="s">
        <v>47</v>
      </c>
      <c r="J360">
        <v>1.6</v>
      </c>
      <c r="K360">
        <v>3.0911949685534668E-2</v>
      </c>
      <c r="L360">
        <v>1.3</v>
      </c>
      <c r="M360">
        <v>51.759918616480029</v>
      </c>
      <c r="N360" t="s">
        <v>501</v>
      </c>
      <c r="O360" t="s">
        <v>5442</v>
      </c>
      <c r="P360" t="s">
        <v>470</v>
      </c>
      <c r="Q360">
        <v>2</v>
      </c>
      <c r="R360">
        <v>2</v>
      </c>
    </row>
    <row r="361" spans="1:18" x14ac:dyDescent="0.3">
      <c r="A361" t="s">
        <v>445</v>
      </c>
      <c r="B361" t="s">
        <v>446</v>
      </c>
      <c r="C361" t="s">
        <v>97</v>
      </c>
      <c r="D361" t="s">
        <v>29</v>
      </c>
      <c r="E361" t="s">
        <v>108</v>
      </c>
      <c r="F361" s="6">
        <v>45473</v>
      </c>
      <c r="G361">
        <v>2024</v>
      </c>
      <c r="H361" t="s">
        <v>44</v>
      </c>
      <c r="I361" t="s">
        <v>71</v>
      </c>
      <c r="J361">
        <v>0.2</v>
      </c>
      <c r="K361">
        <v>6.6666666666666671E-3</v>
      </c>
      <c r="L361">
        <v>1.3</v>
      </c>
      <c r="M361">
        <v>30</v>
      </c>
      <c r="N361" t="s">
        <v>484</v>
      </c>
      <c r="O361" t="s">
        <v>2615</v>
      </c>
      <c r="P361" t="s">
        <v>476</v>
      </c>
      <c r="Q361">
        <v>2</v>
      </c>
      <c r="R361">
        <v>2</v>
      </c>
    </row>
    <row r="362" spans="1:18" x14ac:dyDescent="0.3">
      <c r="A362" t="s">
        <v>445</v>
      </c>
      <c r="B362" t="s">
        <v>446</v>
      </c>
      <c r="C362" t="s">
        <v>97</v>
      </c>
      <c r="D362" t="s">
        <v>29</v>
      </c>
      <c r="E362" t="s">
        <v>108</v>
      </c>
      <c r="F362" s="6">
        <v>45657</v>
      </c>
      <c r="G362">
        <v>2024</v>
      </c>
      <c r="H362" t="s">
        <v>57</v>
      </c>
      <c r="I362" t="s">
        <v>78</v>
      </c>
      <c r="J362">
        <v>0.2</v>
      </c>
      <c r="K362">
        <v>1.833333333333333E-2</v>
      </c>
      <c r="L362">
        <v>1.3</v>
      </c>
      <c r="M362">
        <v>10.90909090909091</v>
      </c>
      <c r="N362" t="s">
        <v>484</v>
      </c>
      <c r="O362" t="s">
        <v>3742</v>
      </c>
      <c r="P362" t="s">
        <v>482</v>
      </c>
      <c r="Q362">
        <v>2</v>
      </c>
      <c r="R362">
        <v>2</v>
      </c>
    </row>
    <row r="363" spans="1:18" x14ac:dyDescent="0.3">
      <c r="A363" t="s">
        <v>445</v>
      </c>
      <c r="B363" t="s">
        <v>446</v>
      </c>
      <c r="C363" t="s">
        <v>97</v>
      </c>
      <c r="D363" t="s">
        <v>29</v>
      </c>
      <c r="E363" t="s">
        <v>108</v>
      </c>
      <c r="F363" s="6">
        <v>45838</v>
      </c>
      <c r="G363">
        <v>2025</v>
      </c>
      <c r="H363" t="s">
        <v>44</v>
      </c>
      <c r="I363" t="s">
        <v>244</v>
      </c>
      <c r="J363">
        <v>0.2</v>
      </c>
      <c r="K363">
        <v>3.5192950470981449E-2</v>
      </c>
      <c r="L363">
        <v>1.3</v>
      </c>
      <c r="M363">
        <v>5.6829563115178754</v>
      </c>
      <c r="N363" t="s">
        <v>484</v>
      </c>
      <c r="O363" t="s">
        <v>5441</v>
      </c>
      <c r="P363" t="s">
        <v>493</v>
      </c>
      <c r="Q363">
        <v>2</v>
      </c>
      <c r="R363">
        <v>2</v>
      </c>
    </row>
    <row r="364" spans="1:18" x14ac:dyDescent="0.3">
      <c r="A364" t="s">
        <v>445</v>
      </c>
      <c r="B364" t="s">
        <v>446</v>
      </c>
      <c r="C364" t="s">
        <v>97</v>
      </c>
      <c r="D364" t="s">
        <v>29</v>
      </c>
      <c r="E364" t="s">
        <v>108</v>
      </c>
      <c r="F364" s="6">
        <v>46022</v>
      </c>
      <c r="G364">
        <v>2025</v>
      </c>
      <c r="H364" t="s">
        <v>57</v>
      </c>
      <c r="I364" t="s">
        <v>103</v>
      </c>
      <c r="J364">
        <v>0.2</v>
      </c>
      <c r="K364">
        <v>1.6E-2</v>
      </c>
      <c r="L364">
        <v>1.3</v>
      </c>
      <c r="M364">
        <v>12.5</v>
      </c>
      <c r="N364" t="s">
        <v>484</v>
      </c>
      <c r="O364" t="s">
        <v>3742</v>
      </c>
      <c r="P364" t="s">
        <v>500</v>
      </c>
      <c r="Q364">
        <v>2</v>
      </c>
      <c r="R364">
        <v>2</v>
      </c>
    </row>
    <row r="365" spans="1:18" x14ac:dyDescent="0.3">
      <c r="A365" t="s">
        <v>445</v>
      </c>
      <c r="B365" t="s">
        <v>446</v>
      </c>
      <c r="C365" t="s">
        <v>97</v>
      </c>
      <c r="D365" t="s">
        <v>29</v>
      </c>
      <c r="E365" t="s">
        <v>108</v>
      </c>
      <c r="F365" s="6">
        <v>46203</v>
      </c>
      <c r="G365">
        <v>2026</v>
      </c>
      <c r="H365" t="s">
        <v>44</v>
      </c>
      <c r="I365" t="s">
        <v>408</v>
      </c>
      <c r="J365">
        <v>1.6</v>
      </c>
      <c r="K365">
        <v>0</v>
      </c>
      <c r="L365">
        <v>0</v>
      </c>
      <c r="M365">
        <v>0</v>
      </c>
      <c r="N365" t="s">
        <v>501</v>
      </c>
      <c r="O365" t="s">
        <v>122</v>
      </c>
      <c r="P365" t="s">
        <v>5443</v>
      </c>
      <c r="Q365">
        <v>2</v>
      </c>
      <c r="R365">
        <v>2</v>
      </c>
    </row>
    <row r="366" spans="1:18" x14ac:dyDescent="0.3">
      <c r="A366" t="s">
        <v>503</v>
      </c>
      <c r="B366" t="s">
        <v>504</v>
      </c>
      <c r="C366" t="s">
        <v>97</v>
      </c>
      <c r="D366" t="s">
        <v>29</v>
      </c>
      <c r="E366" t="s">
        <v>108</v>
      </c>
      <c r="F366" s="6">
        <v>44742</v>
      </c>
      <c r="G366">
        <v>2022</v>
      </c>
      <c r="H366" t="s">
        <v>44</v>
      </c>
      <c r="I366" t="s">
        <v>88</v>
      </c>
      <c r="J366">
        <v>4.7</v>
      </c>
      <c r="K366">
        <v>0.08</v>
      </c>
      <c r="L366">
        <v>1.3</v>
      </c>
      <c r="M366">
        <v>58.75</v>
      </c>
      <c r="N366" t="s">
        <v>561</v>
      </c>
      <c r="O366" t="s">
        <v>495</v>
      </c>
      <c r="P366" t="s">
        <v>510</v>
      </c>
      <c r="Q366">
        <v>2</v>
      </c>
      <c r="R366">
        <v>2</v>
      </c>
    </row>
    <row r="367" spans="1:18" x14ac:dyDescent="0.3">
      <c r="A367" t="s">
        <v>503</v>
      </c>
      <c r="B367" t="s">
        <v>504</v>
      </c>
      <c r="C367" t="s">
        <v>97</v>
      </c>
      <c r="D367" t="s">
        <v>29</v>
      </c>
      <c r="E367" t="s">
        <v>108</v>
      </c>
      <c r="F367" s="6">
        <v>44926</v>
      </c>
      <c r="G367">
        <v>2022</v>
      </c>
      <c r="H367" t="s">
        <v>57</v>
      </c>
      <c r="I367" t="s">
        <v>90</v>
      </c>
      <c r="J367">
        <v>4.7</v>
      </c>
      <c r="K367">
        <v>0.08</v>
      </c>
      <c r="L367">
        <v>1.3</v>
      </c>
      <c r="M367">
        <v>58.75</v>
      </c>
      <c r="N367" t="s">
        <v>561</v>
      </c>
      <c r="O367" t="s">
        <v>495</v>
      </c>
      <c r="P367" t="s">
        <v>516</v>
      </c>
      <c r="Q367">
        <v>2</v>
      </c>
      <c r="R367">
        <v>2</v>
      </c>
    </row>
    <row r="368" spans="1:18" x14ac:dyDescent="0.3">
      <c r="A368" t="s">
        <v>503</v>
      </c>
      <c r="B368" t="s">
        <v>504</v>
      </c>
      <c r="C368" t="s">
        <v>97</v>
      </c>
      <c r="D368" t="s">
        <v>29</v>
      </c>
      <c r="E368" t="s">
        <v>108</v>
      </c>
      <c r="F368" s="6">
        <v>45107</v>
      </c>
      <c r="G368">
        <v>2023</v>
      </c>
      <c r="H368" t="s">
        <v>44</v>
      </c>
      <c r="I368" t="s">
        <v>33</v>
      </c>
      <c r="J368">
        <v>4.7</v>
      </c>
      <c r="K368">
        <v>2.1741020958344171E-2</v>
      </c>
      <c r="L368">
        <v>1.3</v>
      </c>
      <c r="M368">
        <v>216.18120000000039</v>
      </c>
      <c r="N368" t="s">
        <v>561</v>
      </c>
      <c r="O368" t="s">
        <v>3742</v>
      </c>
      <c r="P368" t="s">
        <v>522</v>
      </c>
      <c r="Q368">
        <v>2</v>
      </c>
      <c r="R368">
        <v>2</v>
      </c>
    </row>
    <row r="369" spans="1:18" x14ac:dyDescent="0.3">
      <c r="A369" t="s">
        <v>503</v>
      </c>
      <c r="B369" t="s">
        <v>504</v>
      </c>
      <c r="C369" t="s">
        <v>97</v>
      </c>
      <c r="D369" t="s">
        <v>29</v>
      </c>
      <c r="E369" t="s">
        <v>108</v>
      </c>
      <c r="F369" s="6">
        <v>45291</v>
      </c>
      <c r="G369">
        <v>2023</v>
      </c>
      <c r="H369" t="s">
        <v>57</v>
      </c>
      <c r="I369" t="s">
        <v>47</v>
      </c>
      <c r="J369">
        <v>4.7</v>
      </c>
      <c r="K369">
        <v>0.32943396226415</v>
      </c>
      <c r="L369">
        <v>1.3</v>
      </c>
      <c r="M369">
        <v>14.266895761741161</v>
      </c>
      <c r="N369" t="s">
        <v>561</v>
      </c>
      <c r="O369" t="s">
        <v>5444</v>
      </c>
      <c r="P369" t="s">
        <v>528</v>
      </c>
      <c r="Q369">
        <v>2</v>
      </c>
      <c r="R369">
        <v>2</v>
      </c>
    </row>
    <row r="370" spans="1:18" x14ac:dyDescent="0.3">
      <c r="A370" t="s">
        <v>503</v>
      </c>
      <c r="B370" t="s">
        <v>504</v>
      </c>
      <c r="C370" t="s">
        <v>97</v>
      </c>
      <c r="D370" t="s">
        <v>29</v>
      </c>
      <c r="E370" t="s">
        <v>108</v>
      </c>
      <c r="F370" s="6">
        <v>45473</v>
      </c>
      <c r="G370">
        <v>2024</v>
      </c>
      <c r="H370" t="s">
        <v>44</v>
      </c>
      <c r="I370" t="s">
        <v>71</v>
      </c>
      <c r="J370">
        <v>1.9</v>
      </c>
      <c r="K370">
        <v>3.5000000000000003E-2</v>
      </c>
      <c r="L370">
        <v>1.3</v>
      </c>
      <c r="M370">
        <v>54.285714285714292</v>
      </c>
      <c r="N370" t="s">
        <v>542</v>
      </c>
      <c r="O370" t="s">
        <v>5442</v>
      </c>
      <c r="P370" t="s">
        <v>534</v>
      </c>
      <c r="Q370">
        <v>2</v>
      </c>
      <c r="R370">
        <v>2</v>
      </c>
    </row>
    <row r="371" spans="1:18" x14ac:dyDescent="0.3">
      <c r="A371" t="s">
        <v>503</v>
      </c>
      <c r="B371" t="s">
        <v>504</v>
      </c>
      <c r="C371" t="s">
        <v>97</v>
      </c>
      <c r="D371" t="s">
        <v>29</v>
      </c>
      <c r="E371" t="s">
        <v>108</v>
      </c>
      <c r="F371" s="6">
        <v>45657</v>
      </c>
      <c r="G371">
        <v>2024</v>
      </c>
      <c r="H371" t="s">
        <v>57</v>
      </c>
      <c r="I371" t="s">
        <v>78</v>
      </c>
      <c r="J371">
        <v>1.9</v>
      </c>
      <c r="K371">
        <v>0.1516666666666667</v>
      </c>
      <c r="L371">
        <v>1.3</v>
      </c>
      <c r="M371">
        <v>12.527472527472529</v>
      </c>
      <c r="N371" t="s">
        <v>542</v>
      </c>
      <c r="O371" t="s">
        <v>3677</v>
      </c>
      <c r="P371" t="s">
        <v>540</v>
      </c>
      <c r="Q371">
        <v>2</v>
      </c>
      <c r="R371">
        <v>2</v>
      </c>
    </row>
    <row r="372" spans="1:18" x14ac:dyDescent="0.3">
      <c r="A372" t="s">
        <v>503</v>
      </c>
      <c r="B372" t="s">
        <v>504</v>
      </c>
      <c r="C372" t="s">
        <v>97</v>
      </c>
      <c r="D372" t="s">
        <v>29</v>
      </c>
      <c r="E372" t="s">
        <v>108</v>
      </c>
      <c r="F372" s="6">
        <v>45838</v>
      </c>
      <c r="G372">
        <v>2025</v>
      </c>
      <c r="H372" t="s">
        <v>44</v>
      </c>
      <c r="I372" t="s">
        <v>244</v>
      </c>
      <c r="J372">
        <v>1.9</v>
      </c>
      <c r="K372">
        <v>0.1605788514129444</v>
      </c>
      <c r="L372">
        <v>1.3</v>
      </c>
      <c r="M372">
        <v>11.832193238908919</v>
      </c>
      <c r="N372" t="s">
        <v>542</v>
      </c>
      <c r="O372" t="s">
        <v>570</v>
      </c>
      <c r="P372" t="s">
        <v>553</v>
      </c>
      <c r="Q372">
        <v>2</v>
      </c>
      <c r="R372">
        <v>2</v>
      </c>
    </row>
    <row r="373" spans="1:18" x14ac:dyDescent="0.3">
      <c r="A373" t="s">
        <v>503</v>
      </c>
      <c r="B373" t="s">
        <v>504</v>
      </c>
      <c r="C373" t="s">
        <v>97</v>
      </c>
      <c r="D373" t="s">
        <v>29</v>
      </c>
      <c r="E373" t="s">
        <v>108</v>
      </c>
      <c r="F373" s="6">
        <v>46022</v>
      </c>
      <c r="G373">
        <v>2025</v>
      </c>
      <c r="H373" t="s">
        <v>57</v>
      </c>
      <c r="I373" t="s">
        <v>103</v>
      </c>
      <c r="J373">
        <v>1.9</v>
      </c>
      <c r="K373">
        <v>0.05</v>
      </c>
      <c r="L373">
        <v>1.3</v>
      </c>
      <c r="M373">
        <v>37.999999999999993</v>
      </c>
      <c r="N373" t="s">
        <v>542</v>
      </c>
      <c r="O373" t="s">
        <v>3741</v>
      </c>
      <c r="P373" t="s">
        <v>560</v>
      </c>
      <c r="Q373">
        <v>2</v>
      </c>
      <c r="R373">
        <v>2</v>
      </c>
    </row>
    <row r="374" spans="1:18" x14ac:dyDescent="0.3">
      <c r="A374" t="s">
        <v>503</v>
      </c>
      <c r="B374" t="s">
        <v>504</v>
      </c>
      <c r="C374" t="s">
        <v>97</v>
      </c>
      <c r="D374" t="s">
        <v>29</v>
      </c>
      <c r="E374" t="s">
        <v>108</v>
      </c>
      <c r="F374" s="6">
        <v>46203</v>
      </c>
      <c r="G374">
        <v>2026</v>
      </c>
      <c r="H374" t="s">
        <v>44</v>
      </c>
      <c r="I374" t="s">
        <v>408</v>
      </c>
      <c r="J374">
        <v>4.7</v>
      </c>
      <c r="K374">
        <v>0</v>
      </c>
      <c r="L374">
        <v>0</v>
      </c>
      <c r="M374">
        <v>0</v>
      </c>
      <c r="N374" t="s">
        <v>561</v>
      </c>
      <c r="O374" t="s">
        <v>122</v>
      </c>
      <c r="P374" t="s">
        <v>5445</v>
      </c>
      <c r="Q374">
        <v>2</v>
      </c>
      <c r="R374">
        <v>2</v>
      </c>
    </row>
    <row r="375" spans="1:18" x14ac:dyDescent="0.3">
      <c r="A375" t="s">
        <v>563</v>
      </c>
      <c r="B375" t="s">
        <v>564</v>
      </c>
      <c r="C375" t="s">
        <v>97</v>
      </c>
      <c r="D375" t="s">
        <v>98</v>
      </c>
      <c r="E375" t="s">
        <v>108</v>
      </c>
      <c r="F375" s="6">
        <v>44926</v>
      </c>
      <c r="G375">
        <v>2022</v>
      </c>
      <c r="H375" t="s">
        <v>57</v>
      </c>
      <c r="I375" t="s">
        <v>90</v>
      </c>
      <c r="J375">
        <v>2</v>
      </c>
      <c r="K375">
        <v>0.12</v>
      </c>
      <c r="L375">
        <v>1.3</v>
      </c>
      <c r="M375">
        <v>16.666666666666671</v>
      </c>
      <c r="N375" t="s">
        <v>569</v>
      </c>
      <c r="O375" t="s">
        <v>5446</v>
      </c>
      <c r="P375" t="s">
        <v>565</v>
      </c>
      <c r="Q375">
        <v>2</v>
      </c>
      <c r="R375">
        <v>2</v>
      </c>
    </row>
    <row r="376" spans="1:18" x14ac:dyDescent="0.3">
      <c r="A376" t="s">
        <v>563</v>
      </c>
      <c r="B376" t="s">
        <v>564</v>
      </c>
      <c r="C376" t="s">
        <v>97</v>
      </c>
      <c r="D376" t="s">
        <v>98</v>
      </c>
      <c r="E376" t="s">
        <v>108</v>
      </c>
      <c r="F376" s="6">
        <v>45291</v>
      </c>
      <c r="G376">
        <v>2023</v>
      </c>
      <c r="H376" t="s">
        <v>57</v>
      </c>
      <c r="I376" t="s">
        <v>47</v>
      </c>
      <c r="J376">
        <v>2</v>
      </c>
      <c r="K376">
        <v>0.12</v>
      </c>
      <c r="L376">
        <v>1.3</v>
      </c>
      <c r="M376">
        <v>16.666666666666671</v>
      </c>
      <c r="N376" t="s">
        <v>569</v>
      </c>
      <c r="O376" t="s">
        <v>5446</v>
      </c>
      <c r="P376" t="s">
        <v>566</v>
      </c>
      <c r="Q376">
        <v>2</v>
      </c>
      <c r="R376">
        <v>2</v>
      </c>
    </row>
    <row r="377" spans="1:18" x14ac:dyDescent="0.3">
      <c r="A377" t="s">
        <v>563</v>
      </c>
      <c r="B377" t="s">
        <v>564</v>
      </c>
      <c r="C377" t="s">
        <v>97</v>
      </c>
      <c r="D377" t="s">
        <v>98</v>
      </c>
      <c r="E377" t="s">
        <v>108</v>
      </c>
      <c r="F377" s="6">
        <v>45657</v>
      </c>
      <c r="G377">
        <v>2024</v>
      </c>
      <c r="H377" t="s">
        <v>57</v>
      </c>
      <c r="I377" t="s">
        <v>78</v>
      </c>
      <c r="J377">
        <v>2</v>
      </c>
      <c r="K377">
        <v>0.1</v>
      </c>
      <c r="L377">
        <v>1.3</v>
      </c>
      <c r="M377">
        <v>20</v>
      </c>
      <c r="N377" t="s">
        <v>569</v>
      </c>
      <c r="O377" t="s">
        <v>5447</v>
      </c>
      <c r="P377" t="s">
        <v>567</v>
      </c>
      <c r="Q377">
        <v>2</v>
      </c>
      <c r="R377">
        <v>2</v>
      </c>
    </row>
    <row r="378" spans="1:18" x14ac:dyDescent="0.3">
      <c r="A378" t="s">
        <v>563</v>
      </c>
      <c r="B378" t="s">
        <v>564</v>
      </c>
      <c r="C378" t="s">
        <v>97</v>
      </c>
      <c r="D378" t="s">
        <v>98</v>
      </c>
      <c r="E378" t="s">
        <v>108</v>
      </c>
      <c r="F378" s="6">
        <v>46022</v>
      </c>
      <c r="G378">
        <v>2025</v>
      </c>
      <c r="H378" t="s">
        <v>57</v>
      </c>
      <c r="I378" t="s">
        <v>103</v>
      </c>
      <c r="J378">
        <v>2</v>
      </c>
      <c r="K378">
        <v>0.16</v>
      </c>
      <c r="L378">
        <v>1.3</v>
      </c>
      <c r="M378">
        <v>12.5</v>
      </c>
      <c r="N378" t="s">
        <v>569</v>
      </c>
      <c r="O378" t="s">
        <v>570</v>
      </c>
      <c r="P378" t="s">
        <v>571</v>
      </c>
      <c r="Q378">
        <v>2</v>
      </c>
      <c r="R378">
        <v>2</v>
      </c>
    </row>
    <row r="379" spans="1:18" x14ac:dyDescent="0.3">
      <c r="A379" t="s">
        <v>572</v>
      </c>
      <c r="B379" t="s">
        <v>573</v>
      </c>
      <c r="C379" t="s">
        <v>97</v>
      </c>
      <c r="D379" t="s">
        <v>98</v>
      </c>
      <c r="E379" t="s">
        <v>108</v>
      </c>
      <c r="F379" s="6">
        <v>44926</v>
      </c>
      <c r="G379">
        <v>2022</v>
      </c>
      <c r="H379" t="s">
        <v>57</v>
      </c>
      <c r="I379" t="s">
        <v>90</v>
      </c>
      <c r="J379">
        <v>0</v>
      </c>
      <c r="K379">
        <v>0</v>
      </c>
      <c r="L379">
        <v>0</v>
      </c>
      <c r="M379">
        <v>0</v>
      </c>
      <c r="N379" t="s">
        <v>122</v>
      </c>
      <c r="O379" t="s">
        <v>122</v>
      </c>
      <c r="P379" t="s">
        <v>574</v>
      </c>
      <c r="Q379">
        <v>2</v>
      </c>
      <c r="R379">
        <v>2</v>
      </c>
    </row>
    <row r="380" spans="1:18" x14ac:dyDescent="0.3">
      <c r="A380" t="s">
        <v>572</v>
      </c>
      <c r="B380" t="s">
        <v>573</v>
      </c>
      <c r="C380" t="s">
        <v>97</v>
      </c>
      <c r="D380" t="s">
        <v>98</v>
      </c>
      <c r="E380" t="s">
        <v>108</v>
      </c>
      <c r="F380" s="6">
        <v>45291</v>
      </c>
      <c r="G380">
        <v>2023</v>
      </c>
      <c r="H380" t="s">
        <v>57</v>
      </c>
      <c r="I380" t="s">
        <v>47</v>
      </c>
      <c r="J380">
        <v>0</v>
      </c>
      <c r="K380">
        <v>0</v>
      </c>
      <c r="L380">
        <v>0</v>
      </c>
      <c r="M380">
        <v>0</v>
      </c>
      <c r="N380" t="s">
        <v>122</v>
      </c>
      <c r="O380" t="s">
        <v>122</v>
      </c>
      <c r="P380" t="s">
        <v>575</v>
      </c>
      <c r="Q380">
        <v>2</v>
      </c>
      <c r="R380">
        <v>2</v>
      </c>
    </row>
    <row r="381" spans="1:18" x14ac:dyDescent="0.3">
      <c r="A381" t="s">
        <v>572</v>
      </c>
      <c r="B381" t="s">
        <v>573</v>
      </c>
      <c r="C381" t="s">
        <v>97</v>
      </c>
      <c r="D381" t="s">
        <v>98</v>
      </c>
      <c r="E381" t="s">
        <v>108</v>
      </c>
      <c r="F381" s="6">
        <v>45657</v>
      </c>
      <c r="G381">
        <v>2024</v>
      </c>
      <c r="H381" t="s">
        <v>57</v>
      </c>
      <c r="I381" t="s">
        <v>78</v>
      </c>
      <c r="J381">
        <v>0</v>
      </c>
      <c r="K381">
        <v>0</v>
      </c>
      <c r="L381">
        <v>0</v>
      </c>
      <c r="M381">
        <v>0</v>
      </c>
      <c r="N381" t="s">
        <v>122</v>
      </c>
      <c r="O381" t="s">
        <v>122</v>
      </c>
      <c r="P381" t="s">
        <v>576</v>
      </c>
      <c r="Q381">
        <v>2</v>
      </c>
      <c r="R381">
        <v>2</v>
      </c>
    </row>
    <row r="382" spans="1:18" x14ac:dyDescent="0.3">
      <c r="A382" t="s">
        <v>572</v>
      </c>
      <c r="B382" t="s">
        <v>573</v>
      </c>
      <c r="C382" t="s">
        <v>97</v>
      </c>
      <c r="D382" t="s">
        <v>98</v>
      </c>
      <c r="E382" t="s">
        <v>108</v>
      </c>
      <c r="F382" s="6">
        <v>46022</v>
      </c>
      <c r="G382">
        <v>2025</v>
      </c>
      <c r="H382" t="s">
        <v>57</v>
      </c>
      <c r="I382" t="s">
        <v>103</v>
      </c>
      <c r="J382">
        <v>0</v>
      </c>
      <c r="K382">
        <v>0</v>
      </c>
      <c r="L382">
        <v>0</v>
      </c>
      <c r="M382">
        <v>0</v>
      </c>
      <c r="N382" t="s">
        <v>122</v>
      </c>
      <c r="O382" t="s">
        <v>122</v>
      </c>
      <c r="P382" t="s">
        <v>577</v>
      </c>
      <c r="Q382">
        <v>2</v>
      </c>
      <c r="R382">
        <v>2</v>
      </c>
    </row>
    <row r="383" spans="1:18" x14ac:dyDescent="0.3">
      <c r="A383" t="s">
        <v>578</v>
      </c>
      <c r="B383" t="s">
        <v>579</v>
      </c>
      <c r="C383" t="s">
        <v>97</v>
      </c>
      <c r="D383" t="s">
        <v>29</v>
      </c>
      <c r="E383" t="s">
        <v>108</v>
      </c>
      <c r="F383" s="6">
        <v>44742</v>
      </c>
      <c r="G383">
        <v>2022</v>
      </c>
      <c r="H383" t="s">
        <v>44</v>
      </c>
      <c r="I383" t="s">
        <v>88</v>
      </c>
      <c r="J383">
        <v>1</v>
      </c>
      <c r="K383">
        <v>0.71666666666666679</v>
      </c>
      <c r="L383">
        <v>1.3</v>
      </c>
      <c r="M383">
        <v>1.3953488372093019</v>
      </c>
      <c r="N383" t="s">
        <v>617</v>
      </c>
      <c r="O383" t="s">
        <v>5448</v>
      </c>
      <c r="P383" t="s">
        <v>585</v>
      </c>
      <c r="Q383">
        <v>2</v>
      </c>
      <c r="R383">
        <v>2</v>
      </c>
    </row>
    <row r="384" spans="1:18" x14ac:dyDescent="0.3">
      <c r="A384" t="s">
        <v>578</v>
      </c>
      <c r="B384" t="s">
        <v>579</v>
      </c>
      <c r="C384" t="s">
        <v>97</v>
      </c>
      <c r="D384" t="s">
        <v>29</v>
      </c>
      <c r="E384" t="s">
        <v>108</v>
      </c>
      <c r="F384" s="6">
        <v>44926</v>
      </c>
      <c r="G384">
        <v>2022</v>
      </c>
      <c r="H384" t="s">
        <v>57</v>
      </c>
      <c r="I384" t="s">
        <v>90</v>
      </c>
      <c r="J384">
        <v>1</v>
      </c>
      <c r="K384">
        <v>0.85333333333333339</v>
      </c>
      <c r="L384">
        <v>1.171875</v>
      </c>
      <c r="M384">
        <v>1.171875</v>
      </c>
      <c r="N384" t="s">
        <v>617</v>
      </c>
      <c r="O384" t="s">
        <v>2458</v>
      </c>
      <c r="P384" t="s">
        <v>591</v>
      </c>
      <c r="Q384">
        <v>2</v>
      </c>
      <c r="R384">
        <v>2</v>
      </c>
    </row>
    <row r="385" spans="1:18" x14ac:dyDescent="0.3">
      <c r="A385" t="s">
        <v>578</v>
      </c>
      <c r="B385" t="s">
        <v>579</v>
      </c>
      <c r="C385" t="s">
        <v>97</v>
      </c>
      <c r="D385" t="s">
        <v>29</v>
      </c>
      <c r="E385" t="s">
        <v>108</v>
      </c>
      <c r="F385" s="6">
        <v>45107</v>
      </c>
      <c r="G385">
        <v>2023</v>
      </c>
      <c r="H385" t="s">
        <v>44</v>
      </c>
      <c r="I385" t="s">
        <v>33</v>
      </c>
      <c r="J385">
        <v>1</v>
      </c>
      <c r="K385">
        <v>0.94437137818090167</v>
      </c>
      <c r="L385">
        <v>1.058905450868548</v>
      </c>
      <c r="M385">
        <v>1.058905450868548</v>
      </c>
      <c r="N385" t="s">
        <v>617</v>
      </c>
      <c r="O385" t="s">
        <v>627</v>
      </c>
      <c r="P385" t="s">
        <v>597</v>
      </c>
      <c r="Q385">
        <v>2</v>
      </c>
      <c r="R385">
        <v>2</v>
      </c>
    </row>
    <row r="386" spans="1:18" x14ac:dyDescent="0.3">
      <c r="A386" t="s">
        <v>578</v>
      </c>
      <c r="B386" t="s">
        <v>579</v>
      </c>
      <c r="C386" t="s">
        <v>97</v>
      </c>
      <c r="D386" t="s">
        <v>29</v>
      </c>
      <c r="E386" t="s">
        <v>108</v>
      </c>
      <c r="F386" s="6">
        <v>45291</v>
      </c>
      <c r="G386">
        <v>2023</v>
      </c>
      <c r="H386" t="s">
        <v>57</v>
      </c>
      <c r="I386" t="s">
        <v>47</v>
      </c>
      <c r="J386">
        <v>1</v>
      </c>
      <c r="K386">
        <v>0.74833333333333318</v>
      </c>
      <c r="L386">
        <v>1.3</v>
      </c>
      <c r="M386">
        <v>1.3363028953229401</v>
      </c>
      <c r="N386" t="s">
        <v>617</v>
      </c>
      <c r="O386" t="s">
        <v>5449</v>
      </c>
      <c r="P386" t="s">
        <v>603</v>
      </c>
      <c r="Q386">
        <v>2</v>
      </c>
      <c r="R386">
        <v>2</v>
      </c>
    </row>
    <row r="387" spans="1:18" x14ac:dyDescent="0.3">
      <c r="A387" t="s">
        <v>578</v>
      </c>
      <c r="B387" t="s">
        <v>579</v>
      </c>
      <c r="C387" t="s">
        <v>97</v>
      </c>
      <c r="D387" t="s">
        <v>29</v>
      </c>
      <c r="E387" t="s">
        <v>108</v>
      </c>
      <c r="F387" s="6">
        <v>45473</v>
      </c>
      <c r="G387">
        <v>2024</v>
      </c>
      <c r="H387" t="s">
        <v>44</v>
      </c>
      <c r="I387" t="s">
        <v>71</v>
      </c>
      <c r="J387">
        <v>1</v>
      </c>
      <c r="K387">
        <v>0.66</v>
      </c>
      <c r="L387">
        <v>1.3</v>
      </c>
      <c r="M387">
        <v>1.5151515151515149</v>
      </c>
      <c r="N387" t="s">
        <v>617</v>
      </c>
      <c r="O387" t="s">
        <v>5450</v>
      </c>
      <c r="P387" t="s">
        <v>609</v>
      </c>
      <c r="Q387">
        <v>2</v>
      </c>
      <c r="R387">
        <v>2</v>
      </c>
    </row>
    <row r="388" spans="1:18" x14ac:dyDescent="0.3">
      <c r="A388" t="s">
        <v>578</v>
      </c>
      <c r="B388" t="s">
        <v>579</v>
      </c>
      <c r="C388" t="s">
        <v>97</v>
      </c>
      <c r="D388" t="s">
        <v>29</v>
      </c>
      <c r="E388" t="s">
        <v>108</v>
      </c>
      <c r="F388" s="6">
        <v>45657</v>
      </c>
      <c r="G388">
        <v>2024</v>
      </c>
      <c r="H388" t="s">
        <v>57</v>
      </c>
      <c r="I388" t="s">
        <v>78</v>
      </c>
      <c r="J388">
        <v>1</v>
      </c>
      <c r="K388">
        <v>0.70166666666666666</v>
      </c>
      <c r="L388">
        <v>1.3</v>
      </c>
      <c r="M388">
        <v>1.4251781472684091</v>
      </c>
      <c r="N388" t="s">
        <v>617</v>
      </c>
      <c r="O388" t="s">
        <v>5451</v>
      </c>
      <c r="P388" t="s">
        <v>615</v>
      </c>
      <c r="Q388">
        <v>2</v>
      </c>
      <c r="R388">
        <v>2</v>
      </c>
    </row>
    <row r="389" spans="1:18" x14ac:dyDescent="0.3">
      <c r="A389" t="s">
        <v>578</v>
      </c>
      <c r="B389" t="s">
        <v>579</v>
      </c>
      <c r="C389" t="s">
        <v>97</v>
      </c>
      <c r="D389" t="s">
        <v>29</v>
      </c>
      <c r="E389" t="s">
        <v>108</v>
      </c>
      <c r="F389" s="6">
        <v>45838</v>
      </c>
      <c r="G389">
        <v>2025</v>
      </c>
      <c r="H389" t="s">
        <v>44</v>
      </c>
      <c r="I389" t="s">
        <v>244</v>
      </c>
      <c r="J389">
        <v>1</v>
      </c>
      <c r="K389">
        <v>0.93333333333333324</v>
      </c>
      <c r="L389">
        <v>1.0714285714285721</v>
      </c>
      <c r="M389">
        <v>1.0714285714285721</v>
      </c>
      <c r="N389" t="s">
        <v>617</v>
      </c>
      <c r="O389" t="s">
        <v>2461</v>
      </c>
      <c r="P389" t="s">
        <v>634</v>
      </c>
      <c r="Q389">
        <v>2</v>
      </c>
      <c r="R389">
        <v>2</v>
      </c>
    </row>
    <row r="390" spans="1:18" x14ac:dyDescent="0.3">
      <c r="A390" t="s">
        <v>578</v>
      </c>
      <c r="B390" t="s">
        <v>579</v>
      </c>
      <c r="C390" t="s">
        <v>97</v>
      </c>
      <c r="D390" t="s">
        <v>29</v>
      </c>
      <c r="E390" t="s">
        <v>108</v>
      </c>
      <c r="F390" s="6">
        <v>46022</v>
      </c>
      <c r="G390">
        <v>2025</v>
      </c>
      <c r="H390" t="s">
        <v>57</v>
      </c>
      <c r="I390" t="s">
        <v>103</v>
      </c>
      <c r="J390">
        <v>1</v>
      </c>
      <c r="K390">
        <v>0.91199999999999992</v>
      </c>
      <c r="L390">
        <v>1.096491228070176</v>
      </c>
      <c r="M390">
        <v>1.096491228070176</v>
      </c>
      <c r="N390" t="s">
        <v>617</v>
      </c>
      <c r="O390" t="s">
        <v>5452</v>
      </c>
      <c r="P390" t="s">
        <v>645</v>
      </c>
      <c r="Q390">
        <v>2</v>
      </c>
      <c r="R390">
        <v>2</v>
      </c>
    </row>
    <row r="391" spans="1:18" x14ac:dyDescent="0.3">
      <c r="A391" t="s">
        <v>578</v>
      </c>
      <c r="B391" t="s">
        <v>579</v>
      </c>
      <c r="C391" t="s">
        <v>97</v>
      </c>
      <c r="D391" t="s">
        <v>29</v>
      </c>
      <c r="E391" t="s">
        <v>108</v>
      </c>
      <c r="F391" s="6">
        <v>46203</v>
      </c>
      <c r="G391">
        <v>2026</v>
      </c>
      <c r="H391" t="s">
        <v>44</v>
      </c>
      <c r="I391" t="s">
        <v>408</v>
      </c>
      <c r="J391">
        <v>1</v>
      </c>
      <c r="K391">
        <v>0.69</v>
      </c>
      <c r="L391">
        <v>1.3</v>
      </c>
      <c r="M391">
        <v>1.449275362318841</v>
      </c>
      <c r="N391" t="s">
        <v>617</v>
      </c>
      <c r="O391" t="s">
        <v>640</v>
      </c>
      <c r="P391" t="s">
        <v>5453</v>
      </c>
      <c r="Q391">
        <v>2</v>
      </c>
      <c r="R391">
        <v>2</v>
      </c>
    </row>
    <row r="392" spans="1:18" x14ac:dyDescent="0.3">
      <c r="A392" t="s">
        <v>647</v>
      </c>
      <c r="B392" t="s">
        <v>648</v>
      </c>
      <c r="C392" t="s">
        <v>649</v>
      </c>
      <c r="D392" t="s">
        <v>29</v>
      </c>
      <c r="E392" t="s">
        <v>30</v>
      </c>
      <c r="F392" s="6">
        <v>45107</v>
      </c>
      <c r="G392">
        <v>2023</v>
      </c>
      <c r="H392" t="s">
        <v>44</v>
      </c>
      <c r="I392" t="s">
        <v>33</v>
      </c>
      <c r="J392">
        <v>22</v>
      </c>
      <c r="K392">
        <v>20</v>
      </c>
      <c r="L392">
        <v>0.90909090909090906</v>
      </c>
      <c r="M392">
        <v>0.90909090909090906</v>
      </c>
      <c r="N392" t="s">
        <v>1460</v>
      </c>
      <c r="O392" t="s">
        <v>1298</v>
      </c>
      <c r="P392" t="s">
        <v>650</v>
      </c>
      <c r="Q392">
        <v>2</v>
      </c>
      <c r="R392">
        <v>2</v>
      </c>
    </row>
    <row r="393" spans="1:18" x14ac:dyDescent="0.3">
      <c r="A393" t="s">
        <v>647</v>
      </c>
      <c r="B393" t="s">
        <v>648</v>
      </c>
      <c r="C393" t="s">
        <v>649</v>
      </c>
      <c r="D393" t="s">
        <v>29</v>
      </c>
      <c r="E393" t="s">
        <v>30</v>
      </c>
      <c r="F393" s="6">
        <v>45291</v>
      </c>
      <c r="G393">
        <v>2023</v>
      </c>
      <c r="H393" t="s">
        <v>57</v>
      </c>
      <c r="I393" t="s">
        <v>47</v>
      </c>
      <c r="J393">
        <v>70.333333333333329</v>
      </c>
      <c r="K393">
        <v>61.666666666666657</v>
      </c>
      <c r="L393">
        <v>0.87677725118483418</v>
      </c>
      <c r="M393">
        <v>0.87677725118483418</v>
      </c>
      <c r="N393" t="s">
        <v>5454</v>
      </c>
      <c r="O393" t="s">
        <v>5455</v>
      </c>
      <c r="P393" t="s">
        <v>656</v>
      </c>
      <c r="Q393">
        <v>2</v>
      </c>
      <c r="R393">
        <v>2</v>
      </c>
    </row>
    <row r="394" spans="1:18" x14ac:dyDescent="0.3">
      <c r="A394" t="s">
        <v>647</v>
      </c>
      <c r="B394" t="s">
        <v>648</v>
      </c>
      <c r="C394" t="s">
        <v>649</v>
      </c>
      <c r="D394" t="s">
        <v>29</v>
      </c>
      <c r="E394" t="s">
        <v>30</v>
      </c>
      <c r="F394" s="6">
        <v>45473</v>
      </c>
      <c r="G394">
        <v>2024</v>
      </c>
      <c r="H394" t="s">
        <v>44</v>
      </c>
      <c r="I394" t="s">
        <v>71</v>
      </c>
      <c r="J394">
        <v>100</v>
      </c>
      <c r="K394">
        <v>100</v>
      </c>
      <c r="L394">
        <v>1</v>
      </c>
      <c r="M394">
        <v>1</v>
      </c>
      <c r="N394" t="s">
        <v>102</v>
      </c>
      <c r="O394" t="s">
        <v>102</v>
      </c>
      <c r="P394" t="s">
        <v>5456</v>
      </c>
      <c r="Q394">
        <v>2</v>
      </c>
      <c r="R394">
        <v>2</v>
      </c>
    </row>
    <row r="395" spans="1:18" x14ac:dyDescent="0.3">
      <c r="A395" t="s">
        <v>658</v>
      </c>
      <c r="B395" t="s">
        <v>659</v>
      </c>
      <c r="C395" t="s">
        <v>187</v>
      </c>
      <c r="D395" t="s">
        <v>29</v>
      </c>
      <c r="E395" t="s">
        <v>30</v>
      </c>
      <c r="F395" s="6">
        <v>44926</v>
      </c>
      <c r="G395">
        <v>2022</v>
      </c>
      <c r="H395" t="s">
        <v>57</v>
      </c>
      <c r="I395" t="s">
        <v>90</v>
      </c>
      <c r="J395">
        <v>57</v>
      </c>
      <c r="K395">
        <v>71</v>
      </c>
      <c r="L395">
        <v>1.245614035087719</v>
      </c>
      <c r="M395">
        <v>1.245614035087719</v>
      </c>
      <c r="N395" t="s">
        <v>5368</v>
      </c>
      <c r="O395" t="s">
        <v>2018</v>
      </c>
      <c r="P395" t="s">
        <v>660</v>
      </c>
      <c r="Q395">
        <v>2</v>
      </c>
      <c r="R395">
        <v>2</v>
      </c>
    </row>
    <row r="396" spans="1:18" x14ac:dyDescent="0.3">
      <c r="A396" t="s">
        <v>658</v>
      </c>
      <c r="B396" t="s">
        <v>659</v>
      </c>
      <c r="C396" t="s">
        <v>187</v>
      </c>
      <c r="D396" t="s">
        <v>29</v>
      </c>
      <c r="E396" t="s">
        <v>30</v>
      </c>
      <c r="F396" s="6">
        <v>45107</v>
      </c>
      <c r="G396">
        <v>2023</v>
      </c>
      <c r="H396" t="s">
        <v>44</v>
      </c>
      <c r="I396" t="s">
        <v>33</v>
      </c>
      <c r="J396">
        <v>100</v>
      </c>
      <c r="K396">
        <v>100</v>
      </c>
      <c r="L396">
        <v>1</v>
      </c>
      <c r="M396">
        <v>1</v>
      </c>
      <c r="N396" t="s">
        <v>102</v>
      </c>
      <c r="O396" t="s">
        <v>102</v>
      </c>
      <c r="P396" t="s">
        <v>661</v>
      </c>
      <c r="Q396">
        <v>2</v>
      </c>
      <c r="R396">
        <v>2</v>
      </c>
    </row>
    <row r="397" spans="1:18" x14ac:dyDescent="0.3">
      <c r="A397" t="s">
        <v>662</v>
      </c>
      <c r="B397" t="s">
        <v>125</v>
      </c>
      <c r="C397" t="s">
        <v>663</v>
      </c>
      <c r="D397" t="s">
        <v>98</v>
      </c>
      <c r="E397" t="s">
        <v>30</v>
      </c>
      <c r="F397" s="6">
        <v>44926</v>
      </c>
      <c r="G397">
        <v>2022</v>
      </c>
      <c r="H397" t="s">
        <v>57</v>
      </c>
      <c r="I397" t="s">
        <v>90</v>
      </c>
      <c r="J397">
        <v>80</v>
      </c>
      <c r="K397">
        <v>84.895356277709197</v>
      </c>
      <c r="L397">
        <v>1.061191953471365</v>
      </c>
      <c r="M397">
        <v>1.061191953471365</v>
      </c>
      <c r="N397" t="s">
        <v>193</v>
      </c>
      <c r="O397" t="s">
        <v>5457</v>
      </c>
      <c r="P397" t="s">
        <v>5458</v>
      </c>
      <c r="Q397">
        <v>2</v>
      </c>
      <c r="R397">
        <v>2</v>
      </c>
    </row>
    <row r="398" spans="1:18" x14ac:dyDescent="0.3">
      <c r="A398" t="s">
        <v>662</v>
      </c>
      <c r="B398" t="s">
        <v>125</v>
      </c>
      <c r="C398" t="s">
        <v>663</v>
      </c>
      <c r="D398" t="s">
        <v>98</v>
      </c>
      <c r="E398" t="s">
        <v>30</v>
      </c>
      <c r="F398" s="6">
        <v>45291</v>
      </c>
      <c r="G398">
        <v>2023</v>
      </c>
      <c r="H398" t="s">
        <v>57</v>
      </c>
      <c r="I398" t="s">
        <v>47</v>
      </c>
      <c r="J398">
        <v>80</v>
      </c>
      <c r="K398">
        <v>92.789115646258509</v>
      </c>
      <c r="L398">
        <v>1.1598639455782309</v>
      </c>
      <c r="M398">
        <v>1.1598639455782309</v>
      </c>
      <c r="N398" t="s">
        <v>193</v>
      </c>
      <c r="O398" t="s">
        <v>5459</v>
      </c>
      <c r="P398" t="s">
        <v>665</v>
      </c>
      <c r="Q398">
        <v>2</v>
      </c>
      <c r="R398">
        <v>2</v>
      </c>
    </row>
    <row r="399" spans="1:18" x14ac:dyDescent="0.3">
      <c r="A399" t="s">
        <v>662</v>
      </c>
      <c r="B399" t="s">
        <v>125</v>
      </c>
      <c r="C399" t="s">
        <v>663</v>
      </c>
      <c r="D399" t="s">
        <v>98</v>
      </c>
      <c r="E399" t="s">
        <v>30</v>
      </c>
      <c r="F399" s="6">
        <v>45657</v>
      </c>
      <c r="G399">
        <v>2024</v>
      </c>
      <c r="H399" t="s">
        <v>57</v>
      </c>
      <c r="I399" t="s">
        <v>78</v>
      </c>
      <c r="J399">
        <v>80</v>
      </c>
      <c r="K399">
        <v>91</v>
      </c>
      <c r="L399">
        <v>1.1375</v>
      </c>
      <c r="M399">
        <v>1.1375</v>
      </c>
      <c r="N399" t="s">
        <v>193</v>
      </c>
      <c r="O399" t="s">
        <v>5460</v>
      </c>
      <c r="P399" t="s">
        <v>666</v>
      </c>
      <c r="Q399">
        <v>2</v>
      </c>
      <c r="R399">
        <v>2</v>
      </c>
    </row>
    <row r="400" spans="1:18" x14ac:dyDescent="0.3">
      <c r="A400" t="s">
        <v>662</v>
      </c>
      <c r="B400" t="s">
        <v>125</v>
      </c>
      <c r="C400" t="s">
        <v>663</v>
      </c>
      <c r="D400" t="s">
        <v>98</v>
      </c>
      <c r="E400" t="s">
        <v>30</v>
      </c>
      <c r="F400" s="6">
        <v>46022</v>
      </c>
      <c r="G400">
        <v>2025</v>
      </c>
      <c r="H400" t="s">
        <v>57</v>
      </c>
      <c r="I400" t="s">
        <v>103</v>
      </c>
      <c r="J400">
        <v>80</v>
      </c>
      <c r="K400">
        <v>96</v>
      </c>
      <c r="L400">
        <v>1.2</v>
      </c>
      <c r="M400">
        <v>1.2</v>
      </c>
      <c r="N400" t="s">
        <v>193</v>
      </c>
      <c r="O400" t="s">
        <v>668</v>
      </c>
      <c r="P400" t="s">
        <v>5461</v>
      </c>
      <c r="Q400">
        <v>2</v>
      </c>
      <c r="R400">
        <v>2</v>
      </c>
    </row>
    <row r="401" spans="1:18" x14ac:dyDescent="0.3">
      <c r="A401" t="s">
        <v>670</v>
      </c>
      <c r="B401" t="s">
        <v>671</v>
      </c>
      <c r="C401" t="s">
        <v>672</v>
      </c>
      <c r="D401" t="s">
        <v>222</v>
      </c>
      <c r="E401" t="s">
        <v>30</v>
      </c>
      <c r="F401" s="6">
        <v>45107</v>
      </c>
      <c r="G401">
        <v>2023</v>
      </c>
      <c r="H401" t="s">
        <v>44</v>
      </c>
      <c r="I401" t="s">
        <v>33</v>
      </c>
      <c r="J401">
        <v>90</v>
      </c>
      <c r="K401">
        <v>105.56</v>
      </c>
      <c r="L401">
        <v>1.1728888888888891</v>
      </c>
      <c r="M401">
        <v>1.1728888888888891</v>
      </c>
      <c r="N401" t="s">
        <v>256</v>
      </c>
      <c r="O401" t="s">
        <v>5462</v>
      </c>
      <c r="P401" t="s">
        <v>673</v>
      </c>
      <c r="Q401">
        <v>2</v>
      </c>
      <c r="R401">
        <v>2</v>
      </c>
    </row>
    <row r="402" spans="1:18" x14ac:dyDescent="0.3">
      <c r="A402" t="s">
        <v>670</v>
      </c>
      <c r="B402" t="s">
        <v>671</v>
      </c>
      <c r="C402" t="s">
        <v>672</v>
      </c>
      <c r="D402" t="s">
        <v>222</v>
      </c>
      <c r="E402" t="s">
        <v>30</v>
      </c>
      <c r="F402" s="6">
        <v>45291</v>
      </c>
      <c r="G402">
        <v>2023</v>
      </c>
      <c r="H402" t="s">
        <v>57</v>
      </c>
      <c r="I402" t="s">
        <v>47</v>
      </c>
      <c r="J402">
        <v>90</v>
      </c>
      <c r="K402">
        <v>94.44</v>
      </c>
      <c r="L402">
        <v>1.049333333333333</v>
      </c>
      <c r="M402">
        <v>1.049333333333333</v>
      </c>
      <c r="N402" t="s">
        <v>256</v>
      </c>
      <c r="O402" t="s">
        <v>5463</v>
      </c>
      <c r="P402" t="s">
        <v>674</v>
      </c>
      <c r="Q402">
        <v>2</v>
      </c>
      <c r="R402">
        <v>2</v>
      </c>
    </row>
    <row r="403" spans="1:18" x14ac:dyDescent="0.3">
      <c r="A403" t="s">
        <v>670</v>
      </c>
      <c r="B403" t="s">
        <v>671</v>
      </c>
      <c r="C403" t="s">
        <v>672</v>
      </c>
      <c r="D403" t="s">
        <v>222</v>
      </c>
      <c r="E403" t="s">
        <v>30</v>
      </c>
      <c r="F403" s="6">
        <v>45473</v>
      </c>
      <c r="G403">
        <v>2024</v>
      </c>
      <c r="H403" t="s">
        <v>44</v>
      </c>
      <c r="I403" t="s">
        <v>71</v>
      </c>
      <c r="J403">
        <v>90</v>
      </c>
      <c r="K403">
        <v>95.24</v>
      </c>
      <c r="L403">
        <v>1.058222222222222</v>
      </c>
      <c r="M403">
        <v>1.058222222222222</v>
      </c>
      <c r="N403" t="s">
        <v>256</v>
      </c>
      <c r="O403" t="s">
        <v>5464</v>
      </c>
      <c r="P403" t="s">
        <v>675</v>
      </c>
      <c r="Q403">
        <v>2</v>
      </c>
      <c r="R403">
        <v>2</v>
      </c>
    </row>
    <row r="404" spans="1:18" x14ac:dyDescent="0.3">
      <c r="A404" t="s">
        <v>676</v>
      </c>
      <c r="B404" t="s">
        <v>677</v>
      </c>
      <c r="C404" t="s">
        <v>672</v>
      </c>
      <c r="D404" t="s">
        <v>233</v>
      </c>
      <c r="E404" t="s">
        <v>30</v>
      </c>
      <c r="F404" s="6">
        <v>45107</v>
      </c>
      <c r="G404">
        <v>2023</v>
      </c>
      <c r="H404" t="s">
        <v>44</v>
      </c>
      <c r="I404" t="s">
        <v>33</v>
      </c>
      <c r="J404">
        <v>106</v>
      </c>
      <c r="K404">
        <v>106.5</v>
      </c>
      <c r="L404">
        <v>1.004716981132076</v>
      </c>
      <c r="M404">
        <v>1.004716981132076</v>
      </c>
      <c r="N404" t="s">
        <v>383</v>
      </c>
      <c r="O404" t="s">
        <v>5465</v>
      </c>
      <c r="P404" t="s">
        <v>679</v>
      </c>
      <c r="Q404">
        <v>2</v>
      </c>
      <c r="R404">
        <v>2</v>
      </c>
    </row>
    <row r="405" spans="1:18" x14ac:dyDescent="0.3">
      <c r="A405" t="s">
        <v>676</v>
      </c>
      <c r="B405" t="s">
        <v>677</v>
      </c>
      <c r="C405" t="s">
        <v>672</v>
      </c>
      <c r="D405" t="s">
        <v>233</v>
      </c>
      <c r="E405" t="s">
        <v>30</v>
      </c>
      <c r="F405" s="6">
        <v>45291</v>
      </c>
      <c r="G405">
        <v>2023</v>
      </c>
      <c r="H405" t="s">
        <v>57</v>
      </c>
      <c r="I405" t="s">
        <v>47</v>
      </c>
      <c r="J405">
        <v>117.5</v>
      </c>
      <c r="K405">
        <v>117.5</v>
      </c>
      <c r="L405">
        <v>1</v>
      </c>
      <c r="M405">
        <v>1</v>
      </c>
      <c r="N405" t="s">
        <v>5466</v>
      </c>
      <c r="O405" t="s">
        <v>5466</v>
      </c>
      <c r="P405" t="s">
        <v>681</v>
      </c>
      <c r="Q405">
        <v>2</v>
      </c>
      <c r="R405">
        <v>2</v>
      </c>
    </row>
    <row r="406" spans="1:18" x14ac:dyDescent="0.3">
      <c r="A406" t="s">
        <v>676</v>
      </c>
      <c r="B406" t="s">
        <v>677</v>
      </c>
      <c r="C406" t="s">
        <v>672</v>
      </c>
      <c r="D406" t="s">
        <v>233</v>
      </c>
      <c r="E406" t="s">
        <v>30</v>
      </c>
      <c r="F406" s="6">
        <v>45473</v>
      </c>
      <c r="G406">
        <v>2024</v>
      </c>
      <c r="H406" t="s">
        <v>44</v>
      </c>
      <c r="I406" t="s">
        <v>71</v>
      </c>
      <c r="J406">
        <v>90</v>
      </c>
      <c r="K406">
        <v>100</v>
      </c>
      <c r="L406">
        <v>1.1111111111111109</v>
      </c>
      <c r="M406">
        <v>1.1111111111111109</v>
      </c>
      <c r="N406" t="s">
        <v>256</v>
      </c>
      <c r="O406" t="s">
        <v>102</v>
      </c>
      <c r="P406" t="s">
        <v>682</v>
      </c>
      <c r="Q406">
        <v>2</v>
      </c>
      <c r="R406">
        <v>2</v>
      </c>
    </row>
    <row r="407" spans="1:18" x14ac:dyDescent="0.3">
      <c r="A407" t="s">
        <v>683</v>
      </c>
      <c r="B407" t="s">
        <v>684</v>
      </c>
      <c r="C407" t="s">
        <v>672</v>
      </c>
      <c r="D407" t="s">
        <v>29</v>
      </c>
      <c r="E407" t="s">
        <v>108</v>
      </c>
      <c r="F407" s="6">
        <v>45107</v>
      </c>
      <c r="G407">
        <v>2023</v>
      </c>
      <c r="H407" t="s">
        <v>44</v>
      </c>
      <c r="I407" t="s">
        <v>33</v>
      </c>
      <c r="J407">
        <v>342.01249999999999</v>
      </c>
      <c r="K407">
        <v>222.45616666666669</v>
      </c>
      <c r="L407">
        <v>1.3</v>
      </c>
      <c r="M407">
        <v>1.5374377124482199</v>
      </c>
      <c r="N407" t="s">
        <v>5467</v>
      </c>
      <c r="O407" t="s">
        <v>5468</v>
      </c>
      <c r="P407" t="s">
        <v>690</v>
      </c>
      <c r="Q407">
        <v>2</v>
      </c>
      <c r="R407">
        <v>2</v>
      </c>
    </row>
    <row r="408" spans="1:18" x14ac:dyDescent="0.3">
      <c r="A408" t="s">
        <v>683</v>
      </c>
      <c r="B408" t="s">
        <v>684</v>
      </c>
      <c r="C408" t="s">
        <v>672</v>
      </c>
      <c r="D408" t="s">
        <v>29</v>
      </c>
      <c r="E408" t="s">
        <v>108</v>
      </c>
      <c r="F408" s="6">
        <v>45291</v>
      </c>
      <c r="G408">
        <v>2023</v>
      </c>
      <c r="H408" t="s">
        <v>57</v>
      </c>
      <c r="I408" t="s">
        <v>47</v>
      </c>
      <c r="J408">
        <v>816.55816666666669</v>
      </c>
      <c r="K408">
        <v>712.44950000000006</v>
      </c>
      <c r="L408">
        <v>1.1461277840277331</v>
      </c>
      <c r="M408">
        <v>1.1461277840277331</v>
      </c>
      <c r="N408" t="s">
        <v>5469</v>
      </c>
      <c r="O408" t="s">
        <v>5470</v>
      </c>
      <c r="P408" t="s">
        <v>696</v>
      </c>
      <c r="Q408">
        <v>2</v>
      </c>
      <c r="R408">
        <v>2</v>
      </c>
    </row>
    <row r="409" spans="1:18" x14ac:dyDescent="0.3">
      <c r="A409" t="s">
        <v>683</v>
      </c>
      <c r="B409" t="s">
        <v>684</v>
      </c>
      <c r="C409" t="s">
        <v>672</v>
      </c>
      <c r="D409" t="s">
        <v>29</v>
      </c>
      <c r="E409" t="s">
        <v>108</v>
      </c>
      <c r="F409" s="6">
        <v>45473</v>
      </c>
      <c r="G409">
        <v>2024</v>
      </c>
      <c r="H409" t="s">
        <v>44</v>
      </c>
      <c r="I409" t="s">
        <v>71</v>
      </c>
      <c r="J409">
        <v>372.28592916666662</v>
      </c>
      <c r="K409">
        <v>274.40946266666668</v>
      </c>
      <c r="L409">
        <v>1.3</v>
      </c>
      <c r="M409">
        <v>1.3566803620722561</v>
      </c>
      <c r="N409" t="s">
        <v>5471</v>
      </c>
      <c r="O409" t="s">
        <v>5472</v>
      </c>
      <c r="P409" t="s">
        <v>702</v>
      </c>
      <c r="Q409">
        <v>2</v>
      </c>
      <c r="R409">
        <v>2</v>
      </c>
    </row>
    <row r="410" spans="1:18" x14ac:dyDescent="0.3">
      <c r="A410" t="s">
        <v>683</v>
      </c>
      <c r="B410" t="s">
        <v>684</v>
      </c>
      <c r="C410" t="s">
        <v>672</v>
      </c>
      <c r="D410" t="s">
        <v>29</v>
      </c>
      <c r="E410" t="s">
        <v>108</v>
      </c>
      <c r="F410" s="6">
        <v>45657</v>
      </c>
      <c r="G410">
        <v>2024</v>
      </c>
      <c r="H410" t="s">
        <v>57</v>
      </c>
      <c r="I410" t="s">
        <v>78</v>
      </c>
      <c r="J410">
        <v>1340.3723368333331</v>
      </c>
      <c r="K410">
        <v>892.35889450000013</v>
      </c>
      <c r="L410">
        <v>1.3</v>
      </c>
      <c r="M410">
        <v>1.5020552213852929</v>
      </c>
      <c r="N410" t="s">
        <v>5473</v>
      </c>
      <c r="O410" t="s">
        <v>5474</v>
      </c>
      <c r="P410" t="s">
        <v>708</v>
      </c>
      <c r="Q410">
        <v>2</v>
      </c>
      <c r="R410">
        <v>2</v>
      </c>
    </row>
    <row r="411" spans="1:18" x14ac:dyDescent="0.3">
      <c r="A411" t="s">
        <v>683</v>
      </c>
      <c r="B411" t="s">
        <v>684</v>
      </c>
      <c r="C411" t="s">
        <v>672</v>
      </c>
      <c r="D411" t="s">
        <v>29</v>
      </c>
      <c r="E411" t="s">
        <v>108</v>
      </c>
      <c r="F411" s="6">
        <v>45838</v>
      </c>
      <c r="G411">
        <v>2025</v>
      </c>
      <c r="H411" t="s">
        <v>44</v>
      </c>
      <c r="I411" t="s">
        <v>244</v>
      </c>
      <c r="J411">
        <v>329.35078833333341</v>
      </c>
      <c r="K411">
        <v>241.66333316666669</v>
      </c>
      <c r="L411">
        <v>1.3</v>
      </c>
      <c r="M411">
        <v>1.362849647141926</v>
      </c>
      <c r="N411" t="s">
        <v>5475</v>
      </c>
      <c r="O411" t="s">
        <v>5476</v>
      </c>
      <c r="P411" t="s">
        <v>714</v>
      </c>
      <c r="Q411">
        <v>2</v>
      </c>
      <c r="R411">
        <v>2</v>
      </c>
    </row>
    <row r="412" spans="1:18" x14ac:dyDescent="0.3">
      <c r="A412" t="s">
        <v>715</v>
      </c>
      <c r="B412" t="s">
        <v>716</v>
      </c>
      <c r="C412" t="s">
        <v>717</v>
      </c>
      <c r="D412" t="s">
        <v>222</v>
      </c>
      <c r="E412" t="s">
        <v>30</v>
      </c>
      <c r="F412" s="6">
        <v>44742</v>
      </c>
      <c r="G412">
        <v>2022</v>
      </c>
      <c r="H412" t="s">
        <v>44</v>
      </c>
      <c r="I412" t="s">
        <v>88</v>
      </c>
      <c r="J412">
        <v>49004</v>
      </c>
      <c r="K412">
        <v>51010</v>
      </c>
      <c r="L412">
        <v>1.040935433842135</v>
      </c>
      <c r="M412">
        <v>1.040935433842135</v>
      </c>
      <c r="N412" t="s">
        <v>5477</v>
      </c>
      <c r="O412" t="s">
        <v>5478</v>
      </c>
      <c r="P412" t="s">
        <v>719</v>
      </c>
      <c r="Q412">
        <v>2</v>
      </c>
      <c r="R412">
        <v>2</v>
      </c>
    </row>
    <row r="413" spans="1:18" x14ac:dyDescent="0.3">
      <c r="A413" t="s">
        <v>715</v>
      </c>
      <c r="B413" t="s">
        <v>716</v>
      </c>
      <c r="C413" t="s">
        <v>717</v>
      </c>
      <c r="D413" t="s">
        <v>222</v>
      </c>
      <c r="E413" t="s">
        <v>30</v>
      </c>
      <c r="F413" s="6">
        <v>44926</v>
      </c>
      <c r="G413">
        <v>2022</v>
      </c>
      <c r="H413" t="s">
        <v>57</v>
      </c>
      <c r="I413" t="s">
        <v>90</v>
      </c>
      <c r="J413">
        <v>50430</v>
      </c>
      <c r="K413">
        <v>50238</v>
      </c>
      <c r="L413">
        <v>0.99619274241522904</v>
      </c>
      <c r="M413">
        <v>0.99619274241522904</v>
      </c>
      <c r="N413" t="s">
        <v>5479</v>
      </c>
      <c r="O413" t="s">
        <v>5480</v>
      </c>
      <c r="P413" t="s">
        <v>720</v>
      </c>
      <c r="Q413">
        <v>2</v>
      </c>
      <c r="R413">
        <v>2</v>
      </c>
    </row>
    <row r="414" spans="1:18" x14ac:dyDescent="0.3">
      <c r="A414" t="s">
        <v>715</v>
      </c>
      <c r="B414" t="s">
        <v>716</v>
      </c>
      <c r="C414" t="s">
        <v>717</v>
      </c>
      <c r="D414" t="s">
        <v>222</v>
      </c>
      <c r="E414" t="s">
        <v>30</v>
      </c>
      <c r="F414" s="6">
        <v>45107</v>
      </c>
      <c r="G414">
        <v>2023</v>
      </c>
      <c r="H414" t="s">
        <v>44</v>
      </c>
      <c r="I414" t="s">
        <v>33</v>
      </c>
      <c r="J414">
        <v>52177</v>
      </c>
      <c r="K414">
        <v>51473</v>
      </c>
      <c r="L414">
        <v>0.98650746497498898</v>
      </c>
      <c r="M414">
        <v>0.98650746497498898</v>
      </c>
      <c r="N414" t="s">
        <v>5481</v>
      </c>
      <c r="O414" t="s">
        <v>5482</v>
      </c>
      <c r="P414" t="s">
        <v>721</v>
      </c>
      <c r="Q414">
        <v>2</v>
      </c>
      <c r="R414">
        <v>2</v>
      </c>
    </row>
    <row r="415" spans="1:18" x14ac:dyDescent="0.3">
      <c r="A415" t="s">
        <v>715</v>
      </c>
      <c r="B415" t="s">
        <v>716</v>
      </c>
      <c r="C415" t="s">
        <v>717</v>
      </c>
      <c r="D415" t="s">
        <v>222</v>
      </c>
      <c r="E415" t="s">
        <v>30</v>
      </c>
      <c r="F415" s="6">
        <v>45291</v>
      </c>
      <c r="G415">
        <v>2023</v>
      </c>
      <c r="H415" t="s">
        <v>57</v>
      </c>
      <c r="I415" t="s">
        <v>47</v>
      </c>
      <c r="J415">
        <v>51687</v>
      </c>
      <c r="K415">
        <v>51375</v>
      </c>
      <c r="L415">
        <v>0.99396366591212493</v>
      </c>
      <c r="M415">
        <v>0.99396366591212493</v>
      </c>
      <c r="N415" t="s">
        <v>5483</v>
      </c>
      <c r="O415" t="s">
        <v>5484</v>
      </c>
      <c r="P415" t="s">
        <v>722</v>
      </c>
      <c r="Q415">
        <v>2</v>
      </c>
      <c r="R415">
        <v>2</v>
      </c>
    </row>
    <row r="416" spans="1:18" x14ac:dyDescent="0.3">
      <c r="A416" t="s">
        <v>715</v>
      </c>
      <c r="B416" t="s">
        <v>716</v>
      </c>
      <c r="C416" t="s">
        <v>717</v>
      </c>
      <c r="D416" t="s">
        <v>222</v>
      </c>
      <c r="E416" t="s">
        <v>30</v>
      </c>
      <c r="F416" s="6">
        <v>45473</v>
      </c>
      <c r="G416">
        <v>2024</v>
      </c>
      <c r="H416" t="s">
        <v>44</v>
      </c>
      <c r="I416" t="s">
        <v>71</v>
      </c>
      <c r="J416">
        <v>52403.186118801452</v>
      </c>
      <c r="K416">
        <v>52585</v>
      </c>
      <c r="L416">
        <v>1.00346951959727</v>
      </c>
      <c r="M416">
        <v>1.00346951959727</v>
      </c>
      <c r="N416" t="s">
        <v>5485</v>
      </c>
      <c r="O416" t="s">
        <v>5486</v>
      </c>
      <c r="P416" t="s">
        <v>723</v>
      </c>
      <c r="Q416">
        <v>2</v>
      </c>
      <c r="R416">
        <v>2</v>
      </c>
    </row>
    <row r="417" spans="1:18" x14ac:dyDescent="0.3">
      <c r="A417" t="s">
        <v>715</v>
      </c>
      <c r="B417" t="s">
        <v>716</v>
      </c>
      <c r="C417" t="s">
        <v>717</v>
      </c>
      <c r="D417" t="s">
        <v>222</v>
      </c>
      <c r="E417" t="s">
        <v>30</v>
      </c>
      <c r="F417" s="6">
        <v>45657</v>
      </c>
      <c r="G417">
        <v>2024</v>
      </c>
      <c r="H417" t="s">
        <v>57</v>
      </c>
      <c r="I417" t="s">
        <v>78</v>
      </c>
      <c r="J417">
        <v>51116.334115206948</v>
      </c>
      <c r="K417">
        <v>52005</v>
      </c>
      <c r="L417">
        <v>1.017385164647961</v>
      </c>
      <c r="M417">
        <v>1.017385164647961</v>
      </c>
      <c r="N417" t="s">
        <v>5487</v>
      </c>
      <c r="O417" t="s">
        <v>5488</v>
      </c>
      <c r="P417" t="s">
        <v>724</v>
      </c>
      <c r="Q417">
        <v>2</v>
      </c>
      <c r="R417">
        <v>2</v>
      </c>
    </row>
    <row r="418" spans="1:18" x14ac:dyDescent="0.3">
      <c r="A418" t="s">
        <v>725</v>
      </c>
      <c r="B418" t="s">
        <v>726</v>
      </c>
      <c r="C418" t="s">
        <v>717</v>
      </c>
      <c r="D418" t="s">
        <v>222</v>
      </c>
      <c r="E418" t="s">
        <v>30</v>
      </c>
      <c r="F418" s="6">
        <v>44742</v>
      </c>
      <c r="G418">
        <v>2022</v>
      </c>
      <c r="H418" t="s">
        <v>44</v>
      </c>
      <c r="I418" t="s">
        <v>88</v>
      </c>
      <c r="J418">
        <v>7541</v>
      </c>
      <c r="K418">
        <v>7651</v>
      </c>
      <c r="L418">
        <v>1.0145869248110331</v>
      </c>
      <c r="M418">
        <v>1.0145869248110331</v>
      </c>
      <c r="N418" t="s">
        <v>5489</v>
      </c>
      <c r="O418" t="s">
        <v>5490</v>
      </c>
      <c r="P418" t="s">
        <v>727</v>
      </c>
      <c r="Q418">
        <v>2</v>
      </c>
      <c r="R418">
        <v>2</v>
      </c>
    </row>
    <row r="419" spans="1:18" x14ac:dyDescent="0.3">
      <c r="A419" t="s">
        <v>725</v>
      </c>
      <c r="B419" t="s">
        <v>726</v>
      </c>
      <c r="C419" t="s">
        <v>717</v>
      </c>
      <c r="D419" t="s">
        <v>222</v>
      </c>
      <c r="E419" t="s">
        <v>30</v>
      </c>
      <c r="F419" s="6">
        <v>44926</v>
      </c>
      <c r="G419">
        <v>2022</v>
      </c>
      <c r="H419" t="s">
        <v>57</v>
      </c>
      <c r="I419" t="s">
        <v>90</v>
      </c>
      <c r="J419">
        <v>6730</v>
      </c>
      <c r="K419">
        <v>7539</v>
      </c>
      <c r="L419">
        <v>1.1202080237741461</v>
      </c>
      <c r="M419">
        <v>1.1202080237741461</v>
      </c>
      <c r="N419" t="s">
        <v>5491</v>
      </c>
      <c r="O419" t="s">
        <v>5492</v>
      </c>
      <c r="P419" t="s">
        <v>728</v>
      </c>
      <c r="Q419">
        <v>2</v>
      </c>
      <c r="R419">
        <v>2</v>
      </c>
    </row>
    <row r="420" spans="1:18" x14ac:dyDescent="0.3">
      <c r="A420" t="s">
        <v>725</v>
      </c>
      <c r="B420" t="s">
        <v>726</v>
      </c>
      <c r="C420" t="s">
        <v>717</v>
      </c>
      <c r="D420" t="s">
        <v>222</v>
      </c>
      <c r="E420" t="s">
        <v>30</v>
      </c>
      <c r="F420" s="6">
        <v>45107</v>
      </c>
      <c r="G420">
        <v>2023</v>
      </c>
      <c r="H420" t="s">
        <v>44</v>
      </c>
      <c r="I420" t="s">
        <v>33</v>
      </c>
      <c r="J420">
        <v>7822</v>
      </c>
      <c r="K420">
        <v>7912</v>
      </c>
      <c r="L420">
        <v>1.0115060086934291</v>
      </c>
      <c r="M420">
        <v>1.0115060086934291</v>
      </c>
      <c r="N420" t="s">
        <v>5493</v>
      </c>
      <c r="O420" t="s">
        <v>5494</v>
      </c>
      <c r="P420" t="s">
        <v>729</v>
      </c>
      <c r="Q420">
        <v>2</v>
      </c>
      <c r="R420">
        <v>2</v>
      </c>
    </row>
    <row r="421" spans="1:18" x14ac:dyDescent="0.3">
      <c r="A421" t="s">
        <v>725</v>
      </c>
      <c r="B421" t="s">
        <v>726</v>
      </c>
      <c r="C421" t="s">
        <v>730</v>
      </c>
      <c r="D421" t="s">
        <v>222</v>
      </c>
      <c r="E421" t="s">
        <v>30</v>
      </c>
      <c r="F421" s="6">
        <v>45291</v>
      </c>
      <c r="G421">
        <v>2023</v>
      </c>
      <c r="H421" t="s">
        <v>57</v>
      </c>
      <c r="I421" t="s">
        <v>47</v>
      </c>
      <c r="J421">
        <v>7620</v>
      </c>
      <c r="K421">
        <v>8067</v>
      </c>
      <c r="L421">
        <v>1.058661417322835</v>
      </c>
      <c r="M421">
        <v>1.058661417322835</v>
      </c>
      <c r="N421" t="s">
        <v>5495</v>
      </c>
      <c r="O421" t="s">
        <v>5496</v>
      </c>
      <c r="P421" t="s">
        <v>731</v>
      </c>
      <c r="Q421">
        <v>2</v>
      </c>
      <c r="R421">
        <v>2</v>
      </c>
    </row>
    <row r="422" spans="1:18" x14ac:dyDescent="0.3">
      <c r="A422" t="s">
        <v>725</v>
      </c>
      <c r="B422" t="s">
        <v>726</v>
      </c>
      <c r="C422" t="s">
        <v>730</v>
      </c>
      <c r="D422" t="s">
        <v>222</v>
      </c>
      <c r="E422" t="s">
        <v>30</v>
      </c>
      <c r="F422" s="6">
        <v>45473</v>
      </c>
      <c r="G422">
        <v>2024</v>
      </c>
      <c r="H422" t="s">
        <v>44</v>
      </c>
      <c r="I422" t="s">
        <v>71</v>
      </c>
      <c r="J422">
        <v>8168</v>
      </c>
      <c r="K422">
        <v>8424</v>
      </c>
      <c r="L422">
        <v>1.031341821743389</v>
      </c>
      <c r="M422">
        <v>1.031341821743389</v>
      </c>
      <c r="N422" t="s">
        <v>5497</v>
      </c>
      <c r="O422" t="s">
        <v>5498</v>
      </c>
      <c r="P422" t="s">
        <v>732</v>
      </c>
      <c r="Q422">
        <v>2</v>
      </c>
      <c r="R422">
        <v>2</v>
      </c>
    </row>
    <row r="423" spans="1:18" x14ac:dyDescent="0.3">
      <c r="A423" t="s">
        <v>725</v>
      </c>
      <c r="B423" t="s">
        <v>726</v>
      </c>
      <c r="C423" t="s">
        <v>730</v>
      </c>
      <c r="D423" t="s">
        <v>222</v>
      </c>
      <c r="E423" t="s">
        <v>30</v>
      </c>
      <c r="F423" s="6">
        <v>45657</v>
      </c>
      <c r="G423">
        <v>2024</v>
      </c>
      <c r="H423" t="s">
        <v>57</v>
      </c>
      <c r="I423" t="s">
        <v>78</v>
      </c>
      <c r="J423">
        <v>7912</v>
      </c>
      <c r="K423">
        <v>8165</v>
      </c>
      <c r="L423">
        <v>1.031976744186047</v>
      </c>
      <c r="M423">
        <v>1.031976744186047</v>
      </c>
      <c r="N423" t="s">
        <v>5494</v>
      </c>
      <c r="O423" t="s">
        <v>5499</v>
      </c>
      <c r="P423" t="s">
        <v>733</v>
      </c>
      <c r="Q423">
        <v>2</v>
      </c>
      <c r="R423">
        <v>2</v>
      </c>
    </row>
    <row r="424" spans="1:18" x14ac:dyDescent="0.3">
      <c r="A424" t="s">
        <v>734</v>
      </c>
      <c r="B424" t="s">
        <v>735</v>
      </c>
      <c r="C424" t="s">
        <v>717</v>
      </c>
      <c r="D424" t="s">
        <v>222</v>
      </c>
      <c r="E424" t="s">
        <v>30</v>
      </c>
      <c r="F424" s="6">
        <v>44742</v>
      </c>
      <c r="G424">
        <v>2022</v>
      </c>
      <c r="H424" t="s">
        <v>44</v>
      </c>
      <c r="I424" t="s">
        <v>88</v>
      </c>
      <c r="J424">
        <v>42889</v>
      </c>
      <c r="K424">
        <v>43359</v>
      </c>
      <c r="L424">
        <v>1.010958520832848</v>
      </c>
      <c r="M424">
        <v>1.010958520832848</v>
      </c>
      <c r="N424" t="s">
        <v>5500</v>
      </c>
      <c r="O424" t="s">
        <v>5501</v>
      </c>
      <c r="P424" t="s">
        <v>736</v>
      </c>
      <c r="Q424">
        <v>2</v>
      </c>
      <c r="R424">
        <v>2</v>
      </c>
    </row>
    <row r="425" spans="1:18" x14ac:dyDescent="0.3">
      <c r="A425" t="s">
        <v>734</v>
      </c>
      <c r="B425" t="s">
        <v>735</v>
      </c>
      <c r="C425" t="s">
        <v>717</v>
      </c>
      <c r="D425" t="s">
        <v>222</v>
      </c>
      <c r="E425" t="s">
        <v>30</v>
      </c>
      <c r="F425" s="6">
        <v>44926</v>
      </c>
      <c r="G425">
        <v>2022</v>
      </c>
      <c r="H425" t="s">
        <v>57</v>
      </c>
      <c r="I425" t="s">
        <v>90</v>
      </c>
      <c r="J425">
        <v>42274</v>
      </c>
      <c r="K425">
        <v>42699</v>
      </c>
      <c r="L425">
        <v>1.0100534607560201</v>
      </c>
      <c r="M425">
        <v>1.0100534607560201</v>
      </c>
      <c r="N425" t="s">
        <v>5502</v>
      </c>
      <c r="O425" t="s">
        <v>5503</v>
      </c>
      <c r="P425" t="s">
        <v>737</v>
      </c>
      <c r="Q425">
        <v>2</v>
      </c>
      <c r="R425">
        <v>2</v>
      </c>
    </row>
    <row r="426" spans="1:18" x14ac:dyDescent="0.3">
      <c r="A426" t="s">
        <v>734</v>
      </c>
      <c r="B426" t="s">
        <v>735</v>
      </c>
      <c r="C426" t="s">
        <v>717</v>
      </c>
      <c r="D426" t="s">
        <v>222</v>
      </c>
      <c r="E426" t="s">
        <v>30</v>
      </c>
      <c r="F426" s="6">
        <v>45107</v>
      </c>
      <c r="G426">
        <v>2023</v>
      </c>
      <c r="H426" t="s">
        <v>44</v>
      </c>
      <c r="I426" t="s">
        <v>33</v>
      </c>
      <c r="J426">
        <v>44355</v>
      </c>
      <c r="K426">
        <v>43561</v>
      </c>
      <c r="L426">
        <v>0.98209897418554837</v>
      </c>
      <c r="M426">
        <v>0.98209897418554837</v>
      </c>
      <c r="N426" t="s">
        <v>5504</v>
      </c>
      <c r="O426" t="s">
        <v>5505</v>
      </c>
      <c r="P426" t="s">
        <v>738</v>
      </c>
      <c r="Q426">
        <v>2</v>
      </c>
      <c r="R426">
        <v>2</v>
      </c>
    </row>
    <row r="427" spans="1:18" x14ac:dyDescent="0.3">
      <c r="A427" t="s">
        <v>734</v>
      </c>
      <c r="B427" t="s">
        <v>735</v>
      </c>
      <c r="C427" t="s">
        <v>730</v>
      </c>
      <c r="D427" t="s">
        <v>222</v>
      </c>
      <c r="E427" t="s">
        <v>30</v>
      </c>
      <c r="F427" s="6">
        <v>45291</v>
      </c>
      <c r="G427">
        <v>2023</v>
      </c>
      <c r="H427" t="s">
        <v>57</v>
      </c>
      <c r="I427" t="s">
        <v>47</v>
      </c>
      <c r="J427">
        <v>44067</v>
      </c>
      <c r="K427">
        <v>43308</v>
      </c>
      <c r="L427">
        <v>0.98277622710872081</v>
      </c>
      <c r="M427">
        <v>0.98277622710872081</v>
      </c>
      <c r="N427" t="s">
        <v>5506</v>
      </c>
      <c r="O427" t="s">
        <v>5507</v>
      </c>
      <c r="P427" t="s">
        <v>739</v>
      </c>
      <c r="Q427">
        <v>2</v>
      </c>
      <c r="R427">
        <v>2</v>
      </c>
    </row>
    <row r="428" spans="1:18" x14ac:dyDescent="0.3">
      <c r="A428" t="s">
        <v>734</v>
      </c>
      <c r="B428" t="s">
        <v>735</v>
      </c>
      <c r="C428" t="s">
        <v>730</v>
      </c>
      <c r="D428" t="s">
        <v>222</v>
      </c>
      <c r="E428" t="s">
        <v>30</v>
      </c>
      <c r="F428" s="6">
        <v>45473</v>
      </c>
      <c r="G428">
        <v>2024</v>
      </c>
      <c r="H428" t="s">
        <v>44</v>
      </c>
      <c r="I428" t="s">
        <v>71</v>
      </c>
      <c r="J428">
        <v>44235</v>
      </c>
      <c r="K428">
        <v>44161</v>
      </c>
      <c r="L428">
        <v>0.99832711653667905</v>
      </c>
      <c r="M428">
        <v>0.99832711653667905</v>
      </c>
      <c r="N428" t="s">
        <v>5508</v>
      </c>
      <c r="O428" t="s">
        <v>5509</v>
      </c>
      <c r="P428" t="s">
        <v>740</v>
      </c>
      <c r="Q428">
        <v>2</v>
      </c>
      <c r="R428">
        <v>2</v>
      </c>
    </row>
    <row r="429" spans="1:18" x14ac:dyDescent="0.3">
      <c r="A429" t="s">
        <v>734</v>
      </c>
      <c r="B429" t="s">
        <v>735</v>
      </c>
      <c r="C429" t="s">
        <v>730</v>
      </c>
      <c r="D429" t="s">
        <v>222</v>
      </c>
      <c r="E429" t="s">
        <v>30</v>
      </c>
      <c r="F429" s="6">
        <v>45657</v>
      </c>
      <c r="G429">
        <v>2024</v>
      </c>
      <c r="H429" t="s">
        <v>57</v>
      </c>
      <c r="I429" t="s">
        <v>78</v>
      </c>
      <c r="J429">
        <v>43204</v>
      </c>
      <c r="K429">
        <v>43840</v>
      </c>
      <c r="L429">
        <v>1.0147208591797059</v>
      </c>
      <c r="M429">
        <v>1.0147208591797059</v>
      </c>
      <c r="N429" t="s">
        <v>5510</v>
      </c>
      <c r="O429" t="s">
        <v>5511</v>
      </c>
      <c r="P429" t="s">
        <v>741</v>
      </c>
      <c r="Q429">
        <v>2</v>
      </c>
      <c r="R429">
        <v>2</v>
      </c>
    </row>
    <row r="430" spans="1:18" x14ac:dyDescent="0.3">
      <c r="A430" t="s">
        <v>742</v>
      </c>
      <c r="B430" t="s">
        <v>743</v>
      </c>
      <c r="C430" t="s">
        <v>730</v>
      </c>
      <c r="D430" t="s">
        <v>222</v>
      </c>
      <c r="E430" t="s">
        <v>30</v>
      </c>
      <c r="F430" s="6">
        <v>44742</v>
      </c>
      <c r="G430">
        <v>2022</v>
      </c>
      <c r="H430" t="s">
        <v>44</v>
      </c>
      <c r="I430" t="s">
        <v>88</v>
      </c>
      <c r="J430">
        <v>48022</v>
      </c>
      <c r="K430">
        <v>48612</v>
      </c>
      <c r="L430">
        <v>1.012286035567032</v>
      </c>
      <c r="M430">
        <v>1.012286035567032</v>
      </c>
      <c r="N430" t="s">
        <v>5512</v>
      </c>
      <c r="O430" t="s">
        <v>5513</v>
      </c>
      <c r="P430" t="s">
        <v>744</v>
      </c>
      <c r="Q430">
        <v>2</v>
      </c>
      <c r="R430">
        <v>2</v>
      </c>
    </row>
    <row r="431" spans="1:18" x14ac:dyDescent="0.3">
      <c r="A431" t="s">
        <v>742</v>
      </c>
      <c r="B431" t="s">
        <v>743</v>
      </c>
      <c r="C431" t="s">
        <v>730</v>
      </c>
      <c r="D431" t="s">
        <v>222</v>
      </c>
      <c r="E431" t="s">
        <v>30</v>
      </c>
      <c r="F431" s="6">
        <v>44926</v>
      </c>
      <c r="G431">
        <v>2022</v>
      </c>
      <c r="H431" t="s">
        <v>57</v>
      </c>
      <c r="I431" t="s">
        <v>90</v>
      </c>
      <c r="J431">
        <v>46674</v>
      </c>
      <c r="K431">
        <v>47628</v>
      </c>
      <c r="L431">
        <v>1.020439645198612</v>
      </c>
      <c r="M431">
        <v>1.020439645198612</v>
      </c>
      <c r="N431" t="s">
        <v>5514</v>
      </c>
      <c r="O431" t="s">
        <v>5515</v>
      </c>
      <c r="P431" t="s">
        <v>745</v>
      </c>
      <c r="Q431">
        <v>2</v>
      </c>
      <c r="R431">
        <v>2</v>
      </c>
    </row>
    <row r="432" spans="1:18" x14ac:dyDescent="0.3">
      <c r="A432" t="s">
        <v>742</v>
      </c>
      <c r="B432" t="s">
        <v>743</v>
      </c>
      <c r="C432" t="s">
        <v>717</v>
      </c>
      <c r="D432" t="s">
        <v>222</v>
      </c>
      <c r="E432" t="s">
        <v>30</v>
      </c>
      <c r="F432" s="6">
        <v>45107</v>
      </c>
      <c r="G432">
        <v>2023</v>
      </c>
      <c r="H432" t="s">
        <v>44</v>
      </c>
      <c r="I432" t="s">
        <v>33</v>
      </c>
      <c r="J432">
        <v>49451</v>
      </c>
      <c r="K432">
        <v>48483</v>
      </c>
      <c r="L432">
        <v>0.98042506723827627</v>
      </c>
      <c r="M432">
        <v>0.98042506723827627</v>
      </c>
      <c r="N432" t="s">
        <v>5516</v>
      </c>
      <c r="O432" t="s">
        <v>5517</v>
      </c>
      <c r="P432" t="s">
        <v>746</v>
      </c>
      <c r="Q432">
        <v>2</v>
      </c>
      <c r="R432">
        <v>2</v>
      </c>
    </row>
    <row r="433" spans="1:18" x14ac:dyDescent="0.3">
      <c r="A433" t="s">
        <v>742</v>
      </c>
      <c r="B433" t="s">
        <v>743</v>
      </c>
      <c r="C433" t="s">
        <v>730</v>
      </c>
      <c r="D433" t="s">
        <v>222</v>
      </c>
      <c r="E433" t="s">
        <v>30</v>
      </c>
      <c r="F433" s="6">
        <v>45291</v>
      </c>
      <c r="G433">
        <v>2023</v>
      </c>
      <c r="H433" t="s">
        <v>57</v>
      </c>
      <c r="I433" t="s">
        <v>47</v>
      </c>
      <c r="J433">
        <v>48891</v>
      </c>
      <c r="K433">
        <v>48047</v>
      </c>
      <c r="L433">
        <v>0.98273710907938061</v>
      </c>
      <c r="M433">
        <v>0.98273710907938061</v>
      </c>
      <c r="N433" t="s">
        <v>5518</v>
      </c>
      <c r="O433" t="s">
        <v>5519</v>
      </c>
      <c r="P433" t="s">
        <v>747</v>
      </c>
      <c r="Q433">
        <v>2</v>
      </c>
      <c r="R433">
        <v>2</v>
      </c>
    </row>
    <row r="434" spans="1:18" x14ac:dyDescent="0.3">
      <c r="A434" t="s">
        <v>742</v>
      </c>
      <c r="B434" t="s">
        <v>743</v>
      </c>
      <c r="C434" t="s">
        <v>730</v>
      </c>
      <c r="D434" t="s">
        <v>222</v>
      </c>
      <c r="E434" t="s">
        <v>30</v>
      </c>
      <c r="F434" s="6">
        <v>45473</v>
      </c>
      <c r="G434">
        <v>2024</v>
      </c>
      <c r="H434" t="s">
        <v>44</v>
      </c>
      <c r="I434" t="s">
        <v>71</v>
      </c>
      <c r="J434">
        <v>49310</v>
      </c>
      <c r="K434">
        <v>49100</v>
      </c>
      <c r="L434">
        <v>0.99574122895964312</v>
      </c>
      <c r="M434">
        <v>0.99574122895964312</v>
      </c>
      <c r="N434" t="s">
        <v>5520</v>
      </c>
      <c r="O434" t="s">
        <v>5521</v>
      </c>
      <c r="P434" t="s">
        <v>748</v>
      </c>
      <c r="Q434">
        <v>2</v>
      </c>
      <c r="R434">
        <v>2</v>
      </c>
    </row>
    <row r="435" spans="1:18" x14ac:dyDescent="0.3">
      <c r="A435" t="s">
        <v>742</v>
      </c>
      <c r="B435" t="s">
        <v>743</v>
      </c>
      <c r="C435" t="s">
        <v>730</v>
      </c>
      <c r="D435" t="s">
        <v>222</v>
      </c>
      <c r="E435" t="s">
        <v>30</v>
      </c>
      <c r="F435" s="6">
        <v>45657</v>
      </c>
      <c r="G435">
        <v>2024</v>
      </c>
      <c r="H435" t="s">
        <v>57</v>
      </c>
      <c r="I435" t="s">
        <v>78</v>
      </c>
      <c r="J435">
        <v>48061</v>
      </c>
      <c r="K435">
        <v>48339</v>
      </c>
      <c r="L435">
        <v>1.005784315765381</v>
      </c>
      <c r="M435">
        <v>1.005784315765381</v>
      </c>
      <c r="N435" t="s">
        <v>5522</v>
      </c>
      <c r="O435" t="s">
        <v>5523</v>
      </c>
      <c r="P435" t="s">
        <v>749</v>
      </c>
      <c r="Q435">
        <v>2</v>
      </c>
      <c r="R435">
        <v>2</v>
      </c>
    </row>
    <row r="436" spans="1:18" x14ac:dyDescent="0.3">
      <c r="A436" t="s">
        <v>750</v>
      </c>
      <c r="B436" t="s">
        <v>751</v>
      </c>
      <c r="C436" t="s">
        <v>730</v>
      </c>
      <c r="D436" t="s">
        <v>222</v>
      </c>
      <c r="E436" t="s">
        <v>30</v>
      </c>
      <c r="F436" s="6">
        <v>44742</v>
      </c>
      <c r="G436">
        <v>2022</v>
      </c>
      <c r="H436" t="s">
        <v>44</v>
      </c>
      <c r="I436" t="s">
        <v>88</v>
      </c>
      <c r="J436">
        <v>2408</v>
      </c>
      <c r="K436">
        <v>2398</v>
      </c>
      <c r="L436">
        <v>0.99584717607973416</v>
      </c>
      <c r="M436">
        <v>0.99584717607973416</v>
      </c>
      <c r="N436" t="s">
        <v>5524</v>
      </c>
      <c r="O436" t="s">
        <v>5525</v>
      </c>
      <c r="P436" t="s">
        <v>752</v>
      </c>
      <c r="Q436">
        <v>2</v>
      </c>
      <c r="R436">
        <v>2</v>
      </c>
    </row>
    <row r="437" spans="1:18" x14ac:dyDescent="0.3">
      <c r="A437" t="s">
        <v>750</v>
      </c>
      <c r="B437" t="s">
        <v>751</v>
      </c>
      <c r="C437" t="s">
        <v>730</v>
      </c>
      <c r="D437" t="s">
        <v>222</v>
      </c>
      <c r="E437" t="s">
        <v>30</v>
      </c>
      <c r="F437" s="6">
        <v>44925</v>
      </c>
      <c r="G437">
        <v>2022</v>
      </c>
      <c r="H437" t="s">
        <v>57</v>
      </c>
      <c r="I437" t="s">
        <v>90</v>
      </c>
      <c r="J437">
        <v>2230</v>
      </c>
      <c r="K437">
        <v>2610</v>
      </c>
      <c r="L437">
        <v>1.170403587443946</v>
      </c>
      <c r="M437">
        <v>1.170403587443946</v>
      </c>
      <c r="N437" t="s">
        <v>118</v>
      </c>
      <c r="O437" t="s">
        <v>118</v>
      </c>
      <c r="P437" t="s">
        <v>753</v>
      </c>
      <c r="Q437">
        <v>0</v>
      </c>
      <c r="R437">
        <v>0</v>
      </c>
    </row>
    <row r="438" spans="1:18" x14ac:dyDescent="0.3">
      <c r="A438" t="s">
        <v>750</v>
      </c>
      <c r="B438" t="s">
        <v>751</v>
      </c>
      <c r="C438" t="s">
        <v>730</v>
      </c>
      <c r="D438" t="s">
        <v>222</v>
      </c>
      <c r="E438" t="s">
        <v>30</v>
      </c>
      <c r="F438" s="6">
        <v>44926</v>
      </c>
      <c r="G438">
        <v>2022</v>
      </c>
      <c r="H438" t="s">
        <v>57</v>
      </c>
      <c r="I438" t="s">
        <v>90</v>
      </c>
      <c r="J438">
        <v>2230</v>
      </c>
      <c r="K438">
        <v>2610</v>
      </c>
      <c r="L438">
        <v>1.170403587443946</v>
      </c>
      <c r="M438">
        <v>1.170403587443946</v>
      </c>
      <c r="N438" t="s">
        <v>5526</v>
      </c>
      <c r="O438" t="s">
        <v>5527</v>
      </c>
      <c r="P438" t="s">
        <v>5528</v>
      </c>
      <c r="Q438">
        <v>2</v>
      </c>
      <c r="R438">
        <v>2</v>
      </c>
    </row>
    <row r="439" spans="1:18" x14ac:dyDescent="0.3">
      <c r="A439" t="s">
        <v>750</v>
      </c>
      <c r="B439" t="s">
        <v>751</v>
      </c>
      <c r="C439" t="s">
        <v>730</v>
      </c>
      <c r="D439" t="s">
        <v>222</v>
      </c>
      <c r="E439" t="s">
        <v>30</v>
      </c>
      <c r="F439" s="6">
        <v>45107</v>
      </c>
      <c r="G439">
        <v>2023</v>
      </c>
      <c r="H439" t="s">
        <v>44</v>
      </c>
      <c r="I439" t="s">
        <v>33</v>
      </c>
      <c r="J439">
        <v>2726</v>
      </c>
      <c r="K439">
        <v>2990</v>
      </c>
      <c r="L439">
        <v>1.096845194424064</v>
      </c>
      <c r="M439">
        <v>1.096845194424064</v>
      </c>
      <c r="N439" t="s">
        <v>5529</v>
      </c>
      <c r="O439" t="s">
        <v>5530</v>
      </c>
      <c r="P439" t="s">
        <v>754</v>
      </c>
      <c r="Q439">
        <v>2</v>
      </c>
      <c r="R439">
        <v>2</v>
      </c>
    </row>
    <row r="440" spans="1:18" x14ac:dyDescent="0.3">
      <c r="A440" t="s">
        <v>750</v>
      </c>
      <c r="B440" t="s">
        <v>751</v>
      </c>
      <c r="C440" t="s">
        <v>730</v>
      </c>
      <c r="D440" t="s">
        <v>222</v>
      </c>
      <c r="E440" t="s">
        <v>30</v>
      </c>
      <c r="F440" s="6">
        <v>45291</v>
      </c>
      <c r="G440">
        <v>2023</v>
      </c>
      <c r="H440" t="s">
        <v>57</v>
      </c>
      <c r="I440" t="s">
        <v>47</v>
      </c>
      <c r="J440">
        <v>2796</v>
      </c>
      <c r="K440">
        <v>3328</v>
      </c>
      <c r="L440">
        <v>1.1902718168812589</v>
      </c>
      <c r="M440">
        <v>1.1902718168812589</v>
      </c>
      <c r="N440" t="s">
        <v>5531</v>
      </c>
      <c r="O440" t="s">
        <v>5532</v>
      </c>
      <c r="P440" t="s">
        <v>755</v>
      </c>
      <c r="Q440">
        <v>2</v>
      </c>
      <c r="R440">
        <v>2</v>
      </c>
    </row>
    <row r="441" spans="1:18" x14ac:dyDescent="0.3">
      <c r="A441" t="s">
        <v>750</v>
      </c>
      <c r="B441" t="s">
        <v>751</v>
      </c>
      <c r="C441" t="s">
        <v>730</v>
      </c>
      <c r="D441" t="s">
        <v>222</v>
      </c>
      <c r="E441" t="s">
        <v>30</v>
      </c>
      <c r="F441" s="6">
        <v>45473</v>
      </c>
      <c r="G441">
        <v>2024</v>
      </c>
      <c r="H441" t="s">
        <v>44</v>
      </c>
      <c r="I441" t="s">
        <v>71</v>
      </c>
      <c r="J441">
        <v>3093</v>
      </c>
      <c r="K441">
        <v>3485</v>
      </c>
      <c r="L441">
        <v>1.1267377950210149</v>
      </c>
      <c r="M441">
        <v>1.1267377950210149</v>
      </c>
      <c r="N441" t="s">
        <v>5533</v>
      </c>
      <c r="O441" t="s">
        <v>5534</v>
      </c>
      <c r="P441" t="s">
        <v>756</v>
      </c>
      <c r="Q441">
        <v>2</v>
      </c>
      <c r="R441">
        <v>2</v>
      </c>
    </row>
    <row r="442" spans="1:18" x14ac:dyDescent="0.3">
      <c r="A442" t="s">
        <v>750</v>
      </c>
      <c r="B442" t="s">
        <v>751</v>
      </c>
      <c r="C442" t="s">
        <v>730</v>
      </c>
      <c r="D442" t="s">
        <v>222</v>
      </c>
      <c r="E442" t="s">
        <v>30</v>
      </c>
      <c r="F442" s="6">
        <v>45657</v>
      </c>
      <c r="G442">
        <v>2024</v>
      </c>
      <c r="H442" t="s">
        <v>57</v>
      </c>
      <c r="I442" t="s">
        <v>78</v>
      </c>
      <c r="J442">
        <v>3055</v>
      </c>
      <c r="K442">
        <v>3666</v>
      </c>
      <c r="L442">
        <v>1.2</v>
      </c>
      <c r="M442">
        <v>1.2</v>
      </c>
      <c r="N442" t="s">
        <v>5535</v>
      </c>
      <c r="O442" t="s">
        <v>5536</v>
      </c>
      <c r="P442" t="s">
        <v>757</v>
      </c>
      <c r="Q442">
        <v>2</v>
      </c>
      <c r="R442">
        <v>2</v>
      </c>
    </row>
    <row r="443" spans="1:18" x14ac:dyDescent="0.3">
      <c r="A443" t="s">
        <v>758</v>
      </c>
      <c r="B443" t="s">
        <v>759</v>
      </c>
      <c r="C443" t="s">
        <v>760</v>
      </c>
      <c r="D443" t="s">
        <v>222</v>
      </c>
      <c r="E443" t="s">
        <v>30</v>
      </c>
      <c r="F443" s="6">
        <v>45107</v>
      </c>
      <c r="G443">
        <v>2023</v>
      </c>
      <c r="H443" t="s">
        <v>44</v>
      </c>
      <c r="I443" t="s">
        <v>33</v>
      </c>
      <c r="K443">
        <v>146</v>
      </c>
      <c r="L443">
        <v>0</v>
      </c>
      <c r="M443">
        <v>0</v>
      </c>
      <c r="O443" t="s">
        <v>5537</v>
      </c>
      <c r="P443" t="s">
        <v>762</v>
      </c>
      <c r="Q443">
        <v>2</v>
      </c>
      <c r="R443">
        <v>2</v>
      </c>
    </row>
    <row r="444" spans="1:18" x14ac:dyDescent="0.3">
      <c r="A444" t="s">
        <v>758</v>
      </c>
      <c r="B444" t="s">
        <v>759</v>
      </c>
      <c r="C444" t="s">
        <v>760</v>
      </c>
      <c r="D444" t="s">
        <v>222</v>
      </c>
      <c r="E444" t="s">
        <v>30</v>
      </c>
      <c r="F444" s="6">
        <v>45291</v>
      </c>
      <c r="G444">
        <v>2023</v>
      </c>
      <c r="H444" t="s">
        <v>57</v>
      </c>
      <c r="I444" t="s">
        <v>47</v>
      </c>
      <c r="K444">
        <v>146</v>
      </c>
      <c r="L444">
        <v>0</v>
      </c>
      <c r="M444">
        <v>0</v>
      </c>
      <c r="O444" t="s">
        <v>5537</v>
      </c>
      <c r="P444" t="s">
        <v>763</v>
      </c>
      <c r="Q444">
        <v>2</v>
      </c>
      <c r="R444">
        <v>2</v>
      </c>
    </row>
    <row r="445" spans="1:18" x14ac:dyDescent="0.3">
      <c r="A445" t="s">
        <v>758</v>
      </c>
      <c r="B445" t="s">
        <v>759</v>
      </c>
      <c r="C445" t="s">
        <v>760</v>
      </c>
      <c r="D445" t="s">
        <v>222</v>
      </c>
      <c r="E445" t="s">
        <v>30</v>
      </c>
      <c r="F445" s="6">
        <v>45473</v>
      </c>
      <c r="G445">
        <v>2024</v>
      </c>
      <c r="H445" t="s">
        <v>44</v>
      </c>
      <c r="I445" t="s">
        <v>71</v>
      </c>
      <c r="K445">
        <v>112</v>
      </c>
      <c r="L445">
        <v>0</v>
      </c>
      <c r="M445">
        <v>0</v>
      </c>
      <c r="O445" t="s">
        <v>5538</v>
      </c>
      <c r="P445" t="s">
        <v>764</v>
      </c>
      <c r="Q445">
        <v>2</v>
      </c>
      <c r="R445">
        <v>2</v>
      </c>
    </row>
    <row r="446" spans="1:18" x14ac:dyDescent="0.3">
      <c r="A446" t="s">
        <v>758</v>
      </c>
      <c r="B446" t="s">
        <v>759</v>
      </c>
      <c r="C446" t="s">
        <v>760</v>
      </c>
      <c r="D446" t="s">
        <v>222</v>
      </c>
      <c r="E446" t="s">
        <v>30</v>
      </c>
      <c r="F446" s="6">
        <v>45657</v>
      </c>
      <c r="G446">
        <v>2024</v>
      </c>
      <c r="H446" t="s">
        <v>57</v>
      </c>
      <c r="I446" t="s">
        <v>78</v>
      </c>
      <c r="K446">
        <v>135</v>
      </c>
      <c r="L446">
        <v>0</v>
      </c>
      <c r="M446">
        <v>0</v>
      </c>
      <c r="O446" t="s">
        <v>5539</v>
      </c>
      <c r="P446" t="s">
        <v>765</v>
      </c>
      <c r="Q446">
        <v>2</v>
      </c>
      <c r="R446">
        <v>2</v>
      </c>
    </row>
    <row r="447" spans="1:18" x14ac:dyDescent="0.3">
      <c r="A447" t="s">
        <v>758</v>
      </c>
      <c r="B447" t="s">
        <v>766</v>
      </c>
      <c r="C447" t="s">
        <v>760</v>
      </c>
      <c r="D447" t="s">
        <v>222</v>
      </c>
      <c r="E447" t="s">
        <v>30</v>
      </c>
      <c r="F447" s="6">
        <v>45838</v>
      </c>
      <c r="G447">
        <v>2025</v>
      </c>
      <c r="H447" t="s">
        <v>44</v>
      </c>
      <c r="I447" t="s">
        <v>244</v>
      </c>
      <c r="J447">
        <v>100</v>
      </c>
      <c r="K447">
        <v>159</v>
      </c>
      <c r="L447">
        <v>1.3</v>
      </c>
      <c r="M447">
        <v>1.59</v>
      </c>
      <c r="N447" t="s">
        <v>102</v>
      </c>
      <c r="O447" t="s">
        <v>768</v>
      </c>
      <c r="P447" t="s">
        <v>769</v>
      </c>
      <c r="Q447">
        <v>2</v>
      </c>
      <c r="R447">
        <v>2</v>
      </c>
    </row>
    <row r="448" spans="1:18" x14ac:dyDescent="0.3">
      <c r="A448" t="s">
        <v>758</v>
      </c>
      <c r="B448" t="s">
        <v>766</v>
      </c>
      <c r="C448" t="s">
        <v>760</v>
      </c>
      <c r="D448" t="s">
        <v>222</v>
      </c>
      <c r="E448" t="s">
        <v>30</v>
      </c>
      <c r="F448" s="6">
        <v>46022</v>
      </c>
      <c r="G448">
        <v>2025</v>
      </c>
      <c r="H448" t="s">
        <v>57</v>
      </c>
      <c r="I448" t="s">
        <v>103</v>
      </c>
      <c r="J448">
        <v>100</v>
      </c>
      <c r="K448">
        <v>191</v>
      </c>
      <c r="L448">
        <v>1.3</v>
      </c>
      <c r="M448">
        <v>1.91</v>
      </c>
      <c r="N448" t="s">
        <v>102</v>
      </c>
      <c r="O448" t="s">
        <v>771</v>
      </c>
      <c r="P448" t="s">
        <v>772</v>
      </c>
      <c r="Q448">
        <v>2</v>
      </c>
      <c r="R448">
        <v>2</v>
      </c>
    </row>
    <row r="449" spans="1:18" x14ac:dyDescent="0.3">
      <c r="A449" t="s">
        <v>773</v>
      </c>
      <c r="B449" t="s">
        <v>774</v>
      </c>
      <c r="C449" t="s">
        <v>760</v>
      </c>
      <c r="D449" t="s">
        <v>98</v>
      </c>
      <c r="E449" t="s">
        <v>30</v>
      </c>
      <c r="F449" s="6">
        <v>45291</v>
      </c>
      <c r="G449">
        <v>2023</v>
      </c>
      <c r="H449" t="s">
        <v>57</v>
      </c>
      <c r="I449" t="s">
        <v>47</v>
      </c>
      <c r="J449">
        <v>3</v>
      </c>
      <c r="K449">
        <v>4.83</v>
      </c>
      <c r="L449">
        <v>1.3</v>
      </c>
      <c r="M449">
        <v>1.61</v>
      </c>
      <c r="N449" t="s">
        <v>1849</v>
      </c>
      <c r="O449" t="s">
        <v>5540</v>
      </c>
      <c r="P449" t="s">
        <v>775</v>
      </c>
      <c r="Q449">
        <v>2</v>
      </c>
      <c r="R449">
        <v>2</v>
      </c>
    </row>
    <row r="450" spans="1:18" x14ac:dyDescent="0.3">
      <c r="A450" t="s">
        <v>773</v>
      </c>
      <c r="B450" t="s">
        <v>774</v>
      </c>
      <c r="C450" t="s">
        <v>760</v>
      </c>
      <c r="D450" t="s">
        <v>98</v>
      </c>
      <c r="E450" t="s">
        <v>30</v>
      </c>
      <c r="F450" s="6">
        <v>45657</v>
      </c>
      <c r="G450">
        <v>2024</v>
      </c>
      <c r="H450" t="s">
        <v>57</v>
      </c>
      <c r="I450" t="s">
        <v>78</v>
      </c>
      <c r="J450">
        <v>3</v>
      </c>
      <c r="K450">
        <v>3.07</v>
      </c>
      <c r="L450">
        <v>1.023333333333333</v>
      </c>
      <c r="M450">
        <v>1.023333333333333</v>
      </c>
      <c r="N450" t="s">
        <v>1849</v>
      </c>
      <c r="O450" t="s">
        <v>5541</v>
      </c>
      <c r="P450" t="s">
        <v>776</v>
      </c>
      <c r="Q450">
        <v>2</v>
      </c>
      <c r="R450">
        <v>2</v>
      </c>
    </row>
    <row r="451" spans="1:18" x14ac:dyDescent="0.3">
      <c r="A451" t="s">
        <v>773</v>
      </c>
      <c r="B451" t="s">
        <v>774</v>
      </c>
      <c r="C451" t="s">
        <v>760</v>
      </c>
      <c r="D451" t="s">
        <v>98</v>
      </c>
      <c r="E451" t="s">
        <v>30</v>
      </c>
      <c r="F451" s="6">
        <v>46022</v>
      </c>
      <c r="G451">
        <v>2025</v>
      </c>
      <c r="H451" t="s">
        <v>57</v>
      </c>
      <c r="I451" t="s">
        <v>103</v>
      </c>
      <c r="J451">
        <v>4</v>
      </c>
      <c r="K451">
        <v>1.95</v>
      </c>
      <c r="L451">
        <v>0.48749999999999999</v>
      </c>
      <c r="M451">
        <v>0.48749999999999999</v>
      </c>
      <c r="N451" t="s">
        <v>778</v>
      </c>
      <c r="O451" t="s">
        <v>779</v>
      </c>
      <c r="P451" t="s">
        <v>780</v>
      </c>
      <c r="Q451">
        <v>2</v>
      </c>
      <c r="R451">
        <v>2</v>
      </c>
    </row>
    <row r="452" spans="1:18" x14ac:dyDescent="0.3">
      <c r="A452" t="s">
        <v>781</v>
      </c>
      <c r="B452" t="s">
        <v>782</v>
      </c>
      <c r="C452" t="s">
        <v>146</v>
      </c>
      <c r="D452" t="s">
        <v>222</v>
      </c>
      <c r="E452" t="s">
        <v>30</v>
      </c>
      <c r="F452" s="6">
        <v>45107</v>
      </c>
      <c r="G452">
        <v>2023</v>
      </c>
      <c r="H452" t="s">
        <v>44</v>
      </c>
      <c r="I452" t="s">
        <v>33</v>
      </c>
      <c r="J452">
        <v>1</v>
      </c>
      <c r="K452">
        <v>2</v>
      </c>
      <c r="L452">
        <v>1.3</v>
      </c>
      <c r="M452">
        <v>2</v>
      </c>
      <c r="N452" t="s">
        <v>617</v>
      </c>
      <c r="O452" t="s">
        <v>569</v>
      </c>
      <c r="P452" t="s">
        <v>783</v>
      </c>
      <c r="Q452">
        <v>2</v>
      </c>
      <c r="R452">
        <v>2</v>
      </c>
    </row>
    <row r="453" spans="1:18" x14ac:dyDescent="0.3">
      <c r="A453" t="s">
        <v>781</v>
      </c>
      <c r="B453" t="s">
        <v>782</v>
      </c>
      <c r="C453" t="s">
        <v>146</v>
      </c>
      <c r="D453" t="s">
        <v>222</v>
      </c>
      <c r="E453" t="s">
        <v>30</v>
      </c>
      <c r="F453" s="6">
        <v>45291</v>
      </c>
      <c r="G453">
        <v>2023</v>
      </c>
      <c r="H453" t="s">
        <v>57</v>
      </c>
      <c r="I453" t="s">
        <v>47</v>
      </c>
      <c r="J453">
        <v>1</v>
      </c>
      <c r="K453">
        <v>2</v>
      </c>
      <c r="L453">
        <v>1.3</v>
      </c>
      <c r="M453">
        <v>2</v>
      </c>
      <c r="N453" t="s">
        <v>617</v>
      </c>
      <c r="O453" t="s">
        <v>569</v>
      </c>
      <c r="P453" t="s">
        <v>784</v>
      </c>
      <c r="Q453">
        <v>2</v>
      </c>
      <c r="R453">
        <v>2</v>
      </c>
    </row>
    <row r="454" spans="1:18" x14ac:dyDescent="0.3">
      <c r="A454" t="s">
        <v>781</v>
      </c>
      <c r="B454" t="s">
        <v>782</v>
      </c>
      <c r="C454" t="s">
        <v>146</v>
      </c>
      <c r="D454" t="s">
        <v>222</v>
      </c>
      <c r="E454" t="s">
        <v>30</v>
      </c>
      <c r="F454" s="6">
        <v>45473</v>
      </c>
      <c r="G454">
        <v>2024</v>
      </c>
      <c r="H454" t="s">
        <v>44</v>
      </c>
      <c r="I454" t="s">
        <v>71</v>
      </c>
      <c r="J454">
        <v>1</v>
      </c>
      <c r="K454">
        <v>1.97</v>
      </c>
      <c r="L454">
        <v>1.3</v>
      </c>
      <c r="M454">
        <v>1.97</v>
      </c>
      <c r="N454" t="s">
        <v>617</v>
      </c>
      <c r="O454" t="s">
        <v>5542</v>
      </c>
      <c r="P454" t="s">
        <v>785</v>
      </c>
      <c r="Q454">
        <v>2</v>
      </c>
      <c r="R454">
        <v>2</v>
      </c>
    </row>
    <row r="455" spans="1:18" x14ac:dyDescent="0.3">
      <c r="A455" t="s">
        <v>781</v>
      </c>
      <c r="B455" t="s">
        <v>782</v>
      </c>
      <c r="C455" t="s">
        <v>146</v>
      </c>
      <c r="D455" t="s">
        <v>222</v>
      </c>
      <c r="E455" t="s">
        <v>30</v>
      </c>
      <c r="F455" s="6">
        <v>45657</v>
      </c>
      <c r="G455">
        <v>2024</v>
      </c>
      <c r="H455" t="s">
        <v>57</v>
      </c>
      <c r="I455" t="s">
        <v>78</v>
      </c>
      <c r="J455">
        <v>1</v>
      </c>
      <c r="K455">
        <v>1.94</v>
      </c>
      <c r="L455">
        <v>1.3</v>
      </c>
      <c r="M455">
        <v>1.94</v>
      </c>
      <c r="N455" t="s">
        <v>617</v>
      </c>
      <c r="O455" t="s">
        <v>5543</v>
      </c>
      <c r="P455" t="s">
        <v>786</v>
      </c>
      <c r="Q455">
        <v>2</v>
      </c>
      <c r="R455">
        <v>2</v>
      </c>
    </row>
    <row r="456" spans="1:18" x14ac:dyDescent="0.3">
      <c r="A456" t="s">
        <v>781</v>
      </c>
      <c r="B456" t="s">
        <v>782</v>
      </c>
      <c r="C456" t="s">
        <v>146</v>
      </c>
      <c r="D456" t="s">
        <v>222</v>
      </c>
      <c r="E456" t="s">
        <v>30</v>
      </c>
      <c r="F456" s="6">
        <v>45838</v>
      </c>
      <c r="G456">
        <v>2025</v>
      </c>
      <c r="H456" t="s">
        <v>44</v>
      </c>
      <c r="I456" t="s">
        <v>244</v>
      </c>
      <c r="J456">
        <v>1</v>
      </c>
      <c r="K456">
        <v>1.74</v>
      </c>
      <c r="L456">
        <v>1.3</v>
      </c>
      <c r="M456">
        <v>1.74</v>
      </c>
      <c r="N456" t="s">
        <v>617</v>
      </c>
      <c r="O456" t="s">
        <v>788</v>
      </c>
      <c r="P456" t="s">
        <v>789</v>
      </c>
      <c r="Q456">
        <v>2</v>
      </c>
      <c r="R456">
        <v>2</v>
      </c>
    </row>
    <row r="457" spans="1:18" x14ac:dyDescent="0.3">
      <c r="A457" t="s">
        <v>781</v>
      </c>
      <c r="B457" t="s">
        <v>782</v>
      </c>
      <c r="C457" t="s">
        <v>146</v>
      </c>
      <c r="D457" t="s">
        <v>222</v>
      </c>
      <c r="E457" t="s">
        <v>30</v>
      </c>
      <c r="F457" s="6">
        <v>46022</v>
      </c>
      <c r="G457">
        <v>2025</v>
      </c>
      <c r="H457" t="s">
        <v>57</v>
      </c>
      <c r="I457" t="s">
        <v>103</v>
      </c>
      <c r="J457">
        <v>1</v>
      </c>
      <c r="K457">
        <v>1.62</v>
      </c>
      <c r="L457">
        <v>1.3</v>
      </c>
      <c r="M457">
        <v>1.62</v>
      </c>
      <c r="N457" t="s">
        <v>617</v>
      </c>
      <c r="O457" t="s">
        <v>791</v>
      </c>
      <c r="P457" t="s">
        <v>792</v>
      </c>
      <c r="Q457">
        <v>2</v>
      </c>
      <c r="R457">
        <v>2</v>
      </c>
    </row>
    <row r="458" spans="1:18" x14ac:dyDescent="0.3">
      <c r="A458" t="s">
        <v>793</v>
      </c>
      <c r="B458" t="s">
        <v>794</v>
      </c>
      <c r="C458" t="s">
        <v>760</v>
      </c>
      <c r="D458" t="s">
        <v>222</v>
      </c>
      <c r="E458" t="s">
        <v>30</v>
      </c>
      <c r="F458" s="6">
        <v>45107</v>
      </c>
      <c r="G458">
        <v>2023</v>
      </c>
      <c r="H458" t="s">
        <v>44</v>
      </c>
      <c r="I458" t="s">
        <v>33</v>
      </c>
      <c r="J458">
        <v>230</v>
      </c>
      <c r="K458">
        <v>278</v>
      </c>
      <c r="L458">
        <v>1.2086956521739129</v>
      </c>
      <c r="M458">
        <v>1.2086956521739129</v>
      </c>
      <c r="N458" t="s">
        <v>5544</v>
      </c>
      <c r="O458" t="s">
        <v>5545</v>
      </c>
      <c r="P458" t="s">
        <v>795</v>
      </c>
      <c r="Q458">
        <v>2</v>
      </c>
      <c r="R458">
        <v>2</v>
      </c>
    </row>
    <row r="459" spans="1:18" x14ac:dyDescent="0.3">
      <c r="A459" t="s">
        <v>793</v>
      </c>
      <c r="B459" t="s">
        <v>794</v>
      </c>
      <c r="C459" t="s">
        <v>760</v>
      </c>
      <c r="D459" t="s">
        <v>222</v>
      </c>
      <c r="E459" t="s">
        <v>30</v>
      </c>
      <c r="F459" s="6">
        <v>45291</v>
      </c>
      <c r="G459">
        <v>2023</v>
      </c>
      <c r="H459" t="s">
        <v>57</v>
      </c>
      <c r="I459" t="s">
        <v>47</v>
      </c>
      <c r="J459">
        <v>230</v>
      </c>
      <c r="K459">
        <v>342</v>
      </c>
      <c r="L459">
        <v>1.3</v>
      </c>
      <c r="M459">
        <v>1.486956521739131</v>
      </c>
      <c r="N459" t="s">
        <v>5544</v>
      </c>
      <c r="O459" t="s">
        <v>5546</v>
      </c>
      <c r="P459" t="s">
        <v>796</v>
      </c>
      <c r="Q459">
        <v>2</v>
      </c>
      <c r="R459">
        <v>2</v>
      </c>
    </row>
    <row r="460" spans="1:18" x14ac:dyDescent="0.3">
      <c r="A460" t="s">
        <v>793</v>
      </c>
      <c r="B460" t="s">
        <v>794</v>
      </c>
      <c r="C460" t="s">
        <v>760</v>
      </c>
      <c r="D460" t="s">
        <v>222</v>
      </c>
      <c r="E460" t="s">
        <v>30</v>
      </c>
      <c r="F460" s="6">
        <v>45473</v>
      </c>
      <c r="G460">
        <v>2024</v>
      </c>
      <c r="H460" t="s">
        <v>44</v>
      </c>
      <c r="I460" t="s">
        <v>71</v>
      </c>
      <c r="J460">
        <v>294</v>
      </c>
      <c r="K460">
        <v>334</v>
      </c>
      <c r="L460">
        <v>1.136054421768707</v>
      </c>
      <c r="M460">
        <v>1.136054421768707</v>
      </c>
      <c r="N460" t="s">
        <v>5547</v>
      </c>
      <c r="O460" t="s">
        <v>5548</v>
      </c>
      <c r="P460" t="s">
        <v>797</v>
      </c>
      <c r="Q460">
        <v>2</v>
      </c>
      <c r="R460">
        <v>2</v>
      </c>
    </row>
    <row r="461" spans="1:18" x14ac:dyDescent="0.3">
      <c r="A461" t="s">
        <v>793</v>
      </c>
      <c r="B461" t="s">
        <v>794</v>
      </c>
      <c r="C461" t="s">
        <v>760</v>
      </c>
      <c r="D461" t="s">
        <v>222</v>
      </c>
      <c r="E461" t="s">
        <v>30</v>
      </c>
      <c r="F461" s="6">
        <v>45657</v>
      </c>
      <c r="G461">
        <v>2024</v>
      </c>
      <c r="H461" t="s">
        <v>57</v>
      </c>
      <c r="I461" t="s">
        <v>78</v>
      </c>
      <c r="J461">
        <v>294</v>
      </c>
      <c r="K461">
        <v>343</v>
      </c>
      <c r="L461">
        <v>1.166666666666667</v>
      </c>
      <c r="M461">
        <v>1.166666666666667</v>
      </c>
      <c r="N461" t="s">
        <v>5547</v>
      </c>
      <c r="O461" t="s">
        <v>5549</v>
      </c>
      <c r="P461" t="s">
        <v>798</v>
      </c>
      <c r="Q461">
        <v>2</v>
      </c>
      <c r="R461">
        <v>2</v>
      </c>
    </row>
    <row r="462" spans="1:18" x14ac:dyDescent="0.3">
      <c r="A462" t="s">
        <v>793</v>
      </c>
      <c r="B462" t="s">
        <v>794</v>
      </c>
      <c r="C462" t="s">
        <v>760</v>
      </c>
      <c r="D462" t="s">
        <v>222</v>
      </c>
      <c r="E462" t="s">
        <v>30</v>
      </c>
      <c r="F462" s="6">
        <v>45838</v>
      </c>
      <c r="G462">
        <v>2025</v>
      </c>
      <c r="H462" t="s">
        <v>44</v>
      </c>
      <c r="I462" t="s">
        <v>244</v>
      </c>
      <c r="J462">
        <v>100</v>
      </c>
      <c r="K462">
        <v>107</v>
      </c>
      <c r="L462">
        <v>1.07</v>
      </c>
      <c r="M462">
        <v>1.07</v>
      </c>
      <c r="N462" t="s">
        <v>102</v>
      </c>
      <c r="O462" t="s">
        <v>800</v>
      </c>
      <c r="P462" t="s">
        <v>801</v>
      </c>
      <c r="Q462">
        <v>2</v>
      </c>
      <c r="R462">
        <v>2</v>
      </c>
    </row>
    <row r="463" spans="1:18" x14ac:dyDescent="0.3">
      <c r="A463" t="s">
        <v>793</v>
      </c>
      <c r="B463" t="s">
        <v>794</v>
      </c>
      <c r="C463" t="s">
        <v>760</v>
      </c>
      <c r="D463" t="s">
        <v>222</v>
      </c>
      <c r="E463" t="s">
        <v>30</v>
      </c>
      <c r="F463" s="6">
        <v>46022</v>
      </c>
      <c r="G463">
        <v>2025</v>
      </c>
      <c r="H463" t="s">
        <v>57</v>
      </c>
      <c r="I463" t="s">
        <v>103</v>
      </c>
      <c r="J463">
        <v>100</v>
      </c>
      <c r="K463">
        <v>133</v>
      </c>
      <c r="L463">
        <v>1.3</v>
      </c>
      <c r="M463">
        <v>1.33</v>
      </c>
      <c r="N463" t="s">
        <v>102</v>
      </c>
      <c r="O463" t="s">
        <v>802</v>
      </c>
      <c r="P463" t="s">
        <v>803</v>
      </c>
      <c r="Q463">
        <v>2</v>
      </c>
      <c r="R463">
        <v>2</v>
      </c>
    </row>
    <row r="464" spans="1:18" x14ac:dyDescent="0.3">
      <c r="A464" t="s">
        <v>804</v>
      </c>
      <c r="B464" t="s">
        <v>805</v>
      </c>
      <c r="C464" t="s">
        <v>760</v>
      </c>
      <c r="D464" t="s">
        <v>98</v>
      </c>
      <c r="E464" t="s">
        <v>30</v>
      </c>
      <c r="F464" s="6">
        <v>45291</v>
      </c>
      <c r="G464">
        <v>2023</v>
      </c>
      <c r="H464" t="s">
        <v>57</v>
      </c>
      <c r="I464" t="s">
        <v>47</v>
      </c>
      <c r="J464">
        <v>13</v>
      </c>
      <c r="K464">
        <v>11</v>
      </c>
      <c r="L464">
        <v>0.84615384615384615</v>
      </c>
      <c r="M464">
        <v>0.84615384615384615</v>
      </c>
      <c r="N464" t="s">
        <v>5550</v>
      </c>
      <c r="O464" t="s">
        <v>3654</v>
      </c>
      <c r="P464" t="s">
        <v>806</v>
      </c>
      <c r="Q464">
        <v>2</v>
      </c>
      <c r="R464">
        <v>2</v>
      </c>
    </row>
    <row r="465" spans="1:18" x14ac:dyDescent="0.3">
      <c r="A465" t="s">
        <v>804</v>
      </c>
      <c r="B465" t="s">
        <v>805</v>
      </c>
      <c r="C465" t="s">
        <v>760</v>
      </c>
      <c r="D465" t="s">
        <v>98</v>
      </c>
      <c r="E465" t="s">
        <v>30</v>
      </c>
      <c r="F465" s="6">
        <v>45657</v>
      </c>
      <c r="G465">
        <v>2024</v>
      </c>
      <c r="H465" t="s">
        <v>57</v>
      </c>
      <c r="I465" t="s">
        <v>78</v>
      </c>
      <c r="J465">
        <v>16</v>
      </c>
      <c r="K465">
        <v>12</v>
      </c>
      <c r="L465">
        <v>0.75</v>
      </c>
      <c r="M465">
        <v>0.75</v>
      </c>
      <c r="N465" t="s">
        <v>809</v>
      </c>
      <c r="O465" t="s">
        <v>3089</v>
      </c>
      <c r="P465" t="s">
        <v>807</v>
      </c>
      <c r="Q465">
        <v>2</v>
      </c>
      <c r="R465">
        <v>2</v>
      </c>
    </row>
    <row r="466" spans="1:18" x14ac:dyDescent="0.3">
      <c r="A466" t="s">
        <v>804</v>
      </c>
      <c r="B466" t="s">
        <v>805</v>
      </c>
      <c r="C466" t="s">
        <v>760</v>
      </c>
      <c r="D466" t="s">
        <v>98</v>
      </c>
      <c r="E466" t="s">
        <v>30</v>
      </c>
      <c r="F466" s="6">
        <v>46022</v>
      </c>
      <c r="G466">
        <v>2025</v>
      </c>
      <c r="H466" t="s">
        <v>57</v>
      </c>
      <c r="I466" t="s">
        <v>103</v>
      </c>
      <c r="J466">
        <v>16</v>
      </c>
      <c r="K466">
        <v>16</v>
      </c>
      <c r="L466">
        <v>1</v>
      </c>
      <c r="M466">
        <v>1</v>
      </c>
      <c r="N466" t="s">
        <v>809</v>
      </c>
      <c r="O466" t="s">
        <v>809</v>
      </c>
      <c r="P466" t="s">
        <v>810</v>
      </c>
      <c r="Q466">
        <v>2</v>
      </c>
      <c r="R466">
        <v>2</v>
      </c>
    </row>
    <row r="467" spans="1:18" x14ac:dyDescent="0.3">
      <c r="A467" t="s">
        <v>811</v>
      </c>
      <c r="B467" t="s">
        <v>812</v>
      </c>
      <c r="C467" t="s">
        <v>146</v>
      </c>
      <c r="D467" t="s">
        <v>222</v>
      </c>
      <c r="E467" t="s">
        <v>30</v>
      </c>
      <c r="F467" s="6">
        <v>44926</v>
      </c>
      <c r="G467">
        <v>2022</v>
      </c>
      <c r="H467" t="s">
        <v>57</v>
      </c>
      <c r="I467" t="s">
        <v>90</v>
      </c>
      <c r="J467">
        <v>5</v>
      </c>
      <c r="K467">
        <v>4.66</v>
      </c>
      <c r="L467">
        <v>0.93200000000000005</v>
      </c>
      <c r="M467">
        <v>0.93200000000000005</v>
      </c>
      <c r="N467" t="s">
        <v>823</v>
      </c>
      <c r="O467" t="s">
        <v>2069</v>
      </c>
      <c r="P467" t="s">
        <v>813</v>
      </c>
      <c r="Q467">
        <v>2</v>
      </c>
      <c r="R467">
        <v>2</v>
      </c>
    </row>
    <row r="468" spans="1:18" x14ac:dyDescent="0.3">
      <c r="A468" t="s">
        <v>811</v>
      </c>
      <c r="B468" t="s">
        <v>812</v>
      </c>
      <c r="C468" t="s">
        <v>146</v>
      </c>
      <c r="D468" t="s">
        <v>222</v>
      </c>
      <c r="E468" t="s">
        <v>30</v>
      </c>
      <c r="F468" s="6">
        <v>45107</v>
      </c>
      <c r="G468">
        <v>2023</v>
      </c>
      <c r="H468" t="s">
        <v>44</v>
      </c>
      <c r="I468" t="s">
        <v>33</v>
      </c>
      <c r="J468">
        <v>2.5</v>
      </c>
      <c r="K468">
        <v>4.1100000000000003</v>
      </c>
      <c r="L468">
        <v>1.3</v>
      </c>
      <c r="M468">
        <v>1.6439999999999999</v>
      </c>
      <c r="N468" t="s">
        <v>4064</v>
      </c>
      <c r="O468" t="s">
        <v>5551</v>
      </c>
      <c r="P468" t="s">
        <v>814</v>
      </c>
      <c r="Q468">
        <v>2</v>
      </c>
      <c r="R468">
        <v>2</v>
      </c>
    </row>
    <row r="469" spans="1:18" x14ac:dyDescent="0.3">
      <c r="A469" t="s">
        <v>811</v>
      </c>
      <c r="B469" t="s">
        <v>812</v>
      </c>
      <c r="C469" t="s">
        <v>146</v>
      </c>
      <c r="D469" t="s">
        <v>222</v>
      </c>
      <c r="E469" t="s">
        <v>30</v>
      </c>
      <c r="F469" s="6">
        <v>45291</v>
      </c>
      <c r="G469">
        <v>2023</v>
      </c>
      <c r="H469" t="s">
        <v>57</v>
      </c>
      <c r="I469" t="s">
        <v>47</v>
      </c>
      <c r="J469">
        <v>5</v>
      </c>
      <c r="K469">
        <v>5.71</v>
      </c>
      <c r="L469">
        <v>1.1419999999999999</v>
      </c>
      <c r="M469">
        <v>1.1419999999999999</v>
      </c>
      <c r="N469" t="s">
        <v>823</v>
      </c>
      <c r="O469" t="s">
        <v>5552</v>
      </c>
      <c r="P469" t="s">
        <v>815</v>
      </c>
      <c r="Q469">
        <v>2</v>
      </c>
      <c r="R469">
        <v>2</v>
      </c>
    </row>
    <row r="470" spans="1:18" x14ac:dyDescent="0.3">
      <c r="A470" t="s">
        <v>811</v>
      </c>
      <c r="B470" t="s">
        <v>812</v>
      </c>
      <c r="C470" t="s">
        <v>146</v>
      </c>
      <c r="D470" t="s">
        <v>222</v>
      </c>
      <c r="E470" t="s">
        <v>30</v>
      </c>
      <c r="F470" s="6">
        <v>45473</v>
      </c>
      <c r="G470">
        <v>2024</v>
      </c>
      <c r="H470" t="s">
        <v>44</v>
      </c>
      <c r="I470" t="s">
        <v>71</v>
      </c>
      <c r="J470">
        <v>5</v>
      </c>
      <c r="K470">
        <v>4.3</v>
      </c>
      <c r="L470">
        <v>0.86</v>
      </c>
      <c r="M470">
        <v>0.86</v>
      </c>
      <c r="N470" t="s">
        <v>823</v>
      </c>
      <c r="O470" t="s">
        <v>1943</v>
      </c>
      <c r="P470" t="s">
        <v>816</v>
      </c>
      <c r="Q470">
        <v>2</v>
      </c>
      <c r="R470">
        <v>2</v>
      </c>
    </row>
    <row r="471" spans="1:18" x14ac:dyDescent="0.3">
      <c r="A471" t="s">
        <v>811</v>
      </c>
      <c r="B471" t="s">
        <v>817</v>
      </c>
      <c r="C471" t="s">
        <v>146</v>
      </c>
      <c r="D471" t="s">
        <v>222</v>
      </c>
      <c r="E471" t="s">
        <v>30</v>
      </c>
      <c r="F471" s="6">
        <v>45657</v>
      </c>
      <c r="G471">
        <v>2024</v>
      </c>
      <c r="H471" t="s">
        <v>57</v>
      </c>
      <c r="I471" t="s">
        <v>78</v>
      </c>
      <c r="J471">
        <v>5</v>
      </c>
      <c r="K471">
        <v>6.3</v>
      </c>
      <c r="L471">
        <v>1.26</v>
      </c>
      <c r="M471">
        <v>1.26</v>
      </c>
      <c r="N471" t="s">
        <v>823</v>
      </c>
      <c r="O471" t="s">
        <v>5553</v>
      </c>
      <c r="P471" t="s">
        <v>818</v>
      </c>
      <c r="Q471">
        <v>2</v>
      </c>
      <c r="R471">
        <v>2</v>
      </c>
    </row>
    <row r="472" spans="1:18" x14ac:dyDescent="0.3">
      <c r="A472" t="s">
        <v>811</v>
      </c>
      <c r="B472" t="s">
        <v>817</v>
      </c>
      <c r="C472" t="s">
        <v>146</v>
      </c>
      <c r="D472" t="s">
        <v>222</v>
      </c>
      <c r="E472" t="s">
        <v>30</v>
      </c>
      <c r="F472" s="6">
        <v>45838</v>
      </c>
      <c r="G472">
        <v>2025</v>
      </c>
      <c r="H472" t="s">
        <v>44</v>
      </c>
      <c r="I472" t="s">
        <v>244</v>
      </c>
      <c r="J472">
        <v>4</v>
      </c>
      <c r="K472">
        <v>4.08</v>
      </c>
      <c r="L472">
        <v>1.02</v>
      </c>
      <c r="M472">
        <v>1.02</v>
      </c>
      <c r="N472" t="s">
        <v>778</v>
      </c>
      <c r="O472" t="s">
        <v>820</v>
      </c>
      <c r="P472" t="s">
        <v>821</v>
      </c>
      <c r="Q472">
        <v>2</v>
      </c>
      <c r="R472">
        <v>2</v>
      </c>
    </row>
    <row r="473" spans="1:18" x14ac:dyDescent="0.3">
      <c r="A473" t="s">
        <v>811</v>
      </c>
      <c r="B473" t="s">
        <v>817</v>
      </c>
      <c r="C473" t="s">
        <v>146</v>
      </c>
      <c r="D473" t="s">
        <v>222</v>
      </c>
      <c r="E473" t="s">
        <v>30</v>
      </c>
      <c r="F473" s="6">
        <v>46022</v>
      </c>
      <c r="G473">
        <v>2025</v>
      </c>
      <c r="H473" t="s">
        <v>57</v>
      </c>
      <c r="I473" t="s">
        <v>103</v>
      </c>
      <c r="J473">
        <v>5</v>
      </c>
      <c r="K473">
        <v>6.78</v>
      </c>
      <c r="L473">
        <v>1.3</v>
      </c>
      <c r="M473">
        <v>1.3560000000000001</v>
      </c>
      <c r="N473" t="s">
        <v>823</v>
      </c>
      <c r="O473" t="s">
        <v>824</v>
      </c>
      <c r="P473" t="s">
        <v>825</v>
      </c>
      <c r="Q473">
        <v>2</v>
      </c>
      <c r="R473">
        <v>2</v>
      </c>
    </row>
    <row r="474" spans="1:18" x14ac:dyDescent="0.3">
      <c r="A474" t="s">
        <v>826</v>
      </c>
      <c r="B474" t="s">
        <v>125</v>
      </c>
      <c r="C474" t="s">
        <v>827</v>
      </c>
      <c r="D474" t="s">
        <v>98</v>
      </c>
      <c r="E474" t="s">
        <v>30</v>
      </c>
      <c r="F474" s="6">
        <v>44926</v>
      </c>
      <c r="G474">
        <v>2022</v>
      </c>
      <c r="H474" t="s">
        <v>57</v>
      </c>
      <c r="I474" t="s">
        <v>90</v>
      </c>
      <c r="J474">
        <v>80</v>
      </c>
      <c r="K474">
        <v>73.639994105511391</v>
      </c>
      <c r="L474">
        <v>0.92049992631889244</v>
      </c>
      <c r="M474">
        <v>0.92049992631889244</v>
      </c>
      <c r="N474" t="s">
        <v>193</v>
      </c>
      <c r="O474" t="s">
        <v>5554</v>
      </c>
      <c r="P474" t="s">
        <v>5555</v>
      </c>
      <c r="Q474">
        <v>2</v>
      </c>
      <c r="R474">
        <v>2</v>
      </c>
    </row>
    <row r="475" spans="1:18" x14ac:dyDescent="0.3">
      <c r="A475" t="s">
        <v>826</v>
      </c>
      <c r="B475" t="s">
        <v>125</v>
      </c>
      <c r="C475" t="s">
        <v>827</v>
      </c>
      <c r="D475" t="s">
        <v>98</v>
      </c>
      <c r="E475" t="s">
        <v>30</v>
      </c>
      <c r="F475" s="6">
        <v>45291</v>
      </c>
      <c r="G475">
        <v>2023</v>
      </c>
      <c r="H475" t="s">
        <v>57</v>
      </c>
      <c r="I475" t="s">
        <v>47</v>
      </c>
      <c r="J475">
        <v>80</v>
      </c>
      <c r="K475">
        <v>89.171750354055547</v>
      </c>
      <c r="L475">
        <v>1.1146468794256941</v>
      </c>
      <c r="M475">
        <v>1.1146468794256941</v>
      </c>
      <c r="N475" t="s">
        <v>193</v>
      </c>
      <c r="O475" t="s">
        <v>5556</v>
      </c>
      <c r="P475" t="s">
        <v>831</v>
      </c>
      <c r="Q475">
        <v>2</v>
      </c>
      <c r="R475">
        <v>2</v>
      </c>
    </row>
    <row r="476" spans="1:18" x14ac:dyDescent="0.3">
      <c r="A476" t="s">
        <v>826</v>
      </c>
      <c r="B476" t="s">
        <v>125</v>
      </c>
      <c r="C476" t="s">
        <v>760</v>
      </c>
      <c r="D476" t="s">
        <v>98</v>
      </c>
      <c r="E476" t="s">
        <v>30</v>
      </c>
      <c r="F476" s="6">
        <v>45657</v>
      </c>
      <c r="G476">
        <v>2024</v>
      </c>
      <c r="H476" t="s">
        <v>57</v>
      </c>
      <c r="I476" t="s">
        <v>78</v>
      </c>
      <c r="L476">
        <v>0</v>
      </c>
      <c r="M476">
        <v>0</v>
      </c>
      <c r="P476" t="s">
        <v>832</v>
      </c>
      <c r="Q476">
        <v>2</v>
      </c>
      <c r="R476">
        <v>2</v>
      </c>
    </row>
    <row r="477" spans="1:18" x14ac:dyDescent="0.3">
      <c r="A477" t="s">
        <v>833</v>
      </c>
      <c r="B477" t="s">
        <v>125</v>
      </c>
      <c r="C477" t="s">
        <v>672</v>
      </c>
      <c r="D477" t="s">
        <v>98</v>
      </c>
      <c r="E477" t="s">
        <v>30</v>
      </c>
      <c r="F477" s="6">
        <v>45291</v>
      </c>
      <c r="G477">
        <v>2023</v>
      </c>
      <c r="H477" t="s">
        <v>57</v>
      </c>
      <c r="I477" t="s">
        <v>47</v>
      </c>
      <c r="L477">
        <v>0</v>
      </c>
      <c r="M477">
        <v>0</v>
      </c>
      <c r="P477" t="s">
        <v>835</v>
      </c>
      <c r="Q477">
        <v>2</v>
      </c>
      <c r="R477">
        <v>2</v>
      </c>
    </row>
    <row r="478" spans="1:18" x14ac:dyDescent="0.3">
      <c r="A478" t="s">
        <v>833</v>
      </c>
      <c r="B478" t="s">
        <v>125</v>
      </c>
      <c r="C478" t="s">
        <v>672</v>
      </c>
      <c r="D478" t="s">
        <v>98</v>
      </c>
      <c r="E478" t="s">
        <v>30</v>
      </c>
      <c r="F478" s="6">
        <v>45657</v>
      </c>
      <c r="G478">
        <v>2024</v>
      </c>
      <c r="H478" t="s">
        <v>57</v>
      </c>
      <c r="I478" t="s">
        <v>78</v>
      </c>
      <c r="L478">
        <v>0</v>
      </c>
      <c r="M478">
        <v>0</v>
      </c>
      <c r="P478" t="s">
        <v>836</v>
      </c>
      <c r="Q478">
        <v>2</v>
      </c>
      <c r="R478">
        <v>2</v>
      </c>
    </row>
    <row r="479" spans="1:18" x14ac:dyDescent="0.3">
      <c r="A479" t="s">
        <v>833</v>
      </c>
      <c r="B479" t="s">
        <v>125</v>
      </c>
      <c r="C479" t="s">
        <v>672</v>
      </c>
      <c r="D479" t="s">
        <v>98</v>
      </c>
      <c r="E479" t="s">
        <v>30</v>
      </c>
      <c r="F479" s="6">
        <v>46022</v>
      </c>
      <c r="G479">
        <v>2025</v>
      </c>
      <c r="H479" t="s">
        <v>57</v>
      </c>
      <c r="I479" t="s">
        <v>103</v>
      </c>
      <c r="J479">
        <v>80</v>
      </c>
      <c r="K479">
        <v>95</v>
      </c>
      <c r="L479">
        <v>1.1875</v>
      </c>
      <c r="M479">
        <v>1.1875</v>
      </c>
      <c r="N479" t="s">
        <v>193</v>
      </c>
      <c r="O479" t="s">
        <v>838</v>
      </c>
      <c r="P479" t="s">
        <v>5557</v>
      </c>
      <c r="Q479">
        <v>2</v>
      </c>
      <c r="R479">
        <v>2</v>
      </c>
    </row>
    <row r="480" spans="1:18" x14ac:dyDescent="0.3">
      <c r="A480" t="s">
        <v>840</v>
      </c>
      <c r="B480" t="s">
        <v>841</v>
      </c>
      <c r="C480" t="s">
        <v>842</v>
      </c>
      <c r="D480" t="s">
        <v>98</v>
      </c>
      <c r="E480" t="s">
        <v>30</v>
      </c>
      <c r="F480" s="6">
        <v>45107</v>
      </c>
      <c r="G480">
        <v>2023</v>
      </c>
      <c r="H480" t="s">
        <v>44</v>
      </c>
      <c r="I480" t="s">
        <v>33</v>
      </c>
      <c r="J480">
        <v>3</v>
      </c>
      <c r="K480">
        <v>4</v>
      </c>
      <c r="L480">
        <v>1.3</v>
      </c>
      <c r="M480">
        <v>1.333333333333333</v>
      </c>
      <c r="N480" t="s">
        <v>1849</v>
      </c>
      <c r="O480" t="s">
        <v>778</v>
      </c>
      <c r="P480" t="s">
        <v>843</v>
      </c>
      <c r="Q480">
        <v>2</v>
      </c>
      <c r="R480">
        <v>2</v>
      </c>
    </row>
    <row r="481" spans="1:18" x14ac:dyDescent="0.3">
      <c r="A481" t="s">
        <v>840</v>
      </c>
      <c r="B481" t="s">
        <v>841</v>
      </c>
      <c r="C481" t="s">
        <v>842</v>
      </c>
      <c r="D481" t="s">
        <v>98</v>
      </c>
      <c r="E481" t="s">
        <v>30</v>
      </c>
      <c r="F481" s="6">
        <v>45291</v>
      </c>
      <c r="G481">
        <v>2023</v>
      </c>
      <c r="H481" t="s">
        <v>57</v>
      </c>
      <c r="I481" t="s">
        <v>47</v>
      </c>
      <c r="J481">
        <v>3</v>
      </c>
      <c r="K481">
        <v>7</v>
      </c>
      <c r="L481">
        <v>1.3</v>
      </c>
      <c r="M481">
        <v>2.333333333333333</v>
      </c>
      <c r="N481" t="s">
        <v>1849</v>
      </c>
      <c r="O481" t="s">
        <v>5558</v>
      </c>
      <c r="P481" t="s">
        <v>844</v>
      </c>
      <c r="Q481">
        <v>2</v>
      </c>
      <c r="R481">
        <v>2</v>
      </c>
    </row>
    <row r="482" spans="1:18" x14ac:dyDescent="0.3">
      <c r="A482" t="s">
        <v>840</v>
      </c>
      <c r="B482" t="s">
        <v>841</v>
      </c>
      <c r="C482" t="s">
        <v>842</v>
      </c>
      <c r="D482" t="s">
        <v>98</v>
      </c>
      <c r="E482" t="s">
        <v>30</v>
      </c>
      <c r="F482" s="6">
        <v>45657</v>
      </c>
      <c r="G482">
        <v>2024</v>
      </c>
      <c r="H482" t="s">
        <v>57</v>
      </c>
      <c r="I482" t="s">
        <v>78</v>
      </c>
      <c r="J482">
        <v>100</v>
      </c>
      <c r="K482">
        <v>125</v>
      </c>
      <c r="L482">
        <v>1.25</v>
      </c>
      <c r="M482">
        <v>1.25</v>
      </c>
      <c r="N482" t="s">
        <v>102</v>
      </c>
      <c r="O482" t="s">
        <v>5559</v>
      </c>
      <c r="P482" t="s">
        <v>845</v>
      </c>
      <c r="Q482">
        <v>2</v>
      </c>
      <c r="R482">
        <v>2</v>
      </c>
    </row>
    <row r="483" spans="1:18" x14ac:dyDescent="0.3">
      <c r="A483" t="s">
        <v>767</v>
      </c>
      <c r="B483" t="s">
        <v>125</v>
      </c>
      <c r="C483" t="s">
        <v>842</v>
      </c>
      <c r="D483" t="s">
        <v>222</v>
      </c>
      <c r="E483" t="s">
        <v>30</v>
      </c>
      <c r="F483" s="6">
        <v>45107</v>
      </c>
      <c r="G483">
        <v>2023</v>
      </c>
      <c r="H483" t="s">
        <v>44</v>
      </c>
      <c r="I483" t="s">
        <v>33</v>
      </c>
      <c r="J483">
        <v>80</v>
      </c>
      <c r="K483">
        <v>96</v>
      </c>
      <c r="L483">
        <v>1.2</v>
      </c>
      <c r="M483">
        <v>1.2</v>
      </c>
      <c r="N483" t="s">
        <v>193</v>
      </c>
      <c r="O483" t="s">
        <v>668</v>
      </c>
      <c r="P483" t="s">
        <v>846</v>
      </c>
      <c r="Q483">
        <v>2</v>
      </c>
      <c r="R483">
        <v>2</v>
      </c>
    </row>
    <row r="484" spans="1:18" x14ac:dyDescent="0.3">
      <c r="A484" t="s">
        <v>767</v>
      </c>
      <c r="B484" t="s">
        <v>125</v>
      </c>
      <c r="C484" t="s">
        <v>842</v>
      </c>
      <c r="D484" t="s">
        <v>222</v>
      </c>
      <c r="E484" t="s">
        <v>30</v>
      </c>
      <c r="F484" s="6">
        <v>45291</v>
      </c>
      <c r="G484">
        <v>2023</v>
      </c>
      <c r="H484" t="s">
        <v>57</v>
      </c>
      <c r="I484" t="s">
        <v>47</v>
      </c>
      <c r="J484">
        <v>80</v>
      </c>
      <c r="K484">
        <v>100</v>
      </c>
      <c r="L484">
        <v>1.25</v>
      </c>
      <c r="M484">
        <v>1.25</v>
      </c>
      <c r="N484" t="s">
        <v>193</v>
      </c>
      <c r="O484" t="s">
        <v>102</v>
      </c>
      <c r="P484" t="s">
        <v>847</v>
      </c>
      <c r="Q484">
        <v>2</v>
      </c>
      <c r="R484">
        <v>2</v>
      </c>
    </row>
    <row r="485" spans="1:18" x14ac:dyDescent="0.3">
      <c r="A485" t="s">
        <v>767</v>
      </c>
      <c r="B485" t="s">
        <v>125</v>
      </c>
      <c r="C485" t="s">
        <v>842</v>
      </c>
      <c r="D485" t="s">
        <v>222</v>
      </c>
      <c r="E485" t="s">
        <v>30</v>
      </c>
      <c r="F485" s="6">
        <v>45473</v>
      </c>
      <c r="G485">
        <v>2024</v>
      </c>
      <c r="H485" t="s">
        <v>44</v>
      </c>
      <c r="I485" t="s">
        <v>71</v>
      </c>
      <c r="J485">
        <v>80</v>
      </c>
      <c r="K485">
        <v>95</v>
      </c>
      <c r="L485">
        <v>1.1875</v>
      </c>
      <c r="M485">
        <v>1.1875</v>
      </c>
      <c r="N485" t="s">
        <v>193</v>
      </c>
      <c r="O485" t="s">
        <v>838</v>
      </c>
      <c r="P485" t="s">
        <v>848</v>
      </c>
      <c r="Q485">
        <v>2</v>
      </c>
      <c r="R485">
        <v>2</v>
      </c>
    </row>
    <row r="486" spans="1:18" x14ac:dyDescent="0.3">
      <c r="A486" t="s">
        <v>767</v>
      </c>
      <c r="B486" t="s">
        <v>125</v>
      </c>
      <c r="C486" t="s">
        <v>842</v>
      </c>
      <c r="D486" t="s">
        <v>222</v>
      </c>
      <c r="E486" t="s">
        <v>30</v>
      </c>
      <c r="F486" s="6">
        <v>45657</v>
      </c>
      <c r="G486">
        <v>2024</v>
      </c>
      <c r="H486" t="s">
        <v>57</v>
      </c>
      <c r="I486" t="s">
        <v>78</v>
      </c>
      <c r="J486">
        <v>80</v>
      </c>
      <c r="K486">
        <v>97.8</v>
      </c>
      <c r="L486">
        <v>1.2224999999999999</v>
      </c>
      <c r="M486">
        <v>1.2224999999999999</v>
      </c>
      <c r="N486" t="s">
        <v>193</v>
      </c>
      <c r="O486" t="s">
        <v>5560</v>
      </c>
      <c r="P486" t="s">
        <v>849</v>
      </c>
      <c r="Q486">
        <v>2</v>
      </c>
      <c r="R486">
        <v>2</v>
      </c>
    </row>
    <row r="487" spans="1:18" x14ac:dyDescent="0.3">
      <c r="A487" t="s">
        <v>767</v>
      </c>
      <c r="B487" t="s">
        <v>125</v>
      </c>
      <c r="C487" t="s">
        <v>842</v>
      </c>
      <c r="D487" t="s">
        <v>222</v>
      </c>
      <c r="E487" t="s">
        <v>30</v>
      </c>
      <c r="F487" s="6">
        <v>45838</v>
      </c>
      <c r="G487">
        <v>2025</v>
      </c>
      <c r="H487" t="s">
        <v>44</v>
      </c>
      <c r="I487" t="s">
        <v>244</v>
      </c>
      <c r="J487">
        <v>80</v>
      </c>
      <c r="K487">
        <v>100</v>
      </c>
      <c r="L487">
        <v>1.25</v>
      </c>
      <c r="M487">
        <v>1.25</v>
      </c>
      <c r="N487" t="s">
        <v>193</v>
      </c>
      <c r="O487" t="s">
        <v>102</v>
      </c>
      <c r="P487" t="s">
        <v>850</v>
      </c>
      <c r="Q487">
        <v>2</v>
      </c>
      <c r="R487">
        <v>2</v>
      </c>
    </row>
    <row r="488" spans="1:18" x14ac:dyDescent="0.3">
      <c r="A488" t="s">
        <v>767</v>
      </c>
      <c r="B488" t="s">
        <v>125</v>
      </c>
      <c r="C488" t="s">
        <v>842</v>
      </c>
      <c r="D488" t="s">
        <v>222</v>
      </c>
      <c r="E488" t="s">
        <v>30</v>
      </c>
      <c r="F488" s="6">
        <v>46022</v>
      </c>
      <c r="G488">
        <v>2025</v>
      </c>
      <c r="H488" t="s">
        <v>57</v>
      </c>
      <c r="I488" t="s">
        <v>103</v>
      </c>
      <c r="J488">
        <v>80</v>
      </c>
      <c r="K488">
        <v>100</v>
      </c>
      <c r="L488">
        <v>1.25</v>
      </c>
      <c r="M488">
        <v>1.25</v>
      </c>
      <c r="N488" t="s">
        <v>193</v>
      </c>
      <c r="O488" t="s">
        <v>102</v>
      </c>
      <c r="P488" t="s">
        <v>851</v>
      </c>
      <c r="Q488">
        <v>2</v>
      </c>
      <c r="R488">
        <v>2</v>
      </c>
    </row>
    <row r="489" spans="1:18" x14ac:dyDescent="0.3">
      <c r="A489" t="s">
        <v>852</v>
      </c>
      <c r="B489" t="s">
        <v>853</v>
      </c>
      <c r="C489" t="s">
        <v>262</v>
      </c>
      <c r="D489" t="s">
        <v>222</v>
      </c>
      <c r="E489" t="s">
        <v>30</v>
      </c>
      <c r="F489" s="6">
        <v>45107</v>
      </c>
      <c r="G489">
        <v>2023</v>
      </c>
      <c r="H489" t="s">
        <v>44</v>
      </c>
      <c r="I489" t="s">
        <v>33</v>
      </c>
      <c r="J489">
        <v>80</v>
      </c>
      <c r="K489">
        <v>97.7</v>
      </c>
      <c r="L489">
        <v>1.2212499999999999</v>
      </c>
      <c r="M489">
        <v>1.2212499999999999</v>
      </c>
      <c r="N489" t="s">
        <v>193</v>
      </c>
      <c r="O489" t="s">
        <v>4800</v>
      </c>
      <c r="P489" t="s">
        <v>854</v>
      </c>
      <c r="Q489">
        <v>2</v>
      </c>
      <c r="R489">
        <v>2</v>
      </c>
    </row>
    <row r="490" spans="1:18" x14ac:dyDescent="0.3">
      <c r="A490" t="s">
        <v>852</v>
      </c>
      <c r="B490" t="s">
        <v>853</v>
      </c>
      <c r="C490" t="s">
        <v>262</v>
      </c>
      <c r="D490" t="s">
        <v>222</v>
      </c>
      <c r="E490" t="s">
        <v>30</v>
      </c>
      <c r="F490" s="6">
        <v>45291</v>
      </c>
      <c r="G490">
        <v>2023</v>
      </c>
      <c r="H490" t="s">
        <v>57</v>
      </c>
      <c r="I490" t="s">
        <v>47</v>
      </c>
      <c r="J490">
        <v>80</v>
      </c>
      <c r="K490">
        <v>96.15</v>
      </c>
      <c r="L490">
        <v>1.201875</v>
      </c>
      <c r="M490">
        <v>1.201875</v>
      </c>
      <c r="N490" t="s">
        <v>193</v>
      </c>
      <c r="O490" t="s">
        <v>5561</v>
      </c>
      <c r="P490" t="s">
        <v>855</v>
      </c>
      <c r="Q490">
        <v>2</v>
      </c>
      <c r="R490">
        <v>2</v>
      </c>
    </row>
    <row r="491" spans="1:18" x14ac:dyDescent="0.3">
      <c r="A491" t="s">
        <v>852</v>
      </c>
      <c r="B491" t="s">
        <v>853</v>
      </c>
      <c r="C491" t="s">
        <v>262</v>
      </c>
      <c r="D491" t="s">
        <v>222</v>
      </c>
      <c r="E491" t="s">
        <v>30</v>
      </c>
      <c r="F491" s="6">
        <v>45473</v>
      </c>
      <c r="G491">
        <v>2024</v>
      </c>
      <c r="H491" t="s">
        <v>44</v>
      </c>
      <c r="I491" t="s">
        <v>71</v>
      </c>
      <c r="J491">
        <v>80</v>
      </c>
      <c r="K491">
        <v>96.86</v>
      </c>
      <c r="L491">
        <v>1.21075</v>
      </c>
      <c r="M491">
        <v>1.21075</v>
      </c>
      <c r="N491" t="s">
        <v>193</v>
      </c>
      <c r="O491" t="s">
        <v>3102</v>
      </c>
      <c r="P491" t="s">
        <v>856</v>
      </c>
      <c r="Q491">
        <v>2</v>
      </c>
      <c r="R491">
        <v>2</v>
      </c>
    </row>
    <row r="492" spans="1:18" x14ac:dyDescent="0.3">
      <c r="A492" t="s">
        <v>852</v>
      </c>
      <c r="B492" t="s">
        <v>853</v>
      </c>
      <c r="C492" t="s">
        <v>262</v>
      </c>
      <c r="D492" t="s">
        <v>222</v>
      </c>
      <c r="E492" t="s">
        <v>30</v>
      </c>
      <c r="F492" s="6">
        <v>45657</v>
      </c>
      <c r="G492">
        <v>2024</v>
      </c>
      <c r="H492" t="s">
        <v>57</v>
      </c>
      <c r="I492" t="s">
        <v>78</v>
      </c>
      <c r="J492">
        <v>85</v>
      </c>
      <c r="K492">
        <v>96.8</v>
      </c>
      <c r="L492">
        <v>1.138823529411765</v>
      </c>
      <c r="M492">
        <v>1.138823529411765</v>
      </c>
      <c r="N492" t="s">
        <v>2357</v>
      </c>
      <c r="O492" t="s">
        <v>5562</v>
      </c>
      <c r="P492" t="s">
        <v>857</v>
      </c>
      <c r="Q492">
        <v>2</v>
      </c>
      <c r="R492">
        <v>2</v>
      </c>
    </row>
    <row r="493" spans="1:18" x14ac:dyDescent="0.3">
      <c r="A493" t="s">
        <v>852</v>
      </c>
      <c r="B493" t="s">
        <v>853</v>
      </c>
      <c r="C493" t="s">
        <v>262</v>
      </c>
      <c r="D493" t="s">
        <v>222</v>
      </c>
      <c r="E493" t="s">
        <v>30</v>
      </c>
      <c r="F493" s="6">
        <v>45838</v>
      </c>
      <c r="G493">
        <v>2025</v>
      </c>
      <c r="H493" t="s">
        <v>44</v>
      </c>
      <c r="I493" t="s">
        <v>244</v>
      </c>
      <c r="J493">
        <v>90</v>
      </c>
      <c r="K493">
        <v>93.63</v>
      </c>
      <c r="L493">
        <v>1.0403333333333331</v>
      </c>
      <c r="M493">
        <v>1.0403333333333331</v>
      </c>
      <c r="N493" t="s">
        <v>256</v>
      </c>
      <c r="O493" t="s">
        <v>859</v>
      </c>
      <c r="P493" t="s">
        <v>860</v>
      </c>
      <c r="Q493">
        <v>2</v>
      </c>
      <c r="R493">
        <v>2</v>
      </c>
    </row>
    <row r="494" spans="1:18" x14ac:dyDescent="0.3">
      <c r="A494" t="s">
        <v>852</v>
      </c>
      <c r="B494" t="s">
        <v>853</v>
      </c>
      <c r="C494" t="s">
        <v>262</v>
      </c>
      <c r="D494" t="s">
        <v>222</v>
      </c>
      <c r="E494" t="s">
        <v>30</v>
      </c>
      <c r="F494" s="6">
        <v>46022</v>
      </c>
      <c r="G494">
        <v>2025</v>
      </c>
      <c r="H494" t="s">
        <v>57</v>
      </c>
      <c r="I494" t="s">
        <v>103</v>
      </c>
      <c r="J494">
        <v>90</v>
      </c>
      <c r="K494">
        <v>94</v>
      </c>
      <c r="L494">
        <v>1.044444444444445</v>
      </c>
      <c r="M494">
        <v>1.044444444444445</v>
      </c>
      <c r="N494" t="s">
        <v>256</v>
      </c>
      <c r="O494" t="s">
        <v>194</v>
      </c>
      <c r="P494" t="s">
        <v>861</v>
      </c>
      <c r="Q494">
        <v>2</v>
      </c>
      <c r="R494">
        <v>2</v>
      </c>
    </row>
    <row r="495" spans="1:18" x14ac:dyDescent="0.3">
      <c r="A495" t="s">
        <v>862</v>
      </c>
      <c r="B495" t="s">
        <v>863</v>
      </c>
      <c r="C495" t="s">
        <v>309</v>
      </c>
      <c r="D495" t="s">
        <v>284</v>
      </c>
      <c r="E495" t="s">
        <v>108</v>
      </c>
      <c r="F495" s="6">
        <v>45107</v>
      </c>
      <c r="G495">
        <v>2023</v>
      </c>
      <c r="H495" t="s">
        <v>44</v>
      </c>
      <c r="I495" t="s">
        <v>33</v>
      </c>
      <c r="J495">
        <v>15</v>
      </c>
      <c r="K495">
        <v>6.2066666666666661</v>
      </c>
      <c r="L495">
        <v>1.3</v>
      </c>
      <c r="M495">
        <v>2.416756176154673</v>
      </c>
      <c r="N495" t="s">
        <v>3932</v>
      </c>
      <c r="O495" t="s">
        <v>5563</v>
      </c>
      <c r="P495" t="s">
        <v>866</v>
      </c>
      <c r="Q495">
        <v>2</v>
      </c>
      <c r="R495">
        <v>2</v>
      </c>
    </row>
    <row r="496" spans="1:18" x14ac:dyDescent="0.3">
      <c r="A496" t="s">
        <v>867</v>
      </c>
      <c r="B496" t="s">
        <v>868</v>
      </c>
      <c r="C496" t="s">
        <v>309</v>
      </c>
      <c r="D496" t="s">
        <v>29</v>
      </c>
      <c r="E496" t="s">
        <v>30</v>
      </c>
      <c r="F496" s="6">
        <v>44742</v>
      </c>
      <c r="G496">
        <v>2022</v>
      </c>
      <c r="H496" t="s">
        <v>44</v>
      </c>
      <c r="I496" t="s">
        <v>88</v>
      </c>
      <c r="J496">
        <v>95</v>
      </c>
      <c r="K496">
        <v>95.24</v>
      </c>
      <c r="L496">
        <v>1.0025263157894739</v>
      </c>
      <c r="M496">
        <v>1.0025263157894739</v>
      </c>
      <c r="N496" t="s">
        <v>838</v>
      </c>
      <c r="O496" t="s">
        <v>5464</v>
      </c>
      <c r="P496" t="s">
        <v>869</v>
      </c>
      <c r="Q496">
        <v>2</v>
      </c>
      <c r="R496">
        <v>2</v>
      </c>
    </row>
    <row r="497" spans="1:18" x14ac:dyDescent="0.3">
      <c r="A497" t="s">
        <v>867</v>
      </c>
      <c r="B497" t="s">
        <v>868</v>
      </c>
      <c r="C497" t="s">
        <v>309</v>
      </c>
      <c r="D497" t="s">
        <v>29</v>
      </c>
      <c r="E497" t="s">
        <v>30</v>
      </c>
      <c r="F497" s="6">
        <v>44926</v>
      </c>
      <c r="G497">
        <v>2022</v>
      </c>
      <c r="H497" t="s">
        <v>57</v>
      </c>
      <c r="I497" t="s">
        <v>90</v>
      </c>
      <c r="J497">
        <v>95</v>
      </c>
      <c r="K497">
        <v>98.673333333333332</v>
      </c>
      <c r="L497">
        <v>1.0386666666666671</v>
      </c>
      <c r="M497">
        <v>1.0386666666666671</v>
      </c>
      <c r="N497" t="s">
        <v>838</v>
      </c>
      <c r="O497" t="s">
        <v>5564</v>
      </c>
      <c r="P497" t="s">
        <v>875</v>
      </c>
      <c r="Q497">
        <v>2</v>
      </c>
      <c r="R497">
        <v>2</v>
      </c>
    </row>
    <row r="498" spans="1:18" x14ac:dyDescent="0.3">
      <c r="A498" t="s">
        <v>867</v>
      </c>
      <c r="B498" t="s">
        <v>868</v>
      </c>
      <c r="C498" t="s">
        <v>309</v>
      </c>
      <c r="D498" t="s">
        <v>29</v>
      </c>
      <c r="E498" t="s">
        <v>30</v>
      </c>
      <c r="F498" s="6">
        <v>45107</v>
      </c>
      <c r="G498">
        <v>2023</v>
      </c>
      <c r="H498" t="s">
        <v>44</v>
      </c>
      <c r="I498" t="s">
        <v>33</v>
      </c>
      <c r="J498">
        <v>95</v>
      </c>
      <c r="K498">
        <v>93.177499999999995</v>
      </c>
      <c r="L498">
        <v>0.9808157894736842</v>
      </c>
      <c r="M498">
        <v>0.9808157894736842</v>
      </c>
      <c r="N498" t="s">
        <v>838</v>
      </c>
      <c r="O498" t="s">
        <v>5565</v>
      </c>
      <c r="P498" t="s">
        <v>879</v>
      </c>
      <c r="Q498">
        <v>2</v>
      </c>
      <c r="R498">
        <v>2</v>
      </c>
    </row>
    <row r="499" spans="1:18" x14ac:dyDescent="0.3">
      <c r="A499" t="s">
        <v>867</v>
      </c>
      <c r="B499" t="s">
        <v>868</v>
      </c>
      <c r="C499" t="s">
        <v>309</v>
      </c>
      <c r="D499" t="s">
        <v>29</v>
      </c>
      <c r="E499" t="s">
        <v>30</v>
      </c>
      <c r="F499" s="6">
        <v>45291</v>
      </c>
      <c r="G499">
        <v>2023</v>
      </c>
      <c r="H499" t="s">
        <v>57</v>
      </c>
      <c r="I499" t="s">
        <v>47</v>
      </c>
      <c r="J499">
        <v>95</v>
      </c>
      <c r="K499">
        <v>95.740000000000009</v>
      </c>
      <c r="L499">
        <v>1.007789473684211</v>
      </c>
      <c r="M499">
        <v>1.007789473684211</v>
      </c>
      <c r="N499" t="s">
        <v>838</v>
      </c>
      <c r="O499" t="s">
        <v>5566</v>
      </c>
      <c r="P499" t="s">
        <v>885</v>
      </c>
      <c r="Q499">
        <v>2</v>
      </c>
      <c r="R499">
        <v>2</v>
      </c>
    </row>
    <row r="500" spans="1:18" x14ac:dyDescent="0.3">
      <c r="A500" t="s">
        <v>867</v>
      </c>
      <c r="B500" t="s">
        <v>868</v>
      </c>
      <c r="C500" t="s">
        <v>309</v>
      </c>
      <c r="D500" t="s">
        <v>29</v>
      </c>
      <c r="E500" t="s">
        <v>30</v>
      </c>
      <c r="F500" s="6">
        <v>45473</v>
      </c>
      <c r="G500">
        <v>2024</v>
      </c>
      <c r="H500" t="s">
        <v>44</v>
      </c>
      <c r="I500" t="s">
        <v>71</v>
      </c>
      <c r="J500">
        <v>95</v>
      </c>
      <c r="K500">
        <v>86.943333333333328</v>
      </c>
      <c r="L500">
        <v>0.91519298245614034</v>
      </c>
      <c r="M500">
        <v>0.91519298245614034</v>
      </c>
      <c r="N500" t="s">
        <v>838</v>
      </c>
      <c r="O500" t="s">
        <v>5567</v>
      </c>
      <c r="P500" t="s">
        <v>891</v>
      </c>
      <c r="Q500">
        <v>2</v>
      </c>
      <c r="R500">
        <v>2</v>
      </c>
    </row>
    <row r="501" spans="1:18" x14ac:dyDescent="0.3">
      <c r="A501" t="s">
        <v>867</v>
      </c>
      <c r="B501" t="s">
        <v>868</v>
      </c>
      <c r="C501" t="s">
        <v>309</v>
      </c>
      <c r="D501" t="s">
        <v>29</v>
      </c>
      <c r="E501" t="s">
        <v>30</v>
      </c>
      <c r="F501" s="6">
        <v>45657</v>
      </c>
      <c r="G501">
        <v>2024</v>
      </c>
      <c r="H501" t="s">
        <v>57</v>
      </c>
      <c r="I501" t="s">
        <v>78</v>
      </c>
      <c r="J501">
        <v>95</v>
      </c>
      <c r="K501">
        <v>94.834999999999994</v>
      </c>
      <c r="L501">
        <v>0.99826315789473674</v>
      </c>
      <c r="M501">
        <v>0.99826315789473674</v>
      </c>
      <c r="N501" t="s">
        <v>838</v>
      </c>
      <c r="O501" t="s">
        <v>5568</v>
      </c>
      <c r="P501" t="s">
        <v>897</v>
      </c>
      <c r="Q501">
        <v>2</v>
      </c>
      <c r="R501">
        <v>2</v>
      </c>
    </row>
    <row r="502" spans="1:18" x14ac:dyDescent="0.3">
      <c r="A502" t="s">
        <v>867</v>
      </c>
      <c r="B502" t="s">
        <v>868</v>
      </c>
      <c r="C502" t="s">
        <v>309</v>
      </c>
      <c r="D502" t="s">
        <v>29</v>
      </c>
      <c r="E502" t="s">
        <v>30</v>
      </c>
      <c r="F502" s="6">
        <v>45838</v>
      </c>
      <c r="G502">
        <v>2025</v>
      </c>
      <c r="H502" t="s">
        <v>44</v>
      </c>
      <c r="I502" t="s">
        <v>244</v>
      </c>
      <c r="J502">
        <v>95</v>
      </c>
      <c r="K502">
        <v>88.28166666666668</v>
      </c>
      <c r="L502">
        <v>0.92928070175438615</v>
      </c>
      <c r="M502">
        <v>0.92928070175438615</v>
      </c>
      <c r="N502" t="s">
        <v>838</v>
      </c>
      <c r="O502" t="s">
        <v>5569</v>
      </c>
      <c r="P502" t="s">
        <v>910</v>
      </c>
      <c r="Q502">
        <v>2</v>
      </c>
      <c r="R502">
        <v>2</v>
      </c>
    </row>
    <row r="503" spans="1:18" x14ac:dyDescent="0.3">
      <c r="A503" t="s">
        <v>867</v>
      </c>
      <c r="B503" t="s">
        <v>868</v>
      </c>
      <c r="C503" t="s">
        <v>309</v>
      </c>
      <c r="D503" t="s">
        <v>29</v>
      </c>
      <c r="E503" t="s">
        <v>30</v>
      </c>
      <c r="F503" s="6">
        <v>46022</v>
      </c>
      <c r="G503">
        <v>2025</v>
      </c>
      <c r="H503" t="s">
        <v>57</v>
      </c>
      <c r="I503" t="s">
        <v>103</v>
      </c>
      <c r="J503">
        <v>95</v>
      </c>
      <c r="K503">
        <v>94.24199999999999</v>
      </c>
      <c r="L503">
        <v>0.9920210526315788</v>
      </c>
      <c r="M503">
        <v>0.9920210526315788</v>
      </c>
      <c r="N503" t="s">
        <v>838</v>
      </c>
      <c r="O503" t="s">
        <v>5570</v>
      </c>
      <c r="P503" t="s">
        <v>926</v>
      </c>
      <c r="Q503">
        <v>2</v>
      </c>
      <c r="R503">
        <v>2</v>
      </c>
    </row>
    <row r="504" spans="1:18" x14ac:dyDescent="0.3">
      <c r="A504" t="s">
        <v>867</v>
      </c>
      <c r="B504" t="s">
        <v>868</v>
      </c>
      <c r="C504" t="s">
        <v>309</v>
      </c>
      <c r="D504" t="s">
        <v>29</v>
      </c>
      <c r="E504" t="s">
        <v>30</v>
      </c>
      <c r="F504" s="6">
        <v>46203</v>
      </c>
      <c r="G504">
        <v>2026</v>
      </c>
      <c r="H504" t="s">
        <v>44</v>
      </c>
      <c r="I504" t="s">
        <v>408</v>
      </c>
      <c r="J504">
        <v>95</v>
      </c>
      <c r="L504">
        <v>0</v>
      </c>
      <c r="M504">
        <v>0</v>
      </c>
      <c r="N504" t="s">
        <v>838</v>
      </c>
      <c r="P504" t="s">
        <v>5571</v>
      </c>
      <c r="Q504">
        <v>2</v>
      </c>
      <c r="R504">
        <v>2</v>
      </c>
    </row>
    <row r="505" spans="1:18" x14ac:dyDescent="0.3">
      <c r="A505" t="s">
        <v>928</v>
      </c>
      <c r="B505" t="s">
        <v>929</v>
      </c>
      <c r="C505" t="s">
        <v>309</v>
      </c>
      <c r="D505" t="s">
        <v>222</v>
      </c>
      <c r="E505" t="s">
        <v>30</v>
      </c>
      <c r="F505" s="6">
        <v>45107</v>
      </c>
      <c r="G505">
        <v>2023</v>
      </c>
      <c r="H505" t="s">
        <v>44</v>
      </c>
      <c r="I505" t="s">
        <v>33</v>
      </c>
      <c r="J505">
        <v>95</v>
      </c>
      <c r="K505">
        <v>100</v>
      </c>
      <c r="L505">
        <v>1.0526315789473679</v>
      </c>
      <c r="M505">
        <v>1.0526315789473679</v>
      </c>
      <c r="N505" t="s">
        <v>838</v>
      </c>
      <c r="O505" t="s">
        <v>102</v>
      </c>
      <c r="P505" t="s">
        <v>930</v>
      </c>
      <c r="Q505">
        <v>2</v>
      </c>
      <c r="R505">
        <v>2</v>
      </c>
    </row>
    <row r="506" spans="1:18" x14ac:dyDescent="0.3">
      <c r="A506" t="s">
        <v>928</v>
      </c>
      <c r="B506" t="s">
        <v>929</v>
      </c>
      <c r="C506" t="s">
        <v>309</v>
      </c>
      <c r="D506" t="s">
        <v>222</v>
      </c>
      <c r="E506" t="s">
        <v>30</v>
      </c>
      <c r="F506" s="6">
        <v>45291</v>
      </c>
      <c r="G506">
        <v>2023</v>
      </c>
      <c r="H506" t="s">
        <v>57</v>
      </c>
      <c r="I506" t="s">
        <v>47</v>
      </c>
      <c r="J506">
        <v>95</v>
      </c>
      <c r="K506">
        <v>100</v>
      </c>
      <c r="L506">
        <v>1.0526315789473679</v>
      </c>
      <c r="M506">
        <v>1.0526315789473679</v>
      </c>
      <c r="N506" t="s">
        <v>838</v>
      </c>
      <c r="O506" t="s">
        <v>102</v>
      </c>
      <c r="P506" t="s">
        <v>931</v>
      </c>
      <c r="Q506">
        <v>2</v>
      </c>
      <c r="R506">
        <v>2</v>
      </c>
    </row>
    <row r="507" spans="1:18" x14ac:dyDescent="0.3">
      <c r="A507" t="s">
        <v>928</v>
      </c>
      <c r="B507" t="s">
        <v>929</v>
      </c>
      <c r="C507" t="s">
        <v>309</v>
      </c>
      <c r="D507" t="s">
        <v>222</v>
      </c>
      <c r="E507" t="s">
        <v>30</v>
      </c>
      <c r="F507" s="6">
        <v>45473</v>
      </c>
      <c r="G507">
        <v>2024</v>
      </c>
      <c r="H507" t="s">
        <v>44</v>
      </c>
      <c r="I507" t="s">
        <v>71</v>
      </c>
      <c r="L507">
        <v>0</v>
      </c>
      <c r="M507">
        <v>0</v>
      </c>
      <c r="P507" t="s">
        <v>932</v>
      </c>
      <c r="Q507">
        <v>2</v>
      </c>
      <c r="R507">
        <v>2</v>
      </c>
    </row>
    <row r="508" spans="1:18" x14ac:dyDescent="0.3">
      <c r="A508" t="s">
        <v>928</v>
      </c>
      <c r="B508" t="s">
        <v>929</v>
      </c>
      <c r="C508" t="s">
        <v>309</v>
      </c>
      <c r="D508" t="s">
        <v>222</v>
      </c>
      <c r="E508" t="s">
        <v>30</v>
      </c>
      <c r="F508" s="6">
        <v>45657</v>
      </c>
      <c r="G508">
        <v>2024</v>
      </c>
      <c r="H508" t="s">
        <v>57</v>
      </c>
      <c r="I508" t="s">
        <v>78</v>
      </c>
      <c r="J508">
        <v>95</v>
      </c>
      <c r="L508">
        <v>0</v>
      </c>
      <c r="M508">
        <v>0</v>
      </c>
      <c r="N508" t="s">
        <v>838</v>
      </c>
      <c r="P508" t="s">
        <v>933</v>
      </c>
      <c r="Q508">
        <v>2</v>
      </c>
      <c r="R508">
        <v>2</v>
      </c>
    </row>
    <row r="509" spans="1:18" x14ac:dyDescent="0.3">
      <c r="A509" t="s">
        <v>934</v>
      </c>
      <c r="B509" t="s">
        <v>935</v>
      </c>
      <c r="C509" t="s">
        <v>309</v>
      </c>
      <c r="D509" t="s">
        <v>29</v>
      </c>
      <c r="E509" t="s">
        <v>30</v>
      </c>
      <c r="F509" s="6">
        <v>45107</v>
      </c>
      <c r="G509">
        <v>2023</v>
      </c>
      <c r="H509" t="s">
        <v>44</v>
      </c>
      <c r="I509" t="s">
        <v>33</v>
      </c>
      <c r="J509">
        <v>80</v>
      </c>
      <c r="K509">
        <v>83.32</v>
      </c>
      <c r="L509">
        <v>1.0415000000000001</v>
      </c>
      <c r="M509">
        <v>1.0415000000000001</v>
      </c>
      <c r="N509" t="s">
        <v>193</v>
      </c>
      <c r="O509" t="s">
        <v>5572</v>
      </c>
      <c r="P509" t="s">
        <v>941</v>
      </c>
      <c r="Q509">
        <v>2</v>
      </c>
      <c r="R509">
        <v>2</v>
      </c>
    </row>
    <row r="510" spans="1:18" x14ac:dyDescent="0.3">
      <c r="A510" t="s">
        <v>934</v>
      </c>
      <c r="B510" t="s">
        <v>935</v>
      </c>
      <c r="C510" t="s">
        <v>309</v>
      </c>
      <c r="D510" t="s">
        <v>29</v>
      </c>
      <c r="E510" t="s">
        <v>30</v>
      </c>
      <c r="F510" s="6">
        <v>45291</v>
      </c>
      <c r="G510">
        <v>2023</v>
      </c>
      <c r="H510" t="s">
        <v>57</v>
      </c>
      <c r="I510" t="s">
        <v>47</v>
      </c>
      <c r="J510">
        <v>80</v>
      </c>
      <c r="K510">
        <v>80.391666666666666</v>
      </c>
      <c r="L510">
        <v>1.0048958333333331</v>
      </c>
      <c r="M510">
        <v>1.0048958333333331</v>
      </c>
      <c r="N510" t="s">
        <v>193</v>
      </c>
      <c r="O510" t="s">
        <v>5573</v>
      </c>
      <c r="P510" t="s">
        <v>947</v>
      </c>
      <c r="Q510">
        <v>2</v>
      </c>
      <c r="R510">
        <v>2</v>
      </c>
    </row>
    <row r="511" spans="1:18" x14ac:dyDescent="0.3">
      <c r="A511" t="s">
        <v>934</v>
      </c>
      <c r="B511" t="s">
        <v>935</v>
      </c>
      <c r="C511" t="s">
        <v>309</v>
      </c>
      <c r="D511" t="s">
        <v>29</v>
      </c>
      <c r="E511" t="s">
        <v>30</v>
      </c>
      <c r="F511" s="6">
        <v>45473</v>
      </c>
      <c r="G511">
        <v>2024</v>
      </c>
      <c r="H511" t="s">
        <v>44</v>
      </c>
      <c r="I511" t="s">
        <v>71</v>
      </c>
      <c r="J511">
        <v>85</v>
      </c>
      <c r="K511">
        <v>84.27000000000001</v>
      </c>
      <c r="L511">
        <v>0.99141176470588244</v>
      </c>
      <c r="M511">
        <v>0.99141176470588244</v>
      </c>
      <c r="N511" t="s">
        <v>2357</v>
      </c>
      <c r="O511" t="s">
        <v>5574</v>
      </c>
      <c r="P511" t="s">
        <v>954</v>
      </c>
      <c r="Q511">
        <v>2</v>
      </c>
      <c r="R511">
        <v>2</v>
      </c>
    </row>
    <row r="512" spans="1:18" x14ac:dyDescent="0.3">
      <c r="A512" t="s">
        <v>934</v>
      </c>
      <c r="B512" t="s">
        <v>935</v>
      </c>
      <c r="C512" t="s">
        <v>309</v>
      </c>
      <c r="D512" t="s">
        <v>29</v>
      </c>
      <c r="E512" t="s">
        <v>30</v>
      </c>
      <c r="F512" s="6">
        <v>45657</v>
      </c>
      <c r="G512">
        <v>2024</v>
      </c>
      <c r="H512" t="s">
        <v>57</v>
      </c>
      <c r="I512" t="s">
        <v>78</v>
      </c>
      <c r="J512">
        <v>85</v>
      </c>
      <c r="K512">
        <v>93.896666666666661</v>
      </c>
      <c r="L512">
        <v>1.1046666666666669</v>
      </c>
      <c r="M512">
        <v>1.1046666666666669</v>
      </c>
      <c r="N512" t="s">
        <v>2357</v>
      </c>
      <c r="O512" t="s">
        <v>5575</v>
      </c>
      <c r="P512" t="s">
        <v>960</v>
      </c>
      <c r="Q512">
        <v>2</v>
      </c>
      <c r="R512">
        <v>2</v>
      </c>
    </row>
    <row r="513" spans="1:18" x14ac:dyDescent="0.3">
      <c r="A513" t="s">
        <v>961</v>
      </c>
      <c r="B513" t="s">
        <v>962</v>
      </c>
      <c r="C513" t="s">
        <v>717</v>
      </c>
      <c r="D513" t="s">
        <v>222</v>
      </c>
      <c r="E513" t="s">
        <v>30</v>
      </c>
      <c r="F513" s="6">
        <v>44742</v>
      </c>
      <c r="G513">
        <v>2022</v>
      </c>
      <c r="H513" t="s">
        <v>44</v>
      </c>
      <c r="I513" t="s">
        <v>88</v>
      </c>
      <c r="J513">
        <v>76</v>
      </c>
      <c r="K513">
        <v>91.8</v>
      </c>
      <c r="L513">
        <v>1.2078947368421049</v>
      </c>
      <c r="M513">
        <v>1.2078947368421049</v>
      </c>
      <c r="N513" t="s">
        <v>5576</v>
      </c>
      <c r="O513" t="s">
        <v>5577</v>
      </c>
      <c r="P513" t="s">
        <v>963</v>
      </c>
      <c r="Q513">
        <v>2</v>
      </c>
      <c r="R513">
        <v>2</v>
      </c>
    </row>
    <row r="514" spans="1:18" x14ac:dyDescent="0.3">
      <c r="A514" t="s">
        <v>961</v>
      </c>
      <c r="B514" t="s">
        <v>962</v>
      </c>
      <c r="C514" t="s">
        <v>717</v>
      </c>
      <c r="D514" t="s">
        <v>222</v>
      </c>
      <c r="E514" t="s">
        <v>30</v>
      </c>
      <c r="F514" s="6">
        <v>44926</v>
      </c>
      <c r="G514">
        <v>2022</v>
      </c>
      <c r="H514" t="s">
        <v>57</v>
      </c>
      <c r="I514" t="s">
        <v>90</v>
      </c>
      <c r="J514">
        <v>76</v>
      </c>
      <c r="K514">
        <v>92.4</v>
      </c>
      <c r="L514">
        <v>1.215789473684211</v>
      </c>
      <c r="M514">
        <v>1.215789473684211</v>
      </c>
      <c r="N514" t="s">
        <v>5576</v>
      </c>
      <c r="O514" t="s">
        <v>5578</v>
      </c>
      <c r="P514" t="s">
        <v>964</v>
      </c>
      <c r="Q514">
        <v>2</v>
      </c>
      <c r="R514">
        <v>2</v>
      </c>
    </row>
    <row r="515" spans="1:18" x14ac:dyDescent="0.3">
      <c r="A515" t="s">
        <v>961</v>
      </c>
      <c r="B515" t="s">
        <v>962</v>
      </c>
      <c r="C515" t="s">
        <v>717</v>
      </c>
      <c r="D515" t="s">
        <v>222</v>
      </c>
      <c r="E515" t="s">
        <v>30</v>
      </c>
      <c r="F515" s="6">
        <v>45107</v>
      </c>
      <c r="G515">
        <v>2023</v>
      </c>
      <c r="H515" t="s">
        <v>44</v>
      </c>
      <c r="I515" t="s">
        <v>33</v>
      </c>
      <c r="J515">
        <v>92</v>
      </c>
      <c r="K515">
        <v>91.9</v>
      </c>
      <c r="L515">
        <v>0.99891304347826093</v>
      </c>
      <c r="M515">
        <v>0.99891304347826093</v>
      </c>
      <c r="N515" t="s">
        <v>4634</v>
      </c>
      <c r="O515" t="s">
        <v>5579</v>
      </c>
      <c r="P515" t="s">
        <v>965</v>
      </c>
      <c r="Q515">
        <v>2</v>
      </c>
      <c r="R515">
        <v>2</v>
      </c>
    </row>
    <row r="516" spans="1:18" x14ac:dyDescent="0.3">
      <c r="A516" t="s">
        <v>961</v>
      </c>
      <c r="B516" t="s">
        <v>962</v>
      </c>
      <c r="C516" t="s">
        <v>717</v>
      </c>
      <c r="D516" t="s">
        <v>222</v>
      </c>
      <c r="E516" t="s">
        <v>30</v>
      </c>
      <c r="F516" s="6">
        <v>45291</v>
      </c>
      <c r="G516">
        <v>2023</v>
      </c>
      <c r="H516" t="s">
        <v>57</v>
      </c>
      <c r="I516" t="s">
        <v>47</v>
      </c>
      <c r="J516">
        <v>92</v>
      </c>
      <c r="K516">
        <v>91.3</v>
      </c>
      <c r="L516">
        <v>0.99239130434782608</v>
      </c>
      <c r="M516">
        <v>0.99239130434782608</v>
      </c>
      <c r="N516" t="s">
        <v>4634</v>
      </c>
      <c r="O516" t="s">
        <v>5580</v>
      </c>
      <c r="P516" t="s">
        <v>966</v>
      </c>
      <c r="Q516">
        <v>2</v>
      </c>
      <c r="R516">
        <v>2</v>
      </c>
    </row>
    <row r="517" spans="1:18" x14ac:dyDescent="0.3">
      <c r="A517" t="s">
        <v>961</v>
      </c>
      <c r="B517" t="s">
        <v>962</v>
      </c>
      <c r="C517" t="s">
        <v>717</v>
      </c>
      <c r="D517" t="s">
        <v>222</v>
      </c>
      <c r="E517" t="s">
        <v>30</v>
      </c>
      <c r="F517" s="6">
        <v>45473</v>
      </c>
      <c r="G517">
        <v>2024</v>
      </c>
      <c r="H517" t="s">
        <v>44</v>
      </c>
      <c r="I517" t="s">
        <v>71</v>
      </c>
      <c r="J517">
        <v>90</v>
      </c>
      <c r="K517">
        <v>91.7</v>
      </c>
      <c r="L517">
        <v>1.018888888888889</v>
      </c>
      <c r="M517">
        <v>1.018888888888889</v>
      </c>
      <c r="N517" t="s">
        <v>256</v>
      </c>
      <c r="O517" t="s">
        <v>5581</v>
      </c>
      <c r="P517" t="s">
        <v>967</v>
      </c>
      <c r="Q517">
        <v>2</v>
      </c>
      <c r="R517">
        <v>2</v>
      </c>
    </row>
    <row r="518" spans="1:18" x14ac:dyDescent="0.3">
      <c r="A518" t="s">
        <v>961</v>
      </c>
      <c r="B518" t="s">
        <v>962</v>
      </c>
      <c r="C518" t="s">
        <v>717</v>
      </c>
      <c r="D518" t="s">
        <v>222</v>
      </c>
      <c r="E518" t="s">
        <v>30</v>
      </c>
      <c r="F518" s="6">
        <v>45657</v>
      </c>
      <c r="G518">
        <v>2024</v>
      </c>
      <c r="H518" t="s">
        <v>57</v>
      </c>
      <c r="I518" t="s">
        <v>78</v>
      </c>
      <c r="J518">
        <v>90</v>
      </c>
      <c r="K518">
        <v>93.5</v>
      </c>
      <c r="L518">
        <v>1.038888888888889</v>
      </c>
      <c r="M518">
        <v>1.038888888888889</v>
      </c>
      <c r="N518" t="s">
        <v>256</v>
      </c>
      <c r="O518" t="s">
        <v>5582</v>
      </c>
      <c r="P518" t="s">
        <v>968</v>
      </c>
      <c r="Q518">
        <v>2</v>
      </c>
      <c r="R518">
        <v>2</v>
      </c>
    </row>
    <row r="519" spans="1:18" x14ac:dyDescent="0.3">
      <c r="A519" t="s">
        <v>961</v>
      </c>
      <c r="B519" t="s">
        <v>969</v>
      </c>
      <c r="C519" t="s">
        <v>717</v>
      </c>
      <c r="D519" t="s">
        <v>222</v>
      </c>
      <c r="E519" t="s">
        <v>30</v>
      </c>
      <c r="F519" s="6">
        <v>45838</v>
      </c>
      <c r="G519">
        <v>2025</v>
      </c>
      <c r="H519" t="s">
        <v>44</v>
      </c>
      <c r="I519" t="s">
        <v>244</v>
      </c>
      <c r="J519">
        <v>93</v>
      </c>
      <c r="K519">
        <v>96.21</v>
      </c>
      <c r="L519">
        <v>1.034516129032258</v>
      </c>
      <c r="M519">
        <v>1.034516129032258</v>
      </c>
      <c r="N519" t="s">
        <v>971</v>
      </c>
      <c r="O519" t="s">
        <v>972</v>
      </c>
      <c r="P519" t="s">
        <v>973</v>
      </c>
      <c r="Q519">
        <v>2</v>
      </c>
      <c r="R519">
        <v>2</v>
      </c>
    </row>
    <row r="520" spans="1:18" x14ac:dyDescent="0.3">
      <c r="A520" t="s">
        <v>961</v>
      </c>
      <c r="B520" t="s">
        <v>969</v>
      </c>
      <c r="C520" t="s">
        <v>717</v>
      </c>
      <c r="D520" t="s">
        <v>222</v>
      </c>
      <c r="E520" t="s">
        <v>30</v>
      </c>
      <c r="F520" s="6">
        <v>46022</v>
      </c>
      <c r="G520">
        <v>2025</v>
      </c>
      <c r="H520" t="s">
        <v>57</v>
      </c>
      <c r="I520" t="s">
        <v>103</v>
      </c>
      <c r="J520">
        <v>94</v>
      </c>
      <c r="K520">
        <v>95</v>
      </c>
      <c r="L520">
        <v>1.0106382978723401</v>
      </c>
      <c r="M520">
        <v>1.0106382978723401</v>
      </c>
      <c r="N520" t="s">
        <v>194</v>
      </c>
      <c r="O520" t="s">
        <v>838</v>
      </c>
      <c r="P520" t="s">
        <v>974</v>
      </c>
      <c r="Q520">
        <v>2</v>
      </c>
      <c r="R520">
        <v>2</v>
      </c>
    </row>
    <row r="521" spans="1:18" x14ac:dyDescent="0.3">
      <c r="A521" t="s">
        <v>975</v>
      </c>
      <c r="B521" t="s">
        <v>976</v>
      </c>
      <c r="C521" t="s">
        <v>717</v>
      </c>
      <c r="D521" t="s">
        <v>222</v>
      </c>
      <c r="E521" t="s">
        <v>30</v>
      </c>
      <c r="F521" s="6">
        <v>44742</v>
      </c>
      <c r="G521">
        <v>2022</v>
      </c>
      <c r="H521" t="s">
        <v>44</v>
      </c>
      <c r="I521" t="s">
        <v>88</v>
      </c>
      <c r="J521">
        <v>73</v>
      </c>
      <c r="K521">
        <v>83.26</v>
      </c>
      <c r="L521">
        <v>1.140547945205479</v>
      </c>
      <c r="M521">
        <v>1.140547945205479</v>
      </c>
      <c r="N521" t="s">
        <v>5583</v>
      </c>
      <c r="O521" t="s">
        <v>5584</v>
      </c>
      <c r="P521" t="s">
        <v>977</v>
      </c>
      <c r="Q521">
        <v>2</v>
      </c>
      <c r="R521">
        <v>2</v>
      </c>
    </row>
    <row r="522" spans="1:18" x14ac:dyDescent="0.3">
      <c r="A522" t="s">
        <v>975</v>
      </c>
      <c r="B522" t="s">
        <v>976</v>
      </c>
      <c r="C522" t="s">
        <v>717</v>
      </c>
      <c r="D522" t="s">
        <v>222</v>
      </c>
      <c r="E522" t="s">
        <v>30</v>
      </c>
      <c r="F522" s="6">
        <v>44926</v>
      </c>
      <c r="G522">
        <v>2022</v>
      </c>
      <c r="H522" t="s">
        <v>57</v>
      </c>
      <c r="I522" t="s">
        <v>90</v>
      </c>
      <c r="J522">
        <v>73</v>
      </c>
      <c r="K522">
        <v>83.11</v>
      </c>
      <c r="L522">
        <v>1.138493150684931</v>
      </c>
      <c r="M522">
        <v>1.138493150684931</v>
      </c>
      <c r="N522" t="s">
        <v>5583</v>
      </c>
      <c r="O522" t="s">
        <v>5585</v>
      </c>
      <c r="P522" t="s">
        <v>978</v>
      </c>
      <c r="Q522">
        <v>2</v>
      </c>
      <c r="R522">
        <v>2</v>
      </c>
    </row>
    <row r="523" spans="1:18" x14ac:dyDescent="0.3">
      <c r="A523" t="s">
        <v>975</v>
      </c>
      <c r="B523" t="s">
        <v>976</v>
      </c>
      <c r="C523" t="s">
        <v>717</v>
      </c>
      <c r="D523" t="s">
        <v>222</v>
      </c>
      <c r="E523" t="s">
        <v>30</v>
      </c>
      <c r="F523" s="6">
        <v>45107</v>
      </c>
      <c r="G523">
        <v>2023</v>
      </c>
      <c r="H523" t="s">
        <v>44</v>
      </c>
      <c r="I523" t="s">
        <v>33</v>
      </c>
      <c r="J523">
        <v>80</v>
      </c>
      <c r="K523">
        <v>79.180000000000007</v>
      </c>
      <c r="L523">
        <v>0.98975000000000013</v>
      </c>
      <c r="M523">
        <v>0.98975000000000013</v>
      </c>
      <c r="N523" t="s">
        <v>193</v>
      </c>
      <c r="O523" t="s">
        <v>5586</v>
      </c>
      <c r="P523" t="s">
        <v>979</v>
      </c>
      <c r="Q523">
        <v>2</v>
      </c>
      <c r="R523">
        <v>2</v>
      </c>
    </row>
    <row r="524" spans="1:18" x14ac:dyDescent="0.3">
      <c r="A524" t="s">
        <v>975</v>
      </c>
      <c r="B524" t="s">
        <v>976</v>
      </c>
      <c r="C524" t="s">
        <v>717</v>
      </c>
      <c r="D524" t="s">
        <v>222</v>
      </c>
      <c r="E524" t="s">
        <v>30</v>
      </c>
      <c r="F524" s="6">
        <v>45291</v>
      </c>
      <c r="G524">
        <v>2023</v>
      </c>
      <c r="H524" t="s">
        <v>57</v>
      </c>
      <c r="I524" t="s">
        <v>47</v>
      </c>
      <c r="J524">
        <v>80</v>
      </c>
      <c r="K524">
        <v>81.91</v>
      </c>
      <c r="L524">
        <v>1.0238750000000001</v>
      </c>
      <c r="M524">
        <v>1.0238750000000001</v>
      </c>
      <c r="N524" t="s">
        <v>193</v>
      </c>
      <c r="O524" t="s">
        <v>5587</v>
      </c>
      <c r="P524" t="s">
        <v>980</v>
      </c>
      <c r="Q524">
        <v>2</v>
      </c>
      <c r="R524">
        <v>2</v>
      </c>
    </row>
    <row r="525" spans="1:18" x14ac:dyDescent="0.3">
      <c r="A525" t="s">
        <v>975</v>
      </c>
      <c r="B525" t="s">
        <v>976</v>
      </c>
      <c r="C525" t="s">
        <v>717</v>
      </c>
      <c r="D525" t="s">
        <v>222</v>
      </c>
      <c r="E525" t="s">
        <v>30</v>
      </c>
      <c r="F525" s="6">
        <v>45473</v>
      </c>
      <c r="G525">
        <v>2024</v>
      </c>
      <c r="H525" t="s">
        <v>44</v>
      </c>
      <c r="I525" t="s">
        <v>71</v>
      </c>
      <c r="J525">
        <v>81</v>
      </c>
      <c r="K525">
        <v>83.01</v>
      </c>
      <c r="L525">
        <v>1.0248148148148151</v>
      </c>
      <c r="M525">
        <v>1.0248148148148151</v>
      </c>
      <c r="N525" t="s">
        <v>1054</v>
      </c>
      <c r="O525" t="s">
        <v>5439</v>
      </c>
      <c r="P525" t="s">
        <v>981</v>
      </c>
      <c r="Q525">
        <v>2</v>
      </c>
      <c r="R525">
        <v>2</v>
      </c>
    </row>
    <row r="526" spans="1:18" x14ac:dyDescent="0.3">
      <c r="A526" t="s">
        <v>975</v>
      </c>
      <c r="B526" t="s">
        <v>976</v>
      </c>
      <c r="C526" t="s">
        <v>717</v>
      </c>
      <c r="D526" t="s">
        <v>222</v>
      </c>
      <c r="E526" t="s">
        <v>30</v>
      </c>
      <c r="F526" s="6">
        <v>45657</v>
      </c>
      <c r="G526">
        <v>2024</v>
      </c>
      <c r="H526" t="s">
        <v>57</v>
      </c>
      <c r="I526" t="s">
        <v>78</v>
      </c>
      <c r="J526">
        <v>81</v>
      </c>
      <c r="K526">
        <v>89</v>
      </c>
      <c r="L526">
        <v>1.098765432098765</v>
      </c>
      <c r="M526">
        <v>1.098765432098765</v>
      </c>
      <c r="N526" t="s">
        <v>1054</v>
      </c>
      <c r="O526" t="s">
        <v>280</v>
      </c>
      <c r="P526" t="s">
        <v>982</v>
      </c>
      <c r="Q526">
        <v>2</v>
      </c>
      <c r="R526">
        <v>2</v>
      </c>
    </row>
    <row r="527" spans="1:18" x14ac:dyDescent="0.3">
      <c r="A527" t="s">
        <v>975</v>
      </c>
      <c r="B527" t="s">
        <v>976</v>
      </c>
      <c r="C527" t="s">
        <v>717</v>
      </c>
      <c r="D527" t="s">
        <v>222</v>
      </c>
      <c r="E527" t="s">
        <v>30</v>
      </c>
      <c r="F527" s="6">
        <v>45838</v>
      </c>
      <c r="G527">
        <v>2025</v>
      </c>
      <c r="H527" t="s">
        <v>44</v>
      </c>
      <c r="I527" t="s">
        <v>244</v>
      </c>
      <c r="J527">
        <v>80</v>
      </c>
      <c r="K527">
        <v>90</v>
      </c>
      <c r="L527">
        <v>1.125</v>
      </c>
      <c r="M527">
        <v>1.125</v>
      </c>
      <c r="N527" t="s">
        <v>193</v>
      </c>
      <c r="O527" t="s">
        <v>256</v>
      </c>
      <c r="P527" t="s">
        <v>983</v>
      </c>
      <c r="Q527">
        <v>2</v>
      </c>
      <c r="R527">
        <v>2</v>
      </c>
    </row>
    <row r="528" spans="1:18" x14ac:dyDescent="0.3">
      <c r="A528" t="s">
        <v>984</v>
      </c>
      <c r="B528" t="s">
        <v>985</v>
      </c>
      <c r="C528" t="s">
        <v>717</v>
      </c>
      <c r="D528" t="s">
        <v>222</v>
      </c>
      <c r="E528" t="s">
        <v>30</v>
      </c>
      <c r="F528" s="6">
        <v>44742</v>
      </c>
      <c r="G528">
        <v>2022</v>
      </c>
      <c r="H528" t="s">
        <v>44</v>
      </c>
      <c r="I528" t="s">
        <v>88</v>
      </c>
      <c r="J528">
        <v>25</v>
      </c>
      <c r="K528">
        <v>46.11</v>
      </c>
      <c r="L528">
        <v>1.3</v>
      </c>
      <c r="M528">
        <v>1.8444</v>
      </c>
      <c r="N528" t="s">
        <v>5588</v>
      </c>
      <c r="O528" t="s">
        <v>5589</v>
      </c>
      <c r="P528" t="s">
        <v>986</v>
      </c>
      <c r="Q528">
        <v>2</v>
      </c>
      <c r="R528">
        <v>2</v>
      </c>
    </row>
    <row r="529" spans="1:18" x14ac:dyDescent="0.3">
      <c r="A529" t="s">
        <v>984</v>
      </c>
      <c r="B529" t="s">
        <v>985</v>
      </c>
      <c r="C529" t="s">
        <v>717</v>
      </c>
      <c r="D529" t="s">
        <v>222</v>
      </c>
      <c r="E529" t="s">
        <v>30</v>
      </c>
      <c r="F529" s="6">
        <v>44926</v>
      </c>
      <c r="G529">
        <v>2022</v>
      </c>
      <c r="H529" t="s">
        <v>57</v>
      </c>
      <c r="I529" t="s">
        <v>90</v>
      </c>
      <c r="J529">
        <v>25</v>
      </c>
      <c r="K529">
        <v>43.56</v>
      </c>
      <c r="L529">
        <v>1.3</v>
      </c>
      <c r="M529">
        <v>1.7423999999999999</v>
      </c>
      <c r="N529" t="s">
        <v>5588</v>
      </c>
      <c r="O529" t="s">
        <v>5590</v>
      </c>
      <c r="P529" t="s">
        <v>987</v>
      </c>
      <c r="Q529">
        <v>2</v>
      </c>
      <c r="R529">
        <v>2</v>
      </c>
    </row>
    <row r="530" spans="1:18" x14ac:dyDescent="0.3">
      <c r="A530" t="s">
        <v>984</v>
      </c>
      <c r="B530" t="s">
        <v>985</v>
      </c>
      <c r="C530" t="s">
        <v>717</v>
      </c>
      <c r="D530" t="s">
        <v>222</v>
      </c>
      <c r="E530" t="s">
        <v>30</v>
      </c>
      <c r="F530" s="6">
        <v>45107</v>
      </c>
      <c r="G530">
        <v>2023</v>
      </c>
      <c r="H530" t="s">
        <v>44</v>
      </c>
      <c r="I530" t="s">
        <v>33</v>
      </c>
      <c r="J530">
        <v>50</v>
      </c>
      <c r="K530">
        <v>59.59</v>
      </c>
      <c r="L530">
        <v>1.1918</v>
      </c>
      <c r="M530">
        <v>1.1918</v>
      </c>
      <c r="N530" t="s">
        <v>4242</v>
      </c>
      <c r="O530" t="s">
        <v>5591</v>
      </c>
      <c r="P530" t="s">
        <v>988</v>
      </c>
      <c r="Q530">
        <v>2</v>
      </c>
      <c r="R530">
        <v>2</v>
      </c>
    </row>
    <row r="531" spans="1:18" x14ac:dyDescent="0.3">
      <c r="A531" t="s">
        <v>984</v>
      </c>
      <c r="B531" t="s">
        <v>985</v>
      </c>
      <c r="C531" t="s">
        <v>717</v>
      </c>
      <c r="D531" t="s">
        <v>222</v>
      </c>
      <c r="E531" t="s">
        <v>30</v>
      </c>
      <c r="F531" s="6">
        <v>45291</v>
      </c>
      <c r="G531">
        <v>2023</v>
      </c>
      <c r="H531" t="s">
        <v>57</v>
      </c>
      <c r="I531" t="s">
        <v>47</v>
      </c>
      <c r="J531">
        <v>42</v>
      </c>
      <c r="K531">
        <v>53.34</v>
      </c>
      <c r="L531">
        <v>1.27</v>
      </c>
      <c r="M531">
        <v>1.27</v>
      </c>
      <c r="N531" t="s">
        <v>1617</v>
      </c>
      <c r="O531" t="s">
        <v>5592</v>
      </c>
      <c r="P531" t="s">
        <v>989</v>
      </c>
      <c r="Q531">
        <v>2</v>
      </c>
      <c r="R531">
        <v>2</v>
      </c>
    </row>
    <row r="532" spans="1:18" x14ac:dyDescent="0.3">
      <c r="A532" t="s">
        <v>984</v>
      </c>
      <c r="B532" t="s">
        <v>985</v>
      </c>
      <c r="C532" t="s">
        <v>717</v>
      </c>
      <c r="D532" t="s">
        <v>222</v>
      </c>
      <c r="E532" t="s">
        <v>30</v>
      </c>
      <c r="F532" s="6">
        <v>45838</v>
      </c>
      <c r="G532">
        <v>2025</v>
      </c>
      <c r="H532" t="s">
        <v>44</v>
      </c>
      <c r="I532" t="s">
        <v>244</v>
      </c>
      <c r="J532">
        <v>50</v>
      </c>
      <c r="K532">
        <v>59.59</v>
      </c>
      <c r="L532">
        <v>1.1918</v>
      </c>
      <c r="M532">
        <v>1.1918</v>
      </c>
      <c r="N532" t="s">
        <v>4242</v>
      </c>
      <c r="O532" t="s">
        <v>5591</v>
      </c>
      <c r="P532" t="s">
        <v>990</v>
      </c>
      <c r="Q532">
        <v>2</v>
      </c>
      <c r="R532">
        <v>2</v>
      </c>
    </row>
    <row r="533" spans="1:18" x14ac:dyDescent="0.3">
      <c r="A533" t="s">
        <v>991</v>
      </c>
      <c r="B533" t="s">
        <v>992</v>
      </c>
      <c r="C533" t="s">
        <v>717</v>
      </c>
      <c r="D533" t="s">
        <v>222</v>
      </c>
      <c r="E533" t="s">
        <v>108</v>
      </c>
      <c r="F533" s="6">
        <v>45107</v>
      </c>
      <c r="G533">
        <v>2023</v>
      </c>
      <c r="H533" t="s">
        <v>44</v>
      </c>
      <c r="I533" t="s">
        <v>33</v>
      </c>
      <c r="J533">
        <v>37</v>
      </c>
      <c r="K533">
        <v>34.409999999999997</v>
      </c>
      <c r="L533">
        <v>1.075268817204301</v>
      </c>
      <c r="M533">
        <v>1.075268817204301</v>
      </c>
      <c r="N533" t="s">
        <v>5593</v>
      </c>
      <c r="O533" t="s">
        <v>5594</v>
      </c>
      <c r="P533" t="s">
        <v>993</v>
      </c>
      <c r="Q533">
        <v>2</v>
      </c>
      <c r="R533">
        <v>2</v>
      </c>
    </row>
    <row r="534" spans="1:18" x14ac:dyDescent="0.3">
      <c r="A534" t="s">
        <v>991</v>
      </c>
      <c r="B534" t="s">
        <v>992</v>
      </c>
      <c r="C534" t="s">
        <v>717</v>
      </c>
      <c r="D534" t="s">
        <v>222</v>
      </c>
      <c r="E534" t="s">
        <v>108</v>
      </c>
      <c r="F534" s="6">
        <v>45291</v>
      </c>
      <c r="G534">
        <v>2023</v>
      </c>
      <c r="H534" t="s">
        <v>57</v>
      </c>
      <c r="I534" t="s">
        <v>47</v>
      </c>
      <c r="J534">
        <v>37</v>
      </c>
      <c r="K534">
        <v>26.62</v>
      </c>
      <c r="L534">
        <v>1.3</v>
      </c>
      <c r="M534">
        <v>1.389932381667919</v>
      </c>
      <c r="N534" t="s">
        <v>5593</v>
      </c>
      <c r="O534" t="s">
        <v>5595</v>
      </c>
      <c r="P534" t="s">
        <v>994</v>
      </c>
      <c r="Q534">
        <v>2</v>
      </c>
      <c r="R534">
        <v>2</v>
      </c>
    </row>
    <row r="535" spans="1:18" x14ac:dyDescent="0.3">
      <c r="A535" t="s">
        <v>995</v>
      </c>
      <c r="B535" t="s">
        <v>996</v>
      </c>
      <c r="C535" t="s">
        <v>251</v>
      </c>
      <c r="D535" t="s">
        <v>233</v>
      </c>
      <c r="E535" t="s">
        <v>30</v>
      </c>
      <c r="F535" s="6">
        <v>45107</v>
      </c>
      <c r="G535">
        <v>2023</v>
      </c>
      <c r="H535" t="s">
        <v>44</v>
      </c>
      <c r="I535" t="s">
        <v>33</v>
      </c>
      <c r="J535">
        <v>90</v>
      </c>
      <c r="K535">
        <v>100</v>
      </c>
      <c r="L535">
        <v>1.1111111111111109</v>
      </c>
      <c r="M535">
        <v>1.1111111111111109</v>
      </c>
      <c r="N535" t="s">
        <v>256</v>
      </c>
      <c r="O535" t="s">
        <v>102</v>
      </c>
      <c r="P535" t="s">
        <v>998</v>
      </c>
      <c r="Q535">
        <v>2</v>
      </c>
      <c r="R535">
        <v>2</v>
      </c>
    </row>
    <row r="536" spans="1:18" x14ac:dyDescent="0.3">
      <c r="A536" t="s">
        <v>995</v>
      </c>
      <c r="B536" t="s">
        <v>996</v>
      </c>
      <c r="C536" t="s">
        <v>251</v>
      </c>
      <c r="D536" t="s">
        <v>233</v>
      </c>
      <c r="E536" t="s">
        <v>30</v>
      </c>
      <c r="F536" s="6">
        <v>45291</v>
      </c>
      <c r="G536">
        <v>2023</v>
      </c>
      <c r="H536" t="s">
        <v>57</v>
      </c>
      <c r="I536" t="s">
        <v>47</v>
      </c>
      <c r="J536">
        <v>90</v>
      </c>
      <c r="K536">
        <v>100</v>
      </c>
      <c r="L536">
        <v>1.1111111111111109</v>
      </c>
      <c r="M536">
        <v>1.1111111111111109</v>
      </c>
      <c r="N536" t="s">
        <v>256</v>
      </c>
      <c r="O536" t="s">
        <v>102</v>
      </c>
      <c r="P536" t="s">
        <v>1000</v>
      </c>
      <c r="Q536">
        <v>2</v>
      </c>
      <c r="R536">
        <v>2</v>
      </c>
    </row>
    <row r="537" spans="1:18" x14ac:dyDescent="0.3">
      <c r="A537" t="s">
        <v>995</v>
      </c>
      <c r="B537" t="s">
        <v>996</v>
      </c>
      <c r="C537" t="s">
        <v>251</v>
      </c>
      <c r="D537" t="s">
        <v>233</v>
      </c>
      <c r="E537" t="s">
        <v>30</v>
      </c>
      <c r="F537" s="6">
        <v>45473</v>
      </c>
      <c r="G537">
        <v>2024</v>
      </c>
      <c r="H537" t="s">
        <v>44</v>
      </c>
      <c r="I537" t="s">
        <v>71</v>
      </c>
      <c r="J537">
        <v>95</v>
      </c>
      <c r="K537">
        <v>100</v>
      </c>
      <c r="L537">
        <v>1.0526315789473679</v>
      </c>
      <c r="M537">
        <v>1.0526315789473679</v>
      </c>
      <c r="N537" t="s">
        <v>838</v>
      </c>
      <c r="O537" t="s">
        <v>102</v>
      </c>
      <c r="P537" t="s">
        <v>1002</v>
      </c>
      <c r="Q537">
        <v>2</v>
      </c>
      <c r="R537">
        <v>2</v>
      </c>
    </row>
    <row r="538" spans="1:18" x14ac:dyDescent="0.3">
      <c r="A538" t="s">
        <v>995</v>
      </c>
      <c r="B538" t="s">
        <v>996</v>
      </c>
      <c r="C538" t="s">
        <v>251</v>
      </c>
      <c r="D538" t="s">
        <v>233</v>
      </c>
      <c r="E538" t="s">
        <v>30</v>
      </c>
      <c r="F538" s="6">
        <v>45657</v>
      </c>
      <c r="G538">
        <v>2024</v>
      </c>
      <c r="H538" t="s">
        <v>57</v>
      </c>
      <c r="I538" t="s">
        <v>78</v>
      </c>
      <c r="J538">
        <v>95</v>
      </c>
      <c r="K538">
        <v>100</v>
      </c>
      <c r="L538">
        <v>1.0526315789473679</v>
      </c>
      <c r="M538">
        <v>1.0526315789473679</v>
      </c>
      <c r="N538" t="s">
        <v>838</v>
      </c>
      <c r="O538" t="s">
        <v>102</v>
      </c>
      <c r="P538" t="s">
        <v>1004</v>
      </c>
      <c r="Q538">
        <v>2</v>
      </c>
      <c r="R538">
        <v>2</v>
      </c>
    </row>
    <row r="539" spans="1:18" x14ac:dyDescent="0.3">
      <c r="A539" t="s">
        <v>995</v>
      </c>
      <c r="B539" t="s">
        <v>996</v>
      </c>
      <c r="C539" t="s">
        <v>251</v>
      </c>
      <c r="D539" t="s">
        <v>233</v>
      </c>
      <c r="E539" t="s">
        <v>30</v>
      </c>
      <c r="F539" s="6">
        <v>45838</v>
      </c>
      <c r="G539">
        <v>2025</v>
      </c>
      <c r="H539" t="s">
        <v>44</v>
      </c>
      <c r="I539" t="s">
        <v>244</v>
      </c>
      <c r="J539">
        <v>97</v>
      </c>
      <c r="K539">
        <v>98.215000000000003</v>
      </c>
      <c r="L539">
        <v>1.0125257731958761</v>
      </c>
      <c r="M539">
        <v>1.0125257731958761</v>
      </c>
      <c r="N539" t="s">
        <v>1005</v>
      </c>
      <c r="O539" t="s">
        <v>2890</v>
      </c>
      <c r="P539" t="s">
        <v>1009</v>
      </c>
      <c r="Q539">
        <v>2</v>
      </c>
      <c r="R539">
        <v>2</v>
      </c>
    </row>
    <row r="540" spans="1:18" x14ac:dyDescent="0.3">
      <c r="A540" t="s">
        <v>995</v>
      </c>
      <c r="B540" t="s">
        <v>996</v>
      </c>
      <c r="C540" t="s">
        <v>251</v>
      </c>
      <c r="D540" t="s">
        <v>233</v>
      </c>
      <c r="E540" t="s">
        <v>30</v>
      </c>
      <c r="F540" s="6">
        <v>46022</v>
      </c>
      <c r="G540">
        <v>2025</v>
      </c>
      <c r="H540" t="s">
        <v>57</v>
      </c>
      <c r="I540" t="s">
        <v>103</v>
      </c>
      <c r="J540">
        <v>97</v>
      </c>
      <c r="K540">
        <v>100</v>
      </c>
      <c r="L540">
        <v>1.0309278350515461</v>
      </c>
      <c r="M540">
        <v>1.0309278350515461</v>
      </c>
      <c r="N540" t="s">
        <v>1005</v>
      </c>
      <c r="O540" t="s">
        <v>102</v>
      </c>
      <c r="P540" t="s">
        <v>1010</v>
      </c>
      <c r="Q540">
        <v>2</v>
      </c>
      <c r="R540">
        <v>2</v>
      </c>
    </row>
    <row r="541" spans="1:18" x14ac:dyDescent="0.3">
      <c r="A541" t="s">
        <v>1011</v>
      </c>
      <c r="B541" t="s">
        <v>1012</v>
      </c>
      <c r="C541" t="s">
        <v>262</v>
      </c>
      <c r="D541" t="s">
        <v>222</v>
      </c>
      <c r="E541" t="s">
        <v>30</v>
      </c>
      <c r="F541" s="6">
        <v>45107</v>
      </c>
      <c r="G541">
        <v>2023</v>
      </c>
      <c r="H541" t="s">
        <v>44</v>
      </c>
      <c r="I541" t="s">
        <v>33</v>
      </c>
      <c r="J541">
        <v>70</v>
      </c>
      <c r="K541">
        <v>87.67</v>
      </c>
      <c r="L541">
        <v>1.252428571428571</v>
      </c>
      <c r="M541">
        <v>1.252428571428571</v>
      </c>
      <c r="N541" t="s">
        <v>3922</v>
      </c>
      <c r="O541" t="s">
        <v>5596</v>
      </c>
      <c r="P541" t="s">
        <v>1013</v>
      </c>
      <c r="Q541">
        <v>2</v>
      </c>
      <c r="R541">
        <v>2</v>
      </c>
    </row>
    <row r="542" spans="1:18" x14ac:dyDescent="0.3">
      <c r="A542" t="s">
        <v>1011</v>
      </c>
      <c r="B542" t="s">
        <v>1012</v>
      </c>
      <c r="C542" t="s">
        <v>262</v>
      </c>
      <c r="D542" t="s">
        <v>222</v>
      </c>
      <c r="E542" t="s">
        <v>30</v>
      </c>
      <c r="F542" s="6">
        <v>45291</v>
      </c>
      <c r="G542">
        <v>2023</v>
      </c>
      <c r="H542" t="s">
        <v>57</v>
      </c>
      <c r="I542" t="s">
        <v>47</v>
      </c>
      <c r="J542">
        <v>70</v>
      </c>
      <c r="K542">
        <v>87.67</v>
      </c>
      <c r="L542">
        <v>1.252428571428571</v>
      </c>
      <c r="M542">
        <v>1.252428571428571</v>
      </c>
      <c r="N542" t="s">
        <v>3922</v>
      </c>
      <c r="O542" t="s">
        <v>5596</v>
      </c>
      <c r="P542" t="s">
        <v>1014</v>
      </c>
      <c r="Q542">
        <v>2</v>
      </c>
      <c r="R542">
        <v>2</v>
      </c>
    </row>
    <row r="543" spans="1:18" x14ac:dyDescent="0.3">
      <c r="A543" t="s">
        <v>1011</v>
      </c>
      <c r="B543" t="s">
        <v>1012</v>
      </c>
      <c r="C543" t="s">
        <v>262</v>
      </c>
      <c r="D543" t="s">
        <v>222</v>
      </c>
      <c r="E543" t="s">
        <v>30</v>
      </c>
      <c r="F543" s="6">
        <v>45473</v>
      </c>
      <c r="G543">
        <v>2024</v>
      </c>
      <c r="H543" t="s">
        <v>44</v>
      </c>
      <c r="I543" t="s">
        <v>71</v>
      </c>
      <c r="J543">
        <v>80</v>
      </c>
      <c r="K543">
        <v>92.19</v>
      </c>
      <c r="L543">
        <v>1.1523749999999999</v>
      </c>
      <c r="M543">
        <v>1.1523749999999999</v>
      </c>
      <c r="N543" t="s">
        <v>193</v>
      </c>
      <c r="O543" t="s">
        <v>5437</v>
      </c>
      <c r="P543" t="s">
        <v>1015</v>
      </c>
      <c r="Q543">
        <v>2</v>
      </c>
      <c r="R543">
        <v>2</v>
      </c>
    </row>
    <row r="544" spans="1:18" x14ac:dyDescent="0.3">
      <c r="A544" t="s">
        <v>1011</v>
      </c>
      <c r="B544" t="s">
        <v>1012</v>
      </c>
      <c r="C544" t="s">
        <v>262</v>
      </c>
      <c r="D544" t="s">
        <v>222</v>
      </c>
      <c r="E544" t="s">
        <v>30</v>
      </c>
      <c r="F544" s="6">
        <v>45657</v>
      </c>
      <c r="G544">
        <v>2024</v>
      </c>
      <c r="H544" t="s">
        <v>57</v>
      </c>
      <c r="I544" t="s">
        <v>78</v>
      </c>
      <c r="J544">
        <v>80</v>
      </c>
      <c r="K544">
        <v>92.81</v>
      </c>
      <c r="L544">
        <v>1.1601250000000001</v>
      </c>
      <c r="M544">
        <v>1.1601250000000001</v>
      </c>
      <c r="N544" t="s">
        <v>193</v>
      </c>
      <c r="O544" t="s">
        <v>5597</v>
      </c>
      <c r="P544" t="s">
        <v>1016</v>
      </c>
      <c r="Q544">
        <v>2</v>
      </c>
      <c r="R544">
        <v>2</v>
      </c>
    </row>
    <row r="545" spans="1:18" x14ac:dyDescent="0.3">
      <c r="A545" t="s">
        <v>1011</v>
      </c>
      <c r="B545" t="s">
        <v>1012</v>
      </c>
      <c r="C545" t="s">
        <v>262</v>
      </c>
      <c r="D545" t="s">
        <v>222</v>
      </c>
      <c r="E545" t="s">
        <v>30</v>
      </c>
      <c r="F545" s="6">
        <v>45838</v>
      </c>
      <c r="G545">
        <v>2025</v>
      </c>
      <c r="H545" t="s">
        <v>44</v>
      </c>
      <c r="I545" t="s">
        <v>244</v>
      </c>
      <c r="J545">
        <v>80</v>
      </c>
      <c r="K545">
        <v>92.1</v>
      </c>
      <c r="L545">
        <v>1.1512500000000001</v>
      </c>
      <c r="M545">
        <v>1.1512500000000001</v>
      </c>
      <c r="N545" t="s">
        <v>193</v>
      </c>
      <c r="O545" t="s">
        <v>1018</v>
      </c>
      <c r="P545" t="s">
        <v>1019</v>
      </c>
      <c r="Q545">
        <v>2</v>
      </c>
      <c r="R545">
        <v>2</v>
      </c>
    </row>
    <row r="546" spans="1:18" x14ac:dyDescent="0.3">
      <c r="A546" t="s">
        <v>1011</v>
      </c>
      <c r="B546" t="s">
        <v>1012</v>
      </c>
      <c r="C546" t="s">
        <v>262</v>
      </c>
      <c r="D546" t="s">
        <v>222</v>
      </c>
      <c r="E546" t="s">
        <v>30</v>
      </c>
      <c r="F546" s="6">
        <v>46022</v>
      </c>
      <c r="G546">
        <v>2025</v>
      </c>
      <c r="H546" t="s">
        <v>57</v>
      </c>
      <c r="I546" t="s">
        <v>103</v>
      </c>
      <c r="J546">
        <v>80</v>
      </c>
      <c r="K546">
        <v>92.89</v>
      </c>
      <c r="L546">
        <v>1.161125</v>
      </c>
      <c r="M546">
        <v>1.161125</v>
      </c>
      <c r="N546" t="s">
        <v>193</v>
      </c>
      <c r="O546" t="s">
        <v>1021</v>
      </c>
      <c r="P546" t="s">
        <v>1022</v>
      </c>
      <c r="Q546">
        <v>2</v>
      </c>
      <c r="R546">
        <v>2</v>
      </c>
    </row>
    <row r="547" spans="1:18" x14ac:dyDescent="0.3">
      <c r="A547" t="s">
        <v>1023</v>
      </c>
      <c r="B547" t="s">
        <v>1024</v>
      </c>
      <c r="C547" t="s">
        <v>262</v>
      </c>
      <c r="D547" t="s">
        <v>29</v>
      </c>
      <c r="E547" t="s">
        <v>30</v>
      </c>
      <c r="F547" s="6">
        <v>44742</v>
      </c>
      <c r="G547">
        <v>2022</v>
      </c>
      <c r="H547" t="s">
        <v>44</v>
      </c>
      <c r="I547" t="s">
        <v>88</v>
      </c>
      <c r="J547">
        <v>33</v>
      </c>
      <c r="K547">
        <v>33</v>
      </c>
      <c r="L547">
        <v>1</v>
      </c>
      <c r="M547">
        <v>1</v>
      </c>
      <c r="N547" t="s">
        <v>1613</v>
      </c>
      <c r="O547" t="s">
        <v>1613</v>
      </c>
      <c r="P547" t="s">
        <v>1025</v>
      </c>
      <c r="Q547">
        <v>2</v>
      </c>
      <c r="R547">
        <v>2</v>
      </c>
    </row>
    <row r="548" spans="1:18" x14ac:dyDescent="0.3">
      <c r="A548" t="s">
        <v>1023</v>
      </c>
      <c r="B548" t="s">
        <v>1024</v>
      </c>
      <c r="C548" t="s">
        <v>262</v>
      </c>
      <c r="D548" t="s">
        <v>29</v>
      </c>
      <c r="E548" t="s">
        <v>30</v>
      </c>
      <c r="F548" s="6">
        <v>44926</v>
      </c>
      <c r="G548">
        <v>2022</v>
      </c>
      <c r="H548" t="s">
        <v>57</v>
      </c>
      <c r="I548" t="s">
        <v>90</v>
      </c>
      <c r="J548">
        <v>66</v>
      </c>
      <c r="K548">
        <v>69</v>
      </c>
      <c r="L548">
        <v>1.045454545454545</v>
      </c>
      <c r="M548">
        <v>1.045454545454545</v>
      </c>
      <c r="N548" t="s">
        <v>5598</v>
      </c>
      <c r="O548" t="s">
        <v>5599</v>
      </c>
      <c r="P548" t="s">
        <v>1026</v>
      </c>
      <c r="Q548">
        <v>2</v>
      </c>
      <c r="R548">
        <v>2</v>
      </c>
    </row>
    <row r="549" spans="1:18" x14ac:dyDescent="0.3">
      <c r="A549" t="s">
        <v>1023</v>
      </c>
      <c r="B549" t="s">
        <v>1024</v>
      </c>
      <c r="C549" t="s">
        <v>262</v>
      </c>
      <c r="D549" t="s">
        <v>29</v>
      </c>
      <c r="E549" t="s">
        <v>30</v>
      </c>
      <c r="F549" s="6">
        <v>45107</v>
      </c>
      <c r="G549">
        <v>2023</v>
      </c>
      <c r="H549" t="s">
        <v>44</v>
      </c>
      <c r="I549" t="s">
        <v>33</v>
      </c>
      <c r="J549">
        <v>88.333333333333329</v>
      </c>
      <c r="K549">
        <v>87.166666666666671</v>
      </c>
      <c r="L549">
        <v>0.98679245283018879</v>
      </c>
      <c r="M549">
        <v>0.98679245283018879</v>
      </c>
      <c r="N549" t="s">
        <v>5600</v>
      </c>
      <c r="O549" t="s">
        <v>5601</v>
      </c>
      <c r="P549" t="s">
        <v>1032</v>
      </c>
      <c r="Q549">
        <v>2</v>
      </c>
      <c r="R549">
        <v>2</v>
      </c>
    </row>
    <row r="550" spans="1:18" x14ac:dyDescent="0.3">
      <c r="A550" t="s">
        <v>1023</v>
      </c>
      <c r="B550" t="s">
        <v>1024</v>
      </c>
      <c r="C550" t="s">
        <v>262</v>
      </c>
      <c r="D550" t="s">
        <v>29</v>
      </c>
      <c r="E550" t="s">
        <v>30</v>
      </c>
      <c r="F550" s="6">
        <v>45291</v>
      </c>
      <c r="G550">
        <v>2023</v>
      </c>
      <c r="H550" t="s">
        <v>57</v>
      </c>
      <c r="I550" t="s">
        <v>47</v>
      </c>
      <c r="J550">
        <v>100</v>
      </c>
      <c r="K550">
        <v>98.833333333333329</v>
      </c>
      <c r="L550">
        <v>0.98833333333333329</v>
      </c>
      <c r="M550">
        <v>0.98833333333333329</v>
      </c>
      <c r="N550" t="s">
        <v>102</v>
      </c>
      <c r="O550" t="s">
        <v>5339</v>
      </c>
      <c r="P550" t="s">
        <v>1038</v>
      </c>
      <c r="Q550">
        <v>2</v>
      </c>
      <c r="R550">
        <v>2</v>
      </c>
    </row>
    <row r="551" spans="1:18" x14ac:dyDescent="0.3">
      <c r="A551" t="s">
        <v>1039</v>
      </c>
      <c r="B551" t="s">
        <v>1040</v>
      </c>
      <c r="C551" t="s">
        <v>262</v>
      </c>
      <c r="D551" t="s">
        <v>98</v>
      </c>
      <c r="E551" t="s">
        <v>30</v>
      </c>
      <c r="F551" s="6">
        <v>45291</v>
      </c>
      <c r="G551">
        <v>2023</v>
      </c>
      <c r="H551" t="s">
        <v>57</v>
      </c>
      <c r="I551" t="s">
        <v>47</v>
      </c>
      <c r="K551">
        <v>90</v>
      </c>
      <c r="L551">
        <v>0</v>
      </c>
      <c r="M551">
        <v>0</v>
      </c>
      <c r="O551" t="s">
        <v>256</v>
      </c>
      <c r="P551" t="s">
        <v>1042</v>
      </c>
      <c r="Q551">
        <v>2</v>
      </c>
      <c r="R551">
        <v>2</v>
      </c>
    </row>
    <row r="552" spans="1:18" x14ac:dyDescent="0.3">
      <c r="A552" t="s">
        <v>1039</v>
      </c>
      <c r="B552" t="s">
        <v>1040</v>
      </c>
      <c r="C552" t="s">
        <v>262</v>
      </c>
      <c r="D552" t="s">
        <v>98</v>
      </c>
      <c r="E552" t="s">
        <v>30</v>
      </c>
      <c r="F552" s="6">
        <v>45657</v>
      </c>
      <c r="G552">
        <v>2024</v>
      </c>
      <c r="H552" t="s">
        <v>57</v>
      </c>
      <c r="I552" t="s">
        <v>78</v>
      </c>
      <c r="J552">
        <v>80</v>
      </c>
      <c r="K552">
        <v>87.4</v>
      </c>
      <c r="L552">
        <v>1.0925</v>
      </c>
      <c r="M552">
        <v>1.0925</v>
      </c>
      <c r="N552" t="s">
        <v>193</v>
      </c>
      <c r="O552" t="s">
        <v>5602</v>
      </c>
      <c r="P552" t="s">
        <v>1043</v>
      </c>
      <c r="Q552">
        <v>2</v>
      </c>
      <c r="R552">
        <v>2</v>
      </c>
    </row>
    <row r="553" spans="1:18" x14ac:dyDescent="0.3">
      <c r="A553" t="s">
        <v>1039</v>
      </c>
      <c r="B553" t="s">
        <v>1040</v>
      </c>
      <c r="C553" t="s">
        <v>262</v>
      </c>
      <c r="D553" t="s">
        <v>98</v>
      </c>
      <c r="E553" t="s">
        <v>30</v>
      </c>
      <c r="F553" s="6">
        <v>46022</v>
      </c>
      <c r="G553">
        <v>2025</v>
      </c>
      <c r="H553" t="s">
        <v>57</v>
      </c>
      <c r="I553" t="s">
        <v>103</v>
      </c>
      <c r="J553">
        <v>87</v>
      </c>
      <c r="K553">
        <v>90.85</v>
      </c>
      <c r="L553">
        <v>1.0442528735632179</v>
      </c>
      <c r="M553">
        <v>1.0442528735632179</v>
      </c>
      <c r="N553" t="s">
        <v>1045</v>
      </c>
      <c r="O553" t="s">
        <v>1046</v>
      </c>
      <c r="P553" t="s">
        <v>1047</v>
      </c>
      <c r="Q553">
        <v>2</v>
      </c>
      <c r="R553">
        <v>2</v>
      </c>
    </row>
    <row r="554" spans="1:18" x14ac:dyDescent="0.3">
      <c r="A554" t="s">
        <v>1048</v>
      </c>
      <c r="B554" t="s">
        <v>1049</v>
      </c>
      <c r="C554" t="s">
        <v>262</v>
      </c>
      <c r="D554" t="s">
        <v>98</v>
      </c>
      <c r="E554" t="s">
        <v>30</v>
      </c>
      <c r="F554" s="6">
        <v>45291</v>
      </c>
      <c r="G554">
        <v>2023</v>
      </c>
      <c r="H554" t="s">
        <v>57</v>
      </c>
      <c r="I554" t="s">
        <v>47</v>
      </c>
      <c r="J554">
        <v>66</v>
      </c>
      <c r="K554">
        <v>64.7</v>
      </c>
      <c r="L554">
        <v>0.98030303030303034</v>
      </c>
      <c r="M554">
        <v>0.98030303030303034</v>
      </c>
      <c r="N554" t="s">
        <v>5598</v>
      </c>
      <c r="O554" t="s">
        <v>5603</v>
      </c>
      <c r="P554" t="s">
        <v>1050</v>
      </c>
      <c r="Q554">
        <v>2</v>
      </c>
      <c r="R554">
        <v>2</v>
      </c>
    </row>
    <row r="555" spans="1:18" x14ac:dyDescent="0.3">
      <c r="A555" t="s">
        <v>1048</v>
      </c>
      <c r="B555" t="s">
        <v>1049</v>
      </c>
      <c r="C555" t="s">
        <v>262</v>
      </c>
      <c r="D555" t="s">
        <v>98</v>
      </c>
      <c r="E555" t="s">
        <v>30</v>
      </c>
      <c r="F555" s="6">
        <v>45657</v>
      </c>
      <c r="G555">
        <v>2024</v>
      </c>
      <c r="H555" t="s">
        <v>57</v>
      </c>
      <c r="I555" t="s">
        <v>78</v>
      </c>
      <c r="J555">
        <v>0</v>
      </c>
      <c r="L555">
        <v>0</v>
      </c>
      <c r="M555">
        <v>0</v>
      </c>
      <c r="N555" t="s">
        <v>122</v>
      </c>
      <c r="P555" t="s">
        <v>1051</v>
      </c>
      <c r="Q555">
        <v>2</v>
      </c>
      <c r="R555">
        <v>2</v>
      </c>
    </row>
    <row r="556" spans="1:18" x14ac:dyDescent="0.3">
      <c r="A556" t="s">
        <v>1048</v>
      </c>
      <c r="B556" t="s">
        <v>1049</v>
      </c>
      <c r="C556" t="s">
        <v>262</v>
      </c>
      <c r="D556" t="s">
        <v>98</v>
      </c>
      <c r="E556" t="s">
        <v>30</v>
      </c>
      <c r="F556" s="6">
        <v>46022</v>
      </c>
      <c r="G556">
        <v>2025</v>
      </c>
      <c r="H556" t="s">
        <v>57</v>
      </c>
      <c r="I556" t="s">
        <v>103</v>
      </c>
      <c r="J556">
        <v>68.7</v>
      </c>
      <c r="K556">
        <v>81</v>
      </c>
      <c r="L556">
        <v>1.179039301310044</v>
      </c>
      <c r="M556">
        <v>1.179039301310044</v>
      </c>
      <c r="N556" t="s">
        <v>1053</v>
      </c>
      <c r="O556" t="s">
        <v>1054</v>
      </c>
      <c r="P556" t="s">
        <v>1055</v>
      </c>
      <c r="Q556">
        <v>2</v>
      </c>
      <c r="R556">
        <v>2</v>
      </c>
    </row>
    <row r="557" spans="1:18" x14ac:dyDescent="0.3">
      <c r="A557" t="s">
        <v>1056</v>
      </c>
      <c r="B557" t="s">
        <v>1057</v>
      </c>
      <c r="C557" t="s">
        <v>225</v>
      </c>
      <c r="D557" t="s">
        <v>222</v>
      </c>
      <c r="E557" t="s">
        <v>30</v>
      </c>
      <c r="F557" s="6">
        <v>44742</v>
      </c>
      <c r="G557">
        <v>2022</v>
      </c>
      <c r="H557" t="s">
        <v>44</v>
      </c>
      <c r="I557" t="s">
        <v>88</v>
      </c>
      <c r="J557">
        <v>113672</v>
      </c>
      <c r="K557">
        <v>119144</v>
      </c>
      <c r="L557">
        <v>1.0481385037652191</v>
      </c>
      <c r="M557">
        <v>1.0481385037652191</v>
      </c>
      <c r="N557" t="s">
        <v>5604</v>
      </c>
      <c r="O557" t="s">
        <v>5605</v>
      </c>
      <c r="P557" t="s">
        <v>1058</v>
      </c>
      <c r="Q557">
        <v>2</v>
      </c>
      <c r="R557">
        <v>2</v>
      </c>
    </row>
    <row r="558" spans="1:18" x14ac:dyDescent="0.3">
      <c r="A558" t="s">
        <v>1056</v>
      </c>
      <c r="B558" t="s">
        <v>1057</v>
      </c>
      <c r="C558" t="s">
        <v>225</v>
      </c>
      <c r="D558" t="s">
        <v>222</v>
      </c>
      <c r="E558" t="s">
        <v>30</v>
      </c>
      <c r="F558" s="6">
        <v>44926</v>
      </c>
      <c r="G558">
        <v>2022</v>
      </c>
      <c r="H558" t="s">
        <v>57</v>
      </c>
      <c r="I558" t="s">
        <v>90</v>
      </c>
      <c r="J558">
        <v>224440</v>
      </c>
      <c r="K558">
        <v>240882</v>
      </c>
      <c r="L558">
        <v>1.0732578862947779</v>
      </c>
      <c r="M558">
        <v>1.0732578862947779</v>
      </c>
      <c r="N558" t="s">
        <v>5606</v>
      </c>
      <c r="O558" t="s">
        <v>5607</v>
      </c>
      <c r="P558" t="s">
        <v>1059</v>
      </c>
      <c r="Q558">
        <v>2</v>
      </c>
      <c r="R558">
        <v>2</v>
      </c>
    </row>
    <row r="559" spans="1:18" x14ac:dyDescent="0.3">
      <c r="A559" t="s">
        <v>1056</v>
      </c>
      <c r="B559" t="s">
        <v>1057</v>
      </c>
      <c r="C559" t="s">
        <v>225</v>
      </c>
      <c r="D559" t="s">
        <v>222</v>
      </c>
      <c r="E559" t="s">
        <v>30</v>
      </c>
      <c r="F559" s="6">
        <v>45107</v>
      </c>
      <c r="G559">
        <v>2023</v>
      </c>
      <c r="H559" t="s">
        <v>44</v>
      </c>
      <c r="I559" t="s">
        <v>33</v>
      </c>
      <c r="J559">
        <v>123465.69985999999</v>
      </c>
      <c r="K559">
        <v>129185.069909</v>
      </c>
      <c r="L559">
        <v>1.046323554278519</v>
      </c>
      <c r="M559">
        <v>1.046323554278519</v>
      </c>
      <c r="N559" t="s">
        <v>5608</v>
      </c>
      <c r="O559" t="s">
        <v>5609</v>
      </c>
      <c r="P559" t="s">
        <v>1060</v>
      </c>
      <c r="Q559">
        <v>2</v>
      </c>
      <c r="R559">
        <v>2</v>
      </c>
    </row>
    <row r="560" spans="1:18" x14ac:dyDescent="0.3">
      <c r="A560" t="s">
        <v>1056</v>
      </c>
      <c r="B560" t="s">
        <v>1057</v>
      </c>
      <c r="C560" t="s">
        <v>225</v>
      </c>
      <c r="D560" t="s">
        <v>222</v>
      </c>
      <c r="E560" t="s">
        <v>30</v>
      </c>
      <c r="F560" s="6">
        <v>45291</v>
      </c>
      <c r="G560">
        <v>2023</v>
      </c>
      <c r="H560" t="s">
        <v>57</v>
      </c>
      <c r="I560" t="s">
        <v>47</v>
      </c>
      <c r="J560">
        <v>264844.43927600002</v>
      </c>
      <c r="K560">
        <v>273867.05092800001</v>
      </c>
      <c r="L560">
        <v>1.0340675895505489</v>
      </c>
      <c r="M560">
        <v>1.0340675895505489</v>
      </c>
      <c r="N560" t="s">
        <v>5610</v>
      </c>
      <c r="O560" t="s">
        <v>5611</v>
      </c>
      <c r="P560" t="s">
        <v>1061</v>
      </c>
      <c r="Q560">
        <v>2</v>
      </c>
      <c r="R560">
        <v>2</v>
      </c>
    </row>
    <row r="561" spans="1:18" x14ac:dyDescent="0.3">
      <c r="A561" t="s">
        <v>1056</v>
      </c>
      <c r="B561" t="s">
        <v>1057</v>
      </c>
      <c r="C561" t="s">
        <v>225</v>
      </c>
      <c r="D561" t="s">
        <v>222</v>
      </c>
      <c r="E561" t="s">
        <v>30</v>
      </c>
      <c r="F561" s="6">
        <v>45473</v>
      </c>
      <c r="G561">
        <v>2024</v>
      </c>
      <c r="H561" t="s">
        <v>44</v>
      </c>
      <c r="I561" t="s">
        <v>71</v>
      </c>
      <c r="J561">
        <v>142872.25833300001</v>
      </c>
      <c r="K561">
        <v>145741.716934</v>
      </c>
      <c r="L561">
        <v>1.0200840851434709</v>
      </c>
      <c r="M561">
        <v>1.0200840851434709</v>
      </c>
      <c r="N561" t="s">
        <v>5612</v>
      </c>
      <c r="O561" t="s">
        <v>5613</v>
      </c>
      <c r="P561" t="s">
        <v>1062</v>
      </c>
      <c r="Q561">
        <v>2</v>
      </c>
      <c r="R561">
        <v>2</v>
      </c>
    </row>
    <row r="562" spans="1:18" x14ac:dyDescent="0.3">
      <c r="A562" t="s">
        <v>1056</v>
      </c>
      <c r="B562" t="s">
        <v>1057</v>
      </c>
      <c r="C562" t="s">
        <v>225</v>
      </c>
      <c r="D562" t="s">
        <v>222</v>
      </c>
      <c r="E562" t="s">
        <v>30</v>
      </c>
      <c r="F562" s="6">
        <v>45657</v>
      </c>
      <c r="G562">
        <v>2024</v>
      </c>
      <c r="H562" t="s">
        <v>57</v>
      </c>
      <c r="I562" t="s">
        <v>78</v>
      </c>
      <c r="J562">
        <v>289638.45267000003</v>
      </c>
      <c r="K562">
        <v>297867.12192900002</v>
      </c>
      <c r="L562">
        <v>1.028410140929648</v>
      </c>
      <c r="M562">
        <v>1.028410140929648</v>
      </c>
      <c r="N562" t="s">
        <v>5614</v>
      </c>
      <c r="O562" t="s">
        <v>5615</v>
      </c>
      <c r="P562" t="s">
        <v>1063</v>
      </c>
      <c r="Q562">
        <v>2</v>
      </c>
      <c r="R562">
        <v>2</v>
      </c>
    </row>
    <row r="563" spans="1:18" x14ac:dyDescent="0.3">
      <c r="A563" t="s">
        <v>1056</v>
      </c>
      <c r="B563" t="s">
        <v>1057</v>
      </c>
      <c r="C563" t="s">
        <v>225</v>
      </c>
      <c r="D563" t="s">
        <v>222</v>
      </c>
      <c r="E563" t="s">
        <v>30</v>
      </c>
      <c r="F563" s="6">
        <v>45838</v>
      </c>
      <c r="G563">
        <v>2025</v>
      </c>
      <c r="H563" t="s">
        <v>44</v>
      </c>
      <c r="I563" t="s">
        <v>244</v>
      </c>
      <c r="J563">
        <v>95</v>
      </c>
      <c r="K563">
        <v>111.77</v>
      </c>
      <c r="L563">
        <v>1.1765263157894741</v>
      </c>
      <c r="M563">
        <v>1.1765263157894741</v>
      </c>
      <c r="N563" t="s">
        <v>838</v>
      </c>
      <c r="O563" t="s">
        <v>1065</v>
      </c>
      <c r="P563" t="s">
        <v>1066</v>
      </c>
      <c r="Q563">
        <v>2</v>
      </c>
      <c r="R563">
        <v>2</v>
      </c>
    </row>
    <row r="564" spans="1:18" x14ac:dyDescent="0.3">
      <c r="A564" t="s">
        <v>1056</v>
      </c>
      <c r="B564" t="s">
        <v>1057</v>
      </c>
      <c r="C564" t="s">
        <v>225</v>
      </c>
      <c r="D564" t="s">
        <v>222</v>
      </c>
      <c r="E564" t="s">
        <v>30</v>
      </c>
      <c r="F564" s="6">
        <v>46022</v>
      </c>
      <c r="G564">
        <v>2025</v>
      </c>
      <c r="H564" t="s">
        <v>57</v>
      </c>
      <c r="I564" t="s">
        <v>103</v>
      </c>
      <c r="J564">
        <v>95</v>
      </c>
      <c r="K564">
        <v>111.33</v>
      </c>
      <c r="L564">
        <v>1.1718947368421051</v>
      </c>
      <c r="M564">
        <v>1.1718947368421051</v>
      </c>
      <c r="N564" t="s">
        <v>838</v>
      </c>
      <c r="O564" t="s">
        <v>1068</v>
      </c>
      <c r="P564" t="s">
        <v>1069</v>
      </c>
      <c r="Q564">
        <v>2</v>
      </c>
      <c r="R564">
        <v>2</v>
      </c>
    </row>
    <row r="565" spans="1:18" x14ac:dyDescent="0.3">
      <c r="A565" t="s">
        <v>1070</v>
      </c>
      <c r="B565" t="s">
        <v>1071</v>
      </c>
      <c r="C565" t="s">
        <v>225</v>
      </c>
      <c r="D565" t="s">
        <v>222</v>
      </c>
      <c r="E565" t="s">
        <v>30</v>
      </c>
      <c r="F565" s="6">
        <v>44742</v>
      </c>
      <c r="G565">
        <v>2022</v>
      </c>
      <c r="H565" t="s">
        <v>44</v>
      </c>
      <c r="I565" t="s">
        <v>88</v>
      </c>
      <c r="J565">
        <v>58804</v>
      </c>
      <c r="K565">
        <v>37101</v>
      </c>
      <c r="L565">
        <v>0.63092646758723891</v>
      </c>
      <c r="M565">
        <v>0.63092646758723891</v>
      </c>
      <c r="N565" t="s">
        <v>5616</v>
      </c>
      <c r="O565" t="s">
        <v>5617</v>
      </c>
      <c r="P565" t="s">
        <v>1072</v>
      </c>
      <c r="Q565">
        <v>2</v>
      </c>
      <c r="R565">
        <v>2</v>
      </c>
    </row>
    <row r="566" spans="1:18" x14ac:dyDescent="0.3">
      <c r="A566" t="s">
        <v>1070</v>
      </c>
      <c r="B566" t="s">
        <v>1071</v>
      </c>
      <c r="C566" t="s">
        <v>225</v>
      </c>
      <c r="D566" t="s">
        <v>222</v>
      </c>
      <c r="E566" t="s">
        <v>30</v>
      </c>
      <c r="F566" s="6">
        <v>44926</v>
      </c>
      <c r="G566">
        <v>2022</v>
      </c>
      <c r="H566" t="s">
        <v>57</v>
      </c>
      <c r="I566" t="s">
        <v>90</v>
      </c>
      <c r="J566">
        <v>82987</v>
      </c>
      <c r="K566">
        <v>18386</v>
      </c>
      <c r="L566">
        <v>0.22155277332594259</v>
      </c>
      <c r="M566">
        <v>0.22155277332594259</v>
      </c>
      <c r="N566" t="s">
        <v>5618</v>
      </c>
      <c r="O566" t="s">
        <v>5619</v>
      </c>
      <c r="P566" t="s">
        <v>5620</v>
      </c>
      <c r="Q566">
        <v>2</v>
      </c>
      <c r="R566">
        <v>2</v>
      </c>
    </row>
    <row r="567" spans="1:18" x14ac:dyDescent="0.3">
      <c r="A567" t="s">
        <v>1070</v>
      </c>
      <c r="B567" t="s">
        <v>1071</v>
      </c>
      <c r="C567" t="s">
        <v>225</v>
      </c>
      <c r="D567" t="s">
        <v>222</v>
      </c>
      <c r="E567" t="s">
        <v>30</v>
      </c>
      <c r="F567" s="6">
        <v>45107</v>
      </c>
      <c r="G567">
        <v>2023</v>
      </c>
      <c r="H567" t="s">
        <v>44</v>
      </c>
      <c r="I567" t="s">
        <v>33</v>
      </c>
      <c r="J567">
        <v>8772.7956340000001</v>
      </c>
      <c r="K567">
        <v>17085.606216</v>
      </c>
      <c r="L567">
        <v>1.3</v>
      </c>
      <c r="M567">
        <v>1.9475668793403469</v>
      </c>
      <c r="N567" t="s">
        <v>5621</v>
      </c>
      <c r="O567" t="s">
        <v>5622</v>
      </c>
      <c r="P567" t="s">
        <v>1074</v>
      </c>
      <c r="Q567">
        <v>2</v>
      </c>
      <c r="R567">
        <v>2</v>
      </c>
    </row>
    <row r="568" spans="1:18" x14ac:dyDescent="0.3">
      <c r="A568" t="s">
        <v>1070</v>
      </c>
      <c r="B568" t="s">
        <v>1071</v>
      </c>
      <c r="C568" t="s">
        <v>225</v>
      </c>
      <c r="D568" t="s">
        <v>222</v>
      </c>
      <c r="E568" t="s">
        <v>30</v>
      </c>
      <c r="F568" s="6">
        <v>45291</v>
      </c>
      <c r="G568">
        <v>2023</v>
      </c>
      <c r="H568" t="s">
        <v>57</v>
      </c>
      <c r="I568" t="s">
        <v>47</v>
      </c>
      <c r="J568">
        <v>86846.60702431656</v>
      </c>
      <c r="K568">
        <v>141016.76289899999</v>
      </c>
      <c r="L568">
        <v>1.3</v>
      </c>
      <c r="M568">
        <v>1.6237452185036549</v>
      </c>
      <c r="N568" t="s">
        <v>5623</v>
      </c>
      <c r="O568" t="s">
        <v>5624</v>
      </c>
      <c r="P568" t="s">
        <v>1075</v>
      </c>
      <c r="Q568">
        <v>2</v>
      </c>
      <c r="R568">
        <v>2</v>
      </c>
    </row>
    <row r="569" spans="1:18" x14ac:dyDescent="0.3">
      <c r="A569" t="s">
        <v>1070</v>
      </c>
      <c r="B569" t="s">
        <v>1071</v>
      </c>
      <c r="C569" t="s">
        <v>225</v>
      </c>
      <c r="D569" t="s">
        <v>222</v>
      </c>
      <c r="E569" t="s">
        <v>30</v>
      </c>
      <c r="F569" s="6">
        <v>45473</v>
      </c>
      <c r="G569">
        <v>2024</v>
      </c>
      <c r="H569" t="s">
        <v>44</v>
      </c>
      <c r="I569" t="s">
        <v>71</v>
      </c>
      <c r="J569">
        <v>20714.519157999999</v>
      </c>
      <c r="K569">
        <v>27665.037063</v>
      </c>
      <c r="L569">
        <v>1.3</v>
      </c>
      <c r="M569">
        <v>1.335538462273004</v>
      </c>
      <c r="N569" t="s">
        <v>5625</v>
      </c>
      <c r="O569" t="s">
        <v>5626</v>
      </c>
      <c r="P569" t="s">
        <v>1076</v>
      </c>
      <c r="Q569">
        <v>2</v>
      </c>
      <c r="R569">
        <v>2</v>
      </c>
    </row>
    <row r="570" spans="1:18" x14ac:dyDescent="0.3">
      <c r="A570" t="s">
        <v>1070</v>
      </c>
      <c r="B570" t="s">
        <v>1071</v>
      </c>
      <c r="C570" t="s">
        <v>225</v>
      </c>
      <c r="D570" t="s">
        <v>222</v>
      </c>
      <c r="E570" t="s">
        <v>30</v>
      </c>
      <c r="F570" s="6">
        <v>45657</v>
      </c>
      <c r="G570">
        <v>2024</v>
      </c>
      <c r="H570" t="s">
        <v>57</v>
      </c>
      <c r="I570" t="s">
        <v>78</v>
      </c>
      <c r="J570">
        <v>122440.821151</v>
      </c>
      <c r="K570">
        <v>176962.74882400001</v>
      </c>
      <c r="L570">
        <v>1.3</v>
      </c>
      <c r="M570">
        <v>1.4452920779235949</v>
      </c>
      <c r="N570" t="s">
        <v>5627</v>
      </c>
      <c r="O570" t="s">
        <v>5628</v>
      </c>
      <c r="P570" t="s">
        <v>1077</v>
      </c>
      <c r="Q570">
        <v>2</v>
      </c>
      <c r="R570">
        <v>2</v>
      </c>
    </row>
    <row r="571" spans="1:18" x14ac:dyDescent="0.3">
      <c r="A571" t="s">
        <v>1070</v>
      </c>
      <c r="B571" t="s">
        <v>1071</v>
      </c>
      <c r="C571" t="s">
        <v>225</v>
      </c>
      <c r="D571" t="s">
        <v>222</v>
      </c>
      <c r="E571" t="s">
        <v>30</v>
      </c>
      <c r="F571" s="6">
        <v>45838</v>
      </c>
      <c r="G571">
        <v>2025</v>
      </c>
      <c r="H571" t="s">
        <v>44</v>
      </c>
      <c r="I571" t="s">
        <v>244</v>
      </c>
      <c r="J571">
        <v>95</v>
      </c>
      <c r="K571">
        <v>86.89</v>
      </c>
      <c r="L571">
        <v>0.91463157894736846</v>
      </c>
      <c r="M571">
        <v>0.91463157894736846</v>
      </c>
      <c r="N571" t="s">
        <v>838</v>
      </c>
      <c r="O571" t="s">
        <v>1079</v>
      </c>
      <c r="P571" t="s">
        <v>1080</v>
      </c>
      <c r="Q571">
        <v>2</v>
      </c>
      <c r="R571">
        <v>2</v>
      </c>
    </row>
    <row r="572" spans="1:18" x14ac:dyDescent="0.3">
      <c r="A572" t="s">
        <v>1070</v>
      </c>
      <c r="B572" t="s">
        <v>1071</v>
      </c>
      <c r="C572" t="s">
        <v>225</v>
      </c>
      <c r="D572" t="s">
        <v>222</v>
      </c>
      <c r="E572" t="s">
        <v>30</v>
      </c>
      <c r="F572" s="6">
        <v>46022</v>
      </c>
      <c r="G572">
        <v>2025</v>
      </c>
      <c r="H572" t="s">
        <v>57</v>
      </c>
      <c r="I572" t="s">
        <v>103</v>
      </c>
      <c r="J572">
        <v>95</v>
      </c>
      <c r="K572">
        <v>152.24</v>
      </c>
      <c r="L572">
        <v>1.3</v>
      </c>
      <c r="M572">
        <v>1.602526315789474</v>
      </c>
      <c r="N572" t="s">
        <v>838</v>
      </c>
      <c r="O572" t="s">
        <v>1082</v>
      </c>
      <c r="P572" t="s">
        <v>1083</v>
      </c>
      <c r="Q572">
        <v>2</v>
      </c>
      <c r="R572">
        <v>2</v>
      </c>
    </row>
    <row r="573" spans="1:18" x14ac:dyDescent="0.3">
      <c r="A573" t="s">
        <v>1084</v>
      </c>
      <c r="B573" t="s">
        <v>1085</v>
      </c>
      <c r="C573" t="s">
        <v>225</v>
      </c>
      <c r="D573" t="s">
        <v>222</v>
      </c>
      <c r="E573" t="s">
        <v>30</v>
      </c>
      <c r="F573" s="6">
        <v>44926</v>
      </c>
      <c r="G573">
        <v>2022</v>
      </c>
      <c r="H573" t="s">
        <v>57</v>
      </c>
      <c r="I573" t="s">
        <v>90</v>
      </c>
      <c r="J573">
        <v>2605</v>
      </c>
      <c r="K573">
        <v>2605</v>
      </c>
      <c r="L573">
        <v>1</v>
      </c>
      <c r="M573">
        <v>1</v>
      </c>
      <c r="N573" t="s">
        <v>5629</v>
      </c>
      <c r="O573" t="s">
        <v>5629</v>
      </c>
      <c r="P573" t="s">
        <v>1086</v>
      </c>
      <c r="Q573">
        <v>2</v>
      </c>
      <c r="R573">
        <v>2</v>
      </c>
    </row>
    <row r="574" spans="1:18" x14ac:dyDescent="0.3">
      <c r="A574" t="s">
        <v>1084</v>
      </c>
      <c r="B574" t="s">
        <v>1085</v>
      </c>
      <c r="C574" t="s">
        <v>225</v>
      </c>
      <c r="D574" t="s">
        <v>222</v>
      </c>
      <c r="E574" t="s">
        <v>30</v>
      </c>
      <c r="F574" s="6">
        <v>45107</v>
      </c>
      <c r="G574">
        <v>2023</v>
      </c>
      <c r="H574" t="s">
        <v>44</v>
      </c>
      <c r="I574" t="s">
        <v>33</v>
      </c>
      <c r="J574">
        <v>2622.5539939999999</v>
      </c>
      <c r="K574">
        <v>4338.4199079999999</v>
      </c>
      <c r="L574">
        <v>1.3</v>
      </c>
      <c r="M574">
        <v>1.654272864515139</v>
      </c>
      <c r="N574" t="s">
        <v>5630</v>
      </c>
      <c r="O574" t="s">
        <v>5631</v>
      </c>
      <c r="P574" t="s">
        <v>1087</v>
      </c>
      <c r="Q574">
        <v>2</v>
      </c>
      <c r="R574">
        <v>2</v>
      </c>
    </row>
    <row r="575" spans="1:18" x14ac:dyDescent="0.3">
      <c r="A575" t="s">
        <v>1084</v>
      </c>
      <c r="B575" t="s">
        <v>1085</v>
      </c>
      <c r="C575" t="s">
        <v>225</v>
      </c>
      <c r="D575" t="s">
        <v>222</v>
      </c>
      <c r="E575" t="s">
        <v>30</v>
      </c>
      <c r="F575" s="6">
        <v>45291</v>
      </c>
      <c r="G575">
        <v>2023</v>
      </c>
      <c r="H575" t="s">
        <v>57</v>
      </c>
      <c r="I575" t="s">
        <v>47</v>
      </c>
      <c r="J575">
        <v>2041.7866710000001</v>
      </c>
      <c r="K575">
        <v>8708.3762700000007</v>
      </c>
      <c r="L575">
        <v>1.3</v>
      </c>
      <c r="M575">
        <v>4.2650764615555667</v>
      </c>
      <c r="N575" t="s">
        <v>5632</v>
      </c>
      <c r="O575" t="s">
        <v>5633</v>
      </c>
      <c r="P575" t="s">
        <v>1088</v>
      </c>
      <c r="Q575">
        <v>2</v>
      </c>
      <c r="R575">
        <v>2</v>
      </c>
    </row>
    <row r="576" spans="1:18" x14ac:dyDescent="0.3">
      <c r="A576" t="s">
        <v>1084</v>
      </c>
      <c r="B576" t="s">
        <v>1085</v>
      </c>
      <c r="C576" t="s">
        <v>225</v>
      </c>
      <c r="D576" t="s">
        <v>222</v>
      </c>
      <c r="E576" t="s">
        <v>30</v>
      </c>
      <c r="F576" s="6">
        <v>45473</v>
      </c>
      <c r="G576">
        <v>2024</v>
      </c>
      <c r="H576" t="s">
        <v>44</v>
      </c>
      <c r="I576" t="s">
        <v>71</v>
      </c>
      <c r="J576">
        <v>2039.2370430000001</v>
      </c>
      <c r="K576">
        <v>4385.721681</v>
      </c>
      <c r="L576">
        <v>1.3</v>
      </c>
      <c r="M576">
        <v>2.1506679157553932</v>
      </c>
      <c r="N576" t="s">
        <v>5634</v>
      </c>
      <c r="O576" t="s">
        <v>5635</v>
      </c>
      <c r="P576" t="s">
        <v>1089</v>
      </c>
      <c r="Q576">
        <v>2</v>
      </c>
      <c r="R576">
        <v>2</v>
      </c>
    </row>
    <row r="577" spans="1:18" x14ac:dyDescent="0.3">
      <c r="A577" t="s">
        <v>1084</v>
      </c>
      <c r="B577" t="s">
        <v>1085</v>
      </c>
      <c r="C577" t="s">
        <v>225</v>
      </c>
      <c r="D577" t="s">
        <v>222</v>
      </c>
      <c r="E577" t="s">
        <v>30</v>
      </c>
      <c r="F577" s="6">
        <v>45657</v>
      </c>
      <c r="G577">
        <v>2024</v>
      </c>
      <c r="H577" t="s">
        <v>57</v>
      </c>
      <c r="I577" t="s">
        <v>78</v>
      </c>
      <c r="J577">
        <v>2783.219654</v>
      </c>
      <c r="K577">
        <v>5141.1028649999998</v>
      </c>
      <c r="L577">
        <v>1.3</v>
      </c>
      <c r="M577">
        <v>1.847178269818297</v>
      </c>
      <c r="N577" t="s">
        <v>5636</v>
      </c>
      <c r="O577" t="s">
        <v>5637</v>
      </c>
      <c r="P577" t="s">
        <v>1090</v>
      </c>
      <c r="Q577">
        <v>2</v>
      </c>
      <c r="R577">
        <v>2</v>
      </c>
    </row>
    <row r="578" spans="1:18" x14ac:dyDescent="0.3">
      <c r="A578" t="s">
        <v>1084</v>
      </c>
      <c r="B578" t="s">
        <v>1085</v>
      </c>
      <c r="C578" t="s">
        <v>225</v>
      </c>
      <c r="D578" t="s">
        <v>222</v>
      </c>
      <c r="E578" t="s">
        <v>30</v>
      </c>
      <c r="F578" s="6">
        <v>45838</v>
      </c>
      <c r="G578">
        <v>2025</v>
      </c>
      <c r="H578" t="s">
        <v>44</v>
      </c>
      <c r="I578" t="s">
        <v>244</v>
      </c>
      <c r="J578">
        <v>95</v>
      </c>
      <c r="K578">
        <v>186.31</v>
      </c>
      <c r="L578">
        <v>1.3</v>
      </c>
      <c r="M578">
        <v>1.961157894736842</v>
      </c>
      <c r="N578" t="s">
        <v>838</v>
      </c>
      <c r="O578" t="s">
        <v>1092</v>
      </c>
      <c r="P578" t="s">
        <v>1093</v>
      </c>
      <c r="Q578">
        <v>2</v>
      </c>
      <c r="R578">
        <v>2</v>
      </c>
    </row>
    <row r="579" spans="1:18" x14ac:dyDescent="0.3">
      <c r="A579" t="s">
        <v>1084</v>
      </c>
      <c r="B579" t="s">
        <v>1085</v>
      </c>
      <c r="C579" t="s">
        <v>225</v>
      </c>
      <c r="D579" t="s">
        <v>222</v>
      </c>
      <c r="E579" t="s">
        <v>30</v>
      </c>
      <c r="F579" s="6">
        <v>46022</v>
      </c>
      <c r="G579">
        <v>2025</v>
      </c>
      <c r="H579" t="s">
        <v>57</v>
      </c>
      <c r="I579" t="s">
        <v>103</v>
      </c>
      <c r="J579">
        <v>95</v>
      </c>
      <c r="K579">
        <v>123.05</v>
      </c>
      <c r="L579">
        <v>1.2952631578947369</v>
      </c>
      <c r="M579">
        <v>1.2952631578947369</v>
      </c>
      <c r="N579" t="s">
        <v>838</v>
      </c>
      <c r="O579" t="s">
        <v>1095</v>
      </c>
      <c r="P579" t="s">
        <v>1096</v>
      </c>
      <c r="Q579">
        <v>2</v>
      </c>
      <c r="R579">
        <v>2</v>
      </c>
    </row>
    <row r="580" spans="1:18" x14ac:dyDescent="0.3">
      <c r="A580" t="s">
        <v>1097</v>
      </c>
      <c r="B580" t="s">
        <v>1098</v>
      </c>
      <c r="C580" t="s">
        <v>225</v>
      </c>
      <c r="D580" t="s">
        <v>222</v>
      </c>
      <c r="E580" t="s">
        <v>30</v>
      </c>
      <c r="F580" s="6">
        <v>45107</v>
      </c>
      <c r="G580">
        <v>2023</v>
      </c>
      <c r="H580" t="s">
        <v>44</v>
      </c>
      <c r="I580" t="s">
        <v>33</v>
      </c>
      <c r="J580">
        <v>1302.483921</v>
      </c>
      <c r="K580">
        <v>1606.86814</v>
      </c>
      <c r="L580">
        <v>1.2336951835584311</v>
      </c>
      <c r="M580">
        <v>1.2336951835584311</v>
      </c>
      <c r="N580" t="s">
        <v>5638</v>
      </c>
      <c r="O580" t="s">
        <v>5639</v>
      </c>
      <c r="P580" t="s">
        <v>1099</v>
      </c>
      <c r="Q580">
        <v>2</v>
      </c>
      <c r="R580">
        <v>2</v>
      </c>
    </row>
    <row r="581" spans="1:18" x14ac:dyDescent="0.3">
      <c r="A581" t="s">
        <v>1097</v>
      </c>
      <c r="B581" t="s">
        <v>1098</v>
      </c>
      <c r="C581" t="s">
        <v>225</v>
      </c>
      <c r="D581" t="s">
        <v>222</v>
      </c>
      <c r="E581" t="s">
        <v>30</v>
      </c>
      <c r="F581" s="6">
        <v>45291</v>
      </c>
      <c r="G581">
        <v>2023</v>
      </c>
      <c r="H581" t="s">
        <v>57</v>
      </c>
      <c r="I581" t="s">
        <v>47</v>
      </c>
      <c r="J581">
        <v>1302.483921</v>
      </c>
      <c r="K581">
        <v>6000.2702790000003</v>
      </c>
      <c r="L581">
        <v>1.3</v>
      </c>
      <c r="M581">
        <v>4.6067902891217347</v>
      </c>
      <c r="N581" t="s">
        <v>5638</v>
      </c>
      <c r="O581" t="s">
        <v>5640</v>
      </c>
      <c r="P581" t="s">
        <v>1100</v>
      </c>
      <c r="Q581">
        <v>2</v>
      </c>
      <c r="R581">
        <v>2</v>
      </c>
    </row>
    <row r="582" spans="1:18" x14ac:dyDescent="0.3">
      <c r="A582" t="s">
        <v>1097</v>
      </c>
      <c r="B582" t="s">
        <v>1098</v>
      </c>
      <c r="C582" t="s">
        <v>225</v>
      </c>
      <c r="D582" t="s">
        <v>98</v>
      </c>
      <c r="E582" t="s">
        <v>30</v>
      </c>
      <c r="F582" s="6">
        <v>45657</v>
      </c>
      <c r="G582">
        <v>2024</v>
      </c>
      <c r="H582" t="s">
        <v>57</v>
      </c>
      <c r="I582" t="s">
        <v>78</v>
      </c>
      <c r="J582">
        <v>1</v>
      </c>
      <c r="K582">
        <v>1.37</v>
      </c>
      <c r="L582">
        <v>1.3</v>
      </c>
      <c r="M582">
        <v>1.37</v>
      </c>
      <c r="N582" t="s">
        <v>617</v>
      </c>
      <c r="O582" t="s">
        <v>5641</v>
      </c>
      <c r="P582" t="s">
        <v>1101</v>
      </c>
      <c r="Q582">
        <v>2</v>
      </c>
      <c r="R582">
        <v>2</v>
      </c>
    </row>
    <row r="583" spans="1:18" x14ac:dyDescent="0.3">
      <c r="A583" t="s">
        <v>1097</v>
      </c>
      <c r="B583" t="s">
        <v>1098</v>
      </c>
      <c r="C583" t="s">
        <v>225</v>
      </c>
      <c r="D583" t="s">
        <v>98</v>
      </c>
      <c r="E583" t="s">
        <v>30</v>
      </c>
      <c r="F583" s="6">
        <v>46022</v>
      </c>
      <c r="G583">
        <v>2025</v>
      </c>
      <c r="H583" t="s">
        <v>57</v>
      </c>
      <c r="I583" t="s">
        <v>103</v>
      </c>
      <c r="J583">
        <v>1</v>
      </c>
      <c r="K583">
        <v>2.14</v>
      </c>
      <c r="L583">
        <v>1.3</v>
      </c>
      <c r="M583">
        <v>2.14</v>
      </c>
      <c r="N583" t="s">
        <v>617</v>
      </c>
      <c r="O583" t="s">
        <v>113</v>
      </c>
      <c r="P583" t="s">
        <v>1103</v>
      </c>
      <c r="Q583">
        <v>2</v>
      </c>
      <c r="R583">
        <v>2</v>
      </c>
    </row>
    <row r="584" spans="1:18" x14ac:dyDescent="0.3">
      <c r="A584" t="s">
        <v>1104</v>
      </c>
      <c r="B584" t="s">
        <v>1105</v>
      </c>
      <c r="C584" t="s">
        <v>225</v>
      </c>
      <c r="D584" t="s">
        <v>222</v>
      </c>
      <c r="E584" t="s">
        <v>108</v>
      </c>
      <c r="F584" s="6">
        <v>45107</v>
      </c>
      <c r="G584">
        <v>2023</v>
      </c>
      <c r="H584" t="s">
        <v>44</v>
      </c>
      <c r="I584" t="s">
        <v>33</v>
      </c>
      <c r="J584">
        <v>114640.77968199999</v>
      </c>
      <c r="K584">
        <v>116015.126638</v>
      </c>
      <c r="L584">
        <v>0.98815372619220287</v>
      </c>
      <c r="M584">
        <v>0.98815372619220287</v>
      </c>
      <c r="N584" t="s">
        <v>5642</v>
      </c>
      <c r="O584" t="s">
        <v>5643</v>
      </c>
      <c r="P584" t="s">
        <v>1106</v>
      </c>
      <c r="Q584">
        <v>2</v>
      </c>
      <c r="R584">
        <v>2</v>
      </c>
    </row>
    <row r="585" spans="1:18" x14ac:dyDescent="0.3">
      <c r="A585" t="s">
        <v>1104</v>
      </c>
      <c r="B585" t="s">
        <v>1105</v>
      </c>
      <c r="C585" t="s">
        <v>225</v>
      </c>
      <c r="D585" t="s">
        <v>222</v>
      </c>
      <c r="E585" t="s">
        <v>108</v>
      </c>
      <c r="F585" s="6">
        <v>45291</v>
      </c>
      <c r="G585">
        <v>2023</v>
      </c>
      <c r="H585" t="s">
        <v>57</v>
      </c>
      <c r="I585" t="s">
        <v>47</v>
      </c>
      <c r="J585">
        <v>238770.966572</v>
      </c>
      <c r="K585">
        <v>247359.733075</v>
      </c>
      <c r="L585">
        <v>0.96527823507799526</v>
      </c>
      <c r="M585">
        <v>0.96527823507799526</v>
      </c>
      <c r="N585" t="s">
        <v>5644</v>
      </c>
      <c r="O585" t="s">
        <v>5645</v>
      </c>
      <c r="P585" t="s">
        <v>1107</v>
      </c>
      <c r="Q585">
        <v>2</v>
      </c>
      <c r="R585">
        <v>2</v>
      </c>
    </row>
    <row r="586" spans="1:18" x14ac:dyDescent="0.3">
      <c r="A586" t="s">
        <v>1104</v>
      </c>
      <c r="B586" t="s">
        <v>1105</v>
      </c>
      <c r="C586" t="s">
        <v>225</v>
      </c>
      <c r="D586" t="s">
        <v>222</v>
      </c>
      <c r="E586" t="s">
        <v>108</v>
      </c>
      <c r="F586" s="6">
        <v>45473</v>
      </c>
      <c r="G586">
        <v>2024</v>
      </c>
      <c r="H586" t="s">
        <v>44</v>
      </c>
      <c r="I586" t="s">
        <v>71</v>
      </c>
      <c r="J586">
        <v>128735.29679399999</v>
      </c>
      <c r="K586">
        <v>131039.3223</v>
      </c>
      <c r="L586">
        <v>0.98241729684220136</v>
      </c>
      <c r="M586">
        <v>0.98241729684220136</v>
      </c>
      <c r="N586" t="s">
        <v>5646</v>
      </c>
      <c r="O586" t="s">
        <v>5647</v>
      </c>
      <c r="P586" t="s">
        <v>1108</v>
      </c>
      <c r="Q586">
        <v>2</v>
      </c>
      <c r="R586">
        <v>2</v>
      </c>
    </row>
    <row r="587" spans="1:18" x14ac:dyDescent="0.3">
      <c r="A587" t="s">
        <v>1104</v>
      </c>
      <c r="B587" t="s">
        <v>1105</v>
      </c>
      <c r="C587" t="s">
        <v>225</v>
      </c>
      <c r="D587" t="s">
        <v>222</v>
      </c>
      <c r="E587" t="s">
        <v>108</v>
      </c>
      <c r="F587" s="6">
        <v>45657</v>
      </c>
      <c r="G587">
        <v>2024</v>
      </c>
      <c r="H587" t="s">
        <v>57</v>
      </c>
      <c r="I587" t="s">
        <v>78</v>
      </c>
      <c r="J587">
        <v>262628.34438999998</v>
      </c>
      <c r="K587">
        <v>268399.19981700002</v>
      </c>
      <c r="L587">
        <v>0.97849898423343018</v>
      </c>
      <c r="M587">
        <v>0.97849898423343018</v>
      </c>
      <c r="N587" t="s">
        <v>5648</v>
      </c>
      <c r="O587" t="s">
        <v>5649</v>
      </c>
      <c r="P587" t="s">
        <v>1109</v>
      </c>
      <c r="Q587">
        <v>2</v>
      </c>
      <c r="R587">
        <v>2</v>
      </c>
    </row>
    <row r="588" spans="1:18" x14ac:dyDescent="0.3">
      <c r="A588" t="s">
        <v>1104</v>
      </c>
      <c r="B588" t="s">
        <v>1105</v>
      </c>
      <c r="C588" t="s">
        <v>225</v>
      </c>
      <c r="D588" t="s">
        <v>222</v>
      </c>
      <c r="E588" t="s">
        <v>108</v>
      </c>
      <c r="F588" s="6">
        <v>45838</v>
      </c>
      <c r="G588">
        <v>2025</v>
      </c>
      <c r="H588" t="s">
        <v>44</v>
      </c>
      <c r="I588" t="s">
        <v>244</v>
      </c>
      <c r="J588">
        <v>100</v>
      </c>
      <c r="K588">
        <v>110.9</v>
      </c>
      <c r="L588">
        <v>0.90171325518485113</v>
      </c>
      <c r="M588">
        <v>0.90171325518485113</v>
      </c>
      <c r="N588" t="s">
        <v>102</v>
      </c>
      <c r="O588" t="s">
        <v>1111</v>
      </c>
      <c r="P588" t="s">
        <v>1112</v>
      </c>
      <c r="Q588">
        <v>2</v>
      </c>
      <c r="R588">
        <v>2</v>
      </c>
    </row>
    <row r="589" spans="1:18" x14ac:dyDescent="0.3">
      <c r="A589" t="s">
        <v>1104</v>
      </c>
      <c r="B589" t="s">
        <v>1105</v>
      </c>
      <c r="C589" t="s">
        <v>225</v>
      </c>
      <c r="D589" t="s">
        <v>222</v>
      </c>
      <c r="E589" t="s">
        <v>108</v>
      </c>
      <c r="F589" s="6">
        <v>46022</v>
      </c>
      <c r="G589">
        <v>2025</v>
      </c>
      <c r="H589" t="s">
        <v>57</v>
      </c>
      <c r="I589" t="s">
        <v>103</v>
      </c>
      <c r="J589">
        <v>100</v>
      </c>
      <c r="K589">
        <v>110.62</v>
      </c>
      <c r="L589">
        <v>0.90399566082082805</v>
      </c>
      <c r="M589">
        <v>0.90399566082082805</v>
      </c>
      <c r="N589" t="s">
        <v>102</v>
      </c>
      <c r="O589" t="s">
        <v>1114</v>
      </c>
      <c r="P589" t="s">
        <v>1115</v>
      </c>
      <c r="Q589">
        <v>2</v>
      </c>
      <c r="R589">
        <v>2</v>
      </c>
    </row>
    <row r="590" spans="1:18" x14ac:dyDescent="0.3">
      <c r="A590" t="s">
        <v>1116</v>
      </c>
      <c r="B590" t="s">
        <v>1117</v>
      </c>
      <c r="C590" t="s">
        <v>299</v>
      </c>
      <c r="D590" t="s">
        <v>29</v>
      </c>
      <c r="E590" t="s">
        <v>108</v>
      </c>
      <c r="F590" s="6">
        <v>45107</v>
      </c>
      <c r="G590">
        <v>2023</v>
      </c>
      <c r="H590" t="s">
        <v>44</v>
      </c>
      <c r="I590" t="s">
        <v>33</v>
      </c>
      <c r="K590">
        <v>6559.6</v>
      </c>
      <c r="L590">
        <v>0</v>
      </c>
      <c r="M590">
        <v>0</v>
      </c>
      <c r="O590" t="s">
        <v>5650</v>
      </c>
      <c r="P590" t="s">
        <v>1124</v>
      </c>
      <c r="Q590">
        <v>2</v>
      </c>
      <c r="R590">
        <v>2</v>
      </c>
    </row>
    <row r="591" spans="1:18" x14ac:dyDescent="0.3">
      <c r="A591" t="s">
        <v>1116</v>
      </c>
      <c r="B591" t="s">
        <v>1117</v>
      </c>
      <c r="C591" t="s">
        <v>299</v>
      </c>
      <c r="D591" t="s">
        <v>29</v>
      </c>
      <c r="E591" t="s">
        <v>108</v>
      </c>
      <c r="F591" s="6">
        <v>45291</v>
      </c>
      <c r="G591">
        <v>2023</v>
      </c>
      <c r="H591" t="s">
        <v>57</v>
      </c>
      <c r="I591" t="s">
        <v>47</v>
      </c>
      <c r="K591">
        <v>8180.4</v>
      </c>
      <c r="L591">
        <v>0</v>
      </c>
      <c r="M591">
        <v>0</v>
      </c>
      <c r="O591" t="s">
        <v>5651</v>
      </c>
      <c r="P591" t="s">
        <v>1130</v>
      </c>
      <c r="Q591">
        <v>2</v>
      </c>
      <c r="R591">
        <v>2</v>
      </c>
    </row>
    <row r="592" spans="1:18" x14ac:dyDescent="0.3">
      <c r="A592" t="s">
        <v>1116</v>
      </c>
      <c r="B592" t="s">
        <v>1117</v>
      </c>
      <c r="C592" t="s">
        <v>299</v>
      </c>
      <c r="D592" t="s">
        <v>29</v>
      </c>
      <c r="E592" t="s">
        <v>108</v>
      </c>
      <c r="F592" s="6">
        <v>45473</v>
      </c>
      <c r="G592">
        <v>2024</v>
      </c>
      <c r="H592" t="s">
        <v>44</v>
      </c>
      <c r="I592" t="s">
        <v>71</v>
      </c>
      <c r="J592">
        <v>10200</v>
      </c>
      <c r="K592">
        <v>8442</v>
      </c>
      <c r="L592">
        <v>1.2082444918265809</v>
      </c>
      <c r="M592">
        <v>1.2082444918265809</v>
      </c>
      <c r="N592" t="s">
        <v>5652</v>
      </c>
      <c r="O592" t="s">
        <v>5653</v>
      </c>
      <c r="P592" t="s">
        <v>1136</v>
      </c>
      <c r="Q592">
        <v>2</v>
      </c>
      <c r="R592">
        <v>2</v>
      </c>
    </row>
    <row r="593" spans="1:18" x14ac:dyDescent="0.3">
      <c r="A593" t="s">
        <v>1116</v>
      </c>
      <c r="B593" t="s">
        <v>1117</v>
      </c>
      <c r="C593" t="s">
        <v>299</v>
      </c>
      <c r="D593" t="s">
        <v>29</v>
      </c>
      <c r="E593" t="s">
        <v>108</v>
      </c>
      <c r="F593" s="6">
        <v>45657</v>
      </c>
      <c r="G593">
        <v>2024</v>
      </c>
      <c r="H593" t="s">
        <v>57</v>
      </c>
      <c r="I593" t="s">
        <v>78</v>
      </c>
      <c r="J593">
        <v>10200</v>
      </c>
      <c r="K593">
        <v>7232.5</v>
      </c>
      <c r="L593">
        <v>1.3</v>
      </c>
      <c r="M593">
        <v>1.410300725890079</v>
      </c>
      <c r="N593" t="s">
        <v>5652</v>
      </c>
      <c r="O593" t="s">
        <v>5654</v>
      </c>
      <c r="P593" t="s">
        <v>1142</v>
      </c>
      <c r="Q593">
        <v>2</v>
      </c>
      <c r="R593">
        <v>2</v>
      </c>
    </row>
    <row r="594" spans="1:18" x14ac:dyDescent="0.3">
      <c r="A594" t="s">
        <v>1116</v>
      </c>
      <c r="B594" t="s">
        <v>1117</v>
      </c>
      <c r="C594" t="s">
        <v>299</v>
      </c>
      <c r="D594" t="s">
        <v>29</v>
      </c>
      <c r="E594" t="s">
        <v>108</v>
      </c>
      <c r="F594" s="6">
        <v>45838</v>
      </c>
      <c r="G594">
        <v>2025</v>
      </c>
      <c r="H594" t="s">
        <v>44</v>
      </c>
      <c r="I594" t="s">
        <v>244</v>
      </c>
      <c r="J594">
        <v>6</v>
      </c>
      <c r="K594">
        <v>7352.5</v>
      </c>
      <c r="L594">
        <v>8.1604896293777627E-4</v>
      </c>
      <c r="M594">
        <v>8.1604896293777627E-4</v>
      </c>
      <c r="N594" t="s">
        <v>5655</v>
      </c>
      <c r="O594" t="s">
        <v>5656</v>
      </c>
      <c r="P594" t="s">
        <v>1160</v>
      </c>
      <c r="Q594">
        <v>2</v>
      </c>
      <c r="R594">
        <v>2</v>
      </c>
    </row>
    <row r="595" spans="1:18" x14ac:dyDescent="0.3">
      <c r="A595" t="s">
        <v>1116</v>
      </c>
      <c r="B595" t="s">
        <v>1117</v>
      </c>
      <c r="C595" t="s">
        <v>299</v>
      </c>
      <c r="D595" t="s">
        <v>29</v>
      </c>
      <c r="E595" t="s">
        <v>108</v>
      </c>
      <c r="F595" s="6">
        <v>46022</v>
      </c>
      <c r="G595">
        <v>2025</v>
      </c>
      <c r="H595" t="s">
        <v>57</v>
      </c>
      <c r="I595" t="s">
        <v>103</v>
      </c>
      <c r="J595">
        <v>5</v>
      </c>
      <c r="K595">
        <v>5750</v>
      </c>
      <c r="L595">
        <v>8.6956521739130438E-4</v>
      </c>
      <c r="M595">
        <v>8.6956521739130438E-4</v>
      </c>
      <c r="N595" t="s">
        <v>823</v>
      </c>
      <c r="O595" t="s">
        <v>5657</v>
      </c>
      <c r="P595" t="s">
        <v>1175</v>
      </c>
      <c r="Q595">
        <v>2</v>
      </c>
      <c r="R595">
        <v>2</v>
      </c>
    </row>
    <row r="596" spans="1:18" x14ac:dyDescent="0.3">
      <c r="A596" t="s">
        <v>1116</v>
      </c>
      <c r="B596" t="s">
        <v>1117</v>
      </c>
      <c r="C596" t="s">
        <v>299</v>
      </c>
      <c r="D596" t="s">
        <v>29</v>
      </c>
      <c r="E596" t="s">
        <v>108</v>
      </c>
      <c r="F596" s="6">
        <v>46203</v>
      </c>
      <c r="G596">
        <v>2026</v>
      </c>
      <c r="H596" t="s">
        <v>44</v>
      </c>
      <c r="I596" t="s">
        <v>408</v>
      </c>
      <c r="J596">
        <v>1</v>
      </c>
      <c r="L596">
        <v>0</v>
      </c>
      <c r="M596">
        <v>0</v>
      </c>
      <c r="N596" t="s">
        <v>617</v>
      </c>
      <c r="P596" t="s">
        <v>5658</v>
      </c>
      <c r="Q596">
        <v>2</v>
      </c>
      <c r="R596">
        <v>2</v>
      </c>
    </row>
    <row r="597" spans="1:18" x14ac:dyDescent="0.3">
      <c r="A597" t="s">
        <v>1177</v>
      </c>
      <c r="B597" t="s">
        <v>1178</v>
      </c>
      <c r="C597" t="s">
        <v>299</v>
      </c>
      <c r="D597" t="s">
        <v>98</v>
      </c>
      <c r="E597" t="s">
        <v>30</v>
      </c>
      <c r="F597" s="6">
        <v>45291</v>
      </c>
      <c r="G597">
        <v>2023</v>
      </c>
      <c r="H597" t="s">
        <v>57</v>
      </c>
      <c r="I597" t="s">
        <v>47</v>
      </c>
      <c r="L597">
        <v>0</v>
      </c>
      <c r="M597">
        <v>0</v>
      </c>
      <c r="P597" t="s">
        <v>1179</v>
      </c>
      <c r="Q597">
        <v>2</v>
      </c>
      <c r="R597">
        <v>2</v>
      </c>
    </row>
    <row r="598" spans="1:18" x14ac:dyDescent="0.3">
      <c r="A598" t="s">
        <v>1180</v>
      </c>
      <c r="B598" t="s">
        <v>1181</v>
      </c>
      <c r="C598" t="s">
        <v>299</v>
      </c>
      <c r="D598" t="s">
        <v>233</v>
      </c>
      <c r="E598" t="s">
        <v>30</v>
      </c>
      <c r="F598" s="6">
        <v>45107</v>
      </c>
      <c r="G598">
        <v>2023</v>
      </c>
      <c r="H598" t="s">
        <v>44</v>
      </c>
      <c r="I598" t="s">
        <v>33</v>
      </c>
      <c r="J598">
        <v>90</v>
      </c>
      <c r="K598">
        <v>96.663125000000008</v>
      </c>
      <c r="L598">
        <v>1.074034722222222</v>
      </c>
      <c r="M598">
        <v>1.074034722222222</v>
      </c>
      <c r="N598" t="s">
        <v>256</v>
      </c>
      <c r="O598" t="s">
        <v>5659</v>
      </c>
      <c r="P598" t="s">
        <v>1183</v>
      </c>
      <c r="Q598">
        <v>2</v>
      </c>
      <c r="R598">
        <v>2</v>
      </c>
    </row>
    <row r="599" spans="1:18" x14ac:dyDescent="0.3">
      <c r="A599" t="s">
        <v>1180</v>
      </c>
      <c r="B599" t="s">
        <v>1181</v>
      </c>
      <c r="C599" t="s">
        <v>299</v>
      </c>
      <c r="D599" t="s">
        <v>233</v>
      </c>
      <c r="E599" t="s">
        <v>30</v>
      </c>
      <c r="F599" s="6">
        <v>45291</v>
      </c>
      <c r="G599">
        <v>2023</v>
      </c>
      <c r="H599" t="s">
        <v>57</v>
      </c>
      <c r="I599" t="s">
        <v>47</v>
      </c>
      <c r="J599">
        <v>90</v>
      </c>
      <c r="K599">
        <v>86.4</v>
      </c>
      <c r="L599">
        <v>0.96000000000000008</v>
      </c>
      <c r="M599">
        <v>0.96000000000000008</v>
      </c>
      <c r="N599" t="s">
        <v>256</v>
      </c>
      <c r="O599" t="s">
        <v>5660</v>
      </c>
      <c r="P599" t="s">
        <v>1185</v>
      </c>
      <c r="Q599">
        <v>2</v>
      </c>
      <c r="R599">
        <v>2</v>
      </c>
    </row>
    <row r="600" spans="1:18" x14ac:dyDescent="0.3">
      <c r="A600" t="s">
        <v>1180</v>
      </c>
      <c r="B600" t="s">
        <v>1181</v>
      </c>
      <c r="C600" t="s">
        <v>299</v>
      </c>
      <c r="D600" t="s">
        <v>233</v>
      </c>
      <c r="E600" t="s">
        <v>30</v>
      </c>
      <c r="F600" s="6">
        <v>45473</v>
      </c>
      <c r="G600">
        <v>2024</v>
      </c>
      <c r="H600" t="s">
        <v>44</v>
      </c>
      <c r="I600" t="s">
        <v>71</v>
      </c>
      <c r="J600">
        <v>56.63</v>
      </c>
      <c r="K600">
        <v>62.96</v>
      </c>
      <c r="L600">
        <v>1.1117782094296309</v>
      </c>
      <c r="M600">
        <v>1.1117782094296309</v>
      </c>
      <c r="N600" t="s">
        <v>5661</v>
      </c>
      <c r="O600" t="s">
        <v>5662</v>
      </c>
      <c r="P600" t="s">
        <v>1187</v>
      </c>
      <c r="Q600">
        <v>2</v>
      </c>
      <c r="R600">
        <v>2</v>
      </c>
    </row>
    <row r="601" spans="1:18" x14ac:dyDescent="0.3">
      <c r="A601" t="s">
        <v>1180</v>
      </c>
      <c r="B601" t="s">
        <v>1181</v>
      </c>
      <c r="C601" t="s">
        <v>299</v>
      </c>
      <c r="D601" t="s">
        <v>233</v>
      </c>
      <c r="E601" t="s">
        <v>30</v>
      </c>
      <c r="F601" s="6">
        <v>45657</v>
      </c>
      <c r="G601">
        <v>2024</v>
      </c>
      <c r="H601" t="s">
        <v>57</v>
      </c>
      <c r="I601" t="s">
        <v>78</v>
      </c>
      <c r="J601">
        <v>90</v>
      </c>
      <c r="K601">
        <v>98.89500000000001</v>
      </c>
      <c r="L601">
        <v>1.098833333333334</v>
      </c>
      <c r="M601">
        <v>1.098833333333334</v>
      </c>
      <c r="N601" t="s">
        <v>256</v>
      </c>
      <c r="O601" t="s">
        <v>5663</v>
      </c>
      <c r="P601" t="s">
        <v>1189</v>
      </c>
      <c r="Q601">
        <v>2</v>
      </c>
      <c r="R601">
        <v>2</v>
      </c>
    </row>
    <row r="602" spans="1:18" x14ac:dyDescent="0.3">
      <c r="A602" t="s">
        <v>1180</v>
      </c>
      <c r="B602" t="s">
        <v>1181</v>
      </c>
      <c r="C602" t="s">
        <v>299</v>
      </c>
      <c r="D602" t="s">
        <v>233</v>
      </c>
      <c r="E602" t="s">
        <v>30</v>
      </c>
      <c r="F602" s="6">
        <v>45838</v>
      </c>
      <c r="G602">
        <v>2025</v>
      </c>
      <c r="H602" t="s">
        <v>44</v>
      </c>
      <c r="I602" t="s">
        <v>244</v>
      </c>
      <c r="J602">
        <v>90</v>
      </c>
      <c r="K602">
        <v>97.314999999999998</v>
      </c>
      <c r="L602">
        <v>1.081277777777778</v>
      </c>
      <c r="M602">
        <v>1.081277777777778</v>
      </c>
      <c r="N602" t="s">
        <v>256</v>
      </c>
      <c r="O602" t="s">
        <v>5664</v>
      </c>
      <c r="P602" t="s">
        <v>1193</v>
      </c>
      <c r="Q602">
        <v>2</v>
      </c>
      <c r="R602">
        <v>2</v>
      </c>
    </row>
    <row r="603" spans="1:18" x14ac:dyDescent="0.3">
      <c r="A603" t="s">
        <v>1180</v>
      </c>
      <c r="B603" t="s">
        <v>1181</v>
      </c>
      <c r="C603" t="s">
        <v>299</v>
      </c>
      <c r="D603" t="s">
        <v>233</v>
      </c>
      <c r="E603" t="s">
        <v>30</v>
      </c>
      <c r="F603" s="6">
        <v>46022</v>
      </c>
      <c r="G603">
        <v>2025</v>
      </c>
      <c r="H603" t="s">
        <v>57</v>
      </c>
      <c r="I603" t="s">
        <v>103</v>
      </c>
      <c r="J603">
        <v>90</v>
      </c>
      <c r="L603">
        <v>0</v>
      </c>
      <c r="M603">
        <v>0</v>
      </c>
      <c r="N603" t="s">
        <v>256</v>
      </c>
      <c r="P603" t="s">
        <v>1194</v>
      </c>
      <c r="Q603">
        <v>2</v>
      </c>
      <c r="R603">
        <v>2</v>
      </c>
    </row>
    <row r="604" spans="1:18" x14ac:dyDescent="0.3">
      <c r="A604" t="s">
        <v>1195</v>
      </c>
      <c r="B604" t="s">
        <v>1196</v>
      </c>
      <c r="C604" t="s">
        <v>299</v>
      </c>
      <c r="D604" t="s">
        <v>29</v>
      </c>
      <c r="E604" t="s">
        <v>108</v>
      </c>
      <c r="F604" s="6">
        <v>45107</v>
      </c>
      <c r="G604">
        <v>2023</v>
      </c>
      <c r="H604" t="s">
        <v>44</v>
      </c>
      <c r="I604" t="s">
        <v>33</v>
      </c>
      <c r="K604">
        <v>13653.25</v>
      </c>
      <c r="L604">
        <v>0</v>
      </c>
      <c r="M604">
        <v>0</v>
      </c>
      <c r="O604" t="s">
        <v>5665</v>
      </c>
      <c r="P604" t="s">
        <v>1203</v>
      </c>
      <c r="Q604">
        <v>2</v>
      </c>
      <c r="R604">
        <v>2</v>
      </c>
    </row>
    <row r="605" spans="1:18" x14ac:dyDescent="0.3">
      <c r="A605" t="s">
        <v>1195</v>
      </c>
      <c r="B605" t="s">
        <v>1196</v>
      </c>
      <c r="C605" t="s">
        <v>299</v>
      </c>
      <c r="D605" t="s">
        <v>29</v>
      </c>
      <c r="E605" t="s">
        <v>108</v>
      </c>
      <c r="F605" s="6">
        <v>45291</v>
      </c>
      <c r="G605">
        <v>2023</v>
      </c>
      <c r="H605" t="s">
        <v>57</v>
      </c>
      <c r="I605" t="s">
        <v>47</v>
      </c>
      <c r="K605">
        <v>31003.05</v>
      </c>
      <c r="L605">
        <v>0</v>
      </c>
      <c r="M605">
        <v>0</v>
      </c>
      <c r="O605" t="s">
        <v>5666</v>
      </c>
      <c r="P605" t="s">
        <v>1209</v>
      </c>
      <c r="Q605">
        <v>2</v>
      </c>
      <c r="R605">
        <v>2</v>
      </c>
    </row>
    <row r="606" spans="1:18" x14ac:dyDescent="0.3">
      <c r="A606" t="s">
        <v>1195</v>
      </c>
      <c r="B606" t="s">
        <v>1196</v>
      </c>
      <c r="C606" t="s">
        <v>299</v>
      </c>
      <c r="D606" t="s">
        <v>29</v>
      </c>
      <c r="E606" t="s">
        <v>108</v>
      </c>
      <c r="F606" s="6">
        <v>45473</v>
      </c>
      <c r="G606">
        <v>2024</v>
      </c>
      <c r="H606" t="s">
        <v>44</v>
      </c>
      <c r="I606" t="s">
        <v>71</v>
      </c>
      <c r="J606">
        <v>45000</v>
      </c>
      <c r="K606">
        <v>32812.910000000003</v>
      </c>
      <c r="L606">
        <v>1.3</v>
      </c>
      <c r="M606">
        <v>1.3714114353161611</v>
      </c>
      <c r="N606" t="s">
        <v>5667</v>
      </c>
      <c r="O606" t="s">
        <v>5668</v>
      </c>
      <c r="P606" t="s">
        <v>1215</v>
      </c>
      <c r="Q606">
        <v>2</v>
      </c>
      <c r="R606">
        <v>2</v>
      </c>
    </row>
    <row r="607" spans="1:18" x14ac:dyDescent="0.3">
      <c r="A607" t="s">
        <v>1195</v>
      </c>
      <c r="B607" t="s">
        <v>1196</v>
      </c>
      <c r="C607" t="s">
        <v>299</v>
      </c>
      <c r="D607" t="s">
        <v>29</v>
      </c>
      <c r="E607" t="s">
        <v>108</v>
      </c>
      <c r="F607" s="6">
        <v>45657</v>
      </c>
      <c r="G607">
        <v>2024</v>
      </c>
      <c r="H607" t="s">
        <v>57</v>
      </c>
      <c r="I607" t="s">
        <v>78</v>
      </c>
      <c r="J607">
        <v>45000</v>
      </c>
      <c r="K607">
        <v>27973.79</v>
      </c>
      <c r="L607">
        <v>1.3</v>
      </c>
      <c r="M607">
        <v>1.608648667198832</v>
      </c>
      <c r="N607" t="s">
        <v>5667</v>
      </c>
      <c r="O607" t="s">
        <v>5669</v>
      </c>
      <c r="P607" t="s">
        <v>1221</v>
      </c>
      <c r="Q607">
        <v>2</v>
      </c>
      <c r="R607">
        <v>2</v>
      </c>
    </row>
    <row r="608" spans="1:18" x14ac:dyDescent="0.3">
      <c r="A608" t="s">
        <v>1195</v>
      </c>
      <c r="B608" t="s">
        <v>1196</v>
      </c>
      <c r="C608" t="s">
        <v>299</v>
      </c>
      <c r="D608" t="s">
        <v>29</v>
      </c>
      <c r="E608" t="s">
        <v>108</v>
      </c>
      <c r="F608" s="6">
        <v>45838</v>
      </c>
      <c r="G608">
        <v>2025</v>
      </c>
      <c r="H608" t="s">
        <v>44</v>
      </c>
      <c r="I608" t="s">
        <v>244</v>
      </c>
      <c r="J608">
        <v>45000</v>
      </c>
      <c r="K608">
        <v>26963.9</v>
      </c>
      <c r="L608">
        <v>1.3</v>
      </c>
      <c r="M608">
        <v>1.66889804516409</v>
      </c>
      <c r="N608" t="s">
        <v>5667</v>
      </c>
      <c r="O608" t="s">
        <v>5670</v>
      </c>
      <c r="P608" t="s">
        <v>1240</v>
      </c>
      <c r="Q608">
        <v>2</v>
      </c>
      <c r="R608">
        <v>2</v>
      </c>
    </row>
    <row r="609" spans="1:18" x14ac:dyDescent="0.3">
      <c r="A609" t="s">
        <v>1195</v>
      </c>
      <c r="B609" t="s">
        <v>1196</v>
      </c>
      <c r="C609" t="s">
        <v>299</v>
      </c>
      <c r="D609" t="s">
        <v>29</v>
      </c>
      <c r="E609" t="s">
        <v>108</v>
      </c>
      <c r="F609" s="6">
        <v>46022</v>
      </c>
      <c r="G609">
        <v>2025</v>
      </c>
      <c r="H609" t="s">
        <v>57</v>
      </c>
      <c r="I609" t="s">
        <v>103</v>
      </c>
      <c r="J609">
        <v>37500</v>
      </c>
      <c r="K609">
        <v>18992.32</v>
      </c>
      <c r="L609">
        <v>1.3</v>
      </c>
      <c r="M609">
        <v>1.9744823170628969</v>
      </c>
      <c r="N609" t="s">
        <v>5671</v>
      </c>
      <c r="O609" t="s">
        <v>5672</v>
      </c>
      <c r="P609" t="s">
        <v>1255</v>
      </c>
      <c r="Q609">
        <v>2</v>
      </c>
      <c r="R609">
        <v>2</v>
      </c>
    </row>
    <row r="610" spans="1:18" x14ac:dyDescent="0.3">
      <c r="A610" t="s">
        <v>1195</v>
      </c>
      <c r="B610" t="s">
        <v>1196</v>
      </c>
      <c r="C610" t="s">
        <v>299</v>
      </c>
      <c r="D610" t="s">
        <v>29</v>
      </c>
      <c r="E610" t="s">
        <v>108</v>
      </c>
      <c r="F610" s="6">
        <v>46203</v>
      </c>
      <c r="G610">
        <v>2026</v>
      </c>
      <c r="H610" t="s">
        <v>44</v>
      </c>
      <c r="I610" t="s">
        <v>408</v>
      </c>
      <c r="J610">
        <v>7500</v>
      </c>
      <c r="L610">
        <v>0</v>
      </c>
      <c r="M610">
        <v>0</v>
      </c>
      <c r="N610" t="s">
        <v>1223</v>
      </c>
      <c r="P610" t="s">
        <v>5673</v>
      </c>
      <c r="Q610">
        <v>2</v>
      </c>
      <c r="R610">
        <v>2</v>
      </c>
    </row>
    <row r="611" spans="1:18" x14ac:dyDescent="0.3">
      <c r="A611" t="s">
        <v>1257</v>
      </c>
      <c r="B611" t="s">
        <v>1258</v>
      </c>
      <c r="C611" t="s">
        <v>299</v>
      </c>
      <c r="D611" t="s">
        <v>222</v>
      </c>
      <c r="E611" t="s">
        <v>30</v>
      </c>
      <c r="F611" s="6">
        <v>45107</v>
      </c>
      <c r="G611">
        <v>2023</v>
      </c>
      <c r="H611" t="s">
        <v>44</v>
      </c>
      <c r="I611" t="s">
        <v>33</v>
      </c>
      <c r="K611">
        <v>-47.67</v>
      </c>
      <c r="L611">
        <v>0</v>
      </c>
      <c r="M611">
        <v>0</v>
      </c>
      <c r="O611" t="s">
        <v>5674</v>
      </c>
      <c r="P611" t="s">
        <v>1259</v>
      </c>
      <c r="Q611">
        <v>2</v>
      </c>
      <c r="R611">
        <v>2</v>
      </c>
    </row>
    <row r="612" spans="1:18" x14ac:dyDescent="0.3">
      <c r="A612" t="s">
        <v>1257</v>
      </c>
      <c r="B612" t="s">
        <v>1258</v>
      </c>
      <c r="C612" t="s">
        <v>299</v>
      </c>
      <c r="D612" t="s">
        <v>222</v>
      </c>
      <c r="E612" t="s">
        <v>30</v>
      </c>
      <c r="F612" s="6">
        <v>45291</v>
      </c>
      <c r="G612">
        <v>2023</v>
      </c>
      <c r="H612" t="s">
        <v>57</v>
      </c>
      <c r="I612" t="s">
        <v>47</v>
      </c>
      <c r="J612">
        <v>0</v>
      </c>
      <c r="L612">
        <v>0</v>
      </c>
      <c r="M612">
        <v>0</v>
      </c>
      <c r="N612" t="s">
        <v>122</v>
      </c>
      <c r="P612" t="s">
        <v>1260</v>
      </c>
      <c r="Q612">
        <v>2</v>
      </c>
      <c r="R612">
        <v>2</v>
      </c>
    </row>
    <row r="613" spans="1:18" x14ac:dyDescent="0.3">
      <c r="A613" t="s">
        <v>1257</v>
      </c>
      <c r="B613" t="s">
        <v>1258</v>
      </c>
      <c r="C613" t="s">
        <v>299</v>
      </c>
      <c r="D613" t="s">
        <v>222</v>
      </c>
      <c r="E613" t="s">
        <v>30</v>
      </c>
      <c r="F613" s="6">
        <v>45473</v>
      </c>
      <c r="G613">
        <v>2024</v>
      </c>
      <c r="H613" t="s">
        <v>44</v>
      </c>
      <c r="I613" t="s">
        <v>71</v>
      </c>
      <c r="J613">
        <v>1</v>
      </c>
      <c r="K613">
        <v>-5.12</v>
      </c>
      <c r="L613">
        <v>0</v>
      </c>
      <c r="M613">
        <v>-5.12</v>
      </c>
      <c r="N613" t="s">
        <v>617</v>
      </c>
      <c r="O613" t="s">
        <v>5675</v>
      </c>
      <c r="P613" t="s">
        <v>1261</v>
      </c>
      <c r="Q613">
        <v>2</v>
      </c>
      <c r="R613">
        <v>2</v>
      </c>
    </row>
    <row r="614" spans="1:18" x14ac:dyDescent="0.3">
      <c r="A614" t="s">
        <v>1257</v>
      </c>
      <c r="B614" t="s">
        <v>1258</v>
      </c>
      <c r="C614" t="s">
        <v>299</v>
      </c>
      <c r="D614" t="s">
        <v>222</v>
      </c>
      <c r="E614" t="s">
        <v>30</v>
      </c>
      <c r="F614" s="6">
        <v>45657</v>
      </c>
      <c r="G614">
        <v>2024</v>
      </c>
      <c r="H614" t="s">
        <v>57</v>
      </c>
      <c r="I614" t="s">
        <v>78</v>
      </c>
      <c r="J614">
        <v>1</v>
      </c>
      <c r="K614">
        <v>-45.65</v>
      </c>
      <c r="L614">
        <v>0</v>
      </c>
      <c r="M614">
        <v>-45.65</v>
      </c>
      <c r="N614" t="s">
        <v>617</v>
      </c>
      <c r="O614" t="s">
        <v>5676</v>
      </c>
      <c r="P614" t="s">
        <v>1262</v>
      </c>
      <c r="Q614">
        <v>2</v>
      </c>
      <c r="R614">
        <v>2</v>
      </c>
    </row>
    <row r="615" spans="1:18" x14ac:dyDescent="0.3">
      <c r="A615" t="s">
        <v>1257</v>
      </c>
      <c r="B615" t="s">
        <v>1258</v>
      </c>
      <c r="C615" t="s">
        <v>299</v>
      </c>
      <c r="D615" t="s">
        <v>222</v>
      </c>
      <c r="E615" t="s">
        <v>30</v>
      </c>
      <c r="F615" s="6">
        <v>45838</v>
      </c>
      <c r="G615">
        <v>2025</v>
      </c>
      <c r="H615" t="s">
        <v>44</v>
      </c>
      <c r="I615" t="s">
        <v>244</v>
      </c>
      <c r="J615">
        <v>1</v>
      </c>
      <c r="K615">
        <v>-114.55</v>
      </c>
      <c r="L615">
        <v>0</v>
      </c>
      <c r="M615">
        <v>-114.55</v>
      </c>
      <c r="N615" t="s">
        <v>617</v>
      </c>
      <c r="O615" t="s">
        <v>1264</v>
      </c>
      <c r="P615" t="s">
        <v>1265</v>
      </c>
      <c r="Q615">
        <v>2</v>
      </c>
      <c r="R615">
        <v>2</v>
      </c>
    </row>
    <row r="616" spans="1:18" x14ac:dyDescent="0.3">
      <c r="A616" t="s">
        <v>1266</v>
      </c>
      <c r="B616" t="s">
        <v>1267</v>
      </c>
      <c r="C616" t="s">
        <v>299</v>
      </c>
      <c r="D616" t="s">
        <v>98</v>
      </c>
      <c r="E616" t="s">
        <v>30</v>
      </c>
      <c r="F616" s="6">
        <v>45291</v>
      </c>
      <c r="G616">
        <v>2023</v>
      </c>
      <c r="H616" t="s">
        <v>57</v>
      </c>
      <c r="I616" t="s">
        <v>47</v>
      </c>
      <c r="L616">
        <v>0</v>
      </c>
      <c r="M616">
        <v>0</v>
      </c>
      <c r="P616" t="s">
        <v>1268</v>
      </c>
      <c r="Q616">
        <v>2</v>
      </c>
      <c r="R616">
        <v>2</v>
      </c>
    </row>
    <row r="617" spans="1:18" x14ac:dyDescent="0.3">
      <c r="A617" t="s">
        <v>1266</v>
      </c>
      <c r="B617" t="s">
        <v>1267</v>
      </c>
      <c r="C617" t="s">
        <v>299</v>
      </c>
      <c r="D617" t="s">
        <v>98</v>
      </c>
      <c r="E617" t="s">
        <v>30</v>
      </c>
      <c r="F617" s="6">
        <v>45657</v>
      </c>
      <c r="G617">
        <v>2024</v>
      </c>
      <c r="H617" t="s">
        <v>57</v>
      </c>
      <c r="I617" t="s">
        <v>78</v>
      </c>
      <c r="J617">
        <v>100</v>
      </c>
      <c r="K617">
        <v>100</v>
      </c>
      <c r="L617">
        <v>1</v>
      </c>
      <c r="M617">
        <v>1</v>
      </c>
      <c r="N617" t="s">
        <v>102</v>
      </c>
      <c r="O617" t="s">
        <v>102</v>
      </c>
      <c r="P617" t="s">
        <v>1269</v>
      </c>
      <c r="Q617">
        <v>2</v>
      </c>
      <c r="R617">
        <v>2</v>
      </c>
    </row>
    <row r="618" spans="1:18" x14ac:dyDescent="0.3">
      <c r="A618" t="s">
        <v>1266</v>
      </c>
      <c r="B618" t="s">
        <v>1267</v>
      </c>
      <c r="C618" t="s">
        <v>299</v>
      </c>
      <c r="D618" t="s">
        <v>98</v>
      </c>
      <c r="E618" t="s">
        <v>30</v>
      </c>
      <c r="F618" s="6">
        <v>46022</v>
      </c>
      <c r="G618">
        <v>2025</v>
      </c>
      <c r="H618" t="s">
        <v>57</v>
      </c>
      <c r="I618" t="s">
        <v>103</v>
      </c>
      <c r="J618">
        <v>100</v>
      </c>
      <c r="K618">
        <v>100</v>
      </c>
      <c r="L618">
        <v>1</v>
      </c>
      <c r="M618">
        <v>1</v>
      </c>
      <c r="N618" t="s">
        <v>102</v>
      </c>
      <c r="O618" t="s">
        <v>102</v>
      </c>
      <c r="P618" t="s">
        <v>1270</v>
      </c>
      <c r="Q618">
        <v>2</v>
      </c>
      <c r="R618">
        <v>2</v>
      </c>
    </row>
    <row r="619" spans="1:18" x14ac:dyDescent="0.3">
      <c r="A619" t="s">
        <v>1271</v>
      </c>
      <c r="B619" t="s">
        <v>1272</v>
      </c>
      <c r="C619" t="s">
        <v>299</v>
      </c>
      <c r="D619" t="s">
        <v>29</v>
      </c>
      <c r="E619" t="s">
        <v>30</v>
      </c>
      <c r="F619" s="6">
        <v>45107</v>
      </c>
      <c r="G619">
        <v>2023</v>
      </c>
      <c r="H619" t="s">
        <v>44</v>
      </c>
      <c r="I619" t="s">
        <v>33</v>
      </c>
      <c r="J619">
        <v>120</v>
      </c>
      <c r="K619">
        <v>322.24</v>
      </c>
      <c r="L619">
        <v>1.3</v>
      </c>
      <c r="M619">
        <v>2.6853333333333329</v>
      </c>
      <c r="N619" t="s">
        <v>5677</v>
      </c>
      <c r="O619" t="s">
        <v>5678</v>
      </c>
      <c r="P619" t="s">
        <v>1278</v>
      </c>
      <c r="Q619">
        <v>2</v>
      </c>
      <c r="R619">
        <v>2</v>
      </c>
    </row>
    <row r="620" spans="1:18" x14ac:dyDescent="0.3">
      <c r="A620" t="s">
        <v>1271</v>
      </c>
      <c r="B620" t="s">
        <v>1272</v>
      </c>
      <c r="C620" t="s">
        <v>299</v>
      </c>
      <c r="D620" t="s">
        <v>29</v>
      </c>
      <c r="E620" t="s">
        <v>30</v>
      </c>
      <c r="F620" s="6">
        <v>45291</v>
      </c>
      <c r="G620">
        <v>2023</v>
      </c>
      <c r="H620" t="s">
        <v>57</v>
      </c>
      <c r="I620" t="s">
        <v>47</v>
      </c>
      <c r="J620">
        <v>120</v>
      </c>
      <c r="K620">
        <v>130.78</v>
      </c>
      <c r="L620">
        <v>1.089833333333333</v>
      </c>
      <c r="M620">
        <v>1.089833333333333</v>
      </c>
      <c r="N620" t="s">
        <v>5677</v>
      </c>
      <c r="O620" t="s">
        <v>5679</v>
      </c>
      <c r="P620" t="s">
        <v>1284</v>
      </c>
      <c r="Q620">
        <v>2</v>
      </c>
      <c r="R620">
        <v>2</v>
      </c>
    </row>
    <row r="621" spans="1:18" x14ac:dyDescent="0.3">
      <c r="A621" t="s">
        <v>1271</v>
      </c>
      <c r="B621" t="s">
        <v>1272</v>
      </c>
      <c r="C621" t="s">
        <v>299</v>
      </c>
      <c r="D621" t="s">
        <v>29</v>
      </c>
      <c r="E621" t="s">
        <v>30</v>
      </c>
      <c r="F621" s="6">
        <v>45473</v>
      </c>
      <c r="G621">
        <v>2024</v>
      </c>
      <c r="H621" t="s">
        <v>44</v>
      </c>
      <c r="I621" t="s">
        <v>71</v>
      </c>
      <c r="J621">
        <v>120</v>
      </c>
      <c r="K621">
        <v>154.91</v>
      </c>
      <c r="L621">
        <v>1.2909166666666669</v>
      </c>
      <c r="M621">
        <v>1.2909166666666669</v>
      </c>
      <c r="N621" t="s">
        <v>5677</v>
      </c>
      <c r="O621" t="s">
        <v>5680</v>
      </c>
      <c r="P621" t="s">
        <v>1290</v>
      </c>
      <c r="Q621">
        <v>2</v>
      </c>
      <c r="R621">
        <v>2</v>
      </c>
    </row>
    <row r="622" spans="1:18" x14ac:dyDescent="0.3">
      <c r="A622" t="s">
        <v>1271</v>
      </c>
      <c r="B622" t="s">
        <v>1272</v>
      </c>
      <c r="C622" t="s">
        <v>299</v>
      </c>
      <c r="D622" t="s">
        <v>29</v>
      </c>
      <c r="E622" t="s">
        <v>30</v>
      </c>
      <c r="F622" s="6">
        <v>45657</v>
      </c>
      <c r="G622">
        <v>2024</v>
      </c>
      <c r="H622" t="s">
        <v>57</v>
      </c>
      <c r="I622" t="s">
        <v>78</v>
      </c>
      <c r="J622">
        <v>120</v>
      </c>
      <c r="K622">
        <v>148.9927505108846</v>
      </c>
      <c r="L622">
        <v>1.241606254257372</v>
      </c>
      <c r="M622">
        <v>1.241606254257372</v>
      </c>
      <c r="N622" t="s">
        <v>5677</v>
      </c>
      <c r="O622" t="s">
        <v>5681</v>
      </c>
      <c r="P622" t="s">
        <v>1296</v>
      </c>
      <c r="Q622">
        <v>2</v>
      </c>
      <c r="R622">
        <v>2</v>
      </c>
    </row>
    <row r="623" spans="1:18" x14ac:dyDescent="0.3">
      <c r="A623" t="s">
        <v>1271</v>
      </c>
      <c r="B623" t="s">
        <v>1272</v>
      </c>
      <c r="C623" t="s">
        <v>299</v>
      </c>
      <c r="D623" t="s">
        <v>29</v>
      </c>
      <c r="E623" t="s">
        <v>30</v>
      </c>
      <c r="F623" s="6">
        <v>45838</v>
      </c>
      <c r="G623">
        <v>2025</v>
      </c>
      <c r="H623" t="s">
        <v>44</v>
      </c>
      <c r="I623" t="s">
        <v>244</v>
      </c>
      <c r="J623">
        <v>120</v>
      </c>
      <c r="K623">
        <v>166.53</v>
      </c>
      <c r="L623">
        <v>1.3</v>
      </c>
      <c r="M623">
        <v>1.38775</v>
      </c>
      <c r="N623" t="s">
        <v>5677</v>
      </c>
      <c r="O623" t="s">
        <v>5682</v>
      </c>
      <c r="P623" t="s">
        <v>1315</v>
      </c>
      <c r="Q623">
        <v>2</v>
      </c>
      <c r="R623">
        <v>2</v>
      </c>
    </row>
    <row r="624" spans="1:18" x14ac:dyDescent="0.3">
      <c r="A624" t="s">
        <v>1271</v>
      </c>
      <c r="B624" t="s">
        <v>1272</v>
      </c>
      <c r="C624" t="s">
        <v>299</v>
      </c>
      <c r="D624" t="s">
        <v>29</v>
      </c>
      <c r="E624" t="s">
        <v>30</v>
      </c>
      <c r="F624" s="6">
        <v>46022</v>
      </c>
      <c r="G624">
        <v>2025</v>
      </c>
      <c r="H624" t="s">
        <v>57</v>
      </c>
      <c r="I624" t="s">
        <v>103</v>
      </c>
      <c r="J624">
        <v>100</v>
      </c>
      <c r="K624">
        <v>7467.27</v>
      </c>
      <c r="L624">
        <v>1.3</v>
      </c>
      <c r="M624">
        <v>74.672699999999992</v>
      </c>
      <c r="N624" t="s">
        <v>102</v>
      </c>
      <c r="O624" t="s">
        <v>5683</v>
      </c>
      <c r="P624" t="s">
        <v>1326</v>
      </c>
      <c r="Q624">
        <v>2</v>
      </c>
      <c r="R624">
        <v>2</v>
      </c>
    </row>
    <row r="625" spans="1:18" x14ac:dyDescent="0.3">
      <c r="A625" t="s">
        <v>1327</v>
      </c>
      <c r="B625" t="s">
        <v>1328</v>
      </c>
      <c r="C625" t="s">
        <v>299</v>
      </c>
      <c r="D625" t="s">
        <v>29</v>
      </c>
      <c r="E625" t="s">
        <v>108</v>
      </c>
      <c r="F625" s="6">
        <v>45107</v>
      </c>
      <c r="G625">
        <v>2023</v>
      </c>
      <c r="H625" t="s">
        <v>44</v>
      </c>
      <c r="I625" t="s">
        <v>33</v>
      </c>
      <c r="J625">
        <v>1032000</v>
      </c>
      <c r="K625">
        <v>809046.41</v>
      </c>
      <c r="L625">
        <v>1.275575773211824</v>
      </c>
      <c r="M625">
        <v>1.275575773211824</v>
      </c>
      <c r="N625" t="s">
        <v>5684</v>
      </c>
      <c r="O625" t="s">
        <v>5685</v>
      </c>
      <c r="P625" t="s">
        <v>1335</v>
      </c>
      <c r="Q625">
        <v>2</v>
      </c>
      <c r="R625">
        <v>2</v>
      </c>
    </row>
    <row r="626" spans="1:18" x14ac:dyDescent="0.3">
      <c r="A626" t="s">
        <v>1327</v>
      </c>
      <c r="B626" t="s">
        <v>1328</v>
      </c>
      <c r="C626" t="s">
        <v>299</v>
      </c>
      <c r="D626" t="s">
        <v>29</v>
      </c>
      <c r="E626" t="s">
        <v>108</v>
      </c>
      <c r="F626" s="6">
        <v>45291</v>
      </c>
      <c r="G626">
        <v>2023</v>
      </c>
      <c r="H626" t="s">
        <v>57</v>
      </c>
      <c r="I626" t="s">
        <v>47</v>
      </c>
      <c r="J626">
        <v>1032000</v>
      </c>
      <c r="K626">
        <v>795652.82</v>
      </c>
      <c r="L626">
        <v>1.2970481270964389</v>
      </c>
      <c r="M626">
        <v>1.2970481270964389</v>
      </c>
      <c r="N626" t="s">
        <v>5684</v>
      </c>
      <c r="O626" t="s">
        <v>5686</v>
      </c>
      <c r="P626" t="s">
        <v>1341</v>
      </c>
      <c r="Q626">
        <v>2</v>
      </c>
      <c r="R626">
        <v>2</v>
      </c>
    </row>
    <row r="627" spans="1:18" x14ac:dyDescent="0.3">
      <c r="A627" t="s">
        <v>1327</v>
      </c>
      <c r="B627" t="s">
        <v>1328</v>
      </c>
      <c r="C627" t="s">
        <v>299</v>
      </c>
      <c r="D627" t="s">
        <v>29</v>
      </c>
      <c r="E627" t="s">
        <v>108</v>
      </c>
      <c r="F627" s="6">
        <v>45473</v>
      </c>
      <c r="G627">
        <v>2024</v>
      </c>
      <c r="H627" t="s">
        <v>44</v>
      </c>
      <c r="I627" t="s">
        <v>71</v>
      </c>
      <c r="J627">
        <v>1032000</v>
      </c>
      <c r="K627">
        <v>866129.95000000007</v>
      </c>
      <c r="L627">
        <v>1.1915071173788641</v>
      </c>
      <c r="M627">
        <v>1.1915071173788641</v>
      </c>
      <c r="N627" t="s">
        <v>5684</v>
      </c>
      <c r="O627" t="s">
        <v>5687</v>
      </c>
      <c r="P627" t="s">
        <v>1347</v>
      </c>
      <c r="Q627">
        <v>2</v>
      </c>
      <c r="R627">
        <v>2</v>
      </c>
    </row>
    <row r="628" spans="1:18" x14ac:dyDescent="0.3">
      <c r="A628" t="s">
        <v>1327</v>
      </c>
      <c r="B628" t="s">
        <v>1328</v>
      </c>
      <c r="C628" t="s">
        <v>299</v>
      </c>
      <c r="D628" t="s">
        <v>29</v>
      </c>
      <c r="E628" t="s">
        <v>108</v>
      </c>
      <c r="F628" s="6">
        <v>45657</v>
      </c>
      <c r="G628">
        <v>2024</v>
      </c>
      <c r="H628" t="s">
        <v>57</v>
      </c>
      <c r="I628" t="s">
        <v>78</v>
      </c>
      <c r="J628">
        <v>1032000</v>
      </c>
      <c r="K628">
        <v>847777.94000000006</v>
      </c>
      <c r="L628">
        <v>1.217299898131343</v>
      </c>
      <c r="M628">
        <v>1.217299898131343</v>
      </c>
      <c r="N628" t="s">
        <v>5684</v>
      </c>
      <c r="O628" t="s">
        <v>5688</v>
      </c>
      <c r="P628" t="s">
        <v>1353</v>
      </c>
      <c r="Q628">
        <v>2</v>
      </c>
      <c r="R628">
        <v>2</v>
      </c>
    </row>
    <row r="629" spans="1:18" x14ac:dyDescent="0.3">
      <c r="A629" t="s">
        <v>1327</v>
      </c>
      <c r="B629" t="s">
        <v>1328</v>
      </c>
      <c r="C629" t="s">
        <v>299</v>
      </c>
      <c r="D629" t="s">
        <v>29</v>
      </c>
      <c r="E629" t="s">
        <v>108</v>
      </c>
      <c r="F629" s="6">
        <v>45838</v>
      </c>
      <c r="G629">
        <v>2025</v>
      </c>
      <c r="H629" t="s">
        <v>44</v>
      </c>
      <c r="I629" t="s">
        <v>244</v>
      </c>
      <c r="J629">
        <v>1032000</v>
      </c>
      <c r="K629">
        <v>820561.26</v>
      </c>
      <c r="L629">
        <v>1.2576757523259141</v>
      </c>
      <c r="M629">
        <v>1.2576757523259141</v>
      </c>
      <c r="N629" t="s">
        <v>5684</v>
      </c>
      <c r="O629" t="s">
        <v>5689</v>
      </c>
      <c r="P629" t="s">
        <v>1372</v>
      </c>
      <c r="Q629">
        <v>2</v>
      </c>
      <c r="R629">
        <v>2</v>
      </c>
    </row>
    <row r="630" spans="1:18" x14ac:dyDescent="0.3">
      <c r="A630" t="s">
        <v>1327</v>
      </c>
      <c r="B630" t="s">
        <v>1328</v>
      </c>
      <c r="C630" t="s">
        <v>299</v>
      </c>
      <c r="D630" t="s">
        <v>29</v>
      </c>
      <c r="E630" t="s">
        <v>108</v>
      </c>
      <c r="F630" s="6">
        <v>46022</v>
      </c>
      <c r="G630">
        <v>2025</v>
      </c>
      <c r="H630" t="s">
        <v>57</v>
      </c>
      <c r="I630" t="s">
        <v>103</v>
      </c>
      <c r="J630">
        <v>860000</v>
      </c>
      <c r="K630">
        <v>686815.81</v>
      </c>
      <c r="L630">
        <v>1.2521552175684481</v>
      </c>
      <c r="M630">
        <v>1.2521552175684481</v>
      </c>
      <c r="N630" t="s">
        <v>5690</v>
      </c>
      <c r="O630" t="s">
        <v>5691</v>
      </c>
      <c r="P630" t="s">
        <v>1387</v>
      </c>
      <c r="Q630">
        <v>2</v>
      </c>
      <c r="R630">
        <v>2</v>
      </c>
    </row>
    <row r="631" spans="1:18" x14ac:dyDescent="0.3">
      <c r="A631" t="s">
        <v>1327</v>
      </c>
      <c r="B631" t="s">
        <v>1328</v>
      </c>
      <c r="C631" t="s">
        <v>299</v>
      </c>
      <c r="D631" t="s">
        <v>29</v>
      </c>
      <c r="E631" t="s">
        <v>108</v>
      </c>
      <c r="F631" s="6">
        <v>46203</v>
      </c>
      <c r="G631">
        <v>2026</v>
      </c>
      <c r="H631" t="s">
        <v>44</v>
      </c>
      <c r="I631" t="s">
        <v>408</v>
      </c>
      <c r="J631">
        <v>172000</v>
      </c>
      <c r="L631">
        <v>0</v>
      </c>
      <c r="M631">
        <v>0</v>
      </c>
      <c r="N631" t="s">
        <v>1355</v>
      </c>
      <c r="P631" t="s">
        <v>5692</v>
      </c>
      <c r="Q631">
        <v>2</v>
      </c>
      <c r="R631">
        <v>2</v>
      </c>
    </row>
    <row r="632" spans="1:18" x14ac:dyDescent="0.3">
      <c r="A632" t="s">
        <v>1389</v>
      </c>
      <c r="B632" t="s">
        <v>1390</v>
      </c>
      <c r="C632" t="s">
        <v>299</v>
      </c>
      <c r="D632" t="s">
        <v>222</v>
      </c>
      <c r="E632" t="s">
        <v>30</v>
      </c>
      <c r="F632" s="6">
        <v>45107</v>
      </c>
      <c r="G632">
        <v>2023</v>
      </c>
      <c r="H632" t="s">
        <v>44</v>
      </c>
      <c r="I632" t="s">
        <v>33</v>
      </c>
      <c r="J632">
        <v>1</v>
      </c>
      <c r="K632">
        <v>21.15</v>
      </c>
      <c r="L632">
        <v>1.3</v>
      </c>
      <c r="M632">
        <v>21.15</v>
      </c>
      <c r="N632" t="s">
        <v>617</v>
      </c>
      <c r="O632" t="s">
        <v>5693</v>
      </c>
      <c r="P632" t="s">
        <v>1391</v>
      </c>
      <c r="Q632">
        <v>2</v>
      </c>
      <c r="R632">
        <v>2</v>
      </c>
    </row>
    <row r="633" spans="1:18" x14ac:dyDescent="0.3">
      <c r="A633" t="s">
        <v>1389</v>
      </c>
      <c r="B633" t="s">
        <v>1390</v>
      </c>
      <c r="C633" t="s">
        <v>299</v>
      </c>
      <c r="D633" t="s">
        <v>222</v>
      </c>
      <c r="E633" t="s">
        <v>30</v>
      </c>
      <c r="F633" s="6">
        <v>45291</v>
      </c>
      <c r="G633">
        <v>2023</v>
      </c>
      <c r="H633" t="s">
        <v>57</v>
      </c>
      <c r="I633" t="s">
        <v>47</v>
      </c>
      <c r="J633">
        <v>1</v>
      </c>
      <c r="K633">
        <v>-5.9</v>
      </c>
      <c r="L633">
        <v>0</v>
      </c>
      <c r="M633">
        <v>-5.9</v>
      </c>
      <c r="N633" t="s">
        <v>617</v>
      </c>
      <c r="O633" t="s">
        <v>5694</v>
      </c>
      <c r="P633" t="s">
        <v>1392</v>
      </c>
      <c r="Q633">
        <v>2</v>
      </c>
      <c r="R633">
        <v>2</v>
      </c>
    </row>
    <row r="634" spans="1:18" x14ac:dyDescent="0.3">
      <c r="A634" t="s">
        <v>1389</v>
      </c>
      <c r="B634" t="s">
        <v>1390</v>
      </c>
      <c r="C634" t="s">
        <v>299</v>
      </c>
      <c r="D634" t="s">
        <v>222</v>
      </c>
      <c r="E634" t="s">
        <v>30</v>
      </c>
      <c r="F634" s="6">
        <v>45473</v>
      </c>
      <c r="G634">
        <v>2024</v>
      </c>
      <c r="H634" t="s">
        <v>44</v>
      </c>
      <c r="I634" t="s">
        <v>71</v>
      </c>
      <c r="J634">
        <v>1</v>
      </c>
      <c r="K634">
        <v>14.84</v>
      </c>
      <c r="L634">
        <v>1.3</v>
      </c>
      <c r="M634">
        <v>14.84</v>
      </c>
      <c r="N634" t="s">
        <v>617</v>
      </c>
      <c r="O634" t="s">
        <v>5695</v>
      </c>
      <c r="P634" t="s">
        <v>1393</v>
      </c>
      <c r="Q634">
        <v>2</v>
      </c>
      <c r="R634">
        <v>2</v>
      </c>
    </row>
    <row r="635" spans="1:18" x14ac:dyDescent="0.3">
      <c r="A635" t="s">
        <v>1389</v>
      </c>
      <c r="B635" t="s">
        <v>1390</v>
      </c>
      <c r="C635" t="s">
        <v>299</v>
      </c>
      <c r="D635" t="s">
        <v>222</v>
      </c>
      <c r="E635" t="s">
        <v>30</v>
      </c>
      <c r="F635" s="6">
        <v>45657</v>
      </c>
      <c r="G635">
        <v>2024</v>
      </c>
      <c r="H635" t="s">
        <v>57</v>
      </c>
      <c r="I635" t="s">
        <v>78</v>
      </c>
      <c r="J635">
        <v>1</v>
      </c>
      <c r="K635">
        <v>-12.53</v>
      </c>
      <c r="L635">
        <v>0</v>
      </c>
      <c r="M635">
        <v>-12.53</v>
      </c>
      <c r="N635" t="s">
        <v>617</v>
      </c>
      <c r="O635" t="s">
        <v>5696</v>
      </c>
      <c r="P635" t="s">
        <v>1394</v>
      </c>
      <c r="Q635">
        <v>2</v>
      </c>
      <c r="R635">
        <v>2</v>
      </c>
    </row>
    <row r="636" spans="1:18" x14ac:dyDescent="0.3">
      <c r="A636" t="s">
        <v>1389</v>
      </c>
      <c r="B636" t="s">
        <v>1390</v>
      </c>
      <c r="C636" t="s">
        <v>299</v>
      </c>
      <c r="D636" t="s">
        <v>222</v>
      </c>
      <c r="E636" t="s">
        <v>30</v>
      </c>
      <c r="F636" s="6">
        <v>45838</v>
      </c>
      <c r="G636">
        <v>2025</v>
      </c>
      <c r="H636" t="s">
        <v>44</v>
      </c>
      <c r="I636" t="s">
        <v>244</v>
      </c>
      <c r="J636">
        <v>1</v>
      </c>
      <c r="K636">
        <v>18.43</v>
      </c>
      <c r="L636">
        <v>1.3</v>
      </c>
      <c r="M636">
        <v>18.43</v>
      </c>
      <c r="N636" t="s">
        <v>617</v>
      </c>
      <c r="O636" t="s">
        <v>1396</v>
      </c>
      <c r="P636" t="s">
        <v>1397</v>
      </c>
      <c r="Q636">
        <v>2</v>
      </c>
      <c r="R636">
        <v>2</v>
      </c>
    </row>
    <row r="637" spans="1:18" x14ac:dyDescent="0.3">
      <c r="A637" t="s">
        <v>1389</v>
      </c>
      <c r="B637" t="s">
        <v>1390</v>
      </c>
      <c r="C637" t="s">
        <v>299</v>
      </c>
      <c r="D637" t="s">
        <v>222</v>
      </c>
      <c r="E637" t="s">
        <v>30</v>
      </c>
      <c r="F637" s="6">
        <v>46022</v>
      </c>
      <c r="G637">
        <v>2025</v>
      </c>
      <c r="H637" t="s">
        <v>57</v>
      </c>
      <c r="I637" t="s">
        <v>103</v>
      </c>
      <c r="J637">
        <v>1</v>
      </c>
      <c r="K637">
        <v>-18.28</v>
      </c>
      <c r="L637">
        <v>0</v>
      </c>
      <c r="M637">
        <v>-18.28</v>
      </c>
      <c r="N637" t="s">
        <v>617</v>
      </c>
      <c r="O637" t="s">
        <v>1399</v>
      </c>
      <c r="P637" t="s">
        <v>1400</v>
      </c>
      <c r="Q637">
        <v>2</v>
      </c>
      <c r="R637">
        <v>2</v>
      </c>
    </row>
    <row r="638" spans="1:18" x14ac:dyDescent="0.3">
      <c r="A638" t="s">
        <v>1401</v>
      </c>
      <c r="B638" t="s">
        <v>1402</v>
      </c>
      <c r="C638" t="s">
        <v>299</v>
      </c>
      <c r="D638" t="s">
        <v>222</v>
      </c>
      <c r="E638" t="s">
        <v>30</v>
      </c>
      <c r="F638" s="6">
        <v>45107</v>
      </c>
      <c r="G638">
        <v>2023</v>
      </c>
      <c r="H638" t="s">
        <v>44</v>
      </c>
      <c r="I638" t="s">
        <v>33</v>
      </c>
      <c r="J638">
        <v>1</v>
      </c>
      <c r="K638">
        <v>40.43</v>
      </c>
      <c r="L638">
        <v>1.3</v>
      </c>
      <c r="M638">
        <v>40.43</v>
      </c>
      <c r="N638" t="s">
        <v>617</v>
      </c>
      <c r="O638" t="s">
        <v>5697</v>
      </c>
      <c r="P638" t="s">
        <v>1403</v>
      </c>
      <c r="Q638">
        <v>2</v>
      </c>
      <c r="R638">
        <v>2</v>
      </c>
    </row>
    <row r="639" spans="1:18" x14ac:dyDescent="0.3">
      <c r="A639" t="s">
        <v>1401</v>
      </c>
      <c r="B639" t="s">
        <v>1402</v>
      </c>
      <c r="C639" t="s">
        <v>299</v>
      </c>
      <c r="D639" t="s">
        <v>222</v>
      </c>
      <c r="E639" t="s">
        <v>30</v>
      </c>
      <c r="F639" s="6">
        <v>45291</v>
      </c>
      <c r="G639">
        <v>2023</v>
      </c>
      <c r="H639" t="s">
        <v>57</v>
      </c>
      <c r="I639" t="s">
        <v>47</v>
      </c>
      <c r="J639">
        <v>1</v>
      </c>
      <c r="L639">
        <v>0</v>
      </c>
      <c r="M639">
        <v>0</v>
      </c>
      <c r="N639" t="s">
        <v>617</v>
      </c>
      <c r="P639" t="s">
        <v>1404</v>
      </c>
      <c r="Q639">
        <v>2</v>
      </c>
      <c r="R639">
        <v>2</v>
      </c>
    </row>
    <row r="640" spans="1:18" x14ac:dyDescent="0.3">
      <c r="A640" t="s">
        <v>1401</v>
      </c>
      <c r="B640" t="s">
        <v>1402</v>
      </c>
      <c r="C640" t="s">
        <v>299</v>
      </c>
      <c r="D640" t="s">
        <v>222</v>
      </c>
      <c r="E640" t="s">
        <v>30</v>
      </c>
      <c r="F640" s="6">
        <v>45473</v>
      </c>
      <c r="G640">
        <v>2024</v>
      </c>
      <c r="H640" t="s">
        <v>44</v>
      </c>
      <c r="I640" t="s">
        <v>71</v>
      </c>
      <c r="J640">
        <v>1</v>
      </c>
      <c r="K640">
        <v>3.58</v>
      </c>
      <c r="L640">
        <v>1.3</v>
      </c>
      <c r="M640">
        <v>3.58</v>
      </c>
      <c r="N640" t="s">
        <v>617</v>
      </c>
      <c r="O640" t="s">
        <v>5698</v>
      </c>
      <c r="P640" t="s">
        <v>1405</v>
      </c>
      <c r="Q640">
        <v>2</v>
      </c>
      <c r="R640">
        <v>2</v>
      </c>
    </row>
    <row r="641" spans="1:18" x14ac:dyDescent="0.3">
      <c r="A641" t="s">
        <v>1401</v>
      </c>
      <c r="B641" t="s">
        <v>1402</v>
      </c>
      <c r="C641" t="s">
        <v>299</v>
      </c>
      <c r="D641" t="s">
        <v>222</v>
      </c>
      <c r="E641" t="s">
        <v>30</v>
      </c>
      <c r="F641" s="6">
        <v>45657</v>
      </c>
      <c r="G641">
        <v>2024</v>
      </c>
      <c r="H641" t="s">
        <v>57</v>
      </c>
      <c r="I641" t="s">
        <v>78</v>
      </c>
      <c r="J641">
        <v>1</v>
      </c>
      <c r="K641">
        <v>13.05</v>
      </c>
      <c r="L641">
        <v>1.3</v>
      </c>
      <c r="M641">
        <v>13.05</v>
      </c>
      <c r="N641" t="s">
        <v>617</v>
      </c>
      <c r="O641" t="s">
        <v>5699</v>
      </c>
      <c r="P641" t="s">
        <v>1406</v>
      </c>
      <c r="Q641">
        <v>2</v>
      </c>
      <c r="R641">
        <v>2</v>
      </c>
    </row>
    <row r="642" spans="1:18" x14ac:dyDescent="0.3">
      <c r="A642" t="s">
        <v>1401</v>
      </c>
      <c r="B642" t="s">
        <v>1402</v>
      </c>
      <c r="C642" t="s">
        <v>299</v>
      </c>
      <c r="D642" t="s">
        <v>222</v>
      </c>
      <c r="E642" t="s">
        <v>30</v>
      </c>
      <c r="F642" s="6">
        <v>45838</v>
      </c>
      <c r="G642">
        <v>2025</v>
      </c>
      <c r="H642" t="s">
        <v>44</v>
      </c>
      <c r="I642" t="s">
        <v>244</v>
      </c>
      <c r="J642">
        <v>1</v>
      </c>
      <c r="K642">
        <v>33.979999999999997</v>
      </c>
      <c r="L642">
        <v>1.3</v>
      </c>
      <c r="M642">
        <v>33.979999999999997</v>
      </c>
      <c r="N642" t="s">
        <v>617</v>
      </c>
      <c r="O642" t="s">
        <v>1408</v>
      </c>
      <c r="P642" t="s">
        <v>1409</v>
      </c>
      <c r="Q642">
        <v>2</v>
      </c>
      <c r="R642">
        <v>2</v>
      </c>
    </row>
    <row r="643" spans="1:18" x14ac:dyDescent="0.3">
      <c r="A643" t="s">
        <v>1401</v>
      </c>
      <c r="B643" t="s">
        <v>1402</v>
      </c>
      <c r="C643" t="s">
        <v>299</v>
      </c>
      <c r="D643" t="s">
        <v>222</v>
      </c>
      <c r="E643" t="s">
        <v>30</v>
      </c>
      <c r="F643" s="6">
        <v>46022</v>
      </c>
      <c r="G643">
        <v>2025</v>
      </c>
      <c r="H643" t="s">
        <v>57</v>
      </c>
      <c r="I643" t="s">
        <v>103</v>
      </c>
      <c r="J643">
        <v>1</v>
      </c>
      <c r="K643">
        <v>-10.18</v>
      </c>
      <c r="L643">
        <v>0</v>
      </c>
      <c r="M643">
        <v>-10.18</v>
      </c>
      <c r="N643" t="s">
        <v>617</v>
      </c>
      <c r="O643" t="s">
        <v>1411</v>
      </c>
      <c r="P643" t="s">
        <v>1412</v>
      </c>
      <c r="Q643">
        <v>2</v>
      </c>
      <c r="R643">
        <v>2</v>
      </c>
    </row>
    <row r="644" spans="1:18" x14ac:dyDescent="0.3">
      <c r="A644" t="s">
        <v>1413</v>
      </c>
      <c r="B644" t="s">
        <v>1414</v>
      </c>
      <c r="C644" t="s">
        <v>299</v>
      </c>
      <c r="D644" t="s">
        <v>98</v>
      </c>
      <c r="E644" t="s">
        <v>30</v>
      </c>
      <c r="F644" s="6">
        <v>45291</v>
      </c>
      <c r="G644">
        <v>2023</v>
      </c>
      <c r="H644" t="s">
        <v>57</v>
      </c>
      <c r="I644" t="s">
        <v>47</v>
      </c>
      <c r="L644">
        <v>0</v>
      </c>
      <c r="M644">
        <v>0</v>
      </c>
      <c r="P644" t="s">
        <v>1415</v>
      </c>
      <c r="Q644">
        <v>2</v>
      </c>
      <c r="R644">
        <v>2</v>
      </c>
    </row>
    <row r="645" spans="1:18" x14ac:dyDescent="0.3">
      <c r="A645" t="s">
        <v>1413</v>
      </c>
      <c r="B645" t="s">
        <v>1414</v>
      </c>
      <c r="C645" t="s">
        <v>299</v>
      </c>
      <c r="D645" t="s">
        <v>98</v>
      </c>
      <c r="E645" t="s">
        <v>30</v>
      </c>
      <c r="F645" s="6">
        <v>45657</v>
      </c>
      <c r="G645">
        <v>2024</v>
      </c>
      <c r="H645" t="s">
        <v>57</v>
      </c>
      <c r="I645" t="s">
        <v>78</v>
      </c>
      <c r="J645">
        <v>100</v>
      </c>
      <c r="K645">
        <v>33.33</v>
      </c>
      <c r="L645">
        <v>0.33329999999999999</v>
      </c>
      <c r="M645">
        <v>0.33329999999999999</v>
      </c>
      <c r="N645" t="s">
        <v>102</v>
      </c>
      <c r="O645" t="s">
        <v>5700</v>
      </c>
      <c r="P645" t="s">
        <v>1416</v>
      </c>
      <c r="Q645">
        <v>2</v>
      </c>
      <c r="R645">
        <v>2</v>
      </c>
    </row>
    <row r="646" spans="1:18" x14ac:dyDescent="0.3">
      <c r="A646" t="s">
        <v>1413</v>
      </c>
      <c r="B646" t="s">
        <v>1414</v>
      </c>
      <c r="C646" t="s">
        <v>299</v>
      </c>
      <c r="D646" t="s">
        <v>98</v>
      </c>
      <c r="E646" t="s">
        <v>30</v>
      </c>
      <c r="F646" s="6">
        <v>46022</v>
      </c>
      <c r="G646">
        <v>2025</v>
      </c>
      <c r="H646" t="s">
        <v>57</v>
      </c>
      <c r="I646" t="s">
        <v>103</v>
      </c>
      <c r="J646">
        <v>100</v>
      </c>
      <c r="L646">
        <v>0</v>
      </c>
      <c r="M646">
        <v>0</v>
      </c>
      <c r="N646" t="s">
        <v>102</v>
      </c>
      <c r="P646" t="s">
        <v>1417</v>
      </c>
      <c r="Q646">
        <v>2</v>
      </c>
      <c r="R646">
        <v>2</v>
      </c>
    </row>
    <row r="647" spans="1:18" x14ac:dyDescent="0.3">
      <c r="A647" t="s">
        <v>1418</v>
      </c>
      <c r="B647" t="s">
        <v>1419</v>
      </c>
      <c r="C647" t="s">
        <v>299</v>
      </c>
      <c r="D647" t="s">
        <v>98</v>
      </c>
      <c r="E647" t="s">
        <v>30</v>
      </c>
      <c r="F647" s="6">
        <v>44926</v>
      </c>
      <c r="G647">
        <v>2022</v>
      </c>
      <c r="H647" t="s">
        <v>57</v>
      </c>
      <c r="I647" t="s">
        <v>90</v>
      </c>
      <c r="J647">
        <v>100</v>
      </c>
      <c r="K647">
        <v>93.75</v>
      </c>
      <c r="L647">
        <v>0.9375</v>
      </c>
      <c r="M647">
        <v>0.9375</v>
      </c>
      <c r="N647" t="s">
        <v>102</v>
      </c>
      <c r="O647" t="s">
        <v>5701</v>
      </c>
      <c r="P647" t="s">
        <v>1420</v>
      </c>
      <c r="Q647">
        <v>2</v>
      </c>
      <c r="R647">
        <v>2</v>
      </c>
    </row>
    <row r="648" spans="1:18" x14ac:dyDescent="0.3">
      <c r="A648" t="s">
        <v>1418</v>
      </c>
      <c r="B648" t="s">
        <v>1419</v>
      </c>
      <c r="C648" t="s">
        <v>299</v>
      </c>
      <c r="D648" t="s">
        <v>98</v>
      </c>
      <c r="E648" t="s">
        <v>30</v>
      </c>
      <c r="F648" s="6">
        <v>45291</v>
      </c>
      <c r="G648">
        <v>2023</v>
      </c>
      <c r="H648" t="s">
        <v>57</v>
      </c>
      <c r="I648" t="s">
        <v>47</v>
      </c>
      <c r="L648">
        <v>0</v>
      </c>
      <c r="M648">
        <v>0</v>
      </c>
      <c r="P648" t="s">
        <v>1421</v>
      </c>
      <c r="Q648">
        <v>2</v>
      </c>
      <c r="R648">
        <v>2</v>
      </c>
    </row>
    <row r="649" spans="1:18" x14ac:dyDescent="0.3">
      <c r="A649" t="s">
        <v>1418</v>
      </c>
      <c r="B649" t="s">
        <v>1419</v>
      </c>
      <c r="C649" t="s">
        <v>299</v>
      </c>
      <c r="D649" t="s">
        <v>98</v>
      </c>
      <c r="E649" t="s">
        <v>30</v>
      </c>
      <c r="F649" s="6">
        <v>45657</v>
      </c>
      <c r="G649">
        <v>2024</v>
      </c>
      <c r="H649" t="s">
        <v>57</v>
      </c>
      <c r="I649" t="s">
        <v>78</v>
      </c>
      <c r="J649">
        <v>100</v>
      </c>
      <c r="K649">
        <v>68.75</v>
      </c>
      <c r="L649">
        <v>0.6875</v>
      </c>
      <c r="M649">
        <v>0.6875</v>
      </c>
      <c r="N649" t="s">
        <v>102</v>
      </c>
      <c r="O649" t="s">
        <v>5702</v>
      </c>
      <c r="P649" t="s">
        <v>1422</v>
      </c>
      <c r="Q649">
        <v>2</v>
      </c>
      <c r="R649">
        <v>2</v>
      </c>
    </row>
    <row r="650" spans="1:18" x14ac:dyDescent="0.3">
      <c r="A650" t="s">
        <v>1418</v>
      </c>
      <c r="B650" t="s">
        <v>1419</v>
      </c>
      <c r="C650" t="s">
        <v>299</v>
      </c>
      <c r="D650" t="s">
        <v>98</v>
      </c>
      <c r="E650" t="s">
        <v>30</v>
      </c>
      <c r="F650" s="6">
        <v>46022</v>
      </c>
      <c r="G650">
        <v>2025</v>
      </c>
      <c r="H650" t="s">
        <v>57</v>
      </c>
      <c r="I650" t="s">
        <v>103</v>
      </c>
      <c r="J650">
        <v>90</v>
      </c>
      <c r="L650">
        <v>0</v>
      </c>
      <c r="M650">
        <v>0</v>
      </c>
      <c r="N650" t="s">
        <v>256</v>
      </c>
      <c r="P650" t="s">
        <v>1423</v>
      </c>
      <c r="Q650">
        <v>2</v>
      </c>
      <c r="R650">
        <v>2</v>
      </c>
    </row>
    <row r="651" spans="1:18" x14ac:dyDescent="0.3">
      <c r="A651" t="s">
        <v>1424</v>
      </c>
      <c r="B651" t="s">
        <v>1425</v>
      </c>
      <c r="C651" t="s">
        <v>299</v>
      </c>
      <c r="D651" t="s">
        <v>98</v>
      </c>
      <c r="E651" t="s">
        <v>30</v>
      </c>
      <c r="F651" s="6">
        <v>45291</v>
      </c>
      <c r="G651">
        <v>2023</v>
      </c>
      <c r="H651" t="s">
        <v>57</v>
      </c>
      <c r="I651" t="s">
        <v>47</v>
      </c>
      <c r="L651">
        <v>0</v>
      </c>
      <c r="M651">
        <v>0</v>
      </c>
      <c r="P651" t="s">
        <v>1426</v>
      </c>
      <c r="Q651">
        <v>2</v>
      </c>
      <c r="R651">
        <v>2</v>
      </c>
    </row>
    <row r="652" spans="1:18" x14ac:dyDescent="0.3">
      <c r="A652" t="s">
        <v>1424</v>
      </c>
      <c r="B652" t="s">
        <v>1425</v>
      </c>
      <c r="C652" t="s">
        <v>299</v>
      </c>
      <c r="D652" t="s">
        <v>98</v>
      </c>
      <c r="E652" t="s">
        <v>30</v>
      </c>
      <c r="F652" s="6">
        <v>45657</v>
      </c>
      <c r="G652">
        <v>2024</v>
      </c>
      <c r="H652" t="s">
        <v>57</v>
      </c>
      <c r="I652" t="s">
        <v>78</v>
      </c>
      <c r="J652">
        <v>100</v>
      </c>
      <c r="K652">
        <v>94.12</v>
      </c>
      <c r="L652">
        <v>0.94120000000000004</v>
      </c>
      <c r="M652">
        <v>0.94120000000000004</v>
      </c>
      <c r="N652" t="s">
        <v>102</v>
      </c>
      <c r="O652" t="s">
        <v>5703</v>
      </c>
      <c r="P652" t="s">
        <v>1427</v>
      </c>
      <c r="Q652">
        <v>2</v>
      </c>
      <c r="R652">
        <v>2</v>
      </c>
    </row>
    <row r="653" spans="1:18" x14ac:dyDescent="0.3">
      <c r="A653" t="s">
        <v>1428</v>
      </c>
      <c r="B653" t="s">
        <v>1429</v>
      </c>
      <c r="C653" t="s">
        <v>299</v>
      </c>
      <c r="D653" t="s">
        <v>98</v>
      </c>
      <c r="E653" t="s">
        <v>30</v>
      </c>
      <c r="F653" s="6">
        <v>44926</v>
      </c>
      <c r="G653">
        <v>2022</v>
      </c>
      <c r="H653" t="s">
        <v>57</v>
      </c>
      <c r="I653" t="s">
        <v>90</v>
      </c>
      <c r="J653">
        <v>100</v>
      </c>
      <c r="K653">
        <v>71.430000000000007</v>
      </c>
      <c r="L653">
        <v>0.71430000000000005</v>
      </c>
      <c r="M653">
        <v>0.71430000000000005</v>
      </c>
      <c r="N653" t="s">
        <v>102</v>
      </c>
      <c r="O653" t="s">
        <v>5704</v>
      </c>
      <c r="P653" t="s">
        <v>1430</v>
      </c>
      <c r="Q653">
        <v>2</v>
      </c>
      <c r="R653">
        <v>2</v>
      </c>
    </row>
    <row r="654" spans="1:18" x14ac:dyDescent="0.3">
      <c r="A654" t="s">
        <v>1428</v>
      </c>
      <c r="B654" t="s">
        <v>1429</v>
      </c>
      <c r="C654" t="s">
        <v>299</v>
      </c>
      <c r="D654" t="s">
        <v>98</v>
      </c>
      <c r="E654" t="s">
        <v>30</v>
      </c>
      <c r="F654" s="6">
        <v>45291</v>
      </c>
      <c r="G654">
        <v>2023</v>
      </c>
      <c r="H654" t="s">
        <v>57</v>
      </c>
      <c r="I654" t="s">
        <v>47</v>
      </c>
      <c r="L654">
        <v>0</v>
      </c>
      <c r="M654">
        <v>0</v>
      </c>
      <c r="P654" t="s">
        <v>1431</v>
      </c>
      <c r="Q654">
        <v>2</v>
      </c>
      <c r="R654">
        <v>2</v>
      </c>
    </row>
    <row r="655" spans="1:18" x14ac:dyDescent="0.3">
      <c r="A655" t="s">
        <v>1428</v>
      </c>
      <c r="B655" t="s">
        <v>1429</v>
      </c>
      <c r="C655" t="s">
        <v>299</v>
      </c>
      <c r="D655" t="s">
        <v>98</v>
      </c>
      <c r="E655" t="s">
        <v>30</v>
      </c>
      <c r="F655" s="6">
        <v>45657</v>
      </c>
      <c r="G655">
        <v>2024</v>
      </c>
      <c r="H655" t="s">
        <v>57</v>
      </c>
      <c r="I655" t="s">
        <v>78</v>
      </c>
      <c r="J655">
        <v>100</v>
      </c>
      <c r="K655">
        <v>100</v>
      </c>
      <c r="L655">
        <v>1</v>
      </c>
      <c r="M655">
        <v>1</v>
      </c>
      <c r="N655" t="s">
        <v>102</v>
      </c>
      <c r="O655" t="s">
        <v>102</v>
      </c>
      <c r="P655" t="s">
        <v>1432</v>
      </c>
      <c r="Q655">
        <v>2</v>
      </c>
      <c r="R655">
        <v>2</v>
      </c>
    </row>
    <row r="656" spans="1:18" x14ac:dyDescent="0.3">
      <c r="A656" t="s">
        <v>1433</v>
      </c>
      <c r="B656" t="s">
        <v>1434</v>
      </c>
      <c r="C656" t="s">
        <v>299</v>
      </c>
      <c r="D656" t="s">
        <v>29</v>
      </c>
      <c r="E656" t="s">
        <v>30</v>
      </c>
      <c r="F656" s="6">
        <v>45107</v>
      </c>
      <c r="G656">
        <v>2023</v>
      </c>
      <c r="H656" t="s">
        <v>44</v>
      </c>
      <c r="I656" t="s">
        <v>33</v>
      </c>
      <c r="J656">
        <v>36</v>
      </c>
      <c r="K656">
        <v>126</v>
      </c>
      <c r="L656">
        <v>1.3</v>
      </c>
      <c r="M656">
        <v>3.5</v>
      </c>
      <c r="N656" t="s">
        <v>5705</v>
      </c>
      <c r="O656" t="s">
        <v>5706</v>
      </c>
      <c r="P656" t="s">
        <v>1440</v>
      </c>
      <c r="Q656">
        <v>2</v>
      </c>
      <c r="R656">
        <v>2</v>
      </c>
    </row>
    <row r="657" spans="1:18" x14ac:dyDescent="0.3">
      <c r="A657" t="s">
        <v>1433</v>
      </c>
      <c r="B657" t="s">
        <v>1434</v>
      </c>
      <c r="C657" t="s">
        <v>299</v>
      </c>
      <c r="D657" t="s">
        <v>29</v>
      </c>
      <c r="E657" t="s">
        <v>30</v>
      </c>
      <c r="F657" s="6">
        <v>45291</v>
      </c>
      <c r="G657">
        <v>2023</v>
      </c>
      <c r="H657" t="s">
        <v>57</v>
      </c>
      <c r="I657" t="s">
        <v>47</v>
      </c>
      <c r="J657">
        <v>36</v>
      </c>
      <c r="K657">
        <v>119</v>
      </c>
      <c r="L657">
        <v>1.3</v>
      </c>
      <c r="M657">
        <v>3.3055555555555549</v>
      </c>
      <c r="N657" t="s">
        <v>5705</v>
      </c>
      <c r="O657" t="s">
        <v>5707</v>
      </c>
      <c r="P657" t="s">
        <v>1446</v>
      </c>
      <c r="Q657">
        <v>2</v>
      </c>
      <c r="R657">
        <v>2</v>
      </c>
    </row>
    <row r="658" spans="1:18" x14ac:dyDescent="0.3">
      <c r="A658" t="s">
        <v>1433</v>
      </c>
      <c r="B658" t="s">
        <v>1434</v>
      </c>
      <c r="C658" t="s">
        <v>299</v>
      </c>
      <c r="D658" t="s">
        <v>29</v>
      </c>
      <c r="E658" t="s">
        <v>30</v>
      </c>
      <c r="F658" s="6">
        <v>45473</v>
      </c>
      <c r="G658">
        <v>2024</v>
      </c>
      <c r="H658" t="s">
        <v>44</v>
      </c>
      <c r="I658" t="s">
        <v>71</v>
      </c>
      <c r="J658">
        <v>31</v>
      </c>
      <c r="K658">
        <v>123</v>
      </c>
      <c r="L658">
        <v>1.3</v>
      </c>
      <c r="M658">
        <v>3.967741935483871</v>
      </c>
      <c r="N658" t="s">
        <v>5708</v>
      </c>
      <c r="O658" t="s">
        <v>3190</v>
      </c>
      <c r="P658" t="s">
        <v>1452</v>
      </c>
      <c r="Q658">
        <v>2</v>
      </c>
      <c r="R658">
        <v>2</v>
      </c>
    </row>
    <row r="659" spans="1:18" x14ac:dyDescent="0.3">
      <c r="A659" t="s">
        <v>1433</v>
      </c>
      <c r="B659" t="s">
        <v>1434</v>
      </c>
      <c r="C659" t="s">
        <v>299</v>
      </c>
      <c r="D659" t="s">
        <v>29</v>
      </c>
      <c r="E659" t="s">
        <v>30</v>
      </c>
      <c r="F659" s="6">
        <v>45657</v>
      </c>
      <c r="G659">
        <v>2024</v>
      </c>
      <c r="H659" t="s">
        <v>57</v>
      </c>
      <c r="I659" t="s">
        <v>78</v>
      </c>
      <c r="J659">
        <v>36</v>
      </c>
      <c r="K659">
        <v>123</v>
      </c>
      <c r="L659">
        <v>1.3</v>
      </c>
      <c r="M659">
        <v>3.416666666666667</v>
      </c>
      <c r="N659" t="s">
        <v>5705</v>
      </c>
      <c r="O659" t="s">
        <v>3190</v>
      </c>
      <c r="P659" t="s">
        <v>1458</v>
      </c>
      <c r="Q659">
        <v>2</v>
      </c>
      <c r="R659">
        <v>2</v>
      </c>
    </row>
    <row r="660" spans="1:18" x14ac:dyDescent="0.3">
      <c r="A660" t="s">
        <v>1433</v>
      </c>
      <c r="B660" t="s">
        <v>1434</v>
      </c>
      <c r="C660" t="s">
        <v>299</v>
      </c>
      <c r="D660" t="s">
        <v>29</v>
      </c>
      <c r="E660" t="s">
        <v>30</v>
      </c>
      <c r="F660" s="6">
        <v>45838</v>
      </c>
      <c r="G660">
        <v>2025</v>
      </c>
      <c r="H660" t="s">
        <v>44</v>
      </c>
      <c r="I660" t="s">
        <v>244</v>
      </c>
      <c r="J660">
        <v>6</v>
      </c>
      <c r="K660">
        <v>143</v>
      </c>
      <c r="L660">
        <v>1.3</v>
      </c>
      <c r="M660">
        <v>23.833333333333329</v>
      </c>
      <c r="N660" t="s">
        <v>5655</v>
      </c>
      <c r="O660" t="s">
        <v>5709</v>
      </c>
      <c r="P660" t="s">
        <v>1473</v>
      </c>
      <c r="Q660">
        <v>2</v>
      </c>
      <c r="R660">
        <v>2</v>
      </c>
    </row>
    <row r="661" spans="1:18" x14ac:dyDescent="0.3">
      <c r="A661" t="s">
        <v>1433</v>
      </c>
      <c r="B661" t="s">
        <v>1434</v>
      </c>
      <c r="C661" t="s">
        <v>299</v>
      </c>
      <c r="D661" t="s">
        <v>29</v>
      </c>
      <c r="E661" t="s">
        <v>30</v>
      </c>
      <c r="F661" s="6">
        <v>46022</v>
      </c>
      <c r="G661">
        <v>2025</v>
      </c>
      <c r="H661" t="s">
        <v>57</v>
      </c>
      <c r="I661" t="s">
        <v>103</v>
      </c>
      <c r="J661">
        <v>4</v>
      </c>
      <c r="K661">
        <v>35</v>
      </c>
      <c r="L661">
        <v>1.3</v>
      </c>
      <c r="M661">
        <v>8.75</v>
      </c>
      <c r="N661" t="s">
        <v>778</v>
      </c>
      <c r="O661" t="s">
        <v>1516</v>
      </c>
      <c r="P661" t="s">
        <v>1481</v>
      </c>
      <c r="Q661">
        <v>2</v>
      </c>
      <c r="R661">
        <v>2</v>
      </c>
    </row>
    <row r="662" spans="1:18" x14ac:dyDescent="0.3">
      <c r="A662" t="s">
        <v>1433</v>
      </c>
      <c r="B662" t="s">
        <v>1434</v>
      </c>
      <c r="C662" t="s">
        <v>299</v>
      </c>
      <c r="D662" t="s">
        <v>29</v>
      </c>
      <c r="E662" t="s">
        <v>30</v>
      </c>
      <c r="F662" s="6">
        <v>46203</v>
      </c>
      <c r="G662">
        <v>2026</v>
      </c>
      <c r="H662" t="s">
        <v>44</v>
      </c>
      <c r="I662" t="s">
        <v>408</v>
      </c>
      <c r="J662">
        <v>1</v>
      </c>
      <c r="L662">
        <v>0</v>
      </c>
      <c r="M662">
        <v>0</v>
      </c>
      <c r="N662" t="s">
        <v>617</v>
      </c>
      <c r="P662" t="s">
        <v>5710</v>
      </c>
      <c r="Q662">
        <v>2</v>
      </c>
      <c r="R662">
        <v>2</v>
      </c>
    </row>
    <row r="663" spans="1:18" x14ac:dyDescent="0.3">
      <c r="A663" t="s">
        <v>1483</v>
      </c>
      <c r="B663" t="s">
        <v>1484</v>
      </c>
      <c r="C663" t="s">
        <v>299</v>
      </c>
      <c r="D663" t="s">
        <v>98</v>
      </c>
      <c r="E663" t="s">
        <v>30</v>
      </c>
      <c r="F663" s="6">
        <v>44926</v>
      </c>
      <c r="G663">
        <v>2022</v>
      </c>
      <c r="H663" t="s">
        <v>57</v>
      </c>
      <c r="I663" t="s">
        <v>90</v>
      </c>
      <c r="K663">
        <v>476.49</v>
      </c>
      <c r="L663">
        <v>0</v>
      </c>
      <c r="M663">
        <v>0</v>
      </c>
      <c r="O663" t="s">
        <v>5711</v>
      </c>
      <c r="P663" t="s">
        <v>1485</v>
      </c>
      <c r="Q663">
        <v>2</v>
      </c>
      <c r="R663">
        <v>2</v>
      </c>
    </row>
    <row r="664" spans="1:18" x14ac:dyDescent="0.3">
      <c r="A664" t="s">
        <v>1483</v>
      </c>
      <c r="B664" t="s">
        <v>1484</v>
      </c>
      <c r="C664" t="s">
        <v>299</v>
      </c>
      <c r="D664" t="s">
        <v>98</v>
      </c>
      <c r="E664" t="s">
        <v>30</v>
      </c>
      <c r="F664" s="6">
        <v>45291</v>
      </c>
      <c r="G664">
        <v>2023</v>
      </c>
      <c r="H664" t="s">
        <v>57</v>
      </c>
      <c r="I664" t="s">
        <v>47</v>
      </c>
      <c r="L664">
        <v>0</v>
      </c>
      <c r="M664">
        <v>0</v>
      </c>
      <c r="P664" t="s">
        <v>1486</v>
      </c>
      <c r="Q664">
        <v>2</v>
      </c>
      <c r="R664">
        <v>2</v>
      </c>
    </row>
    <row r="665" spans="1:18" x14ac:dyDescent="0.3">
      <c r="A665" t="s">
        <v>1483</v>
      </c>
      <c r="B665" t="s">
        <v>1484</v>
      </c>
      <c r="C665" t="s">
        <v>299</v>
      </c>
      <c r="D665" t="s">
        <v>98</v>
      </c>
      <c r="E665" t="s">
        <v>30</v>
      </c>
      <c r="F665" s="6">
        <v>45657</v>
      </c>
      <c r="G665">
        <v>2024</v>
      </c>
      <c r="H665" t="s">
        <v>57</v>
      </c>
      <c r="I665" t="s">
        <v>78</v>
      </c>
      <c r="L665">
        <v>0</v>
      </c>
      <c r="M665">
        <v>0</v>
      </c>
      <c r="P665" t="s">
        <v>1487</v>
      </c>
      <c r="Q665">
        <v>2</v>
      </c>
      <c r="R665">
        <v>2</v>
      </c>
    </row>
    <row r="666" spans="1:18" x14ac:dyDescent="0.3">
      <c r="A666" t="s">
        <v>1483</v>
      </c>
      <c r="B666" t="s">
        <v>1484</v>
      </c>
      <c r="C666" t="s">
        <v>299</v>
      </c>
      <c r="D666" t="s">
        <v>98</v>
      </c>
      <c r="E666" t="s">
        <v>30</v>
      </c>
      <c r="F666" s="6">
        <v>46022</v>
      </c>
      <c r="G666">
        <v>2025</v>
      </c>
      <c r="H666" t="s">
        <v>57</v>
      </c>
      <c r="I666" t="s">
        <v>103</v>
      </c>
      <c r="J666">
        <v>2</v>
      </c>
      <c r="L666">
        <v>0</v>
      </c>
      <c r="M666">
        <v>0</v>
      </c>
      <c r="N666" t="s">
        <v>569</v>
      </c>
      <c r="P666" t="s">
        <v>1488</v>
      </c>
      <c r="Q666">
        <v>2</v>
      </c>
      <c r="R666">
        <v>2</v>
      </c>
    </row>
    <row r="667" spans="1:18" x14ac:dyDescent="0.3">
      <c r="A667" t="s">
        <v>1489</v>
      </c>
      <c r="B667" t="s">
        <v>1490</v>
      </c>
      <c r="C667" t="s">
        <v>299</v>
      </c>
      <c r="D667" t="s">
        <v>98</v>
      </c>
      <c r="E667" t="s">
        <v>108</v>
      </c>
      <c r="F667" s="6">
        <v>44926</v>
      </c>
      <c r="G667">
        <v>2022</v>
      </c>
      <c r="H667" t="s">
        <v>57</v>
      </c>
      <c r="I667" t="s">
        <v>90</v>
      </c>
      <c r="J667">
        <v>0.3</v>
      </c>
      <c r="K667">
        <v>0.1</v>
      </c>
      <c r="L667">
        <v>1.3</v>
      </c>
      <c r="M667">
        <v>3</v>
      </c>
      <c r="N667" t="s">
        <v>1495</v>
      </c>
      <c r="O667" t="s">
        <v>5447</v>
      </c>
      <c r="P667" t="s">
        <v>1491</v>
      </c>
      <c r="Q667">
        <v>2</v>
      </c>
      <c r="R667">
        <v>2</v>
      </c>
    </row>
    <row r="668" spans="1:18" x14ac:dyDescent="0.3">
      <c r="A668" t="s">
        <v>1489</v>
      </c>
      <c r="B668" t="s">
        <v>1490</v>
      </c>
      <c r="C668" t="s">
        <v>299</v>
      </c>
      <c r="D668" t="s">
        <v>98</v>
      </c>
      <c r="E668" t="s">
        <v>108</v>
      </c>
      <c r="F668" s="6">
        <v>45291</v>
      </c>
      <c r="G668">
        <v>2023</v>
      </c>
      <c r="H668" t="s">
        <v>57</v>
      </c>
      <c r="I668" t="s">
        <v>47</v>
      </c>
      <c r="L668">
        <v>0</v>
      </c>
      <c r="M668">
        <v>0</v>
      </c>
      <c r="P668" t="s">
        <v>1492</v>
      </c>
      <c r="Q668">
        <v>2</v>
      </c>
      <c r="R668">
        <v>2</v>
      </c>
    </row>
    <row r="669" spans="1:18" x14ac:dyDescent="0.3">
      <c r="A669" t="s">
        <v>1489</v>
      </c>
      <c r="B669" t="s">
        <v>1490</v>
      </c>
      <c r="C669" t="s">
        <v>299</v>
      </c>
      <c r="D669" t="s">
        <v>98</v>
      </c>
      <c r="E669" t="s">
        <v>108</v>
      </c>
      <c r="F669" s="6">
        <v>45657</v>
      </c>
      <c r="G669">
        <v>2024</v>
      </c>
      <c r="H669" t="s">
        <v>57</v>
      </c>
      <c r="I669" t="s">
        <v>78</v>
      </c>
      <c r="J669">
        <v>0.3</v>
      </c>
      <c r="K669">
        <v>0</v>
      </c>
      <c r="L669">
        <v>0</v>
      </c>
      <c r="M669">
        <v>0</v>
      </c>
      <c r="N669" t="s">
        <v>1495</v>
      </c>
      <c r="O669" t="s">
        <v>122</v>
      </c>
      <c r="P669" t="s">
        <v>1493</v>
      </c>
      <c r="Q669">
        <v>2</v>
      </c>
      <c r="R669">
        <v>2</v>
      </c>
    </row>
    <row r="670" spans="1:18" x14ac:dyDescent="0.3">
      <c r="A670" t="s">
        <v>1489</v>
      </c>
      <c r="B670" t="s">
        <v>1494</v>
      </c>
      <c r="C670" t="s">
        <v>299</v>
      </c>
      <c r="D670" t="s">
        <v>98</v>
      </c>
      <c r="E670" t="s">
        <v>108</v>
      </c>
      <c r="F670" s="6">
        <v>46022</v>
      </c>
      <c r="G670">
        <v>2025</v>
      </c>
      <c r="H670" t="s">
        <v>57</v>
      </c>
      <c r="I670" t="s">
        <v>103</v>
      </c>
      <c r="J670">
        <v>0.3</v>
      </c>
      <c r="L670">
        <v>0</v>
      </c>
      <c r="M670">
        <v>0</v>
      </c>
      <c r="N670" t="s">
        <v>1495</v>
      </c>
      <c r="P670" t="s">
        <v>1496</v>
      </c>
      <c r="Q670">
        <v>2</v>
      </c>
      <c r="R670">
        <v>2</v>
      </c>
    </row>
    <row r="671" spans="1:18" x14ac:dyDescent="0.3">
      <c r="A671" t="s">
        <v>1497</v>
      </c>
      <c r="B671" t="s">
        <v>1498</v>
      </c>
      <c r="C671" t="s">
        <v>299</v>
      </c>
      <c r="D671" t="s">
        <v>98</v>
      </c>
      <c r="E671" t="s">
        <v>30</v>
      </c>
      <c r="F671" s="6">
        <v>44926</v>
      </c>
      <c r="G671">
        <v>2022</v>
      </c>
      <c r="H671" t="s">
        <v>57</v>
      </c>
      <c r="I671" t="s">
        <v>90</v>
      </c>
      <c r="J671">
        <v>170.99</v>
      </c>
      <c r="K671">
        <v>235</v>
      </c>
      <c r="L671">
        <v>1.3</v>
      </c>
      <c r="M671">
        <v>1.3743493771565589</v>
      </c>
      <c r="N671" t="s">
        <v>5712</v>
      </c>
      <c r="O671" t="s">
        <v>5713</v>
      </c>
      <c r="P671" t="s">
        <v>1500</v>
      </c>
      <c r="Q671">
        <v>2</v>
      </c>
      <c r="R671">
        <v>2</v>
      </c>
    </row>
    <row r="672" spans="1:18" x14ac:dyDescent="0.3">
      <c r="A672" t="s">
        <v>1497</v>
      </c>
      <c r="B672" t="s">
        <v>1498</v>
      </c>
      <c r="C672" t="s">
        <v>299</v>
      </c>
      <c r="D672" t="s">
        <v>98</v>
      </c>
      <c r="E672" t="s">
        <v>30</v>
      </c>
      <c r="F672" s="6">
        <v>45291</v>
      </c>
      <c r="G672">
        <v>2023</v>
      </c>
      <c r="H672" t="s">
        <v>57</v>
      </c>
      <c r="I672" t="s">
        <v>47</v>
      </c>
      <c r="J672">
        <v>476.48</v>
      </c>
      <c r="K672">
        <v>477</v>
      </c>
      <c r="L672">
        <v>1.0010913364674281</v>
      </c>
      <c r="M672">
        <v>1.0010913364674281</v>
      </c>
      <c r="N672" t="s">
        <v>5714</v>
      </c>
      <c r="O672" t="s">
        <v>5715</v>
      </c>
      <c r="P672" t="s">
        <v>1501</v>
      </c>
      <c r="Q672">
        <v>2</v>
      </c>
      <c r="R672">
        <v>2</v>
      </c>
    </row>
    <row r="673" spans="1:18" x14ac:dyDescent="0.3">
      <c r="A673" t="s">
        <v>1497</v>
      </c>
      <c r="B673" t="s">
        <v>1498</v>
      </c>
      <c r="C673" t="s">
        <v>299</v>
      </c>
      <c r="D673" t="s">
        <v>98</v>
      </c>
      <c r="E673" t="s">
        <v>30</v>
      </c>
      <c r="F673" s="6">
        <v>45657</v>
      </c>
      <c r="G673">
        <v>2024</v>
      </c>
      <c r="H673" t="s">
        <v>57</v>
      </c>
      <c r="I673" t="s">
        <v>78</v>
      </c>
      <c r="J673">
        <v>622.68999999999994</v>
      </c>
      <c r="K673">
        <v>622.68999999999994</v>
      </c>
      <c r="L673">
        <v>1</v>
      </c>
      <c r="M673">
        <v>1</v>
      </c>
      <c r="N673" t="s">
        <v>5716</v>
      </c>
      <c r="O673" t="s">
        <v>5716</v>
      </c>
      <c r="P673" t="s">
        <v>1502</v>
      </c>
      <c r="Q673">
        <v>2</v>
      </c>
      <c r="R673">
        <v>2</v>
      </c>
    </row>
    <row r="674" spans="1:18" x14ac:dyDescent="0.3">
      <c r="A674" t="s">
        <v>1503</v>
      </c>
      <c r="B674" t="s">
        <v>1504</v>
      </c>
      <c r="C674" t="s">
        <v>299</v>
      </c>
      <c r="D674" t="s">
        <v>222</v>
      </c>
      <c r="E674" t="s">
        <v>30</v>
      </c>
      <c r="F674" s="6">
        <v>45107</v>
      </c>
      <c r="G674">
        <v>2023</v>
      </c>
      <c r="H674" t="s">
        <v>44</v>
      </c>
      <c r="I674" t="s">
        <v>33</v>
      </c>
      <c r="J674">
        <v>15</v>
      </c>
      <c r="K674">
        <v>15</v>
      </c>
      <c r="L674">
        <v>1</v>
      </c>
      <c r="M674">
        <v>1</v>
      </c>
      <c r="N674" t="s">
        <v>3932</v>
      </c>
      <c r="O674" t="s">
        <v>3932</v>
      </c>
      <c r="P674" t="s">
        <v>1505</v>
      </c>
      <c r="Q674">
        <v>2</v>
      </c>
      <c r="R674">
        <v>2</v>
      </c>
    </row>
    <row r="675" spans="1:18" x14ac:dyDescent="0.3">
      <c r="A675" t="s">
        <v>1503</v>
      </c>
      <c r="B675" t="s">
        <v>1504</v>
      </c>
      <c r="C675" t="s">
        <v>299</v>
      </c>
      <c r="D675" t="s">
        <v>222</v>
      </c>
      <c r="E675" t="s">
        <v>30</v>
      </c>
      <c r="F675" s="6">
        <v>45291</v>
      </c>
      <c r="G675">
        <v>2023</v>
      </c>
      <c r="H675" t="s">
        <v>57</v>
      </c>
      <c r="I675" t="s">
        <v>47</v>
      </c>
      <c r="J675">
        <v>15</v>
      </c>
      <c r="L675">
        <v>0</v>
      </c>
      <c r="M675">
        <v>0</v>
      </c>
      <c r="N675" t="s">
        <v>3932</v>
      </c>
      <c r="P675" t="s">
        <v>1506</v>
      </c>
      <c r="Q675">
        <v>2</v>
      </c>
      <c r="R675">
        <v>2</v>
      </c>
    </row>
    <row r="676" spans="1:18" x14ac:dyDescent="0.3">
      <c r="A676" t="s">
        <v>1503</v>
      </c>
      <c r="B676" t="s">
        <v>1504</v>
      </c>
      <c r="C676" t="s">
        <v>299</v>
      </c>
      <c r="D676" t="s">
        <v>222</v>
      </c>
      <c r="E676" t="s">
        <v>30</v>
      </c>
      <c r="F676" s="6">
        <v>45473</v>
      </c>
      <c r="G676">
        <v>2024</v>
      </c>
      <c r="H676" t="s">
        <v>44</v>
      </c>
      <c r="I676" t="s">
        <v>71</v>
      </c>
      <c r="J676">
        <v>90</v>
      </c>
      <c r="K676">
        <v>100</v>
      </c>
      <c r="L676">
        <v>1.1111111111111109</v>
      </c>
      <c r="M676">
        <v>1.1111111111111109</v>
      </c>
      <c r="N676" t="s">
        <v>256</v>
      </c>
      <c r="O676" t="s">
        <v>102</v>
      </c>
      <c r="P676" t="s">
        <v>1507</v>
      </c>
      <c r="Q676">
        <v>2</v>
      </c>
      <c r="R676">
        <v>2</v>
      </c>
    </row>
    <row r="677" spans="1:18" x14ac:dyDescent="0.3">
      <c r="A677" t="s">
        <v>1503</v>
      </c>
      <c r="B677" t="s">
        <v>1504</v>
      </c>
      <c r="C677" t="s">
        <v>299</v>
      </c>
      <c r="D677" t="s">
        <v>222</v>
      </c>
      <c r="E677" t="s">
        <v>30</v>
      </c>
      <c r="F677" s="6">
        <v>45657</v>
      </c>
      <c r="G677">
        <v>2024</v>
      </c>
      <c r="H677" t="s">
        <v>57</v>
      </c>
      <c r="I677" t="s">
        <v>78</v>
      </c>
      <c r="J677">
        <v>90</v>
      </c>
      <c r="K677">
        <v>100</v>
      </c>
      <c r="L677">
        <v>1.1111111111111109</v>
      </c>
      <c r="M677">
        <v>1.1111111111111109</v>
      </c>
      <c r="N677" t="s">
        <v>256</v>
      </c>
      <c r="O677" t="s">
        <v>102</v>
      </c>
      <c r="P677" t="s">
        <v>1508</v>
      </c>
      <c r="Q677">
        <v>2</v>
      </c>
      <c r="R677">
        <v>2</v>
      </c>
    </row>
    <row r="678" spans="1:18" x14ac:dyDescent="0.3">
      <c r="A678" t="s">
        <v>1503</v>
      </c>
      <c r="B678" t="s">
        <v>1504</v>
      </c>
      <c r="C678" t="s">
        <v>299</v>
      </c>
      <c r="D678" t="s">
        <v>222</v>
      </c>
      <c r="E678" t="s">
        <v>30</v>
      </c>
      <c r="F678" s="6">
        <v>45838</v>
      </c>
      <c r="G678">
        <v>2025</v>
      </c>
      <c r="H678" t="s">
        <v>44</v>
      </c>
      <c r="I678" t="s">
        <v>244</v>
      </c>
      <c r="J678">
        <v>90</v>
      </c>
      <c r="K678">
        <v>100</v>
      </c>
      <c r="L678">
        <v>1.1111111111111109</v>
      </c>
      <c r="M678">
        <v>1.1111111111111109</v>
      </c>
      <c r="N678" t="s">
        <v>256</v>
      </c>
      <c r="O678" t="s">
        <v>102</v>
      </c>
      <c r="P678" t="s">
        <v>1509</v>
      </c>
      <c r="Q678">
        <v>2</v>
      </c>
      <c r="R678">
        <v>2</v>
      </c>
    </row>
    <row r="679" spans="1:18" x14ac:dyDescent="0.3">
      <c r="A679" t="s">
        <v>1510</v>
      </c>
      <c r="B679" t="s">
        <v>1511</v>
      </c>
      <c r="C679" t="s">
        <v>299</v>
      </c>
      <c r="D679" t="s">
        <v>222</v>
      </c>
      <c r="E679" t="s">
        <v>30</v>
      </c>
      <c r="F679" s="6">
        <v>45107</v>
      </c>
      <c r="G679">
        <v>2023</v>
      </c>
      <c r="H679" t="s">
        <v>44</v>
      </c>
      <c r="I679" t="s">
        <v>33</v>
      </c>
      <c r="J679">
        <v>35</v>
      </c>
      <c r="K679">
        <v>38.235294117647101</v>
      </c>
      <c r="L679">
        <v>1.092436974789917</v>
      </c>
      <c r="M679">
        <v>1.092436974789917</v>
      </c>
      <c r="N679" t="s">
        <v>1516</v>
      </c>
      <c r="O679" t="s">
        <v>5717</v>
      </c>
      <c r="P679" t="s">
        <v>1512</v>
      </c>
      <c r="Q679">
        <v>2</v>
      </c>
      <c r="R679">
        <v>2</v>
      </c>
    </row>
    <row r="680" spans="1:18" x14ac:dyDescent="0.3">
      <c r="A680" t="s">
        <v>1510</v>
      </c>
      <c r="B680" t="s">
        <v>1511</v>
      </c>
      <c r="C680" t="s">
        <v>299</v>
      </c>
      <c r="D680" t="s">
        <v>222</v>
      </c>
      <c r="E680" t="s">
        <v>30</v>
      </c>
      <c r="F680" s="6">
        <v>45291</v>
      </c>
      <c r="G680">
        <v>2023</v>
      </c>
      <c r="H680" t="s">
        <v>57</v>
      </c>
      <c r="I680" t="s">
        <v>47</v>
      </c>
      <c r="J680">
        <v>35</v>
      </c>
      <c r="L680">
        <v>0</v>
      </c>
      <c r="M680">
        <v>0</v>
      </c>
      <c r="N680" t="s">
        <v>1516</v>
      </c>
      <c r="P680" t="s">
        <v>1513</v>
      </c>
      <c r="Q680">
        <v>2</v>
      </c>
      <c r="R680">
        <v>2</v>
      </c>
    </row>
    <row r="681" spans="1:18" x14ac:dyDescent="0.3">
      <c r="A681" t="s">
        <v>1510</v>
      </c>
      <c r="B681" t="s">
        <v>1511</v>
      </c>
      <c r="C681" t="s">
        <v>299</v>
      </c>
      <c r="D681" t="s">
        <v>222</v>
      </c>
      <c r="E681" t="s">
        <v>30</v>
      </c>
      <c r="F681" s="6">
        <v>45473</v>
      </c>
      <c r="G681">
        <v>2024</v>
      </c>
      <c r="H681" t="s">
        <v>44</v>
      </c>
      <c r="I681" t="s">
        <v>71</v>
      </c>
      <c r="J681">
        <v>35</v>
      </c>
      <c r="K681">
        <v>95.38</v>
      </c>
      <c r="L681">
        <v>1.3</v>
      </c>
      <c r="M681">
        <v>2.7251428571428571</v>
      </c>
      <c r="N681" t="s">
        <v>1516</v>
      </c>
      <c r="O681" t="s">
        <v>5718</v>
      </c>
      <c r="P681" t="s">
        <v>1514</v>
      </c>
      <c r="Q681">
        <v>2</v>
      </c>
      <c r="R681">
        <v>2</v>
      </c>
    </row>
    <row r="682" spans="1:18" x14ac:dyDescent="0.3">
      <c r="A682" t="s">
        <v>1510</v>
      </c>
      <c r="B682" t="s">
        <v>1511</v>
      </c>
      <c r="C682" t="s">
        <v>299</v>
      </c>
      <c r="D682" t="s">
        <v>222</v>
      </c>
      <c r="E682" t="s">
        <v>30</v>
      </c>
      <c r="F682" s="6">
        <v>45657</v>
      </c>
      <c r="G682">
        <v>2024</v>
      </c>
      <c r="H682" t="s">
        <v>57</v>
      </c>
      <c r="I682" t="s">
        <v>78</v>
      </c>
      <c r="J682">
        <v>35</v>
      </c>
      <c r="K682">
        <v>104.19</v>
      </c>
      <c r="L682">
        <v>1.3</v>
      </c>
      <c r="M682">
        <v>2.9768571428571429</v>
      </c>
      <c r="N682" t="s">
        <v>1516</v>
      </c>
      <c r="O682" t="s">
        <v>5719</v>
      </c>
      <c r="P682" t="s">
        <v>1515</v>
      </c>
      <c r="Q682">
        <v>2</v>
      </c>
      <c r="R682">
        <v>2</v>
      </c>
    </row>
    <row r="683" spans="1:18" x14ac:dyDescent="0.3">
      <c r="A683" t="s">
        <v>1510</v>
      </c>
      <c r="B683" t="s">
        <v>1511</v>
      </c>
      <c r="C683" t="s">
        <v>299</v>
      </c>
      <c r="D683" t="s">
        <v>222</v>
      </c>
      <c r="E683" t="s">
        <v>30</v>
      </c>
      <c r="F683" s="6">
        <v>45838</v>
      </c>
      <c r="G683">
        <v>2025</v>
      </c>
      <c r="H683" t="s">
        <v>44</v>
      </c>
      <c r="I683" t="s">
        <v>244</v>
      </c>
      <c r="J683">
        <v>35</v>
      </c>
      <c r="K683">
        <v>100</v>
      </c>
      <c r="L683">
        <v>1.3</v>
      </c>
      <c r="M683">
        <v>2.8571428571428572</v>
      </c>
      <c r="N683" t="s">
        <v>1516</v>
      </c>
      <c r="O683" t="s">
        <v>102</v>
      </c>
      <c r="P683" t="s">
        <v>1517</v>
      </c>
      <c r="Q683">
        <v>2</v>
      </c>
      <c r="R683">
        <v>2</v>
      </c>
    </row>
    <row r="684" spans="1:18" x14ac:dyDescent="0.3">
      <c r="A684" t="s">
        <v>1518</v>
      </c>
      <c r="B684" t="s">
        <v>1519</v>
      </c>
      <c r="C684" t="s">
        <v>299</v>
      </c>
      <c r="D684" t="s">
        <v>222</v>
      </c>
      <c r="E684" t="s">
        <v>30</v>
      </c>
      <c r="F684" s="6">
        <v>45107</v>
      </c>
      <c r="G684">
        <v>2023</v>
      </c>
      <c r="H684" t="s">
        <v>44</v>
      </c>
      <c r="I684" t="s">
        <v>33</v>
      </c>
      <c r="J684">
        <v>21</v>
      </c>
      <c r="K684">
        <v>21</v>
      </c>
      <c r="L684">
        <v>1</v>
      </c>
      <c r="M684">
        <v>1</v>
      </c>
      <c r="N684" t="s">
        <v>1465</v>
      </c>
      <c r="O684" t="s">
        <v>1465</v>
      </c>
      <c r="P684" t="s">
        <v>1520</v>
      </c>
      <c r="Q684">
        <v>2</v>
      </c>
      <c r="R684">
        <v>2</v>
      </c>
    </row>
    <row r="685" spans="1:18" x14ac:dyDescent="0.3">
      <c r="A685" t="s">
        <v>1518</v>
      </c>
      <c r="B685" t="s">
        <v>1519</v>
      </c>
      <c r="C685" t="s">
        <v>299</v>
      </c>
      <c r="D685" t="s">
        <v>222</v>
      </c>
      <c r="E685" t="s">
        <v>30</v>
      </c>
      <c r="F685" s="6">
        <v>45291</v>
      </c>
      <c r="G685">
        <v>2023</v>
      </c>
      <c r="H685" t="s">
        <v>57</v>
      </c>
      <c r="I685" t="s">
        <v>47</v>
      </c>
      <c r="J685">
        <v>21</v>
      </c>
      <c r="L685">
        <v>0</v>
      </c>
      <c r="M685">
        <v>0</v>
      </c>
      <c r="N685" t="s">
        <v>1465</v>
      </c>
      <c r="P685" t="s">
        <v>1521</v>
      </c>
      <c r="Q685">
        <v>2</v>
      </c>
      <c r="R685">
        <v>2</v>
      </c>
    </row>
    <row r="686" spans="1:18" x14ac:dyDescent="0.3">
      <c r="A686" t="s">
        <v>1518</v>
      </c>
      <c r="B686" t="s">
        <v>1519</v>
      </c>
      <c r="C686" t="s">
        <v>299</v>
      </c>
      <c r="D686" t="s">
        <v>222</v>
      </c>
      <c r="E686" t="s">
        <v>30</v>
      </c>
      <c r="F686" s="6">
        <v>45473</v>
      </c>
      <c r="G686">
        <v>2024</v>
      </c>
      <c r="H686" t="s">
        <v>44</v>
      </c>
      <c r="I686" t="s">
        <v>71</v>
      </c>
      <c r="J686">
        <v>90</v>
      </c>
      <c r="K686">
        <v>95.45</v>
      </c>
      <c r="L686">
        <v>1.0605555555555559</v>
      </c>
      <c r="M686">
        <v>1.0605555555555559</v>
      </c>
      <c r="N686" t="s">
        <v>256</v>
      </c>
      <c r="O686" t="s">
        <v>5720</v>
      </c>
      <c r="P686" t="s">
        <v>1522</v>
      </c>
      <c r="Q686">
        <v>2</v>
      </c>
      <c r="R686">
        <v>2</v>
      </c>
    </row>
    <row r="687" spans="1:18" x14ac:dyDescent="0.3">
      <c r="A687" t="s">
        <v>1518</v>
      </c>
      <c r="B687" t="s">
        <v>1519</v>
      </c>
      <c r="C687" t="s">
        <v>299</v>
      </c>
      <c r="D687" t="s">
        <v>222</v>
      </c>
      <c r="E687" t="s">
        <v>30</v>
      </c>
      <c r="F687" s="6">
        <v>45657</v>
      </c>
      <c r="G687">
        <v>2024</v>
      </c>
      <c r="H687" t="s">
        <v>57</v>
      </c>
      <c r="I687" t="s">
        <v>78</v>
      </c>
      <c r="J687">
        <v>90</v>
      </c>
      <c r="K687">
        <v>100</v>
      </c>
      <c r="L687">
        <v>1.1111111111111109</v>
      </c>
      <c r="M687">
        <v>1.1111111111111109</v>
      </c>
      <c r="N687" t="s">
        <v>256</v>
      </c>
      <c r="O687" t="s">
        <v>102</v>
      </c>
      <c r="P687" t="s">
        <v>1523</v>
      </c>
      <c r="Q687">
        <v>2</v>
      </c>
      <c r="R687">
        <v>2</v>
      </c>
    </row>
    <row r="688" spans="1:18" x14ac:dyDescent="0.3">
      <c r="A688" t="s">
        <v>1518</v>
      </c>
      <c r="B688" t="s">
        <v>1519</v>
      </c>
      <c r="C688" t="s">
        <v>299</v>
      </c>
      <c r="D688" t="s">
        <v>222</v>
      </c>
      <c r="E688" t="s">
        <v>30</v>
      </c>
      <c r="F688" s="6">
        <v>45838</v>
      </c>
      <c r="G688">
        <v>2025</v>
      </c>
      <c r="H688" t="s">
        <v>44</v>
      </c>
      <c r="I688" t="s">
        <v>244</v>
      </c>
      <c r="J688">
        <v>90</v>
      </c>
      <c r="K688">
        <v>84.62</v>
      </c>
      <c r="L688">
        <v>0.94022222222222229</v>
      </c>
      <c r="M688">
        <v>0.94022222222222229</v>
      </c>
      <c r="N688" t="s">
        <v>256</v>
      </c>
      <c r="O688" t="s">
        <v>1525</v>
      </c>
      <c r="P688" t="s">
        <v>1526</v>
      </c>
      <c r="Q688">
        <v>2</v>
      </c>
      <c r="R688">
        <v>2</v>
      </c>
    </row>
    <row r="689" spans="1:18" x14ac:dyDescent="0.3">
      <c r="A689" t="s">
        <v>1527</v>
      </c>
      <c r="B689" t="s">
        <v>1528</v>
      </c>
      <c r="C689" t="s">
        <v>299</v>
      </c>
      <c r="D689" t="s">
        <v>233</v>
      </c>
      <c r="E689" t="s">
        <v>30</v>
      </c>
      <c r="F689" s="6">
        <v>45107</v>
      </c>
      <c r="G689">
        <v>2023</v>
      </c>
      <c r="H689" t="s">
        <v>44</v>
      </c>
      <c r="I689" t="s">
        <v>33</v>
      </c>
      <c r="J689">
        <v>20</v>
      </c>
      <c r="K689">
        <v>50.994999999999997</v>
      </c>
      <c r="L689">
        <v>1.3</v>
      </c>
      <c r="M689">
        <v>2.54975</v>
      </c>
      <c r="N689" t="s">
        <v>1298</v>
      </c>
      <c r="O689" t="s">
        <v>5415</v>
      </c>
      <c r="P689" t="s">
        <v>1530</v>
      </c>
      <c r="Q689">
        <v>2</v>
      </c>
      <c r="R689">
        <v>2</v>
      </c>
    </row>
    <row r="690" spans="1:18" x14ac:dyDescent="0.3">
      <c r="A690" t="s">
        <v>1527</v>
      </c>
      <c r="B690" t="s">
        <v>1528</v>
      </c>
      <c r="C690" t="s">
        <v>299</v>
      </c>
      <c r="D690" t="s">
        <v>233</v>
      </c>
      <c r="E690" t="s">
        <v>30</v>
      </c>
      <c r="F690" s="6">
        <v>45291</v>
      </c>
      <c r="G690">
        <v>2023</v>
      </c>
      <c r="H690" t="s">
        <v>57</v>
      </c>
      <c r="I690" t="s">
        <v>47</v>
      </c>
      <c r="J690">
        <v>20</v>
      </c>
      <c r="L690">
        <v>0</v>
      </c>
      <c r="M690">
        <v>0</v>
      </c>
      <c r="N690" t="s">
        <v>1298</v>
      </c>
      <c r="P690" t="s">
        <v>1532</v>
      </c>
      <c r="Q690">
        <v>2</v>
      </c>
      <c r="R690">
        <v>2</v>
      </c>
    </row>
    <row r="691" spans="1:18" x14ac:dyDescent="0.3">
      <c r="A691" t="s">
        <v>1527</v>
      </c>
      <c r="B691" t="s">
        <v>1528</v>
      </c>
      <c r="C691" t="s">
        <v>299</v>
      </c>
      <c r="D691" t="s">
        <v>233</v>
      </c>
      <c r="E691" t="s">
        <v>30</v>
      </c>
      <c r="F691" s="6">
        <v>45473</v>
      </c>
      <c r="G691">
        <v>2024</v>
      </c>
      <c r="H691" t="s">
        <v>44</v>
      </c>
      <c r="I691" t="s">
        <v>71</v>
      </c>
      <c r="J691">
        <v>20</v>
      </c>
      <c r="K691">
        <v>49.895000000000003</v>
      </c>
      <c r="L691">
        <v>1.3</v>
      </c>
      <c r="M691">
        <v>2.4947499999999998</v>
      </c>
      <c r="N691" t="s">
        <v>1298</v>
      </c>
      <c r="O691" t="s">
        <v>5721</v>
      </c>
      <c r="P691" t="s">
        <v>1534</v>
      </c>
      <c r="Q691">
        <v>2</v>
      </c>
      <c r="R691">
        <v>2</v>
      </c>
    </row>
    <row r="692" spans="1:18" x14ac:dyDescent="0.3">
      <c r="A692" t="s">
        <v>1527</v>
      </c>
      <c r="B692" t="s">
        <v>1528</v>
      </c>
      <c r="C692" t="s">
        <v>299</v>
      </c>
      <c r="D692" t="s">
        <v>233</v>
      </c>
      <c r="E692" t="s">
        <v>30</v>
      </c>
      <c r="F692" s="6">
        <v>45657</v>
      </c>
      <c r="G692">
        <v>2024</v>
      </c>
      <c r="H692" t="s">
        <v>57</v>
      </c>
      <c r="I692" t="s">
        <v>78</v>
      </c>
      <c r="J692">
        <v>20</v>
      </c>
      <c r="K692">
        <v>31.82</v>
      </c>
      <c r="L692">
        <v>1.3</v>
      </c>
      <c r="M692">
        <v>1.591</v>
      </c>
      <c r="N692" t="s">
        <v>1298</v>
      </c>
      <c r="O692" t="s">
        <v>5722</v>
      </c>
      <c r="P692" t="s">
        <v>1536</v>
      </c>
      <c r="Q692">
        <v>2</v>
      </c>
      <c r="R692">
        <v>2</v>
      </c>
    </row>
    <row r="693" spans="1:18" x14ac:dyDescent="0.3">
      <c r="A693" t="s">
        <v>1527</v>
      </c>
      <c r="B693" t="s">
        <v>1528</v>
      </c>
      <c r="C693" t="s">
        <v>299</v>
      </c>
      <c r="D693" t="s">
        <v>233</v>
      </c>
      <c r="E693" t="s">
        <v>30</v>
      </c>
      <c r="F693" s="6">
        <v>45838</v>
      </c>
      <c r="G693">
        <v>2025</v>
      </c>
      <c r="H693" t="s">
        <v>44</v>
      </c>
      <c r="I693" t="s">
        <v>244</v>
      </c>
      <c r="J693">
        <v>20</v>
      </c>
      <c r="K693">
        <v>22.315000000000001</v>
      </c>
      <c r="L693">
        <v>1.11575</v>
      </c>
      <c r="M693">
        <v>1.11575</v>
      </c>
      <c r="N693" t="s">
        <v>1298</v>
      </c>
      <c r="O693" t="s">
        <v>5723</v>
      </c>
      <c r="P693" t="s">
        <v>1542</v>
      </c>
      <c r="Q693">
        <v>2</v>
      </c>
      <c r="R693">
        <v>2</v>
      </c>
    </row>
    <row r="694" spans="1:18" x14ac:dyDescent="0.3">
      <c r="A694" t="s">
        <v>1543</v>
      </c>
      <c r="B694" t="s">
        <v>1544</v>
      </c>
      <c r="C694" t="s">
        <v>299</v>
      </c>
      <c r="D694" t="s">
        <v>233</v>
      </c>
      <c r="E694" t="s">
        <v>30</v>
      </c>
      <c r="F694" s="6">
        <v>45107</v>
      </c>
      <c r="G694">
        <v>2023</v>
      </c>
      <c r="H694" t="s">
        <v>44</v>
      </c>
      <c r="I694" t="s">
        <v>33</v>
      </c>
      <c r="J694">
        <v>4000</v>
      </c>
      <c r="K694">
        <v>9203.375</v>
      </c>
      <c r="L694">
        <v>1.3</v>
      </c>
      <c r="M694">
        <v>2.3008437499999999</v>
      </c>
      <c r="N694" t="s">
        <v>1554</v>
      </c>
      <c r="O694" t="s">
        <v>5724</v>
      </c>
      <c r="P694" t="s">
        <v>1546</v>
      </c>
      <c r="Q694">
        <v>2</v>
      </c>
      <c r="R694">
        <v>2</v>
      </c>
    </row>
    <row r="695" spans="1:18" x14ac:dyDescent="0.3">
      <c r="A695" t="s">
        <v>1543</v>
      </c>
      <c r="B695" t="s">
        <v>1544</v>
      </c>
      <c r="C695" t="s">
        <v>299</v>
      </c>
      <c r="D695" t="s">
        <v>233</v>
      </c>
      <c r="E695" t="s">
        <v>30</v>
      </c>
      <c r="F695" s="6">
        <v>45291</v>
      </c>
      <c r="G695">
        <v>2023</v>
      </c>
      <c r="H695" t="s">
        <v>57</v>
      </c>
      <c r="I695" t="s">
        <v>47</v>
      </c>
      <c r="J695">
        <v>4000</v>
      </c>
      <c r="L695">
        <v>0</v>
      </c>
      <c r="M695">
        <v>0</v>
      </c>
      <c r="N695" t="s">
        <v>1554</v>
      </c>
      <c r="P695" t="s">
        <v>1548</v>
      </c>
      <c r="Q695">
        <v>2</v>
      </c>
      <c r="R695">
        <v>2</v>
      </c>
    </row>
    <row r="696" spans="1:18" x14ac:dyDescent="0.3">
      <c r="A696" t="s">
        <v>1543</v>
      </c>
      <c r="B696" t="s">
        <v>1544</v>
      </c>
      <c r="C696" t="s">
        <v>299</v>
      </c>
      <c r="D696" t="s">
        <v>233</v>
      </c>
      <c r="E696" t="s">
        <v>30</v>
      </c>
      <c r="F696" s="6">
        <v>45473</v>
      </c>
      <c r="G696">
        <v>2024</v>
      </c>
      <c r="H696" t="s">
        <v>44</v>
      </c>
      <c r="I696" t="s">
        <v>71</v>
      </c>
      <c r="J696">
        <v>4000</v>
      </c>
      <c r="K696">
        <v>2233.75</v>
      </c>
      <c r="L696">
        <v>0.55843750000000003</v>
      </c>
      <c r="M696">
        <v>0.55843750000000003</v>
      </c>
      <c r="N696" t="s">
        <v>1554</v>
      </c>
      <c r="O696" t="s">
        <v>5725</v>
      </c>
      <c r="P696" t="s">
        <v>1550</v>
      </c>
      <c r="Q696">
        <v>2</v>
      </c>
      <c r="R696">
        <v>2</v>
      </c>
    </row>
    <row r="697" spans="1:18" x14ac:dyDescent="0.3">
      <c r="A697" t="s">
        <v>1543</v>
      </c>
      <c r="B697" t="s">
        <v>1544</v>
      </c>
      <c r="C697" t="s">
        <v>299</v>
      </c>
      <c r="D697" t="s">
        <v>233</v>
      </c>
      <c r="E697" t="s">
        <v>30</v>
      </c>
      <c r="F697" s="6">
        <v>45657</v>
      </c>
      <c r="G697">
        <v>2024</v>
      </c>
      <c r="H697" t="s">
        <v>57</v>
      </c>
      <c r="I697" t="s">
        <v>78</v>
      </c>
      <c r="J697">
        <v>4000</v>
      </c>
      <c r="K697">
        <v>4218</v>
      </c>
      <c r="L697">
        <v>1.0545</v>
      </c>
      <c r="M697">
        <v>1.0545</v>
      </c>
      <c r="N697" t="s">
        <v>1554</v>
      </c>
      <c r="O697" t="s">
        <v>5726</v>
      </c>
      <c r="P697" t="s">
        <v>1552</v>
      </c>
      <c r="Q697">
        <v>2</v>
      </c>
      <c r="R697">
        <v>2</v>
      </c>
    </row>
    <row r="698" spans="1:18" x14ac:dyDescent="0.3">
      <c r="A698" t="s">
        <v>1543</v>
      </c>
      <c r="B698" t="s">
        <v>1544</v>
      </c>
      <c r="C698" t="s">
        <v>299</v>
      </c>
      <c r="D698" t="s">
        <v>233</v>
      </c>
      <c r="E698" t="s">
        <v>30</v>
      </c>
      <c r="F698" s="6">
        <v>45838</v>
      </c>
      <c r="G698">
        <v>2025</v>
      </c>
      <c r="H698" t="s">
        <v>44</v>
      </c>
      <c r="I698" t="s">
        <v>244</v>
      </c>
      <c r="J698">
        <v>4000</v>
      </c>
      <c r="K698">
        <v>10577.25</v>
      </c>
      <c r="L698">
        <v>1.3</v>
      </c>
      <c r="M698">
        <v>2.6443124999999998</v>
      </c>
      <c r="N698" t="s">
        <v>1554</v>
      </c>
      <c r="O698" t="s">
        <v>5727</v>
      </c>
      <c r="P698" t="s">
        <v>1559</v>
      </c>
      <c r="Q698">
        <v>2</v>
      </c>
      <c r="R698">
        <v>2</v>
      </c>
    </row>
    <row r="699" spans="1:18" x14ac:dyDescent="0.3">
      <c r="A699" t="s">
        <v>1560</v>
      </c>
      <c r="B699" t="s">
        <v>1561</v>
      </c>
      <c r="C699" t="s">
        <v>299</v>
      </c>
      <c r="D699" t="s">
        <v>98</v>
      </c>
      <c r="E699" t="s">
        <v>30</v>
      </c>
      <c r="F699" s="6">
        <v>45291</v>
      </c>
      <c r="G699">
        <v>2023</v>
      </c>
      <c r="H699" t="s">
        <v>57</v>
      </c>
      <c r="I699" t="s">
        <v>47</v>
      </c>
      <c r="L699">
        <v>0</v>
      </c>
      <c r="M699">
        <v>0</v>
      </c>
      <c r="P699" t="s">
        <v>1562</v>
      </c>
      <c r="Q699">
        <v>2</v>
      </c>
      <c r="R699">
        <v>2</v>
      </c>
    </row>
    <row r="700" spans="1:18" x14ac:dyDescent="0.3">
      <c r="A700" t="s">
        <v>1560</v>
      </c>
      <c r="B700" t="s">
        <v>1561</v>
      </c>
      <c r="C700" t="s">
        <v>299</v>
      </c>
      <c r="D700" t="s">
        <v>98</v>
      </c>
      <c r="E700" t="s">
        <v>30</v>
      </c>
      <c r="F700" s="6">
        <v>45657</v>
      </c>
      <c r="G700">
        <v>2024</v>
      </c>
      <c r="H700" t="s">
        <v>57</v>
      </c>
      <c r="I700" t="s">
        <v>78</v>
      </c>
      <c r="J700">
        <v>100</v>
      </c>
      <c r="K700">
        <v>92.01</v>
      </c>
      <c r="L700">
        <v>0.92010000000000003</v>
      </c>
      <c r="M700">
        <v>0.92010000000000003</v>
      </c>
      <c r="N700" t="s">
        <v>102</v>
      </c>
      <c r="O700" t="s">
        <v>5728</v>
      </c>
      <c r="P700" t="s">
        <v>1563</v>
      </c>
      <c r="Q700">
        <v>2</v>
      </c>
      <c r="R700">
        <v>2</v>
      </c>
    </row>
    <row r="701" spans="1:18" x14ac:dyDescent="0.3">
      <c r="A701" t="s">
        <v>1564</v>
      </c>
      <c r="B701" t="s">
        <v>1565</v>
      </c>
      <c r="C701" t="s">
        <v>299</v>
      </c>
      <c r="D701" t="s">
        <v>98</v>
      </c>
      <c r="E701" t="s">
        <v>108</v>
      </c>
      <c r="F701" s="6">
        <v>45291</v>
      </c>
      <c r="G701">
        <v>2023</v>
      </c>
      <c r="H701" t="s">
        <v>57</v>
      </c>
      <c r="I701" t="s">
        <v>47</v>
      </c>
      <c r="L701">
        <v>0</v>
      </c>
      <c r="M701">
        <v>0</v>
      </c>
      <c r="P701" t="s">
        <v>1566</v>
      </c>
      <c r="Q701">
        <v>2</v>
      </c>
      <c r="R701">
        <v>2</v>
      </c>
    </row>
    <row r="702" spans="1:18" x14ac:dyDescent="0.3">
      <c r="A702" t="s">
        <v>1564</v>
      </c>
      <c r="B702" t="s">
        <v>1565</v>
      </c>
      <c r="C702" t="s">
        <v>299</v>
      </c>
      <c r="D702" t="s">
        <v>98</v>
      </c>
      <c r="E702" t="s">
        <v>108</v>
      </c>
      <c r="F702" s="6">
        <v>45657</v>
      </c>
      <c r="G702">
        <v>2024</v>
      </c>
      <c r="H702" t="s">
        <v>57</v>
      </c>
      <c r="I702" t="s">
        <v>78</v>
      </c>
      <c r="J702">
        <v>0</v>
      </c>
      <c r="K702">
        <v>0</v>
      </c>
      <c r="L702">
        <v>0</v>
      </c>
      <c r="M702">
        <v>0</v>
      </c>
      <c r="N702" t="s">
        <v>122</v>
      </c>
      <c r="O702" t="s">
        <v>122</v>
      </c>
      <c r="P702" t="s">
        <v>1567</v>
      </c>
      <c r="Q702">
        <v>2</v>
      </c>
      <c r="R702">
        <v>2</v>
      </c>
    </row>
    <row r="703" spans="1:18" x14ac:dyDescent="0.3">
      <c r="A703" t="s">
        <v>1568</v>
      </c>
      <c r="B703" t="s">
        <v>1569</v>
      </c>
      <c r="C703" t="s">
        <v>299</v>
      </c>
      <c r="D703" t="s">
        <v>233</v>
      </c>
      <c r="E703" t="s">
        <v>30</v>
      </c>
      <c r="F703" s="6">
        <v>45107</v>
      </c>
      <c r="G703">
        <v>2023</v>
      </c>
      <c r="H703" t="s">
        <v>44</v>
      </c>
      <c r="I703" t="s">
        <v>33</v>
      </c>
      <c r="J703">
        <v>180</v>
      </c>
      <c r="K703">
        <v>187.03</v>
      </c>
      <c r="L703">
        <v>1.0390555555555561</v>
      </c>
      <c r="M703">
        <v>1.0390555555555561</v>
      </c>
      <c r="N703" t="s">
        <v>5729</v>
      </c>
      <c r="O703" t="s">
        <v>5730</v>
      </c>
      <c r="P703" t="s">
        <v>1571</v>
      </c>
      <c r="Q703">
        <v>2</v>
      </c>
      <c r="R703">
        <v>2</v>
      </c>
    </row>
    <row r="704" spans="1:18" x14ac:dyDescent="0.3">
      <c r="A704" t="s">
        <v>1568</v>
      </c>
      <c r="B704" t="s">
        <v>1569</v>
      </c>
      <c r="C704" t="s">
        <v>299</v>
      </c>
      <c r="D704" t="s">
        <v>233</v>
      </c>
      <c r="E704" t="s">
        <v>30</v>
      </c>
      <c r="F704" s="6">
        <v>45291</v>
      </c>
      <c r="G704">
        <v>2023</v>
      </c>
      <c r="H704" t="s">
        <v>57</v>
      </c>
      <c r="I704" t="s">
        <v>47</v>
      </c>
      <c r="J704">
        <v>180</v>
      </c>
      <c r="K704">
        <v>44.4444444444444</v>
      </c>
      <c r="L704">
        <v>0.24691358024691329</v>
      </c>
      <c r="M704">
        <v>0.24691358024691329</v>
      </c>
      <c r="N704" t="s">
        <v>5729</v>
      </c>
      <c r="O704" t="s">
        <v>5731</v>
      </c>
      <c r="P704" t="s">
        <v>1573</v>
      </c>
      <c r="Q704">
        <v>2</v>
      </c>
      <c r="R704">
        <v>2</v>
      </c>
    </row>
    <row r="705" spans="1:18" x14ac:dyDescent="0.3">
      <c r="A705" t="s">
        <v>1568</v>
      </c>
      <c r="B705" t="s">
        <v>1569</v>
      </c>
      <c r="C705" t="s">
        <v>299</v>
      </c>
      <c r="D705" t="s">
        <v>233</v>
      </c>
      <c r="E705" t="s">
        <v>30</v>
      </c>
      <c r="F705" s="6">
        <v>45473</v>
      </c>
      <c r="G705">
        <v>2024</v>
      </c>
      <c r="H705" t="s">
        <v>44</v>
      </c>
      <c r="I705" t="s">
        <v>71</v>
      </c>
      <c r="J705">
        <v>90</v>
      </c>
      <c r="K705">
        <v>76.19</v>
      </c>
      <c r="L705">
        <v>0.84655555555555551</v>
      </c>
      <c r="M705">
        <v>0.84655555555555551</v>
      </c>
      <c r="N705" t="s">
        <v>256</v>
      </c>
      <c r="O705" t="s">
        <v>5732</v>
      </c>
      <c r="P705" t="s">
        <v>1576</v>
      </c>
      <c r="Q705">
        <v>2</v>
      </c>
      <c r="R705">
        <v>2</v>
      </c>
    </row>
    <row r="706" spans="1:18" x14ac:dyDescent="0.3">
      <c r="A706" t="s">
        <v>1568</v>
      </c>
      <c r="B706" t="s">
        <v>1569</v>
      </c>
      <c r="C706" t="s">
        <v>299</v>
      </c>
      <c r="D706" t="s">
        <v>233</v>
      </c>
      <c r="E706" t="s">
        <v>30</v>
      </c>
      <c r="F706" s="6">
        <v>45657</v>
      </c>
      <c r="G706">
        <v>2024</v>
      </c>
      <c r="H706" t="s">
        <v>57</v>
      </c>
      <c r="I706" t="s">
        <v>78</v>
      </c>
      <c r="J706">
        <v>180</v>
      </c>
      <c r="K706">
        <v>164.21</v>
      </c>
      <c r="L706">
        <v>0.91227777777777763</v>
      </c>
      <c r="M706">
        <v>0.91227777777777763</v>
      </c>
      <c r="N706" t="s">
        <v>5729</v>
      </c>
      <c r="O706" t="s">
        <v>5733</v>
      </c>
      <c r="P706" t="s">
        <v>1578</v>
      </c>
      <c r="Q706">
        <v>2</v>
      </c>
      <c r="R706">
        <v>2</v>
      </c>
    </row>
    <row r="707" spans="1:18" x14ac:dyDescent="0.3">
      <c r="A707" t="s">
        <v>1568</v>
      </c>
      <c r="B707" t="s">
        <v>1569</v>
      </c>
      <c r="C707" t="s">
        <v>299</v>
      </c>
      <c r="D707" t="s">
        <v>233</v>
      </c>
      <c r="E707" t="s">
        <v>30</v>
      </c>
      <c r="F707" s="6">
        <v>45838</v>
      </c>
      <c r="G707">
        <v>2025</v>
      </c>
      <c r="H707" t="s">
        <v>44</v>
      </c>
      <c r="I707" t="s">
        <v>244</v>
      </c>
      <c r="J707">
        <v>180</v>
      </c>
      <c r="K707">
        <v>185.6</v>
      </c>
      <c r="L707">
        <v>1.0311111111111111</v>
      </c>
      <c r="M707">
        <v>1.0311111111111111</v>
      </c>
      <c r="N707" t="s">
        <v>5729</v>
      </c>
      <c r="O707" t="s">
        <v>5734</v>
      </c>
      <c r="P707" t="s">
        <v>1584</v>
      </c>
      <c r="Q707">
        <v>2</v>
      </c>
      <c r="R707">
        <v>2</v>
      </c>
    </row>
    <row r="708" spans="1:18" x14ac:dyDescent="0.3">
      <c r="A708" t="s">
        <v>1585</v>
      </c>
      <c r="B708" t="s">
        <v>1586</v>
      </c>
      <c r="C708" t="s">
        <v>187</v>
      </c>
      <c r="D708" t="s">
        <v>29</v>
      </c>
      <c r="E708" t="s">
        <v>30</v>
      </c>
      <c r="F708" s="6">
        <v>45107</v>
      </c>
      <c r="G708">
        <v>2023</v>
      </c>
      <c r="H708" t="s">
        <v>44</v>
      </c>
      <c r="I708" t="s">
        <v>33</v>
      </c>
      <c r="K708">
        <v>104</v>
      </c>
      <c r="L708">
        <v>0</v>
      </c>
      <c r="M708">
        <v>0</v>
      </c>
      <c r="O708" t="s">
        <v>5735</v>
      </c>
      <c r="P708" t="s">
        <v>1592</v>
      </c>
      <c r="Q708">
        <v>2</v>
      </c>
      <c r="R708">
        <v>2</v>
      </c>
    </row>
    <row r="709" spans="1:18" x14ac:dyDescent="0.3">
      <c r="A709" t="s">
        <v>1585</v>
      </c>
      <c r="B709" t="s">
        <v>1586</v>
      </c>
      <c r="C709" t="s">
        <v>187</v>
      </c>
      <c r="D709" t="s">
        <v>29</v>
      </c>
      <c r="E709" t="s">
        <v>30</v>
      </c>
      <c r="F709" s="6">
        <v>45291</v>
      </c>
      <c r="G709">
        <v>2023</v>
      </c>
      <c r="H709" t="s">
        <v>57</v>
      </c>
      <c r="I709" t="s">
        <v>47</v>
      </c>
      <c r="K709">
        <v>153</v>
      </c>
      <c r="L709">
        <v>0</v>
      </c>
      <c r="M709">
        <v>0</v>
      </c>
      <c r="O709" t="s">
        <v>5736</v>
      </c>
      <c r="P709" t="s">
        <v>1598</v>
      </c>
      <c r="Q709">
        <v>2</v>
      </c>
      <c r="R709">
        <v>2</v>
      </c>
    </row>
    <row r="710" spans="1:18" x14ac:dyDescent="0.3">
      <c r="A710" t="s">
        <v>1585</v>
      </c>
      <c r="B710" t="s">
        <v>1586</v>
      </c>
      <c r="C710" t="s">
        <v>187</v>
      </c>
      <c r="D710" t="s">
        <v>29</v>
      </c>
      <c r="E710" t="s">
        <v>30</v>
      </c>
      <c r="F710" s="6">
        <v>45473</v>
      </c>
      <c r="G710">
        <v>2024</v>
      </c>
      <c r="H710" t="s">
        <v>44</v>
      </c>
      <c r="I710" t="s">
        <v>71</v>
      </c>
      <c r="K710">
        <v>175</v>
      </c>
      <c r="L710">
        <v>0</v>
      </c>
      <c r="M710">
        <v>0</v>
      </c>
      <c r="O710" t="s">
        <v>5737</v>
      </c>
      <c r="P710" t="s">
        <v>1604</v>
      </c>
      <c r="Q710">
        <v>2</v>
      </c>
      <c r="R710">
        <v>2</v>
      </c>
    </row>
    <row r="711" spans="1:18" x14ac:dyDescent="0.3">
      <c r="A711" t="s">
        <v>1585</v>
      </c>
      <c r="B711" t="s">
        <v>1586</v>
      </c>
      <c r="C711" t="s">
        <v>187</v>
      </c>
      <c r="D711" t="s">
        <v>29</v>
      </c>
      <c r="E711" t="s">
        <v>30</v>
      </c>
      <c r="F711" s="6">
        <v>45657</v>
      </c>
      <c r="G711">
        <v>2024</v>
      </c>
      <c r="H711" t="s">
        <v>57</v>
      </c>
      <c r="I711" t="s">
        <v>78</v>
      </c>
      <c r="K711">
        <v>183</v>
      </c>
      <c r="L711">
        <v>0</v>
      </c>
      <c r="M711">
        <v>0</v>
      </c>
      <c r="O711" t="s">
        <v>5738</v>
      </c>
      <c r="P711" t="s">
        <v>1610</v>
      </c>
      <c r="Q711">
        <v>2</v>
      </c>
      <c r="R711">
        <v>2</v>
      </c>
    </row>
    <row r="712" spans="1:18" x14ac:dyDescent="0.3">
      <c r="A712" t="s">
        <v>1585</v>
      </c>
      <c r="B712" t="s">
        <v>1611</v>
      </c>
      <c r="C712" t="s">
        <v>187</v>
      </c>
      <c r="D712" t="s">
        <v>29</v>
      </c>
      <c r="E712" t="s">
        <v>30</v>
      </c>
      <c r="F712" s="6">
        <v>45838</v>
      </c>
      <c r="G712">
        <v>2025</v>
      </c>
      <c r="H712" t="s">
        <v>44</v>
      </c>
      <c r="I712" t="s">
        <v>244</v>
      </c>
      <c r="K712">
        <v>198</v>
      </c>
      <c r="L712">
        <v>0</v>
      </c>
      <c r="M712">
        <v>0</v>
      </c>
      <c r="O712" t="s">
        <v>5739</v>
      </c>
      <c r="P712" t="s">
        <v>1625</v>
      </c>
      <c r="Q712">
        <v>2</v>
      </c>
      <c r="R712">
        <v>2</v>
      </c>
    </row>
    <row r="713" spans="1:18" x14ac:dyDescent="0.3">
      <c r="A713" t="s">
        <v>1585</v>
      </c>
      <c r="B713" t="s">
        <v>1611</v>
      </c>
      <c r="C713" t="s">
        <v>187</v>
      </c>
      <c r="D713" t="s">
        <v>29</v>
      </c>
      <c r="E713" t="s">
        <v>30</v>
      </c>
      <c r="F713" s="6">
        <v>46022</v>
      </c>
      <c r="G713">
        <v>2025</v>
      </c>
      <c r="H713" t="s">
        <v>57</v>
      </c>
      <c r="I713" t="s">
        <v>103</v>
      </c>
      <c r="K713">
        <v>126</v>
      </c>
      <c r="L713">
        <v>0</v>
      </c>
      <c r="M713">
        <v>0</v>
      </c>
      <c r="O713" t="s">
        <v>5706</v>
      </c>
      <c r="P713" t="s">
        <v>5740</v>
      </c>
      <c r="Q713">
        <v>2</v>
      </c>
      <c r="R713">
        <v>2</v>
      </c>
    </row>
    <row r="714" spans="1:18" x14ac:dyDescent="0.3">
      <c r="A714" t="s">
        <v>1631</v>
      </c>
      <c r="B714" t="s">
        <v>1632</v>
      </c>
      <c r="C714" t="s">
        <v>187</v>
      </c>
      <c r="D714" t="s">
        <v>233</v>
      </c>
      <c r="E714" t="s">
        <v>30</v>
      </c>
      <c r="F714" s="6">
        <v>45107</v>
      </c>
      <c r="G714">
        <v>2023</v>
      </c>
      <c r="H714" t="s">
        <v>44</v>
      </c>
      <c r="I714" t="s">
        <v>33</v>
      </c>
      <c r="J714">
        <v>100</v>
      </c>
      <c r="K714">
        <v>50</v>
      </c>
      <c r="L714">
        <v>0.5</v>
      </c>
      <c r="M714">
        <v>0.5</v>
      </c>
      <c r="N714" t="s">
        <v>102</v>
      </c>
      <c r="O714" t="s">
        <v>4242</v>
      </c>
      <c r="P714" t="s">
        <v>1634</v>
      </c>
      <c r="Q714">
        <v>2</v>
      </c>
      <c r="R714">
        <v>2</v>
      </c>
    </row>
    <row r="715" spans="1:18" x14ac:dyDescent="0.3">
      <c r="A715" t="s">
        <v>1631</v>
      </c>
      <c r="B715" t="s">
        <v>1632</v>
      </c>
      <c r="C715" t="s">
        <v>187</v>
      </c>
      <c r="D715" t="s">
        <v>233</v>
      </c>
      <c r="E715" t="s">
        <v>30</v>
      </c>
      <c r="F715" s="6">
        <v>45291</v>
      </c>
      <c r="G715">
        <v>2023</v>
      </c>
      <c r="H715" t="s">
        <v>57</v>
      </c>
      <c r="I715" t="s">
        <v>47</v>
      </c>
      <c r="J715">
        <v>100</v>
      </c>
      <c r="K715">
        <v>80</v>
      </c>
      <c r="L715">
        <v>0.8</v>
      </c>
      <c r="M715">
        <v>0.8</v>
      </c>
      <c r="N715" t="s">
        <v>102</v>
      </c>
      <c r="O715" t="s">
        <v>193</v>
      </c>
      <c r="P715" t="s">
        <v>1636</v>
      </c>
      <c r="Q715">
        <v>2</v>
      </c>
      <c r="R715">
        <v>2</v>
      </c>
    </row>
    <row r="716" spans="1:18" x14ac:dyDescent="0.3">
      <c r="A716" t="s">
        <v>1631</v>
      </c>
      <c r="B716" t="s">
        <v>1632</v>
      </c>
      <c r="C716" t="s">
        <v>187</v>
      </c>
      <c r="D716" t="s">
        <v>233</v>
      </c>
      <c r="E716" t="s">
        <v>30</v>
      </c>
      <c r="F716" s="6">
        <v>45473</v>
      </c>
      <c r="G716">
        <v>2024</v>
      </c>
      <c r="H716" t="s">
        <v>44</v>
      </c>
      <c r="I716" t="s">
        <v>71</v>
      </c>
      <c r="J716">
        <v>100</v>
      </c>
      <c r="K716">
        <v>95.835000000000008</v>
      </c>
      <c r="L716">
        <v>0.95835000000000004</v>
      </c>
      <c r="M716">
        <v>0.95835000000000004</v>
      </c>
      <c r="N716" t="s">
        <v>102</v>
      </c>
      <c r="O716" t="s">
        <v>5741</v>
      </c>
      <c r="P716" t="s">
        <v>1638</v>
      </c>
      <c r="Q716">
        <v>2</v>
      </c>
      <c r="R716">
        <v>2</v>
      </c>
    </row>
    <row r="717" spans="1:18" x14ac:dyDescent="0.3">
      <c r="A717" t="s">
        <v>1631</v>
      </c>
      <c r="B717" t="s">
        <v>1632</v>
      </c>
      <c r="C717" t="s">
        <v>187</v>
      </c>
      <c r="D717" t="s">
        <v>233</v>
      </c>
      <c r="E717" t="s">
        <v>30</v>
      </c>
      <c r="F717" s="6">
        <v>45657</v>
      </c>
      <c r="G717">
        <v>2024</v>
      </c>
      <c r="H717" t="s">
        <v>57</v>
      </c>
      <c r="I717" t="s">
        <v>78</v>
      </c>
      <c r="J717">
        <v>100</v>
      </c>
      <c r="K717">
        <v>100</v>
      </c>
      <c r="L717">
        <v>1</v>
      </c>
      <c r="M717">
        <v>1</v>
      </c>
      <c r="N717" t="s">
        <v>102</v>
      </c>
      <c r="O717" t="s">
        <v>102</v>
      </c>
      <c r="P717" t="s">
        <v>1640</v>
      </c>
      <c r="Q717">
        <v>2</v>
      </c>
      <c r="R717">
        <v>2</v>
      </c>
    </row>
    <row r="718" spans="1:18" x14ac:dyDescent="0.3">
      <c r="A718" t="s">
        <v>1631</v>
      </c>
      <c r="B718" t="s">
        <v>1632</v>
      </c>
      <c r="C718" t="s">
        <v>187</v>
      </c>
      <c r="D718" t="s">
        <v>233</v>
      </c>
      <c r="E718" t="s">
        <v>30</v>
      </c>
      <c r="F718" s="6">
        <v>45838</v>
      </c>
      <c r="G718">
        <v>2025</v>
      </c>
      <c r="H718" t="s">
        <v>44</v>
      </c>
      <c r="I718" t="s">
        <v>244</v>
      </c>
      <c r="J718">
        <v>100</v>
      </c>
      <c r="K718">
        <v>100</v>
      </c>
      <c r="L718">
        <v>1</v>
      </c>
      <c r="M718">
        <v>1</v>
      </c>
      <c r="N718" t="s">
        <v>102</v>
      </c>
      <c r="O718" t="s">
        <v>102</v>
      </c>
      <c r="P718" t="s">
        <v>1642</v>
      </c>
      <c r="Q718">
        <v>2</v>
      </c>
      <c r="R718">
        <v>2</v>
      </c>
    </row>
    <row r="719" spans="1:18" x14ac:dyDescent="0.3">
      <c r="A719" t="s">
        <v>1643</v>
      </c>
      <c r="B719" t="s">
        <v>1644</v>
      </c>
      <c r="C719" t="s">
        <v>187</v>
      </c>
      <c r="D719" t="s">
        <v>29</v>
      </c>
      <c r="E719" t="s">
        <v>30</v>
      </c>
      <c r="F719" s="6">
        <v>45107</v>
      </c>
      <c r="G719">
        <v>2023</v>
      </c>
      <c r="H719" t="s">
        <v>44</v>
      </c>
      <c r="I719" t="s">
        <v>33</v>
      </c>
      <c r="J719">
        <v>80</v>
      </c>
      <c r="K719">
        <v>94.191666666666663</v>
      </c>
      <c r="L719">
        <v>1.177395833333333</v>
      </c>
      <c r="M719">
        <v>1.177395833333333</v>
      </c>
      <c r="N719" t="s">
        <v>193</v>
      </c>
      <c r="O719" t="s">
        <v>5742</v>
      </c>
      <c r="P719" t="s">
        <v>1650</v>
      </c>
      <c r="Q719">
        <v>2</v>
      </c>
      <c r="R719">
        <v>2</v>
      </c>
    </row>
    <row r="720" spans="1:18" x14ac:dyDescent="0.3">
      <c r="A720" t="s">
        <v>1643</v>
      </c>
      <c r="B720" t="s">
        <v>1644</v>
      </c>
      <c r="C720" t="s">
        <v>187</v>
      </c>
      <c r="D720" t="s">
        <v>29</v>
      </c>
      <c r="E720" t="s">
        <v>30</v>
      </c>
      <c r="F720" s="6">
        <v>45291</v>
      </c>
      <c r="G720">
        <v>2023</v>
      </c>
      <c r="H720" t="s">
        <v>57</v>
      </c>
      <c r="I720" t="s">
        <v>47</v>
      </c>
      <c r="J720">
        <v>80</v>
      </c>
      <c r="K720">
        <v>89.518333333333331</v>
      </c>
      <c r="L720">
        <v>1.1189791666666671</v>
      </c>
      <c r="M720">
        <v>1.1189791666666671</v>
      </c>
      <c r="N720" t="s">
        <v>193</v>
      </c>
      <c r="O720" t="s">
        <v>5743</v>
      </c>
      <c r="P720" t="s">
        <v>1656</v>
      </c>
      <c r="Q720">
        <v>2</v>
      </c>
      <c r="R720">
        <v>2</v>
      </c>
    </row>
    <row r="721" spans="1:18" x14ac:dyDescent="0.3">
      <c r="A721" t="s">
        <v>1643</v>
      </c>
      <c r="B721" t="s">
        <v>1644</v>
      </c>
      <c r="C721" t="s">
        <v>187</v>
      </c>
      <c r="D721" t="s">
        <v>29</v>
      </c>
      <c r="E721" t="s">
        <v>30</v>
      </c>
      <c r="F721" s="6">
        <v>45473</v>
      </c>
      <c r="G721">
        <v>2024</v>
      </c>
      <c r="H721" t="s">
        <v>44</v>
      </c>
      <c r="I721" t="s">
        <v>71</v>
      </c>
      <c r="J721">
        <v>80</v>
      </c>
      <c r="K721">
        <v>88.536666666666676</v>
      </c>
      <c r="L721">
        <v>1.106708333333333</v>
      </c>
      <c r="M721">
        <v>1.106708333333333</v>
      </c>
      <c r="N721" t="s">
        <v>193</v>
      </c>
      <c r="O721" t="s">
        <v>5744</v>
      </c>
      <c r="P721" t="s">
        <v>1662</v>
      </c>
      <c r="Q721">
        <v>2</v>
      </c>
      <c r="R721">
        <v>2</v>
      </c>
    </row>
    <row r="722" spans="1:18" x14ac:dyDescent="0.3">
      <c r="A722" t="s">
        <v>1643</v>
      </c>
      <c r="B722" t="s">
        <v>1644</v>
      </c>
      <c r="C722" t="s">
        <v>187</v>
      </c>
      <c r="D722" t="s">
        <v>29</v>
      </c>
      <c r="E722" t="s">
        <v>30</v>
      </c>
      <c r="F722" s="6">
        <v>45657</v>
      </c>
      <c r="G722">
        <v>2024</v>
      </c>
      <c r="H722" t="s">
        <v>57</v>
      </c>
      <c r="I722" t="s">
        <v>78</v>
      </c>
      <c r="J722">
        <v>80</v>
      </c>
      <c r="K722">
        <v>89.339999999999989</v>
      </c>
      <c r="L722">
        <v>1.1167499999999999</v>
      </c>
      <c r="M722">
        <v>1.1167499999999999</v>
      </c>
      <c r="N722" t="s">
        <v>193</v>
      </c>
      <c r="O722" t="s">
        <v>5745</v>
      </c>
      <c r="P722" t="s">
        <v>1668</v>
      </c>
      <c r="Q722">
        <v>2</v>
      </c>
      <c r="R722">
        <v>2</v>
      </c>
    </row>
    <row r="723" spans="1:18" x14ac:dyDescent="0.3">
      <c r="A723" t="s">
        <v>1643</v>
      </c>
      <c r="B723" t="s">
        <v>1644</v>
      </c>
      <c r="C723" t="s">
        <v>187</v>
      </c>
      <c r="D723" t="s">
        <v>29</v>
      </c>
      <c r="E723" t="s">
        <v>30</v>
      </c>
      <c r="F723" s="6">
        <v>45838</v>
      </c>
      <c r="G723">
        <v>2025</v>
      </c>
      <c r="H723" t="s">
        <v>44</v>
      </c>
      <c r="I723" t="s">
        <v>244</v>
      </c>
      <c r="J723">
        <v>80</v>
      </c>
      <c r="K723">
        <v>100</v>
      </c>
      <c r="L723">
        <v>1.25</v>
      </c>
      <c r="M723">
        <v>1.25</v>
      </c>
      <c r="N723" t="s">
        <v>193</v>
      </c>
      <c r="O723" t="s">
        <v>102</v>
      </c>
      <c r="P723" t="s">
        <v>1674</v>
      </c>
      <c r="Q723">
        <v>2</v>
      </c>
      <c r="R723">
        <v>2</v>
      </c>
    </row>
    <row r="724" spans="1:18" x14ac:dyDescent="0.3">
      <c r="A724" t="s">
        <v>1643</v>
      </c>
      <c r="B724" t="s">
        <v>1644</v>
      </c>
      <c r="C724" t="s">
        <v>187</v>
      </c>
      <c r="D724" t="s">
        <v>29</v>
      </c>
      <c r="E724" t="s">
        <v>30</v>
      </c>
      <c r="F724" s="6">
        <v>46022</v>
      </c>
      <c r="G724">
        <v>2025</v>
      </c>
      <c r="H724" t="s">
        <v>57</v>
      </c>
      <c r="I724" t="s">
        <v>103</v>
      </c>
      <c r="J724">
        <v>80</v>
      </c>
      <c r="K724">
        <v>100</v>
      </c>
      <c r="L724">
        <v>1.25</v>
      </c>
      <c r="M724">
        <v>1.25</v>
      </c>
      <c r="N724" t="s">
        <v>193</v>
      </c>
      <c r="O724" t="s">
        <v>102</v>
      </c>
      <c r="P724" t="s">
        <v>5746</v>
      </c>
      <c r="Q724">
        <v>2</v>
      </c>
      <c r="R724">
        <v>2</v>
      </c>
    </row>
    <row r="725" spans="1:18" x14ac:dyDescent="0.3">
      <c r="A725" t="s">
        <v>1677</v>
      </c>
      <c r="B725" t="s">
        <v>1678</v>
      </c>
      <c r="C725" t="s">
        <v>187</v>
      </c>
      <c r="D725" t="s">
        <v>29</v>
      </c>
      <c r="E725" t="s">
        <v>30</v>
      </c>
      <c r="F725" s="6">
        <v>45107</v>
      </c>
      <c r="G725">
        <v>2023</v>
      </c>
      <c r="H725" t="s">
        <v>44</v>
      </c>
      <c r="I725" t="s">
        <v>33</v>
      </c>
      <c r="J725">
        <v>95</v>
      </c>
      <c r="K725">
        <v>97.677274004466497</v>
      </c>
      <c r="L725">
        <v>1.028181831625963</v>
      </c>
      <c r="M725">
        <v>1.028181831625963</v>
      </c>
      <c r="N725" t="s">
        <v>838</v>
      </c>
      <c r="O725" t="s">
        <v>5747</v>
      </c>
      <c r="P725" t="s">
        <v>1684</v>
      </c>
      <c r="Q725">
        <v>2</v>
      </c>
      <c r="R725">
        <v>2</v>
      </c>
    </row>
    <row r="726" spans="1:18" x14ac:dyDescent="0.3">
      <c r="A726" t="s">
        <v>1677</v>
      </c>
      <c r="B726" t="s">
        <v>1678</v>
      </c>
      <c r="C726" t="s">
        <v>187</v>
      </c>
      <c r="D726" t="s">
        <v>29</v>
      </c>
      <c r="E726" t="s">
        <v>30</v>
      </c>
      <c r="F726" s="6">
        <v>45291</v>
      </c>
      <c r="G726">
        <v>2023</v>
      </c>
      <c r="H726" t="s">
        <v>57</v>
      </c>
      <c r="I726" t="s">
        <v>47</v>
      </c>
      <c r="J726">
        <v>95</v>
      </c>
      <c r="K726">
        <v>94.473333333333315</v>
      </c>
      <c r="L726">
        <v>0.99445614035087704</v>
      </c>
      <c r="M726">
        <v>0.99445614035087704</v>
      </c>
      <c r="N726" t="s">
        <v>838</v>
      </c>
      <c r="O726" t="s">
        <v>5748</v>
      </c>
      <c r="P726" t="s">
        <v>1690</v>
      </c>
      <c r="Q726">
        <v>2</v>
      </c>
      <c r="R726">
        <v>2</v>
      </c>
    </row>
    <row r="727" spans="1:18" x14ac:dyDescent="0.3">
      <c r="A727" t="s">
        <v>1691</v>
      </c>
      <c r="B727" t="s">
        <v>1692</v>
      </c>
      <c r="C727" t="s">
        <v>187</v>
      </c>
      <c r="D727" t="s">
        <v>29</v>
      </c>
      <c r="E727" t="s">
        <v>108</v>
      </c>
      <c r="F727" s="6">
        <v>45107</v>
      </c>
      <c r="G727">
        <v>2023</v>
      </c>
      <c r="H727" t="s">
        <v>44</v>
      </c>
      <c r="I727" t="s">
        <v>33</v>
      </c>
      <c r="J727">
        <v>0</v>
      </c>
      <c r="K727">
        <v>1.388888888888888</v>
      </c>
      <c r="L727">
        <v>0</v>
      </c>
      <c r="M727">
        <v>0</v>
      </c>
      <c r="N727" t="s">
        <v>122</v>
      </c>
      <c r="O727" t="s">
        <v>5749</v>
      </c>
      <c r="P727" t="s">
        <v>1698</v>
      </c>
      <c r="Q727">
        <v>2</v>
      </c>
      <c r="R727">
        <v>2</v>
      </c>
    </row>
    <row r="728" spans="1:18" x14ac:dyDescent="0.3">
      <c r="A728" t="s">
        <v>1691</v>
      </c>
      <c r="B728" t="s">
        <v>1692</v>
      </c>
      <c r="C728" t="s">
        <v>187</v>
      </c>
      <c r="D728" t="s">
        <v>29</v>
      </c>
      <c r="E728" t="s">
        <v>108</v>
      </c>
      <c r="F728" s="6">
        <v>45291</v>
      </c>
      <c r="G728">
        <v>2023</v>
      </c>
      <c r="H728" t="s">
        <v>57</v>
      </c>
      <c r="I728" t="s">
        <v>47</v>
      </c>
      <c r="J728">
        <v>0</v>
      </c>
      <c r="K728">
        <v>8.5261111111111667</v>
      </c>
      <c r="L728">
        <v>0</v>
      </c>
      <c r="M728">
        <v>0</v>
      </c>
      <c r="N728" t="s">
        <v>122</v>
      </c>
      <c r="O728" t="s">
        <v>5750</v>
      </c>
      <c r="P728" t="s">
        <v>1704</v>
      </c>
      <c r="Q728">
        <v>2</v>
      </c>
      <c r="R728">
        <v>2</v>
      </c>
    </row>
    <row r="729" spans="1:18" x14ac:dyDescent="0.3">
      <c r="A729" t="s">
        <v>1691</v>
      </c>
      <c r="B729" t="s">
        <v>1692</v>
      </c>
      <c r="C729" t="s">
        <v>187</v>
      </c>
      <c r="D729" t="s">
        <v>29</v>
      </c>
      <c r="E729" t="s">
        <v>108</v>
      </c>
      <c r="F729" s="6">
        <v>45473</v>
      </c>
      <c r="G729">
        <v>2024</v>
      </c>
      <c r="H729" t="s">
        <v>44</v>
      </c>
      <c r="I729" t="s">
        <v>71</v>
      </c>
      <c r="J729">
        <v>20</v>
      </c>
      <c r="K729">
        <v>14.29</v>
      </c>
      <c r="L729">
        <v>1.3</v>
      </c>
      <c r="M729">
        <v>1.3995801259622109</v>
      </c>
      <c r="N729" t="s">
        <v>1298</v>
      </c>
      <c r="O729" t="s">
        <v>5751</v>
      </c>
      <c r="P729" t="s">
        <v>1705</v>
      </c>
      <c r="Q729">
        <v>2</v>
      </c>
      <c r="R729">
        <v>2</v>
      </c>
    </row>
    <row r="730" spans="1:18" x14ac:dyDescent="0.3">
      <c r="A730" t="s">
        <v>1706</v>
      </c>
      <c r="B730" t="s">
        <v>1707</v>
      </c>
      <c r="C730" t="s">
        <v>299</v>
      </c>
      <c r="D730" t="s">
        <v>98</v>
      </c>
      <c r="E730" t="s">
        <v>108</v>
      </c>
      <c r="F730" s="6">
        <v>45291</v>
      </c>
      <c r="G730">
        <v>2023</v>
      </c>
      <c r="H730" t="s">
        <v>57</v>
      </c>
      <c r="I730" t="s">
        <v>47</v>
      </c>
      <c r="L730">
        <v>0</v>
      </c>
      <c r="M730">
        <v>0</v>
      </c>
      <c r="P730" t="s">
        <v>1708</v>
      </c>
      <c r="Q730">
        <v>2</v>
      </c>
      <c r="R730">
        <v>2</v>
      </c>
    </row>
    <row r="731" spans="1:18" x14ac:dyDescent="0.3">
      <c r="A731" t="s">
        <v>1706</v>
      </c>
      <c r="B731" t="s">
        <v>1707</v>
      </c>
      <c r="C731" t="s">
        <v>299</v>
      </c>
      <c r="D731" t="s">
        <v>98</v>
      </c>
      <c r="E731" t="s">
        <v>108</v>
      </c>
      <c r="F731" s="6">
        <v>45657</v>
      </c>
      <c r="G731">
        <v>2024</v>
      </c>
      <c r="H731" t="s">
        <v>57</v>
      </c>
      <c r="I731" t="s">
        <v>78</v>
      </c>
      <c r="J731">
        <v>25</v>
      </c>
      <c r="K731">
        <v>25</v>
      </c>
      <c r="L731">
        <v>1</v>
      </c>
      <c r="M731">
        <v>1</v>
      </c>
      <c r="N731" t="s">
        <v>5588</v>
      </c>
      <c r="O731" t="s">
        <v>5588</v>
      </c>
      <c r="P731" t="s">
        <v>1709</v>
      </c>
      <c r="Q731">
        <v>2</v>
      </c>
      <c r="R731">
        <v>2</v>
      </c>
    </row>
    <row r="732" spans="1:18" x14ac:dyDescent="0.3">
      <c r="A732" t="s">
        <v>1710</v>
      </c>
      <c r="B732" t="s">
        <v>1711</v>
      </c>
      <c r="C732" t="s">
        <v>730</v>
      </c>
      <c r="D732" t="s">
        <v>222</v>
      </c>
      <c r="E732" t="s">
        <v>30</v>
      </c>
      <c r="F732" s="6">
        <v>44742</v>
      </c>
      <c r="G732">
        <v>2022</v>
      </c>
      <c r="H732" t="s">
        <v>44</v>
      </c>
      <c r="I732" t="s">
        <v>88</v>
      </c>
      <c r="J732">
        <v>88.5</v>
      </c>
      <c r="K732">
        <v>87</v>
      </c>
      <c r="L732">
        <v>0.98305084745762716</v>
      </c>
      <c r="M732">
        <v>0.98305084745762716</v>
      </c>
      <c r="N732" t="s">
        <v>5378</v>
      </c>
      <c r="O732" t="s">
        <v>1045</v>
      </c>
      <c r="P732" t="s">
        <v>1712</v>
      </c>
      <c r="Q732">
        <v>2</v>
      </c>
      <c r="R732">
        <v>2</v>
      </c>
    </row>
    <row r="733" spans="1:18" x14ac:dyDescent="0.3">
      <c r="A733" t="s">
        <v>1710</v>
      </c>
      <c r="B733" t="s">
        <v>1711</v>
      </c>
      <c r="C733" t="s">
        <v>730</v>
      </c>
      <c r="D733" t="s">
        <v>222</v>
      </c>
      <c r="E733" t="s">
        <v>30</v>
      </c>
      <c r="F733" s="6">
        <v>44926</v>
      </c>
      <c r="G733">
        <v>2022</v>
      </c>
      <c r="H733" t="s">
        <v>57</v>
      </c>
      <c r="I733" t="s">
        <v>90</v>
      </c>
      <c r="J733">
        <v>88.5</v>
      </c>
      <c r="K733">
        <v>85.9</v>
      </c>
      <c r="L733">
        <v>0.97062146892655377</v>
      </c>
      <c r="M733">
        <v>0.97062146892655377</v>
      </c>
      <c r="N733" t="s">
        <v>5378</v>
      </c>
      <c r="O733" t="s">
        <v>5752</v>
      </c>
      <c r="P733" t="s">
        <v>1713</v>
      </c>
      <c r="Q733">
        <v>2</v>
      </c>
      <c r="R733">
        <v>2</v>
      </c>
    </row>
    <row r="734" spans="1:18" x14ac:dyDescent="0.3">
      <c r="A734" t="s">
        <v>1710</v>
      </c>
      <c r="B734" t="s">
        <v>1711</v>
      </c>
      <c r="C734" t="s">
        <v>730</v>
      </c>
      <c r="D734" t="s">
        <v>222</v>
      </c>
      <c r="E734" t="s">
        <v>30</v>
      </c>
      <c r="F734" s="6">
        <v>45107</v>
      </c>
      <c r="G734">
        <v>2023</v>
      </c>
      <c r="H734" t="s">
        <v>44</v>
      </c>
      <c r="I734" t="s">
        <v>33</v>
      </c>
      <c r="J734">
        <v>87</v>
      </c>
      <c r="K734">
        <v>85.115048706751793</v>
      </c>
      <c r="L734">
        <v>0.97833389318105513</v>
      </c>
      <c r="M734">
        <v>0.97833389318105513</v>
      </c>
      <c r="N734" t="s">
        <v>1045</v>
      </c>
      <c r="O734" t="s">
        <v>5753</v>
      </c>
      <c r="P734" t="s">
        <v>1714</v>
      </c>
      <c r="Q734">
        <v>2</v>
      </c>
      <c r="R734">
        <v>2</v>
      </c>
    </row>
    <row r="735" spans="1:18" x14ac:dyDescent="0.3">
      <c r="A735" t="s">
        <v>1710</v>
      </c>
      <c r="B735" t="s">
        <v>1711</v>
      </c>
      <c r="C735" t="s">
        <v>730</v>
      </c>
      <c r="D735" t="s">
        <v>222</v>
      </c>
      <c r="E735" t="s">
        <v>30</v>
      </c>
      <c r="F735" s="6">
        <v>45291</v>
      </c>
      <c r="G735">
        <v>2023</v>
      </c>
      <c r="H735" t="s">
        <v>57</v>
      </c>
      <c r="I735" t="s">
        <v>47</v>
      </c>
      <c r="J735">
        <v>87</v>
      </c>
      <c r="K735">
        <v>85.38</v>
      </c>
      <c r="L735">
        <v>0.9813793103448275</v>
      </c>
      <c r="M735">
        <v>0.9813793103448275</v>
      </c>
      <c r="N735" t="s">
        <v>1045</v>
      </c>
      <c r="O735" t="s">
        <v>5754</v>
      </c>
      <c r="P735" t="s">
        <v>1715</v>
      </c>
      <c r="Q735">
        <v>2</v>
      </c>
      <c r="R735">
        <v>2</v>
      </c>
    </row>
    <row r="736" spans="1:18" x14ac:dyDescent="0.3">
      <c r="A736" t="s">
        <v>1710</v>
      </c>
      <c r="B736" t="s">
        <v>1711</v>
      </c>
      <c r="C736" t="s">
        <v>730</v>
      </c>
      <c r="D736" t="s">
        <v>222</v>
      </c>
      <c r="E736" t="s">
        <v>30</v>
      </c>
      <c r="F736" s="6">
        <v>45473</v>
      </c>
      <c r="G736">
        <v>2024</v>
      </c>
      <c r="H736" t="s">
        <v>44</v>
      </c>
      <c r="I736" t="s">
        <v>71</v>
      </c>
      <c r="J736">
        <v>85</v>
      </c>
      <c r="K736">
        <v>85.13</v>
      </c>
      <c r="L736">
        <v>1.001529411764706</v>
      </c>
      <c r="M736">
        <v>1.001529411764706</v>
      </c>
      <c r="N736" t="s">
        <v>2357</v>
      </c>
      <c r="O736" t="s">
        <v>5755</v>
      </c>
      <c r="P736" t="s">
        <v>1716</v>
      </c>
      <c r="Q736">
        <v>2</v>
      </c>
      <c r="R736">
        <v>2</v>
      </c>
    </row>
    <row r="737" spans="1:18" x14ac:dyDescent="0.3">
      <c r="A737" t="s">
        <v>1710</v>
      </c>
      <c r="B737" t="s">
        <v>1711</v>
      </c>
      <c r="C737" t="s">
        <v>730</v>
      </c>
      <c r="D737" t="s">
        <v>222</v>
      </c>
      <c r="E737" t="s">
        <v>30</v>
      </c>
      <c r="F737" s="6">
        <v>45657</v>
      </c>
      <c r="G737">
        <v>2024</v>
      </c>
      <c r="H737" t="s">
        <v>57</v>
      </c>
      <c r="I737" t="s">
        <v>78</v>
      </c>
      <c r="J737">
        <v>85</v>
      </c>
      <c r="K737">
        <v>85.19</v>
      </c>
      <c r="L737">
        <v>1.0022352941176469</v>
      </c>
      <c r="M737">
        <v>1.0022352941176469</v>
      </c>
      <c r="N737" t="s">
        <v>2357</v>
      </c>
      <c r="O737" t="s">
        <v>5756</v>
      </c>
      <c r="P737" t="s">
        <v>1717</v>
      </c>
      <c r="Q737">
        <v>2</v>
      </c>
      <c r="R737">
        <v>2</v>
      </c>
    </row>
    <row r="738" spans="1:18" x14ac:dyDescent="0.3">
      <c r="A738" t="s">
        <v>1710</v>
      </c>
      <c r="B738" t="s">
        <v>1718</v>
      </c>
      <c r="C738" t="s">
        <v>730</v>
      </c>
      <c r="D738" t="s">
        <v>222</v>
      </c>
      <c r="E738" t="s">
        <v>30</v>
      </c>
      <c r="F738" s="6">
        <v>45838</v>
      </c>
      <c r="G738">
        <v>2025</v>
      </c>
      <c r="H738" t="s">
        <v>44</v>
      </c>
      <c r="I738" t="s">
        <v>244</v>
      </c>
      <c r="J738">
        <v>100</v>
      </c>
      <c r="K738">
        <v>100.93</v>
      </c>
      <c r="L738">
        <v>1.0093000000000001</v>
      </c>
      <c r="M738">
        <v>1.0093000000000001</v>
      </c>
      <c r="N738" t="s">
        <v>102</v>
      </c>
      <c r="O738" t="s">
        <v>1720</v>
      </c>
      <c r="P738" t="s">
        <v>1721</v>
      </c>
      <c r="Q738">
        <v>2</v>
      </c>
      <c r="R738">
        <v>2</v>
      </c>
    </row>
    <row r="739" spans="1:18" x14ac:dyDescent="0.3">
      <c r="A739" t="s">
        <v>1710</v>
      </c>
      <c r="B739" t="s">
        <v>1718</v>
      </c>
      <c r="C739" t="s">
        <v>730</v>
      </c>
      <c r="D739" t="s">
        <v>222</v>
      </c>
      <c r="E739" t="s">
        <v>30</v>
      </c>
      <c r="F739" s="6">
        <v>46022</v>
      </c>
      <c r="G739">
        <v>2025</v>
      </c>
      <c r="H739" t="s">
        <v>57</v>
      </c>
      <c r="I739" t="s">
        <v>103</v>
      </c>
      <c r="J739">
        <v>100</v>
      </c>
      <c r="K739">
        <v>100.12</v>
      </c>
      <c r="L739">
        <v>1.0012000000000001</v>
      </c>
      <c r="M739">
        <v>1.0012000000000001</v>
      </c>
      <c r="N739" t="s">
        <v>102</v>
      </c>
      <c r="O739" t="s">
        <v>1723</v>
      </c>
      <c r="P739" t="s">
        <v>1724</v>
      </c>
      <c r="Q739">
        <v>2</v>
      </c>
      <c r="R739">
        <v>2</v>
      </c>
    </row>
    <row r="740" spans="1:18" x14ac:dyDescent="0.3">
      <c r="A740" t="s">
        <v>1725</v>
      </c>
      <c r="B740" t="s">
        <v>1726</v>
      </c>
      <c r="C740" t="s">
        <v>150</v>
      </c>
      <c r="D740" t="s">
        <v>222</v>
      </c>
      <c r="E740" t="s">
        <v>30</v>
      </c>
      <c r="F740" s="6">
        <v>45291</v>
      </c>
      <c r="G740">
        <v>2023</v>
      </c>
      <c r="H740" t="s">
        <v>57</v>
      </c>
      <c r="I740" t="s">
        <v>47</v>
      </c>
      <c r="J740">
        <v>85</v>
      </c>
      <c r="K740">
        <v>61.4</v>
      </c>
      <c r="L740">
        <v>0.72235294117647053</v>
      </c>
      <c r="M740">
        <v>0.72235294117647053</v>
      </c>
      <c r="N740" t="s">
        <v>2357</v>
      </c>
      <c r="O740" t="s">
        <v>5757</v>
      </c>
      <c r="P740" t="s">
        <v>1727</v>
      </c>
      <c r="Q740">
        <v>2</v>
      </c>
      <c r="R740">
        <v>2</v>
      </c>
    </row>
    <row r="741" spans="1:18" x14ac:dyDescent="0.3">
      <c r="A741" t="s">
        <v>1725</v>
      </c>
      <c r="B741" t="s">
        <v>1728</v>
      </c>
      <c r="C741" t="s">
        <v>150</v>
      </c>
      <c r="D741" t="s">
        <v>222</v>
      </c>
      <c r="E741" t="s">
        <v>30</v>
      </c>
      <c r="F741" s="6">
        <v>45473</v>
      </c>
      <c r="G741">
        <v>2024</v>
      </c>
      <c r="H741" t="s">
        <v>44</v>
      </c>
      <c r="I741" t="s">
        <v>71</v>
      </c>
      <c r="J741">
        <v>67.5</v>
      </c>
      <c r="K741">
        <v>92.5</v>
      </c>
      <c r="L741">
        <v>1.3</v>
      </c>
      <c r="M741">
        <v>1.37037037037037</v>
      </c>
      <c r="N741" t="s">
        <v>5758</v>
      </c>
      <c r="O741" t="s">
        <v>4417</v>
      </c>
      <c r="P741" t="s">
        <v>1729</v>
      </c>
      <c r="Q741">
        <v>2</v>
      </c>
      <c r="R741">
        <v>2</v>
      </c>
    </row>
    <row r="742" spans="1:18" x14ac:dyDescent="0.3">
      <c r="A742" t="s">
        <v>1725</v>
      </c>
      <c r="B742" t="s">
        <v>1728</v>
      </c>
      <c r="C742" t="s">
        <v>150</v>
      </c>
      <c r="D742" t="s">
        <v>222</v>
      </c>
      <c r="E742" t="s">
        <v>30</v>
      </c>
      <c r="F742" s="6">
        <v>45657</v>
      </c>
      <c r="G742">
        <v>2024</v>
      </c>
      <c r="H742" t="s">
        <v>57</v>
      </c>
      <c r="I742" t="s">
        <v>78</v>
      </c>
      <c r="J742">
        <v>67.5</v>
      </c>
      <c r="K742">
        <v>94.4</v>
      </c>
      <c r="L742">
        <v>1.3</v>
      </c>
      <c r="M742">
        <v>1.3985185185185181</v>
      </c>
      <c r="N742" t="s">
        <v>5758</v>
      </c>
      <c r="O742" t="s">
        <v>5759</v>
      </c>
      <c r="P742" t="s">
        <v>1730</v>
      </c>
      <c r="Q742">
        <v>2</v>
      </c>
      <c r="R742">
        <v>2</v>
      </c>
    </row>
    <row r="743" spans="1:18" x14ac:dyDescent="0.3">
      <c r="A743" t="s">
        <v>1725</v>
      </c>
      <c r="B743" t="s">
        <v>1728</v>
      </c>
      <c r="C743" t="s">
        <v>150</v>
      </c>
      <c r="D743" t="s">
        <v>222</v>
      </c>
      <c r="E743" t="s">
        <v>30</v>
      </c>
      <c r="F743" s="6">
        <v>45838</v>
      </c>
      <c r="G743">
        <v>2025</v>
      </c>
      <c r="H743" t="s">
        <v>44</v>
      </c>
      <c r="I743" t="s">
        <v>244</v>
      </c>
      <c r="J743">
        <v>90</v>
      </c>
      <c r="K743">
        <v>90.1</v>
      </c>
      <c r="L743">
        <v>1.0011111111111111</v>
      </c>
      <c r="M743">
        <v>1.0011111111111111</v>
      </c>
      <c r="N743" t="s">
        <v>256</v>
      </c>
      <c r="O743" t="s">
        <v>1732</v>
      </c>
      <c r="P743" t="s">
        <v>1733</v>
      </c>
      <c r="Q743">
        <v>2</v>
      </c>
      <c r="R743">
        <v>2</v>
      </c>
    </row>
    <row r="744" spans="1:18" x14ac:dyDescent="0.3">
      <c r="A744" t="s">
        <v>1725</v>
      </c>
      <c r="B744" t="s">
        <v>1728</v>
      </c>
      <c r="C744" t="s">
        <v>150</v>
      </c>
      <c r="D744" t="s">
        <v>222</v>
      </c>
      <c r="E744" t="s">
        <v>30</v>
      </c>
      <c r="F744" s="6">
        <v>46022</v>
      </c>
      <c r="G744">
        <v>2025</v>
      </c>
      <c r="H744" t="s">
        <v>57</v>
      </c>
      <c r="I744" t="s">
        <v>103</v>
      </c>
      <c r="J744">
        <v>90</v>
      </c>
      <c r="K744">
        <v>92.7</v>
      </c>
      <c r="L744">
        <v>1.03</v>
      </c>
      <c r="M744">
        <v>1.03</v>
      </c>
      <c r="N744" t="s">
        <v>256</v>
      </c>
      <c r="O744" t="s">
        <v>243</v>
      </c>
      <c r="P744" t="s">
        <v>1734</v>
      </c>
      <c r="Q744">
        <v>2</v>
      </c>
      <c r="R744">
        <v>2</v>
      </c>
    </row>
    <row r="745" spans="1:18" x14ac:dyDescent="0.3">
      <c r="A745" t="s">
        <v>1735</v>
      </c>
      <c r="B745" t="s">
        <v>1736</v>
      </c>
      <c r="C745" t="s">
        <v>150</v>
      </c>
      <c r="D745" t="s">
        <v>29</v>
      </c>
      <c r="E745" t="s">
        <v>30</v>
      </c>
      <c r="F745" s="6">
        <v>45107</v>
      </c>
      <c r="G745">
        <v>2023</v>
      </c>
      <c r="H745" t="s">
        <v>44</v>
      </c>
      <c r="I745" t="s">
        <v>33</v>
      </c>
      <c r="K745">
        <v>70.545115794052919</v>
      </c>
      <c r="L745">
        <v>0</v>
      </c>
      <c r="M745">
        <v>0</v>
      </c>
      <c r="O745" t="s">
        <v>5760</v>
      </c>
      <c r="P745" t="s">
        <v>1742</v>
      </c>
      <c r="Q745">
        <v>2</v>
      </c>
      <c r="R745">
        <v>2</v>
      </c>
    </row>
    <row r="746" spans="1:18" x14ac:dyDescent="0.3">
      <c r="A746" t="s">
        <v>1735</v>
      </c>
      <c r="B746" t="s">
        <v>1736</v>
      </c>
      <c r="C746" t="s">
        <v>150</v>
      </c>
      <c r="D746" t="s">
        <v>29</v>
      </c>
      <c r="E746" t="s">
        <v>30</v>
      </c>
      <c r="F746" s="6">
        <v>45291</v>
      </c>
      <c r="G746">
        <v>2023</v>
      </c>
      <c r="H746" t="s">
        <v>57</v>
      </c>
      <c r="I746" t="s">
        <v>47</v>
      </c>
      <c r="K746">
        <v>69.085393689000668</v>
      </c>
      <c r="L746">
        <v>0</v>
      </c>
      <c r="M746">
        <v>0</v>
      </c>
      <c r="O746" t="s">
        <v>5761</v>
      </c>
      <c r="P746" t="s">
        <v>1748</v>
      </c>
      <c r="Q746">
        <v>2</v>
      </c>
      <c r="R746">
        <v>2</v>
      </c>
    </row>
    <row r="747" spans="1:18" x14ac:dyDescent="0.3">
      <c r="A747" t="s">
        <v>1749</v>
      </c>
      <c r="B747" t="s">
        <v>1750</v>
      </c>
      <c r="C747" t="s">
        <v>28</v>
      </c>
      <c r="D747" t="s">
        <v>222</v>
      </c>
      <c r="E747" t="s">
        <v>30</v>
      </c>
      <c r="F747" s="6">
        <v>45107</v>
      </c>
      <c r="G747">
        <v>2023</v>
      </c>
      <c r="H747" t="s">
        <v>44</v>
      </c>
      <c r="I747" t="s">
        <v>33</v>
      </c>
      <c r="J747">
        <v>27</v>
      </c>
      <c r="K747">
        <v>27</v>
      </c>
      <c r="L747">
        <v>1</v>
      </c>
      <c r="M747">
        <v>1</v>
      </c>
      <c r="N747" t="s">
        <v>5762</v>
      </c>
      <c r="O747" t="s">
        <v>5762</v>
      </c>
      <c r="P747" t="s">
        <v>1751</v>
      </c>
      <c r="Q747">
        <v>2</v>
      </c>
      <c r="R747">
        <v>2</v>
      </c>
    </row>
    <row r="748" spans="1:18" x14ac:dyDescent="0.3">
      <c r="A748" t="s">
        <v>1749</v>
      </c>
      <c r="B748" t="s">
        <v>1750</v>
      </c>
      <c r="C748" t="s">
        <v>28</v>
      </c>
      <c r="D748" t="s">
        <v>222</v>
      </c>
      <c r="E748" t="s">
        <v>30</v>
      </c>
      <c r="F748" s="6">
        <v>45291</v>
      </c>
      <c r="G748">
        <v>2023</v>
      </c>
      <c r="H748" t="s">
        <v>57</v>
      </c>
      <c r="I748" t="s">
        <v>47</v>
      </c>
      <c r="J748">
        <v>17</v>
      </c>
      <c r="K748">
        <v>17</v>
      </c>
      <c r="L748">
        <v>1</v>
      </c>
      <c r="M748">
        <v>1</v>
      </c>
      <c r="N748" t="s">
        <v>1478</v>
      </c>
      <c r="O748" t="s">
        <v>1478</v>
      </c>
      <c r="P748" t="s">
        <v>1752</v>
      </c>
      <c r="Q748">
        <v>2</v>
      </c>
      <c r="R748">
        <v>2</v>
      </c>
    </row>
    <row r="749" spans="1:18" x14ac:dyDescent="0.3">
      <c r="A749" t="s">
        <v>1753</v>
      </c>
      <c r="B749" t="s">
        <v>1754</v>
      </c>
      <c r="C749" t="s">
        <v>28</v>
      </c>
      <c r="D749" t="s">
        <v>222</v>
      </c>
      <c r="E749" t="s">
        <v>30</v>
      </c>
      <c r="F749" s="6">
        <v>45107</v>
      </c>
      <c r="G749">
        <v>2023</v>
      </c>
      <c r="H749" t="s">
        <v>44</v>
      </c>
      <c r="I749" t="s">
        <v>33</v>
      </c>
      <c r="J749">
        <v>72</v>
      </c>
      <c r="K749">
        <v>72</v>
      </c>
      <c r="L749">
        <v>1</v>
      </c>
      <c r="M749">
        <v>1</v>
      </c>
      <c r="N749" t="s">
        <v>5763</v>
      </c>
      <c r="O749" t="s">
        <v>5763</v>
      </c>
      <c r="P749" t="s">
        <v>1755</v>
      </c>
      <c r="Q749">
        <v>2</v>
      </c>
      <c r="R749">
        <v>2</v>
      </c>
    </row>
    <row r="750" spans="1:18" x14ac:dyDescent="0.3">
      <c r="A750" t="s">
        <v>1753</v>
      </c>
      <c r="B750" t="s">
        <v>1754</v>
      </c>
      <c r="C750" t="s">
        <v>28</v>
      </c>
      <c r="D750" t="s">
        <v>222</v>
      </c>
      <c r="E750" t="s">
        <v>30</v>
      </c>
      <c r="F750" s="6">
        <v>45291</v>
      </c>
      <c r="G750">
        <v>2023</v>
      </c>
      <c r="H750" t="s">
        <v>57</v>
      </c>
      <c r="I750" t="s">
        <v>47</v>
      </c>
      <c r="J750">
        <v>26</v>
      </c>
      <c r="K750">
        <v>26</v>
      </c>
      <c r="L750">
        <v>1</v>
      </c>
      <c r="M750">
        <v>1</v>
      </c>
      <c r="N750" t="s">
        <v>1468</v>
      </c>
      <c r="O750" t="s">
        <v>1468</v>
      </c>
      <c r="P750" t="s">
        <v>1756</v>
      </c>
      <c r="Q750">
        <v>2</v>
      </c>
      <c r="R750">
        <v>2</v>
      </c>
    </row>
    <row r="751" spans="1:18" x14ac:dyDescent="0.3">
      <c r="A751" t="s">
        <v>1757</v>
      </c>
      <c r="B751" t="s">
        <v>1758</v>
      </c>
      <c r="C751" t="s">
        <v>138</v>
      </c>
      <c r="D751" t="s">
        <v>233</v>
      </c>
      <c r="E751" t="s">
        <v>30</v>
      </c>
      <c r="F751" s="6">
        <v>45107</v>
      </c>
      <c r="G751">
        <v>2023</v>
      </c>
      <c r="H751" t="s">
        <v>44</v>
      </c>
      <c r="I751" t="s">
        <v>33</v>
      </c>
      <c r="J751">
        <v>100</v>
      </c>
      <c r="K751">
        <v>93.877551020408006</v>
      </c>
      <c r="L751">
        <v>0.93877551020408001</v>
      </c>
      <c r="M751">
        <v>0.93877551020408001</v>
      </c>
      <c r="N751" t="s">
        <v>102</v>
      </c>
      <c r="O751" t="s">
        <v>5764</v>
      </c>
      <c r="P751" t="s">
        <v>1759</v>
      </c>
      <c r="Q751">
        <v>2</v>
      </c>
      <c r="R751">
        <v>2</v>
      </c>
    </row>
    <row r="752" spans="1:18" x14ac:dyDescent="0.3">
      <c r="A752" t="s">
        <v>1757</v>
      </c>
      <c r="B752" t="s">
        <v>1758</v>
      </c>
      <c r="C752" t="s">
        <v>138</v>
      </c>
      <c r="D752" t="s">
        <v>233</v>
      </c>
      <c r="E752" t="s">
        <v>30</v>
      </c>
      <c r="F752" s="6">
        <v>45291</v>
      </c>
      <c r="G752">
        <v>2023</v>
      </c>
      <c r="H752" t="s">
        <v>57</v>
      </c>
      <c r="I752" t="s">
        <v>47</v>
      </c>
      <c r="J752">
        <v>100</v>
      </c>
      <c r="K752">
        <v>100</v>
      </c>
      <c r="L752">
        <v>1</v>
      </c>
      <c r="M752">
        <v>1</v>
      </c>
      <c r="N752" t="s">
        <v>102</v>
      </c>
      <c r="O752" t="s">
        <v>102</v>
      </c>
      <c r="P752" t="s">
        <v>1761</v>
      </c>
      <c r="Q752">
        <v>2</v>
      </c>
      <c r="R752">
        <v>2</v>
      </c>
    </row>
    <row r="753" spans="1:18" x14ac:dyDescent="0.3">
      <c r="A753" t="s">
        <v>1757</v>
      </c>
      <c r="B753" t="s">
        <v>1758</v>
      </c>
      <c r="C753" t="s">
        <v>138</v>
      </c>
      <c r="D753" t="s">
        <v>233</v>
      </c>
      <c r="E753" t="s">
        <v>30</v>
      </c>
      <c r="F753" s="6">
        <v>45473</v>
      </c>
      <c r="G753">
        <v>2024</v>
      </c>
      <c r="H753" t="s">
        <v>44</v>
      </c>
      <c r="I753" t="s">
        <v>71</v>
      </c>
      <c r="J753">
        <v>100</v>
      </c>
      <c r="K753">
        <v>92.45</v>
      </c>
      <c r="L753">
        <v>0.92449999999999999</v>
      </c>
      <c r="M753">
        <v>0.92449999999999999</v>
      </c>
      <c r="N753" t="s">
        <v>102</v>
      </c>
      <c r="O753" t="s">
        <v>5765</v>
      </c>
      <c r="P753" t="s">
        <v>1762</v>
      </c>
      <c r="Q753">
        <v>2</v>
      </c>
      <c r="R753">
        <v>2</v>
      </c>
    </row>
    <row r="754" spans="1:18" x14ac:dyDescent="0.3">
      <c r="A754" t="s">
        <v>1757</v>
      </c>
      <c r="B754" t="s">
        <v>1758</v>
      </c>
      <c r="C754" t="s">
        <v>138</v>
      </c>
      <c r="D754" t="s">
        <v>233</v>
      </c>
      <c r="E754" t="s">
        <v>30</v>
      </c>
      <c r="F754" s="6">
        <v>45657</v>
      </c>
      <c r="G754">
        <v>2024</v>
      </c>
      <c r="H754" t="s">
        <v>57</v>
      </c>
      <c r="I754" t="s">
        <v>78</v>
      </c>
      <c r="J754">
        <v>100</v>
      </c>
      <c r="K754">
        <v>96.23</v>
      </c>
      <c r="L754">
        <v>0.96230000000000004</v>
      </c>
      <c r="M754">
        <v>0.96230000000000004</v>
      </c>
      <c r="N754" t="s">
        <v>102</v>
      </c>
      <c r="O754" t="s">
        <v>5766</v>
      </c>
      <c r="P754" t="s">
        <v>1764</v>
      </c>
      <c r="Q754">
        <v>2</v>
      </c>
      <c r="R754">
        <v>2</v>
      </c>
    </row>
    <row r="755" spans="1:18" x14ac:dyDescent="0.3">
      <c r="A755" t="s">
        <v>1757</v>
      </c>
      <c r="B755" t="s">
        <v>1765</v>
      </c>
      <c r="C755" t="s">
        <v>138</v>
      </c>
      <c r="D755" t="s">
        <v>233</v>
      </c>
      <c r="E755" t="s">
        <v>30</v>
      </c>
      <c r="F755" s="6">
        <v>45838</v>
      </c>
      <c r="G755">
        <v>2025</v>
      </c>
      <c r="H755" t="s">
        <v>44</v>
      </c>
      <c r="I755" t="s">
        <v>244</v>
      </c>
      <c r="J755">
        <v>100</v>
      </c>
      <c r="K755">
        <v>82.35</v>
      </c>
      <c r="L755">
        <v>0.8234999999999999</v>
      </c>
      <c r="M755">
        <v>0.8234999999999999</v>
      </c>
      <c r="N755" t="s">
        <v>102</v>
      </c>
      <c r="O755" t="s">
        <v>1768</v>
      </c>
      <c r="P755" t="s">
        <v>1769</v>
      </c>
      <c r="Q755">
        <v>2</v>
      </c>
      <c r="R755">
        <v>2</v>
      </c>
    </row>
    <row r="756" spans="1:18" x14ac:dyDescent="0.3">
      <c r="A756" t="s">
        <v>1757</v>
      </c>
      <c r="B756" t="s">
        <v>1765</v>
      </c>
      <c r="C756" t="s">
        <v>138</v>
      </c>
      <c r="D756" t="s">
        <v>233</v>
      </c>
      <c r="E756" t="s">
        <v>30</v>
      </c>
      <c r="F756" s="6">
        <v>46022</v>
      </c>
      <c r="G756">
        <v>2025</v>
      </c>
      <c r="H756" t="s">
        <v>57</v>
      </c>
      <c r="I756" t="s">
        <v>103</v>
      </c>
      <c r="J756">
        <v>100</v>
      </c>
      <c r="K756">
        <v>100</v>
      </c>
      <c r="L756">
        <v>1</v>
      </c>
      <c r="M756">
        <v>1</v>
      </c>
      <c r="N756" t="s">
        <v>102</v>
      </c>
      <c r="O756" t="s">
        <v>102</v>
      </c>
      <c r="P756" t="s">
        <v>1770</v>
      </c>
      <c r="Q756">
        <v>2</v>
      </c>
      <c r="R756">
        <v>2</v>
      </c>
    </row>
    <row r="757" spans="1:18" x14ac:dyDescent="0.3">
      <c r="A757" t="s">
        <v>1771</v>
      </c>
      <c r="B757" t="s">
        <v>1772</v>
      </c>
      <c r="C757" t="s">
        <v>730</v>
      </c>
      <c r="D757" t="s">
        <v>222</v>
      </c>
      <c r="E757" t="s">
        <v>30</v>
      </c>
      <c r="F757" s="6">
        <v>45107</v>
      </c>
      <c r="G757">
        <v>2023</v>
      </c>
      <c r="H757" t="s">
        <v>44</v>
      </c>
      <c r="I757" t="s">
        <v>33</v>
      </c>
      <c r="J757">
        <v>68</v>
      </c>
      <c r="K757">
        <v>67.19</v>
      </c>
      <c r="L757">
        <v>0.9880882352941176</v>
      </c>
      <c r="M757">
        <v>0.9880882352941176</v>
      </c>
      <c r="N757" t="s">
        <v>5361</v>
      </c>
      <c r="O757" t="s">
        <v>5767</v>
      </c>
      <c r="P757" t="s">
        <v>1773</v>
      </c>
      <c r="Q757">
        <v>2</v>
      </c>
      <c r="R757">
        <v>2</v>
      </c>
    </row>
    <row r="758" spans="1:18" x14ac:dyDescent="0.3">
      <c r="A758" t="s">
        <v>1771</v>
      </c>
      <c r="B758" t="s">
        <v>1772</v>
      </c>
      <c r="C758" t="s">
        <v>730</v>
      </c>
      <c r="D758" t="s">
        <v>222</v>
      </c>
      <c r="E758" t="s">
        <v>30</v>
      </c>
      <c r="F758" s="6">
        <v>45291</v>
      </c>
      <c r="G758">
        <v>2023</v>
      </c>
      <c r="H758" t="s">
        <v>57</v>
      </c>
      <c r="I758" t="s">
        <v>47</v>
      </c>
      <c r="J758">
        <v>68</v>
      </c>
      <c r="K758">
        <v>74.739999999999995</v>
      </c>
      <c r="L758">
        <v>1.099117647058824</v>
      </c>
      <c r="M758">
        <v>1.099117647058824</v>
      </c>
      <c r="N758" t="s">
        <v>5361</v>
      </c>
      <c r="O758" t="s">
        <v>5768</v>
      </c>
      <c r="P758" t="s">
        <v>1774</v>
      </c>
      <c r="Q758">
        <v>2</v>
      </c>
      <c r="R758">
        <v>2</v>
      </c>
    </row>
    <row r="759" spans="1:18" x14ac:dyDescent="0.3">
      <c r="A759" t="s">
        <v>1771</v>
      </c>
      <c r="B759" t="s">
        <v>1772</v>
      </c>
      <c r="C759" t="s">
        <v>730</v>
      </c>
      <c r="D759" t="s">
        <v>222</v>
      </c>
      <c r="E759" t="s">
        <v>30</v>
      </c>
      <c r="F759" s="6">
        <v>45473</v>
      </c>
      <c r="G759">
        <v>2024</v>
      </c>
      <c r="H759" t="s">
        <v>44</v>
      </c>
      <c r="I759" t="s">
        <v>71</v>
      </c>
      <c r="J759">
        <v>68.5</v>
      </c>
      <c r="K759">
        <v>71.56</v>
      </c>
      <c r="L759">
        <v>1.0446715328467151</v>
      </c>
      <c r="M759">
        <v>1.0446715328467151</v>
      </c>
      <c r="N759" t="s">
        <v>5769</v>
      </c>
      <c r="O759" t="s">
        <v>5770</v>
      </c>
      <c r="P759" t="s">
        <v>1775</v>
      </c>
      <c r="Q759">
        <v>2</v>
      </c>
      <c r="R759">
        <v>2</v>
      </c>
    </row>
    <row r="760" spans="1:18" x14ac:dyDescent="0.3">
      <c r="A760" t="s">
        <v>1771</v>
      </c>
      <c r="B760" t="s">
        <v>1772</v>
      </c>
      <c r="C760" t="s">
        <v>730</v>
      </c>
      <c r="D760" t="s">
        <v>222</v>
      </c>
      <c r="E760" t="s">
        <v>30</v>
      </c>
      <c r="F760" s="6">
        <v>45657</v>
      </c>
      <c r="G760">
        <v>2024</v>
      </c>
      <c r="H760" t="s">
        <v>57</v>
      </c>
      <c r="I760" t="s">
        <v>78</v>
      </c>
      <c r="J760">
        <v>72.900000000000006</v>
      </c>
      <c r="K760">
        <v>72.53</v>
      </c>
      <c r="L760">
        <v>0.99492455418381343</v>
      </c>
      <c r="M760">
        <v>0.99492455418381343</v>
      </c>
      <c r="N760" t="s">
        <v>5771</v>
      </c>
      <c r="O760" t="s">
        <v>5772</v>
      </c>
      <c r="P760" t="s">
        <v>1776</v>
      </c>
      <c r="Q760">
        <v>2</v>
      </c>
      <c r="R760">
        <v>2</v>
      </c>
    </row>
    <row r="761" spans="1:18" x14ac:dyDescent="0.3">
      <c r="A761" t="s">
        <v>1771</v>
      </c>
      <c r="B761" t="s">
        <v>1777</v>
      </c>
      <c r="C761" t="s">
        <v>730</v>
      </c>
      <c r="D761" t="s">
        <v>222</v>
      </c>
      <c r="E761" t="s">
        <v>30</v>
      </c>
      <c r="F761" s="6">
        <v>45838</v>
      </c>
      <c r="G761">
        <v>2025</v>
      </c>
      <c r="H761" t="s">
        <v>44</v>
      </c>
      <c r="I761" t="s">
        <v>244</v>
      </c>
      <c r="J761">
        <v>100</v>
      </c>
      <c r="K761">
        <v>99.58</v>
      </c>
      <c r="L761">
        <v>0.99580000000000002</v>
      </c>
      <c r="M761">
        <v>0.99580000000000002</v>
      </c>
      <c r="N761" t="s">
        <v>102</v>
      </c>
      <c r="O761" t="s">
        <v>1779</v>
      </c>
      <c r="P761" t="s">
        <v>1780</v>
      </c>
      <c r="Q761">
        <v>2</v>
      </c>
      <c r="R761">
        <v>2</v>
      </c>
    </row>
    <row r="762" spans="1:18" x14ac:dyDescent="0.3">
      <c r="A762" t="s">
        <v>1771</v>
      </c>
      <c r="B762" t="s">
        <v>1777</v>
      </c>
      <c r="C762" t="s">
        <v>730</v>
      </c>
      <c r="D762" t="s">
        <v>222</v>
      </c>
      <c r="E762" t="s">
        <v>30</v>
      </c>
      <c r="F762" s="6">
        <v>46022</v>
      </c>
      <c r="G762">
        <v>2025</v>
      </c>
      <c r="H762" t="s">
        <v>57</v>
      </c>
      <c r="I762" t="s">
        <v>103</v>
      </c>
      <c r="J762">
        <v>100</v>
      </c>
      <c r="K762">
        <v>99.87</v>
      </c>
      <c r="L762">
        <v>0.99870000000000003</v>
      </c>
      <c r="M762">
        <v>0.99870000000000003</v>
      </c>
      <c r="N762" t="s">
        <v>102</v>
      </c>
      <c r="O762" t="s">
        <v>1782</v>
      </c>
      <c r="P762" t="s">
        <v>1783</v>
      </c>
      <c r="Q762">
        <v>2</v>
      </c>
      <c r="R762">
        <v>2</v>
      </c>
    </row>
    <row r="763" spans="1:18" x14ac:dyDescent="0.3">
      <c r="A763" t="s">
        <v>1784</v>
      </c>
      <c r="B763" t="s">
        <v>1785</v>
      </c>
      <c r="C763" t="s">
        <v>283</v>
      </c>
      <c r="D763" t="s">
        <v>284</v>
      </c>
      <c r="E763" t="s">
        <v>108</v>
      </c>
      <c r="F763" s="6">
        <v>45107</v>
      </c>
      <c r="G763">
        <v>2023</v>
      </c>
      <c r="H763" t="s">
        <v>44</v>
      </c>
      <c r="I763" t="s">
        <v>33</v>
      </c>
      <c r="J763">
        <v>8</v>
      </c>
      <c r="K763">
        <v>6.25</v>
      </c>
      <c r="L763">
        <v>1.28</v>
      </c>
      <c r="M763">
        <v>1.28</v>
      </c>
      <c r="N763" t="s">
        <v>2145</v>
      </c>
      <c r="O763" t="s">
        <v>5773</v>
      </c>
      <c r="P763" t="s">
        <v>1788</v>
      </c>
      <c r="Q763">
        <v>2</v>
      </c>
      <c r="R763">
        <v>2</v>
      </c>
    </row>
    <row r="764" spans="1:18" x14ac:dyDescent="0.3">
      <c r="A764" t="s">
        <v>1784</v>
      </c>
      <c r="B764" t="s">
        <v>1785</v>
      </c>
      <c r="C764" t="s">
        <v>283</v>
      </c>
      <c r="D764" t="s">
        <v>284</v>
      </c>
      <c r="E764" t="s">
        <v>108</v>
      </c>
      <c r="F764" s="6">
        <v>45291</v>
      </c>
      <c r="G764">
        <v>2023</v>
      </c>
      <c r="H764" t="s">
        <v>57</v>
      </c>
      <c r="I764" t="s">
        <v>47</v>
      </c>
      <c r="J764">
        <v>8</v>
      </c>
      <c r="K764">
        <v>5.1000000000000014</v>
      </c>
      <c r="L764">
        <v>1.3</v>
      </c>
      <c r="M764">
        <v>1.5686274509803919</v>
      </c>
      <c r="N764" t="s">
        <v>2145</v>
      </c>
      <c r="O764" t="s">
        <v>5774</v>
      </c>
      <c r="P764" t="s">
        <v>1791</v>
      </c>
      <c r="Q764">
        <v>2</v>
      </c>
      <c r="R764">
        <v>2</v>
      </c>
    </row>
    <row r="765" spans="1:18" x14ac:dyDescent="0.3">
      <c r="A765" t="s">
        <v>1792</v>
      </c>
      <c r="B765" t="s">
        <v>1793</v>
      </c>
      <c r="C765" t="s">
        <v>129</v>
      </c>
      <c r="D765" t="s">
        <v>1794</v>
      </c>
      <c r="E765" t="s">
        <v>30</v>
      </c>
      <c r="F765" s="6">
        <v>45107</v>
      </c>
      <c r="G765">
        <v>2023</v>
      </c>
      <c r="H765" t="s">
        <v>44</v>
      </c>
      <c r="I765" t="s">
        <v>33</v>
      </c>
      <c r="J765">
        <v>55</v>
      </c>
      <c r="K765">
        <v>55</v>
      </c>
      <c r="L765">
        <v>1</v>
      </c>
      <c r="M765">
        <v>1</v>
      </c>
      <c r="N765" t="s">
        <v>5775</v>
      </c>
      <c r="O765" t="s">
        <v>5775</v>
      </c>
      <c r="P765" t="s">
        <v>1795</v>
      </c>
      <c r="Q765">
        <v>2</v>
      </c>
      <c r="R765">
        <v>2</v>
      </c>
    </row>
    <row r="766" spans="1:18" x14ac:dyDescent="0.3">
      <c r="A766" t="s">
        <v>1792</v>
      </c>
      <c r="B766" t="s">
        <v>1793</v>
      </c>
      <c r="C766" t="s">
        <v>129</v>
      </c>
      <c r="D766" t="s">
        <v>233</v>
      </c>
      <c r="E766" t="s">
        <v>30</v>
      </c>
      <c r="F766" s="6">
        <v>45291</v>
      </c>
      <c r="G766">
        <v>2023</v>
      </c>
      <c r="H766" t="s">
        <v>57</v>
      </c>
      <c r="I766" t="s">
        <v>47</v>
      </c>
      <c r="J766">
        <v>55</v>
      </c>
      <c r="K766">
        <v>54.5</v>
      </c>
      <c r="L766">
        <v>0.99090909090909096</v>
      </c>
      <c r="M766">
        <v>0.99090909090909096</v>
      </c>
      <c r="N766" t="s">
        <v>5775</v>
      </c>
      <c r="O766" t="s">
        <v>5419</v>
      </c>
      <c r="P766" t="s">
        <v>1797</v>
      </c>
      <c r="Q766">
        <v>2</v>
      </c>
      <c r="R766">
        <v>2</v>
      </c>
    </row>
    <row r="767" spans="1:18" x14ac:dyDescent="0.3">
      <c r="A767" t="s">
        <v>1792</v>
      </c>
      <c r="B767" t="s">
        <v>1793</v>
      </c>
      <c r="C767" t="s">
        <v>129</v>
      </c>
      <c r="D767" t="s">
        <v>233</v>
      </c>
      <c r="E767" t="s">
        <v>30</v>
      </c>
      <c r="F767" s="6">
        <v>45473</v>
      </c>
      <c r="G767">
        <v>2024</v>
      </c>
      <c r="H767" t="s">
        <v>44</v>
      </c>
      <c r="I767" t="s">
        <v>71</v>
      </c>
      <c r="J767">
        <v>73</v>
      </c>
      <c r="K767">
        <v>73</v>
      </c>
      <c r="L767">
        <v>1</v>
      </c>
      <c r="M767">
        <v>1</v>
      </c>
      <c r="N767" t="s">
        <v>5583</v>
      </c>
      <c r="O767" t="s">
        <v>5583</v>
      </c>
      <c r="P767" t="s">
        <v>1799</v>
      </c>
      <c r="Q767">
        <v>2</v>
      </c>
      <c r="R767">
        <v>2</v>
      </c>
    </row>
    <row r="768" spans="1:18" x14ac:dyDescent="0.3">
      <c r="A768" t="s">
        <v>1792</v>
      </c>
      <c r="B768" t="s">
        <v>1793</v>
      </c>
      <c r="C768" t="s">
        <v>129</v>
      </c>
      <c r="D768" t="s">
        <v>233</v>
      </c>
      <c r="E768" t="s">
        <v>30</v>
      </c>
      <c r="F768" s="6">
        <v>45657</v>
      </c>
      <c r="G768">
        <v>2024</v>
      </c>
      <c r="H768" t="s">
        <v>57</v>
      </c>
      <c r="I768" t="s">
        <v>78</v>
      </c>
      <c r="J768">
        <v>73</v>
      </c>
      <c r="K768">
        <v>73</v>
      </c>
      <c r="L768">
        <v>1</v>
      </c>
      <c r="M768">
        <v>1</v>
      </c>
      <c r="N768" t="s">
        <v>5583</v>
      </c>
      <c r="O768" t="s">
        <v>5583</v>
      </c>
      <c r="P768" t="s">
        <v>1801</v>
      </c>
      <c r="Q768">
        <v>2</v>
      </c>
      <c r="R768">
        <v>2</v>
      </c>
    </row>
    <row r="769" spans="1:18" x14ac:dyDescent="0.3">
      <c r="A769" t="s">
        <v>1792</v>
      </c>
      <c r="B769" t="s">
        <v>1793</v>
      </c>
      <c r="C769" t="s">
        <v>129</v>
      </c>
      <c r="D769" t="s">
        <v>233</v>
      </c>
      <c r="E769" t="s">
        <v>30</v>
      </c>
      <c r="F769" s="6">
        <v>45838</v>
      </c>
      <c r="G769">
        <v>2025</v>
      </c>
      <c r="H769" t="s">
        <v>44</v>
      </c>
      <c r="I769" t="s">
        <v>244</v>
      </c>
      <c r="J769">
        <v>100</v>
      </c>
      <c r="K769">
        <v>100</v>
      </c>
      <c r="L769">
        <v>1</v>
      </c>
      <c r="M769">
        <v>1</v>
      </c>
      <c r="N769" t="s">
        <v>102</v>
      </c>
      <c r="O769" t="s">
        <v>102</v>
      </c>
      <c r="P769" t="s">
        <v>1803</v>
      </c>
      <c r="Q769">
        <v>2</v>
      </c>
      <c r="R769">
        <v>2</v>
      </c>
    </row>
    <row r="770" spans="1:18" x14ac:dyDescent="0.3">
      <c r="A770" t="s">
        <v>1804</v>
      </c>
      <c r="B770" t="s">
        <v>1805</v>
      </c>
      <c r="C770" t="s">
        <v>842</v>
      </c>
      <c r="D770" t="s">
        <v>98</v>
      </c>
      <c r="E770" t="s">
        <v>30</v>
      </c>
      <c r="F770" s="6">
        <v>45291</v>
      </c>
      <c r="G770">
        <v>2023</v>
      </c>
      <c r="H770" t="s">
        <v>57</v>
      </c>
      <c r="I770" t="s">
        <v>47</v>
      </c>
      <c r="J770">
        <v>16</v>
      </c>
      <c r="K770">
        <v>18</v>
      </c>
      <c r="L770">
        <v>1.125</v>
      </c>
      <c r="M770">
        <v>1.125</v>
      </c>
      <c r="N770" t="s">
        <v>809</v>
      </c>
      <c r="O770" t="s">
        <v>1475</v>
      </c>
      <c r="P770" t="s">
        <v>1806</v>
      </c>
      <c r="Q770">
        <v>2</v>
      </c>
      <c r="R770">
        <v>2</v>
      </c>
    </row>
    <row r="771" spans="1:18" x14ac:dyDescent="0.3">
      <c r="A771" t="s">
        <v>1804</v>
      </c>
      <c r="B771" t="s">
        <v>1805</v>
      </c>
      <c r="C771" t="s">
        <v>842</v>
      </c>
      <c r="D771" t="s">
        <v>98</v>
      </c>
      <c r="E771" t="s">
        <v>30</v>
      </c>
      <c r="F771" s="6">
        <v>45657</v>
      </c>
      <c r="G771">
        <v>2024</v>
      </c>
      <c r="H771" t="s">
        <v>57</v>
      </c>
      <c r="I771" t="s">
        <v>78</v>
      </c>
      <c r="J771">
        <v>100</v>
      </c>
      <c r="K771">
        <v>-5</v>
      </c>
      <c r="L771">
        <v>0</v>
      </c>
      <c r="M771">
        <v>-0.05</v>
      </c>
      <c r="N771" t="s">
        <v>102</v>
      </c>
      <c r="O771" t="s">
        <v>5776</v>
      </c>
      <c r="P771" t="s">
        <v>1807</v>
      </c>
      <c r="Q771">
        <v>2</v>
      </c>
      <c r="R771">
        <v>2</v>
      </c>
    </row>
    <row r="772" spans="1:18" x14ac:dyDescent="0.3">
      <c r="A772" t="s">
        <v>1804</v>
      </c>
      <c r="B772" t="s">
        <v>1808</v>
      </c>
      <c r="C772" t="s">
        <v>842</v>
      </c>
      <c r="D772" t="s">
        <v>98</v>
      </c>
      <c r="E772" t="s">
        <v>30</v>
      </c>
      <c r="F772" s="6">
        <v>46022</v>
      </c>
      <c r="G772">
        <v>2025</v>
      </c>
      <c r="H772" t="s">
        <v>57</v>
      </c>
      <c r="I772" t="s">
        <v>103</v>
      </c>
      <c r="J772">
        <v>100</v>
      </c>
      <c r="L772">
        <v>0</v>
      </c>
      <c r="M772">
        <v>0</v>
      </c>
      <c r="N772" t="s">
        <v>102</v>
      </c>
      <c r="P772" t="s">
        <v>1809</v>
      </c>
      <c r="Q772">
        <v>2</v>
      </c>
      <c r="R772">
        <v>2</v>
      </c>
    </row>
    <row r="773" spans="1:18" x14ac:dyDescent="0.3">
      <c r="A773" t="s">
        <v>1810</v>
      </c>
      <c r="B773" t="s">
        <v>1811</v>
      </c>
      <c r="C773" t="s">
        <v>842</v>
      </c>
      <c r="D773" t="s">
        <v>222</v>
      </c>
      <c r="E773" t="s">
        <v>30</v>
      </c>
      <c r="F773" s="6">
        <v>45107</v>
      </c>
      <c r="G773">
        <v>2023</v>
      </c>
      <c r="H773" t="s">
        <v>44</v>
      </c>
      <c r="I773" t="s">
        <v>33</v>
      </c>
      <c r="J773">
        <v>17</v>
      </c>
      <c r="K773">
        <v>21</v>
      </c>
      <c r="L773">
        <v>1.2352941176470591</v>
      </c>
      <c r="M773">
        <v>1.2352941176470591</v>
      </c>
      <c r="N773" t="s">
        <v>1478</v>
      </c>
      <c r="O773" t="s">
        <v>1465</v>
      </c>
      <c r="P773" t="s">
        <v>1812</v>
      </c>
      <c r="Q773">
        <v>2</v>
      </c>
      <c r="R773">
        <v>2</v>
      </c>
    </row>
    <row r="774" spans="1:18" x14ac:dyDescent="0.3">
      <c r="A774" t="s">
        <v>1810</v>
      </c>
      <c r="B774" t="s">
        <v>1811</v>
      </c>
      <c r="C774" t="s">
        <v>842</v>
      </c>
      <c r="D774" t="s">
        <v>222</v>
      </c>
      <c r="E774" t="s">
        <v>30</v>
      </c>
      <c r="F774" s="6">
        <v>45291</v>
      </c>
      <c r="G774">
        <v>2023</v>
      </c>
      <c r="H774" t="s">
        <v>57</v>
      </c>
      <c r="I774" t="s">
        <v>47</v>
      </c>
      <c r="J774">
        <v>17</v>
      </c>
      <c r="K774">
        <v>21</v>
      </c>
      <c r="L774">
        <v>1.2352941176470591</v>
      </c>
      <c r="M774">
        <v>1.2352941176470591</v>
      </c>
      <c r="N774" t="s">
        <v>1478</v>
      </c>
      <c r="O774" t="s">
        <v>1465</v>
      </c>
      <c r="P774" t="s">
        <v>1813</v>
      </c>
      <c r="Q774">
        <v>2</v>
      </c>
      <c r="R774">
        <v>2</v>
      </c>
    </row>
    <row r="775" spans="1:18" x14ac:dyDescent="0.3">
      <c r="A775" t="s">
        <v>1810</v>
      </c>
      <c r="B775" t="s">
        <v>1811</v>
      </c>
      <c r="C775" t="s">
        <v>842</v>
      </c>
      <c r="D775" t="s">
        <v>222</v>
      </c>
      <c r="E775" t="s">
        <v>30</v>
      </c>
      <c r="F775" s="6">
        <v>45473</v>
      </c>
      <c r="G775">
        <v>2024</v>
      </c>
      <c r="H775" t="s">
        <v>44</v>
      </c>
      <c r="I775" t="s">
        <v>71</v>
      </c>
      <c r="J775">
        <v>17</v>
      </c>
      <c r="K775">
        <v>20</v>
      </c>
      <c r="L775">
        <v>1.1764705882352939</v>
      </c>
      <c r="M775">
        <v>1.1764705882352939</v>
      </c>
      <c r="N775" t="s">
        <v>1478</v>
      </c>
      <c r="O775" t="s">
        <v>1298</v>
      </c>
      <c r="P775" t="s">
        <v>1814</v>
      </c>
      <c r="Q775">
        <v>2</v>
      </c>
      <c r="R775">
        <v>2</v>
      </c>
    </row>
    <row r="776" spans="1:18" x14ac:dyDescent="0.3">
      <c r="A776" t="s">
        <v>1810</v>
      </c>
      <c r="B776" t="s">
        <v>1811</v>
      </c>
      <c r="C776" t="s">
        <v>842</v>
      </c>
      <c r="D776" t="s">
        <v>222</v>
      </c>
      <c r="E776" t="s">
        <v>30</v>
      </c>
      <c r="F776" s="6">
        <v>45657</v>
      </c>
      <c r="G776">
        <v>2024</v>
      </c>
      <c r="H776" t="s">
        <v>57</v>
      </c>
      <c r="I776" t="s">
        <v>78</v>
      </c>
      <c r="J776">
        <v>17</v>
      </c>
      <c r="K776">
        <v>26</v>
      </c>
      <c r="L776">
        <v>1.3</v>
      </c>
      <c r="M776">
        <v>1.529411764705882</v>
      </c>
      <c r="N776" t="s">
        <v>1478</v>
      </c>
      <c r="O776" t="s">
        <v>1468</v>
      </c>
      <c r="P776" t="s">
        <v>1815</v>
      </c>
      <c r="Q776">
        <v>2</v>
      </c>
      <c r="R776">
        <v>2</v>
      </c>
    </row>
    <row r="777" spans="1:18" x14ac:dyDescent="0.3">
      <c r="A777" t="s">
        <v>1810</v>
      </c>
      <c r="B777" t="s">
        <v>1811</v>
      </c>
      <c r="C777" t="s">
        <v>842</v>
      </c>
      <c r="D777" t="s">
        <v>222</v>
      </c>
      <c r="E777" t="s">
        <v>30</v>
      </c>
      <c r="F777" s="6">
        <v>45838</v>
      </c>
      <c r="G777">
        <v>2025</v>
      </c>
      <c r="H777" t="s">
        <v>44</v>
      </c>
      <c r="I777" t="s">
        <v>244</v>
      </c>
      <c r="J777">
        <v>100</v>
      </c>
      <c r="K777">
        <v>100</v>
      </c>
      <c r="L777">
        <v>1</v>
      </c>
      <c r="M777">
        <v>1</v>
      </c>
      <c r="N777" t="s">
        <v>102</v>
      </c>
      <c r="O777" t="s">
        <v>102</v>
      </c>
      <c r="P777" t="s">
        <v>1816</v>
      </c>
      <c r="Q777">
        <v>2</v>
      </c>
      <c r="R777">
        <v>2</v>
      </c>
    </row>
    <row r="778" spans="1:18" x14ac:dyDescent="0.3">
      <c r="A778" t="s">
        <v>1817</v>
      </c>
      <c r="B778" t="s">
        <v>1818</v>
      </c>
      <c r="C778" t="s">
        <v>842</v>
      </c>
      <c r="D778" t="s">
        <v>222</v>
      </c>
      <c r="E778" t="s">
        <v>30</v>
      </c>
      <c r="F778" s="6">
        <v>45107</v>
      </c>
      <c r="G778">
        <v>2023</v>
      </c>
      <c r="H778" t="s">
        <v>44</v>
      </c>
      <c r="I778" t="s">
        <v>33</v>
      </c>
      <c r="J778">
        <v>18</v>
      </c>
      <c r="K778">
        <v>15</v>
      </c>
      <c r="L778">
        <v>0.83333333333333337</v>
      </c>
      <c r="M778">
        <v>0.83333333333333337</v>
      </c>
      <c r="N778" t="s">
        <v>1475</v>
      </c>
      <c r="O778" t="s">
        <v>3932</v>
      </c>
      <c r="P778" t="s">
        <v>1819</v>
      </c>
      <c r="Q778">
        <v>2</v>
      </c>
      <c r="R778">
        <v>2</v>
      </c>
    </row>
    <row r="779" spans="1:18" x14ac:dyDescent="0.3">
      <c r="A779" t="s">
        <v>1817</v>
      </c>
      <c r="B779" t="s">
        <v>1818</v>
      </c>
      <c r="C779" t="s">
        <v>842</v>
      </c>
      <c r="D779" t="s">
        <v>222</v>
      </c>
      <c r="E779" t="s">
        <v>30</v>
      </c>
      <c r="F779" s="6">
        <v>45291</v>
      </c>
      <c r="G779">
        <v>2023</v>
      </c>
      <c r="H779" t="s">
        <v>57</v>
      </c>
      <c r="I779" t="s">
        <v>47</v>
      </c>
      <c r="J779">
        <v>24</v>
      </c>
      <c r="K779">
        <v>24</v>
      </c>
      <c r="L779">
        <v>1</v>
      </c>
      <c r="M779">
        <v>1</v>
      </c>
      <c r="N779" t="s">
        <v>5777</v>
      </c>
      <c r="O779" t="s">
        <v>5777</v>
      </c>
      <c r="P779" t="s">
        <v>1820</v>
      </c>
      <c r="Q779">
        <v>2</v>
      </c>
      <c r="R779">
        <v>2</v>
      </c>
    </row>
    <row r="780" spans="1:18" x14ac:dyDescent="0.3">
      <c r="A780" t="s">
        <v>1821</v>
      </c>
      <c r="B780" t="s">
        <v>1822</v>
      </c>
      <c r="C780" t="s">
        <v>138</v>
      </c>
      <c r="D780" t="s">
        <v>233</v>
      </c>
      <c r="E780" t="s">
        <v>30</v>
      </c>
      <c r="F780" s="6">
        <v>45107</v>
      </c>
      <c r="G780">
        <v>2023</v>
      </c>
      <c r="H780" t="s">
        <v>44</v>
      </c>
      <c r="I780" t="s">
        <v>33</v>
      </c>
      <c r="J780">
        <v>100</v>
      </c>
      <c r="K780">
        <v>60.526315789473998</v>
      </c>
      <c r="L780">
        <v>0.60526315789473994</v>
      </c>
      <c r="M780">
        <v>0.60526315789473994</v>
      </c>
      <c r="N780" t="s">
        <v>102</v>
      </c>
      <c r="O780" t="s">
        <v>5778</v>
      </c>
      <c r="P780" t="s">
        <v>1823</v>
      </c>
      <c r="Q780">
        <v>2</v>
      </c>
      <c r="R780">
        <v>2</v>
      </c>
    </row>
    <row r="781" spans="1:18" x14ac:dyDescent="0.3">
      <c r="A781" t="s">
        <v>1821</v>
      </c>
      <c r="B781" t="s">
        <v>1822</v>
      </c>
      <c r="C781" t="s">
        <v>138</v>
      </c>
      <c r="D781" t="s">
        <v>233</v>
      </c>
      <c r="E781" t="s">
        <v>30</v>
      </c>
      <c r="F781" s="6">
        <v>45291</v>
      </c>
      <c r="G781">
        <v>2023</v>
      </c>
      <c r="H781" t="s">
        <v>57</v>
      </c>
      <c r="I781" t="s">
        <v>47</v>
      </c>
      <c r="J781">
        <v>100</v>
      </c>
      <c r="K781">
        <v>68.75</v>
      </c>
      <c r="L781">
        <v>0.6875</v>
      </c>
      <c r="M781">
        <v>0.6875</v>
      </c>
      <c r="N781" t="s">
        <v>102</v>
      </c>
      <c r="O781" t="s">
        <v>5702</v>
      </c>
      <c r="P781" t="s">
        <v>1825</v>
      </c>
      <c r="Q781">
        <v>2</v>
      </c>
      <c r="R781">
        <v>2</v>
      </c>
    </row>
    <row r="782" spans="1:18" x14ac:dyDescent="0.3">
      <c r="A782" t="s">
        <v>1821</v>
      </c>
      <c r="B782" t="s">
        <v>1822</v>
      </c>
      <c r="C782" t="s">
        <v>138</v>
      </c>
      <c r="D782" t="s">
        <v>233</v>
      </c>
      <c r="E782" t="s">
        <v>30</v>
      </c>
      <c r="F782" s="6">
        <v>45473</v>
      </c>
      <c r="G782">
        <v>2024</v>
      </c>
      <c r="H782" t="s">
        <v>44</v>
      </c>
      <c r="I782" t="s">
        <v>71</v>
      </c>
      <c r="J782">
        <v>90</v>
      </c>
      <c r="K782">
        <v>34.69</v>
      </c>
      <c r="L782">
        <v>0.38544444444444442</v>
      </c>
      <c r="M782">
        <v>0.38544444444444442</v>
      </c>
      <c r="N782" t="s">
        <v>256</v>
      </c>
      <c r="O782" t="s">
        <v>5779</v>
      </c>
      <c r="P782" t="s">
        <v>1827</v>
      </c>
      <c r="Q782">
        <v>2</v>
      </c>
      <c r="R782">
        <v>2</v>
      </c>
    </row>
    <row r="783" spans="1:18" x14ac:dyDescent="0.3">
      <c r="A783" t="s">
        <v>1821</v>
      </c>
      <c r="B783" t="s">
        <v>1822</v>
      </c>
      <c r="C783" t="s">
        <v>138</v>
      </c>
      <c r="D783" t="s">
        <v>233</v>
      </c>
      <c r="E783" t="s">
        <v>30</v>
      </c>
      <c r="F783" s="6">
        <v>45657</v>
      </c>
      <c r="G783">
        <v>2024</v>
      </c>
      <c r="H783" t="s">
        <v>57</v>
      </c>
      <c r="I783" t="s">
        <v>78</v>
      </c>
      <c r="J783">
        <v>90</v>
      </c>
      <c r="K783">
        <v>80.88</v>
      </c>
      <c r="L783">
        <v>0.89866666666666661</v>
      </c>
      <c r="M783">
        <v>0.89866666666666661</v>
      </c>
      <c r="N783" t="s">
        <v>256</v>
      </c>
      <c r="O783" t="s">
        <v>5780</v>
      </c>
      <c r="P783" t="s">
        <v>1829</v>
      </c>
      <c r="Q783">
        <v>2</v>
      </c>
      <c r="R783">
        <v>2</v>
      </c>
    </row>
    <row r="784" spans="1:18" x14ac:dyDescent="0.3">
      <c r="A784" t="s">
        <v>1830</v>
      </c>
      <c r="B784" t="s">
        <v>1831</v>
      </c>
      <c r="C784" t="s">
        <v>1832</v>
      </c>
      <c r="D784" t="s">
        <v>222</v>
      </c>
      <c r="E784" t="s">
        <v>108</v>
      </c>
      <c r="F784" s="6">
        <v>45107</v>
      </c>
      <c r="G784">
        <v>2023</v>
      </c>
      <c r="H784" t="s">
        <v>44</v>
      </c>
      <c r="I784" t="s">
        <v>33</v>
      </c>
      <c r="J784">
        <v>3</v>
      </c>
      <c r="K784">
        <v>2.8</v>
      </c>
      <c r="L784">
        <v>1.071428571428571</v>
      </c>
      <c r="M784">
        <v>1.071428571428571</v>
      </c>
      <c r="N784" t="s">
        <v>1849</v>
      </c>
      <c r="O784" t="s">
        <v>5781</v>
      </c>
      <c r="P784" t="s">
        <v>1833</v>
      </c>
      <c r="Q784">
        <v>2</v>
      </c>
      <c r="R784">
        <v>2</v>
      </c>
    </row>
    <row r="785" spans="1:18" x14ac:dyDescent="0.3">
      <c r="A785" t="s">
        <v>1830</v>
      </c>
      <c r="B785" t="s">
        <v>1831</v>
      </c>
      <c r="C785" t="s">
        <v>1832</v>
      </c>
      <c r="D785" t="s">
        <v>222</v>
      </c>
      <c r="E785" t="s">
        <v>108</v>
      </c>
      <c r="F785" s="6">
        <v>45291</v>
      </c>
      <c r="G785">
        <v>2023</v>
      </c>
      <c r="H785" t="s">
        <v>57</v>
      </c>
      <c r="I785" t="s">
        <v>47</v>
      </c>
      <c r="J785">
        <v>3</v>
      </c>
      <c r="K785">
        <v>2.9</v>
      </c>
      <c r="L785">
        <v>1.0344827586206899</v>
      </c>
      <c r="M785">
        <v>1.0344827586206899</v>
      </c>
      <c r="N785" t="s">
        <v>1849</v>
      </c>
      <c r="O785" t="s">
        <v>5782</v>
      </c>
      <c r="P785" t="s">
        <v>1834</v>
      </c>
      <c r="Q785">
        <v>2</v>
      </c>
      <c r="R785">
        <v>2</v>
      </c>
    </row>
    <row r="786" spans="1:18" x14ac:dyDescent="0.3">
      <c r="A786" t="s">
        <v>1830</v>
      </c>
      <c r="B786" t="s">
        <v>1831</v>
      </c>
      <c r="C786" t="s">
        <v>1832</v>
      </c>
      <c r="D786" t="s">
        <v>222</v>
      </c>
      <c r="E786" t="s">
        <v>108</v>
      </c>
      <c r="F786" s="6">
        <v>45473</v>
      </c>
      <c r="G786">
        <v>2024</v>
      </c>
      <c r="H786" t="s">
        <v>44</v>
      </c>
      <c r="I786" t="s">
        <v>71</v>
      </c>
      <c r="J786">
        <v>2.8</v>
      </c>
      <c r="K786">
        <v>2.5099999999999998</v>
      </c>
      <c r="L786">
        <v>1.115537848605578</v>
      </c>
      <c r="M786">
        <v>1.115537848605578</v>
      </c>
      <c r="N786" t="s">
        <v>5781</v>
      </c>
      <c r="O786" t="s">
        <v>5783</v>
      </c>
      <c r="P786" t="s">
        <v>1835</v>
      </c>
      <c r="Q786">
        <v>2</v>
      </c>
      <c r="R786">
        <v>2</v>
      </c>
    </row>
    <row r="787" spans="1:18" x14ac:dyDescent="0.3">
      <c r="A787" t="s">
        <v>1830</v>
      </c>
      <c r="B787" t="s">
        <v>1831</v>
      </c>
      <c r="C787" t="s">
        <v>1832</v>
      </c>
      <c r="D787" t="s">
        <v>222</v>
      </c>
      <c r="E787" t="s">
        <v>108</v>
      </c>
      <c r="F787" s="6">
        <v>45657</v>
      </c>
      <c r="G787">
        <v>2024</v>
      </c>
      <c r="H787" t="s">
        <v>57</v>
      </c>
      <c r="I787" t="s">
        <v>78</v>
      </c>
      <c r="J787">
        <v>2.8</v>
      </c>
      <c r="K787">
        <v>2.1</v>
      </c>
      <c r="L787">
        <v>1.3</v>
      </c>
      <c r="M787">
        <v>1.333333333333333</v>
      </c>
      <c r="N787" t="s">
        <v>5781</v>
      </c>
      <c r="O787" t="s">
        <v>1840</v>
      </c>
      <c r="P787" t="s">
        <v>1836</v>
      </c>
      <c r="Q787">
        <v>2</v>
      </c>
      <c r="R787">
        <v>2</v>
      </c>
    </row>
    <row r="788" spans="1:18" x14ac:dyDescent="0.3">
      <c r="A788" t="s">
        <v>1830</v>
      </c>
      <c r="B788" t="s">
        <v>1831</v>
      </c>
      <c r="C788" t="s">
        <v>1832</v>
      </c>
      <c r="D788" t="s">
        <v>222</v>
      </c>
      <c r="E788" t="s">
        <v>108</v>
      </c>
      <c r="F788" s="6">
        <v>45838</v>
      </c>
      <c r="G788">
        <v>2025</v>
      </c>
      <c r="H788" t="s">
        <v>44</v>
      </c>
      <c r="I788" t="s">
        <v>244</v>
      </c>
      <c r="J788">
        <v>2.2000000000000002</v>
      </c>
      <c r="K788">
        <v>1.9</v>
      </c>
      <c r="L788">
        <v>1.1578947368421051</v>
      </c>
      <c r="M788">
        <v>1.1578947368421051</v>
      </c>
      <c r="N788" t="s">
        <v>1838</v>
      </c>
      <c r="O788" t="s">
        <v>542</v>
      </c>
      <c r="P788" t="s">
        <v>1839</v>
      </c>
      <c r="Q788">
        <v>2</v>
      </c>
      <c r="R788">
        <v>2</v>
      </c>
    </row>
    <row r="789" spans="1:18" x14ac:dyDescent="0.3">
      <c r="A789" t="s">
        <v>1830</v>
      </c>
      <c r="B789" t="s">
        <v>1831</v>
      </c>
      <c r="C789" t="s">
        <v>1832</v>
      </c>
      <c r="D789" t="s">
        <v>222</v>
      </c>
      <c r="E789" t="s">
        <v>108</v>
      </c>
      <c r="F789" s="6">
        <v>46022</v>
      </c>
      <c r="G789">
        <v>2025</v>
      </c>
      <c r="H789" t="s">
        <v>57</v>
      </c>
      <c r="I789" t="s">
        <v>103</v>
      </c>
      <c r="J789">
        <v>2.1</v>
      </c>
      <c r="K789">
        <v>1.9</v>
      </c>
      <c r="L789">
        <v>1.1052631578947369</v>
      </c>
      <c r="M789">
        <v>1.1052631578947369</v>
      </c>
      <c r="N789" t="s">
        <v>1840</v>
      </c>
      <c r="O789" t="s">
        <v>542</v>
      </c>
      <c r="P789" t="s">
        <v>1841</v>
      </c>
      <c r="Q789">
        <v>2</v>
      </c>
      <c r="R789">
        <v>2</v>
      </c>
    </row>
    <row r="790" spans="1:18" x14ac:dyDescent="0.3">
      <c r="A790" t="s">
        <v>1842</v>
      </c>
      <c r="B790" t="s">
        <v>1843</v>
      </c>
      <c r="C790" t="s">
        <v>717</v>
      </c>
      <c r="D790" t="s">
        <v>222</v>
      </c>
      <c r="E790" t="s">
        <v>108</v>
      </c>
      <c r="F790" s="6">
        <v>45107</v>
      </c>
      <c r="G790">
        <v>2023</v>
      </c>
      <c r="H790" t="s">
        <v>44</v>
      </c>
      <c r="I790" t="s">
        <v>33</v>
      </c>
      <c r="J790">
        <v>3</v>
      </c>
      <c r="K790">
        <v>1.98</v>
      </c>
      <c r="L790">
        <v>1.3</v>
      </c>
      <c r="M790">
        <v>1.5151515151515149</v>
      </c>
      <c r="N790" t="s">
        <v>1849</v>
      </c>
      <c r="O790" t="s">
        <v>5784</v>
      </c>
      <c r="P790" t="s">
        <v>1844</v>
      </c>
      <c r="Q790">
        <v>2</v>
      </c>
      <c r="R790">
        <v>2</v>
      </c>
    </row>
    <row r="791" spans="1:18" x14ac:dyDescent="0.3">
      <c r="A791" t="s">
        <v>1842</v>
      </c>
      <c r="B791" t="s">
        <v>1843</v>
      </c>
      <c r="C791" t="s">
        <v>717</v>
      </c>
      <c r="D791" t="s">
        <v>222</v>
      </c>
      <c r="E791" t="s">
        <v>108</v>
      </c>
      <c r="F791" s="6">
        <v>45291</v>
      </c>
      <c r="G791">
        <v>2023</v>
      </c>
      <c r="H791" t="s">
        <v>57</v>
      </c>
      <c r="I791" t="s">
        <v>47</v>
      </c>
      <c r="J791">
        <v>3</v>
      </c>
      <c r="K791">
        <v>1.98</v>
      </c>
      <c r="L791">
        <v>1.3</v>
      </c>
      <c r="M791">
        <v>1.5151515151515149</v>
      </c>
      <c r="N791" t="s">
        <v>1849</v>
      </c>
      <c r="O791" t="s">
        <v>5784</v>
      </c>
      <c r="P791" t="s">
        <v>1845</v>
      </c>
      <c r="Q791">
        <v>2</v>
      </c>
      <c r="R791">
        <v>2</v>
      </c>
    </row>
    <row r="792" spans="1:18" x14ac:dyDescent="0.3">
      <c r="A792" t="s">
        <v>1842</v>
      </c>
      <c r="B792" t="s">
        <v>1843</v>
      </c>
      <c r="C792" t="s">
        <v>717</v>
      </c>
      <c r="D792" t="s">
        <v>222</v>
      </c>
      <c r="E792" t="s">
        <v>108</v>
      </c>
      <c r="F792" s="6">
        <v>45473</v>
      </c>
      <c r="G792">
        <v>2024</v>
      </c>
      <c r="H792" t="s">
        <v>44</v>
      </c>
      <c r="I792" t="s">
        <v>71</v>
      </c>
      <c r="J792">
        <v>3</v>
      </c>
      <c r="K792">
        <v>2.2000000000000002</v>
      </c>
      <c r="L792">
        <v>1.3</v>
      </c>
      <c r="M792">
        <v>1.363636363636364</v>
      </c>
      <c r="N792" t="s">
        <v>1849</v>
      </c>
      <c r="O792" t="s">
        <v>1838</v>
      </c>
      <c r="P792" t="s">
        <v>1846</v>
      </c>
      <c r="Q792">
        <v>2</v>
      </c>
      <c r="R792">
        <v>2</v>
      </c>
    </row>
    <row r="793" spans="1:18" x14ac:dyDescent="0.3">
      <c r="A793" t="s">
        <v>1842</v>
      </c>
      <c r="B793" t="s">
        <v>1843</v>
      </c>
      <c r="C793" t="s">
        <v>717</v>
      </c>
      <c r="D793" t="s">
        <v>222</v>
      </c>
      <c r="E793" t="s">
        <v>108</v>
      </c>
      <c r="F793" s="6">
        <v>45657</v>
      </c>
      <c r="G793">
        <v>2024</v>
      </c>
      <c r="H793" t="s">
        <v>57</v>
      </c>
      <c r="I793" t="s">
        <v>78</v>
      </c>
      <c r="J793">
        <v>3</v>
      </c>
      <c r="K793">
        <v>2.2000000000000002</v>
      </c>
      <c r="L793">
        <v>1.3</v>
      </c>
      <c r="M793">
        <v>1.363636363636364</v>
      </c>
      <c r="N793" t="s">
        <v>1849</v>
      </c>
      <c r="O793" t="s">
        <v>1838</v>
      </c>
      <c r="P793" t="s">
        <v>1847</v>
      </c>
      <c r="Q793">
        <v>2</v>
      </c>
      <c r="R793">
        <v>2</v>
      </c>
    </row>
    <row r="794" spans="1:18" x14ac:dyDescent="0.3">
      <c r="A794" t="s">
        <v>1842</v>
      </c>
      <c r="B794" t="s">
        <v>1843</v>
      </c>
      <c r="C794" t="s">
        <v>717</v>
      </c>
      <c r="D794" t="s">
        <v>222</v>
      </c>
      <c r="E794" t="s">
        <v>108</v>
      </c>
      <c r="F794" s="6">
        <v>45838</v>
      </c>
      <c r="G794">
        <v>2025</v>
      </c>
      <c r="H794" t="s">
        <v>44</v>
      </c>
      <c r="I794" t="s">
        <v>244</v>
      </c>
      <c r="J794">
        <v>3</v>
      </c>
      <c r="K794">
        <v>2.2999999999999998</v>
      </c>
      <c r="L794">
        <v>1.3</v>
      </c>
      <c r="M794">
        <v>1.304347826086957</v>
      </c>
      <c r="N794" t="s">
        <v>1849</v>
      </c>
      <c r="O794" t="s">
        <v>1850</v>
      </c>
      <c r="P794" t="s">
        <v>1851</v>
      </c>
      <c r="Q794">
        <v>2</v>
      </c>
      <c r="R794">
        <v>2</v>
      </c>
    </row>
    <row r="795" spans="1:18" x14ac:dyDescent="0.3">
      <c r="A795" t="s">
        <v>1842</v>
      </c>
      <c r="B795" t="s">
        <v>1843</v>
      </c>
      <c r="C795" t="s">
        <v>717</v>
      </c>
      <c r="D795" t="s">
        <v>222</v>
      </c>
      <c r="E795" t="s">
        <v>108</v>
      </c>
      <c r="F795" s="6">
        <v>46022</v>
      </c>
      <c r="G795">
        <v>2025</v>
      </c>
      <c r="H795" t="s">
        <v>57</v>
      </c>
      <c r="I795" t="s">
        <v>103</v>
      </c>
      <c r="J795">
        <v>3</v>
      </c>
      <c r="K795">
        <v>2.1</v>
      </c>
      <c r="L795">
        <v>1.3</v>
      </c>
      <c r="M795">
        <v>1.428571428571429</v>
      </c>
      <c r="N795" t="s">
        <v>1849</v>
      </c>
      <c r="O795" t="s">
        <v>1840</v>
      </c>
      <c r="P795" t="s">
        <v>1853</v>
      </c>
      <c r="Q795">
        <v>2</v>
      </c>
      <c r="R795">
        <v>2</v>
      </c>
    </row>
    <row r="796" spans="1:18" x14ac:dyDescent="0.3">
      <c r="A796" t="s">
        <v>1854</v>
      </c>
      <c r="B796" t="s">
        <v>1855</v>
      </c>
      <c r="C796" t="s">
        <v>184</v>
      </c>
      <c r="D796" t="s">
        <v>222</v>
      </c>
      <c r="E796" t="s">
        <v>108</v>
      </c>
      <c r="F796" s="6">
        <v>45107</v>
      </c>
      <c r="G796">
        <v>2023</v>
      </c>
      <c r="H796" t="s">
        <v>44</v>
      </c>
      <c r="I796" t="s">
        <v>33</v>
      </c>
      <c r="J796">
        <v>20</v>
      </c>
      <c r="K796">
        <v>0</v>
      </c>
      <c r="L796">
        <v>0</v>
      </c>
      <c r="M796">
        <v>0</v>
      </c>
      <c r="N796" t="s">
        <v>1298</v>
      </c>
      <c r="O796" t="s">
        <v>122</v>
      </c>
      <c r="P796" t="s">
        <v>1856</v>
      </c>
      <c r="Q796">
        <v>2</v>
      </c>
      <c r="R796">
        <v>2</v>
      </c>
    </row>
    <row r="797" spans="1:18" x14ac:dyDescent="0.3">
      <c r="A797" t="s">
        <v>1854</v>
      </c>
      <c r="B797" t="s">
        <v>1855</v>
      </c>
      <c r="C797" t="s">
        <v>184</v>
      </c>
      <c r="D797" t="s">
        <v>222</v>
      </c>
      <c r="E797" t="s">
        <v>108</v>
      </c>
      <c r="F797" s="6">
        <v>45291</v>
      </c>
      <c r="G797">
        <v>2023</v>
      </c>
      <c r="H797" t="s">
        <v>57</v>
      </c>
      <c r="I797" t="s">
        <v>47</v>
      </c>
      <c r="J797">
        <v>20</v>
      </c>
      <c r="K797">
        <v>11</v>
      </c>
      <c r="L797">
        <v>1.3</v>
      </c>
      <c r="M797">
        <v>1.8181818181818179</v>
      </c>
      <c r="N797" t="s">
        <v>1298</v>
      </c>
      <c r="O797" t="s">
        <v>3654</v>
      </c>
      <c r="P797" t="s">
        <v>1857</v>
      </c>
      <c r="Q797">
        <v>2</v>
      </c>
      <c r="R797">
        <v>2</v>
      </c>
    </row>
    <row r="798" spans="1:18" x14ac:dyDescent="0.3">
      <c r="A798" t="s">
        <v>1854</v>
      </c>
      <c r="B798" t="s">
        <v>1858</v>
      </c>
      <c r="C798" t="s">
        <v>184</v>
      </c>
      <c r="D798" t="s">
        <v>222</v>
      </c>
      <c r="E798" t="s">
        <v>108</v>
      </c>
      <c r="F798" s="6">
        <v>45473</v>
      </c>
      <c r="G798">
        <v>2024</v>
      </c>
      <c r="H798" t="s">
        <v>44</v>
      </c>
      <c r="I798" t="s">
        <v>71</v>
      </c>
      <c r="J798">
        <v>20</v>
      </c>
      <c r="K798">
        <v>0</v>
      </c>
      <c r="L798">
        <v>0</v>
      </c>
      <c r="M798">
        <v>0</v>
      </c>
      <c r="N798" t="s">
        <v>1298</v>
      </c>
      <c r="O798" t="s">
        <v>122</v>
      </c>
      <c r="P798" t="s">
        <v>1859</v>
      </c>
      <c r="Q798">
        <v>2</v>
      </c>
      <c r="R798">
        <v>2</v>
      </c>
    </row>
    <row r="799" spans="1:18" x14ac:dyDescent="0.3">
      <c r="A799" t="s">
        <v>1854</v>
      </c>
      <c r="B799" t="s">
        <v>1858</v>
      </c>
      <c r="C799" t="s">
        <v>184</v>
      </c>
      <c r="D799" t="s">
        <v>222</v>
      </c>
      <c r="E799" t="s">
        <v>108</v>
      </c>
      <c r="F799" s="6">
        <v>45657</v>
      </c>
      <c r="G799">
        <v>2024</v>
      </c>
      <c r="H799" t="s">
        <v>57</v>
      </c>
      <c r="I799" t="s">
        <v>78</v>
      </c>
      <c r="J799">
        <v>20</v>
      </c>
      <c r="K799">
        <v>0</v>
      </c>
      <c r="L799">
        <v>0</v>
      </c>
      <c r="M799">
        <v>0</v>
      </c>
      <c r="N799" t="s">
        <v>1298</v>
      </c>
      <c r="O799" t="s">
        <v>122</v>
      </c>
      <c r="P799" t="s">
        <v>1860</v>
      </c>
      <c r="Q799">
        <v>2</v>
      </c>
      <c r="R799">
        <v>2</v>
      </c>
    </row>
    <row r="800" spans="1:18" x14ac:dyDescent="0.3">
      <c r="A800" t="s">
        <v>1854</v>
      </c>
      <c r="B800" t="s">
        <v>1858</v>
      </c>
      <c r="C800" t="s">
        <v>184</v>
      </c>
      <c r="D800" t="s">
        <v>222</v>
      </c>
      <c r="E800" t="s">
        <v>108</v>
      </c>
      <c r="F800" s="6">
        <v>45838</v>
      </c>
      <c r="G800">
        <v>2025</v>
      </c>
      <c r="H800" t="s">
        <v>44</v>
      </c>
      <c r="I800" t="s">
        <v>244</v>
      </c>
      <c r="J800">
        <v>10</v>
      </c>
      <c r="K800">
        <v>0</v>
      </c>
      <c r="L800">
        <v>0</v>
      </c>
      <c r="M800">
        <v>0</v>
      </c>
      <c r="N800" t="s">
        <v>1861</v>
      </c>
      <c r="O800" t="s">
        <v>122</v>
      </c>
      <c r="P800" t="s">
        <v>1862</v>
      </c>
      <c r="Q800">
        <v>2</v>
      </c>
      <c r="R800">
        <v>2</v>
      </c>
    </row>
    <row r="801" spans="1:18" x14ac:dyDescent="0.3">
      <c r="A801" t="s">
        <v>1854</v>
      </c>
      <c r="B801" t="s">
        <v>1858</v>
      </c>
      <c r="C801" t="s">
        <v>184</v>
      </c>
      <c r="D801" t="s">
        <v>222</v>
      </c>
      <c r="E801" t="s">
        <v>108</v>
      </c>
      <c r="F801" s="6">
        <v>46022</v>
      </c>
      <c r="G801">
        <v>2025</v>
      </c>
      <c r="H801" t="s">
        <v>57</v>
      </c>
      <c r="I801" t="s">
        <v>103</v>
      </c>
      <c r="K801">
        <v>0</v>
      </c>
      <c r="L801">
        <v>0</v>
      </c>
      <c r="M801">
        <v>0</v>
      </c>
      <c r="O801" t="s">
        <v>122</v>
      </c>
      <c r="P801" t="s">
        <v>1863</v>
      </c>
      <c r="Q801">
        <v>2</v>
      </c>
      <c r="R801">
        <v>2</v>
      </c>
    </row>
    <row r="802" spans="1:18" x14ac:dyDescent="0.3">
      <c r="A802" t="s">
        <v>1864</v>
      </c>
      <c r="B802" t="s">
        <v>1865</v>
      </c>
      <c r="C802" t="s">
        <v>184</v>
      </c>
      <c r="D802" t="s">
        <v>233</v>
      </c>
      <c r="E802" t="s">
        <v>30</v>
      </c>
      <c r="F802" s="6">
        <v>45107</v>
      </c>
      <c r="G802">
        <v>2023</v>
      </c>
      <c r="H802" t="s">
        <v>44</v>
      </c>
      <c r="I802" t="s">
        <v>33</v>
      </c>
      <c r="J802">
        <v>100</v>
      </c>
      <c r="K802">
        <v>100</v>
      </c>
      <c r="L802">
        <v>1</v>
      </c>
      <c r="M802">
        <v>1</v>
      </c>
      <c r="N802" t="s">
        <v>102</v>
      </c>
      <c r="O802" t="s">
        <v>102</v>
      </c>
      <c r="P802" t="s">
        <v>1867</v>
      </c>
      <c r="Q802">
        <v>2</v>
      </c>
      <c r="R802">
        <v>2</v>
      </c>
    </row>
    <row r="803" spans="1:18" x14ac:dyDescent="0.3">
      <c r="A803" t="s">
        <v>1864</v>
      </c>
      <c r="B803" t="s">
        <v>1865</v>
      </c>
      <c r="C803" t="s">
        <v>184</v>
      </c>
      <c r="D803" t="s">
        <v>233</v>
      </c>
      <c r="E803" t="s">
        <v>30</v>
      </c>
      <c r="F803" s="6">
        <v>45291</v>
      </c>
      <c r="G803">
        <v>2023</v>
      </c>
      <c r="H803" t="s">
        <v>57</v>
      </c>
      <c r="I803" t="s">
        <v>47</v>
      </c>
      <c r="J803">
        <v>100</v>
      </c>
      <c r="K803">
        <v>100</v>
      </c>
      <c r="L803">
        <v>1</v>
      </c>
      <c r="M803">
        <v>1</v>
      </c>
      <c r="N803" t="s">
        <v>102</v>
      </c>
      <c r="O803" t="s">
        <v>102</v>
      </c>
      <c r="P803" t="s">
        <v>1869</v>
      </c>
      <c r="Q803">
        <v>2</v>
      </c>
      <c r="R803">
        <v>2</v>
      </c>
    </row>
    <row r="804" spans="1:18" x14ac:dyDescent="0.3">
      <c r="A804" t="s">
        <v>1864</v>
      </c>
      <c r="B804" t="s">
        <v>1865</v>
      </c>
      <c r="C804" t="s">
        <v>184</v>
      </c>
      <c r="D804" t="s">
        <v>233</v>
      </c>
      <c r="E804" t="s">
        <v>30</v>
      </c>
      <c r="F804" s="6">
        <v>45473</v>
      </c>
      <c r="G804">
        <v>2024</v>
      </c>
      <c r="H804" t="s">
        <v>44</v>
      </c>
      <c r="I804" t="s">
        <v>71</v>
      </c>
      <c r="J804">
        <v>100</v>
      </c>
      <c r="K804">
        <v>100</v>
      </c>
      <c r="L804">
        <v>1</v>
      </c>
      <c r="M804">
        <v>1</v>
      </c>
      <c r="N804" t="s">
        <v>102</v>
      </c>
      <c r="O804" t="s">
        <v>102</v>
      </c>
      <c r="P804" t="s">
        <v>1871</v>
      </c>
      <c r="Q804">
        <v>2</v>
      </c>
      <c r="R804">
        <v>2</v>
      </c>
    </row>
    <row r="805" spans="1:18" x14ac:dyDescent="0.3">
      <c r="A805" t="s">
        <v>1864</v>
      </c>
      <c r="B805" t="s">
        <v>1865</v>
      </c>
      <c r="C805" t="s">
        <v>184</v>
      </c>
      <c r="D805" t="s">
        <v>233</v>
      </c>
      <c r="E805" t="s">
        <v>30</v>
      </c>
      <c r="F805" s="6">
        <v>45657</v>
      </c>
      <c r="G805">
        <v>2024</v>
      </c>
      <c r="H805" t="s">
        <v>57</v>
      </c>
      <c r="I805" t="s">
        <v>78</v>
      </c>
      <c r="J805">
        <v>100</v>
      </c>
      <c r="K805">
        <v>100</v>
      </c>
      <c r="L805">
        <v>1</v>
      </c>
      <c r="M805">
        <v>1</v>
      </c>
      <c r="N805" t="s">
        <v>102</v>
      </c>
      <c r="O805" t="s">
        <v>102</v>
      </c>
      <c r="P805" t="s">
        <v>1873</v>
      </c>
      <c r="Q805">
        <v>2</v>
      </c>
      <c r="R805">
        <v>2</v>
      </c>
    </row>
    <row r="806" spans="1:18" x14ac:dyDescent="0.3">
      <c r="A806" t="s">
        <v>1864</v>
      </c>
      <c r="B806" t="s">
        <v>1865</v>
      </c>
      <c r="C806" t="s">
        <v>184</v>
      </c>
      <c r="D806" t="s">
        <v>233</v>
      </c>
      <c r="E806" t="s">
        <v>30</v>
      </c>
      <c r="F806" s="6">
        <v>45838</v>
      </c>
      <c r="G806">
        <v>2025</v>
      </c>
      <c r="H806" t="s">
        <v>44</v>
      </c>
      <c r="I806" t="s">
        <v>244</v>
      </c>
      <c r="J806">
        <v>100</v>
      </c>
      <c r="K806">
        <v>100</v>
      </c>
      <c r="L806">
        <v>1</v>
      </c>
      <c r="M806">
        <v>1</v>
      </c>
      <c r="N806" t="s">
        <v>102</v>
      </c>
      <c r="O806" t="s">
        <v>102</v>
      </c>
      <c r="P806" t="s">
        <v>1875</v>
      </c>
      <c r="Q806">
        <v>2</v>
      </c>
      <c r="R806">
        <v>2</v>
      </c>
    </row>
    <row r="807" spans="1:18" x14ac:dyDescent="0.3">
      <c r="A807" t="s">
        <v>1864</v>
      </c>
      <c r="B807" t="s">
        <v>1865</v>
      </c>
      <c r="C807" t="s">
        <v>184</v>
      </c>
      <c r="D807" t="s">
        <v>233</v>
      </c>
      <c r="E807" t="s">
        <v>30</v>
      </c>
      <c r="F807" s="6">
        <v>46022</v>
      </c>
      <c r="G807">
        <v>2025</v>
      </c>
      <c r="H807" t="s">
        <v>57</v>
      </c>
      <c r="I807" t="s">
        <v>103</v>
      </c>
      <c r="J807">
        <v>100</v>
      </c>
      <c r="K807">
        <v>100</v>
      </c>
      <c r="L807">
        <v>1</v>
      </c>
      <c r="M807">
        <v>1</v>
      </c>
      <c r="N807" t="s">
        <v>102</v>
      </c>
      <c r="O807" t="s">
        <v>102</v>
      </c>
      <c r="P807" t="s">
        <v>1876</v>
      </c>
      <c r="Q807">
        <v>2</v>
      </c>
      <c r="R807">
        <v>2</v>
      </c>
    </row>
    <row r="808" spans="1:18" x14ac:dyDescent="0.3">
      <c r="A808" t="s">
        <v>1877</v>
      </c>
      <c r="B808" t="s">
        <v>1878</v>
      </c>
      <c r="C808" t="s">
        <v>184</v>
      </c>
      <c r="D808" t="s">
        <v>222</v>
      </c>
      <c r="E808" t="s">
        <v>30</v>
      </c>
      <c r="F808" s="6">
        <v>45107</v>
      </c>
      <c r="G808">
        <v>2023</v>
      </c>
      <c r="H808" t="s">
        <v>44</v>
      </c>
      <c r="I808" t="s">
        <v>33</v>
      </c>
      <c r="J808">
        <v>100</v>
      </c>
      <c r="K808">
        <v>100</v>
      </c>
      <c r="L808">
        <v>1</v>
      </c>
      <c r="M808">
        <v>1</v>
      </c>
      <c r="N808" t="s">
        <v>102</v>
      </c>
      <c r="O808" t="s">
        <v>102</v>
      </c>
      <c r="P808" t="s">
        <v>1879</v>
      </c>
      <c r="Q808">
        <v>2</v>
      </c>
      <c r="R808">
        <v>2</v>
      </c>
    </row>
    <row r="809" spans="1:18" x14ac:dyDescent="0.3">
      <c r="A809" t="s">
        <v>1877</v>
      </c>
      <c r="B809" t="s">
        <v>1878</v>
      </c>
      <c r="C809" t="s">
        <v>184</v>
      </c>
      <c r="D809" t="s">
        <v>222</v>
      </c>
      <c r="E809" t="s">
        <v>30</v>
      </c>
      <c r="F809" s="6">
        <v>45291</v>
      </c>
      <c r="G809">
        <v>2023</v>
      </c>
      <c r="H809" t="s">
        <v>57</v>
      </c>
      <c r="I809" t="s">
        <v>47</v>
      </c>
      <c r="J809">
        <v>100</v>
      </c>
      <c r="K809">
        <v>100</v>
      </c>
      <c r="L809">
        <v>1</v>
      </c>
      <c r="M809">
        <v>1</v>
      </c>
      <c r="N809" t="s">
        <v>102</v>
      </c>
      <c r="O809" t="s">
        <v>102</v>
      </c>
      <c r="P809" t="s">
        <v>1880</v>
      </c>
      <c r="Q809">
        <v>2</v>
      </c>
      <c r="R809">
        <v>2</v>
      </c>
    </row>
    <row r="810" spans="1:18" x14ac:dyDescent="0.3">
      <c r="A810" t="s">
        <v>1877</v>
      </c>
      <c r="B810" t="s">
        <v>1881</v>
      </c>
      <c r="C810" t="s">
        <v>184</v>
      </c>
      <c r="D810" t="s">
        <v>222</v>
      </c>
      <c r="E810" t="s">
        <v>30</v>
      </c>
      <c r="F810" s="6">
        <v>45473</v>
      </c>
      <c r="G810">
        <v>2024</v>
      </c>
      <c r="H810" t="s">
        <v>44</v>
      </c>
      <c r="I810" t="s">
        <v>71</v>
      </c>
      <c r="J810">
        <v>100</v>
      </c>
      <c r="K810">
        <v>100</v>
      </c>
      <c r="L810">
        <v>1</v>
      </c>
      <c r="M810">
        <v>1</v>
      </c>
      <c r="N810" t="s">
        <v>102</v>
      </c>
      <c r="O810" t="s">
        <v>102</v>
      </c>
      <c r="P810" t="s">
        <v>1882</v>
      </c>
      <c r="Q810">
        <v>2</v>
      </c>
      <c r="R810">
        <v>2</v>
      </c>
    </row>
    <row r="811" spans="1:18" x14ac:dyDescent="0.3">
      <c r="A811" t="s">
        <v>1877</v>
      </c>
      <c r="B811" t="s">
        <v>1881</v>
      </c>
      <c r="C811" t="s">
        <v>184</v>
      </c>
      <c r="D811" t="s">
        <v>222</v>
      </c>
      <c r="E811" t="s">
        <v>30</v>
      </c>
      <c r="F811" s="6">
        <v>45657</v>
      </c>
      <c r="G811">
        <v>2024</v>
      </c>
      <c r="H811" t="s">
        <v>57</v>
      </c>
      <c r="I811" t="s">
        <v>78</v>
      </c>
      <c r="J811">
        <v>100</v>
      </c>
      <c r="K811">
        <v>100</v>
      </c>
      <c r="L811">
        <v>1</v>
      </c>
      <c r="M811">
        <v>1</v>
      </c>
      <c r="N811" t="s">
        <v>102</v>
      </c>
      <c r="O811" t="s">
        <v>102</v>
      </c>
      <c r="P811" t="s">
        <v>1883</v>
      </c>
      <c r="Q811">
        <v>2</v>
      </c>
      <c r="R811">
        <v>2</v>
      </c>
    </row>
    <row r="812" spans="1:18" x14ac:dyDescent="0.3">
      <c r="A812" t="s">
        <v>1884</v>
      </c>
      <c r="B812" t="s">
        <v>1885</v>
      </c>
      <c r="C812" t="s">
        <v>184</v>
      </c>
      <c r="D812" t="s">
        <v>222</v>
      </c>
      <c r="E812" t="s">
        <v>30</v>
      </c>
      <c r="F812" s="6">
        <v>45107</v>
      </c>
      <c r="G812">
        <v>2023</v>
      </c>
      <c r="H812" t="s">
        <v>44</v>
      </c>
      <c r="I812" t="s">
        <v>33</v>
      </c>
      <c r="J812">
        <v>100</v>
      </c>
      <c r="K812">
        <v>80</v>
      </c>
      <c r="L812">
        <v>0.8</v>
      </c>
      <c r="M812">
        <v>0.8</v>
      </c>
      <c r="N812" t="s">
        <v>102</v>
      </c>
      <c r="O812" t="s">
        <v>193</v>
      </c>
      <c r="P812" t="s">
        <v>1886</v>
      </c>
      <c r="Q812">
        <v>2</v>
      </c>
      <c r="R812">
        <v>2</v>
      </c>
    </row>
    <row r="813" spans="1:18" x14ac:dyDescent="0.3">
      <c r="A813" t="s">
        <v>1884</v>
      </c>
      <c r="B813" t="s">
        <v>1885</v>
      </c>
      <c r="C813" t="s">
        <v>184</v>
      </c>
      <c r="D813" t="s">
        <v>222</v>
      </c>
      <c r="E813" t="s">
        <v>30</v>
      </c>
      <c r="F813" s="6">
        <v>45291</v>
      </c>
      <c r="G813">
        <v>2023</v>
      </c>
      <c r="H813" t="s">
        <v>57</v>
      </c>
      <c r="I813" t="s">
        <v>47</v>
      </c>
      <c r="J813">
        <v>100</v>
      </c>
      <c r="K813">
        <v>97.13</v>
      </c>
      <c r="L813">
        <v>0.97129999999999994</v>
      </c>
      <c r="M813">
        <v>0.97129999999999994</v>
      </c>
      <c r="N813" t="s">
        <v>102</v>
      </c>
      <c r="O813" t="s">
        <v>5785</v>
      </c>
      <c r="P813" t="s">
        <v>1887</v>
      </c>
      <c r="Q813">
        <v>2</v>
      </c>
      <c r="R813">
        <v>2</v>
      </c>
    </row>
    <row r="814" spans="1:18" x14ac:dyDescent="0.3">
      <c r="A814" t="s">
        <v>1884</v>
      </c>
      <c r="B814" t="s">
        <v>1888</v>
      </c>
      <c r="C814" t="s">
        <v>184</v>
      </c>
      <c r="D814" t="s">
        <v>222</v>
      </c>
      <c r="E814" t="s">
        <v>30</v>
      </c>
      <c r="F814" s="6">
        <v>45473</v>
      </c>
      <c r="G814">
        <v>2024</v>
      </c>
      <c r="H814" t="s">
        <v>44</v>
      </c>
      <c r="I814" t="s">
        <v>71</v>
      </c>
      <c r="J814">
        <v>95</v>
      </c>
      <c r="K814">
        <v>100</v>
      </c>
      <c r="L814">
        <v>1.0526315789473679</v>
      </c>
      <c r="M814">
        <v>1.0526315789473679</v>
      </c>
      <c r="N814" t="s">
        <v>838</v>
      </c>
      <c r="O814" t="s">
        <v>102</v>
      </c>
      <c r="P814" t="s">
        <v>1889</v>
      </c>
      <c r="Q814">
        <v>2</v>
      </c>
      <c r="R814">
        <v>2</v>
      </c>
    </row>
    <row r="815" spans="1:18" x14ac:dyDescent="0.3">
      <c r="A815" t="s">
        <v>1884</v>
      </c>
      <c r="B815" t="s">
        <v>1888</v>
      </c>
      <c r="C815" t="s">
        <v>184</v>
      </c>
      <c r="D815" t="s">
        <v>222</v>
      </c>
      <c r="E815" t="s">
        <v>30</v>
      </c>
      <c r="F815" s="6">
        <v>45657</v>
      </c>
      <c r="G815">
        <v>2024</v>
      </c>
      <c r="H815" t="s">
        <v>57</v>
      </c>
      <c r="I815" t="s">
        <v>78</v>
      </c>
      <c r="J815">
        <v>95</v>
      </c>
      <c r="K815">
        <v>100</v>
      </c>
      <c r="L815">
        <v>1.0526315789473679</v>
      </c>
      <c r="M815">
        <v>1.0526315789473679</v>
      </c>
      <c r="N815" t="s">
        <v>838</v>
      </c>
      <c r="O815" t="s">
        <v>102</v>
      </c>
      <c r="P815" t="s">
        <v>1890</v>
      </c>
      <c r="Q815">
        <v>2</v>
      </c>
      <c r="R815">
        <v>2</v>
      </c>
    </row>
    <row r="816" spans="1:18" x14ac:dyDescent="0.3">
      <c r="A816" t="s">
        <v>1884</v>
      </c>
      <c r="B816" t="s">
        <v>1888</v>
      </c>
      <c r="C816" t="s">
        <v>184</v>
      </c>
      <c r="D816" t="s">
        <v>233</v>
      </c>
      <c r="E816" t="s">
        <v>30</v>
      </c>
      <c r="F816" s="6">
        <v>45838</v>
      </c>
      <c r="G816">
        <v>2025</v>
      </c>
      <c r="H816" t="s">
        <v>44</v>
      </c>
      <c r="I816" t="s">
        <v>244</v>
      </c>
      <c r="J816">
        <v>95</v>
      </c>
      <c r="K816">
        <v>100</v>
      </c>
      <c r="L816">
        <v>1.0526315789473679</v>
      </c>
      <c r="M816">
        <v>1.0526315789473679</v>
      </c>
      <c r="N816" t="s">
        <v>838</v>
      </c>
      <c r="O816" t="s">
        <v>102</v>
      </c>
      <c r="P816" t="s">
        <v>1892</v>
      </c>
      <c r="Q816">
        <v>2</v>
      </c>
      <c r="R816">
        <v>2</v>
      </c>
    </row>
    <row r="817" spans="1:18" x14ac:dyDescent="0.3">
      <c r="A817" t="s">
        <v>1893</v>
      </c>
      <c r="B817" t="s">
        <v>1894</v>
      </c>
      <c r="C817" t="s">
        <v>184</v>
      </c>
      <c r="D817" t="s">
        <v>222</v>
      </c>
      <c r="E817" t="s">
        <v>30</v>
      </c>
      <c r="F817" s="6">
        <v>45107</v>
      </c>
      <c r="G817">
        <v>2023</v>
      </c>
      <c r="H817" t="s">
        <v>44</v>
      </c>
      <c r="I817" t="s">
        <v>33</v>
      </c>
      <c r="J817">
        <v>95</v>
      </c>
      <c r="K817">
        <v>89.91</v>
      </c>
      <c r="L817">
        <v>0.94642105263157894</v>
      </c>
      <c r="M817">
        <v>0.94642105263157894</v>
      </c>
      <c r="N817" t="s">
        <v>838</v>
      </c>
      <c r="O817" t="s">
        <v>5786</v>
      </c>
      <c r="P817" t="s">
        <v>1895</v>
      </c>
      <c r="Q817">
        <v>2</v>
      </c>
      <c r="R817">
        <v>2</v>
      </c>
    </row>
    <row r="818" spans="1:18" x14ac:dyDescent="0.3">
      <c r="A818" t="s">
        <v>1893</v>
      </c>
      <c r="B818" t="s">
        <v>1894</v>
      </c>
      <c r="C818" t="s">
        <v>184</v>
      </c>
      <c r="D818" t="s">
        <v>222</v>
      </c>
      <c r="E818" t="s">
        <v>30</v>
      </c>
      <c r="F818" s="6">
        <v>45291</v>
      </c>
      <c r="G818">
        <v>2023</v>
      </c>
      <c r="H818" t="s">
        <v>57</v>
      </c>
      <c r="I818" t="s">
        <v>47</v>
      </c>
      <c r="J818">
        <v>95</v>
      </c>
      <c r="K818">
        <v>97.07</v>
      </c>
      <c r="L818">
        <v>1.0217894736842099</v>
      </c>
      <c r="M818">
        <v>1.0217894736842099</v>
      </c>
      <c r="N818" t="s">
        <v>838</v>
      </c>
      <c r="O818" t="s">
        <v>5787</v>
      </c>
      <c r="P818" t="s">
        <v>1896</v>
      </c>
      <c r="Q818">
        <v>2</v>
      </c>
      <c r="R818">
        <v>2</v>
      </c>
    </row>
    <row r="819" spans="1:18" x14ac:dyDescent="0.3">
      <c r="A819" t="s">
        <v>1893</v>
      </c>
      <c r="B819" t="s">
        <v>1894</v>
      </c>
      <c r="C819" t="s">
        <v>184</v>
      </c>
      <c r="D819" t="s">
        <v>222</v>
      </c>
      <c r="E819" t="s">
        <v>30</v>
      </c>
      <c r="F819" s="6">
        <v>45473</v>
      </c>
      <c r="G819">
        <v>2024</v>
      </c>
      <c r="H819" t="s">
        <v>44</v>
      </c>
      <c r="I819" t="s">
        <v>71</v>
      </c>
      <c r="J819">
        <v>95</v>
      </c>
      <c r="K819">
        <v>95.02</v>
      </c>
      <c r="L819">
        <v>1.000210526315789</v>
      </c>
      <c r="M819">
        <v>1.000210526315789</v>
      </c>
      <c r="N819" t="s">
        <v>838</v>
      </c>
      <c r="O819" t="s">
        <v>5788</v>
      </c>
      <c r="P819" t="s">
        <v>1897</v>
      </c>
      <c r="Q819">
        <v>2</v>
      </c>
      <c r="R819">
        <v>2</v>
      </c>
    </row>
    <row r="820" spans="1:18" x14ac:dyDescent="0.3">
      <c r="A820" t="s">
        <v>1893</v>
      </c>
      <c r="B820" t="s">
        <v>1894</v>
      </c>
      <c r="C820" t="s">
        <v>184</v>
      </c>
      <c r="D820" t="s">
        <v>222</v>
      </c>
      <c r="E820" t="s">
        <v>30</v>
      </c>
      <c r="F820" s="6">
        <v>45657</v>
      </c>
      <c r="G820">
        <v>2024</v>
      </c>
      <c r="H820" t="s">
        <v>57</v>
      </c>
      <c r="I820" t="s">
        <v>78</v>
      </c>
      <c r="J820">
        <v>95</v>
      </c>
      <c r="K820">
        <v>81.93</v>
      </c>
      <c r="L820">
        <v>0.86242105263157898</v>
      </c>
      <c r="M820">
        <v>0.86242105263157898</v>
      </c>
      <c r="N820" t="s">
        <v>838</v>
      </c>
      <c r="O820" t="s">
        <v>5789</v>
      </c>
      <c r="P820" t="s">
        <v>1898</v>
      </c>
      <c r="Q820">
        <v>2</v>
      </c>
      <c r="R820">
        <v>2</v>
      </c>
    </row>
    <row r="821" spans="1:18" x14ac:dyDescent="0.3">
      <c r="A821" t="s">
        <v>1893</v>
      </c>
      <c r="B821" t="s">
        <v>1894</v>
      </c>
      <c r="C821" t="s">
        <v>184</v>
      </c>
      <c r="D821" t="s">
        <v>233</v>
      </c>
      <c r="E821" t="s">
        <v>30</v>
      </c>
      <c r="F821" s="6">
        <v>45838</v>
      </c>
      <c r="G821">
        <v>2025</v>
      </c>
      <c r="H821" t="s">
        <v>44</v>
      </c>
      <c r="I821" t="s">
        <v>244</v>
      </c>
      <c r="J821">
        <v>95</v>
      </c>
      <c r="K821">
        <v>53.15</v>
      </c>
      <c r="L821">
        <v>0.55947368421052635</v>
      </c>
      <c r="M821">
        <v>0.55947368421052635</v>
      </c>
      <c r="N821" t="s">
        <v>838</v>
      </c>
      <c r="O821" t="s">
        <v>1901</v>
      </c>
      <c r="P821" t="s">
        <v>1902</v>
      </c>
      <c r="Q821">
        <v>2</v>
      </c>
      <c r="R821">
        <v>2</v>
      </c>
    </row>
    <row r="822" spans="1:18" x14ac:dyDescent="0.3">
      <c r="A822" t="s">
        <v>1903</v>
      </c>
      <c r="B822" t="s">
        <v>1904</v>
      </c>
      <c r="C822" t="s">
        <v>150</v>
      </c>
      <c r="D822" t="s">
        <v>98</v>
      </c>
      <c r="E822" t="s">
        <v>30</v>
      </c>
      <c r="F822" s="6">
        <v>45291</v>
      </c>
      <c r="G822">
        <v>2023</v>
      </c>
      <c r="H822" t="s">
        <v>57</v>
      </c>
      <c r="I822" t="s">
        <v>47</v>
      </c>
      <c r="L822">
        <v>0</v>
      </c>
      <c r="M822">
        <v>0</v>
      </c>
      <c r="P822" t="s">
        <v>1905</v>
      </c>
      <c r="Q822">
        <v>2</v>
      </c>
      <c r="R822">
        <v>2</v>
      </c>
    </row>
    <row r="823" spans="1:18" x14ac:dyDescent="0.3">
      <c r="A823" t="s">
        <v>1906</v>
      </c>
      <c r="B823" t="s">
        <v>1907</v>
      </c>
      <c r="C823" t="s">
        <v>133</v>
      </c>
      <c r="D823" t="s">
        <v>222</v>
      </c>
      <c r="E823" t="s">
        <v>30</v>
      </c>
      <c r="F823" s="6">
        <v>45107</v>
      </c>
      <c r="G823">
        <v>2023</v>
      </c>
      <c r="H823" t="s">
        <v>44</v>
      </c>
      <c r="I823" t="s">
        <v>33</v>
      </c>
      <c r="J823">
        <v>0</v>
      </c>
      <c r="K823">
        <v>680</v>
      </c>
      <c r="L823">
        <v>0</v>
      </c>
      <c r="M823">
        <v>0</v>
      </c>
      <c r="N823" t="s">
        <v>122</v>
      </c>
      <c r="O823" t="s">
        <v>5790</v>
      </c>
      <c r="P823" t="s">
        <v>1908</v>
      </c>
      <c r="Q823">
        <v>2</v>
      </c>
      <c r="R823">
        <v>2</v>
      </c>
    </row>
    <row r="824" spans="1:18" x14ac:dyDescent="0.3">
      <c r="A824" t="s">
        <v>1906</v>
      </c>
      <c r="B824" t="s">
        <v>1907</v>
      </c>
      <c r="C824" t="s">
        <v>133</v>
      </c>
      <c r="D824" t="s">
        <v>222</v>
      </c>
      <c r="E824" t="s">
        <v>30</v>
      </c>
      <c r="F824" s="6">
        <v>45291</v>
      </c>
      <c r="G824">
        <v>2023</v>
      </c>
      <c r="H824" t="s">
        <v>57</v>
      </c>
      <c r="I824" t="s">
        <v>47</v>
      </c>
      <c r="J824">
        <v>0</v>
      </c>
      <c r="K824">
        <v>1524</v>
      </c>
      <c r="L824">
        <v>0</v>
      </c>
      <c r="M824">
        <v>0</v>
      </c>
      <c r="N824" t="s">
        <v>122</v>
      </c>
      <c r="O824" t="s">
        <v>5791</v>
      </c>
      <c r="P824" t="s">
        <v>1909</v>
      </c>
      <c r="Q824">
        <v>2</v>
      </c>
      <c r="R824">
        <v>2</v>
      </c>
    </row>
    <row r="825" spans="1:18" x14ac:dyDescent="0.3">
      <c r="A825" t="s">
        <v>1906</v>
      </c>
      <c r="B825" t="s">
        <v>1907</v>
      </c>
      <c r="C825" t="s">
        <v>133</v>
      </c>
      <c r="D825" t="s">
        <v>222</v>
      </c>
      <c r="E825" t="s">
        <v>30</v>
      </c>
      <c r="F825" s="6">
        <v>45473</v>
      </c>
      <c r="G825">
        <v>2024</v>
      </c>
      <c r="H825" t="s">
        <v>44</v>
      </c>
      <c r="I825" t="s">
        <v>71</v>
      </c>
      <c r="J825">
        <v>0</v>
      </c>
      <c r="K825">
        <v>760</v>
      </c>
      <c r="L825">
        <v>0</v>
      </c>
      <c r="M825">
        <v>0</v>
      </c>
      <c r="N825" t="s">
        <v>122</v>
      </c>
      <c r="O825" t="s">
        <v>5792</v>
      </c>
      <c r="P825" t="s">
        <v>1910</v>
      </c>
      <c r="Q825">
        <v>2</v>
      </c>
      <c r="R825">
        <v>2</v>
      </c>
    </row>
    <row r="826" spans="1:18" x14ac:dyDescent="0.3">
      <c r="A826" t="s">
        <v>1906</v>
      </c>
      <c r="B826" t="s">
        <v>1907</v>
      </c>
      <c r="C826" t="s">
        <v>133</v>
      </c>
      <c r="D826" t="s">
        <v>222</v>
      </c>
      <c r="E826" t="s">
        <v>30</v>
      </c>
      <c r="F826" s="6">
        <v>45657</v>
      </c>
      <c r="G826">
        <v>2024</v>
      </c>
      <c r="H826" t="s">
        <v>57</v>
      </c>
      <c r="I826" t="s">
        <v>78</v>
      </c>
      <c r="J826">
        <v>0</v>
      </c>
      <c r="K826">
        <v>1005</v>
      </c>
      <c r="L826">
        <v>0</v>
      </c>
      <c r="M826">
        <v>0</v>
      </c>
      <c r="N826" t="s">
        <v>122</v>
      </c>
      <c r="O826" t="s">
        <v>5793</v>
      </c>
      <c r="P826" t="s">
        <v>1911</v>
      </c>
      <c r="Q826">
        <v>2</v>
      </c>
      <c r="R826">
        <v>2</v>
      </c>
    </row>
    <row r="827" spans="1:18" x14ac:dyDescent="0.3">
      <c r="A827" t="s">
        <v>1906</v>
      </c>
      <c r="B827" t="s">
        <v>1912</v>
      </c>
      <c r="C827" t="s">
        <v>133</v>
      </c>
      <c r="D827" t="s">
        <v>222</v>
      </c>
      <c r="E827" t="s">
        <v>30</v>
      </c>
      <c r="F827" s="6">
        <v>45838</v>
      </c>
      <c r="G827">
        <v>2025</v>
      </c>
      <c r="H827" t="s">
        <v>44</v>
      </c>
      <c r="I827" t="s">
        <v>244</v>
      </c>
      <c r="K827">
        <v>765</v>
      </c>
      <c r="L827">
        <v>0</v>
      </c>
      <c r="M827">
        <v>0</v>
      </c>
      <c r="O827" t="s">
        <v>1914</v>
      </c>
      <c r="P827" t="s">
        <v>1915</v>
      </c>
      <c r="Q827">
        <v>2</v>
      </c>
      <c r="R827">
        <v>2</v>
      </c>
    </row>
    <row r="828" spans="1:18" x14ac:dyDescent="0.3">
      <c r="A828" t="s">
        <v>1906</v>
      </c>
      <c r="B828" t="s">
        <v>1912</v>
      </c>
      <c r="C828" t="s">
        <v>133</v>
      </c>
      <c r="D828" t="s">
        <v>222</v>
      </c>
      <c r="E828" t="s">
        <v>30</v>
      </c>
      <c r="F828" s="6">
        <v>46022</v>
      </c>
      <c r="G828">
        <v>2025</v>
      </c>
      <c r="H828" t="s">
        <v>57</v>
      </c>
      <c r="I828" t="s">
        <v>103</v>
      </c>
      <c r="K828">
        <v>877</v>
      </c>
      <c r="L828">
        <v>0</v>
      </c>
      <c r="M828">
        <v>0</v>
      </c>
      <c r="O828" t="s">
        <v>1917</v>
      </c>
      <c r="P828" t="s">
        <v>1918</v>
      </c>
      <c r="Q828">
        <v>2</v>
      </c>
      <c r="R828">
        <v>2</v>
      </c>
    </row>
    <row r="829" spans="1:18" x14ac:dyDescent="0.3">
      <c r="A829" t="s">
        <v>1919</v>
      </c>
      <c r="B829" t="s">
        <v>1920</v>
      </c>
      <c r="C829" t="s">
        <v>133</v>
      </c>
      <c r="D829" t="s">
        <v>222</v>
      </c>
      <c r="E829" t="s">
        <v>30</v>
      </c>
      <c r="F829" s="6">
        <v>45107</v>
      </c>
      <c r="G829">
        <v>2023</v>
      </c>
      <c r="H829" t="s">
        <v>44</v>
      </c>
      <c r="I829" t="s">
        <v>33</v>
      </c>
      <c r="J829">
        <v>0</v>
      </c>
      <c r="K829">
        <v>0.4</v>
      </c>
      <c r="L829">
        <v>0</v>
      </c>
      <c r="M829">
        <v>0</v>
      </c>
      <c r="N829" t="s">
        <v>122</v>
      </c>
      <c r="O829" t="s">
        <v>5794</v>
      </c>
      <c r="P829" t="s">
        <v>1921</v>
      </c>
      <c r="Q829">
        <v>2</v>
      </c>
      <c r="R829">
        <v>2</v>
      </c>
    </row>
    <row r="830" spans="1:18" x14ac:dyDescent="0.3">
      <c r="A830" t="s">
        <v>1919</v>
      </c>
      <c r="B830" t="s">
        <v>1920</v>
      </c>
      <c r="C830" t="s">
        <v>133</v>
      </c>
      <c r="D830" t="s">
        <v>222</v>
      </c>
      <c r="E830" t="s">
        <v>30</v>
      </c>
      <c r="F830" s="6">
        <v>45291</v>
      </c>
      <c r="G830">
        <v>2023</v>
      </c>
      <c r="H830" t="s">
        <v>57</v>
      </c>
      <c r="I830" t="s">
        <v>47</v>
      </c>
      <c r="J830">
        <v>0</v>
      </c>
      <c r="K830">
        <v>1.28</v>
      </c>
      <c r="L830">
        <v>0</v>
      </c>
      <c r="M830">
        <v>0</v>
      </c>
      <c r="N830" t="s">
        <v>122</v>
      </c>
      <c r="O830" t="s">
        <v>5795</v>
      </c>
      <c r="P830" t="s">
        <v>1922</v>
      </c>
      <c r="Q830">
        <v>2</v>
      </c>
      <c r="R830">
        <v>2</v>
      </c>
    </row>
    <row r="831" spans="1:18" x14ac:dyDescent="0.3">
      <c r="A831" t="s">
        <v>1919</v>
      </c>
      <c r="B831" t="s">
        <v>1920</v>
      </c>
      <c r="C831" t="s">
        <v>133</v>
      </c>
      <c r="D831" t="s">
        <v>222</v>
      </c>
      <c r="E831" t="s">
        <v>30</v>
      </c>
      <c r="F831" s="6">
        <v>45473</v>
      </c>
      <c r="G831">
        <v>2024</v>
      </c>
      <c r="H831" t="s">
        <v>44</v>
      </c>
      <c r="I831" t="s">
        <v>71</v>
      </c>
      <c r="J831">
        <v>0</v>
      </c>
      <c r="K831">
        <v>3</v>
      </c>
      <c r="L831">
        <v>0</v>
      </c>
      <c r="M831">
        <v>0</v>
      </c>
      <c r="N831" t="s">
        <v>122</v>
      </c>
      <c r="O831" t="s">
        <v>1849</v>
      </c>
      <c r="P831" t="s">
        <v>1923</v>
      </c>
      <c r="Q831">
        <v>2</v>
      </c>
      <c r="R831">
        <v>2</v>
      </c>
    </row>
    <row r="832" spans="1:18" x14ac:dyDescent="0.3">
      <c r="A832" t="s">
        <v>1919</v>
      </c>
      <c r="B832" t="s">
        <v>1920</v>
      </c>
      <c r="C832" t="s">
        <v>133</v>
      </c>
      <c r="D832" t="s">
        <v>222</v>
      </c>
      <c r="E832" t="s">
        <v>30</v>
      </c>
      <c r="F832" s="6">
        <v>45657</v>
      </c>
      <c r="G832">
        <v>2024</v>
      </c>
      <c r="H832" t="s">
        <v>57</v>
      </c>
      <c r="I832" t="s">
        <v>78</v>
      </c>
      <c r="L832">
        <v>0</v>
      </c>
      <c r="M832">
        <v>0</v>
      </c>
      <c r="P832" t="s">
        <v>1924</v>
      </c>
      <c r="Q832">
        <v>2</v>
      </c>
      <c r="R832">
        <v>2</v>
      </c>
    </row>
    <row r="833" spans="1:18" x14ac:dyDescent="0.3">
      <c r="A833" t="s">
        <v>1919</v>
      </c>
      <c r="B833" t="s">
        <v>1925</v>
      </c>
      <c r="C833" t="s">
        <v>133</v>
      </c>
      <c r="D833" t="s">
        <v>222</v>
      </c>
      <c r="E833" t="s">
        <v>30</v>
      </c>
      <c r="F833" s="6">
        <v>45838</v>
      </c>
      <c r="G833">
        <v>2025</v>
      </c>
      <c r="H833" t="s">
        <v>44</v>
      </c>
      <c r="I833" t="s">
        <v>244</v>
      </c>
      <c r="K833">
        <v>1.83</v>
      </c>
      <c r="L833">
        <v>0</v>
      </c>
      <c r="M833">
        <v>0</v>
      </c>
      <c r="O833" t="s">
        <v>1927</v>
      </c>
      <c r="P833" t="s">
        <v>1928</v>
      </c>
      <c r="Q833">
        <v>2</v>
      </c>
      <c r="R833">
        <v>2</v>
      </c>
    </row>
    <row r="834" spans="1:18" x14ac:dyDescent="0.3">
      <c r="A834" t="s">
        <v>1919</v>
      </c>
      <c r="B834" t="s">
        <v>1925</v>
      </c>
      <c r="C834" t="s">
        <v>133</v>
      </c>
      <c r="D834" t="s">
        <v>222</v>
      </c>
      <c r="E834" t="s">
        <v>30</v>
      </c>
      <c r="F834" s="6">
        <v>46022</v>
      </c>
      <c r="G834">
        <v>2025</v>
      </c>
      <c r="H834" t="s">
        <v>57</v>
      </c>
      <c r="I834" t="s">
        <v>103</v>
      </c>
      <c r="K834">
        <v>1.65</v>
      </c>
      <c r="L834">
        <v>0</v>
      </c>
      <c r="M834">
        <v>0</v>
      </c>
      <c r="O834" t="s">
        <v>1930</v>
      </c>
      <c r="P834" t="s">
        <v>1931</v>
      </c>
      <c r="Q834">
        <v>2</v>
      </c>
      <c r="R834">
        <v>2</v>
      </c>
    </row>
    <row r="835" spans="1:18" x14ac:dyDescent="0.3">
      <c r="A835" t="s">
        <v>1932</v>
      </c>
      <c r="B835" t="s">
        <v>1933</v>
      </c>
      <c r="C835" t="s">
        <v>133</v>
      </c>
      <c r="D835" t="s">
        <v>222</v>
      </c>
      <c r="E835" t="s">
        <v>30</v>
      </c>
      <c r="F835" s="6">
        <v>45107</v>
      </c>
      <c r="G835">
        <v>2023</v>
      </c>
      <c r="H835" t="s">
        <v>44</v>
      </c>
      <c r="I835" t="s">
        <v>33</v>
      </c>
      <c r="J835">
        <v>0</v>
      </c>
      <c r="K835">
        <v>6.55</v>
      </c>
      <c r="L835">
        <v>0</v>
      </c>
      <c r="M835">
        <v>0</v>
      </c>
      <c r="N835" t="s">
        <v>122</v>
      </c>
      <c r="O835" t="s">
        <v>5796</v>
      </c>
      <c r="P835" t="s">
        <v>1934</v>
      </c>
      <c r="Q835">
        <v>2</v>
      </c>
      <c r="R835">
        <v>2</v>
      </c>
    </row>
    <row r="836" spans="1:18" x14ac:dyDescent="0.3">
      <c r="A836" t="s">
        <v>1932</v>
      </c>
      <c r="B836" t="s">
        <v>1933</v>
      </c>
      <c r="C836" t="s">
        <v>133</v>
      </c>
      <c r="D836" t="s">
        <v>222</v>
      </c>
      <c r="E836" t="s">
        <v>30</v>
      </c>
      <c r="F836" s="6">
        <v>45291</v>
      </c>
      <c r="G836">
        <v>2023</v>
      </c>
      <c r="H836" t="s">
        <v>57</v>
      </c>
      <c r="I836" t="s">
        <v>47</v>
      </c>
      <c r="J836">
        <v>0</v>
      </c>
      <c r="K836">
        <v>3.83</v>
      </c>
      <c r="L836">
        <v>0</v>
      </c>
      <c r="M836">
        <v>0</v>
      </c>
      <c r="N836" t="s">
        <v>122</v>
      </c>
      <c r="O836" t="s">
        <v>5797</v>
      </c>
      <c r="P836" t="s">
        <v>1935</v>
      </c>
      <c r="Q836">
        <v>2</v>
      </c>
      <c r="R836">
        <v>2</v>
      </c>
    </row>
    <row r="837" spans="1:18" x14ac:dyDescent="0.3">
      <c r="A837" t="s">
        <v>1932</v>
      </c>
      <c r="B837" t="s">
        <v>1933</v>
      </c>
      <c r="C837" t="s">
        <v>133</v>
      </c>
      <c r="D837" t="s">
        <v>222</v>
      </c>
      <c r="E837" t="s">
        <v>30</v>
      </c>
      <c r="F837" s="6">
        <v>45473</v>
      </c>
      <c r="G837">
        <v>2024</v>
      </c>
      <c r="H837" t="s">
        <v>44</v>
      </c>
      <c r="I837" t="s">
        <v>71</v>
      </c>
      <c r="J837">
        <v>0</v>
      </c>
      <c r="K837">
        <v>4.88</v>
      </c>
      <c r="L837">
        <v>0</v>
      </c>
      <c r="M837">
        <v>0</v>
      </c>
      <c r="N837" t="s">
        <v>122</v>
      </c>
      <c r="O837" t="s">
        <v>5798</v>
      </c>
      <c r="P837" t="s">
        <v>1936</v>
      </c>
      <c r="Q837">
        <v>2</v>
      </c>
      <c r="R837">
        <v>2</v>
      </c>
    </row>
    <row r="838" spans="1:18" x14ac:dyDescent="0.3">
      <c r="A838" t="s">
        <v>1932</v>
      </c>
      <c r="B838" t="s">
        <v>1933</v>
      </c>
      <c r="C838" t="s">
        <v>133</v>
      </c>
      <c r="D838" t="s">
        <v>222</v>
      </c>
      <c r="E838" t="s">
        <v>30</v>
      </c>
      <c r="F838" s="6">
        <v>45657</v>
      </c>
      <c r="G838">
        <v>2024</v>
      </c>
      <c r="H838" t="s">
        <v>57</v>
      </c>
      <c r="I838" t="s">
        <v>78</v>
      </c>
      <c r="J838">
        <v>0</v>
      </c>
      <c r="K838">
        <v>4.57</v>
      </c>
      <c r="L838">
        <v>0</v>
      </c>
      <c r="M838">
        <v>0</v>
      </c>
      <c r="N838" t="s">
        <v>122</v>
      </c>
      <c r="O838" t="s">
        <v>5799</v>
      </c>
      <c r="P838" t="s">
        <v>1937</v>
      </c>
      <c r="Q838">
        <v>2</v>
      </c>
      <c r="R838">
        <v>2</v>
      </c>
    </row>
    <row r="839" spans="1:18" x14ac:dyDescent="0.3">
      <c r="A839" t="s">
        <v>1932</v>
      </c>
      <c r="B839" t="s">
        <v>1938</v>
      </c>
      <c r="C839" t="s">
        <v>133</v>
      </c>
      <c r="D839" t="s">
        <v>222</v>
      </c>
      <c r="E839" t="s">
        <v>30</v>
      </c>
      <c r="F839" s="6">
        <v>45838</v>
      </c>
      <c r="G839">
        <v>2025</v>
      </c>
      <c r="H839" t="s">
        <v>44</v>
      </c>
      <c r="I839" t="s">
        <v>244</v>
      </c>
      <c r="K839">
        <v>4.17</v>
      </c>
      <c r="L839">
        <v>0</v>
      </c>
      <c r="M839">
        <v>0</v>
      </c>
      <c r="O839" t="s">
        <v>1940</v>
      </c>
      <c r="P839" t="s">
        <v>1941</v>
      </c>
      <c r="Q839">
        <v>2</v>
      </c>
      <c r="R839">
        <v>2</v>
      </c>
    </row>
    <row r="840" spans="1:18" x14ac:dyDescent="0.3">
      <c r="A840" t="s">
        <v>1932</v>
      </c>
      <c r="B840" t="s">
        <v>1938</v>
      </c>
      <c r="C840" t="s">
        <v>133</v>
      </c>
      <c r="D840" t="s">
        <v>222</v>
      </c>
      <c r="E840" t="s">
        <v>30</v>
      </c>
      <c r="F840" s="6">
        <v>46022</v>
      </c>
      <c r="G840">
        <v>2025</v>
      </c>
      <c r="H840" t="s">
        <v>57</v>
      </c>
      <c r="I840" t="s">
        <v>103</v>
      </c>
      <c r="K840">
        <v>4.3</v>
      </c>
      <c r="L840">
        <v>0</v>
      </c>
      <c r="M840">
        <v>0</v>
      </c>
      <c r="O840" t="s">
        <v>1943</v>
      </c>
      <c r="P840" t="s">
        <v>1944</v>
      </c>
      <c r="Q840">
        <v>2</v>
      </c>
      <c r="R840">
        <v>2</v>
      </c>
    </row>
    <row r="841" spans="1:18" x14ac:dyDescent="0.3">
      <c r="A841" t="s">
        <v>1945</v>
      </c>
      <c r="B841" t="s">
        <v>1946</v>
      </c>
      <c r="C841" t="s">
        <v>133</v>
      </c>
      <c r="D841" t="s">
        <v>222</v>
      </c>
      <c r="E841" t="s">
        <v>30</v>
      </c>
      <c r="F841" s="6">
        <v>45107</v>
      </c>
      <c r="G841">
        <v>2023</v>
      </c>
      <c r="H841" t="s">
        <v>44</v>
      </c>
      <c r="I841" t="s">
        <v>33</v>
      </c>
      <c r="J841">
        <v>0</v>
      </c>
      <c r="K841">
        <v>63.29</v>
      </c>
      <c r="L841">
        <v>0</v>
      </c>
      <c r="M841">
        <v>0</v>
      </c>
      <c r="N841" t="s">
        <v>122</v>
      </c>
      <c r="O841" t="s">
        <v>5800</v>
      </c>
      <c r="P841" t="s">
        <v>1947</v>
      </c>
      <c r="Q841">
        <v>2</v>
      </c>
      <c r="R841">
        <v>2</v>
      </c>
    </row>
    <row r="842" spans="1:18" x14ac:dyDescent="0.3">
      <c r="A842" t="s">
        <v>1945</v>
      </c>
      <c r="B842" t="s">
        <v>1946</v>
      </c>
      <c r="C842" t="s">
        <v>133</v>
      </c>
      <c r="D842" t="s">
        <v>222</v>
      </c>
      <c r="E842" t="s">
        <v>30</v>
      </c>
      <c r="F842" s="6">
        <v>45291</v>
      </c>
      <c r="G842">
        <v>2023</v>
      </c>
      <c r="H842" t="s">
        <v>57</v>
      </c>
      <c r="I842" t="s">
        <v>47</v>
      </c>
      <c r="J842">
        <v>0</v>
      </c>
      <c r="K842">
        <v>16.170000000000002</v>
      </c>
      <c r="L842">
        <v>0</v>
      </c>
      <c r="M842">
        <v>0</v>
      </c>
      <c r="N842" t="s">
        <v>122</v>
      </c>
      <c r="O842" t="s">
        <v>5801</v>
      </c>
      <c r="P842" t="s">
        <v>1948</v>
      </c>
      <c r="Q842">
        <v>2</v>
      </c>
      <c r="R842">
        <v>2</v>
      </c>
    </row>
    <row r="843" spans="1:18" x14ac:dyDescent="0.3">
      <c r="A843" t="s">
        <v>1945</v>
      </c>
      <c r="B843" t="s">
        <v>1946</v>
      </c>
      <c r="C843" t="s">
        <v>133</v>
      </c>
      <c r="D843" t="s">
        <v>222</v>
      </c>
      <c r="E843" t="s">
        <v>30</v>
      </c>
      <c r="F843" s="6">
        <v>45473</v>
      </c>
      <c r="G843">
        <v>2024</v>
      </c>
      <c r="H843" t="s">
        <v>44</v>
      </c>
      <c r="I843" t="s">
        <v>71</v>
      </c>
      <c r="J843">
        <v>0</v>
      </c>
      <c r="K843">
        <v>19.39</v>
      </c>
      <c r="L843">
        <v>0</v>
      </c>
      <c r="M843">
        <v>0</v>
      </c>
      <c r="N843" t="s">
        <v>122</v>
      </c>
      <c r="O843" t="s">
        <v>5802</v>
      </c>
      <c r="P843" t="s">
        <v>1949</v>
      </c>
      <c r="Q843">
        <v>2</v>
      </c>
      <c r="R843">
        <v>2</v>
      </c>
    </row>
    <row r="844" spans="1:18" x14ac:dyDescent="0.3">
      <c r="A844" t="s">
        <v>1945</v>
      </c>
      <c r="B844" t="s">
        <v>1946</v>
      </c>
      <c r="C844" t="s">
        <v>133</v>
      </c>
      <c r="D844" t="s">
        <v>222</v>
      </c>
      <c r="E844" t="s">
        <v>30</v>
      </c>
      <c r="F844" s="6">
        <v>45657</v>
      </c>
      <c r="G844">
        <v>2024</v>
      </c>
      <c r="H844" t="s">
        <v>57</v>
      </c>
      <c r="I844" t="s">
        <v>78</v>
      </c>
      <c r="L844">
        <v>0</v>
      </c>
      <c r="M844">
        <v>0</v>
      </c>
      <c r="P844" t="s">
        <v>1950</v>
      </c>
      <c r="Q844">
        <v>2</v>
      </c>
      <c r="R844">
        <v>2</v>
      </c>
    </row>
    <row r="845" spans="1:18" x14ac:dyDescent="0.3">
      <c r="A845" t="s">
        <v>1945</v>
      </c>
      <c r="B845" t="s">
        <v>1951</v>
      </c>
      <c r="C845" t="s">
        <v>133</v>
      </c>
      <c r="D845" t="s">
        <v>222</v>
      </c>
      <c r="E845" t="s">
        <v>30</v>
      </c>
      <c r="F845" s="6">
        <v>45838</v>
      </c>
      <c r="G845">
        <v>2025</v>
      </c>
      <c r="H845" t="s">
        <v>44</v>
      </c>
      <c r="I845" t="s">
        <v>244</v>
      </c>
      <c r="K845">
        <v>23.85</v>
      </c>
      <c r="L845">
        <v>0</v>
      </c>
      <c r="M845">
        <v>0</v>
      </c>
      <c r="O845" t="s">
        <v>1953</v>
      </c>
      <c r="P845" t="s">
        <v>1954</v>
      </c>
      <c r="Q845">
        <v>2</v>
      </c>
      <c r="R845">
        <v>2</v>
      </c>
    </row>
    <row r="846" spans="1:18" x14ac:dyDescent="0.3">
      <c r="A846" t="s">
        <v>1945</v>
      </c>
      <c r="B846" t="s">
        <v>1951</v>
      </c>
      <c r="C846" t="s">
        <v>133</v>
      </c>
      <c r="D846" t="s">
        <v>222</v>
      </c>
      <c r="E846" t="s">
        <v>30</v>
      </c>
      <c r="F846" s="6">
        <v>46022</v>
      </c>
      <c r="G846">
        <v>2025</v>
      </c>
      <c r="H846" t="s">
        <v>57</v>
      </c>
      <c r="I846" t="s">
        <v>103</v>
      </c>
      <c r="K846">
        <v>19.93</v>
      </c>
      <c r="L846">
        <v>0</v>
      </c>
      <c r="M846">
        <v>0</v>
      </c>
      <c r="O846" t="s">
        <v>1956</v>
      </c>
      <c r="P846" t="s">
        <v>1957</v>
      </c>
      <c r="Q846">
        <v>2</v>
      </c>
      <c r="R846">
        <v>2</v>
      </c>
    </row>
    <row r="847" spans="1:18" x14ac:dyDescent="0.3">
      <c r="A847" t="s">
        <v>1958</v>
      </c>
      <c r="B847" t="s">
        <v>1959</v>
      </c>
      <c r="C847" t="s">
        <v>97</v>
      </c>
      <c r="D847" t="s">
        <v>98</v>
      </c>
      <c r="E847" t="s">
        <v>108</v>
      </c>
      <c r="F847" s="6">
        <v>45291</v>
      </c>
      <c r="G847">
        <v>2023</v>
      </c>
      <c r="H847" t="s">
        <v>57</v>
      </c>
      <c r="I847" t="s">
        <v>47</v>
      </c>
      <c r="J847">
        <v>1E-8</v>
      </c>
      <c r="K847">
        <v>1E-8</v>
      </c>
      <c r="L847">
        <v>1</v>
      </c>
      <c r="M847">
        <v>1</v>
      </c>
      <c r="N847" t="s">
        <v>122</v>
      </c>
      <c r="O847" t="s">
        <v>122</v>
      </c>
      <c r="P847" t="s">
        <v>1960</v>
      </c>
      <c r="Q847">
        <v>2</v>
      </c>
      <c r="R847">
        <v>2</v>
      </c>
    </row>
    <row r="848" spans="1:18" x14ac:dyDescent="0.3">
      <c r="A848" t="s">
        <v>1958</v>
      </c>
      <c r="B848" t="s">
        <v>1959</v>
      </c>
      <c r="C848" t="s">
        <v>97</v>
      </c>
      <c r="D848" t="s">
        <v>98</v>
      </c>
      <c r="E848" t="s">
        <v>108</v>
      </c>
      <c r="F848" s="6">
        <v>45657</v>
      </c>
      <c r="G848">
        <v>2024</v>
      </c>
      <c r="H848" t="s">
        <v>57</v>
      </c>
      <c r="I848" t="s">
        <v>78</v>
      </c>
      <c r="J848">
        <v>0</v>
      </c>
      <c r="K848">
        <v>0</v>
      </c>
      <c r="L848">
        <v>0</v>
      </c>
      <c r="M848">
        <v>0</v>
      </c>
      <c r="N848" t="s">
        <v>122</v>
      </c>
      <c r="O848" t="s">
        <v>122</v>
      </c>
      <c r="P848" t="s">
        <v>1961</v>
      </c>
      <c r="Q848">
        <v>2</v>
      </c>
      <c r="R848">
        <v>2</v>
      </c>
    </row>
    <row r="849" spans="1:18" x14ac:dyDescent="0.3">
      <c r="A849" t="s">
        <v>1958</v>
      </c>
      <c r="B849" t="s">
        <v>1959</v>
      </c>
      <c r="C849" t="s">
        <v>97</v>
      </c>
      <c r="D849" t="s">
        <v>98</v>
      </c>
      <c r="E849" t="s">
        <v>108</v>
      </c>
      <c r="F849" s="6">
        <v>46022</v>
      </c>
      <c r="G849">
        <v>2025</v>
      </c>
      <c r="H849" t="s">
        <v>57</v>
      </c>
      <c r="I849" t="s">
        <v>103</v>
      </c>
      <c r="J849">
        <v>0</v>
      </c>
      <c r="K849">
        <v>0</v>
      </c>
      <c r="L849">
        <v>0</v>
      </c>
      <c r="M849">
        <v>0</v>
      </c>
      <c r="N849" t="s">
        <v>122</v>
      </c>
      <c r="O849" t="s">
        <v>122</v>
      </c>
      <c r="P849" t="s">
        <v>1962</v>
      </c>
      <c r="Q849">
        <v>2</v>
      </c>
      <c r="R849">
        <v>2</v>
      </c>
    </row>
    <row r="850" spans="1:18" x14ac:dyDescent="0.3">
      <c r="A850" t="s">
        <v>1963</v>
      </c>
      <c r="B850" t="s">
        <v>1964</v>
      </c>
      <c r="C850" t="s">
        <v>87</v>
      </c>
      <c r="D850" t="s">
        <v>222</v>
      </c>
      <c r="E850" t="s">
        <v>30</v>
      </c>
      <c r="F850" s="6">
        <v>45107</v>
      </c>
      <c r="G850">
        <v>2023</v>
      </c>
      <c r="H850" t="s">
        <v>44</v>
      </c>
      <c r="I850" t="s">
        <v>33</v>
      </c>
      <c r="J850">
        <v>3</v>
      </c>
      <c r="K850">
        <v>3</v>
      </c>
      <c r="L850">
        <v>1</v>
      </c>
      <c r="M850">
        <v>1</v>
      </c>
      <c r="N850" t="s">
        <v>1849</v>
      </c>
      <c r="O850" t="s">
        <v>1849</v>
      </c>
      <c r="P850" t="s">
        <v>1965</v>
      </c>
      <c r="Q850">
        <v>2</v>
      </c>
      <c r="R850">
        <v>2</v>
      </c>
    </row>
    <row r="851" spans="1:18" x14ac:dyDescent="0.3">
      <c r="A851" t="s">
        <v>1963</v>
      </c>
      <c r="B851" t="s">
        <v>1964</v>
      </c>
      <c r="C851" t="s">
        <v>87</v>
      </c>
      <c r="D851" t="s">
        <v>222</v>
      </c>
      <c r="E851" t="s">
        <v>30</v>
      </c>
      <c r="F851" s="6">
        <v>45291</v>
      </c>
      <c r="G851">
        <v>2023</v>
      </c>
      <c r="H851" t="s">
        <v>57</v>
      </c>
      <c r="I851" t="s">
        <v>47</v>
      </c>
      <c r="J851">
        <v>2</v>
      </c>
      <c r="K851">
        <v>2</v>
      </c>
      <c r="L851">
        <v>1</v>
      </c>
      <c r="M851">
        <v>1</v>
      </c>
      <c r="N851" t="s">
        <v>569</v>
      </c>
      <c r="O851" t="s">
        <v>569</v>
      </c>
      <c r="P851" t="s">
        <v>1966</v>
      </c>
      <c r="Q851">
        <v>2</v>
      </c>
      <c r="R851">
        <v>2</v>
      </c>
    </row>
    <row r="852" spans="1:18" x14ac:dyDescent="0.3">
      <c r="A852" t="s">
        <v>1963</v>
      </c>
      <c r="B852" t="s">
        <v>1964</v>
      </c>
      <c r="C852" t="s">
        <v>87</v>
      </c>
      <c r="D852" t="s">
        <v>222</v>
      </c>
      <c r="E852" t="s">
        <v>30</v>
      </c>
      <c r="F852" s="6">
        <v>45473</v>
      </c>
      <c r="G852">
        <v>2024</v>
      </c>
      <c r="H852" t="s">
        <v>44</v>
      </c>
      <c r="I852" t="s">
        <v>71</v>
      </c>
      <c r="J852">
        <v>3</v>
      </c>
      <c r="K852">
        <v>3</v>
      </c>
      <c r="L852">
        <v>1</v>
      </c>
      <c r="M852">
        <v>1</v>
      </c>
      <c r="N852" t="s">
        <v>1849</v>
      </c>
      <c r="O852" t="s">
        <v>1849</v>
      </c>
      <c r="P852" t="s">
        <v>1967</v>
      </c>
      <c r="Q852">
        <v>2</v>
      </c>
      <c r="R852">
        <v>2</v>
      </c>
    </row>
    <row r="853" spans="1:18" x14ac:dyDescent="0.3">
      <c r="A853" t="s">
        <v>1963</v>
      </c>
      <c r="B853" t="s">
        <v>1964</v>
      </c>
      <c r="C853" t="s">
        <v>87</v>
      </c>
      <c r="D853" t="s">
        <v>222</v>
      </c>
      <c r="E853" t="s">
        <v>30</v>
      </c>
      <c r="F853" s="6">
        <v>45657</v>
      </c>
      <c r="G853">
        <v>2024</v>
      </c>
      <c r="H853" t="s">
        <v>57</v>
      </c>
      <c r="I853" t="s">
        <v>78</v>
      </c>
      <c r="J853">
        <v>3</v>
      </c>
      <c r="K853">
        <v>3</v>
      </c>
      <c r="L853">
        <v>1</v>
      </c>
      <c r="M853">
        <v>1</v>
      </c>
      <c r="N853" t="s">
        <v>1849</v>
      </c>
      <c r="O853" t="s">
        <v>1849</v>
      </c>
      <c r="P853" t="s">
        <v>1968</v>
      </c>
      <c r="Q853">
        <v>2</v>
      </c>
      <c r="R853">
        <v>2</v>
      </c>
    </row>
    <row r="854" spans="1:18" x14ac:dyDescent="0.3">
      <c r="A854" t="s">
        <v>1963</v>
      </c>
      <c r="B854" t="s">
        <v>1964</v>
      </c>
      <c r="C854" t="s">
        <v>87</v>
      </c>
      <c r="D854" t="s">
        <v>222</v>
      </c>
      <c r="E854" t="s">
        <v>30</v>
      </c>
      <c r="F854" s="6">
        <v>45838</v>
      </c>
      <c r="G854">
        <v>2025</v>
      </c>
      <c r="H854" t="s">
        <v>44</v>
      </c>
      <c r="I854" t="s">
        <v>244</v>
      </c>
      <c r="J854">
        <v>100</v>
      </c>
      <c r="K854">
        <v>150</v>
      </c>
      <c r="L854">
        <v>1.3</v>
      </c>
      <c r="M854">
        <v>1.5</v>
      </c>
      <c r="N854" t="s">
        <v>102</v>
      </c>
      <c r="O854" t="s">
        <v>1969</v>
      </c>
      <c r="P854" t="s">
        <v>1970</v>
      </c>
      <c r="Q854">
        <v>2</v>
      </c>
      <c r="R854">
        <v>2</v>
      </c>
    </row>
    <row r="855" spans="1:18" x14ac:dyDescent="0.3">
      <c r="A855" t="s">
        <v>1963</v>
      </c>
      <c r="B855" t="s">
        <v>1964</v>
      </c>
      <c r="C855" t="s">
        <v>87</v>
      </c>
      <c r="D855" t="s">
        <v>222</v>
      </c>
      <c r="E855" t="s">
        <v>30</v>
      </c>
      <c r="F855" s="6">
        <v>46022</v>
      </c>
      <c r="G855">
        <v>2025</v>
      </c>
      <c r="H855" t="s">
        <v>57</v>
      </c>
      <c r="I855" t="s">
        <v>103</v>
      </c>
      <c r="J855">
        <v>100</v>
      </c>
      <c r="K855">
        <v>100</v>
      </c>
      <c r="L855">
        <v>1</v>
      </c>
      <c r="M855">
        <v>1</v>
      </c>
      <c r="N855" t="s">
        <v>102</v>
      </c>
      <c r="O855" t="s">
        <v>102</v>
      </c>
      <c r="P855" t="s">
        <v>1971</v>
      </c>
      <c r="Q855">
        <v>2</v>
      </c>
      <c r="R855">
        <v>2</v>
      </c>
    </row>
    <row r="856" spans="1:18" x14ac:dyDescent="0.3">
      <c r="A856" t="s">
        <v>1972</v>
      </c>
      <c r="B856" t="s">
        <v>1973</v>
      </c>
      <c r="C856" t="s">
        <v>1832</v>
      </c>
      <c r="D856" t="s">
        <v>222</v>
      </c>
      <c r="E856" t="s">
        <v>30</v>
      </c>
      <c r="F856" s="6">
        <v>44742</v>
      </c>
      <c r="G856">
        <v>2022</v>
      </c>
      <c r="H856" t="s">
        <v>44</v>
      </c>
      <c r="I856" t="s">
        <v>88</v>
      </c>
      <c r="J856">
        <v>39623</v>
      </c>
      <c r="K856">
        <v>40000</v>
      </c>
      <c r="L856">
        <v>1.0095146758196001</v>
      </c>
      <c r="M856">
        <v>1.0095146758196001</v>
      </c>
      <c r="N856" t="s">
        <v>5803</v>
      </c>
      <c r="O856" t="s">
        <v>5804</v>
      </c>
      <c r="P856" t="s">
        <v>1974</v>
      </c>
      <c r="Q856">
        <v>2</v>
      </c>
      <c r="R856">
        <v>2</v>
      </c>
    </row>
    <row r="857" spans="1:18" x14ac:dyDescent="0.3">
      <c r="A857" t="s">
        <v>1972</v>
      </c>
      <c r="B857" t="s">
        <v>1973</v>
      </c>
      <c r="C857" t="s">
        <v>1832</v>
      </c>
      <c r="D857" t="s">
        <v>222</v>
      </c>
      <c r="E857" t="s">
        <v>30</v>
      </c>
      <c r="F857" s="6">
        <v>44926</v>
      </c>
      <c r="G857">
        <v>2022</v>
      </c>
      <c r="H857" t="s">
        <v>57</v>
      </c>
      <c r="I857" t="s">
        <v>90</v>
      </c>
      <c r="J857">
        <v>39817</v>
      </c>
      <c r="K857">
        <v>40663</v>
      </c>
      <c r="L857">
        <v>1.0212472059672999</v>
      </c>
      <c r="M857">
        <v>1.0212472059672999</v>
      </c>
      <c r="N857" t="s">
        <v>5805</v>
      </c>
      <c r="O857" t="s">
        <v>5806</v>
      </c>
      <c r="P857" t="s">
        <v>1975</v>
      </c>
      <c r="Q857">
        <v>2</v>
      </c>
      <c r="R857">
        <v>2</v>
      </c>
    </row>
    <row r="858" spans="1:18" x14ac:dyDescent="0.3">
      <c r="A858" t="s">
        <v>1972</v>
      </c>
      <c r="B858" t="s">
        <v>1973</v>
      </c>
      <c r="C858" t="s">
        <v>1832</v>
      </c>
      <c r="D858" t="s">
        <v>222</v>
      </c>
      <c r="E858" t="s">
        <v>30</v>
      </c>
      <c r="F858" s="6">
        <v>45107</v>
      </c>
      <c r="G858">
        <v>2023</v>
      </c>
      <c r="H858" t="s">
        <v>44</v>
      </c>
      <c r="I858" t="s">
        <v>33</v>
      </c>
      <c r="J858">
        <v>40047</v>
      </c>
      <c r="K858">
        <v>39091</v>
      </c>
      <c r="L858">
        <v>0.97612804954178845</v>
      </c>
      <c r="M858">
        <v>0.97612804954178845</v>
      </c>
      <c r="N858" t="s">
        <v>5807</v>
      </c>
      <c r="O858" t="s">
        <v>5808</v>
      </c>
      <c r="P858" t="s">
        <v>1976</v>
      </c>
      <c r="Q858">
        <v>2</v>
      </c>
      <c r="R858">
        <v>2</v>
      </c>
    </row>
    <row r="859" spans="1:18" x14ac:dyDescent="0.3">
      <c r="A859" t="s">
        <v>1972</v>
      </c>
      <c r="B859" t="s">
        <v>1973</v>
      </c>
      <c r="C859" t="s">
        <v>1832</v>
      </c>
      <c r="D859" t="s">
        <v>222</v>
      </c>
      <c r="E859" t="s">
        <v>30</v>
      </c>
      <c r="F859" s="6">
        <v>45291</v>
      </c>
      <c r="G859">
        <v>2023</v>
      </c>
      <c r="H859" t="s">
        <v>57</v>
      </c>
      <c r="I859" t="s">
        <v>47</v>
      </c>
      <c r="J859">
        <v>42012</v>
      </c>
      <c r="K859">
        <v>40771</v>
      </c>
      <c r="L859">
        <v>0.97046082071789008</v>
      </c>
      <c r="M859">
        <v>0.97046082071789008</v>
      </c>
      <c r="N859" t="s">
        <v>5809</v>
      </c>
      <c r="O859" t="s">
        <v>5810</v>
      </c>
      <c r="P859" t="s">
        <v>1977</v>
      </c>
      <c r="Q859">
        <v>2</v>
      </c>
      <c r="R859">
        <v>2</v>
      </c>
    </row>
    <row r="860" spans="1:18" x14ac:dyDescent="0.3">
      <c r="A860" t="s">
        <v>1972</v>
      </c>
      <c r="B860" t="s">
        <v>1973</v>
      </c>
      <c r="C860" t="s">
        <v>1832</v>
      </c>
      <c r="D860" t="s">
        <v>222</v>
      </c>
      <c r="E860" t="s">
        <v>30</v>
      </c>
      <c r="F860" s="6">
        <v>45473</v>
      </c>
      <c r="G860">
        <v>2024</v>
      </c>
      <c r="H860" t="s">
        <v>44</v>
      </c>
      <c r="I860" t="s">
        <v>71</v>
      </c>
      <c r="J860">
        <v>38813</v>
      </c>
      <c r="K860">
        <v>39598</v>
      </c>
      <c r="L860">
        <v>1.020225182284286</v>
      </c>
      <c r="M860">
        <v>1.020225182284286</v>
      </c>
      <c r="N860" t="s">
        <v>5811</v>
      </c>
      <c r="O860" t="s">
        <v>5812</v>
      </c>
      <c r="P860" t="s">
        <v>1978</v>
      </c>
      <c r="Q860">
        <v>2</v>
      </c>
      <c r="R860">
        <v>2</v>
      </c>
    </row>
    <row r="861" spans="1:18" x14ac:dyDescent="0.3">
      <c r="A861" t="s">
        <v>1972</v>
      </c>
      <c r="B861" t="s">
        <v>1973</v>
      </c>
      <c r="C861" t="s">
        <v>1832</v>
      </c>
      <c r="D861" t="s">
        <v>222</v>
      </c>
      <c r="E861" t="s">
        <v>30</v>
      </c>
      <c r="F861" s="6">
        <v>45657</v>
      </c>
      <c r="G861">
        <v>2024</v>
      </c>
      <c r="H861" t="s">
        <v>57</v>
      </c>
      <c r="I861" t="s">
        <v>78</v>
      </c>
      <c r="J861">
        <v>40441</v>
      </c>
      <c r="K861">
        <v>41436</v>
      </c>
      <c r="L861">
        <v>1.024603743725427</v>
      </c>
      <c r="M861">
        <v>1.024603743725427</v>
      </c>
      <c r="N861" t="s">
        <v>5813</v>
      </c>
      <c r="O861" t="s">
        <v>5814</v>
      </c>
      <c r="P861" t="s">
        <v>1979</v>
      </c>
      <c r="Q861">
        <v>2</v>
      </c>
      <c r="R861">
        <v>2</v>
      </c>
    </row>
    <row r="862" spans="1:18" x14ac:dyDescent="0.3">
      <c r="A862" t="s">
        <v>1972</v>
      </c>
      <c r="B862" t="s">
        <v>1973</v>
      </c>
      <c r="C862" t="s">
        <v>1832</v>
      </c>
      <c r="D862" t="s">
        <v>222</v>
      </c>
      <c r="E862" t="s">
        <v>30</v>
      </c>
      <c r="F862" s="6">
        <v>45838</v>
      </c>
      <c r="G862">
        <v>2025</v>
      </c>
      <c r="H862" t="s">
        <v>44</v>
      </c>
      <c r="I862" t="s">
        <v>244</v>
      </c>
      <c r="J862">
        <v>100</v>
      </c>
      <c r="K862">
        <v>105.8</v>
      </c>
      <c r="L862">
        <v>1.0580000000000001</v>
      </c>
      <c r="M862">
        <v>1.0580000000000001</v>
      </c>
      <c r="N862" t="s">
        <v>102</v>
      </c>
      <c r="O862" t="s">
        <v>1981</v>
      </c>
      <c r="P862" t="s">
        <v>1982</v>
      </c>
      <c r="Q862">
        <v>2</v>
      </c>
      <c r="R862">
        <v>2</v>
      </c>
    </row>
    <row r="863" spans="1:18" x14ac:dyDescent="0.3">
      <c r="A863" t="s">
        <v>1972</v>
      </c>
      <c r="B863" t="s">
        <v>1973</v>
      </c>
      <c r="C863" t="s">
        <v>1832</v>
      </c>
      <c r="D863" t="s">
        <v>222</v>
      </c>
      <c r="E863" t="s">
        <v>30</v>
      </c>
      <c r="F863" s="6">
        <v>46022</v>
      </c>
      <c r="G863">
        <v>2025</v>
      </c>
      <c r="H863" t="s">
        <v>57</v>
      </c>
      <c r="I863" t="s">
        <v>103</v>
      </c>
      <c r="J863">
        <v>100</v>
      </c>
      <c r="K863">
        <v>102.03</v>
      </c>
      <c r="L863">
        <v>1.0203</v>
      </c>
      <c r="M863">
        <v>1.0203</v>
      </c>
      <c r="N863" t="s">
        <v>102</v>
      </c>
      <c r="O863" t="s">
        <v>1984</v>
      </c>
      <c r="P863" t="s">
        <v>1985</v>
      </c>
      <c r="Q863">
        <v>2</v>
      </c>
      <c r="R863">
        <v>2</v>
      </c>
    </row>
    <row r="864" spans="1:18" x14ac:dyDescent="0.3">
      <c r="A864" t="s">
        <v>1986</v>
      </c>
      <c r="B864" t="s">
        <v>1987</v>
      </c>
      <c r="C864" t="s">
        <v>1988</v>
      </c>
      <c r="D864" t="s">
        <v>222</v>
      </c>
      <c r="E864" t="s">
        <v>30</v>
      </c>
      <c r="F864" s="6">
        <v>45473</v>
      </c>
      <c r="G864">
        <v>2024</v>
      </c>
      <c r="H864" t="s">
        <v>44</v>
      </c>
      <c r="I864" t="s">
        <v>71</v>
      </c>
      <c r="J864">
        <v>80</v>
      </c>
      <c r="K864">
        <v>83</v>
      </c>
      <c r="L864">
        <v>1.0375000000000001</v>
      </c>
      <c r="M864">
        <v>1.0375000000000001</v>
      </c>
      <c r="N864" t="s">
        <v>193</v>
      </c>
      <c r="O864" t="s">
        <v>4652</v>
      </c>
      <c r="P864" t="s">
        <v>1989</v>
      </c>
      <c r="Q864">
        <v>2</v>
      </c>
      <c r="R864">
        <v>2</v>
      </c>
    </row>
    <row r="865" spans="1:18" x14ac:dyDescent="0.3">
      <c r="A865" t="s">
        <v>1986</v>
      </c>
      <c r="B865" t="s">
        <v>1987</v>
      </c>
      <c r="C865" t="s">
        <v>1988</v>
      </c>
      <c r="D865" t="s">
        <v>222</v>
      </c>
      <c r="E865" t="s">
        <v>30</v>
      </c>
      <c r="F865" s="6">
        <v>45657</v>
      </c>
      <c r="G865">
        <v>2024</v>
      </c>
      <c r="H865" t="s">
        <v>57</v>
      </c>
      <c r="I865" t="s">
        <v>78</v>
      </c>
      <c r="J865">
        <v>80</v>
      </c>
      <c r="K865">
        <v>87.67</v>
      </c>
      <c r="L865">
        <v>1.0958749999999999</v>
      </c>
      <c r="M865">
        <v>1.0958749999999999</v>
      </c>
      <c r="N865" t="s">
        <v>193</v>
      </c>
      <c r="O865" t="s">
        <v>5596</v>
      </c>
      <c r="P865" t="s">
        <v>1990</v>
      </c>
      <c r="Q865">
        <v>2</v>
      </c>
      <c r="R865">
        <v>2</v>
      </c>
    </row>
    <row r="866" spans="1:18" x14ac:dyDescent="0.3">
      <c r="A866" t="s">
        <v>1986</v>
      </c>
      <c r="B866" t="s">
        <v>1987</v>
      </c>
      <c r="C866" t="s">
        <v>1988</v>
      </c>
      <c r="D866" t="s">
        <v>222</v>
      </c>
      <c r="E866" t="s">
        <v>30</v>
      </c>
      <c r="F866" s="6">
        <v>45838</v>
      </c>
      <c r="G866">
        <v>2025</v>
      </c>
      <c r="H866" t="s">
        <v>44</v>
      </c>
      <c r="I866" t="s">
        <v>244</v>
      </c>
      <c r="J866">
        <v>80</v>
      </c>
      <c r="K866">
        <v>90</v>
      </c>
      <c r="L866">
        <v>1.125</v>
      </c>
      <c r="M866">
        <v>1.125</v>
      </c>
      <c r="N866" t="s">
        <v>193</v>
      </c>
      <c r="O866" t="s">
        <v>256</v>
      </c>
      <c r="P866" t="s">
        <v>1991</v>
      </c>
      <c r="Q866">
        <v>2</v>
      </c>
      <c r="R866">
        <v>2</v>
      </c>
    </row>
    <row r="867" spans="1:18" x14ac:dyDescent="0.3">
      <c r="A867" t="s">
        <v>1986</v>
      </c>
      <c r="B867" t="s">
        <v>1987</v>
      </c>
      <c r="C867" t="s">
        <v>1988</v>
      </c>
      <c r="D867" t="s">
        <v>222</v>
      </c>
      <c r="E867" t="s">
        <v>30</v>
      </c>
      <c r="F867" s="6">
        <v>46022</v>
      </c>
      <c r="G867">
        <v>2025</v>
      </c>
      <c r="H867" t="s">
        <v>57</v>
      </c>
      <c r="I867" t="s">
        <v>103</v>
      </c>
      <c r="J867">
        <v>80</v>
      </c>
      <c r="K867">
        <v>91.67</v>
      </c>
      <c r="L867">
        <v>1.145875</v>
      </c>
      <c r="M867">
        <v>1.145875</v>
      </c>
      <c r="N867" t="s">
        <v>193</v>
      </c>
      <c r="O867" t="s">
        <v>1993</v>
      </c>
      <c r="P867" t="s">
        <v>1994</v>
      </c>
      <c r="Q867">
        <v>2</v>
      </c>
      <c r="R867">
        <v>2</v>
      </c>
    </row>
    <row r="868" spans="1:18" x14ac:dyDescent="0.3">
      <c r="A868" t="s">
        <v>1995</v>
      </c>
      <c r="B868" t="s">
        <v>1996</v>
      </c>
      <c r="C868" t="s">
        <v>1997</v>
      </c>
      <c r="D868" t="s">
        <v>222</v>
      </c>
      <c r="E868" t="s">
        <v>108</v>
      </c>
      <c r="F868" s="6">
        <v>44742</v>
      </c>
      <c r="G868">
        <v>2022</v>
      </c>
      <c r="H868" t="s">
        <v>44</v>
      </c>
      <c r="I868" t="s">
        <v>88</v>
      </c>
      <c r="J868">
        <v>93</v>
      </c>
      <c r="K868">
        <v>106</v>
      </c>
      <c r="L868">
        <v>0.87735849056603776</v>
      </c>
      <c r="M868">
        <v>0.87735849056603776</v>
      </c>
      <c r="N868" t="s">
        <v>971</v>
      </c>
      <c r="O868" t="s">
        <v>383</v>
      </c>
      <c r="P868" t="s">
        <v>1998</v>
      </c>
      <c r="Q868">
        <v>2</v>
      </c>
      <c r="R868">
        <v>2</v>
      </c>
    </row>
    <row r="869" spans="1:18" x14ac:dyDescent="0.3">
      <c r="A869" t="s">
        <v>1995</v>
      </c>
      <c r="B869" t="s">
        <v>1996</v>
      </c>
      <c r="C869" t="s">
        <v>1997</v>
      </c>
      <c r="D869" t="s">
        <v>222</v>
      </c>
      <c r="E869" t="s">
        <v>108</v>
      </c>
      <c r="F869" s="6">
        <v>44926</v>
      </c>
      <c r="G869">
        <v>2022</v>
      </c>
      <c r="H869" t="s">
        <v>57</v>
      </c>
      <c r="I869" t="s">
        <v>90</v>
      </c>
      <c r="J869">
        <v>88</v>
      </c>
      <c r="K869">
        <v>88</v>
      </c>
      <c r="L869">
        <v>1</v>
      </c>
      <c r="M869">
        <v>1</v>
      </c>
      <c r="N869" t="s">
        <v>4404</v>
      </c>
      <c r="O869" t="s">
        <v>4404</v>
      </c>
      <c r="P869" t="s">
        <v>1999</v>
      </c>
      <c r="Q869">
        <v>2</v>
      </c>
      <c r="R869">
        <v>2</v>
      </c>
    </row>
    <row r="870" spans="1:18" x14ac:dyDescent="0.3">
      <c r="A870" t="s">
        <v>1995</v>
      </c>
      <c r="B870" t="s">
        <v>1996</v>
      </c>
      <c r="C870" t="s">
        <v>1997</v>
      </c>
      <c r="D870" t="s">
        <v>222</v>
      </c>
      <c r="E870" t="s">
        <v>108</v>
      </c>
      <c r="F870" s="6">
        <v>45107</v>
      </c>
      <c r="G870">
        <v>2023</v>
      </c>
      <c r="H870" t="s">
        <v>44</v>
      </c>
      <c r="I870" t="s">
        <v>33</v>
      </c>
      <c r="J870">
        <v>85</v>
      </c>
      <c r="K870">
        <v>89.99</v>
      </c>
      <c r="L870">
        <v>0.94454939437715302</v>
      </c>
      <c r="M870">
        <v>0.94454939437715302</v>
      </c>
      <c r="N870" t="s">
        <v>2357</v>
      </c>
      <c r="O870" t="s">
        <v>5815</v>
      </c>
      <c r="P870" t="s">
        <v>2000</v>
      </c>
      <c r="Q870">
        <v>2</v>
      </c>
      <c r="R870">
        <v>2</v>
      </c>
    </row>
    <row r="871" spans="1:18" x14ac:dyDescent="0.3">
      <c r="A871" t="s">
        <v>1995</v>
      </c>
      <c r="B871" t="s">
        <v>1996</v>
      </c>
      <c r="C871" t="s">
        <v>1997</v>
      </c>
      <c r="D871" t="s">
        <v>222</v>
      </c>
      <c r="E871" t="s">
        <v>108</v>
      </c>
      <c r="F871" s="6">
        <v>45291</v>
      </c>
      <c r="G871">
        <v>2023</v>
      </c>
      <c r="H871" t="s">
        <v>57</v>
      </c>
      <c r="I871" t="s">
        <v>47</v>
      </c>
      <c r="J871">
        <v>85</v>
      </c>
      <c r="K871">
        <v>84.5</v>
      </c>
      <c r="L871">
        <v>1.0059171597633141</v>
      </c>
      <c r="M871">
        <v>1.0059171597633141</v>
      </c>
      <c r="N871" t="s">
        <v>2357</v>
      </c>
      <c r="O871" t="s">
        <v>5816</v>
      </c>
      <c r="P871" t="s">
        <v>2001</v>
      </c>
      <c r="Q871">
        <v>2</v>
      </c>
      <c r="R871">
        <v>2</v>
      </c>
    </row>
    <row r="872" spans="1:18" x14ac:dyDescent="0.3">
      <c r="A872" t="s">
        <v>1995</v>
      </c>
      <c r="B872" t="s">
        <v>1996</v>
      </c>
      <c r="C872" t="s">
        <v>1997</v>
      </c>
      <c r="D872" t="s">
        <v>222</v>
      </c>
      <c r="E872" t="s">
        <v>108</v>
      </c>
      <c r="F872" s="6">
        <v>45473</v>
      </c>
      <c r="G872">
        <v>2024</v>
      </c>
      <c r="H872" t="s">
        <v>44</v>
      </c>
      <c r="I872" t="s">
        <v>71</v>
      </c>
      <c r="J872">
        <v>75</v>
      </c>
      <c r="K872">
        <v>83.65</v>
      </c>
      <c r="L872">
        <v>0.89659294680215174</v>
      </c>
      <c r="M872">
        <v>0.89659294680215174</v>
      </c>
      <c r="N872" t="s">
        <v>4302</v>
      </c>
      <c r="O872" t="s">
        <v>5817</v>
      </c>
      <c r="P872" t="s">
        <v>2002</v>
      </c>
      <c r="Q872">
        <v>2</v>
      </c>
      <c r="R872">
        <v>2</v>
      </c>
    </row>
    <row r="873" spans="1:18" x14ac:dyDescent="0.3">
      <c r="A873" t="s">
        <v>1995</v>
      </c>
      <c r="B873" t="s">
        <v>1996</v>
      </c>
      <c r="C873" t="s">
        <v>1997</v>
      </c>
      <c r="D873" t="s">
        <v>222</v>
      </c>
      <c r="E873" t="s">
        <v>108</v>
      </c>
      <c r="F873" s="6">
        <v>45657</v>
      </c>
      <c r="G873">
        <v>2024</v>
      </c>
      <c r="H873" t="s">
        <v>57</v>
      </c>
      <c r="I873" t="s">
        <v>78</v>
      </c>
      <c r="J873">
        <v>75</v>
      </c>
      <c r="K873">
        <v>82.68</v>
      </c>
      <c r="L873">
        <v>0.90711175616835982</v>
      </c>
      <c r="M873">
        <v>0.90711175616835982</v>
      </c>
      <c r="N873" t="s">
        <v>4302</v>
      </c>
      <c r="O873" t="s">
        <v>5818</v>
      </c>
      <c r="P873" t="s">
        <v>2003</v>
      </c>
      <c r="Q873">
        <v>2</v>
      </c>
      <c r="R873">
        <v>2</v>
      </c>
    </row>
    <row r="874" spans="1:18" x14ac:dyDescent="0.3">
      <c r="A874" t="s">
        <v>1995</v>
      </c>
      <c r="B874" t="s">
        <v>1996</v>
      </c>
      <c r="C874" t="s">
        <v>1997</v>
      </c>
      <c r="D874" t="s">
        <v>222</v>
      </c>
      <c r="E874" t="s">
        <v>108</v>
      </c>
      <c r="F874" s="6">
        <v>45838</v>
      </c>
      <c r="G874">
        <v>2025</v>
      </c>
      <c r="H874" t="s">
        <v>44</v>
      </c>
      <c r="I874" t="s">
        <v>244</v>
      </c>
      <c r="J874">
        <v>81</v>
      </c>
      <c r="K874">
        <v>84.18</v>
      </c>
      <c r="L874">
        <v>0.96222380612972191</v>
      </c>
      <c r="M874">
        <v>0.96222380612972191</v>
      </c>
      <c r="N874" t="s">
        <v>1054</v>
      </c>
      <c r="O874" t="s">
        <v>2005</v>
      </c>
      <c r="P874" t="s">
        <v>2006</v>
      </c>
      <c r="Q874">
        <v>2</v>
      </c>
      <c r="R874">
        <v>2</v>
      </c>
    </row>
    <row r="875" spans="1:18" x14ac:dyDescent="0.3">
      <c r="A875" t="s">
        <v>1995</v>
      </c>
      <c r="B875" t="s">
        <v>1996</v>
      </c>
      <c r="C875" t="s">
        <v>1997</v>
      </c>
      <c r="D875" t="s">
        <v>222</v>
      </c>
      <c r="E875" t="s">
        <v>108</v>
      </c>
      <c r="F875" s="6">
        <v>46022</v>
      </c>
      <c r="G875">
        <v>2025</v>
      </c>
      <c r="H875" t="s">
        <v>57</v>
      </c>
      <c r="I875" t="s">
        <v>103</v>
      </c>
      <c r="J875">
        <v>81</v>
      </c>
      <c r="K875">
        <v>82.81</v>
      </c>
      <c r="L875">
        <v>0.97814273638449456</v>
      </c>
      <c r="M875">
        <v>0.97814273638449456</v>
      </c>
      <c r="N875" t="s">
        <v>1054</v>
      </c>
      <c r="O875" t="s">
        <v>2008</v>
      </c>
      <c r="P875" t="s">
        <v>2009</v>
      </c>
      <c r="Q875">
        <v>2</v>
      </c>
      <c r="R875">
        <v>2</v>
      </c>
    </row>
    <row r="876" spans="1:18" x14ac:dyDescent="0.3">
      <c r="A876" t="s">
        <v>2010</v>
      </c>
      <c r="B876" t="s">
        <v>2011</v>
      </c>
      <c r="C876" t="s">
        <v>1997</v>
      </c>
      <c r="D876" t="s">
        <v>222</v>
      </c>
      <c r="E876" t="s">
        <v>108</v>
      </c>
      <c r="F876" s="6">
        <v>45107</v>
      </c>
      <c r="G876">
        <v>2023</v>
      </c>
      <c r="H876" t="s">
        <v>44</v>
      </c>
      <c r="I876" t="s">
        <v>33</v>
      </c>
      <c r="J876">
        <v>85</v>
      </c>
      <c r="K876">
        <v>76.48</v>
      </c>
      <c r="L876">
        <v>1.1114016736401671</v>
      </c>
      <c r="M876">
        <v>1.1114016736401671</v>
      </c>
      <c r="N876" t="s">
        <v>2357</v>
      </c>
      <c r="O876" t="s">
        <v>5819</v>
      </c>
      <c r="P876" t="s">
        <v>2012</v>
      </c>
      <c r="Q876">
        <v>2</v>
      </c>
      <c r="R876">
        <v>2</v>
      </c>
    </row>
    <row r="877" spans="1:18" x14ac:dyDescent="0.3">
      <c r="A877" t="s">
        <v>2010</v>
      </c>
      <c r="B877" t="s">
        <v>2011</v>
      </c>
      <c r="C877" t="s">
        <v>1997</v>
      </c>
      <c r="D877" t="s">
        <v>222</v>
      </c>
      <c r="E877" t="s">
        <v>108</v>
      </c>
      <c r="F877" s="6">
        <v>45291</v>
      </c>
      <c r="G877">
        <v>2023</v>
      </c>
      <c r="H877" t="s">
        <v>57</v>
      </c>
      <c r="I877" t="s">
        <v>47</v>
      </c>
      <c r="J877">
        <v>85</v>
      </c>
      <c r="K877">
        <v>73.290000000000006</v>
      </c>
      <c r="L877">
        <v>1.1597762314094691</v>
      </c>
      <c r="M877">
        <v>1.1597762314094691</v>
      </c>
      <c r="N877" t="s">
        <v>2357</v>
      </c>
      <c r="O877" t="s">
        <v>5820</v>
      </c>
      <c r="P877" t="s">
        <v>2013</v>
      </c>
      <c r="Q877">
        <v>2</v>
      </c>
      <c r="R877">
        <v>2</v>
      </c>
    </row>
    <row r="878" spans="1:18" x14ac:dyDescent="0.3">
      <c r="A878" t="s">
        <v>2010</v>
      </c>
      <c r="B878" t="s">
        <v>2011</v>
      </c>
      <c r="C878" t="s">
        <v>1997</v>
      </c>
      <c r="D878" t="s">
        <v>222</v>
      </c>
      <c r="E878" t="s">
        <v>108</v>
      </c>
      <c r="F878" s="6">
        <v>45473</v>
      </c>
      <c r="G878">
        <v>2024</v>
      </c>
      <c r="H878" t="s">
        <v>44</v>
      </c>
      <c r="I878" t="s">
        <v>71</v>
      </c>
      <c r="J878">
        <v>73</v>
      </c>
      <c r="K878">
        <v>71.180000000000007</v>
      </c>
      <c r="L878">
        <v>1.0255689800505761</v>
      </c>
      <c r="M878">
        <v>1.0255689800505761</v>
      </c>
      <c r="N878" t="s">
        <v>5583</v>
      </c>
      <c r="O878" t="s">
        <v>5821</v>
      </c>
      <c r="P878" t="s">
        <v>2014</v>
      </c>
      <c r="Q878">
        <v>2</v>
      </c>
      <c r="R878">
        <v>2</v>
      </c>
    </row>
    <row r="879" spans="1:18" x14ac:dyDescent="0.3">
      <c r="A879" t="s">
        <v>2010</v>
      </c>
      <c r="B879" t="s">
        <v>2011</v>
      </c>
      <c r="C879" t="s">
        <v>1997</v>
      </c>
      <c r="D879" t="s">
        <v>222</v>
      </c>
      <c r="E879" t="s">
        <v>108</v>
      </c>
      <c r="F879" s="6">
        <v>45657</v>
      </c>
      <c r="G879">
        <v>2024</v>
      </c>
      <c r="H879" t="s">
        <v>57</v>
      </c>
      <c r="I879" t="s">
        <v>78</v>
      </c>
      <c r="J879">
        <v>73</v>
      </c>
      <c r="K879">
        <v>71.239999999999995</v>
      </c>
      <c r="L879">
        <v>1.0247052217855139</v>
      </c>
      <c r="M879">
        <v>1.0247052217855139</v>
      </c>
      <c r="N879" t="s">
        <v>5583</v>
      </c>
      <c r="O879" t="s">
        <v>5822</v>
      </c>
      <c r="P879" t="s">
        <v>2015</v>
      </c>
      <c r="Q879">
        <v>2</v>
      </c>
      <c r="R879">
        <v>2</v>
      </c>
    </row>
    <row r="880" spans="1:18" x14ac:dyDescent="0.3">
      <c r="A880" t="s">
        <v>2010</v>
      </c>
      <c r="B880" t="s">
        <v>2016</v>
      </c>
      <c r="C880" t="s">
        <v>1997</v>
      </c>
      <c r="D880" t="s">
        <v>222</v>
      </c>
      <c r="E880" t="s">
        <v>108</v>
      </c>
      <c r="F880" s="6">
        <v>45838</v>
      </c>
      <c r="G880">
        <v>2025</v>
      </c>
      <c r="H880" t="s">
        <v>44</v>
      </c>
      <c r="I880" t="s">
        <v>244</v>
      </c>
      <c r="J880">
        <v>71</v>
      </c>
      <c r="K880">
        <v>69.39</v>
      </c>
      <c r="L880">
        <v>1.0232021905173661</v>
      </c>
      <c r="M880">
        <v>1.0232021905173661</v>
      </c>
      <c r="N880" t="s">
        <v>2018</v>
      </c>
      <c r="O880" t="s">
        <v>2019</v>
      </c>
      <c r="P880" t="s">
        <v>2020</v>
      </c>
      <c r="Q880">
        <v>2</v>
      </c>
      <c r="R880">
        <v>2</v>
      </c>
    </row>
    <row r="881" spans="1:18" x14ac:dyDescent="0.3">
      <c r="A881" t="s">
        <v>2010</v>
      </c>
      <c r="B881" t="s">
        <v>2016</v>
      </c>
      <c r="C881" t="s">
        <v>1997</v>
      </c>
      <c r="D881" t="s">
        <v>222</v>
      </c>
      <c r="E881" t="s">
        <v>108</v>
      </c>
      <c r="F881" s="6">
        <v>46022</v>
      </c>
      <c r="G881">
        <v>2025</v>
      </c>
      <c r="H881" t="s">
        <v>57</v>
      </c>
      <c r="I881" t="s">
        <v>103</v>
      </c>
      <c r="J881">
        <v>71</v>
      </c>
      <c r="K881">
        <v>68.400000000000006</v>
      </c>
      <c r="L881">
        <v>1.0380116959064329</v>
      </c>
      <c r="M881">
        <v>1.0380116959064329</v>
      </c>
      <c r="N881" t="s">
        <v>2018</v>
      </c>
      <c r="O881" t="s">
        <v>2022</v>
      </c>
      <c r="P881" t="s">
        <v>2023</v>
      </c>
      <c r="Q881">
        <v>2</v>
      </c>
      <c r="R881">
        <v>2</v>
      </c>
    </row>
    <row r="882" spans="1:18" x14ac:dyDescent="0.3">
      <c r="A882" t="s">
        <v>2024</v>
      </c>
      <c r="B882" t="s">
        <v>2025</v>
      </c>
      <c r="C882" t="s">
        <v>1997</v>
      </c>
      <c r="D882" t="s">
        <v>222</v>
      </c>
      <c r="E882" t="s">
        <v>30</v>
      </c>
      <c r="F882" s="6">
        <v>45107</v>
      </c>
      <c r="G882">
        <v>2023</v>
      </c>
      <c r="H882" t="s">
        <v>44</v>
      </c>
      <c r="I882" t="s">
        <v>33</v>
      </c>
      <c r="K882">
        <v>1015</v>
      </c>
      <c r="L882">
        <v>0</v>
      </c>
      <c r="M882">
        <v>0</v>
      </c>
      <c r="O882" t="s">
        <v>5823</v>
      </c>
      <c r="P882" t="s">
        <v>2026</v>
      </c>
      <c r="Q882">
        <v>2</v>
      </c>
      <c r="R882">
        <v>2</v>
      </c>
    </row>
    <row r="883" spans="1:18" x14ac:dyDescent="0.3">
      <c r="A883" t="s">
        <v>2024</v>
      </c>
      <c r="B883" t="s">
        <v>2025</v>
      </c>
      <c r="C883" t="s">
        <v>1997</v>
      </c>
      <c r="D883" t="s">
        <v>222</v>
      </c>
      <c r="E883" t="s">
        <v>30</v>
      </c>
      <c r="F883" s="6">
        <v>45291</v>
      </c>
      <c r="G883">
        <v>2023</v>
      </c>
      <c r="H883" t="s">
        <v>57</v>
      </c>
      <c r="I883" t="s">
        <v>47</v>
      </c>
      <c r="J883">
        <v>0</v>
      </c>
      <c r="K883">
        <v>1017</v>
      </c>
      <c r="L883">
        <v>0</v>
      </c>
      <c r="M883">
        <v>0</v>
      </c>
      <c r="N883" t="s">
        <v>122</v>
      </c>
      <c r="O883" t="s">
        <v>5824</v>
      </c>
      <c r="P883" t="s">
        <v>2027</v>
      </c>
      <c r="Q883">
        <v>2</v>
      </c>
      <c r="R883">
        <v>2</v>
      </c>
    </row>
    <row r="884" spans="1:18" x14ac:dyDescent="0.3">
      <c r="A884" t="s">
        <v>2024</v>
      </c>
      <c r="B884" t="s">
        <v>2025</v>
      </c>
      <c r="C884" t="s">
        <v>1997</v>
      </c>
      <c r="D884" t="s">
        <v>222</v>
      </c>
      <c r="E884" t="s">
        <v>30</v>
      </c>
      <c r="F884" s="6">
        <v>45473</v>
      </c>
      <c r="G884">
        <v>2024</v>
      </c>
      <c r="H884" t="s">
        <v>44</v>
      </c>
      <c r="I884" t="s">
        <v>71</v>
      </c>
      <c r="J884">
        <v>0</v>
      </c>
      <c r="K884">
        <v>1074</v>
      </c>
      <c r="L884">
        <v>0</v>
      </c>
      <c r="M884">
        <v>0</v>
      </c>
      <c r="N884" t="s">
        <v>122</v>
      </c>
      <c r="O884" t="s">
        <v>5825</v>
      </c>
      <c r="P884" t="s">
        <v>2028</v>
      </c>
      <c r="Q884">
        <v>2</v>
      </c>
      <c r="R884">
        <v>2</v>
      </c>
    </row>
    <row r="885" spans="1:18" x14ac:dyDescent="0.3">
      <c r="A885" t="s">
        <v>2024</v>
      </c>
      <c r="B885" t="s">
        <v>2025</v>
      </c>
      <c r="C885" t="s">
        <v>1997</v>
      </c>
      <c r="D885" t="s">
        <v>222</v>
      </c>
      <c r="E885" t="s">
        <v>30</v>
      </c>
      <c r="F885" s="6">
        <v>45657</v>
      </c>
      <c r="G885">
        <v>2024</v>
      </c>
      <c r="H885" t="s">
        <v>57</v>
      </c>
      <c r="I885" t="s">
        <v>78</v>
      </c>
      <c r="J885">
        <v>0</v>
      </c>
      <c r="K885">
        <v>1013</v>
      </c>
      <c r="L885">
        <v>0</v>
      </c>
      <c r="M885">
        <v>0</v>
      </c>
      <c r="N885" t="s">
        <v>122</v>
      </c>
      <c r="O885" t="s">
        <v>5826</v>
      </c>
      <c r="P885" t="s">
        <v>2029</v>
      </c>
      <c r="Q885">
        <v>2</v>
      </c>
      <c r="R885">
        <v>2</v>
      </c>
    </row>
    <row r="886" spans="1:18" x14ac:dyDescent="0.3">
      <c r="A886" t="s">
        <v>2024</v>
      </c>
      <c r="B886" t="s">
        <v>2030</v>
      </c>
      <c r="C886" t="s">
        <v>1997</v>
      </c>
      <c r="D886" t="s">
        <v>222</v>
      </c>
      <c r="E886" t="s">
        <v>30</v>
      </c>
      <c r="F886" s="6">
        <v>45838</v>
      </c>
      <c r="G886">
        <v>2025</v>
      </c>
      <c r="H886" t="s">
        <v>44</v>
      </c>
      <c r="I886" t="s">
        <v>244</v>
      </c>
      <c r="K886">
        <v>1099</v>
      </c>
      <c r="L886">
        <v>0</v>
      </c>
      <c r="M886">
        <v>0</v>
      </c>
      <c r="O886" t="s">
        <v>2032</v>
      </c>
      <c r="P886" t="s">
        <v>2033</v>
      </c>
      <c r="Q886">
        <v>2</v>
      </c>
      <c r="R886">
        <v>2</v>
      </c>
    </row>
    <row r="887" spans="1:18" x14ac:dyDescent="0.3">
      <c r="A887" t="s">
        <v>2024</v>
      </c>
      <c r="B887" t="s">
        <v>2030</v>
      </c>
      <c r="C887" t="s">
        <v>1997</v>
      </c>
      <c r="D887" t="s">
        <v>222</v>
      </c>
      <c r="E887" t="s">
        <v>30</v>
      </c>
      <c r="F887" s="6">
        <v>46022</v>
      </c>
      <c r="G887">
        <v>2025</v>
      </c>
      <c r="H887" t="s">
        <v>57</v>
      </c>
      <c r="I887" t="s">
        <v>103</v>
      </c>
      <c r="K887">
        <v>1071</v>
      </c>
      <c r="L887">
        <v>0</v>
      </c>
      <c r="M887">
        <v>0</v>
      </c>
      <c r="O887" t="s">
        <v>2035</v>
      </c>
      <c r="P887" t="s">
        <v>2036</v>
      </c>
      <c r="Q887">
        <v>2</v>
      </c>
      <c r="R887">
        <v>2</v>
      </c>
    </row>
    <row r="888" spans="1:18" x14ac:dyDescent="0.3">
      <c r="A888" t="s">
        <v>2037</v>
      </c>
      <c r="B888" t="s">
        <v>2038</v>
      </c>
      <c r="C888" t="s">
        <v>1997</v>
      </c>
      <c r="D888" t="s">
        <v>222</v>
      </c>
      <c r="E888" t="s">
        <v>30</v>
      </c>
      <c r="F888" s="6">
        <v>45107</v>
      </c>
      <c r="G888">
        <v>2023</v>
      </c>
      <c r="H888" t="s">
        <v>44</v>
      </c>
      <c r="I888" t="s">
        <v>33</v>
      </c>
      <c r="K888">
        <v>572</v>
      </c>
      <c r="L888">
        <v>0</v>
      </c>
      <c r="M888">
        <v>0</v>
      </c>
      <c r="O888" t="s">
        <v>5827</v>
      </c>
      <c r="P888" t="s">
        <v>2039</v>
      </c>
      <c r="Q888">
        <v>2</v>
      </c>
      <c r="R888">
        <v>2</v>
      </c>
    </row>
    <row r="889" spans="1:18" x14ac:dyDescent="0.3">
      <c r="A889" t="s">
        <v>2037</v>
      </c>
      <c r="B889" t="s">
        <v>2038</v>
      </c>
      <c r="C889" t="s">
        <v>1997</v>
      </c>
      <c r="D889" t="s">
        <v>222</v>
      </c>
      <c r="E889" t="s">
        <v>30</v>
      </c>
      <c r="F889" s="6">
        <v>45291</v>
      </c>
      <c r="G889">
        <v>2023</v>
      </c>
      <c r="H889" t="s">
        <v>57</v>
      </c>
      <c r="I889" t="s">
        <v>47</v>
      </c>
      <c r="J889">
        <v>0</v>
      </c>
      <c r="L889">
        <v>0</v>
      </c>
      <c r="M889">
        <v>0</v>
      </c>
      <c r="N889" t="s">
        <v>122</v>
      </c>
      <c r="P889" t="s">
        <v>2040</v>
      </c>
      <c r="Q889">
        <v>2</v>
      </c>
      <c r="R889">
        <v>2</v>
      </c>
    </row>
    <row r="890" spans="1:18" x14ac:dyDescent="0.3">
      <c r="A890" t="s">
        <v>2041</v>
      </c>
      <c r="B890" t="s">
        <v>2042</v>
      </c>
      <c r="C890" t="s">
        <v>1997</v>
      </c>
      <c r="D890" t="s">
        <v>222</v>
      </c>
      <c r="E890" t="s">
        <v>30</v>
      </c>
      <c r="F890" s="6">
        <v>45107</v>
      </c>
      <c r="G890">
        <v>2023</v>
      </c>
      <c r="H890" t="s">
        <v>44</v>
      </c>
      <c r="I890" t="s">
        <v>33</v>
      </c>
      <c r="K890">
        <v>203</v>
      </c>
      <c r="L890">
        <v>0</v>
      </c>
      <c r="M890">
        <v>0</v>
      </c>
      <c r="O890" t="s">
        <v>5828</v>
      </c>
      <c r="P890" t="s">
        <v>2043</v>
      </c>
      <c r="Q890">
        <v>2</v>
      </c>
      <c r="R890">
        <v>2</v>
      </c>
    </row>
    <row r="891" spans="1:18" x14ac:dyDescent="0.3">
      <c r="A891" t="s">
        <v>2041</v>
      </c>
      <c r="B891" t="s">
        <v>2042</v>
      </c>
      <c r="C891" t="s">
        <v>1997</v>
      </c>
      <c r="D891" t="s">
        <v>222</v>
      </c>
      <c r="E891" t="s">
        <v>30</v>
      </c>
      <c r="F891" s="6">
        <v>45291</v>
      </c>
      <c r="G891">
        <v>2023</v>
      </c>
      <c r="H891" t="s">
        <v>57</v>
      </c>
      <c r="I891" t="s">
        <v>47</v>
      </c>
      <c r="J891">
        <v>0</v>
      </c>
      <c r="K891">
        <v>186</v>
      </c>
      <c r="L891">
        <v>0</v>
      </c>
      <c r="M891">
        <v>0</v>
      </c>
      <c r="N891" t="s">
        <v>122</v>
      </c>
      <c r="O891" t="s">
        <v>5829</v>
      </c>
      <c r="P891" t="s">
        <v>2044</v>
      </c>
      <c r="Q891">
        <v>2</v>
      </c>
      <c r="R891">
        <v>2</v>
      </c>
    </row>
    <row r="892" spans="1:18" x14ac:dyDescent="0.3">
      <c r="A892" t="s">
        <v>2045</v>
      </c>
      <c r="B892" t="s">
        <v>2046</v>
      </c>
      <c r="C892" t="s">
        <v>1997</v>
      </c>
      <c r="D892" t="s">
        <v>222</v>
      </c>
      <c r="E892" t="s">
        <v>30</v>
      </c>
      <c r="F892" s="6">
        <v>45107</v>
      </c>
      <c r="G892">
        <v>2023</v>
      </c>
      <c r="H892" t="s">
        <v>44</v>
      </c>
      <c r="I892" t="s">
        <v>33</v>
      </c>
      <c r="K892">
        <v>240</v>
      </c>
      <c r="L892">
        <v>0</v>
      </c>
      <c r="M892">
        <v>0</v>
      </c>
      <c r="O892" t="s">
        <v>5830</v>
      </c>
      <c r="P892" t="s">
        <v>2047</v>
      </c>
      <c r="Q892">
        <v>2</v>
      </c>
      <c r="R892">
        <v>2</v>
      </c>
    </row>
    <row r="893" spans="1:18" x14ac:dyDescent="0.3">
      <c r="A893" t="s">
        <v>2045</v>
      </c>
      <c r="B893" t="s">
        <v>2046</v>
      </c>
      <c r="C893" t="s">
        <v>1997</v>
      </c>
      <c r="D893" t="s">
        <v>222</v>
      </c>
      <c r="E893" t="s">
        <v>30</v>
      </c>
      <c r="F893" s="6">
        <v>45291</v>
      </c>
      <c r="G893">
        <v>2023</v>
      </c>
      <c r="H893" t="s">
        <v>57</v>
      </c>
      <c r="I893" t="s">
        <v>47</v>
      </c>
      <c r="K893">
        <v>223</v>
      </c>
      <c r="L893">
        <v>0</v>
      </c>
      <c r="M893">
        <v>0</v>
      </c>
      <c r="O893" t="s">
        <v>5831</v>
      </c>
      <c r="P893" t="s">
        <v>2048</v>
      </c>
      <c r="Q893">
        <v>2</v>
      </c>
      <c r="R893">
        <v>2</v>
      </c>
    </row>
    <row r="894" spans="1:18" x14ac:dyDescent="0.3">
      <c r="A894" t="s">
        <v>2049</v>
      </c>
      <c r="B894" t="s">
        <v>2050</v>
      </c>
      <c r="C894" t="s">
        <v>1997</v>
      </c>
      <c r="D894" t="s">
        <v>222</v>
      </c>
      <c r="E894" t="s">
        <v>30</v>
      </c>
      <c r="F894" s="6">
        <v>45107</v>
      </c>
      <c r="G894">
        <v>2023</v>
      </c>
      <c r="H894" t="s">
        <v>44</v>
      </c>
      <c r="I894" t="s">
        <v>33</v>
      </c>
      <c r="J894">
        <v>96</v>
      </c>
      <c r="K894">
        <v>96.06</v>
      </c>
      <c r="L894">
        <v>1.0006250000000001</v>
      </c>
      <c r="M894">
        <v>1.0006250000000001</v>
      </c>
      <c r="N894" t="s">
        <v>668</v>
      </c>
      <c r="O894" t="s">
        <v>5832</v>
      </c>
      <c r="P894" t="s">
        <v>2051</v>
      </c>
      <c r="Q894">
        <v>2</v>
      </c>
      <c r="R894">
        <v>2</v>
      </c>
    </row>
    <row r="895" spans="1:18" x14ac:dyDescent="0.3">
      <c r="A895" t="s">
        <v>2049</v>
      </c>
      <c r="B895" t="s">
        <v>2050</v>
      </c>
      <c r="C895" t="s">
        <v>1997</v>
      </c>
      <c r="D895" t="s">
        <v>222</v>
      </c>
      <c r="E895" t="s">
        <v>30</v>
      </c>
      <c r="F895" s="6">
        <v>45291</v>
      </c>
      <c r="G895">
        <v>2023</v>
      </c>
      <c r="H895" t="s">
        <v>57</v>
      </c>
      <c r="I895" t="s">
        <v>47</v>
      </c>
      <c r="J895">
        <v>96</v>
      </c>
      <c r="K895">
        <v>96.56</v>
      </c>
      <c r="L895">
        <v>1.0058333333333329</v>
      </c>
      <c r="M895">
        <v>1.0058333333333329</v>
      </c>
      <c r="N895" t="s">
        <v>668</v>
      </c>
      <c r="O895" t="s">
        <v>5833</v>
      </c>
      <c r="P895" t="s">
        <v>2052</v>
      </c>
      <c r="Q895">
        <v>2</v>
      </c>
      <c r="R895">
        <v>2</v>
      </c>
    </row>
    <row r="896" spans="1:18" x14ac:dyDescent="0.3">
      <c r="A896" t="s">
        <v>2049</v>
      </c>
      <c r="B896" t="s">
        <v>2050</v>
      </c>
      <c r="C896" t="s">
        <v>1997</v>
      </c>
      <c r="D896" t="s">
        <v>222</v>
      </c>
      <c r="E896" t="s">
        <v>30</v>
      </c>
      <c r="F896" s="6">
        <v>45473</v>
      </c>
      <c r="G896">
        <v>2024</v>
      </c>
      <c r="H896" t="s">
        <v>44</v>
      </c>
      <c r="I896" t="s">
        <v>71</v>
      </c>
      <c r="J896">
        <v>97</v>
      </c>
      <c r="K896">
        <v>97.02</v>
      </c>
      <c r="L896">
        <v>1.0002061855670099</v>
      </c>
      <c r="M896">
        <v>1.0002061855670099</v>
      </c>
      <c r="N896" t="s">
        <v>1005</v>
      </c>
      <c r="O896" t="s">
        <v>5834</v>
      </c>
      <c r="P896" t="s">
        <v>2053</v>
      </c>
      <c r="Q896">
        <v>2</v>
      </c>
      <c r="R896">
        <v>2</v>
      </c>
    </row>
    <row r="897" spans="1:18" x14ac:dyDescent="0.3">
      <c r="A897" t="s">
        <v>2049</v>
      </c>
      <c r="B897" t="s">
        <v>2050</v>
      </c>
      <c r="C897" t="s">
        <v>1997</v>
      </c>
      <c r="D897" t="s">
        <v>222</v>
      </c>
      <c r="E897" t="s">
        <v>30</v>
      </c>
      <c r="F897" s="6">
        <v>45657</v>
      </c>
      <c r="G897">
        <v>2024</v>
      </c>
      <c r="H897" t="s">
        <v>57</v>
      </c>
      <c r="I897" t="s">
        <v>78</v>
      </c>
      <c r="J897">
        <v>97</v>
      </c>
      <c r="K897">
        <v>96.84</v>
      </c>
      <c r="L897">
        <v>0.99835051546391751</v>
      </c>
      <c r="M897">
        <v>0.99835051546391751</v>
      </c>
      <c r="N897" t="s">
        <v>1005</v>
      </c>
      <c r="O897" t="s">
        <v>5835</v>
      </c>
      <c r="P897" t="s">
        <v>2054</v>
      </c>
      <c r="Q897">
        <v>2</v>
      </c>
      <c r="R897">
        <v>2</v>
      </c>
    </row>
    <row r="898" spans="1:18" x14ac:dyDescent="0.3">
      <c r="A898" t="s">
        <v>2049</v>
      </c>
      <c r="B898" t="s">
        <v>2050</v>
      </c>
      <c r="C898" t="s">
        <v>1997</v>
      </c>
      <c r="D898" t="s">
        <v>222</v>
      </c>
      <c r="E898" t="s">
        <v>30</v>
      </c>
      <c r="F898" s="6">
        <v>45838</v>
      </c>
      <c r="G898">
        <v>2025</v>
      </c>
      <c r="H898" t="s">
        <v>44</v>
      </c>
      <c r="I898" t="s">
        <v>244</v>
      </c>
      <c r="J898">
        <v>97</v>
      </c>
      <c r="K898">
        <v>97.41</v>
      </c>
      <c r="L898">
        <v>1.004226804123711</v>
      </c>
      <c r="M898">
        <v>1.004226804123711</v>
      </c>
      <c r="N898" t="s">
        <v>1005</v>
      </c>
      <c r="O898" t="s">
        <v>2056</v>
      </c>
      <c r="P898" t="s">
        <v>2057</v>
      </c>
      <c r="Q898">
        <v>2</v>
      </c>
      <c r="R898">
        <v>2</v>
      </c>
    </row>
    <row r="899" spans="1:18" x14ac:dyDescent="0.3">
      <c r="A899" t="s">
        <v>2049</v>
      </c>
      <c r="B899" t="s">
        <v>2050</v>
      </c>
      <c r="C899" t="s">
        <v>1997</v>
      </c>
      <c r="D899" t="s">
        <v>222</v>
      </c>
      <c r="E899" t="s">
        <v>30</v>
      </c>
      <c r="F899" s="6">
        <v>46022</v>
      </c>
      <c r="G899">
        <v>2025</v>
      </c>
      <c r="H899" t="s">
        <v>57</v>
      </c>
      <c r="I899" t="s">
        <v>103</v>
      </c>
      <c r="J899">
        <v>97</v>
      </c>
      <c r="K899">
        <v>97.56</v>
      </c>
      <c r="L899">
        <v>1.005773195876289</v>
      </c>
      <c r="M899">
        <v>1.005773195876289</v>
      </c>
      <c r="N899" t="s">
        <v>1005</v>
      </c>
      <c r="O899" t="s">
        <v>2059</v>
      </c>
      <c r="P899" t="s">
        <v>2060</v>
      </c>
      <c r="Q899">
        <v>2</v>
      </c>
      <c r="R899">
        <v>2</v>
      </c>
    </row>
    <row r="900" spans="1:18" x14ac:dyDescent="0.3">
      <c r="A900" t="s">
        <v>2061</v>
      </c>
      <c r="B900" t="s">
        <v>2062</v>
      </c>
      <c r="C900" t="s">
        <v>1997</v>
      </c>
      <c r="D900" t="s">
        <v>222</v>
      </c>
      <c r="E900" t="s">
        <v>30</v>
      </c>
      <c r="F900" s="6">
        <v>45107</v>
      </c>
      <c r="G900">
        <v>2023</v>
      </c>
      <c r="H900" t="s">
        <v>44</v>
      </c>
      <c r="I900" t="s">
        <v>33</v>
      </c>
      <c r="J900">
        <v>4.5</v>
      </c>
      <c r="K900">
        <v>4.6100000000000003</v>
      </c>
      <c r="L900">
        <v>1.024444444444444</v>
      </c>
      <c r="M900">
        <v>1.024444444444444</v>
      </c>
      <c r="N900" t="s">
        <v>5836</v>
      </c>
      <c r="O900" t="s">
        <v>5837</v>
      </c>
      <c r="P900" t="s">
        <v>2063</v>
      </c>
      <c r="Q900">
        <v>2</v>
      </c>
      <c r="R900">
        <v>2</v>
      </c>
    </row>
    <row r="901" spans="1:18" x14ac:dyDescent="0.3">
      <c r="A901" t="s">
        <v>2061</v>
      </c>
      <c r="B901" t="s">
        <v>2062</v>
      </c>
      <c r="C901" t="s">
        <v>1997</v>
      </c>
      <c r="D901" t="s">
        <v>222</v>
      </c>
      <c r="E901" t="s">
        <v>30</v>
      </c>
      <c r="F901" s="6">
        <v>45291</v>
      </c>
      <c r="G901">
        <v>2023</v>
      </c>
      <c r="H901" t="s">
        <v>57</v>
      </c>
      <c r="I901" t="s">
        <v>47</v>
      </c>
      <c r="J901">
        <v>4.5</v>
      </c>
      <c r="K901">
        <v>4.51</v>
      </c>
      <c r="L901">
        <v>1.0022222222222219</v>
      </c>
      <c r="M901">
        <v>1.0022222222222219</v>
      </c>
      <c r="N901" t="s">
        <v>5836</v>
      </c>
      <c r="O901" t="s">
        <v>5838</v>
      </c>
      <c r="P901" t="s">
        <v>2064</v>
      </c>
      <c r="Q901">
        <v>2</v>
      </c>
      <c r="R901">
        <v>2</v>
      </c>
    </row>
    <row r="902" spans="1:18" x14ac:dyDescent="0.3">
      <c r="A902" t="s">
        <v>2061</v>
      </c>
      <c r="B902" t="s">
        <v>2062</v>
      </c>
      <c r="C902" t="s">
        <v>1997</v>
      </c>
      <c r="D902" t="s">
        <v>222</v>
      </c>
      <c r="E902" t="s">
        <v>30</v>
      </c>
      <c r="F902" s="6">
        <v>45473</v>
      </c>
      <c r="G902">
        <v>2024</v>
      </c>
      <c r="H902" t="s">
        <v>44</v>
      </c>
      <c r="I902" t="s">
        <v>71</v>
      </c>
      <c r="J902">
        <v>4.5</v>
      </c>
      <c r="K902">
        <v>4.57</v>
      </c>
      <c r="L902">
        <v>1.015555555555556</v>
      </c>
      <c r="M902">
        <v>1.015555555555556</v>
      </c>
      <c r="N902" t="s">
        <v>5836</v>
      </c>
      <c r="O902" t="s">
        <v>5799</v>
      </c>
      <c r="P902" t="s">
        <v>2065</v>
      </c>
      <c r="Q902">
        <v>2</v>
      </c>
      <c r="R902">
        <v>2</v>
      </c>
    </row>
    <row r="903" spans="1:18" x14ac:dyDescent="0.3">
      <c r="A903" t="s">
        <v>2061</v>
      </c>
      <c r="B903" t="s">
        <v>2062</v>
      </c>
      <c r="C903" t="s">
        <v>1997</v>
      </c>
      <c r="D903" t="s">
        <v>222</v>
      </c>
      <c r="E903" t="s">
        <v>30</v>
      </c>
      <c r="F903" s="6">
        <v>45657</v>
      </c>
      <c r="G903">
        <v>2024</v>
      </c>
      <c r="H903" t="s">
        <v>57</v>
      </c>
      <c r="I903" t="s">
        <v>78</v>
      </c>
      <c r="J903">
        <v>4.5</v>
      </c>
      <c r="K903">
        <v>4.6399999999999997</v>
      </c>
      <c r="L903">
        <v>1.0311111111111111</v>
      </c>
      <c r="M903">
        <v>1.0311111111111111</v>
      </c>
      <c r="N903" t="s">
        <v>5836</v>
      </c>
      <c r="O903" t="s">
        <v>5839</v>
      </c>
      <c r="P903" t="s">
        <v>2066</v>
      </c>
      <c r="Q903">
        <v>2</v>
      </c>
      <c r="R903">
        <v>2</v>
      </c>
    </row>
    <row r="904" spans="1:18" x14ac:dyDescent="0.3">
      <c r="A904" t="s">
        <v>2061</v>
      </c>
      <c r="B904" t="s">
        <v>2062</v>
      </c>
      <c r="C904" t="s">
        <v>1997</v>
      </c>
      <c r="D904" t="s">
        <v>222</v>
      </c>
      <c r="E904" t="s">
        <v>30</v>
      </c>
      <c r="F904" s="6">
        <v>45838</v>
      </c>
      <c r="G904">
        <v>2025</v>
      </c>
      <c r="H904" t="s">
        <v>44</v>
      </c>
      <c r="I904" t="s">
        <v>244</v>
      </c>
      <c r="J904">
        <v>4.5999999999999996</v>
      </c>
      <c r="K904">
        <v>4.66</v>
      </c>
      <c r="L904">
        <v>1.0130434782608699</v>
      </c>
      <c r="M904">
        <v>1.0130434782608699</v>
      </c>
      <c r="N904" t="s">
        <v>2068</v>
      </c>
      <c r="O904" t="s">
        <v>2069</v>
      </c>
      <c r="P904" t="s">
        <v>2070</v>
      </c>
      <c r="Q904">
        <v>2</v>
      </c>
      <c r="R904">
        <v>2</v>
      </c>
    </row>
    <row r="905" spans="1:18" x14ac:dyDescent="0.3">
      <c r="A905" t="s">
        <v>2061</v>
      </c>
      <c r="B905" t="s">
        <v>2062</v>
      </c>
      <c r="C905" t="s">
        <v>1997</v>
      </c>
      <c r="D905" t="s">
        <v>222</v>
      </c>
      <c r="E905" t="s">
        <v>30</v>
      </c>
      <c r="F905" s="6">
        <v>46022</v>
      </c>
      <c r="G905">
        <v>2025</v>
      </c>
      <c r="H905" t="s">
        <v>57</v>
      </c>
      <c r="I905" t="s">
        <v>103</v>
      </c>
      <c r="J905">
        <v>4.5999999999999996</v>
      </c>
      <c r="K905">
        <v>4.67</v>
      </c>
      <c r="L905">
        <v>1.0152173913043481</v>
      </c>
      <c r="M905">
        <v>1.0152173913043481</v>
      </c>
      <c r="N905" t="s">
        <v>2068</v>
      </c>
      <c r="O905" t="s">
        <v>2072</v>
      </c>
      <c r="P905" t="s">
        <v>2073</v>
      </c>
      <c r="Q905">
        <v>2</v>
      </c>
      <c r="R905">
        <v>2</v>
      </c>
    </row>
    <row r="906" spans="1:18" x14ac:dyDescent="0.3">
      <c r="A906" t="s">
        <v>2074</v>
      </c>
      <c r="B906" t="s">
        <v>2075</v>
      </c>
      <c r="C906" t="s">
        <v>1997</v>
      </c>
      <c r="D906" t="s">
        <v>222</v>
      </c>
      <c r="E906" t="s">
        <v>30</v>
      </c>
      <c r="F906" s="6">
        <v>45107</v>
      </c>
      <c r="G906">
        <v>2023</v>
      </c>
      <c r="H906" t="s">
        <v>44</v>
      </c>
      <c r="I906" t="s">
        <v>33</v>
      </c>
      <c r="K906">
        <v>15047</v>
      </c>
      <c r="L906">
        <v>0</v>
      </c>
      <c r="M906">
        <v>0</v>
      </c>
      <c r="O906" t="s">
        <v>5840</v>
      </c>
      <c r="P906" t="s">
        <v>2076</v>
      </c>
      <c r="Q906">
        <v>2</v>
      </c>
      <c r="R906">
        <v>2</v>
      </c>
    </row>
    <row r="907" spans="1:18" x14ac:dyDescent="0.3">
      <c r="A907" t="s">
        <v>2074</v>
      </c>
      <c r="B907" t="s">
        <v>2075</v>
      </c>
      <c r="C907" t="s">
        <v>1997</v>
      </c>
      <c r="D907" t="s">
        <v>222</v>
      </c>
      <c r="E907" t="s">
        <v>30</v>
      </c>
      <c r="F907" s="6">
        <v>45291</v>
      </c>
      <c r="G907">
        <v>2023</v>
      </c>
      <c r="H907" t="s">
        <v>57</v>
      </c>
      <c r="I907" t="s">
        <v>47</v>
      </c>
      <c r="K907">
        <v>16281</v>
      </c>
      <c r="L907">
        <v>0</v>
      </c>
      <c r="M907">
        <v>0</v>
      </c>
      <c r="O907" t="s">
        <v>5841</v>
      </c>
      <c r="P907" t="s">
        <v>2077</v>
      </c>
      <c r="Q907">
        <v>2</v>
      </c>
      <c r="R907">
        <v>2</v>
      </c>
    </row>
    <row r="908" spans="1:18" x14ac:dyDescent="0.3">
      <c r="A908" t="s">
        <v>2078</v>
      </c>
      <c r="B908" t="s">
        <v>2079</v>
      </c>
      <c r="C908" t="s">
        <v>1997</v>
      </c>
      <c r="D908" t="s">
        <v>222</v>
      </c>
      <c r="E908" t="s">
        <v>30</v>
      </c>
      <c r="F908" s="6">
        <v>45107</v>
      </c>
      <c r="G908">
        <v>2023</v>
      </c>
      <c r="H908" t="s">
        <v>44</v>
      </c>
      <c r="I908" t="s">
        <v>33</v>
      </c>
      <c r="J908">
        <v>100</v>
      </c>
      <c r="K908">
        <v>100</v>
      </c>
      <c r="L908">
        <v>1</v>
      </c>
      <c r="M908">
        <v>1</v>
      </c>
      <c r="N908" t="s">
        <v>102</v>
      </c>
      <c r="O908" t="s">
        <v>102</v>
      </c>
      <c r="P908" t="s">
        <v>2080</v>
      </c>
      <c r="Q908">
        <v>2</v>
      </c>
      <c r="R908">
        <v>2</v>
      </c>
    </row>
    <row r="909" spans="1:18" x14ac:dyDescent="0.3">
      <c r="A909" t="s">
        <v>2078</v>
      </c>
      <c r="B909" t="s">
        <v>2079</v>
      </c>
      <c r="C909" t="s">
        <v>1997</v>
      </c>
      <c r="D909" t="s">
        <v>222</v>
      </c>
      <c r="E909" t="s">
        <v>30</v>
      </c>
      <c r="F909" s="6">
        <v>45291</v>
      </c>
      <c r="G909">
        <v>2023</v>
      </c>
      <c r="H909" t="s">
        <v>57</v>
      </c>
      <c r="I909" t="s">
        <v>47</v>
      </c>
      <c r="J909">
        <v>100</v>
      </c>
      <c r="K909">
        <v>100</v>
      </c>
      <c r="L909">
        <v>1</v>
      </c>
      <c r="M909">
        <v>1</v>
      </c>
      <c r="N909" t="s">
        <v>102</v>
      </c>
      <c r="O909" t="s">
        <v>102</v>
      </c>
      <c r="P909" t="s">
        <v>2081</v>
      </c>
      <c r="Q909">
        <v>2</v>
      </c>
      <c r="R909">
        <v>2</v>
      </c>
    </row>
    <row r="910" spans="1:18" x14ac:dyDescent="0.3">
      <c r="A910" t="s">
        <v>2078</v>
      </c>
      <c r="B910" t="s">
        <v>2079</v>
      </c>
      <c r="C910" t="s">
        <v>1997</v>
      </c>
      <c r="D910" t="s">
        <v>222</v>
      </c>
      <c r="E910" t="s">
        <v>30</v>
      </c>
      <c r="F910" s="6">
        <v>45473</v>
      </c>
      <c r="G910">
        <v>2024</v>
      </c>
      <c r="H910" t="s">
        <v>44</v>
      </c>
      <c r="I910" t="s">
        <v>71</v>
      </c>
      <c r="J910">
        <v>100</v>
      </c>
      <c r="K910">
        <v>100</v>
      </c>
      <c r="L910">
        <v>1</v>
      </c>
      <c r="M910">
        <v>1</v>
      </c>
      <c r="N910" t="s">
        <v>102</v>
      </c>
      <c r="O910" t="s">
        <v>102</v>
      </c>
      <c r="P910" t="s">
        <v>2082</v>
      </c>
      <c r="Q910">
        <v>2</v>
      </c>
      <c r="R910">
        <v>2</v>
      </c>
    </row>
    <row r="911" spans="1:18" x14ac:dyDescent="0.3">
      <c r="A911" t="s">
        <v>2078</v>
      </c>
      <c r="B911" t="s">
        <v>2079</v>
      </c>
      <c r="C911" t="s">
        <v>1997</v>
      </c>
      <c r="D911" t="s">
        <v>222</v>
      </c>
      <c r="E911" t="s">
        <v>30</v>
      </c>
      <c r="F911" s="6">
        <v>45657</v>
      </c>
      <c r="G911">
        <v>2024</v>
      </c>
      <c r="H911" t="s">
        <v>57</v>
      </c>
      <c r="I911" t="s">
        <v>78</v>
      </c>
      <c r="J911">
        <v>100</v>
      </c>
      <c r="K911">
        <v>100</v>
      </c>
      <c r="L911">
        <v>1</v>
      </c>
      <c r="M911">
        <v>1</v>
      </c>
      <c r="N911" t="s">
        <v>102</v>
      </c>
      <c r="O911" t="s">
        <v>102</v>
      </c>
      <c r="P911" t="s">
        <v>2083</v>
      </c>
      <c r="Q911">
        <v>2</v>
      </c>
      <c r="R911">
        <v>2</v>
      </c>
    </row>
    <row r="912" spans="1:18" x14ac:dyDescent="0.3">
      <c r="A912" t="s">
        <v>2078</v>
      </c>
      <c r="B912" t="s">
        <v>2079</v>
      </c>
      <c r="C912" t="s">
        <v>1997</v>
      </c>
      <c r="D912" t="s">
        <v>222</v>
      </c>
      <c r="E912" t="s">
        <v>30</v>
      </c>
      <c r="F912" s="6">
        <v>45838</v>
      </c>
      <c r="G912">
        <v>2025</v>
      </c>
      <c r="H912" t="s">
        <v>44</v>
      </c>
      <c r="I912" t="s">
        <v>244</v>
      </c>
      <c r="J912">
        <v>100</v>
      </c>
      <c r="K912">
        <v>100</v>
      </c>
      <c r="L912">
        <v>1</v>
      </c>
      <c r="M912">
        <v>1</v>
      </c>
      <c r="N912" t="s">
        <v>102</v>
      </c>
      <c r="O912" t="s">
        <v>102</v>
      </c>
      <c r="P912" t="s">
        <v>2084</v>
      </c>
      <c r="Q912">
        <v>2</v>
      </c>
      <c r="R912">
        <v>2</v>
      </c>
    </row>
    <row r="913" spans="1:18" x14ac:dyDescent="0.3">
      <c r="A913" t="s">
        <v>2078</v>
      </c>
      <c r="B913" t="s">
        <v>2079</v>
      </c>
      <c r="C913" t="s">
        <v>1997</v>
      </c>
      <c r="D913" t="s">
        <v>222</v>
      </c>
      <c r="E913" t="s">
        <v>30</v>
      </c>
      <c r="F913" s="6">
        <v>46022</v>
      </c>
      <c r="G913">
        <v>2025</v>
      </c>
      <c r="H913" t="s">
        <v>57</v>
      </c>
      <c r="I913" t="s">
        <v>103</v>
      </c>
      <c r="J913">
        <v>100</v>
      </c>
      <c r="K913">
        <v>100</v>
      </c>
      <c r="L913">
        <v>1</v>
      </c>
      <c r="M913">
        <v>1</v>
      </c>
      <c r="N913" t="s">
        <v>102</v>
      </c>
      <c r="O913" t="s">
        <v>102</v>
      </c>
      <c r="P913" t="s">
        <v>2085</v>
      </c>
      <c r="Q913">
        <v>2</v>
      </c>
      <c r="R913">
        <v>2</v>
      </c>
    </row>
    <row r="914" spans="1:18" x14ac:dyDescent="0.3">
      <c r="A914" t="s">
        <v>2086</v>
      </c>
      <c r="B914" t="s">
        <v>2087</v>
      </c>
      <c r="C914" t="s">
        <v>1997</v>
      </c>
      <c r="D914" t="s">
        <v>222</v>
      </c>
      <c r="E914" t="s">
        <v>30</v>
      </c>
      <c r="F914" s="6">
        <v>45107</v>
      </c>
      <c r="G914">
        <v>2023</v>
      </c>
      <c r="H914" t="s">
        <v>44</v>
      </c>
      <c r="I914" t="s">
        <v>33</v>
      </c>
      <c r="K914">
        <v>1015</v>
      </c>
      <c r="L914">
        <v>0</v>
      </c>
      <c r="M914">
        <v>0</v>
      </c>
      <c r="O914" t="s">
        <v>5823</v>
      </c>
      <c r="P914" t="s">
        <v>2088</v>
      </c>
      <c r="Q914">
        <v>2</v>
      </c>
      <c r="R914">
        <v>2</v>
      </c>
    </row>
    <row r="915" spans="1:18" x14ac:dyDescent="0.3">
      <c r="A915" t="s">
        <v>2086</v>
      </c>
      <c r="B915" t="s">
        <v>2087</v>
      </c>
      <c r="C915" t="s">
        <v>1997</v>
      </c>
      <c r="D915" t="s">
        <v>222</v>
      </c>
      <c r="E915" t="s">
        <v>30</v>
      </c>
      <c r="F915" s="6">
        <v>45291</v>
      </c>
      <c r="G915">
        <v>2023</v>
      </c>
      <c r="H915" t="s">
        <v>57</v>
      </c>
      <c r="I915" t="s">
        <v>47</v>
      </c>
      <c r="K915">
        <v>1017</v>
      </c>
      <c r="L915">
        <v>0</v>
      </c>
      <c r="M915">
        <v>0</v>
      </c>
      <c r="O915" t="s">
        <v>5824</v>
      </c>
      <c r="P915" t="s">
        <v>2089</v>
      </c>
      <c r="Q915">
        <v>2</v>
      </c>
      <c r="R915">
        <v>2</v>
      </c>
    </row>
    <row r="916" spans="1:18" x14ac:dyDescent="0.3">
      <c r="A916" t="s">
        <v>2086</v>
      </c>
      <c r="B916" t="s">
        <v>2087</v>
      </c>
      <c r="C916" t="s">
        <v>1997</v>
      </c>
      <c r="D916" t="s">
        <v>222</v>
      </c>
      <c r="E916" t="s">
        <v>30</v>
      </c>
      <c r="F916" s="6">
        <v>45473</v>
      </c>
      <c r="G916">
        <v>2024</v>
      </c>
      <c r="H916" t="s">
        <v>44</v>
      </c>
      <c r="I916" t="s">
        <v>71</v>
      </c>
      <c r="J916">
        <v>0</v>
      </c>
      <c r="K916">
        <v>1074</v>
      </c>
      <c r="L916">
        <v>0</v>
      </c>
      <c r="M916">
        <v>0</v>
      </c>
      <c r="N916" t="s">
        <v>122</v>
      </c>
      <c r="O916" t="s">
        <v>5825</v>
      </c>
      <c r="P916" t="s">
        <v>2090</v>
      </c>
      <c r="Q916">
        <v>2</v>
      </c>
      <c r="R916">
        <v>2</v>
      </c>
    </row>
    <row r="917" spans="1:18" x14ac:dyDescent="0.3">
      <c r="A917" t="s">
        <v>2086</v>
      </c>
      <c r="B917" t="s">
        <v>2087</v>
      </c>
      <c r="C917" t="s">
        <v>1997</v>
      </c>
      <c r="D917" t="s">
        <v>222</v>
      </c>
      <c r="E917" t="s">
        <v>30</v>
      </c>
      <c r="F917" s="6">
        <v>45657</v>
      </c>
      <c r="G917">
        <v>2024</v>
      </c>
      <c r="H917" t="s">
        <v>57</v>
      </c>
      <c r="I917" t="s">
        <v>78</v>
      </c>
      <c r="J917">
        <v>0</v>
      </c>
      <c r="K917">
        <v>1013</v>
      </c>
      <c r="L917">
        <v>0</v>
      </c>
      <c r="M917">
        <v>0</v>
      </c>
      <c r="N917" t="s">
        <v>122</v>
      </c>
      <c r="O917" t="s">
        <v>5826</v>
      </c>
      <c r="P917" t="s">
        <v>2091</v>
      </c>
      <c r="Q917">
        <v>2</v>
      </c>
      <c r="R917">
        <v>2</v>
      </c>
    </row>
    <row r="918" spans="1:18" x14ac:dyDescent="0.3">
      <c r="A918" t="s">
        <v>2086</v>
      </c>
      <c r="B918" t="s">
        <v>2092</v>
      </c>
      <c r="C918" t="s">
        <v>1997</v>
      </c>
      <c r="D918" t="s">
        <v>222</v>
      </c>
      <c r="E918" t="s">
        <v>30</v>
      </c>
      <c r="F918" s="6">
        <v>45838</v>
      </c>
      <c r="G918">
        <v>2025</v>
      </c>
      <c r="H918" t="s">
        <v>44</v>
      </c>
      <c r="I918" t="s">
        <v>244</v>
      </c>
      <c r="K918">
        <v>1099</v>
      </c>
      <c r="L918">
        <v>0</v>
      </c>
      <c r="M918">
        <v>0</v>
      </c>
      <c r="O918" t="s">
        <v>2032</v>
      </c>
      <c r="P918" t="s">
        <v>2093</v>
      </c>
      <c r="Q918">
        <v>2</v>
      </c>
      <c r="R918">
        <v>2</v>
      </c>
    </row>
    <row r="919" spans="1:18" x14ac:dyDescent="0.3">
      <c r="A919" t="s">
        <v>2086</v>
      </c>
      <c r="B919" t="s">
        <v>2092</v>
      </c>
      <c r="C919" t="s">
        <v>1997</v>
      </c>
      <c r="D919" t="s">
        <v>222</v>
      </c>
      <c r="E919" t="s">
        <v>30</v>
      </c>
      <c r="F919" s="6">
        <v>46022</v>
      </c>
      <c r="G919">
        <v>2025</v>
      </c>
      <c r="H919" t="s">
        <v>57</v>
      </c>
      <c r="I919" t="s">
        <v>103</v>
      </c>
      <c r="K919">
        <v>1071</v>
      </c>
      <c r="L919">
        <v>0</v>
      </c>
      <c r="M919">
        <v>0</v>
      </c>
      <c r="O919" t="s">
        <v>2035</v>
      </c>
      <c r="P919" t="s">
        <v>2094</v>
      </c>
      <c r="Q919">
        <v>2</v>
      </c>
      <c r="R919">
        <v>2</v>
      </c>
    </row>
    <row r="920" spans="1:18" x14ac:dyDescent="0.3">
      <c r="A920" t="s">
        <v>2095</v>
      </c>
      <c r="B920" t="s">
        <v>2096</v>
      </c>
      <c r="C920" t="s">
        <v>1997</v>
      </c>
      <c r="D920" t="s">
        <v>222</v>
      </c>
      <c r="E920" t="s">
        <v>30</v>
      </c>
      <c r="F920" s="6">
        <v>45107</v>
      </c>
      <c r="G920">
        <v>2023</v>
      </c>
      <c r="H920" t="s">
        <v>44</v>
      </c>
      <c r="I920" t="s">
        <v>33</v>
      </c>
      <c r="J920">
        <v>16</v>
      </c>
      <c r="K920">
        <v>18</v>
      </c>
      <c r="L920">
        <v>1.125</v>
      </c>
      <c r="M920">
        <v>1.125</v>
      </c>
      <c r="N920" t="s">
        <v>809</v>
      </c>
      <c r="O920" t="s">
        <v>1475</v>
      </c>
      <c r="P920" t="s">
        <v>2097</v>
      </c>
      <c r="Q920">
        <v>2</v>
      </c>
      <c r="R920">
        <v>2</v>
      </c>
    </row>
    <row r="921" spans="1:18" x14ac:dyDescent="0.3">
      <c r="A921" t="s">
        <v>2095</v>
      </c>
      <c r="B921" t="s">
        <v>2096</v>
      </c>
      <c r="C921" t="s">
        <v>1997</v>
      </c>
      <c r="D921" t="s">
        <v>222</v>
      </c>
      <c r="E921" t="s">
        <v>30</v>
      </c>
      <c r="F921" s="6">
        <v>45291</v>
      </c>
      <c r="G921">
        <v>2023</v>
      </c>
      <c r="H921" t="s">
        <v>57</v>
      </c>
      <c r="I921" t="s">
        <v>47</v>
      </c>
      <c r="J921">
        <v>16</v>
      </c>
      <c r="K921">
        <v>18</v>
      </c>
      <c r="L921">
        <v>1.125</v>
      </c>
      <c r="M921">
        <v>1.125</v>
      </c>
      <c r="N921" t="s">
        <v>809</v>
      </c>
      <c r="O921" t="s">
        <v>1475</v>
      </c>
      <c r="P921" t="s">
        <v>2098</v>
      </c>
      <c r="Q921">
        <v>2</v>
      </c>
      <c r="R921">
        <v>2</v>
      </c>
    </row>
    <row r="922" spans="1:18" x14ac:dyDescent="0.3">
      <c r="A922" t="s">
        <v>2095</v>
      </c>
      <c r="B922" t="s">
        <v>2096</v>
      </c>
      <c r="C922" t="s">
        <v>1997</v>
      </c>
      <c r="D922" t="s">
        <v>222</v>
      </c>
      <c r="E922" t="s">
        <v>30</v>
      </c>
      <c r="F922" s="6">
        <v>45473</v>
      </c>
      <c r="G922">
        <v>2024</v>
      </c>
      <c r="H922" t="s">
        <v>44</v>
      </c>
      <c r="I922" t="s">
        <v>71</v>
      </c>
      <c r="J922">
        <v>85</v>
      </c>
      <c r="K922">
        <v>173.33</v>
      </c>
      <c r="L922">
        <v>1.3</v>
      </c>
      <c r="M922">
        <v>2.0391764705882349</v>
      </c>
      <c r="N922" t="s">
        <v>2357</v>
      </c>
      <c r="O922" t="s">
        <v>5842</v>
      </c>
      <c r="P922" t="s">
        <v>2099</v>
      </c>
      <c r="Q922">
        <v>2</v>
      </c>
      <c r="R922">
        <v>2</v>
      </c>
    </row>
    <row r="923" spans="1:18" x14ac:dyDescent="0.3">
      <c r="A923" t="s">
        <v>2095</v>
      </c>
      <c r="B923" t="s">
        <v>2096</v>
      </c>
      <c r="C923" t="s">
        <v>1997</v>
      </c>
      <c r="D923" t="s">
        <v>222</v>
      </c>
      <c r="E923" t="s">
        <v>30</v>
      </c>
      <c r="F923" s="6">
        <v>45657</v>
      </c>
      <c r="G923">
        <v>2024</v>
      </c>
      <c r="H923" t="s">
        <v>57</v>
      </c>
      <c r="I923" t="s">
        <v>78</v>
      </c>
      <c r="J923">
        <v>85</v>
      </c>
      <c r="L923">
        <v>0</v>
      </c>
      <c r="M923">
        <v>0</v>
      </c>
      <c r="N923" t="s">
        <v>2357</v>
      </c>
      <c r="P923" t="s">
        <v>2100</v>
      </c>
      <c r="Q923">
        <v>2</v>
      </c>
      <c r="R923">
        <v>2</v>
      </c>
    </row>
    <row r="924" spans="1:18" x14ac:dyDescent="0.3">
      <c r="A924" t="s">
        <v>2095</v>
      </c>
      <c r="B924" t="s">
        <v>2096</v>
      </c>
      <c r="C924" t="s">
        <v>1997</v>
      </c>
      <c r="D924" t="s">
        <v>98</v>
      </c>
      <c r="E924" t="s">
        <v>30</v>
      </c>
      <c r="F924" s="6">
        <v>45838</v>
      </c>
      <c r="G924">
        <v>2025</v>
      </c>
      <c r="H924" t="s">
        <v>44</v>
      </c>
      <c r="I924" t="s">
        <v>244</v>
      </c>
      <c r="J924">
        <v>100</v>
      </c>
      <c r="K924">
        <v>100</v>
      </c>
      <c r="L924">
        <v>1</v>
      </c>
      <c r="M924">
        <v>1</v>
      </c>
      <c r="N924" t="s">
        <v>102</v>
      </c>
      <c r="O924" t="s">
        <v>102</v>
      </c>
      <c r="P924" t="s">
        <v>2101</v>
      </c>
      <c r="Q924">
        <v>2</v>
      </c>
      <c r="R924">
        <v>2</v>
      </c>
    </row>
    <row r="925" spans="1:18" x14ac:dyDescent="0.3">
      <c r="A925" t="s">
        <v>2102</v>
      </c>
      <c r="B925" t="s">
        <v>2103</v>
      </c>
      <c r="C925" t="s">
        <v>309</v>
      </c>
      <c r="D925" t="s">
        <v>233</v>
      </c>
      <c r="E925" t="s">
        <v>30</v>
      </c>
      <c r="F925" s="6">
        <v>45107</v>
      </c>
      <c r="G925">
        <v>2023</v>
      </c>
      <c r="H925" t="s">
        <v>44</v>
      </c>
      <c r="I925" t="s">
        <v>33</v>
      </c>
      <c r="J925">
        <v>95</v>
      </c>
      <c r="K925">
        <v>85.714285714286007</v>
      </c>
      <c r="L925">
        <v>0.90225563909774742</v>
      </c>
      <c r="M925">
        <v>0.90225563909774742</v>
      </c>
      <c r="N925" t="s">
        <v>838</v>
      </c>
      <c r="O925" t="s">
        <v>4254</v>
      </c>
      <c r="P925" t="s">
        <v>2105</v>
      </c>
      <c r="Q925">
        <v>2</v>
      </c>
      <c r="R925">
        <v>2</v>
      </c>
    </row>
    <row r="926" spans="1:18" x14ac:dyDescent="0.3">
      <c r="A926" t="s">
        <v>2102</v>
      </c>
      <c r="B926" t="s">
        <v>2103</v>
      </c>
      <c r="C926" t="s">
        <v>309</v>
      </c>
      <c r="D926" t="s">
        <v>233</v>
      </c>
      <c r="E926" t="s">
        <v>30</v>
      </c>
      <c r="F926" s="6">
        <v>45291</v>
      </c>
      <c r="G926">
        <v>2023</v>
      </c>
      <c r="H926" t="s">
        <v>57</v>
      </c>
      <c r="I926" t="s">
        <v>47</v>
      </c>
      <c r="J926">
        <v>95</v>
      </c>
      <c r="K926">
        <v>87.5</v>
      </c>
      <c r="L926">
        <v>0.92105263157894735</v>
      </c>
      <c r="M926">
        <v>0.92105263157894735</v>
      </c>
      <c r="N926" t="s">
        <v>838</v>
      </c>
      <c r="O926" t="s">
        <v>4496</v>
      </c>
      <c r="P926" t="s">
        <v>2107</v>
      </c>
      <c r="Q926">
        <v>2</v>
      </c>
      <c r="R926">
        <v>2</v>
      </c>
    </row>
    <row r="927" spans="1:18" x14ac:dyDescent="0.3">
      <c r="A927" t="s">
        <v>2102</v>
      </c>
      <c r="B927" t="s">
        <v>2103</v>
      </c>
      <c r="C927" t="s">
        <v>309</v>
      </c>
      <c r="D927" t="s">
        <v>233</v>
      </c>
      <c r="E927" t="s">
        <v>30</v>
      </c>
      <c r="F927" s="6">
        <v>45473</v>
      </c>
      <c r="G927">
        <v>2024</v>
      </c>
      <c r="H927" t="s">
        <v>44</v>
      </c>
      <c r="I927" t="s">
        <v>71</v>
      </c>
      <c r="J927">
        <v>95</v>
      </c>
      <c r="K927">
        <v>100</v>
      </c>
      <c r="L927">
        <v>1.0526315789473679</v>
      </c>
      <c r="M927">
        <v>1.0526315789473679</v>
      </c>
      <c r="N927" t="s">
        <v>838</v>
      </c>
      <c r="O927" t="s">
        <v>102</v>
      </c>
      <c r="P927" t="s">
        <v>2109</v>
      </c>
      <c r="Q927">
        <v>2</v>
      </c>
      <c r="R927">
        <v>2</v>
      </c>
    </row>
    <row r="928" spans="1:18" x14ac:dyDescent="0.3">
      <c r="A928" t="s">
        <v>2102</v>
      </c>
      <c r="B928" t="s">
        <v>2103</v>
      </c>
      <c r="C928" t="s">
        <v>309</v>
      </c>
      <c r="D928" t="s">
        <v>233</v>
      </c>
      <c r="E928" t="s">
        <v>30</v>
      </c>
      <c r="F928" s="6">
        <v>45657</v>
      </c>
      <c r="G928">
        <v>2024</v>
      </c>
      <c r="H928" t="s">
        <v>57</v>
      </c>
      <c r="I928" t="s">
        <v>78</v>
      </c>
      <c r="J928">
        <v>95</v>
      </c>
      <c r="K928">
        <v>90</v>
      </c>
      <c r="L928">
        <v>0.94736842105263153</v>
      </c>
      <c r="M928">
        <v>0.94736842105263153</v>
      </c>
      <c r="N928" t="s">
        <v>838</v>
      </c>
      <c r="O928" t="s">
        <v>256</v>
      </c>
      <c r="P928" t="s">
        <v>2111</v>
      </c>
      <c r="Q928">
        <v>2</v>
      </c>
      <c r="R928">
        <v>2</v>
      </c>
    </row>
    <row r="929" spans="1:18" x14ac:dyDescent="0.3">
      <c r="A929" t="s">
        <v>2112</v>
      </c>
      <c r="B929" t="s">
        <v>2113</v>
      </c>
      <c r="C929" t="s">
        <v>2114</v>
      </c>
      <c r="D929" t="s">
        <v>284</v>
      </c>
      <c r="E929" t="s">
        <v>30</v>
      </c>
      <c r="F929" s="6">
        <v>45107</v>
      </c>
      <c r="G929">
        <v>2023</v>
      </c>
      <c r="H929" t="s">
        <v>44</v>
      </c>
      <c r="I929" t="s">
        <v>33</v>
      </c>
      <c r="J929">
        <v>90</v>
      </c>
      <c r="K929">
        <v>100</v>
      </c>
      <c r="L929">
        <v>1.1111111111111109</v>
      </c>
      <c r="M929">
        <v>1.1111111111111109</v>
      </c>
      <c r="N929" t="s">
        <v>256</v>
      </c>
      <c r="O929" t="s">
        <v>102</v>
      </c>
      <c r="P929" t="s">
        <v>2115</v>
      </c>
      <c r="Q929">
        <v>2</v>
      </c>
      <c r="R929">
        <v>2</v>
      </c>
    </row>
    <row r="930" spans="1:18" x14ac:dyDescent="0.3">
      <c r="A930" t="s">
        <v>2112</v>
      </c>
      <c r="B930" t="s">
        <v>2113</v>
      </c>
      <c r="C930" t="s">
        <v>2114</v>
      </c>
      <c r="D930" t="s">
        <v>284</v>
      </c>
      <c r="E930" t="s">
        <v>30</v>
      </c>
      <c r="F930" s="6">
        <v>45291</v>
      </c>
      <c r="G930">
        <v>2023</v>
      </c>
      <c r="H930" t="s">
        <v>57</v>
      </c>
      <c r="I930" t="s">
        <v>47</v>
      </c>
      <c r="J930">
        <v>270</v>
      </c>
      <c r="K930">
        <v>252.73</v>
      </c>
      <c r="L930">
        <v>0.936037037037037</v>
      </c>
      <c r="M930">
        <v>0.936037037037037</v>
      </c>
      <c r="N930" t="s">
        <v>5843</v>
      </c>
      <c r="O930" t="s">
        <v>5844</v>
      </c>
      <c r="P930" t="s">
        <v>2118</v>
      </c>
      <c r="Q930">
        <v>2</v>
      </c>
      <c r="R930">
        <v>2</v>
      </c>
    </row>
    <row r="931" spans="1:18" x14ac:dyDescent="0.3">
      <c r="A931" t="s">
        <v>2112</v>
      </c>
      <c r="B931" t="s">
        <v>2113</v>
      </c>
      <c r="C931" t="s">
        <v>2114</v>
      </c>
      <c r="D931" t="s">
        <v>284</v>
      </c>
      <c r="E931" t="s">
        <v>30</v>
      </c>
      <c r="F931" s="6">
        <v>45473</v>
      </c>
      <c r="G931">
        <v>2024</v>
      </c>
      <c r="H931" t="s">
        <v>44</v>
      </c>
      <c r="I931" t="s">
        <v>71</v>
      </c>
      <c r="J931">
        <v>270</v>
      </c>
      <c r="K931">
        <v>291.66666666666703</v>
      </c>
      <c r="L931">
        <v>1.0802469135802479</v>
      </c>
      <c r="M931">
        <v>1.0802469135802479</v>
      </c>
      <c r="N931" t="s">
        <v>5843</v>
      </c>
      <c r="O931" t="s">
        <v>5845</v>
      </c>
      <c r="P931" t="s">
        <v>2121</v>
      </c>
      <c r="Q931">
        <v>2</v>
      </c>
      <c r="R931">
        <v>2</v>
      </c>
    </row>
    <row r="932" spans="1:18" x14ac:dyDescent="0.3">
      <c r="A932" t="s">
        <v>2112</v>
      </c>
      <c r="B932" t="s">
        <v>2113</v>
      </c>
      <c r="C932" t="s">
        <v>2114</v>
      </c>
      <c r="D932" t="s">
        <v>284</v>
      </c>
      <c r="E932" t="s">
        <v>30</v>
      </c>
      <c r="F932" s="6">
        <v>45657</v>
      </c>
      <c r="G932">
        <v>2024</v>
      </c>
      <c r="H932" t="s">
        <v>57</v>
      </c>
      <c r="I932" t="s">
        <v>78</v>
      </c>
      <c r="J932">
        <v>270</v>
      </c>
      <c r="K932">
        <v>300</v>
      </c>
      <c r="L932">
        <v>1.1111111111111109</v>
      </c>
      <c r="M932">
        <v>1.1111111111111109</v>
      </c>
      <c r="N932" t="s">
        <v>5843</v>
      </c>
      <c r="O932" t="s">
        <v>5846</v>
      </c>
      <c r="P932" t="s">
        <v>2124</v>
      </c>
      <c r="Q932">
        <v>2</v>
      </c>
      <c r="R932">
        <v>2</v>
      </c>
    </row>
    <row r="933" spans="1:18" x14ac:dyDescent="0.3">
      <c r="A933" t="s">
        <v>2112</v>
      </c>
      <c r="B933" t="s">
        <v>2113</v>
      </c>
      <c r="C933" t="s">
        <v>2114</v>
      </c>
      <c r="D933" t="s">
        <v>284</v>
      </c>
      <c r="E933" t="s">
        <v>30</v>
      </c>
      <c r="F933" s="6">
        <v>45838</v>
      </c>
      <c r="G933">
        <v>2025</v>
      </c>
      <c r="H933" t="s">
        <v>44</v>
      </c>
      <c r="I933" t="s">
        <v>244</v>
      </c>
      <c r="J933">
        <v>270</v>
      </c>
      <c r="K933">
        <v>280</v>
      </c>
      <c r="L933">
        <v>1.037037037037037</v>
      </c>
      <c r="M933">
        <v>1.037037037037037</v>
      </c>
      <c r="N933" t="s">
        <v>5843</v>
      </c>
      <c r="O933" t="s">
        <v>5847</v>
      </c>
      <c r="P933" t="s">
        <v>2127</v>
      </c>
      <c r="Q933">
        <v>2</v>
      </c>
      <c r="R933">
        <v>2</v>
      </c>
    </row>
    <row r="934" spans="1:18" x14ac:dyDescent="0.3">
      <c r="A934" t="s">
        <v>2112</v>
      </c>
      <c r="B934" t="s">
        <v>2113</v>
      </c>
      <c r="C934" t="s">
        <v>2114</v>
      </c>
      <c r="D934" t="s">
        <v>284</v>
      </c>
      <c r="E934" t="s">
        <v>30</v>
      </c>
      <c r="F934" s="6">
        <v>46022</v>
      </c>
      <c r="G934">
        <v>2025</v>
      </c>
      <c r="H934" t="s">
        <v>57</v>
      </c>
      <c r="I934" t="s">
        <v>103</v>
      </c>
      <c r="J934">
        <v>270</v>
      </c>
      <c r="K934">
        <v>188.89</v>
      </c>
      <c r="L934">
        <v>0.69959259259259254</v>
      </c>
      <c r="M934">
        <v>0.69959259259259254</v>
      </c>
      <c r="N934" t="s">
        <v>5843</v>
      </c>
      <c r="O934" t="s">
        <v>5848</v>
      </c>
      <c r="P934" t="s">
        <v>2130</v>
      </c>
      <c r="Q934">
        <v>2</v>
      </c>
      <c r="R934">
        <v>2</v>
      </c>
    </row>
    <row r="935" spans="1:18" x14ac:dyDescent="0.3">
      <c r="A935" t="s">
        <v>2131</v>
      </c>
      <c r="B935" t="s">
        <v>2132</v>
      </c>
      <c r="C935" t="s">
        <v>2133</v>
      </c>
      <c r="D935" t="s">
        <v>222</v>
      </c>
      <c r="E935" t="s">
        <v>30</v>
      </c>
      <c r="F935" s="6">
        <v>45107</v>
      </c>
      <c r="G935">
        <v>2023</v>
      </c>
      <c r="H935" t="s">
        <v>44</v>
      </c>
      <c r="I935" t="s">
        <v>33</v>
      </c>
      <c r="J935">
        <v>100</v>
      </c>
      <c r="K935">
        <v>100</v>
      </c>
      <c r="L935">
        <v>1</v>
      </c>
      <c r="M935">
        <v>1</v>
      </c>
      <c r="N935" t="s">
        <v>102</v>
      </c>
      <c r="O935" t="s">
        <v>102</v>
      </c>
      <c r="P935" t="s">
        <v>2134</v>
      </c>
      <c r="Q935">
        <v>2</v>
      </c>
      <c r="R935">
        <v>2</v>
      </c>
    </row>
    <row r="936" spans="1:18" x14ac:dyDescent="0.3">
      <c r="A936" t="s">
        <v>2131</v>
      </c>
      <c r="B936" t="s">
        <v>2132</v>
      </c>
      <c r="C936" t="s">
        <v>2133</v>
      </c>
      <c r="D936" t="s">
        <v>222</v>
      </c>
      <c r="E936" t="s">
        <v>30</v>
      </c>
      <c r="F936" s="6">
        <v>45291</v>
      </c>
      <c r="G936">
        <v>2023</v>
      </c>
      <c r="H936" t="s">
        <v>57</v>
      </c>
      <c r="I936" t="s">
        <v>47</v>
      </c>
      <c r="J936">
        <v>100</v>
      </c>
      <c r="K936">
        <v>100</v>
      </c>
      <c r="L936">
        <v>1</v>
      </c>
      <c r="M936">
        <v>1</v>
      </c>
      <c r="N936" t="s">
        <v>102</v>
      </c>
      <c r="O936" t="s">
        <v>102</v>
      </c>
      <c r="P936" t="s">
        <v>2135</v>
      </c>
      <c r="Q936">
        <v>2</v>
      </c>
      <c r="R936">
        <v>2</v>
      </c>
    </row>
    <row r="937" spans="1:18" x14ac:dyDescent="0.3">
      <c r="A937" t="s">
        <v>2131</v>
      </c>
      <c r="B937" t="s">
        <v>2132</v>
      </c>
      <c r="C937" t="s">
        <v>2133</v>
      </c>
      <c r="D937" t="s">
        <v>222</v>
      </c>
      <c r="E937" t="s">
        <v>30</v>
      </c>
      <c r="F937" s="6">
        <v>45473</v>
      </c>
      <c r="G937">
        <v>2024</v>
      </c>
      <c r="H937" t="s">
        <v>44</v>
      </c>
      <c r="I937" t="s">
        <v>71</v>
      </c>
      <c r="J937">
        <v>100</v>
      </c>
      <c r="K937">
        <v>100</v>
      </c>
      <c r="L937">
        <v>1</v>
      </c>
      <c r="M937">
        <v>1</v>
      </c>
      <c r="N937" t="s">
        <v>102</v>
      </c>
      <c r="O937" t="s">
        <v>102</v>
      </c>
      <c r="P937" t="s">
        <v>2136</v>
      </c>
      <c r="Q937">
        <v>2</v>
      </c>
      <c r="R937">
        <v>2</v>
      </c>
    </row>
    <row r="938" spans="1:18" x14ac:dyDescent="0.3">
      <c r="A938" t="s">
        <v>2131</v>
      </c>
      <c r="B938" t="s">
        <v>2132</v>
      </c>
      <c r="C938" t="s">
        <v>2133</v>
      </c>
      <c r="D938" t="s">
        <v>222</v>
      </c>
      <c r="E938" t="s">
        <v>30</v>
      </c>
      <c r="F938" s="6">
        <v>45657</v>
      </c>
      <c r="G938">
        <v>2024</v>
      </c>
      <c r="H938" t="s">
        <v>57</v>
      </c>
      <c r="I938" t="s">
        <v>78</v>
      </c>
      <c r="J938">
        <v>100</v>
      </c>
      <c r="K938">
        <v>100</v>
      </c>
      <c r="L938">
        <v>1</v>
      </c>
      <c r="M938">
        <v>1</v>
      </c>
      <c r="N938" t="s">
        <v>102</v>
      </c>
      <c r="O938" t="s">
        <v>102</v>
      </c>
      <c r="P938" t="s">
        <v>2137</v>
      </c>
      <c r="Q938">
        <v>2</v>
      </c>
      <c r="R938">
        <v>2</v>
      </c>
    </row>
    <row r="939" spans="1:18" x14ac:dyDescent="0.3">
      <c r="A939" t="s">
        <v>2138</v>
      </c>
      <c r="B939" t="s">
        <v>2139</v>
      </c>
      <c r="C939" t="s">
        <v>2133</v>
      </c>
      <c r="D939" t="s">
        <v>222</v>
      </c>
      <c r="E939" t="s">
        <v>30</v>
      </c>
      <c r="F939" s="6">
        <v>45107</v>
      </c>
      <c r="G939">
        <v>2023</v>
      </c>
      <c r="H939" t="s">
        <v>44</v>
      </c>
      <c r="I939" t="s">
        <v>33</v>
      </c>
      <c r="J939">
        <v>3</v>
      </c>
      <c r="K939">
        <v>10.990099009901</v>
      </c>
      <c r="L939">
        <v>1.3</v>
      </c>
      <c r="M939">
        <v>3.6633663366336671</v>
      </c>
      <c r="N939" t="s">
        <v>1849</v>
      </c>
      <c r="O939" t="s">
        <v>5849</v>
      </c>
      <c r="P939" t="s">
        <v>2140</v>
      </c>
      <c r="Q939">
        <v>2</v>
      </c>
      <c r="R939">
        <v>2</v>
      </c>
    </row>
    <row r="940" spans="1:18" x14ac:dyDescent="0.3">
      <c r="A940" t="s">
        <v>2138</v>
      </c>
      <c r="B940" t="s">
        <v>2139</v>
      </c>
      <c r="C940" t="s">
        <v>2133</v>
      </c>
      <c r="D940" t="s">
        <v>222</v>
      </c>
      <c r="E940" t="s">
        <v>30</v>
      </c>
      <c r="F940" s="6">
        <v>45291</v>
      </c>
      <c r="G940">
        <v>2023</v>
      </c>
      <c r="H940" t="s">
        <v>57</v>
      </c>
      <c r="I940" t="s">
        <v>47</v>
      </c>
      <c r="J940">
        <v>3</v>
      </c>
      <c r="K940">
        <v>27.66</v>
      </c>
      <c r="L940">
        <v>1.3</v>
      </c>
      <c r="M940">
        <v>9.2200000000000006</v>
      </c>
      <c r="N940" t="s">
        <v>1849</v>
      </c>
      <c r="O940" t="s">
        <v>5850</v>
      </c>
      <c r="P940" t="s">
        <v>2141</v>
      </c>
      <c r="Q940">
        <v>2</v>
      </c>
      <c r="R940">
        <v>2</v>
      </c>
    </row>
    <row r="941" spans="1:18" x14ac:dyDescent="0.3">
      <c r="A941" t="s">
        <v>2138</v>
      </c>
      <c r="B941" t="s">
        <v>2139</v>
      </c>
      <c r="C941" t="s">
        <v>2133</v>
      </c>
      <c r="D941" t="s">
        <v>222</v>
      </c>
      <c r="E941" t="s">
        <v>30</v>
      </c>
      <c r="F941" s="6">
        <v>45473</v>
      </c>
      <c r="G941">
        <v>2024</v>
      </c>
      <c r="H941" t="s">
        <v>44</v>
      </c>
      <c r="I941" t="s">
        <v>71</v>
      </c>
      <c r="J941">
        <v>3</v>
      </c>
      <c r="K941">
        <v>23.313905079100699</v>
      </c>
      <c r="L941">
        <v>1.3</v>
      </c>
      <c r="M941">
        <v>7.7713016930335668</v>
      </c>
      <c r="N941" t="s">
        <v>1849</v>
      </c>
      <c r="O941" t="s">
        <v>5851</v>
      </c>
      <c r="P941" t="s">
        <v>2142</v>
      </c>
      <c r="Q941">
        <v>2</v>
      </c>
      <c r="R941">
        <v>2</v>
      </c>
    </row>
    <row r="942" spans="1:18" x14ac:dyDescent="0.3">
      <c r="A942" t="s">
        <v>2138</v>
      </c>
      <c r="B942" t="s">
        <v>2139</v>
      </c>
      <c r="C942" t="s">
        <v>2133</v>
      </c>
      <c r="D942" t="s">
        <v>222</v>
      </c>
      <c r="E942" t="s">
        <v>30</v>
      </c>
      <c r="F942" s="6">
        <v>45657</v>
      </c>
      <c r="G942">
        <v>2024</v>
      </c>
      <c r="H942" t="s">
        <v>57</v>
      </c>
      <c r="I942" t="s">
        <v>78</v>
      </c>
      <c r="J942">
        <v>3</v>
      </c>
      <c r="K942">
        <v>14.263862332695901</v>
      </c>
      <c r="L942">
        <v>1.3</v>
      </c>
      <c r="M942">
        <v>4.7546207775653002</v>
      </c>
      <c r="N942" t="s">
        <v>1849</v>
      </c>
      <c r="O942" t="s">
        <v>5852</v>
      </c>
      <c r="P942" t="s">
        <v>2143</v>
      </c>
      <c r="Q942">
        <v>2</v>
      </c>
      <c r="R942">
        <v>2</v>
      </c>
    </row>
    <row r="943" spans="1:18" x14ac:dyDescent="0.3">
      <c r="A943" t="s">
        <v>2138</v>
      </c>
      <c r="B943" t="s">
        <v>2139</v>
      </c>
      <c r="C943" t="s">
        <v>2133</v>
      </c>
      <c r="D943" t="s">
        <v>222</v>
      </c>
      <c r="E943" t="s">
        <v>30</v>
      </c>
      <c r="F943" s="6">
        <v>45838</v>
      </c>
      <c r="G943">
        <v>2025</v>
      </c>
      <c r="H943" t="s">
        <v>44</v>
      </c>
      <c r="I943" t="s">
        <v>244</v>
      </c>
      <c r="J943">
        <v>8</v>
      </c>
      <c r="K943">
        <v>9.7899999999999991</v>
      </c>
      <c r="L943">
        <v>1.2237499999999999</v>
      </c>
      <c r="M943">
        <v>1.2237499999999999</v>
      </c>
      <c r="N943" t="s">
        <v>2145</v>
      </c>
      <c r="O943" t="s">
        <v>2146</v>
      </c>
      <c r="P943" t="s">
        <v>2147</v>
      </c>
      <c r="Q943">
        <v>2</v>
      </c>
      <c r="R943">
        <v>2</v>
      </c>
    </row>
    <row r="944" spans="1:18" x14ac:dyDescent="0.3">
      <c r="A944" t="s">
        <v>2138</v>
      </c>
      <c r="B944" t="s">
        <v>2139</v>
      </c>
      <c r="C944" t="s">
        <v>2133</v>
      </c>
      <c r="D944" t="s">
        <v>222</v>
      </c>
      <c r="E944" t="s">
        <v>30</v>
      </c>
      <c r="F944" s="6">
        <v>46022</v>
      </c>
      <c r="G944">
        <v>2025</v>
      </c>
      <c r="H944" t="s">
        <v>57</v>
      </c>
      <c r="I944" t="s">
        <v>103</v>
      </c>
      <c r="J944">
        <v>8</v>
      </c>
      <c r="K944">
        <v>11.21</v>
      </c>
      <c r="L944">
        <v>1.3</v>
      </c>
      <c r="M944">
        <v>1.4012500000000001</v>
      </c>
      <c r="N944" t="s">
        <v>2145</v>
      </c>
      <c r="O944" t="s">
        <v>2149</v>
      </c>
      <c r="P944" t="s">
        <v>2150</v>
      </c>
      <c r="Q944">
        <v>2</v>
      </c>
      <c r="R944">
        <v>2</v>
      </c>
    </row>
    <row r="945" spans="1:18" x14ac:dyDescent="0.3">
      <c r="A945" t="s">
        <v>2151</v>
      </c>
      <c r="B945" t="s">
        <v>2152</v>
      </c>
      <c r="C945" t="s">
        <v>2133</v>
      </c>
      <c r="D945" t="s">
        <v>222</v>
      </c>
      <c r="E945" t="s">
        <v>30</v>
      </c>
      <c r="F945" s="6">
        <v>45107</v>
      </c>
      <c r="G945">
        <v>2023</v>
      </c>
      <c r="H945" t="s">
        <v>44</v>
      </c>
      <c r="I945" t="s">
        <v>33</v>
      </c>
      <c r="J945">
        <v>100</v>
      </c>
      <c r="K945">
        <v>100</v>
      </c>
      <c r="L945">
        <v>1</v>
      </c>
      <c r="M945">
        <v>1</v>
      </c>
      <c r="N945" t="s">
        <v>102</v>
      </c>
      <c r="O945" t="s">
        <v>102</v>
      </c>
      <c r="P945" t="s">
        <v>2153</v>
      </c>
      <c r="Q945">
        <v>2</v>
      </c>
      <c r="R945">
        <v>2</v>
      </c>
    </row>
    <row r="946" spans="1:18" x14ac:dyDescent="0.3">
      <c r="A946" t="s">
        <v>2151</v>
      </c>
      <c r="B946" t="s">
        <v>2152</v>
      </c>
      <c r="C946" t="s">
        <v>2133</v>
      </c>
      <c r="D946" t="s">
        <v>222</v>
      </c>
      <c r="E946" t="s">
        <v>30</v>
      </c>
      <c r="F946" s="6">
        <v>45291</v>
      </c>
      <c r="G946">
        <v>2023</v>
      </c>
      <c r="H946" t="s">
        <v>57</v>
      </c>
      <c r="I946" t="s">
        <v>47</v>
      </c>
      <c r="J946">
        <v>100</v>
      </c>
      <c r="K946">
        <v>100</v>
      </c>
      <c r="L946">
        <v>1</v>
      </c>
      <c r="M946">
        <v>1</v>
      </c>
      <c r="N946" t="s">
        <v>102</v>
      </c>
      <c r="O946" t="s">
        <v>102</v>
      </c>
      <c r="P946" t="s">
        <v>2154</v>
      </c>
      <c r="Q946">
        <v>2</v>
      </c>
      <c r="R946">
        <v>2</v>
      </c>
    </row>
    <row r="947" spans="1:18" x14ac:dyDescent="0.3">
      <c r="A947" t="s">
        <v>2151</v>
      </c>
      <c r="B947" t="s">
        <v>2152</v>
      </c>
      <c r="C947" t="s">
        <v>2133</v>
      </c>
      <c r="D947" t="s">
        <v>222</v>
      </c>
      <c r="E947" t="s">
        <v>30</v>
      </c>
      <c r="F947" s="6">
        <v>45473</v>
      </c>
      <c r="G947">
        <v>2024</v>
      </c>
      <c r="H947" t="s">
        <v>44</v>
      </c>
      <c r="I947" t="s">
        <v>71</v>
      </c>
      <c r="J947">
        <v>100</v>
      </c>
      <c r="K947">
        <v>100</v>
      </c>
      <c r="L947">
        <v>1</v>
      </c>
      <c r="M947">
        <v>1</v>
      </c>
      <c r="N947" t="s">
        <v>102</v>
      </c>
      <c r="O947" t="s">
        <v>102</v>
      </c>
      <c r="P947" t="s">
        <v>2155</v>
      </c>
      <c r="Q947">
        <v>2</v>
      </c>
      <c r="R947">
        <v>2</v>
      </c>
    </row>
    <row r="948" spans="1:18" x14ac:dyDescent="0.3">
      <c r="A948" t="s">
        <v>2151</v>
      </c>
      <c r="B948" t="s">
        <v>2152</v>
      </c>
      <c r="C948" t="s">
        <v>2133</v>
      </c>
      <c r="D948" t="s">
        <v>222</v>
      </c>
      <c r="E948" t="s">
        <v>30</v>
      </c>
      <c r="F948" s="6">
        <v>45657</v>
      </c>
      <c r="G948">
        <v>2024</v>
      </c>
      <c r="H948" t="s">
        <v>57</v>
      </c>
      <c r="I948" t="s">
        <v>78</v>
      </c>
      <c r="J948">
        <v>100</v>
      </c>
      <c r="K948">
        <v>100</v>
      </c>
      <c r="L948">
        <v>1</v>
      </c>
      <c r="M948">
        <v>1</v>
      </c>
      <c r="N948" t="s">
        <v>102</v>
      </c>
      <c r="O948" t="s">
        <v>102</v>
      </c>
      <c r="P948" t="s">
        <v>2156</v>
      </c>
      <c r="Q948">
        <v>2</v>
      </c>
      <c r="R948">
        <v>2</v>
      </c>
    </row>
    <row r="949" spans="1:18" x14ac:dyDescent="0.3">
      <c r="A949" t="s">
        <v>2157</v>
      </c>
      <c r="B949" t="s">
        <v>2158</v>
      </c>
      <c r="C949" t="s">
        <v>2133</v>
      </c>
      <c r="D949" t="s">
        <v>222</v>
      </c>
      <c r="E949" t="s">
        <v>30</v>
      </c>
      <c r="F949" s="6">
        <v>45107</v>
      </c>
      <c r="G949">
        <v>2023</v>
      </c>
      <c r="H949" t="s">
        <v>44</v>
      </c>
      <c r="I949" t="s">
        <v>33</v>
      </c>
      <c r="J949">
        <v>3</v>
      </c>
      <c r="K949">
        <v>30.158730158730201</v>
      </c>
      <c r="L949">
        <v>1.3</v>
      </c>
      <c r="M949">
        <v>10.05291005291007</v>
      </c>
      <c r="N949" t="s">
        <v>1849</v>
      </c>
      <c r="O949" t="s">
        <v>5853</v>
      </c>
      <c r="P949" t="s">
        <v>2159</v>
      </c>
      <c r="Q949">
        <v>2</v>
      </c>
      <c r="R949">
        <v>2</v>
      </c>
    </row>
    <row r="950" spans="1:18" x14ac:dyDescent="0.3">
      <c r="A950" t="s">
        <v>2157</v>
      </c>
      <c r="B950" t="s">
        <v>2158</v>
      </c>
      <c r="C950" t="s">
        <v>2133</v>
      </c>
      <c r="D950" t="s">
        <v>222</v>
      </c>
      <c r="E950" t="s">
        <v>30</v>
      </c>
      <c r="F950" s="6">
        <v>45291</v>
      </c>
      <c r="G950">
        <v>2023</v>
      </c>
      <c r="H950" t="s">
        <v>57</v>
      </c>
      <c r="I950" t="s">
        <v>47</v>
      </c>
      <c r="J950">
        <v>3</v>
      </c>
      <c r="K950">
        <v>41.99</v>
      </c>
      <c r="L950">
        <v>1.3</v>
      </c>
      <c r="M950">
        <v>13.99666666666667</v>
      </c>
      <c r="N950" t="s">
        <v>1849</v>
      </c>
      <c r="O950" t="s">
        <v>5854</v>
      </c>
      <c r="P950" t="s">
        <v>2160</v>
      </c>
      <c r="Q950">
        <v>2</v>
      </c>
      <c r="R950">
        <v>2</v>
      </c>
    </row>
    <row r="951" spans="1:18" x14ac:dyDescent="0.3">
      <c r="A951" t="s">
        <v>2157</v>
      </c>
      <c r="B951" t="s">
        <v>2158</v>
      </c>
      <c r="C951" t="s">
        <v>2133</v>
      </c>
      <c r="D951" t="s">
        <v>222</v>
      </c>
      <c r="E951" t="s">
        <v>30</v>
      </c>
      <c r="F951" s="6">
        <v>45473</v>
      </c>
      <c r="G951">
        <v>2024</v>
      </c>
      <c r="H951" t="s">
        <v>44</v>
      </c>
      <c r="I951" t="s">
        <v>71</v>
      </c>
      <c r="J951">
        <v>3</v>
      </c>
      <c r="K951">
        <v>26.276694521819799</v>
      </c>
      <c r="L951">
        <v>1.3</v>
      </c>
      <c r="M951">
        <v>8.758898173939933</v>
      </c>
      <c r="N951" t="s">
        <v>1849</v>
      </c>
      <c r="O951" t="s">
        <v>5855</v>
      </c>
      <c r="P951" t="s">
        <v>2161</v>
      </c>
      <c r="Q951">
        <v>2</v>
      </c>
      <c r="R951">
        <v>2</v>
      </c>
    </row>
    <row r="952" spans="1:18" x14ac:dyDescent="0.3">
      <c r="A952" t="s">
        <v>2157</v>
      </c>
      <c r="B952" t="s">
        <v>2162</v>
      </c>
      <c r="C952" t="s">
        <v>2133</v>
      </c>
      <c r="D952" t="s">
        <v>222</v>
      </c>
      <c r="E952" t="s">
        <v>30</v>
      </c>
      <c r="F952" s="6">
        <v>45657</v>
      </c>
      <c r="G952">
        <v>2024</v>
      </c>
      <c r="H952" t="s">
        <v>57</v>
      </c>
      <c r="I952" t="s">
        <v>78</v>
      </c>
      <c r="J952">
        <v>3</v>
      </c>
      <c r="K952">
        <v>5.5</v>
      </c>
      <c r="L952">
        <v>1.3</v>
      </c>
      <c r="M952">
        <v>1.833333333333333</v>
      </c>
      <c r="N952" t="s">
        <v>1849</v>
      </c>
      <c r="O952" t="s">
        <v>5856</v>
      </c>
      <c r="P952" t="s">
        <v>2163</v>
      </c>
      <c r="Q952">
        <v>2</v>
      </c>
      <c r="R952">
        <v>2</v>
      </c>
    </row>
    <row r="953" spans="1:18" x14ac:dyDescent="0.3">
      <c r="A953" t="s">
        <v>2157</v>
      </c>
      <c r="B953" t="s">
        <v>2162</v>
      </c>
      <c r="C953" t="s">
        <v>2133</v>
      </c>
      <c r="D953" t="s">
        <v>222</v>
      </c>
      <c r="E953" t="s">
        <v>30</v>
      </c>
      <c r="F953" s="6">
        <v>45838</v>
      </c>
      <c r="G953">
        <v>2025</v>
      </c>
      <c r="H953" t="s">
        <v>44</v>
      </c>
      <c r="I953" t="s">
        <v>244</v>
      </c>
      <c r="J953">
        <v>8</v>
      </c>
      <c r="K953">
        <v>-9.19</v>
      </c>
      <c r="L953">
        <v>0</v>
      </c>
      <c r="M953">
        <v>-1.1487499999999999</v>
      </c>
      <c r="N953" t="s">
        <v>2145</v>
      </c>
      <c r="O953" t="s">
        <v>2165</v>
      </c>
      <c r="P953" t="s">
        <v>2166</v>
      </c>
      <c r="Q953">
        <v>2</v>
      </c>
      <c r="R953">
        <v>2</v>
      </c>
    </row>
    <row r="954" spans="1:18" x14ac:dyDescent="0.3">
      <c r="A954" t="s">
        <v>2157</v>
      </c>
      <c r="B954" t="s">
        <v>2162</v>
      </c>
      <c r="C954" t="s">
        <v>2133</v>
      </c>
      <c r="D954" t="s">
        <v>222</v>
      </c>
      <c r="E954" t="s">
        <v>30</v>
      </c>
      <c r="F954" s="6">
        <v>46022</v>
      </c>
      <c r="G954">
        <v>2025</v>
      </c>
      <c r="H954" t="s">
        <v>57</v>
      </c>
      <c r="I954" t="s">
        <v>103</v>
      </c>
      <c r="J954">
        <v>8</v>
      </c>
      <c r="K954">
        <v>54.02</v>
      </c>
      <c r="L954">
        <v>1.3</v>
      </c>
      <c r="M954">
        <v>6.7525000000000004</v>
      </c>
      <c r="N954" t="s">
        <v>2145</v>
      </c>
      <c r="O954" t="s">
        <v>2168</v>
      </c>
      <c r="P954" t="s">
        <v>2169</v>
      </c>
      <c r="Q954">
        <v>2</v>
      </c>
      <c r="R954">
        <v>2</v>
      </c>
    </row>
    <row r="955" spans="1:18" x14ac:dyDescent="0.3">
      <c r="A955" t="s">
        <v>2170</v>
      </c>
      <c r="B955" t="s">
        <v>2171</v>
      </c>
      <c r="C955" t="s">
        <v>283</v>
      </c>
      <c r="D955" t="s">
        <v>222</v>
      </c>
      <c r="E955" t="s">
        <v>30</v>
      </c>
      <c r="F955" s="6">
        <v>45107</v>
      </c>
      <c r="G955">
        <v>2023</v>
      </c>
      <c r="H955" t="s">
        <v>44</v>
      </c>
      <c r="I955" t="s">
        <v>33</v>
      </c>
      <c r="J955">
        <v>11</v>
      </c>
      <c r="K955">
        <v>5</v>
      </c>
      <c r="L955">
        <v>0.45454545454545447</v>
      </c>
      <c r="M955">
        <v>0.45454545454545447</v>
      </c>
      <c r="N955" t="s">
        <v>3654</v>
      </c>
      <c r="O955" t="s">
        <v>823</v>
      </c>
      <c r="P955" t="s">
        <v>2172</v>
      </c>
      <c r="Q955">
        <v>2</v>
      </c>
      <c r="R955">
        <v>2</v>
      </c>
    </row>
    <row r="956" spans="1:18" x14ac:dyDescent="0.3">
      <c r="A956" t="s">
        <v>2170</v>
      </c>
      <c r="B956" t="s">
        <v>2171</v>
      </c>
      <c r="C956" t="s">
        <v>283</v>
      </c>
      <c r="D956" t="s">
        <v>222</v>
      </c>
      <c r="E956" t="s">
        <v>30</v>
      </c>
      <c r="F956" s="6">
        <v>45291</v>
      </c>
      <c r="G956">
        <v>2023</v>
      </c>
      <c r="H956" t="s">
        <v>57</v>
      </c>
      <c r="I956" t="s">
        <v>47</v>
      </c>
      <c r="J956">
        <v>21</v>
      </c>
      <c r="K956">
        <v>9</v>
      </c>
      <c r="L956">
        <v>0.42857142857142849</v>
      </c>
      <c r="M956">
        <v>0.42857142857142849</v>
      </c>
      <c r="N956" t="s">
        <v>1465</v>
      </c>
      <c r="O956" t="s">
        <v>3653</v>
      </c>
      <c r="P956" t="s">
        <v>2173</v>
      </c>
      <c r="Q956">
        <v>2</v>
      </c>
      <c r="R956">
        <v>2</v>
      </c>
    </row>
    <row r="957" spans="1:18" x14ac:dyDescent="0.3">
      <c r="A957" t="s">
        <v>2170</v>
      </c>
      <c r="B957" t="s">
        <v>2171</v>
      </c>
      <c r="C957" t="s">
        <v>283</v>
      </c>
      <c r="D957" t="s">
        <v>222</v>
      </c>
      <c r="E957" t="s">
        <v>30</v>
      </c>
      <c r="F957" s="6">
        <v>45473</v>
      </c>
      <c r="G957">
        <v>2024</v>
      </c>
      <c r="H957" t="s">
        <v>44</v>
      </c>
      <c r="I957" t="s">
        <v>71</v>
      </c>
      <c r="J957">
        <v>60</v>
      </c>
      <c r="K957">
        <v>52.38</v>
      </c>
      <c r="L957">
        <v>0.873</v>
      </c>
      <c r="M957">
        <v>0.873</v>
      </c>
      <c r="N957" t="s">
        <v>2640</v>
      </c>
      <c r="O957" t="s">
        <v>5857</v>
      </c>
      <c r="P957" t="s">
        <v>2174</v>
      </c>
      <c r="Q957">
        <v>2</v>
      </c>
      <c r="R957">
        <v>2</v>
      </c>
    </row>
    <row r="958" spans="1:18" x14ac:dyDescent="0.3">
      <c r="A958" t="s">
        <v>2175</v>
      </c>
      <c r="B958" t="s">
        <v>2176</v>
      </c>
      <c r="C958" t="s">
        <v>2177</v>
      </c>
      <c r="D958" t="s">
        <v>284</v>
      </c>
      <c r="E958" t="s">
        <v>30</v>
      </c>
      <c r="F958" s="6">
        <v>45291</v>
      </c>
      <c r="G958">
        <v>2023</v>
      </c>
      <c r="H958" t="s">
        <v>57</v>
      </c>
      <c r="I958" t="s">
        <v>47</v>
      </c>
      <c r="J958">
        <v>83.333333333333329</v>
      </c>
      <c r="K958">
        <v>78.786666666666676</v>
      </c>
      <c r="L958">
        <v>0.94544000000000017</v>
      </c>
      <c r="M958">
        <v>0.94544000000000017</v>
      </c>
      <c r="N958" t="s">
        <v>902</v>
      </c>
      <c r="O958" t="s">
        <v>5858</v>
      </c>
      <c r="P958" t="s">
        <v>2180</v>
      </c>
      <c r="Q958">
        <v>2</v>
      </c>
      <c r="R958">
        <v>2</v>
      </c>
    </row>
    <row r="959" spans="1:18" x14ac:dyDescent="0.3">
      <c r="A959" t="s">
        <v>2181</v>
      </c>
      <c r="B959" t="s">
        <v>2182</v>
      </c>
      <c r="C959" t="s">
        <v>2177</v>
      </c>
      <c r="D959" t="s">
        <v>284</v>
      </c>
      <c r="E959" t="s">
        <v>108</v>
      </c>
      <c r="F959" s="6">
        <v>45291</v>
      </c>
      <c r="G959">
        <v>2023</v>
      </c>
      <c r="H959" t="s">
        <v>57</v>
      </c>
      <c r="I959" t="s">
        <v>47</v>
      </c>
      <c r="J959">
        <v>20</v>
      </c>
      <c r="K959">
        <v>0.70666666666666667</v>
      </c>
      <c r="L959">
        <v>1.3</v>
      </c>
      <c r="M959">
        <v>28.30188679245283</v>
      </c>
      <c r="N959" t="s">
        <v>1298</v>
      </c>
      <c r="O959" t="s">
        <v>5859</v>
      </c>
      <c r="P959" t="s">
        <v>2185</v>
      </c>
      <c r="Q959">
        <v>2</v>
      </c>
      <c r="R959">
        <v>2</v>
      </c>
    </row>
    <row r="960" spans="1:18" x14ac:dyDescent="0.3">
      <c r="A960" t="s">
        <v>2186</v>
      </c>
      <c r="B960" t="s">
        <v>2187</v>
      </c>
      <c r="C960" t="s">
        <v>2177</v>
      </c>
      <c r="D960" t="s">
        <v>222</v>
      </c>
      <c r="E960" t="s">
        <v>108</v>
      </c>
      <c r="F960" s="6">
        <v>45107</v>
      </c>
      <c r="G960">
        <v>2023</v>
      </c>
      <c r="H960" t="s">
        <v>44</v>
      </c>
      <c r="I960" t="s">
        <v>33</v>
      </c>
      <c r="L960">
        <v>0</v>
      </c>
      <c r="M960">
        <v>0</v>
      </c>
      <c r="P960" t="s">
        <v>2188</v>
      </c>
      <c r="Q960">
        <v>2</v>
      </c>
      <c r="R960">
        <v>2</v>
      </c>
    </row>
    <row r="961" spans="1:18" x14ac:dyDescent="0.3">
      <c r="A961" t="s">
        <v>2186</v>
      </c>
      <c r="B961" t="s">
        <v>2187</v>
      </c>
      <c r="C961" t="s">
        <v>2177</v>
      </c>
      <c r="D961" t="s">
        <v>222</v>
      </c>
      <c r="E961" t="s">
        <v>108</v>
      </c>
      <c r="F961" s="6">
        <v>45291</v>
      </c>
      <c r="G961">
        <v>2023</v>
      </c>
      <c r="H961" t="s">
        <v>57</v>
      </c>
      <c r="I961" t="s">
        <v>47</v>
      </c>
      <c r="K961">
        <v>1</v>
      </c>
      <c r="L961">
        <v>0</v>
      </c>
      <c r="M961">
        <v>0</v>
      </c>
      <c r="O961" t="s">
        <v>617</v>
      </c>
      <c r="P961" t="s">
        <v>2189</v>
      </c>
      <c r="Q961">
        <v>2</v>
      </c>
      <c r="R961">
        <v>2</v>
      </c>
    </row>
    <row r="962" spans="1:18" x14ac:dyDescent="0.3">
      <c r="A962" t="s">
        <v>2190</v>
      </c>
      <c r="B962" t="s">
        <v>2191</v>
      </c>
      <c r="C962" t="s">
        <v>2114</v>
      </c>
      <c r="D962" t="s">
        <v>29</v>
      </c>
      <c r="E962" t="s">
        <v>30</v>
      </c>
      <c r="F962" s="6">
        <v>45107</v>
      </c>
      <c r="G962">
        <v>2023</v>
      </c>
      <c r="H962" t="s">
        <v>44</v>
      </c>
      <c r="I962" t="s">
        <v>33</v>
      </c>
      <c r="J962">
        <v>38.166666666666657</v>
      </c>
      <c r="K962">
        <v>40.666666666666657</v>
      </c>
      <c r="L962">
        <v>1.065502183406114</v>
      </c>
      <c r="M962">
        <v>1.065502183406114</v>
      </c>
      <c r="N962" t="s">
        <v>5860</v>
      </c>
      <c r="O962" t="s">
        <v>5861</v>
      </c>
      <c r="P962" t="s">
        <v>2197</v>
      </c>
      <c r="Q962">
        <v>2</v>
      </c>
      <c r="R962">
        <v>2</v>
      </c>
    </row>
    <row r="963" spans="1:18" x14ac:dyDescent="0.3">
      <c r="A963" t="s">
        <v>2190</v>
      </c>
      <c r="B963" t="s">
        <v>2191</v>
      </c>
      <c r="C963" t="s">
        <v>2114</v>
      </c>
      <c r="D963" t="s">
        <v>29</v>
      </c>
      <c r="E963" t="s">
        <v>30</v>
      </c>
      <c r="F963" s="6">
        <v>45291</v>
      </c>
      <c r="G963">
        <v>2023</v>
      </c>
      <c r="H963" t="s">
        <v>57</v>
      </c>
      <c r="I963" t="s">
        <v>47</v>
      </c>
      <c r="J963">
        <v>94.666666666666671</v>
      </c>
      <c r="K963">
        <v>92.833333333333329</v>
      </c>
      <c r="L963">
        <v>0.98063380281690127</v>
      </c>
      <c r="M963">
        <v>0.98063380281690127</v>
      </c>
      <c r="N963" t="s">
        <v>5862</v>
      </c>
      <c r="O963" t="s">
        <v>5863</v>
      </c>
      <c r="P963" t="s">
        <v>2203</v>
      </c>
      <c r="Q963">
        <v>2</v>
      </c>
      <c r="R963">
        <v>2</v>
      </c>
    </row>
    <row r="964" spans="1:18" x14ac:dyDescent="0.3">
      <c r="A964" t="s">
        <v>2190</v>
      </c>
      <c r="B964" t="s">
        <v>2191</v>
      </c>
      <c r="C964" t="s">
        <v>2114</v>
      </c>
      <c r="D964" t="s">
        <v>29</v>
      </c>
      <c r="E964" t="s">
        <v>30</v>
      </c>
      <c r="F964" s="6">
        <v>45473</v>
      </c>
      <c r="G964">
        <v>2024</v>
      </c>
      <c r="H964" t="s">
        <v>44</v>
      </c>
      <c r="I964" t="s">
        <v>71</v>
      </c>
      <c r="J964">
        <v>100</v>
      </c>
      <c r="K964">
        <v>99.5</v>
      </c>
      <c r="L964">
        <v>0.995</v>
      </c>
      <c r="M964">
        <v>0.995</v>
      </c>
      <c r="N964" t="s">
        <v>102</v>
      </c>
      <c r="O964" t="s">
        <v>4057</v>
      </c>
      <c r="P964" t="s">
        <v>5864</v>
      </c>
      <c r="Q964">
        <v>2</v>
      </c>
      <c r="R964">
        <v>2</v>
      </c>
    </row>
    <row r="965" spans="1:18" x14ac:dyDescent="0.3">
      <c r="A965" t="s">
        <v>2206</v>
      </c>
      <c r="B965" t="s">
        <v>2207</v>
      </c>
      <c r="C965" t="s">
        <v>169</v>
      </c>
      <c r="D965" t="s">
        <v>233</v>
      </c>
      <c r="E965" t="s">
        <v>30</v>
      </c>
      <c r="F965" s="6">
        <v>45107</v>
      </c>
      <c r="G965">
        <v>2023</v>
      </c>
      <c r="H965" t="s">
        <v>44</v>
      </c>
      <c r="I965" t="s">
        <v>33</v>
      </c>
      <c r="J965">
        <v>100</v>
      </c>
      <c r="K965">
        <v>100</v>
      </c>
      <c r="L965">
        <v>1</v>
      </c>
      <c r="M965">
        <v>1</v>
      </c>
      <c r="N965" t="s">
        <v>102</v>
      </c>
      <c r="O965" t="s">
        <v>102</v>
      </c>
      <c r="P965" t="s">
        <v>2209</v>
      </c>
      <c r="Q965">
        <v>2</v>
      </c>
      <c r="R965">
        <v>2</v>
      </c>
    </row>
    <row r="966" spans="1:18" x14ac:dyDescent="0.3">
      <c r="A966" t="s">
        <v>2206</v>
      </c>
      <c r="B966" t="s">
        <v>2207</v>
      </c>
      <c r="C966" t="s">
        <v>169</v>
      </c>
      <c r="D966" t="s">
        <v>233</v>
      </c>
      <c r="E966" t="s">
        <v>30</v>
      </c>
      <c r="F966" s="6">
        <v>45291</v>
      </c>
      <c r="G966">
        <v>2023</v>
      </c>
      <c r="H966" t="s">
        <v>57</v>
      </c>
      <c r="I966" t="s">
        <v>47</v>
      </c>
      <c r="J966">
        <v>100</v>
      </c>
      <c r="K966">
        <v>100</v>
      </c>
      <c r="L966">
        <v>1</v>
      </c>
      <c r="M966">
        <v>1</v>
      </c>
      <c r="N966" t="s">
        <v>102</v>
      </c>
      <c r="O966" t="s">
        <v>102</v>
      </c>
      <c r="P966" t="s">
        <v>2211</v>
      </c>
      <c r="Q966">
        <v>2</v>
      </c>
      <c r="R966">
        <v>2</v>
      </c>
    </row>
    <row r="967" spans="1:18" x14ac:dyDescent="0.3">
      <c r="A967" t="s">
        <v>2206</v>
      </c>
      <c r="B967" t="s">
        <v>2207</v>
      </c>
      <c r="C967" t="s">
        <v>169</v>
      </c>
      <c r="D967" t="s">
        <v>233</v>
      </c>
      <c r="E967" t="s">
        <v>30</v>
      </c>
      <c r="F967" s="6">
        <v>45473</v>
      </c>
      <c r="G967">
        <v>2024</v>
      </c>
      <c r="H967" t="s">
        <v>44</v>
      </c>
      <c r="I967" t="s">
        <v>71</v>
      </c>
      <c r="J967">
        <v>100</v>
      </c>
      <c r="K967">
        <v>100</v>
      </c>
      <c r="L967">
        <v>1</v>
      </c>
      <c r="M967">
        <v>1</v>
      </c>
      <c r="N967" t="s">
        <v>102</v>
      </c>
      <c r="O967" t="s">
        <v>102</v>
      </c>
      <c r="P967" t="s">
        <v>2213</v>
      </c>
      <c r="Q967">
        <v>2</v>
      </c>
      <c r="R967">
        <v>2</v>
      </c>
    </row>
    <row r="968" spans="1:18" x14ac:dyDescent="0.3">
      <c r="A968" t="s">
        <v>2206</v>
      </c>
      <c r="B968" t="s">
        <v>2207</v>
      </c>
      <c r="C968" t="s">
        <v>169</v>
      </c>
      <c r="D968" t="s">
        <v>233</v>
      </c>
      <c r="E968" t="s">
        <v>30</v>
      </c>
      <c r="F968" s="6">
        <v>45657</v>
      </c>
      <c r="G968">
        <v>2024</v>
      </c>
      <c r="H968" t="s">
        <v>57</v>
      </c>
      <c r="I968" t="s">
        <v>78</v>
      </c>
      <c r="J968">
        <v>100</v>
      </c>
      <c r="K968">
        <v>100</v>
      </c>
      <c r="L968">
        <v>1</v>
      </c>
      <c r="M968">
        <v>1</v>
      </c>
      <c r="N968" t="s">
        <v>102</v>
      </c>
      <c r="O968" t="s">
        <v>102</v>
      </c>
      <c r="P968" t="s">
        <v>2215</v>
      </c>
      <c r="Q968">
        <v>2</v>
      </c>
      <c r="R968">
        <v>2</v>
      </c>
    </row>
    <row r="969" spans="1:18" x14ac:dyDescent="0.3">
      <c r="A969" t="s">
        <v>2206</v>
      </c>
      <c r="B969" t="s">
        <v>2207</v>
      </c>
      <c r="C969" t="s">
        <v>169</v>
      </c>
      <c r="D969" t="s">
        <v>233</v>
      </c>
      <c r="E969" t="s">
        <v>30</v>
      </c>
      <c r="F969" s="6">
        <v>45838</v>
      </c>
      <c r="G969">
        <v>2025</v>
      </c>
      <c r="H969" t="s">
        <v>44</v>
      </c>
      <c r="I969" t="s">
        <v>244</v>
      </c>
      <c r="J969">
        <v>100</v>
      </c>
      <c r="K969">
        <v>100</v>
      </c>
      <c r="L969">
        <v>1</v>
      </c>
      <c r="M969">
        <v>1</v>
      </c>
      <c r="N969" t="s">
        <v>102</v>
      </c>
      <c r="O969" t="s">
        <v>102</v>
      </c>
      <c r="P969" t="s">
        <v>2217</v>
      </c>
      <c r="Q969">
        <v>2</v>
      </c>
      <c r="R969">
        <v>2</v>
      </c>
    </row>
    <row r="970" spans="1:18" x14ac:dyDescent="0.3">
      <c r="A970" t="s">
        <v>2206</v>
      </c>
      <c r="B970" t="s">
        <v>2207</v>
      </c>
      <c r="C970" t="s">
        <v>169</v>
      </c>
      <c r="D970" t="s">
        <v>233</v>
      </c>
      <c r="E970" t="s">
        <v>30</v>
      </c>
      <c r="F970" s="6">
        <v>46022</v>
      </c>
      <c r="G970">
        <v>2025</v>
      </c>
      <c r="H970" t="s">
        <v>57</v>
      </c>
      <c r="I970" t="s">
        <v>103</v>
      </c>
      <c r="J970">
        <v>100</v>
      </c>
      <c r="K970">
        <v>100</v>
      </c>
      <c r="L970">
        <v>1</v>
      </c>
      <c r="M970">
        <v>1</v>
      </c>
      <c r="N970" t="s">
        <v>102</v>
      </c>
      <c r="O970" t="s">
        <v>102</v>
      </c>
      <c r="P970" t="s">
        <v>2218</v>
      </c>
      <c r="Q970">
        <v>2</v>
      </c>
      <c r="R970">
        <v>2</v>
      </c>
    </row>
    <row r="971" spans="1:18" x14ac:dyDescent="0.3">
      <c r="A971" t="s">
        <v>2219</v>
      </c>
      <c r="B971" t="s">
        <v>2220</v>
      </c>
      <c r="C971" t="s">
        <v>169</v>
      </c>
      <c r="D971" t="s">
        <v>233</v>
      </c>
      <c r="E971" t="s">
        <v>30</v>
      </c>
      <c r="F971" s="6">
        <v>45107</v>
      </c>
      <c r="G971">
        <v>2023</v>
      </c>
      <c r="H971" t="s">
        <v>44</v>
      </c>
      <c r="I971" t="s">
        <v>33</v>
      </c>
      <c r="J971">
        <v>100</v>
      </c>
      <c r="K971">
        <v>100</v>
      </c>
      <c r="L971">
        <v>1</v>
      </c>
      <c r="M971">
        <v>1</v>
      </c>
      <c r="N971" t="s">
        <v>102</v>
      </c>
      <c r="O971" t="s">
        <v>102</v>
      </c>
      <c r="P971" t="s">
        <v>2222</v>
      </c>
      <c r="Q971">
        <v>2</v>
      </c>
      <c r="R971">
        <v>2</v>
      </c>
    </row>
    <row r="972" spans="1:18" x14ac:dyDescent="0.3">
      <c r="A972" t="s">
        <v>2219</v>
      </c>
      <c r="B972" t="s">
        <v>2220</v>
      </c>
      <c r="C972" t="s">
        <v>169</v>
      </c>
      <c r="D972" t="s">
        <v>233</v>
      </c>
      <c r="E972" t="s">
        <v>30</v>
      </c>
      <c r="F972" s="6">
        <v>45291</v>
      </c>
      <c r="G972">
        <v>2023</v>
      </c>
      <c r="H972" t="s">
        <v>57</v>
      </c>
      <c r="I972" t="s">
        <v>47</v>
      </c>
      <c r="J972">
        <v>100</v>
      </c>
      <c r="K972">
        <v>100</v>
      </c>
      <c r="L972">
        <v>1</v>
      </c>
      <c r="M972">
        <v>1</v>
      </c>
      <c r="N972" t="s">
        <v>102</v>
      </c>
      <c r="O972" t="s">
        <v>102</v>
      </c>
      <c r="P972" t="s">
        <v>2224</v>
      </c>
      <c r="Q972">
        <v>2</v>
      </c>
      <c r="R972">
        <v>2</v>
      </c>
    </row>
    <row r="973" spans="1:18" x14ac:dyDescent="0.3">
      <c r="A973" t="s">
        <v>2219</v>
      </c>
      <c r="B973" t="s">
        <v>2220</v>
      </c>
      <c r="C973" t="s">
        <v>169</v>
      </c>
      <c r="D973" t="s">
        <v>233</v>
      </c>
      <c r="E973" t="s">
        <v>30</v>
      </c>
      <c r="F973" s="6">
        <v>45473</v>
      </c>
      <c r="G973">
        <v>2024</v>
      </c>
      <c r="H973" t="s">
        <v>44</v>
      </c>
      <c r="I973" t="s">
        <v>71</v>
      </c>
      <c r="J973">
        <v>100</v>
      </c>
      <c r="K973">
        <v>100</v>
      </c>
      <c r="L973">
        <v>1</v>
      </c>
      <c r="M973">
        <v>1</v>
      </c>
      <c r="N973" t="s">
        <v>102</v>
      </c>
      <c r="O973" t="s">
        <v>102</v>
      </c>
      <c r="P973" t="s">
        <v>2226</v>
      </c>
      <c r="Q973">
        <v>2</v>
      </c>
      <c r="R973">
        <v>2</v>
      </c>
    </row>
    <row r="974" spans="1:18" x14ac:dyDescent="0.3">
      <c r="A974" t="s">
        <v>2219</v>
      </c>
      <c r="B974" t="s">
        <v>2220</v>
      </c>
      <c r="C974" t="s">
        <v>169</v>
      </c>
      <c r="D974" t="s">
        <v>233</v>
      </c>
      <c r="E974" t="s">
        <v>30</v>
      </c>
      <c r="F974" s="6">
        <v>45657</v>
      </c>
      <c r="G974">
        <v>2024</v>
      </c>
      <c r="H974" t="s">
        <v>57</v>
      </c>
      <c r="I974" t="s">
        <v>78</v>
      </c>
      <c r="J974">
        <v>100</v>
      </c>
      <c r="K974">
        <v>100</v>
      </c>
      <c r="L974">
        <v>1</v>
      </c>
      <c r="M974">
        <v>1</v>
      </c>
      <c r="N974" t="s">
        <v>102</v>
      </c>
      <c r="O974" t="s">
        <v>102</v>
      </c>
      <c r="P974" t="s">
        <v>2228</v>
      </c>
      <c r="Q974">
        <v>2</v>
      </c>
      <c r="R974">
        <v>2</v>
      </c>
    </row>
    <row r="975" spans="1:18" x14ac:dyDescent="0.3">
      <c r="A975" t="s">
        <v>2219</v>
      </c>
      <c r="B975" t="s">
        <v>2220</v>
      </c>
      <c r="C975" t="s">
        <v>169</v>
      </c>
      <c r="D975" t="s">
        <v>233</v>
      </c>
      <c r="E975" t="s">
        <v>30</v>
      </c>
      <c r="F975" s="6">
        <v>45838</v>
      </c>
      <c r="G975">
        <v>2025</v>
      </c>
      <c r="H975" t="s">
        <v>44</v>
      </c>
      <c r="I975" t="s">
        <v>244</v>
      </c>
      <c r="J975">
        <v>100</v>
      </c>
      <c r="K975">
        <v>100</v>
      </c>
      <c r="L975">
        <v>1</v>
      </c>
      <c r="M975">
        <v>1</v>
      </c>
      <c r="N975" t="s">
        <v>102</v>
      </c>
      <c r="O975" t="s">
        <v>102</v>
      </c>
      <c r="P975" t="s">
        <v>2230</v>
      </c>
      <c r="Q975">
        <v>2</v>
      </c>
      <c r="R975">
        <v>2</v>
      </c>
    </row>
    <row r="976" spans="1:18" x14ac:dyDescent="0.3">
      <c r="A976" t="s">
        <v>2219</v>
      </c>
      <c r="B976" t="s">
        <v>2220</v>
      </c>
      <c r="C976" t="s">
        <v>169</v>
      </c>
      <c r="D976" t="s">
        <v>233</v>
      </c>
      <c r="E976" t="s">
        <v>30</v>
      </c>
      <c r="F976" s="6">
        <v>46022</v>
      </c>
      <c r="G976">
        <v>2025</v>
      </c>
      <c r="H976" t="s">
        <v>57</v>
      </c>
      <c r="I976" t="s">
        <v>103</v>
      </c>
      <c r="J976">
        <v>100</v>
      </c>
      <c r="K976">
        <v>100</v>
      </c>
      <c r="L976">
        <v>1</v>
      </c>
      <c r="M976">
        <v>1</v>
      </c>
      <c r="N976" t="s">
        <v>102</v>
      </c>
      <c r="O976" t="s">
        <v>102</v>
      </c>
      <c r="P976" t="s">
        <v>2231</v>
      </c>
      <c r="Q976">
        <v>2</v>
      </c>
      <c r="R976">
        <v>2</v>
      </c>
    </row>
    <row r="977" spans="1:18" x14ac:dyDescent="0.3">
      <c r="A977" t="s">
        <v>2232</v>
      </c>
      <c r="B977" t="s">
        <v>2233</v>
      </c>
      <c r="C977" t="s">
        <v>133</v>
      </c>
      <c r="D977" t="s">
        <v>222</v>
      </c>
      <c r="E977" t="s">
        <v>30</v>
      </c>
      <c r="F977" s="6">
        <v>45107</v>
      </c>
      <c r="G977">
        <v>2023</v>
      </c>
      <c r="H977" t="s">
        <v>44</v>
      </c>
      <c r="I977" t="s">
        <v>33</v>
      </c>
      <c r="J977">
        <v>0</v>
      </c>
      <c r="K977">
        <v>16609</v>
      </c>
      <c r="L977">
        <v>0</v>
      </c>
      <c r="M977">
        <v>0</v>
      </c>
      <c r="N977" t="s">
        <v>122</v>
      </c>
      <c r="O977" t="s">
        <v>5865</v>
      </c>
      <c r="P977" t="s">
        <v>2234</v>
      </c>
      <c r="Q977">
        <v>2</v>
      </c>
      <c r="R977">
        <v>2</v>
      </c>
    </row>
    <row r="978" spans="1:18" x14ac:dyDescent="0.3">
      <c r="A978" t="s">
        <v>2232</v>
      </c>
      <c r="B978" t="s">
        <v>2233</v>
      </c>
      <c r="C978" t="s">
        <v>133</v>
      </c>
      <c r="D978" t="s">
        <v>222</v>
      </c>
      <c r="E978" t="s">
        <v>30</v>
      </c>
      <c r="F978" s="6">
        <v>45291</v>
      </c>
      <c r="G978">
        <v>2023</v>
      </c>
      <c r="H978" t="s">
        <v>57</v>
      </c>
      <c r="I978" t="s">
        <v>47</v>
      </c>
      <c r="J978">
        <v>0</v>
      </c>
      <c r="K978">
        <v>21237</v>
      </c>
      <c r="L978">
        <v>0</v>
      </c>
      <c r="M978">
        <v>0</v>
      </c>
      <c r="N978" t="s">
        <v>122</v>
      </c>
      <c r="O978" t="s">
        <v>5866</v>
      </c>
      <c r="P978" t="s">
        <v>2235</v>
      </c>
      <c r="Q978">
        <v>2</v>
      </c>
      <c r="R978">
        <v>2</v>
      </c>
    </row>
    <row r="979" spans="1:18" x14ac:dyDescent="0.3">
      <c r="A979" t="s">
        <v>2232</v>
      </c>
      <c r="B979" t="s">
        <v>2233</v>
      </c>
      <c r="C979" t="s">
        <v>133</v>
      </c>
      <c r="D979" t="s">
        <v>222</v>
      </c>
      <c r="E979" t="s">
        <v>30</v>
      </c>
      <c r="F979" s="6">
        <v>45473</v>
      </c>
      <c r="G979">
        <v>2024</v>
      </c>
      <c r="H979" t="s">
        <v>44</v>
      </c>
      <c r="I979" t="s">
        <v>71</v>
      </c>
      <c r="J979">
        <v>0</v>
      </c>
      <c r="K979">
        <v>18355</v>
      </c>
      <c r="L979">
        <v>0</v>
      </c>
      <c r="M979">
        <v>0</v>
      </c>
      <c r="N979" t="s">
        <v>122</v>
      </c>
      <c r="O979" t="s">
        <v>5867</v>
      </c>
      <c r="P979" t="s">
        <v>2236</v>
      </c>
      <c r="Q979">
        <v>2</v>
      </c>
      <c r="R979">
        <v>2</v>
      </c>
    </row>
    <row r="980" spans="1:18" x14ac:dyDescent="0.3">
      <c r="A980" t="s">
        <v>2232</v>
      </c>
      <c r="B980" t="s">
        <v>2233</v>
      </c>
      <c r="C980" t="s">
        <v>133</v>
      </c>
      <c r="D980" t="s">
        <v>222</v>
      </c>
      <c r="E980" t="s">
        <v>30</v>
      </c>
      <c r="F980" s="6">
        <v>45657</v>
      </c>
      <c r="G980">
        <v>2024</v>
      </c>
      <c r="H980" t="s">
        <v>57</v>
      </c>
      <c r="I980" t="s">
        <v>78</v>
      </c>
      <c r="J980">
        <v>0</v>
      </c>
      <c r="K980">
        <v>0</v>
      </c>
      <c r="L980">
        <v>0</v>
      </c>
      <c r="M980">
        <v>0</v>
      </c>
      <c r="N980" t="s">
        <v>122</v>
      </c>
      <c r="O980" t="s">
        <v>122</v>
      </c>
      <c r="P980" t="s">
        <v>2237</v>
      </c>
      <c r="Q980">
        <v>2</v>
      </c>
      <c r="R980">
        <v>2</v>
      </c>
    </row>
    <row r="981" spans="1:18" x14ac:dyDescent="0.3">
      <c r="A981" t="s">
        <v>2232</v>
      </c>
      <c r="B981" t="s">
        <v>2238</v>
      </c>
      <c r="C981" t="s">
        <v>133</v>
      </c>
      <c r="D981" t="s">
        <v>222</v>
      </c>
      <c r="E981" t="s">
        <v>30</v>
      </c>
      <c r="F981" s="6">
        <v>45838</v>
      </c>
      <c r="G981">
        <v>2025</v>
      </c>
      <c r="H981" t="s">
        <v>44</v>
      </c>
      <c r="I981" t="s">
        <v>244</v>
      </c>
      <c r="K981">
        <v>21712</v>
      </c>
      <c r="L981">
        <v>0</v>
      </c>
      <c r="M981">
        <v>0</v>
      </c>
      <c r="O981" t="s">
        <v>2240</v>
      </c>
      <c r="P981" t="s">
        <v>2241</v>
      </c>
      <c r="Q981">
        <v>2</v>
      </c>
      <c r="R981">
        <v>2</v>
      </c>
    </row>
    <row r="982" spans="1:18" x14ac:dyDescent="0.3">
      <c r="A982" t="s">
        <v>2232</v>
      </c>
      <c r="B982" t="s">
        <v>2238</v>
      </c>
      <c r="C982" t="s">
        <v>133</v>
      </c>
      <c r="D982" t="s">
        <v>222</v>
      </c>
      <c r="E982" t="s">
        <v>30</v>
      </c>
      <c r="F982" s="6">
        <v>46022</v>
      </c>
      <c r="G982">
        <v>2025</v>
      </c>
      <c r="H982" t="s">
        <v>57</v>
      </c>
      <c r="I982" t="s">
        <v>103</v>
      </c>
      <c r="K982">
        <v>31371</v>
      </c>
      <c r="L982">
        <v>0</v>
      </c>
      <c r="M982">
        <v>0</v>
      </c>
      <c r="O982" t="s">
        <v>2243</v>
      </c>
      <c r="P982" t="s">
        <v>2244</v>
      </c>
      <c r="Q982">
        <v>2</v>
      </c>
      <c r="R982">
        <v>2</v>
      </c>
    </row>
    <row r="983" spans="1:18" x14ac:dyDescent="0.3">
      <c r="A983" t="s">
        <v>2245</v>
      </c>
      <c r="B983" t="s">
        <v>2246</v>
      </c>
      <c r="C983" t="s">
        <v>161</v>
      </c>
      <c r="D983" t="s">
        <v>222</v>
      </c>
      <c r="E983" t="s">
        <v>30</v>
      </c>
      <c r="F983" s="6">
        <v>45107</v>
      </c>
      <c r="G983">
        <v>2023</v>
      </c>
      <c r="H983" t="s">
        <v>44</v>
      </c>
      <c r="I983" t="s">
        <v>33</v>
      </c>
      <c r="J983">
        <v>100</v>
      </c>
      <c r="K983">
        <v>75.760000000000005</v>
      </c>
      <c r="L983">
        <v>0.75760000000000005</v>
      </c>
      <c r="M983">
        <v>0.75760000000000005</v>
      </c>
      <c r="N983" t="s">
        <v>102</v>
      </c>
      <c r="O983" t="s">
        <v>5868</v>
      </c>
      <c r="P983" t="s">
        <v>2247</v>
      </c>
      <c r="Q983">
        <v>2</v>
      </c>
      <c r="R983">
        <v>2</v>
      </c>
    </row>
    <row r="984" spans="1:18" x14ac:dyDescent="0.3">
      <c r="A984" t="s">
        <v>2245</v>
      </c>
      <c r="B984" t="s">
        <v>2246</v>
      </c>
      <c r="C984" t="s">
        <v>161</v>
      </c>
      <c r="D984" t="s">
        <v>222</v>
      </c>
      <c r="E984" t="s">
        <v>30</v>
      </c>
      <c r="F984" s="6">
        <v>45291</v>
      </c>
      <c r="G984">
        <v>2023</v>
      </c>
      <c r="H984" t="s">
        <v>57</v>
      </c>
      <c r="I984" t="s">
        <v>47</v>
      </c>
      <c r="J984">
        <v>100</v>
      </c>
      <c r="K984">
        <v>79.55</v>
      </c>
      <c r="L984">
        <v>0.79549999999999998</v>
      </c>
      <c r="M984">
        <v>0.79549999999999998</v>
      </c>
      <c r="N984" t="s">
        <v>102</v>
      </c>
      <c r="O984" t="s">
        <v>5869</v>
      </c>
      <c r="P984" t="s">
        <v>2248</v>
      </c>
      <c r="Q984">
        <v>2</v>
      </c>
      <c r="R984">
        <v>2</v>
      </c>
    </row>
    <row r="985" spans="1:18" x14ac:dyDescent="0.3">
      <c r="A985" t="s">
        <v>2245</v>
      </c>
      <c r="B985" t="s">
        <v>2246</v>
      </c>
      <c r="C985" t="s">
        <v>161</v>
      </c>
      <c r="D985" t="s">
        <v>222</v>
      </c>
      <c r="E985" t="s">
        <v>30</v>
      </c>
      <c r="F985" s="6">
        <v>45473</v>
      </c>
      <c r="G985">
        <v>2024</v>
      </c>
      <c r="H985" t="s">
        <v>44</v>
      </c>
      <c r="I985" t="s">
        <v>71</v>
      </c>
      <c r="J985">
        <v>95</v>
      </c>
      <c r="K985">
        <v>100</v>
      </c>
      <c r="L985">
        <v>1.0526315789473679</v>
      </c>
      <c r="M985">
        <v>1.0526315789473679</v>
      </c>
      <c r="N985" t="s">
        <v>838</v>
      </c>
      <c r="O985" t="s">
        <v>102</v>
      </c>
      <c r="P985" t="s">
        <v>2249</v>
      </c>
      <c r="Q985">
        <v>2</v>
      </c>
      <c r="R985">
        <v>2</v>
      </c>
    </row>
    <row r="986" spans="1:18" x14ac:dyDescent="0.3">
      <c r="A986" t="s">
        <v>2245</v>
      </c>
      <c r="B986" t="s">
        <v>2246</v>
      </c>
      <c r="C986" t="s">
        <v>161</v>
      </c>
      <c r="D986" t="s">
        <v>222</v>
      </c>
      <c r="E986" t="s">
        <v>30</v>
      </c>
      <c r="F986" s="6">
        <v>45657</v>
      </c>
      <c r="G986">
        <v>2024</v>
      </c>
      <c r="H986" t="s">
        <v>57</v>
      </c>
      <c r="I986" t="s">
        <v>78</v>
      </c>
      <c r="J986">
        <v>95</v>
      </c>
      <c r="K986">
        <v>95.652173913043399</v>
      </c>
      <c r="L986">
        <v>1.006864988558352</v>
      </c>
      <c r="M986">
        <v>1.006864988558352</v>
      </c>
      <c r="N986" t="s">
        <v>838</v>
      </c>
      <c r="O986" t="s">
        <v>906</v>
      </c>
      <c r="P986" t="s">
        <v>2250</v>
      </c>
      <c r="Q986">
        <v>2</v>
      </c>
      <c r="R986">
        <v>2</v>
      </c>
    </row>
    <row r="987" spans="1:18" x14ac:dyDescent="0.3">
      <c r="A987" t="s">
        <v>2245</v>
      </c>
      <c r="B987" t="s">
        <v>2246</v>
      </c>
      <c r="C987" t="s">
        <v>161</v>
      </c>
      <c r="D987" t="s">
        <v>222</v>
      </c>
      <c r="E987" t="s">
        <v>30</v>
      </c>
      <c r="F987" s="6">
        <v>45838</v>
      </c>
      <c r="G987">
        <v>2025</v>
      </c>
      <c r="H987" t="s">
        <v>44</v>
      </c>
      <c r="I987" t="s">
        <v>244</v>
      </c>
      <c r="J987">
        <v>95</v>
      </c>
      <c r="K987">
        <v>90.32</v>
      </c>
      <c r="L987">
        <v>0.9507368421052631</v>
      </c>
      <c r="M987">
        <v>0.9507368421052631</v>
      </c>
      <c r="N987" t="s">
        <v>838</v>
      </c>
      <c r="O987" t="s">
        <v>2252</v>
      </c>
      <c r="P987" t="s">
        <v>2253</v>
      </c>
      <c r="Q987">
        <v>2</v>
      </c>
      <c r="R987">
        <v>2</v>
      </c>
    </row>
    <row r="988" spans="1:18" x14ac:dyDescent="0.3">
      <c r="A988" t="s">
        <v>2245</v>
      </c>
      <c r="B988" t="s">
        <v>2246</v>
      </c>
      <c r="C988" t="s">
        <v>161</v>
      </c>
      <c r="D988" t="s">
        <v>222</v>
      </c>
      <c r="E988" t="s">
        <v>30</v>
      </c>
      <c r="F988" s="6">
        <v>46022</v>
      </c>
      <c r="G988">
        <v>2025</v>
      </c>
      <c r="H988" t="s">
        <v>57</v>
      </c>
      <c r="I988" t="s">
        <v>103</v>
      </c>
      <c r="J988">
        <v>95</v>
      </c>
      <c r="K988">
        <v>100</v>
      </c>
      <c r="L988">
        <v>1.0526315789473679</v>
      </c>
      <c r="M988">
        <v>1.0526315789473679</v>
      </c>
      <c r="N988" t="s">
        <v>838</v>
      </c>
      <c r="O988" t="s">
        <v>102</v>
      </c>
      <c r="P988" t="s">
        <v>2254</v>
      </c>
      <c r="Q988">
        <v>2</v>
      </c>
      <c r="R988">
        <v>2</v>
      </c>
    </row>
    <row r="989" spans="1:18" x14ac:dyDescent="0.3">
      <c r="A989" t="s">
        <v>2255</v>
      </c>
      <c r="B989" t="s">
        <v>2256</v>
      </c>
      <c r="C989" t="s">
        <v>161</v>
      </c>
      <c r="D989" t="s">
        <v>222</v>
      </c>
      <c r="E989" t="s">
        <v>30</v>
      </c>
      <c r="F989" s="6">
        <v>45107</v>
      </c>
      <c r="G989">
        <v>2023</v>
      </c>
      <c r="H989" t="s">
        <v>44</v>
      </c>
      <c r="I989" t="s">
        <v>33</v>
      </c>
      <c r="J989">
        <v>1863</v>
      </c>
      <c r="K989">
        <v>3537</v>
      </c>
      <c r="L989">
        <v>1.3</v>
      </c>
      <c r="M989">
        <v>1.8985507246376809</v>
      </c>
      <c r="N989" t="s">
        <v>5870</v>
      </c>
      <c r="O989" t="s">
        <v>5871</v>
      </c>
      <c r="P989" t="s">
        <v>2257</v>
      </c>
      <c r="Q989">
        <v>2</v>
      </c>
      <c r="R989">
        <v>2</v>
      </c>
    </row>
    <row r="990" spans="1:18" x14ac:dyDescent="0.3">
      <c r="A990" t="s">
        <v>2255</v>
      </c>
      <c r="B990" t="s">
        <v>2256</v>
      </c>
      <c r="C990" t="s">
        <v>161</v>
      </c>
      <c r="D990" t="s">
        <v>222</v>
      </c>
      <c r="E990" t="s">
        <v>30</v>
      </c>
      <c r="F990" s="6">
        <v>45291</v>
      </c>
      <c r="G990">
        <v>2023</v>
      </c>
      <c r="H990" t="s">
        <v>57</v>
      </c>
      <c r="I990" t="s">
        <v>47</v>
      </c>
      <c r="J990">
        <v>1863</v>
      </c>
      <c r="K990">
        <v>3285</v>
      </c>
      <c r="L990">
        <v>1.3</v>
      </c>
      <c r="M990">
        <v>1.763285024154589</v>
      </c>
      <c r="N990" t="s">
        <v>5870</v>
      </c>
      <c r="O990" t="s">
        <v>5872</v>
      </c>
      <c r="P990" t="s">
        <v>2258</v>
      </c>
      <c r="Q990">
        <v>2</v>
      </c>
      <c r="R990">
        <v>2</v>
      </c>
    </row>
    <row r="991" spans="1:18" x14ac:dyDescent="0.3">
      <c r="A991" t="s">
        <v>2255</v>
      </c>
      <c r="B991" t="s">
        <v>2256</v>
      </c>
      <c r="C991" t="s">
        <v>161</v>
      </c>
      <c r="D991" t="s">
        <v>222</v>
      </c>
      <c r="E991" t="s">
        <v>30</v>
      </c>
      <c r="F991" s="6">
        <v>45473</v>
      </c>
      <c r="G991">
        <v>2024</v>
      </c>
      <c r="H991" t="s">
        <v>44</v>
      </c>
      <c r="I991" t="s">
        <v>71</v>
      </c>
      <c r="J991">
        <v>3400</v>
      </c>
      <c r="K991">
        <v>3404</v>
      </c>
      <c r="L991">
        <v>1.0011764705882349</v>
      </c>
      <c r="M991">
        <v>1.0011764705882349</v>
      </c>
      <c r="N991" t="s">
        <v>5873</v>
      </c>
      <c r="O991" t="s">
        <v>5874</v>
      </c>
      <c r="P991" t="s">
        <v>2259</v>
      </c>
      <c r="Q991">
        <v>2</v>
      </c>
      <c r="R991">
        <v>2</v>
      </c>
    </row>
    <row r="992" spans="1:18" x14ac:dyDescent="0.3">
      <c r="A992" t="s">
        <v>2255</v>
      </c>
      <c r="B992" t="s">
        <v>2256</v>
      </c>
      <c r="C992" t="s">
        <v>161</v>
      </c>
      <c r="D992" t="s">
        <v>222</v>
      </c>
      <c r="E992" t="s">
        <v>30</v>
      </c>
      <c r="F992" s="6">
        <v>45657</v>
      </c>
      <c r="G992">
        <v>2024</v>
      </c>
      <c r="H992" t="s">
        <v>57</v>
      </c>
      <c r="I992" t="s">
        <v>78</v>
      </c>
      <c r="J992">
        <v>3400</v>
      </c>
      <c r="K992">
        <v>2841</v>
      </c>
      <c r="L992">
        <v>0.83558823529411763</v>
      </c>
      <c r="M992">
        <v>0.83558823529411763</v>
      </c>
      <c r="N992" t="s">
        <v>5873</v>
      </c>
      <c r="O992" t="s">
        <v>5875</v>
      </c>
      <c r="P992" t="s">
        <v>2260</v>
      </c>
      <c r="Q992">
        <v>2</v>
      </c>
      <c r="R992">
        <v>2</v>
      </c>
    </row>
    <row r="993" spans="1:18" x14ac:dyDescent="0.3">
      <c r="A993" t="s">
        <v>2255</v>
      </c>
      <c r="B993" t="s">
        <v>2256</v>
      </c>
      <c r="C993" t="s">
        <v>161</v>
      </c>
      <c r="D993" t="s">
        <v>222</v>
      </c>
      <c r="E993" t="s">
        <v>30</v>
      </c>
      <c r="F993" s="6">
        <v>45838</v>
      </c>
      <c r="G993">
        <v>2025</v>
      </c>
      <c r="H993" t="s">
        <v>44</v>
      </c>
      <c r="I993" t="s">
        <v>244</v>
      </c>
      <c r="J993">
        <v>100</v>
      </c>
      <c r="K993">
        <v>98.47</v>
      </c>
      <c r="L993">
        <v>0.98470000000000002</v>
      </c>
      <c r="M993">
        <v>0.98470000000000002</v>
      </c>
      <c r="N993" t="s">
        <v>102</v>
      </c>
      <c r="O993" t="s">
        <v>2262</v>
      </c>
      <c r="P993" t="s">
        <v>2263</v>
      </c>
      <c r="Q993">
        <v>2</v>
      </c>
      <c r="R993">
        <v>2</v>
      </c>
    </row>
    <row r="994" spans="1:18" x14ac:dyDescent="0.3">
      <c r="A994" t="s">
        <v>2255</v>
      </c>
      <c r="B994" t="s">
        <v>2256</v>
      </c>
      <c r="C994" t="s">
        <v>161</v>
      </c>
      <c r="D994" t="s">
        <v>222</v>
      </c>
      <c r="E994" t="s">
        <v>30</v>
      </c>
      <c r="F994" s="6">
        <v>46022</v>
      </c>
      <c r="G994">
        <v>2025</v>
      </c>
      <c r="H994" t="s">
        <v>57</v>
      </c>
      <c r="I994" t="s">
        <v>103</v>
      </c>
      <c r="J994">
        <v>100</v>
      </c>
      <c r="K994">
        <v>116.09</v>
      </c>
      <c r="L994">
        <v>1.1609</v>
      </c>
      <c r="M994">
        <v>1.1609</v>
      </c>
      <c r="N994" t="s">
        <v>102</v>
      </c>
      <c r="O994" t="s">
        <v>2265</v>
      </c>
      <c r="P994" t="s">
        <v>2266</v>
      </c>
      <c r="Q994">
        <v>2</v>
      </c>
      <c r="R994">
        <v>2</v>
      </c>
    </row>
    <row r="995" spans="1:18" x14ac:dyDescent="0.3">
      <c r="A995" t="s">
        <v>2267</v>
      </c>
      <c r="B995" t="s">
        <v>2268</v>
      </c>
      <c r="C995" t="s">
        <v>161</v>
      </c>
      <c r="D995" t="s">
        <v>98</v>
      </c>
      <c r="E995" t="s">
        <v>30</v>
      </c>
      <c r="F995" s="6">
        <v>45291</v>
      </c>
      <c r="G995">
        <v>2023</v>
      </c>
      <c r="H995" t="s">
        <v>57</v>
      </c>
      <c r="I995" t="s">
        <v>47</v>
      </c>
      <c r="J995">
        <v>100</v>
      </c>
      <c r="K995">
        <v>100</v>
      </c>
      <c r="L995">
        <v>1</v>
      </c>
      <c r="M995">
        <v>1</v>
      </c>
      <c r="N995" t="s">
        <v>102</v>
      </c>
      <c r="O995" t="s">
        <v>102</v>
      </c>
      <c r="P995" t="s">
        <v>2269</v>
      </c>
      <c r="Q995">
        <v>2</v>
      </c>
      <c r="R995">
        <v>2</v>
      </c>
    </row>
    <row r="996" spans="1:18" x14ac:dyDescent="0.3">
      <c r="A996" t="s">
        <v>2267</v>
      </c>
      <c r="B996" t="s">
        <v>2268</v>
      </c>
      <c r="C996" t="s">
        <v>161</v>
      </c>
      <c r="D996" t="s">
        <v>98</v>
      </c>
      <c r="E996" t="s">
        <v>30</v>
      </c>
      <c r="F996" s="6">
        <v>45657</v>
      </c>
      <c r="G996">
        <v>2024</v>
      </c>
      <c r="H996" t="s">
        <v>57</v>
      </c>
      <c r="I996" t="s">
        <v>78</v>
      </c>
      <c r="J996">
        <v>100</v>
      </c>
      <c r="K996">
        <v>100</v>
      </c>
      <c r="L996">
        <v>1</v>
      </c>
      <c r="M996">
        <v>1</v>
      </c>
      <c r="N996" t="s">
        <v>102</v>
      </c>
      <c r="O996" t="s">
        <v>102</v>
      </c>
      <c r="P996" t="s">
        <v>2270</v>
      </c>
      <c r="Q996">
        <v>2</v>
      </c>
      <c r="R996">
        <v>2</v>
      </c>
    </row>
    <row r="997" spans="1:18" x14ac:dyDescent="0.3">
      <c r="A997" t="s">
        <v>2271</v>
      </c>
      <c r="B997" t="s">
        <v>2272</v>
      </c>
      <c r="C997" t="s">
        <v>138</v>
      </c>
      <c r="D997" t="s">
        <v>233</v>
      </c>
      <c r="E997" t="s">
        <v>30</v>
      </c>
      <c r="F997" s="6">
        <v>45107</v>
      </c>
      <c r="G997">
        <v>2023</v>
      </c>
      <c r="H997" t="s">
        <v>44</v>
      </c>
      <c r="I997" t="s">
        <v>33</v>
      </c>
      <c r="J997">
        <v>100</v>
      </c>
      <c r="K997">
        <v>120.5</v>
      </c>
      <c r="L997">
        <v>1.2050000000000001</v>
      </c>
      <c r="M997">
        <v>1.2050000000000001</v>
      </c>
      <c r="N997" t="s">
        <v>102</v>
      </c>
      <c r="O997" t="s">
        <v>5876</v>
      </c>
      <c r="P997" t="s">
        <v>2273</v>
      </c>
      <c r="Q997">
        <v>2</v>
      </c>
      <c r="R997">
        <v>2</v>
      </c>
    </row>
    <row r="998" spans="1:18" x14ac:dyDescent="0.3">
      <c r="A998" t="s">
        <v>2271</v>
      </c>
      <c r="B998" t="s">
        <v>2272</v>
      </c>
      <c r="C998" t="s">
        <v>138</v>
      </c>
      <c r="D998" t="s">
        <v>233</v>
      </c>
      <c r="E998" t="s">
        <v>30</v>
      </c>
      <c r="F998" s="6">
        <v>45291</v>
      </c>
      <c r="G998">
        <v>2023</v>
      </c>
      <c r="H998" t="s">
        <v>57</v>
      </c>
      <c r="I998" t="s">
        <v>47</v>
      </c>
      <c r="J998">
        <v>100</v>
      </c>
      <c r="K998">
        <v>103.83499999999999</v>
      </c>
      <c r="L998">
        <v>1.0383500000000001</v>
      </c>
      <c r="M998">
        <v>1.0383500000000001</v>
      </c>
      <c r="N998" t="s">
        <v>102</v>
      </c>
      <c r="O998" t="s">
        <v>5877</v>
      </c>
      <c r="P998" t="s">
        <v>2275</v>
      </c>
      <c r="Q998">
        <v>2</v>
      </c>
      <c r="R998">
        <v>2</v>
      </c>
    </row>
    <row r="999" spans="1:18" x14ac:dyDescent="0.3">
      <c r="A999" t="s">
        <v>2271</v>
      </c>
      <c r="B999" t="s">
        <v>2272</v>
      </c>
      <c r="C999" t="s">
        <v>138</v>
      </c>
      <c r="D999" t="s">
        <v>233</v>
      </c>
      <c r="E999" t="s">
        <v>30</v>
      </c>
      <c r="F999" s="6">
        <v>45473</v>
      </c>
      <c r="G999">
        <v>2024</v>
      </c>
      <c r="H999" t="s">
        <v>44</v>
      </c>
      <c r="I999" t="s">
        <v>71</v>
      </c>
      <c r="J999">
        <v>100</v>
      </c>
      <c r="K999">
        <v>50.234999999999999</v>
      </c>
      <c r="L999">
        <v>0.50234999999999996</v>
      </c>
      <c r="M999">
        <v>0.50234999999999996</v>
      </c>
      <c r="N999" t="s">
        <v>102</v>
      </c>
      <c r="O999" t="s">
        <v>5878</v>
      </c>
      <c r="P999" t="s">
        <v>2277</v>
      </c>
      <c r="Q999">
        <v>2</v>
      </c>
      <c r="R999">
        <v>2</v>
      </c>
    </row>
    <row r="1000" spans="1:18" x14ac:dyDescent="0.3">
      <c r="A1000" t="s">
        <v>2271</v>
      </c>
      <c r="B1000" t="s">
        <v>2272</v>
      </c>
      <c r="C1000" t="s">
        <v>138</v>
      </c>
      <c r="D1000" t="s">
        <v>233</v>
      </c>
      <c r="E1000" t="s">
        <v>30</v>
      </c>
      <c r="F1000" s="6">
        <v>45657</v>
      </c>
      <c r="G1000">
        <v>2024</v>
      </c>
      <c r="H1000" t="s">
        <v>57</v>
      </c>
      <c r="I1000" t="s">
        <v>78</v>
      </c>
      <c r="J1000">
        <v>100</v>
      </c>
      <c r="K1000">
        <v>0</v>
      </c>
      <c r="L1000">
        <v>0</v>
      </c>
      <c r="M1000">
        <v>0</v>
      </c>
      <c r="N1000" t="s">
        <v>102</v>
      </c>
      <c r="O1000" t="s">
        <v>122</v>
      </c>
      <c r="P1000" t="s">
        <v>2279</v>
      </c>
      <c r="Q1000">
        <v>2</v>
      </c>
      <c r="R1000">
        <v>2</v>
      </c>
    </row>
    <row r="1001" spans="1:18" x14ac:dyDescent="0.3">
      <c r="A1001" t="s">
        <v>2271</v>
      </c>
      <c r="B1001" t="s">
        <v>2272</v>
      </c>
      <c r="C1001" t="s">
        <v>138</v>
      </c>
      <c r="D1001" t="s">
        <v>233</v>
      </c>
      <c r="E1001" t="s">
        <v>30</v>
      </c>
      <c r="F1001" s="6">
        <v>45838</v>
      </c>
      <c r="G1001">
        <v>2025</v>
      </c>
      <c r="H1001" t="s">
        <v>44</v>
      </c>
      <c r="I1001" t="s">
        <v>244</v>
      </c>
      <c r="J1001">
        <v>100</v>
      </c>
      <c r="K1001">
        <v>108.67</v>
      </c>
      <c r="L1001">
        <v>1.0867</v>
      </c>
      <c r="M1001">
        <v>1.0867</v>
      </c>
      <c r="N1001" t="s">
        <v>102</v>
      </c>
      <c r="O1001" t="s">
        <v>2282</v>
      </c>
      <c r="P1001" t="s">
        <v>2283</v>
      </c>
      <c r="Q1001">
        <v>2</v>
      </c>
      <c r="R1001">
        <v>2</v>
      </c>
    </row>
    <row r="1002" spans="1:18" x14ac:dyDescent="0.3">
      <c r="A1002" t="s">
        <v>2271</v>
      </c>
      <c r="B1002" t="s">
        <v>2272</v>
      </c>
      <c r="C1002" t="s">
        <v>138</v>
      </c>
      <c r="D1002" t="s">
        <v>233</v>
      </c>
      <c r="E1002" t="s">
        <v>30</v>
      </c>
      <c r="F1002" s="6">
        <v>46022</v>
      </c>
      <c r="G1002">
        <v>2025</v>
      </c>
      <c r="H1002" t="s">
        <v>57</v>
      </c>
      <c r="I1002" t="s">
        <v>103</v>
      </c>
      <c r="J1002">
        <v>100</v>
      </c>
      <c r="L1002">
        <v>0</v>
      </c>
      <c r="M1002">
        <v>0</v>
      </c>
      <c r="N1002" t="s">
        <v>102</v>
      </c>
      <c r="P1002" t="s">
        <v>2284</v>
      </c>
      <c r="Q1002">
        <v>2</v>
      </c>
      <c r="R1002">
        <v>2</v>
      </c>
    </row>
    <row r="1003" spans="1:18" x14ac:dyDescent="0.3">
      <c r="A1003" t="s">
        <v>2285</v>
      </c>
      <c r="B1003" t="s">
        <v>2286</v>
      </c>
      <c r="C1003" t="s">
        <v>663</v>
      </c>
      <c r="D1003" t="s">
        <v>222</v>
      </c>
      <c r="E1003" t="s">
        <v>30</v>
      </c>
      <c r="F1003" s="6">
        <v>45107</v>
      </c>
      <c r="G1003">
        <v>2023</v>
      </c>
      <c r="H1003" t="s">
        <v>44</v>
      </c>
      <c r="I1003" t="s">
        <v>33</v>
      </c>
      <c r="J1003">
        <v>20</v>
      </c>
      <c r="K1003">
        <v>25</v>
      </c>
      <c r="L1003">
        <v>1.25</v>
      </c>
      <c r="M1003">
        <v>1.25</v>
      </c>
      <c r="N1003" t="s">
        <v>1298</v>
      </c>
      <c r="O1003" t="s">
        <v>5588</v>
      </c>
      <c r="P1003" t="s">
        <v>2287</v>
      </c>
      <c r="Q1003">
        <v>2</v>
      </c>
      <c r="R1003">
        <v>2</v>
      </c>
    </row>
    <row r="1004" spans="1:18" x14ac:dyDescent="0.3">
      <c r="A1004" t="s">
        <v>2285</v>
      </c>
      <c r="B1004" t="s">
        <v>2286</v>
      </c>
      <c r="C1004" t="s">
        <v>663</v>
      </c>
      <c r="D1004" t="s">
        <v>222</v>
      </c>
      <c r="E1004" t="s">
        <v>30</v>
      </c>
      <c r="F1004" s="6">
        <v>45291</v>
      </c>
      <c r="G1004">
        <v>2023</v>
      </c>
      <c r="H1004" t="s">
        <v>57</v>
      </c>
      <c r="I1004" t="s">
        <v>47</v>
      </c>
      <c r="J1004">
        <v>26</v>
      </c>
      <c r="K1004">
        <v>82</v>
      </c>
      <c r="L1004">
        <v>1.3</v>
      </c>
      <c r="M1004">
        <v>3.1538461538461542</v>
      </c>
      <c r="N1004" t="s">
        <v>1468</v>
      </c>
      <c r="O1004" t="s">
        <v>5879</v>
      </c>
      <c r="P1004" t="s">
        <v>2288</v>
      </c>
      <c r="Q1004">
        <v>2</v>
      </c>
      <c r="R1004">
        <v>2</v>
      </c>
    </row>
    <row r="1005" spans="1:18" x14ac:dyDescent="0.3">
      <c r="A1005" t="s">
        <v>2285</v>
      </c>
      <c r="B1005" t="s">
        <v>2286</v>
      </c>
      <c r="C1005" t="s">
        <v>663</v>
      </c>
      <c r="D1005" t="s">
        <v>222</v>
      </c>
      <c r="E1005" t="s">
        <v>30</v>
      </c>
      <c r="F1005" s="6">
        <v>45473</v>
      </c>
      <c r="G1005">
        <v>2024</v>
      </c>
      <c r="H1005" t="s">
        <v>44</v>
      </c>
      <c r="I1005" t="s">
        <v>71</v>
      </c>
      <c r="J1005">
        <v>100</v>
      </c>
      <c r="K1005">
        <v>112</v>
      </c>
      <c r="L1005">
        <v>1.1200000000000001</v>
      </c>
      <c r="M1005">
        <v>1.1200000000000001</v>
      </c>
      <c r="N1005" t="s">
        <v>102</v>
      </c>
      <c r="O1005" t="s">
        <v>5538</v>
      </c>
      <c r="P1005" t="s">
        <v>2289</v>
      </c>
      <c r="Q1005">
        <v>2</v>
      </c>
      <c r="R1005">
        <v>2</v>
      </c>
    </row>
    <row r="1006" spans="1:18" x14ac:dyDescent="0.3">
      <c r="A1006" t="s">
        <v>2285</v>
      </c>
      <c r="B1006" t="s">
        <v>2286</v>
      </c>
      <c r="C1006" t="s">
        <v>663</v>
      </c>
      <c r="D1006" t="s">
        <v>222</v>
      </c>
      <c r="E1006" t="s">
        <v>30</v>
      </c>
      <c r="F1006" s="6">
        <v>45657</v>
      </c>
      <c r="G1006">
        <v>2024</v>
      </c>
      <c r="H1006" t="s">
        <v>57</v>
      </c>
      <c r="I1006" t="s">
        <v>78</v>
      </c>
      <c r="J1006">
        <v>100</v>
      </c>
      <c r="K1006">
        <v>413.33</v>
      </c>
      <c r="L1006">
        <v>1.3</v>
      </c>
      <c r="M1006">
        <v>4.1333000000000002</v>
      </c>
      <c r="N1006" t="s">
        <v>102</v>
      </c>
      <c r="O1006" t="s">
        <v>5880</v>
      </c>
      <c r="P1006" t="s">
        <v>2290</v>
      </c>
      <c r="Q1006">
        <v>2</v>
      </c>
      <c r="R1006">
        <v>2</v>
      </c>
    </row>
    <row r="1007" spans="1:18" x14ac:dyDescent="0.3">
      <c r="A1007" t="s">
        <v>2291</v>
      </c>
      <c r="B1007" t="s">
        <v>2292</v>
      </c>
      <c r="C1007" t="s">
        <v>663</v>
      </c>
      <c r="D1007" t="s">
        <v>222</v>
      </c>
      <c r="E1007" t="s">
        <v>30</v>
      </c>
      <c r="F1007" s="6">
        <v>45107</v>
      </c>
      <c r="G1007">
        <v>2023</v>
      </c>
      <c r="H1007" t="s">
        <v>44</v>
      </c>
      <c r="I1007" t="s">
        <v>33</v>
      </c>
      <c r="J1007">
        <v>12</v>
      </c>
      <c r="K1007">
        <v>27</v>
      </c>
      <c r="L1007">
        <v>1.3</v>
      </c>
      <c r="M1007">
        <v>2.25</v>
      </c>
      <c r="N1007" t="s">
        <v>3089</v>
      </c>
      <c r="O1007" t="s">
        <v>5762</v>
      </c>
      <c r="P1007" t="s">
        <v>2293</v>
      </c>
      <c r="Q1007">
        <v>2</v>
      </c>
      <c r="R1007">
        <v>2</v>
      </c>
    </row>
    <row r="1008" spans="1:18" x14ac:dyDescent="0.3">
      <c r="A1008" t="s">
        <v>2291</v>
      </c>
      <c r="B1008" t="s">
        <v>2292</v>
      </c>
      <c r="C1008" t="s">
        <v>663</v>
      </c>
      <c r="D1008" t="s">
        <v>222</v>
      </c>
      <c r="E1008" t="s">
        <v>30</v>
      </c>
      <c r="F1008" s="6">
        <v>45291</v>
      </c>
      <c r="G1008">
        <v>2023</v>
      </c>
      <c r="H1008" t="s">
        <v>57</v>
      </c>
      <c r="I1008" t="s">
        <v>47</v>
      </c>
      <c r="J1008">
        <v>20</v>
      </c>
      <c r="K1008">
        <v>54</v>
      </c>
      <c r="L1008">
        <v>1.3</v>
      </c>
      <c r="M1008">
        <v>2.7</v>
      </c>
      <c r="N1008" t="s">
        <v>1298</v>
      </c>
      <c r="O1008" t="s">
        <v>5881</v>
      </c>
      <c r="P1008" t="s">
        <v>2294</v>
      </c>
      <c r="Q1008">
        <v>2</v>
      </c>
      <c r="R1008">
        <v>2</v>
      </c>
    </row>
    <row r="1009" spans="1:18" x14ac:dyDescent="0.3">
      <c r="A1009" t="s">
        <v>2291</v>
      </c>
      <c r="B1009" t="s">
        <v>2292</v>
      </c>
      <c r="C1009" t="s">
        <v>663</v>
      </c>
      <c r="D1009" t="s">
        <v>222</v>
      </c>
      <c r="E1009" t="s">
        <v>30</v>
      </c>
      <c r="F1009" s="6">
        <v>45473</v>
      </c>
      <c r="G1009">
        <v>2024</v>
      </c>
      <c r="H1009" t="s">
        <v>44</v>
      </c>
      <c r="I1009" t="s">
        <v>71</v>
      </c>
      <c r="J1009">
        <v>100</v>
      </c>
      <c r="K1009">
        <v>100</v>
      </c>
      <c r="L1009">
        <v>1</v>
      </c>
      <c r="M1009">
        <v>1</v>
      </c>
      <c r="N1009" t="s">
        <v>102</v>
      </c>
      <c r="O1009" t="s">
        <v>102</v>
      </c>
      <c r="P1009" t="s">
        <v>2295</v>
      </c>
      <c r="Q1009">
        <v>2</v>
      </c>
      <c r="R1009">
        <v>2</v>
      </c>
    </row>
    <row r="1010" spans="1:18" x14ac:dyDescent="0.3">
      <c r="A1010" t="s">
        <v>2291</v>
      </c>
      <c r="B1010" t="s">
        <v>2292</v>
      </c>
      <c r="C1010" t="s">
        <v>663</v>
      </c>
      <c r="D1010" t="s">
        <v>222</v>
      </c>
      <c r="E1010" t="s">
        <v>30</v>
      </c>
      <c r="F1010" s="6">
        <v>45657</v>
      </c>
      <c r="G1010">
        <v>2024</v>
      </c>
      <c r="H1010" t="s">
        <v>57</v>
      </c>
      <c r="I1010" t="s">
        <v>78</v>
      </c>
      <c r="J1010">
        <v>100</v>
      </c>
      <c r="K1010">
        <v>100</v>
      </c>
      <c r="L1010">
        <v>1</v>
      </c>
      <c r="M1010">
        <v>1</v>
      </c>
      <c r="N1010" t="s">
        <v>102</v>
      </c>
      <c r="O1010" t="s">
        <v>102</v>
      </c>
      <c r="P1010" t="s">
        <v>2296</v>
      </c>
      <c r="Q1010">
        <v>2</v>
      </c>
      <c r="R1010">
        <v>2</v>
      </c>
    </row>
    <row r="1011" spans="1:18" x14ac:dyDescent="0.3">
      <c r="A1011" t="s">
        <v>2297</v>
      </c>
      <c r="B1011" t="s">
        <v>2298</v>
      </c>
      <c r="C1011" t="s">
        <v>663</v>
      </c>
      <c r="D1011" t="s">
        <v>222</v>
      </c>
      <c r="E1011" t="s">
        <v>30</v>
      </c>
      <c r="F1011" s="6">
        <v>45107</v>
      </c>
      <c r="G1011">
        <v>2023</v>
      </c>
      <c r="H1011" t="s">
        <v>44</v>
      </c>
      <c r="I1011" t="s">
        <v>33</v>
      </c>
      <c r="J1011">
        <v>19</v>
      </c>
      <c r="K1011">
        <v>27</v>
      </c>
      <c r="L1011">
        <v>1.3</v>
      </c>
      <c r="M1011">
        <v>1.4210526315789469</v>
      </c>
      <c r="N1011" t="s">
        <v>4734</v>
      </c>
      <c r="O1011" t="s">
        <v>5762</v>
      </c>
      <c r="P1011" t="s">
        <v>2299</v>
      </c>
      <c r="Q1011">
        <v>2</v>
      </c>
      <c r="R1011">
        <v>2</v>
      </c>
    </row>
    <row r="1012" spans="1:18" x14ac:dyDescent="0.3">
      <c r="A1012" t="s">
        <v>2297</v>
      </c>
      <c r="B1012" t="s">
        <v>2298</v>
      </c>
      <c r="C1012" t="s">
        <v>663</v>
      </c>
      <c r="D1012" t="s">
        <v>222</v>
      </c>
      <c r="E1012" t="s">
        <v>30</v>
      </c>
      <c r="F1012" s="6">
        <v>45291</v>
      </c>
      <c r="G1012">
        <v>2023</v>
      </c>
      <c r="H1012" t="s">
        <v>57</v>
      </c>
      <c r="I1012" t="s">
        <v>47</v>
      </c>
      <c r="J1012">
        <v>45</v>
      </c>
      <c r="K1012">
        <v>76</v>
      </c>
      <c r="L1012">
        <v>1.3</v>
      </c>
      <c r="M1012">
        <v>1.6888888888888891</v>
      </c>
      <c r="N1012" t="s">
        <v>5882</v>
      </c>
      <c r="O1012" t="s">
        <v>5576</v>
      </c>
      <c r="P1012" t="s">
        <v>2300</v>
      </c>
      <c r="Q1012">
        <v>2</v>
      </c>
      <c r="R1012">
        <v>2</v>
      </c>
    </row>
    <row r="1013" spans="1:18" x14ac:dyDescent="0.3">
      <c r="A1013" t="s">
        <v>2297</v>
      </c>
      <c r="B1013" t="s">
        <v>2298</v>
      </c>
      <c r="C1013" t="s">
        <v>663</v>
      </c>
      <c r="D1013" t="s">
        <v>222</v>
      </c>
      <c r="E1013" t="s">
        <v>30</v>
      </c>
      <c r="F1013" s="6">
        <v>45473</v>
      </c>
      <c r="G1013">
        <v>2024</v>
      </c>
      <c r="H1013" t="s">
        <v>44</v>
      </c>
      <c r="I1013" t="s">
        <v>71</v>
      </c>
      <c r="J1013">
        <v>100</v>
      </c>
      <c r="K1013">
        <v>216</v>
      </c>
      <c r="L1013">
        <v>1.3</v>
      </c>
      <c r="M1013">
        <v>2.16</v>
      </c>
      <c r="N1013" t="s">
        <v>102</v>
      </c>
      <c r="O1013" t="s">
        <v>5883</v>
      </c>
      <c r="P1013" t="s">
        <v>2301</v>
      </c>
      <c r="Q1013">
        <v>2</v>
      </c>
      <c r="R1013">
        <v>2</v>
      </c>
    </row>
    <row r="1014" spans="1:18" x14ac:dyDescent="0.3">
      <c r="A1014" t="s">
        <v>2297</v>
      </c>
      <c r="B1014" t="s">
        <v>2302</v>
      </c>
      <c r="C1014" t="s">
        <v>663</v>
      </c>
      <c r="D1014" t="s">
        <v>222</v>
      </c>
      <c r="E1014" t="s">
        <v>30</v>
      </c>
      <c r="F1014" s="6">
        <v>45657</v>
      </c>
      <c r="G1014">
        <v>2024</v>
      </c>
      <c r="H1014" t="s">
        <v>57</v>
      </c>
      <c r="I1014" t="s">
        <v>78</v>
      </c>
      <c r="J1014">
        <v>100</v>
      </c>
      <c r="K1014">
        <v>154.66999999999999</v>
      </c>
      <c r="L1014">
        <v>1.3</v>
      </c>
      <c r="M1014">
        <v>1.5467</v>
      </c>
      <c r="N1014" t="s">
        <v>102</v>
      </c>
      <c r="O1014" t="s">
        <v>5884</v>
      </c>
      <c r="P1014" t="s">
        <v>2303</v>
      </c>
      <c r="Q1014">
        <v>2</v>
      </c>
      <c r="R1014">
        <v>2</v>
      </c>
    </row>
    <row r="1015" spans="1:18" x14ac:dyDescent="0.3">
      <c r="A1015" t="s">
        <v>2304</v>
      </c>
      <c r="B1015" t="s">
        <v>2305</v>
      </c>
      <c r="C1015" t="s">
        <v>663</v>
      </c>
      <c r="D1015" t="s">
        <v>222</v>
      </c>
      <c r="E1015" t="s">
        <v>30</v>
      </c>
      <c r="F1015" s="6">
        <v>45107</v>
      </c>
      <c r="G1015">
        <v>2023</v>
      </c>
      <c r="H1015" t="s">
        <v>44</v>
      </c>
      <c r="I1015" t="s">
        <v>33</v>
      </c>
      <c r="J1015">
        <v>14</v>
      </c>
      <c r="K1015">
        <v>48</v>
      </c>
      <c r="L1015">
        <v>1.3</v>
      </c>
      <c r="M1015">
        <v>3.4285714285714279</v>
      </c>
      <c r="N1015" t="s">
        <v>3827</v>
      </c>
      <c r="O1015" t="s">
        <v>3982</v>
      </c>
      <c r="P1015" t="s">
        <v>2306</v>
      </c>
      <c r="Q1015">
        <v>2</v>
      </c>
      <c r="R1015">
        <v>2</v>
      </c>
    </row>
    <row r="1016" spans="1:18" x14ac:dyDescent="0.3">
      <c r="A1016" t="s">
        <v>2304</v>
      </c>
      <c r="B1016" t="s">
        <v>2305</v>
      </c>
      <c r="C1016" t="s">
        <v>663</v>
      </c>
      <c r="D1016" t="s">
        <v>222</v>
      </c>
      <c r="E1016" t="s">
        <v>30</v>
      </c>
      <c r="F1016" s="6">
        <v>45291</v>
      </c>
      <c r="G1016">
        <v>2023</v>
      </c>
      <c r="H1016" t="s">
        <v>57</v>
      </c>
      <c r="I1016" t="s">
        <v>47</v>
      </c>
      <c r="J1016">
        <v>70</v>
      </c>
      <c r="K1016">
        <v>118</v>
      </c>
      <c r="L1016">
        <v>1.3</v>
      </c>
      <c r="M1016">
        <v>1.6857142857142859</v>
      </c>
      <c r="N1016" t="s">
        <v>3922</v>
      </c>
      <c r="O1016" t="s">
        <v>4054</v>
      </c>
      <c r="P1016" t="s">
        <v>2307</v>
      </c>
      <c r="Q1016">
        <v>2</v>
      </c>
      <c r="R1016">
        <v>2</v>
      </c>
    </row>
    <row r="1017" spans="1:18" x14ac:dyDescent="0.3">
      <c r="A1017" t="s">
        <v>2304</v>
      </c>
      <c r="B1017" t="s">
        <v>2305</v>
      </c>
      <c r="C1017" t="s">
        <v>663</v>
      </c>
      <c r="D1017" t="s">
        <v>222</v>
      </c>
      <c r="E1017" t="s">
        <v>30</v>
      </c>
      <c r="F1017" s="6">
        <v>45473</v>
      </c>
      <c r="G1017">
        <v>2024</v>
      </c>
      <c r="H1017" t="s">
        <v>44</v>
      </c>
      <c r="I1017" t="s">
        <v>71</v>
      </c>
      <c r="J1017">
        <v>100</v>
      </c>
      <c r="K1017">
        <v>95.56</v>
      </c>
      <c r="L1017">
        <v>0.9556</v>
      </c>
      <c r="M1017">
        <v>0.9556</v>
      </c>
      <c r="N1017" t="s">
        <v>102</v>
      </c>
      <c r="O1017" t="s">
        <v>5885</v>
      </c>
      <c r="P1017" t="s">
        <v>2308</v>
      </c>
      <c r="Q1017">
        <v>2</v>
      </c>
      <c r="R1017">
        <v>2</v>
      </c>
    </row>
    <row r="1018" spans="1:18" x14ac:dyDescent="0.3">
      <c r="A1018" t="s">
        <v>2304</v>
      </c>
      <c r="B1018" t="s">
        <v>2305</v>
      </c>
      <c r="C1018" t="s">
        <v>663</v>
      </c>
      <c r="D1018" t="s">
        <v>222</v>
      </c>
      <c r="E1018" t="s">
        <v>30</v>
      </c>
      <c r="F1018" s="6">
        <v>45657</v>
      </c>
      <c r="G1018">
        <v>2024</v>
      </c>
      <c r="H1018" t="s">
        <v>57</v>
      </c>
      <c r="I1018" t="s">
        <v>78</v>
      </c>
      <c r="J1018">
        <v>100</v>
      </c>
      <c r="K1018">
        <v>79.13</v>
      </c>
      <c r="L1018">
        <v>0.7913</v>
      </c>
      <c r="M1018">
        <v>0.7913</v>
      </c>
      <c r="N1018" t="s">
        <v>102</v>
      </c>
      <c r="O1018" t="s">
        <v>5886</v>
      </c>
      <c r="P1018" t="s">
        <v>2309</v>
      </c>
      <c r="Q1018">
        <v>2</v>
      </c>
      <c r="R1018">
        <v>2</v>
      </c>
    </row>
    <row r="1019" spans="1:18" x14ac:dyDescent="0.3">
      <c r="A1019" t="s">
        <v>2310</v>
      </c>
      <c r="B1019" t="s">
        <v>2311</v>
      </c>
      <c r="C1019" t="s">
        <v>663</v>
      </c>
      <c r="D1019" t="s">
        <v>222</v>
      </c>
      <c r="E1019" t="s">
        <v>30</v>
      </c>
      <c r="F1019" s="6">
        <v>45107</v>
      </c>
      <c r="G1019">
        <v>2023</v>
      </c>
      <c r="H1019" t="s">
        <v>44</v>
      </c>
      <c r="I1019" t="s">
        <v>33</v>
      </c>
      <c r="J1019">
        <v>22</v>
      </c>
      <c r="K1019">
        <v>85</v>
      </c>
      <c r="L1019">
        <v>1.3</v>
      </c>
      <c r="M1019">
        <v>3.8636363636363642</v>
      </c>
      <c r="N1019" t="s">
        <v>1460</v>
      </c>
      <c r="O1019" t="s">
        <v>2357</v>
      </c>
      <c r="P1019" t="s">
        <v>2312</v>
      </c>
      <c r="Q1019">
        <v>2</v>
      </c>
      <c r="R1019">
        <v>2</v>
      </c>
    </row>
    <row r="1020" spans="1:18" x14ac:dyDescent="0.3">
      <c r="A1020" t="s">
        <v>2310</v>
      </c>
      <c r="B1020" t="s">
        <v>2311</v>
      </c>
      <c r="C1020" t="s">
        <v>663</v>
      </c>
      <c r="D1020" t="s">
        <v>222</v>
      </c>
      <c r="E1020" t="s">
        <v>30</v>
      </c>
      <c r="F1020" s="6">
        <v>45291</v>
      </c>
      <c r="G1020">
        <v>2023</v>
      </c>
      <c r="H1020" t="s">
        <v>57</v>
      </c>
      <c r="I1020" t="s">
        <v>47</v>
      </c>
      <c r="J1020">
        <v>245</v>
      </c>
      <c r="K1020">
        <v>247</v>
      </c>
      <c r="L1020">
        <v>1.008163265306123</v>
      </c>
      <c r="M1020">
        <v>1.008163265306123</v>
      </c>
      <c r="N1020" t="s">
        <v>5887</v>
      </c>
      <c r="O1020" t="s">
        <v>5888</v>
      </c>
      <c r="P1020" t="s">
        <v>2313</v>
      </c>
      <c r="Q1020">
        <v>2</v>
      </c>
      <c r="R1020">
        <v>2</v>
      </c>
    </row>
    <row r="1021" spans="1:18" x14ac:dyDescent="0.3">
      <c r="A1021" t="s">
        <v>2310</v>
      </c>
      <c r="B1021" t="s">
        <v>2311</v>
      </c>
      <c r="C1021" t="s">
        <v>663</v>
      </c>
      <c r="D1021" t="s">
        <v>222</v>
      </c>
      <c r="E1021" t="s">
        <v>30</v>
      </c>
      <c r="F1021" s="6">
        <v>45473</v>
      </c>
      <c r="G1021">
        <v>2024</v>
      </c>
      <c r="H1021" t="s">
        <v>44</v>
      </c>
      <c r="I1021" t="s">
        <v>71</v>
      </c>
      <c r="J1021">
        <v>100</v>
      </c>
      <c r="K1021">
        <v>117.65</v>
      </c>
      <c r="L1021">
        <v>1.1765000000000001</v>
      </c>
      <c r="M1021">
        <v>1.1765000000000001</v>
      </c>
      <c r="N1021" t="s">
        <v>102</v>
      </c>
      <c r="O1021" t="s">
        <v>5889</v>
      </c>
      <c r="P1021" t="s">
        <v>2314</v>
      </c>
      <c r="Q1021">
        <v>2</v>
      </c>
      <c r="R1021">
        <v>2</v>
      </c>
    </row>
    <row r="1022" spans="1:18" x14ac:dyDescent="0.3">
      <c r="A1022" t="s">
        <v>2310</v>
      </c>
      <c r="B1022" t="s">
        <v>2311</v>
      </c>
      <c r="C1022" t="s">
        <v>663</v>
      </c>
      <c r="D1022" t="s">
        <v>222</v>
      </c>
      <c r="E1022" t="s">
        <v>30</v>
      </c>
      <c r="F1022" s="6">
        <v>45657</v>
      </c>
      <c r="G1022">
        <v>2024</v>
      </c>
      <c r="H1022" t="s">
        <v>57</v>
      </c>
      <c r="I1022" t="s">
        <v>78</v>
      </c>
      <c r="J1022">
        <v>100</v>
      </c>
      <c r="K1022">
        <v>67.760000000000005</v>
      </c>
      <c r="L1022">
        <v>0.67760000000000009</v>
      </c>
      <c r="M1022">
        <v>0.67760000000000009</v>
      </c>
      <c r="N1022" t="s">
        <v>102</v>
      </c>
      <c r="O1022" t="s">
        <v>5890</v>
      </c>
      <c r="P1022" t="s">
        <v>2315</v>
      </c>
      <c r="Q1022">
        <v>2</v>
      </c>
      <c r="R1022">
        <v>2</v>
      </c>
    </row>
    <row r="1023" spans="1:18" x14ac:dyDescent="0.3">
      <c r="A1023" t="s">
        <v>2316</v>
      </c>
      <c r="B1023" t="s">
        <v>2317</v>
      </c>
      <c r="C1023" t="s">
        <v>663</v>
      </c>
      <c r="D1023" t="s">
        <v>222</v>
      </c>
      <c r="E1023" t="s">
        <v>30</v>
      </c>
      <c r="F1023" s="6">
        <v>45107</v>
      </c>
      <c r="G1023">
        <v>2023</v>
      </c>
      <c r="H1023" t="s">
        <v>44</v>
      </c>
      <c r="I1023" t="s">
        <v>33</v>
      </c>
      <c r="J1023">
        <v>113</v>
      </c>
      <c r="K1023">
        <v>125</v>
      </c>
      <c r="L1023">
        <v>1.1061946902654869</v>
      </c>
      <c r="M1023">
        <v>1.1061946902654869</v>
      </c>
      <c r="N1023" t="s">
        <v>5891</v>
      </c>
      <c r="O1023" t="s">
        <v>5559</v>
      </c>
      <c r="P1023" t="s">
        <v>2318</v>
      </c>
      <c r="Q1023">
        <v>2</v>
      </c>
      <c r="R1023">
        <v>2</v>
      </c>
    </row>
    <row r="1024" spans="1:18" x14ac:dyDescent="0.3">
      <c r="A1024" t="s">
        <v>2316</v>
      </c>
      <c r="B1024" t="s">
        <v>2317</v>
      </c>
      <c r="C1024" t="s">
        <v>663</v>
      </c>
      <c r="D1024" t="s">
        <v>222</v>
      </c>
      <c r="E1024" t="s">
        <v>30</v>
      </c>
      <c r="F1024" s="6">
        <v>45291</v>
      </c>
      <c r="G1024">
        <v>2023</v>
      </c>
      <c r="H1024" t="s">
        <v>57</v>
      </c>
      <c r="I1024" t="s">
        <v>47</v>
      </c>
      <c r="J1024">
        <v>108</v>
      </c>
      <c r="K1024">
        <v>118</v>
      </c>
      <c r="L1024">
        <v>1.092592592592593</v>
      </c>
      <c r="M1024">
        <v>1.092592592592593</v>
      </c>
      <c r="N1024" t="s">
        <v>5892</v>
      </c>
      <c r="O1024" t="s">
        <v>4054</v>
      </c>
      <c r="P1024" t="s">
        <v>2319</v>
      </c>
      <c r="Q1024">
        <v>2</v>
      </c>
      <c r="R1024">
        <v>2</v>
      </c>
    </row>
    <row r="1025" spans="1:18" x14ac:dyDescent="0.3">
      <c r="A1025" t="s">
        <v>2316</v>
      </c>
      <c r="B1025" t="s">
        <v>2317</v>
      </c>
      <c r="C1025" t="s">
        <v>663</v>
      </c>
      <c r="D1025" t="s">
        <v>222</v>
      </c>
      <c r="E1025" t="s">
        <v>30</v>
      </c>
      <c r="F1025" s="6">
        <v>45473</v>
      </c>
      <c r="G1025">
        <v>2024</v>
      </c>
      <c r="H1025" t="s">
        <v>44</v>
      </c>
      <c r="I1025" t="s">
        <v>71</v>
      </c>
      <c r="J1025">
        <v>100</v>
      </c>
      <c r="K1025">
        <v>126</v>
      </c>
      <c r="L1025">
        <v>1.26</v>
      </c>
      <c r="M1025">
        <v>1.26</v>
      </c>
      <c r="N1025" t="s">
        <v>102</v>
      </c>
      <c r="O1025" t="s">
        <v>5706</v>
      </c>
      <c r="P1025" t="s">
        <v>2320</v>
      </c>
      <c r="Q1025">
        <v>2</v>
      </c>
      <c r="R1025">
        <v>2</v>
      </c>
    </row>
    <row r="1026" spans="1:18" x14ac:dyDescent="0.3">
      <c r="A1026" t="s">
        <v>2316</v>
      </c>
      <c r="B1026" t="s">
        <v>2317</v>
      </c>
      <c r="C1026" t="s">
        <v>663</v>
      </c>
      <c r="D1026" t="s">
        <v>222</v>
      </c>
      <c r="E1026" t="s">
        <v>30</v>
      </c>
      <c r="F1026" s="6">
        <v>45657</v>
      </c>
      <c r="G1026">
        <v>2024</v>
      </c>
      <c r="H1026" t="s">
        <v>57</v>
      </c>
      <c r="I1026" t="s">
        <v>78</v>
      </c>
      <c r="J1026">
        <v>100</v>
      </c>
      <c r="K1026">
        <v>137</v>
      </c>
      <c r="L1026">
        <v>1.3</v>
      </c>
      <c r="M1026">
        <v>1.37</v>
      </c>
      <c r="N1026" t="s">
        <v>102</v>
      </c>
      <c r="O1026" t="s">
        <v>5893</v>
      </c>
      <c r="P1026" t="s">
        <v>2321</v>
      </c>
      <c r="Q1026">
        <v>2</v>
      </c>
      <c r="R1026">
        <v>2</v>
      </c>
    </row>
    <row r="1027" spans="1:18" x14ac:dyDescent="0.3">
      <c r="A1027" t="s">
        <v>2322</v>
      </c>
      <c r="B1027" t="s">
        <v>2323</v>
      </c>
      <c r="C1027" t="s">
        <v>663</v>
      </c>
      <c r="D1027" t="s">
        <v>222</v>
      </c>
      <c r="E1027" t="s">
        <v>30</v>
      </c>
      <c r="F1027" s="6">
        <v>45107</v>
      </c>
      <c r="G1027">
        <v>2023</v>
      </c>
      <c r="H1027" t="s">
        <v>44</v>
      </c>
      <c r="I1027" t="s">
        <v>33</v>
      </c>
      <c r="J1027">
        <v>13</v>
      </c>
      <c r="K1027">
        <v>13</v>
      </c>
      <c r="L1027">
        <v>1</v>
      </c>
      <c r="M1027">
        <v>1</v>
      </c>
      <c r="N1027" t="s">
        <v>5550</v>
      </c>
      <c r="O1027" t="s">
        <v>5550</v>
      </c>
      <c r="P1027" t="s">
        <v>2324</v>
      </c>
      <c r="Q1027">
        <v>2</v>
      </c>
      <c r="R1027">
        <v>2</v>
      </c>
    </row>
    <row r="1028" spans="1:18" x14ac:dyDescent="0.3">
      <c r="A1028" t="s">
        <v>2322</v>
      </c>
      <c r="B1028" t="s">
        <v>2323</v>
      </c>
      <c r="C1028" t="s">
        <v>663</v>
      </c>
      <c r="D1028" t="s">
        <v>222</v>
      </c>
      <c r="E1028" t="s">
        <v>30</v>
      </c>
      <c r="F1028" s="6">
        <v>45291</v>
      </c>
      <c r="G1028">
        <v>2023</v>
      </c>
      <c r="H1028" t="s">
        <v>57</v>
      </c>
      <c r="I1028" t="s">
        <v>47</v>
      </c>
      <c r="J1028">
        <v>15</v>
      </c>
      <c r="K1028">
        <v>12</v>
      </c>
      <c r="L1028">
        <v>0.8</v>
      </c>
      <c r="M1028">
        <v>0.8</v>
      </c>
      <c r="N1028" t="s">
        <v>3932</v>
      </c>
      <c r="O1028" t="s">
        <v>3089</v>
      </c>
      <c r="P1028" t="s">
        <v>2325</v>
      </c>
      <c r="Q1028">
        <v>2</v>
      </c>
      <c r="R1028">
        <v>2</v>
      </c>
    </row>
    <row r="1029" spans="1:18" x14ac:dyDescent="0.3">
      <c r="A1029" t="s">
        <v>2322</v>
      </c>
      <c r="B1029" t="s">
        <v>2323</v>
      </c>
      <c r="C1029" t="s">
        <v>663</v>
      </c>
      <c r="D1029" t="s">
        <v>222</v>
      </c>
      <c r="E1029" t="s">
        <v>30</v>
      </c>
      <c r="F1029" s="6">
        <v>45473</v>
      </c>
      <c r="G1029">
        <v>2024</v>
      </c>
      <c r="H1029" t="s">
        <v>44</v>
      </c>
      <c r="I1029" t="s">
        <v>71</v>
      </c>
      <c r="J1029">
        <v>100</v>
      </c>
      <c r="K1029">
        <v>100</v>
      </c>
      <c r="L1029">
        <v>1</v>
      </c>
      <c r="M1029">
        <v>1</v>
      </c>
      <c r="N1029" t="s">
        <v>102</v>
      </c>
      <c r="O1029" t="s">
        <v>102</v>
      </c>
      <c r="P1029" t="s">
        <v>2326</v>
      </c>
      <c r="Q1029">
        <v>2</v>
      </c>
      <c r="R1029">
        <v>2</v>
      </c>
    </row>
    <row r="1030" spans="1:18" x14ac:dyDescent="0.3">
      <c r="A1030" t="s">
        <v>2322</v>
      </c>
      <c r="B1030" t="s">
        <v>2323</v>
      </c>
      <c r="C1030" t="s">
        <v>663</v>
      </c>
      <c r="D1030" t="s">
        <v>222</v>
      </c>
      <c r="E1030" t="s">
        <v>30</v>
      </c>
      <c r="F1030" s="6">
        <v>45657</v>
      </c>
      <c r="G1030">
        <v>2024</v>
      </c>
      <c r="H1030" t="s">
        <v>57</v>
      </c>
      <c r="I1030" t="s">
        <v>78</v>
      </c>
      <c r="J1030">
        <v>100</v>
      </c>
      <c r="K1030">
        <v>100</v>
      </c>
      <c r="L1030">
        <v>1</v>
      </c>
      <c r="M1030">
        <v>1</v>
      </c>
      <c r="N1030" t="s">
        <v>102</v>
      </c>
      <c r="O1030" t="s">
        <v>102</v>
      </c>
      <c r="P1030" t="s">
        <v>2327</v>
      </c>
      <c r="Q1030">
        <v>2</v>
      </c>
      <c r="R1030">
        <v>2</v>
      </c>
    </row>
    <row r="1031" spans="1:18" x14ac:dyDescent="0.3">
      <c r="A1031" t="s">
        <v>2328</v>
      </c>
      <c r="B1031" t="s">
        <v>2329</v>
      </c>
      <c r="C1031" t="s">
        <v>663</v>
      </c>
      <c r="D1031" t="s">
        <v>222</v>
      </c>
      <c r="E1031" t="s">
        <v>30</v>
      </c>
      <c r="F1031" s="6">
        <v>45107</v>
      </c>
      <c r="G1031">
        <v>2023</v>
      </c>
      <c r="H1031" t="s">
        <v>44</v>
      </c>
      <c r="I1031" t="s">
        <v>33</v>
      </c>
      <c r="J1031">
        <v>9</v>
      </c>
      <c r="K1031">
        <v>13</v>
      </c>
      <c r="L1031">
        <v>1.3</v>
      </c>
      <c r="M1031">
        <v>1.444444444444444</v>
      </c>
      <c r="N1031" t="s">
        <v>3653</v>
      </c>
      <c r="O1031" t="s">
        <v>5550</v>
      </c>
      <c r="P1031" t="s">
        <v>2330</v>
      </c>
      <c r="Q1031">
        <v>2</v>
      </c>
      <c r="R1031">
        <v>2</v>
      </c>
    </row>
    <row r="1032" spans="1:18" x14ac:dyDescent="0.3">
      <c r="A1032" t="s">
        <v>2328</v>
      </c>
      <c r="B1032" t="s">
        <v>2329</v>
      </c>
      <c r="C1032" t="s">
        <v>663</v>
      </c>
      <c r="D1032" t="s">
        <v>222</v>
      </c>
      <c r="E1032" t="s">
        <v>30</v>
      </c>
      <c r="F1032" s="6">
        <v>45291</v>
      </c>
      <c r="G1032">
        <v>2023</v>
      </c>
      <c r="H1032" t="s">
        <v>57</v>
      </c>
      <c r="I1032" t="s">
        <v>47</v>
      </c>
      <c r="J1032">
        <v>14</v>
      </c>
      <c r="K1032">
        <v>16</v>
      </c>
      <c r="L1032">
        <v>1.142857142857143</v>
      </c>
      <c r="M1032">
        <v>1.142857142857143</v>
      </c>
      <c r="N1032" t="s">
        <v>3827</v>
      </c>
      <c r="O1032" t="s">
        <v>809</v>
      </c>
      <c r="P1032" t="s">
        <v>2331</v>
      </c>
      <c r="Q1032">
        <v>2</v>
      </c>
      <c r="R1032">
        <v>2</v>
      </c>
    </row>
    <row r="1033" spans="1:18" x14ac:dyDescent="0.3">
      <c r="A1033" t="s">
        <v>2328</v>
      </c>
      <c r="B1033" t="s">
        <v>2329</v>
      </c>
      <c r="C1033" t="s">
        <v>663</v>
      </c>
      <c r="D1033" t="s">
        <v>222</v>
      </c>
      <c r="E1033" t="s">
        <v>30</v>
      </c>
      <c r="F1033" s="6">
        <v>45473</v>
      </c>
      <c r="G1033">
        <v>2024</v>
      </c>
      <c r="H1033" t="s">
        <v>44</v>
      </c>
      <c r="I1033" t="s">
        <v>71</v>
      </c>
      <c r="J1033">
        <v>100</v>
      </c>
      <c r="K1033">
        <v>140</v>
      </c>
      <c r="L1033">
        <v>1.3</v>
      </c>
      <c r="M1033">
        <v>1.4</v>
      </c>
      <c r="N1033" t="s">
        <v>102</v>
      </c>
      <c r="O1033" t="s">
        <v>5894</v>
      </c>
      <c r="P1033" t="s">
        <v>2332</v>
      </c>
      <c r="Q1033">
        <v>2</v>
      </c>
      <c r="R1033">
        <v>2</v>
      </c>
    </row>
    <row r="1034" spans="1:18" x14ac:dyDescent="0.3">
      <c r="A1034" t="s">
        <v>2328</v>
      </c>
      <c r="B1034" t="s">
        <v>2329</v>
      </c>
      <c r="C1034" t="s">
        <v>663</v>
      </c>
      <c r="D1034" t="s">
        <v>222</v>
      </c>
      <c r="E1034" t="s">
        <v>30</v>
      </c>
      <c r="F1034" s="6">
        <v>45657</v>
      </c>
      <c r="G1034">
        <v>2024</v>
      </c>
      <c r="H1034" t="s">
        <v>57</v>
      </c>
      <c r="I1034" t="s">
        <v>78</v>
      </c>
      <c r="J1034">
        <v>100</v>
      </c>
      <c r="K1034">
        <v>145</v>
      </c>
      <c r="L1034">
        <v>1.3</v>
      </c>
      <c r="M1034">
        <v>1.45</v>
      </c>
      <c r="N1034" t="s">
        <v>102</v>
      </c>
      <c r="O1034" t="s">
        <v>5895</v>
      </c>
      <c r="P1034" t="s">
        <v>2333</v>
      </c>
      <c r="Q1034">
        <v>2</v>
      </c>
      <c r="R1034">
        <v>2</v>
      </c>
    </row>
    <row r="1035" spans="1:18" x14ac:dyDescent="0.3">
      <c r="A1035" t="s">
        <v>2334</v>
      </c>
      <c r="B1035" t="s">
        <v>2335</v>
      </c>
      <c r="C1035" t="s">
        <v>663</v>
      </c>
      <c r="D1035" t="s">
        <v>222</v>
      </c>
      <c r="E1035" t="s">
        <v>30</v>
      </c>
      <c r="F1035" s="6">
        <v>45107</v>
      </c>
      <c r="G1035">
        <v>2023</v>
      </c>
      <c r="H1035" t="s">
        <v>44</v>
      </c>
      <c r="I1035" t="s">
        <v>33</v>
      </c>
      <c r="J1035">
        <v>5</v>
      </c>
      <c r="K1035">
        <v>7</v>
      </c>
      <c r="L1035">
        <v>1.3</v>
      </c>
      <c r="M1035">
        <v>1.4</v>
      </c>
      <c r="N1035" t="s">
        <v>823</v>
      </c>
      <c r="O1035" t="s">
        <v>5558</v>
      </c>
      <c r="P1035" t="s">
        <v>2336</v>
      </c>
      <c r="Q1035">
        <v>2</v>
      </c>
      <c r="R1035">
        <v>2</v>
      </c>
    </row>
    <row r="1036" spans="1:18" x14ac:dyDescent="0.3">
      <c r="A1036" t="s">
        <v>2334</v>
      </c>
      <c r="B1036" t="s">
        <v>2335</v>
      </c>
      <c r="C1036" t="s">
        <v>663</v>
      </c>
      <c r="D1036" t="s">
        <v>222</v>
      </c>
      <c r="E1036" t="s">
        <v>30</v>
      </c>
      <c r="F1036" s="6">
        <v>45291</v>
      </c>
      <c r="G1036">
        <v>2023</v>
      </c>
      <c r="H1036" t="s">
        <v>57</v>
      </c>
      <c r="I1036" t="s">
        <v>47</v>
      </c>
      <c r="L1036">
        <v>0</v>
      </c>
      <c r="M1036">
        <v>0</v>
      </c>
      <c r="P1036" t="s">
        <v>2337</v>
      </c>
      <c r="Q1036">
        <v>2</v>
      </c>
      <c r="R1036">
        <v>2</v>
      </c>
    </row>
    <row r="1037" spans="1:18" x14ac:dyDescent="0.3">
      <c r="A1037" t="s">
        <v>2334</v>
      </c>
      <c r="B1037" t="s">
        <v>2338</v>
      </c>
      <c r="C1037" t="s">
        <v>663</v>
      </c>
      <c r="D1037" t="s">
        <v>222</v>
      </c>
      <c r="E1037" t="s">
        <v>30</v>
      </c>
      <c r="F1037" s="6">
        <v>45473</v>
      </c>
      <c r="G1037">
        <v>2024</v>
      </c>
      <c r="H1037" t="s">
        <v>44</v>
      </c>
      <c r="I1037" t="s">
        <v>71</v>
      </c>
      <c r="L1037">
        <v>0</v>
      </c>
      <c r="M1037">
        <v>0</v>
      </c>
      <c r="P1037" t="s">
        <v>2339</v>
      </c>
      <c r="Q1037">
        <v>2</v>
      </c>
      <c r="R1037">
        <v>2</v>
      </c>
    </row>
    <row r="1038" spans="1:18" x14ac:dyDescent="0.3">
      <c r="A1038" t="s">
        <v>2334</v>
      </c>
      <c r="B1038" t="s">
        <v>2338</v>
      </c>
      <c r="C1038" t="s">
        <v>663</v>
      </c>
      <c r="D1038" t="s">
        <v>222</v>
      </c>
      <c r="E1038" t="s">
        <v>30</v>
      </c>
      <c r="F1038" s="6">
        <v>45657</v>
      </c>
      <c r="G1038">
        <v>2024</v>
      </c>
      <c r="H1038" t="s">
        <v>57</v>
      </c>
      <c r="I1038" t="s">
        <v>78</v>
      </c>
      <c r="L1038">
        <v>0</v>
      </c>
      <c r="M1038">
        <v>0</v>
      </c>
      <c r="P1038" t="s">
        <v>2340</v>
      </c>
      <c r="Q1038">
        <v>2</v>
      </c>
      <c r="R1038">
        <v>2</v>
      </c>
    </row>
    <row r="1039" spans="1:18" x14ac:dyDescent="0.3">
      <c r="A1039" t="s">
        <v>2341</v>
      </c>
      <c r="B1039" t="s">
        <v>2342</v>
      </c>
      <c r="C1039" t="s">
        <v>663</v>
      </c>
      <c r="D1039" t="s">
        <v>222</v>
      </c>
      <c r="E1039" t="s">
        <v>30</v>
      </c>
      <c r="F1039" s="6">
        <v>45107</v>
      </c>
      <c r="G1039">
        <v>2023</v>
      </c>
      <c r="H1039" t="s">
        <v>44</v>
      </c>
      <c r="I1039" t="s">
        <v>33</v>
      </c>
      <c r="J1039">
        <v>9</v>
      </c>
      <c r="K1039">
        <v>11</v>
      </c>
      <c r="L1039">
        <v>1.2222222222222221</v>
      </c>
      <c r="M1039">
        <v>1.2222222222222221</v>
      </c>
      <c r="N1039" t="s">
        <v>3653</v>
      </c>
      <c r="O1039" t="s">
        <v>3654</v>
      </c>
      <c r="P1039" t="s">
        <v>2343</v>
      </c>
      <c r="Q1039">
        <v>2</v>
      </c>
      <c r="R1039">
        <v>2</v>
      </c>
    </row>
    <row r="1040" spans="1:18" x14ac:dyDescent="0.3">
      <c r="A1040" t="s">
        <v>2341</v>
      </c>
      <c r="B1040" t="s">
        <v>2342</v>
      </c>
      <c r="C1040" t="s">
        <v>663</v>
      </c>
      <c r="D1040" t="s">
        <v>222</v>
      </c>
      <c r="E1040" t="s">
        <v>30</v>
      </c>
      <c r="F1040" s="6">
        <v>45291</v>
      </c>
      <c r="G1040">
        <v>2023</v>
      </c>
      <c r="H1040" t="s">
        <v>57</v>
      </c>
      <c r="I1040" t="s">
        <v>47</v>
      </c>
      <c r="J1040">
        <v>12</v>
      </c>
      <c r="K1040">
        <v>11</v>
      </c>
      <c r="L1040">
        <v>0.91666666666666663</v>
      </c>
      <c r="M1040">
        <v>0.91666666666666663</v>
      </c>
      <c r="N1040" t="s">
        <v>3089</v>
      </c>
      <c r="O1040" t="s">
        <v>3654</v>
      </c>
      <c r="P1040" t="s">
        <v>2344</v>
      </c>
      <c r="Q1040">
        <v>2</v>
      </c>
      <c r="R1040">
        <v>2</v>
      </c>
    </row>
    <row r="1041" spans="1:18" x14ac:dyDescent="0.3">
      <c r="A1041" t="s">
        <v>2341</v>
      </c>
      <c r="B1041" t="s">
        <v>2342</v>
      </c>
      <c r="C1041" t="s">
        <v>663</v>
      </c>
      <c r="D1041" t="s">
        <v>222</v>
      </c>
      <c r="E1041" t="s">
        <v>30</v>
      </c>
      <c r="F1041" s="6">
        <v>45473</v>
      </c>
      <c r="G1041">
        <v>2024</v>
      </c>
      <c r="H1041" t="s">
        <v>44</v>
      </c>
      <c r="I1041" t="s">
        <v>71</v>
      </c>
      <c r="L1041">
        <v>0</v>
      </c>
      <c r="M1041">
        <v>0</v>
      </c>
      <c r="P1041" t="s">
        <v>2345</v>
      </c>
      <c r="Q1041">
        <v>2</v>
      </c>
      <c r="R1041">
        <v>2</v>
      </c>
    </row>
    <row r="1042" spans="1:18" x14ac:dyDescent="0.3">
      <c r="A1042" t="s">
        <v>2346</v>
      </c>
      <c r="B1042" t="s">
        <v>2347</v>
      </c>
      <c r="C1042" t="s">
        <v>663</v>
      </c>
      <c r="D1042" t="s">
        <v>98</v>
      </c>
      <c r="E1042" t="s">
        <v>30</v>
      </c>
      <c r="F1042" s="6">
        <v>45291</v>
      </c>
      <c r="G1042">
        <v>2023</v>
      </c>
      <c r="H1042" t="s">
        <v>57</v>
      </c>
      <c r="I1042" t="s">
        <v>47</v>
      </c>
      <c r="J1042">
        <v>12</v>
      </c>
      <c r="K1042">
        <v>12</v>
      </c>
      <c r="L1042">
        <v>1</v>
      </c>
      <c r="M1042">
        <v>1</v>
      </c>
      <c r="N1042" t="s">
        <v>3089</v>
      </c>
      <c r="O1042" t="s">
        <v>3089</v>
      </c>
      <c r="P1042" t="s">
        <v>2348</v>
      </c>
      <c r="Q1042">
        <v>2</v>
      </c>
      <c r="R1042">
        <v>2</v>
      </c>
    </row>
    <row r="1043" spans="1:18" x14ac:dyDescent="0.3">
      <c r="A1043" t="s">
        <v>2346</v>
      </c>
      <c r="B1043" t="s">
        <v>2347</v>
      </c>
      <c r="C1043" t="s">
        <v>663</v>
      </c>
      <c r="D1043" t="s">
        <v>98</v>
      </c>
      <c r="E1043" t="s">
        <v>30</v>
      </c>
      <c r="F1043" s="6">
        <v>45657</v>
      </c>
      <c r="G1043">
        <v>2024</v>
      </c>
      <c r="H1043" t="s">
        <v>57</v>
      </c>
      <c r="I1043" t="s">
        <v>78</v>
      </c>
      <c r="J1043">
        <v>100</v>
      </c>
      <c r="K1043">
        <v>100</v>
      </c>
      <c r="L1043">
        <v>1</v>
      </c>
      <c r="M1043">
        <v>1</v>
      </c>
      <c r="N1043" t="s">
        <v>102</v>
      </c>
      <c r="O1043" t="s">
        <v>102</v>
      </c>
      <c r="P1043" t="s">
        <v>2349</v>
      </c>
      <c r="Q1043">
        <v>2</v>
      </c>
      <c r="R1043">
        <v>2</v>
      </c>
    </row>
    <row r="1044" spans="1:18" x14ac:dyDescent="0.3">
      <c r="A1044" t="s">
        <v>2350</v>
      </c>
      <c r="B1044" t="s">
        <v>2351</v>
      </c>
      <c r="C1044" t="s">
        <v>663</v>
      </c>
      <c r="D1044" t="s">
        <v>222</v>
      </c>
      <c r="E1044" t="s">
        <v>30</v>
      </c>
      <c r="F1044" s="6">
        <v>45107</v>
      </c>
      <c r="G1044">
        <v>2023</v>
      </c>
      <c r="H1044" t="s">
        <v>44</v>
      </c>
      <c r="I1044" t="s">
        <v>33</v>
      </c>
      <c r="J1044">
        <v>80</v>
      </c>
      <c r="K1044">
        <v>85.98</v>
      </c>
      <c r="L1044">
        <v>1.0747500000000001</v>
      </c>
      <c r="M1044">
        <v>1.0747500000000001</v>
      </c>
      <c r="N1044" t="s">
        <v>193</v>
      </c>
      <c r="O1044" t="s">
        <v>5896</v>
      </c>
      <c r="P1044" t="s">
        <v>2352</v>
      </c>
      <c r="Q1044">
        <v>2</v>
      </c>
      <c r="R1044">
        <v>2</v>
      </c>
    </row>
    <row r="1045" spans="1:18" x14ac:dyDescent="0.3">
      <c r="A1045" t="s">
        <v>2350</v>
      </c>
      <c r="B1045" t="s">
        <v>2351</v>
      </c>
      <c r="C1045" t="s">
        <v>663</v>
      </c>
      <c r="D1045" t="s">
        <v>222</v>
      </c>
      <c r="E1045" t="s">
        <v>30</v>
      </c>
      <c r="F1045" s="6">
        <v>45291</v>
      </c>
      <c r="G1045">
        <v>2023</v>
      </c>
      <c r="H1045" t="s">
        <v>57</v>
      </c>
      <c r="I1045" t="s">
        <v>47</v>
      </c>
      <c r="J1045">
        <v>80</v>
      </c>
      <c r="K1045">
        <v>90.91</v>
      </c>
      <c r="L1045">
        <v>1.1363749999999999</v>
      </c>
      <c r="M1045">
        <v>1.1363749999999999</v>
      </c>
      <c r="N1045" t="s">
        <v>193</v>
      </c>
      <c r="O1045" t="s">
        <v>5897</v>
      </c>
      <c r="P1045" t="s">
        <v>2353</v>
      </c>
      <c r="Q1045">
        <v>2</v>
      </c>
      <c r="R1045">
        <v>2</v>
      </c>
    </row>
    <row r="1046" spans="1:18" x14ac:dyDescent="0.3">
      <c r="A1046" t="s">
        <v>2350</v>
      </c>
      <c r="B1046" t="s">
        <v>2354</v>
      </c>
      <c r="C1046" t="s">
        <v>663</v>
      </c>
      <c r="D1046" t="s">
        <v>98</v>
      </c>
      <c r="E1046" t="s">
        <v>30</v>
      </c>
      <c r="F1046" s="6">
        <v>45657</v>
      </c>
      <c r="G1046">
        <v>2024</v>
      </c>
      <c r="H1046" t="s">
        <v>57</v>
      </c>
      <c r="I1046" t="s">
        <v>78</v>
      </c>
      <c r="J1046">
        <v>80</v>
      </c>
      <c r="K1046">
        <v>90.28</v>
      </c>
      <c r="L1046">
        <v>1.1285000000000001</v>
      </c>
      <c r="M1046">
        <v>1.1285000000000001</v>
      </c>
      <c r="N1046" t="s">
        <v>193</v>
      </c>
      <c r="O1046" t="s">
        <v>5898</v>
      </c>
      <c r="P1046" t="s">
        <v>2355</v>
      </c>
      <c r="Q1046">
        <v>2</v>
      </c>
      <c r="R1046">
        <v>2</v>
      </c>
    </row>
    <row r="1047" spans="1:18" x14ac:dyDescent="0.3">
      <c r="A1047" t="s">
        <v>2350</v>
      </c>
      <c r="B1047" t="s">
        <v>2354</v>
      </c>
      <c r="C1047" t="s">
        <v>663</v>
      </c>
      <c r="D1047" t="s">
        <v>98</v>
      </c>
      <c r="E1047" t="s">
        <v>30</v>
      </c>
      <c r="F1047" s="6">
        <v>46022</v>
      </c>
      <c r="G1047">
        <v>2025</v>
      </c>
      <c r="H1047" t="s">
        <v>57</v>
      </c>
      <c r="I1047" t="s">
        <v>103</v>
      </c>
      <c r="J1047">
        <v>85</v>
      </c>
      <c r="K1047">
        <v>86.16</v>
      </c>
      <c r="L1047">
        <v>1.0136470588235289</v>
      </c>
      <c r="M1047">
        <v>1.0136470588235289</v>
      </c>
      <c r="N1047" t="s">
        <v>2357</v>
      </c>
      <c r="O1047" t="s">
        <v>2358</v>
      </c>
      <c r="P1047" t="s">
        <v>2359</v>
      </c>
      <c r="Q1047">
        <v>2</v>
      </c>
      <c r="R1047">
        <v>2</v>
      </c>
    </row>
    <row r="1048" spans="1:18" x14ac:dyDescent="0.3">
      <c r="A1048" t="s">
        <v>2360</v>
      </c>
      <c r="B1048" t="s">
        <v>2361</v>
      </c>
      <c r="C1048" t="s">
        <v>663</v>
      </c>
      <c r="D1048" t="s">
        <v>222</v>
      </c>
      <c r="E1048" t="s">
        <v>30</v>
      </c>
      <c r="F1048" s="6">
        <v>45107</v>
      </c>
      <c r="G1048">
        <v>2023</v>
      </c>
      <c r="H1048" t="s">
        <v>44</v>
      </c>
      <c r="I1048" t="s">
        <v>33</v>
      </c>
      <c r="J1048">
        <v>100</v>
      </c>
      <c r="K1048">
        <v>80</v>
      </c>
      <c r="L1048">
        <v>0.8</v>
      </c>
      <c r="M1048">
        <v>0.8</v>
      </c>
      <c r="N1048" t="s">
        <v>102</v>
      </c>
      <c r="O1048" t="s">
        <v>193</v>
      </c>
      <c r="P1048" t="s">
        <v>2362</v>
      </c>
      <c r="Q1048">
        <v>2</v>
      </c>
      <c r="R1048">
        <v>2</v>
      </c>
    </row>
    <row r="1049" spans="1:18" x14ac:dyDescent="0.3">
      <c r="A1049" t="s">
        <v>2360</v>
      </c>
      <c r="B1049" t="s">
        <v>2361</v>
      </c>
      <c r="C1049" t="s">
        <v>663</v>
      </c>
      <c r="D1049" t="s">
        <v>222</v>
      </c>
      <c r="E1049" t="s">
        <v>30</v>
      </c>
      <c r="F1049" s="6">
        <v>45291</v>
      </c>
      <c r="G1049">
        <v>2023</v>
      </c>
      <c r="H1049" t="s">
        <v>57</v>
      </c>
      <c r="I1049" t="s">
        <v>47</v>
      </c>
      <c r="J1049">
        <v>100</v>
      </c>
      <c r="K1049">
        <v>100</v>
      </c>
      <c r="L1049">
        <v>1</v>
      </c>
      <c r="M1049">
        <v>1</v>
      </c>
      <c r="N1049" t="s">
        <v>102</v>
      </c>
      <c r="O1049" t="s">
        <v>102</v>
      </c>
      <c r="P1049" t="s">
        <v>2363</v>
      </c>
      <c r="Q1049">
        <v>2</v>
      </c>
      <c r="R1049">
        <v>2</v>
      </c>
    </row>
    <row r="1050" spans="1:18" x14ac:dyDescent="0.3">
      <c r="A1050" t="s">
        <v>2360</v>
      </c>
      <c r="B1050" t="s">
        <v>2361</v>
      </c>
      <c r="C1050" t="s">
        <v>663</v>
      </c>
      <c r="D1050" t="s">
        <v>222</v>
      </c>
      <c r="E1050" t="s">
        <v>30</v>
      </c>
      <c r="F1050" s="6">
        <v>45473</v>
      </c>
      <c r="G1050">
        <v>2024</v>
      </c>
      <c r="H1050" t="s">
        <v>44</v>
      </c>
      <c r="I1050" t="s">
        <v>71</v>
      </c>
      <c r="J1050">
        <v>100</v>
      </c>
      <c r="K1050">
        <v>100</v>
      </c>
      <c r="L1050">
        <v>1</v>
      </c>
      <c r="M1050">
        <v>1</v>
      </c>
      <c r="N1050" t="s">
        <v>102</v>
      </c>
      <c r="O1050" t="s">
        <v>102</v>
      </c>
      <c r="P1050" t="s">
        <v>2364</v>
      </c>
      <c r="Q1050">
        <v>2</v>
      </c>
      <c r="R1050">
        <v>2</v>
      </c>
    </row>
    <row r="1051" spans="1:18" x14ac:dyDescent="0.3">
      <c r="A1051" t="s">
        <v>2360</v>
      </c>
      <c r="B1051" t="s">
        <v>2361</v>
      </c>
      <c r="C1051" t="s">
        <v>663</v>
      </c>
      <c r="D1051" t="s">
        <v>222</v>
      </c>
      <c r="E1051" t="s">
        <v>30</v>
      </c>
      <c r="F1051" s="6">
        <v>45657</v>
      </c>
      <c r="G1051">
        <v>2024</v>
      </c>
      <c r="H1051" t="s">
        <v>57</v>
      </c>
      <c r="I1051" t="s">
        <v>78</v>
      </c>
      <c r="J1051">
        <v>100</v>
      </c>
      <c r="K1051">
        <v>100</v>
      </c>
      <c r="L1051">
        <v>1</v>
      </c>
      <c r="M1051">
        <v>1</v>
      </c>
      <c r="N1051" t="s">
        <v>102</v>
      </c>
      <c r="O1051" t="s">
        <v>102</v>
      </c>
      <c r="P1051" t="s">
        <v>2365</v>
      </c>
      <c r="Q1051">
        <v>2</v>
      </c>
      <c r="R1051">
        <v>2</v>
      </c>
    </row>
    <row r="1052" spans="1:18" x14ac:dyDescent="0.3">
      <c r="A1052" t="s">
        <v>2366</v>
      </c>
      <c r="B1052" t="s">
        <v>2367</v>
      </c>
      <c r="C1052" t="s">
        <v>663</v>
      </c>
      <c r="D1052" t="s">
        <v>222</v>
      </c>
      <c r="E1052" t="s">
        <v>30</v>
      </c>
      <c r="F1052" s="6">
        <v>45107</v>
      </c>
      <c r="G1052">
        <v>2023</v>
      </c>
      <c r="H1052" t="s">
        <v>44</v>
      </c>
      <c r="I1052" t="s">
        <v>33</v>
      </c>
      <c r="J1052">
        <v>26</v>
      </c>
      <c r="K1052">
        <v>12</v>
      </c>
      <c r="L1052">
        <v>0.46153846153846162</v>
      </c>
      <c r="M1052">
        <v>0.46153846153846162</v>
      </c>
      <c r="N1052" t="s">
        <v>1468</v>
      </c>
      <c r="O1052" t="s">
        <v>3089</v>
      </c>
      <c r="P1052" t="s">
        <v>2368</v>
      </c>
      <c r="Q1052">
        <v>2</v>
      </c>
      <c r="R1052">
        <v>2</v>
      </c>
    </row>
    <row r="1053" spans="1:18" x14ac:dyDescent="0.3">
      <c r="A1053" t="s">
        <v>2366</v>
      </c>
      <c r="B1053" t="s">
        <v>2367</v>
      </c>
      <c r="C1053" t="s">
        <v>663</v>
      </c>
      <c r="D1053" t="s">
        <v>222</v>
      </c>
      <c r="E1053" t="s">
        <v>30</v>
      </c>
      <c r="F1053" s="6">
        <v>45291</v>
      </c>
      <c r="G1053">
        <v>2023</v>
      </c>
      <c r="H1053" t="s">
        <v>57</v>
      </c>
      <c r="I1053" t="s">
        <v>47</v>
      </c>
      <c r="J1053">
        <v>15</v>
      </c>
      <c r="K1053">
        <v>17</v>
      </c>
      <c r="L1053">
        <v>1.1333333333333331</v>
      </c>
      <c r="M1053">
        <v>1.1333333333333331</v>
      </c>
      <c r="N1053" t="s">
        <v>3932</v>
      </c>
      <c r="O1053" t="s">
        <v>1478</v>
      </c>
      <c r="P1053" t="s">
        <v>2369</v>
      </c>
      <c r="Q1053">
        <v>2</v>
      </c>
      <c r="R1053">
        <v>2</v>
      </c>
    </row>
    <row r="1054" spans="1:18" x14ac:dyDescent="0.3">
      <c r="A1054" t="s">
        <v>2366</v>
      </c>
      <c r="B1054" t="s">
        <v>2370</v>
      </c>
      <c r="C1054" t="s">
        <v>663</v>
      </c>
      <c r="D1054" t="s">
        <v>222</v>
      </c>
      <c r="E1054" t="s">
        <v>30</v>
      </c>
      <c r="F1054" s="6">
        <v>45473</v>
      </c>
      <c r="G1054">
        <v>2024</v>
      </c>
      <c r="H1054" t="s">
        <v>44</v>
      </c>
      <c r="I1054" t="s">
        <v>71</v>
      </c>
      <c r="J1054">
        <v>100</v>
      </c>
      <c r="K1054">
        <v>140</v>
      </c>
      <c r="L1054">
        <v>1.3</v>
      </c>
      <c r="M1054">
        <v>1.4</v>
      </c>
      <c r="N1054" t="s">
        <v>102</v>
      </c>
      <c r="O1054" t="s">
        <v>5894</v>
      </c>
      <c r="P1054" t="s">
        <v>2371</v>
      </c>
      <c r="Q1054">
        <v>2</v>
      </c>
      <c r="R1054">
        <v>2</v>
      </c>
    </row>
    <row r="1055" spans="1:18" x14ac:dyDescent="0.3">
      <c r="A1055" t="s">
        <v>2366</v>
      </c>
      <c r="B1055" t="s">
        <v>2370</v>
      </c>
      <c r="C1055" t="s">
        <v>663</v>
      </c>
      <c r="D1055" t="s">
        <v>222</v>
      </c>
      <c r="E1055" t="s">
        <v>30</v>
      </c>
      <c r="F1055" s="6">
        <v>45657</v>
      </c>
      <c r="G1055">
        <v>2024</v>
      </c>
      <c r="H1055" t="s">
        <v>57</v>
      </c>
      <c r="I1055" t="s">
        <v>78</v>
      </c>
      <c r="J1055">
        <v>100</v>
      </c>
      <c r="K1055">
        <v>115</v>
      </c>
      <c r="L1055">
        <v>1.1499999999999999</v>
      </c>
      <c r="M1055">
        <v>1.1499999999999999</v>
      </c>
      <c r="N1055" t="s">
        <v>102</v>
      </c>
      <c r="O1055" t="s">
        <v>5899</v>
      </c>
      <c r="P1055" t="s">
        <v>2372</v>
      </c>
      <c r="Q1055">
        <v>2</v>
      </c>
      <c r="R1055">
        <v>2</v>
      </c>
    </row>
    <row r="1056" spans="1:18" x14ac:dyDescent="0.3">
      <c r="A1056" t="s">
        <v>2373</v>
      </c>
      <c r="B1056" t="s">
        <v>2374</v>
      </c>
      <c r="C1056" t="s">
        <v>663</v>
      </c>
      <c r="D1056" t="s">
        <v>222</v>
      </c>
      <c r="E1056" t="s">
        <v>30</v>
      </c>
      <c r="F1056" s="6">
        <v>45107</v>
      </c>
      <c r="G1056">
        <v>2023</v>
      </c>
      <c r="H1056" t="s">
        <v>44</v>
      </c>
      <c r="I1056" t="s">
        <v>33</v>
      </c>
      <c r="J1056">
        <v>180</v>
      </c>
      <c r="K1056">
        <v>236</v>
      </c>
      <c r="L1056">
        <v>1.3</v>
      </c>
      <c r="M1056">
        <v>1.3111111111111109</v>
      </c>
      <c r="N1056" t="s">
        <v>5729</v>
      </c>
      <c r="O1056" t="s">
        <v>5900</v>
      </c>
      <c r="P1056" t="s">
        <v>2375</v>
      </c>
      <c r="Q1056">
        <v>2</v>
      </c>
      <c r="R1056">
        <v>2</v>
      </c>
    </row>
    <row r="1057" spans="1:18" x14ac:dyDescent="0.3">
      <c r="A1057" t="s">
        <v>2373</v>
      </c>
      <c r="B1057" t="s">
        <v>2374</v>
      </c>
      <c r="C1057" t="s">
        <v>663</v>
      </c>
      <c r="D1057" t="s">
        <v>222</v>
      </c>
      <c r="E1057" t="s">
        <v>30</v>
      </c>
      <c r="F1057" s="6">
        <v>45291</v>
      </c>
      <c r="G1057">
        <v>2023</v>
      </c>
      <c r="H1057" t="s">
        <v>57</v>
      </c>
      <c r="I1057" t="s">
        <v>47</v>
      </c>
      <c r="J1057">
        <v>180</v>
      </c>
      <c r="K1057">
        <v>231</v>
      </c>
      <c r="L1057">
        <v>1.283333333333333</v>
      </c>
      <c r="M1057">
        <v>1.283333333333333</v>
      </c>
      <c r="N1057" t="s">
        <v>5729</v>
      </c>
      <c r="O1057" t="s">
        <v>5901</v>
      </c>
      <c r="P1057" t="s">
        <v>2376</v>
      </c>
      <c r="Q1057">
        <v>2</v>
      </c>
      <c r="R1057">
        <v>2</v>
      </c>
    </row>
    <row r="1058" spans="1:18" x14ac:dyDescent="0.3">
      <c r="A1058" t="s">
        <v>2373</v>
      </c>
      <c r="B1058" t="s">
        <v>2377</v>
      </c>
      <c r="C1058" t="s">
        <v>663</v>
      </c>
      <c r="D1058" t="s">
        <v>222</v>
      </c>
      <c r="E1058" t="s">
        <v>30</v>
      </c>
      <c r="F1058" s="6">
        <v>45473</v>
      </c>
      <c r="G1058">
        <v>2024</v>
      </c>
      <c r="H1058" t="s">
        <v>44</v>
      </c>
      <c r="I1058" t="s">
        <v>71</v>
      </c>
      <c r="J1058">
        <v>100</v>
      </c>
      <c r="K1058">
        <v>106.52</v>
      </c>
      <c r="L1058">
        <v>1.0651999999999999</v>
      </c>
      <c r="M1058">
        <v>1.0651999999999999</v>
      </c>
      <c r="N1058" t="s">
        <v>102</v>
      </c>
      <c r="O1058" t="s">
        <v>5902</v>
      </c>
      <c r="P1058" t="s">
        <v>2378</v>
      </c>
      <c r="Q1058">
        <v>2</v>
      </c>
      <c r="R1058">
        <v>2</v>
      </c>
    </row>
    <row r="1059" spans="1:18" x14ac:dyDescent="0.3">
      <c r="A1059" t="s">
        <v>2373</v>
      </c>
      <c r="B1059" t="s">
        <v>2377</v>
      </c>
      <c r="C1059" t="s">
        <v>663</v>
      </c>
      <c r="D1059" t="s">
        <v>222</v>
      </c>
      <c r="E1059" t="s">
        <v>30</v>
      </c>
      <c r="F1059" s="6">
        <v>45657</v>
      </c>
      <c r="G1059">
        <v>2024</v>
      </c>
      <c r="H1059" t="s">
        <v>57</v>
      </c>
      <c r="I1059" t="s">
        <v>78</v>
      </c>
      <c r="J1059">
        <v>100</v>
      </c>
      <c r="K1059">
        <v>502.17</v>
      </c>
      <c r="L1059">
        <v>1.3</v>
      </c>
      <c r="M1059">
        <v>5.0217000000000001</v>
      </c>
      <c r="N1059" t="s">
        <v>102</v>
      </c>
      <c r="O1059" t="s">
        <v>5903</v>
      </c>
      <c r="P1059" t="s">
        <v>2379</v>
      </c>
      <c r="Q1059">
        <v>2</v>
      </c>
      <c r="R1059">
        <v>2</v>
      </c>
    </row>
    <row r="1060" spans="1:18" x14ac:dyDescent="0.3">
      <c r="A1060" t="s">
        <v>2380</v>
      </c>
      <c r="B1060" t="s">
        <v>2381</v>
      </c>
      <c r="C1060" t="s">
        <v>61</v>
      </c>
      <c r="D1060" t="s">
        <v>222</v>
      </c>
      <c r="E1060" t="s">
        <v>30</v>
      </c>
      <c r="F1060" s="6">
        <v>44926</v>
      </c>
      <c r="G1060">
        <v>2022</v>
      </c>
      <c r="H1060" t="s">
        <v>57</v>
      </c>
      <c r="I1060" t="s">
        <v>90</v>
      </c>
      <c r="J1060">
        <v>3</v>
      </c>
      <c r="K1060">
        <v>3</v>
      </c>
      <c r="L1060">
        <v>1</v>
      </c>
      <c r="M1060">
        <v>1</v>
      </c>
      <c r="N1060" t="s">
        <v>1849</v>
      </c>
      <c r="O1060" t="s">
        <v>1849</v>
      </c>
      <c r="P1060" t="s">
        <v>2382</v>
      </c>
      <c r="Q1060">
        <v>2</v>
      </c>
      <c r="R1060">
        <v>2</v>
      </c>
    </row>
    <row r="1061" spans="1:18" x14ac:dyDescent="0.3">
      <c r="A1061" t="s">
        <v>2380</v>
      </c>
      <c r="B1061" t="s">
        <v>2381</v>
      </c>
      <c r="C1061" t="s">
        <v>61</v>
      </c>
      <c r="D1061" t="s">
        <v>222</v>
      </c>
      <c r="E1061" t="s">
        <v>30</v>
      </c>
      <c r="F1061" s="6">
        <v>45107</v>
      </c>
      <c r="G1061">
        <v>2023</v>
      </c>
      <c r="H1061" t="s">
        <v>44</v>
      </c>
      <c r="I1061" t="s">
        <v>33</v>
      </c>
      <c r="J1061">
        <v>2</v>
      </c>
      <c r="K1061">
        <v>2</v>
      </c>
      <c r="L1061">
        <v>1</v>
      </c>
      <c r="M1061">
        <v>1</v>
      </c>
      <c r="N1061" t="s">
        <v>569</v>
      </c>
      <c r="O1061" t="s">
        <v>569</v>
      </c>
      <c r="P1061" t="s">
        <v>2383</v>
      </c>
      <c r="Q1061">
        <v>2</v>
      </c>
      <c r="R1061">
        <v>2</v>
      </c>
    </row>
    <row r="1062" spans="1:18" x14ac:dyDescent="0.3">
      <c r="A1062" t="s">
        <v>2380</v>
      </c>
      <c r="B1062" t="s">
        <v>2381</v>
      </c>
      <c r="C1062" t="s">
        <v>61</v>
      </c>
      <c r="D1062" t="s">
        <v>222</v>
      </c>
      <c r="E1062" t="s">
        <v>30</v>
      </c>
      <c r="F1062" s="6">
        <v>45291</v>
      </c>
      <c r="G1062">
        <v>2023</v>
      </c>
      <c r="H1062" t="s">
        <v>57</v>
      </c>
      <c r="I1062" t="s">
        <v>47</v>
      </c>
      <c r="J1062">
        <v>6</v>
      </c>
      <c r="K1062">
        <v>6</v>
      </c>
      <c r="L1062">
        <v>1</v>
      </c>
      <c r="M1062">
        <v>1</v>
      </c>
      <c r="N1062" t="s">
        <v>5655</v>
      </c>
      <c r="O1062" t="s">
        <v>5655</v>
      </c>
      <c r="P1062" t="s">
        <v>2384</v>
      </c>
      <c r="Q1062">
        <v>2</v>
      </c>
      <c r="R1062">
        <v>2</v>
      </c>
    </row>
    <row r="1063" spans="1:18" x14ac:dyDescent="0.3">
      <c r="A1063" t="s">
        <v>2380</v>
      </c>
      <c r="B1063" t="s">
        <v>2381</v>
      </c>
      <c r="C1063" t="s">
        <v>61</v>
      </c>
      <c r="D1063" t="s">
        <v>222</v>
      </c>
      <c r="E1063" t="s">
        <v>30</v>
      </c>
      <c r="F1063" s="6">
        <v>45473</v>
      </c>
      <c r="G1063">
        <v>2024</v>
      </c>
      <c r="H1063" t="s">
        <v>44</v>
      </c>
      <c r="I1063" t="s">
        <v>71</v>
      </c>
      <c r="J1063">
        <v>3</v>
      </c>
      <c r="K1063">
        <v>3</v>
      </c>
      <c r="L1063">
        <v>1</v>
      </c>
      <c r="M1063">
        <v>1</v>
      </c>
      <c r="N1063" t="s">
        <v>1849</v>
      </c>
      <c r="O1063" t="s">
        <v>1849</v>
      </c>
      <c r="P1063" t="s">
        <v>2385</v>
      </c>
      <c r="Q1063">
        <v>2</v>
      </c>
      <c r="R1063">
        <v>2</v>
      </c>
    </row>
    <row r="1064" spans="1:18" x14ac:dyDescent="0.3">
      <c r="A1064" t="s">
        <v>2380</v>
      </c>
      <c r="B1064" t="s">
        <v>2381</v>
      </c>
      <c r="C1064" t="s">
        <v>61</v>
      </c>
      <c r="D1064" t="s">
        <v>222</v>
      </c>
      <c r="E1064" t="s">
        <v>30</v>
      </c>
      <c r="F1064" s="6">
        <v>45657</v>
      </c>
      <c r="G1064">
        <v>2024</v>
      </c>
      <c r="H1064" t="s">
        <v>57</v>
      </c>
      <c r="I1064" t="s">
        <v>78</v>
      </c>
      <c r="J1064">
        <v>0</v>
      </c>
      <c r="K1064">
        <v>0</v>
      </c>
      <c r="L1064">
        <v>0</v>
      </c>
      <c r="M1064">
        <v>0</v>
      </c>
      <c r="N1064" t="s">
        <v>122</v>
      </c>
      <c r="O1064" t="s">
        <v>122</v>
      </c>
      <c r="P1064" t="s">
        <v>2386</v>
      </c>
      <c r="Q1064">
        <v>2</v>
      </c>
      <c r="R1064">
        <v>2</v>
      </c>
    </row>
    <row r="1065" spans="1:18" x14ac:dyDescent="0.3">
      <c r="A1065" t="s">
        <v>2380</v>
      </c>
      <c r="B1065" t="s">
        <v>2381</v>
      </c>
      <c r="C1065" t="s">
        <v>61</v>
      </c>
      <c r="D1065" t="s">
        <v>222</v>
      </c>
      <c r="E1065" t="s">
        <v>30</v>
      </c>
      <c r="F1065" s="6">
        <v>45838</v>
      </c>
      <c r="G1065">
        <v>2025</v>
      </c>
      <c r="H1065" t="s">
        <v>44</v>
      </c>
      <c r="I1065" t="s">
        <v>244</v>
      </c>
      <c r="J1065">
        <v>100</v>
      </c>
      <c r="K1065">
        <v>100</v>
      </c>
      <c r="L1065">
        <v>1</v>
      </c>
      <c r="M1065">
        <v>1</v>
      </c>
      <c r="N1065" t="s">
        <v>102</v>
      </c>
      <c r="O1065" t="s">
        <v>102</v>
      </c>
      <c r="P1065" t="s">
        <v>2387</v>
      </c>
      <c r="Q1065">
        <v>2</v>
      </c>
      <c r="R1065">
        <v>2</v>
      </c>
    </row>
    <row r="1066" spans="1:18" x14ac:dyDescent="0.3">
      <c r="A1066" t="s">
        <v>2380</v>
      </c>
      <c r="B1066" t="s">
        <v>2381</v>
      </c>
      <c r="C1066" t="s">
        <v>61</v>
      </c>
      <c r="D1066" t="s">
        <v>222</v>
      </c>
      <c r="E1066" t="s">
        <v>30</v>
      </c>
      <c r="F1066" s="6">
        <v>46022</v>
      </c>
      <c r="G1066">
        <v>2025</v>
      </c>
      <c r="H1066" t="s">
        <v>57</v>
      </c>
      <c r="I1066" t="s">
        <v>103</v>
      </c>
      <c r="J1066">
        <v>100</v>
      </c>
      <c r="K1066">
        <v>100</v>
      </c>
      <c r="L1066">
        <v>1</v>
      </c>
      <c r="M1066">
        <v>1</v>
      </c>
      <c r="N1066" t="s">
        <v>102</v>
      </c>
      <c r="O1066" t="s">
        <v>102</v>
      </c>
      <c r="P1066" t="s">
        <v>2388</v>
      </c>
      <c r="Q1066">
        <v>2</v>
      </c>
      <c r="R1066">
        <v>2</v>
      </c>
    </row>
    <row r="1067" spans="1:18" x14ac:dyDescent="0.3">
      <c r="A1067" t="s">
        <v>2389</v>
      </c>
      <c r="B1067" t="s">
        <v>2390</v>
      </c>
      <c r="C1067" t="s">
        <v>61</v>
      </c>
      <c r="D1067" t="s">
        <v>222</v>
      </c>
      <c r="E1067" t="s">
        <v>30</v>
      </c>
      <c r="F1067" s="6">
        <v>45107</v>
      </c>
      <c r="G1067">
        <v>2023</v>
      </c>
      <c r="H1067" t="s">
        <v>44</v>
      </c>
      <c r="I1067" t="s">
        <v>33</v>
      </c>
      <c r="J1067">
        <v>0</v>
      </c>
      <c r="K1067">
        <v>0</v>
      </c>
      <c r="L1067">
        <v>0</v>
      </c>
      <c r="M1067">
        <v>0</v>
      </c>
      <c r="N1067" t="s">
        <v>122</v>
      </c>
      <c r="O1067" t="s">
        <v>122</v>
      </c>
      <c r="P1067" t="s">
        <v>2391</v>
      </c>
      <c r="Q1067">
        <v>2</v>
      </c>
      <c r="R1067">
        <v>2</v>
      </c>
    </row>
    <row r="1068" spans="1:18" x14ac:dyDescent="0.3">
      <c r="A1068" t="s">
        <v>2389</v>
      </c>
      <c r="B1068" t="s">
        <v>2390</v>
      </c>
      <c r="C1068" t="s">
        <v>61</v>
      </c>
      <c r="D1068" t="s">
        <v>222</v>
      </c>
      <c r="E1068" t="s">
        <v>30</v>
      </c>
      <c r="F1068" s="6">
        <v>45291</v>
      </c>
      <c r="G1068">
        <v>2023</v>
      </c>
      <c r="H1068" t="s">
        <v>57</v>
      </c>
      <c r="I1068" t="s">
        <v>47</v>
      </c>
      <c r="J1068">
        <v>12</v>
      </c>
      <c r="K1068">
        <v>12</v>
      </c>
      <c r="L1068">
        <v>1</v>
      </c>
      <c r="M1068">
        <v>1</v>
      </c>
      <c r="N1068" t="s">
        <v>3089</v>
      </c>
      <c r="O1068" t="s">
        <v>3089</v>
      </c>
      <c r="P1068" t="s">
        <v>2392</v>
      </c>
      <c r="Q1068">
        <v>2</v>
      </c>
      <c r="R1068">
        <v>2</v>
      </c>
    </row>
    <row r="1069" spans="1:18" x14ac:dyDescent="0.3">
      <c r="A1069" t="s">
        <v>2389</v>
      </c>
      <c r="B1069" t="s">
        <v>2390</v>
      </c>
      <c r="C1069" t="s">
        <v>61</v>
      </c>
      <c r="D1069" t="s">
        <v>222</v>
      </c>
      <c r="E1069" t="s">
        <v>30</v>
      </c>
      <c r="F1069" s="6">
        <v>45473</v>
      </c>
      <c r="G1069">
        <v>2024</v>
      </c>
      <c r="H1069" t="s">
        <v>44</v>
      </c>
      <c r="I1069" t="s">
        <v>71</v>
      </c>
      <c r="J1069">
        <v>0</v>
      </c>
      <c r="K1069">
        <v>0</v>
      </c>
      <c r="L1069">
        <v>0</v>
      </c>
      <c r="M1069">
        <v>0</v>
      </c>
      <c r="N1069" t="s">
        <v>122</v>
      </c>
      <c r="O1069" t="s">
        <v>122</v>
      </c>
      <c r="P1069" t="s">
        <v>2393</v>
      </c>
      <c r="Q1069">
        <v>2</v>
      </c>
      <c r="R1069">
        <v>2</v>
      </c>
    </row>
    <row r="1070" spans="1:18" x14ac:dyDescent="0.3">
      <c r="A1070" t="s">
        <v>2389</v>
      </c>
      <c r="B1070" t="s">
        <v>2390</v>
      </c>
      <c r="C1070" t="s">
        <v>61</v>
      </c>
      <c r="D1070" t="s">
        <v>222</v>
      </c>
      <c r="E1070" t="s">
        <v>30</v>
      </c>
      <c r="F1070" s="6">
        <v>45657</v>
      </c>
      <c r="G1070">
        <v>2024</v>
      </c>
      <c r="H1070" t="s">
        <v>57</v>
      </c>
      <c r="I1070" t="s">
        <v>78</v>
      </c>
      <c r="J1070">
        <v>6</v>
      </c>
      <c r="K1070">
        <v>6</v>
      </c>
      <c r="L1070">
        <v>1</v>
      </c>
      <c r="M1070">
        <v>1</v>
      </c>
      <c r="N1070" t="s">
        <v>5655</v>
      </c>
      <c r="O1070" t="s">
        <v>5655</v>
      </c>
      <c r="P1070" t="s">
        <v>2394</v>
      </c>
      <c r="Q1070">
        <v>2</v>
      </c>
      <c r="R1070">
        <v>2</v>
      </c>
    </row>
    <row r="1071" spans="1:18" x14ac:dyDescent="0.3">
      <c r="A1071" t="s">
        <v>2389</v>
      </c>
      <c r="B1071" t="s">
        <v>2390</v>
      </c>
      <c r="C1071" t="s">
        <v>61</v>
      </c>
      <c r="D1071" t="s">
        <v>222</v>
      </c>
      <c r="E1071" t="s">
        <v>30</v>
      </c>
      <c r="F1071" s="6">
        <v>45838</v>
      </c>
      <c r="G1071">
        <v>2025</v>
      </c>
      <c r="H1071" t="s">
        <v>44</v>
      </c>
      <c r="I1071" t="s">
        <v>244</v>
      </c>
      <c r="J1071">
        <v>100</v>
      </c>
      <c r="K1071">
        <v>100</v>
      </c>
      <c r="L1071">
        <v>1</v>
      </c>
      <c r="M1071">
        <v>1</v>
      </c>
      <c r="N1071" t="s">
        <v>102</v>
      </c>
      <c r="O1071" t="s">
        <v>102</v>
      </c>
      <c r="P1071" t="s">
        <v>2395</v>
      </c>
      <c r="Q1071">
        <v>2</v>
      </c>
      <c r="R1071">
        <v>2</v>
      </c>
    </row>
    <row r="1072" spans="1:18" x14ac:dyDescent="0.3">
      <c r="A1072" t="s">
        <v>2389</v>
      </c>
      <c r="B1072" t="s">
        <v>2390</v>
      </c>
      <c r="C1072" t="s">
        <v>61</v>
      </c>
      <c r="D1072" t="s">
        <v>222</v>
      </c>
      <c r="E1072" t="s">
        <v>30</v>
      </c>
      <c r="F1072" s="6">
        <v>46022</v>
      </c>
      <c r="G1072">
        <v>2025</v>
      </c>
      <c r="H1072" t="s">
        <v>57</v>
      </c>
      <c r="I1072" t="s">
        <v>103</v>
      </c>
      <c r="J1072">
        <v>100</v>
      </c>
      <c r="K1072">
        <v>200</v>
      </c>
      <c r="L1072">
        <v>1.3</v>
      </c>
      <c r="M1072">
        <v>2</v>
      </c>
      <c r="N1072" t="s">
        <v>102</v>
      </c>
      <c r="O1072" t="s">
        <v>2396</v>
      </c>
      <c r="P1072" t="s">
        <v>2397</v>
      </c>
      <c r="Q1072">
        <v>2</v>
      </c>
      <c r="R1072">
        <v>2</v>
      </c>
    </row>
    <row r="1073" spans="1:18" x14ac:dyDescent="0.3">
      <c r="A1073" t="s">
        <v>2398</v>
      </c>
      <c r="B1073" t="s">
        <v>2399</v>
      </c>
      <c r="C1073" t="s">
        <v>61</v>
      </c>
      <c r="D1073" t="s">
        <v>222</v>
      </c>
      <c r="E1073" t="s">
        <v>30</v>
      </c>
      <c r="F1073" s="6">
        <v>44742</v>
      </c>
      <c r="G1073">
        <v>2022</v>
      </c>
      <c r="H1073" t="s">
        <v>44</v>
      </c>
      <c r="I1073" t="s">
        <v>88</v>
      </c>
      <c r="J1073">
        <v>3</v>
      </c>
      <c r="K1073">
        <v>3</v>
      </c>
      <c r="L1073">
        <v>1</v>
      </c>
      <c r="M1073">
        <v>1</v>
      </c>
      <c r="N1073" t="s">
        <v>1849</v>
      </c>
      <c r="O1073" t="s">
        <v>1849</v>
      </c>
      <c r="P1073" t="s">
        <v>2400</v>
      </c>
      <c r="Q1073">
        <v>2</v>
      </c>
      <c r="R1073">
        <v>2</v>
      </c>
    </row>
    <row r="1074" spans="1:18" x14ac:dyDescent="0.3">
      <c r="A1074" t="s">
        <v>2398</v>
      </c>
      <c r="B1074" t="s">
        <v>2399</v>
      </c>
      <c r="C1074" t="s">
        <v>61</v>
      </c>
      <c r="D1074" t="s">
        <v>222</v>
      </c>
      <c r="E1074" t="s">
        <v>30</v>
      </c>
      <c r="F1074" s="6">
        <v>44926</v>
      </c>
      <c r="G1074">
        <v>2022</v>
      </c>
      <c r="H1074" t="s">
        <v>57</v>
      </c>
      <c r="I1074" t="s">
        <v>90</v>
      </c>
      <c r="J1074">
        <v>3</v>
      </c>
      <c r="K1074">
        <v>3</v>
      </c>
      <c r="L1074">
        <v>1</v>
      </c>
      <c r="M1074">
        <v>1</v>
      </c>
      <c r="N1074" t="s">
        <v>1849</v>
      </c>
      <c r="O1074" t="s">
        <v>1849</v>
      </c>
      <c r="P1074" t="s">
        <v>2401</v>
      </c>
      <c r="Q1074">
        <v>2</v>
      </c>
      <c r="R1074">
        <v>2</v>
      </c>
    </row>
    <row r="1075" spans="1:18" x14ac:dyDescent="0.3">
      <c r="A1075" t="s">
        <v>2398</v>
      </c>
      <c r="B1075" t="s">
        <v>2399</v>
      </c>
      <c r="C1075" t="s">
        <v>61</v>
      </c>
      <c r="D1075" t="s">
        <v>222</v>
      </c>
      <c r="E1075" t="s">
        <v>30</v>
      </c>
      <c r="F1075" s="6">
        <v>45107</v>
      </c>
      <c r="G1075">
        <v>2023</v>
      </c>
      <c r="H1075" t="s">
        <v>44</v>
      </c>
      <c r="I1075" t="s">
        <v>33</v>
      </c>
      <c r="J1075">
        <v>1</v>
      </c>
      <c r="K1075">
        <v>1</v>
      </c>
      <c r="L1075">
        <v>1</v>
      </c>
      <c r="M1075">
        <v>1</v>
      </c>
      <c r="N1075" t="s">
        <v>617</v>
      </c>
      <c r="O1075" t="s">
        <v>617</v>
      </c>
      <c r="P1075" t="s">
        <v>2402</v>
      </c>
      <c r="Q1075">
        <v>2</v>
      </c>
      <c r="R1075">
        <v>2</v>
      </c>
    </row>
    <row r="1076" spans="1:18" x14ac:dyDescent="0.3">
      <c r="A1076" t="s">
        <v>2398</v>
      </c>
      <c r="B1076" t="s">
        <v>2399</v>
      </c>
      <c r="C1076" t="s">
        <v>61</v>
      </c>
      <c r="D1076" t="s">
        <v>222</v>
      </c>
      <c r="E1076" t="s">
        <v>30</v>
      </c>
      <c r="F1076" s="6">
        <v>45291</v>
      </c>
      <c r="G1076">
        <v>2023</v>
      </c>
      <c r="H1076" t="s">
        <v>57</v>
      </c>
      <c r="I1076" t="s">
        <v>47</v>
      </c>
      <c r="J1076">
        <v>0</v>
      </c>
      <c r="K1076">
        <v>0</v>
      </c>
      <c r="L1076">
        <v>0</v>
      </c>
      <c r="M1076">
        <v>0</v>
      </c>
      <c r="N1076" t="s">
        <v>122</v>
      </c>
      <c r="O1076" t="s">
        <v>122</v>
      </c>
      <c r="P1076" t="s">
        <v>2403</v>
      </c>
      <c r="Q1076">
        <v>2</v>
      </c>
      <c r="R1076">
        <v>2</v>
      </c>
    </row>
    <row r="1077" spans="1:18" x14ac:dyDescent="0.3">
      <c r="A1077" t="s">
        <v>2398</v>
      </c>
      <c r="B1077" t="s">
        <v>2399</v>
      </c>
      <c r="C1077" t="s">
        <v>61</v>
      </c>
      <c r="D1077" t="s">
        <v>222</v>
      </c>
      <c r="E1077" t="s">
        <v>30</v>
      </c>
      <c r="F1077" s="6">
        <v>45473</v>
      </c>
      <c r="G1077">
        <v>2024</v>
      </c>
      <c r="H1077" t="s">
        <v>44</v>
      </c>
      <c r="I1077" t="s">
        <v>71</v>
      </c>
      <c r="J1077">
        <v>5</v>
      </c>
      <c r="K1077">
        <v>5</v>
      </c>
      <c r="L1077">
        <v>1</v>
      </c>
      <c r="M1077">
        <v>1</v>
      </c>
      <c r="N1077" t="s">
        <v>823</v>
      </c>
      <c r="O1077" t="s">
        <v>823</v>
      </c>
      <c r="P1077" t="s">
        <v>2404</v>
      </c>
      <c r="Q1077">
        <v>2</v>
      </c>
      <c r="R1077">
        <v>2</v>
      </c>
    </row>
    <row r="1078" spans="1:18" x14ac:dyDescent="0.3">
      <c r="A1078" t="s">
        <v>2398</v>
      </c>
      <c r="B1078" t="s">
        <v>2399</v>
      </c>
      <c r="C1078" t="s">
        <v>61</v>
      </c>
      <c r="D1078" t="s">
        <v>222</v>
      </c>
      <c r="E1078" t="s">
        <v>30</v>
      </c>
      <c r="F1078" s="6">
        <v>45657</v>
      </c>
      <c r="G1078">
        <v>2024</v>
      </c>
      <c r="H1078" t="s">
        <v>57</v>
      </c>
      <c r="I1078" t="s">
        <v>78</v>
      </c>
      <c r="J1078">
        <v>3</v>
      </c>
      <c r="K1078">
        <v>3</v>
      </c>
      <c r="L1078">
        <v>1</v>
      </c>
      <c r="M1078">
        <v>1</v>
      </c>
      <c r="N1078" t="s">
        <v>1849</v>
      </c>
      <c r="O1078" t="s">
        <v>1849</v>
      </c>
      <c r="P1078" t="s">
        <v>2405</v>
      </c>
      <c r="Q1078">
        <v>2</v>
      </c>
      <c r="R1078">
        <v>2</v>
      </c>
    </row>
    <row r="1079" spans="1:18" x14ac:dyDescent="0.3">
      <c r="A1079" t="s">
        <v>2398</v>
      </c>
      <c r="B1079" t="s">
        <v>2406</v>
      </c>
      <c r="C1079" t="s">
        <v>61</v>
      </c>
      <c r="D1079" t="s">
        <v>222</v>
      </c>
      <c r="E1079" t="s">
        <v>30</v>
      </c>
      <c r="F1079" s="6">
        <v>45838</v>
      </c>
      <c r="G1079">
        <v>2025</v>
      </c>
      <c r="H1079" t="s">
        <v>44</v>
      </c>
      <c r="I1079" t="s">
        <v>244</v>
      </c>
      <c r="K1079">
        <v>100</v>
      </c>
      <c r="L1079">
        <v>0</v>
      </c>
      <c r="M1079">
        <v>0</v>
      </c>
      <c r="O1079" t="s">
        <v>102</v>
      </c>
      <c r="P1079" t="s">
        <v>2407</v>
      </c>
      <c r="Q1079">
        <v>2</v>
      </c>
      <c r="R1079">
        <v>2</v>
      </c>
    </row>
    <row r="1080" spans="1:18" x14ac:dyDescent="0.3">
      <c r="A1080" t="s">
        <v>2398</v>
      </c>
      <c r="B1080" t="s">
        <v>2406</v>
      </c>
      <c r="C1080" t="s">
        <v>61</v>
      </c>
      <c r="D1080" t="s">
        <v>222</v>
      </c>
      <c r="E1080" t="s">
        <v>30</v>
      </c>
      <c r="F1080" s="6">
        <v>46022</v>
      </c>
      <c r="G1080">
        <v>2025</v>
      </c>
      <c r="H1080" t="s">
        <v>57</v>
      </c>
      <c r="I1080" t="s">
        <v>103</v>
      </c>
      <c r="K1080">
        <v>100</v>
      </c>
      <c r="L1080">
        <v>0</v>
      </c>
      <c r="M1080">
        <v>0</v>
      </c>
      <c r="O1080" t="s">
        <v>102</v>
      </c>
      <c r="P1080" t="s">
        <v>2408</v>
      </c>
      <c r="Q1080">
        <v>2</v>
      </c>
      <c r="R1080">
        <v>2</v>
      </c>
    </row>
    <row r="1081" spans="1:18" x14ac:dyDescent="0.3">
      <c r="A1081" t="s">
        <v>2409</v>
      </c>
      <c r="B1081" t="s">
        <v>2410</v>
      </c>
      <c r="C1081" t="s">
        <v>61</v>
      </c>
      <c r="D1081" t="s">
        <v>222</v>
      </c>
      <c r="E1081" t="s">
        <v>30</v>
      </c>
      <c r="F1081" s="6">
        <v>44926</v>
      </c>
      <c r="G1081">
        <v>2022</v>
      </c>
      <c r="H1081" t="s">
        <v>57</v>
      </c>
      <c r="I1081" t="s">
        <v>90</v>
      </c>
      <c r="J1081">
        <v>6</v>
      </c>
      <c r="K1081">
        <v>2</v>
      </c>
      <c r="L1081">
        <v>0.33333333333333331</v>
      </c>
      <c r="M1081">
        <v>0.33333333333333331</v>
      </c>
      <c r="N1081" t="s">
        <v>5655</v>
      </c>
      <c r="O1081" t="s">
        <v>569</v>
      </c>
      <c r="P1081" t="s">
        <v>2411</v>
      </c>
      <c r="Q1081">
        <v>2</v>
      </c>
      <c r="R1081">
        <v>2</v>
      </c>
    </row>
    <row r="1082" spans="1:18" x14ac:dyDescent="0.3">
      <c r="A1082" t="s">
        <v>2409</v>
      </c>
      <c r="B1082" t="s">
        <v>2410</v>
      </c>
      <c r="C1082" t="s">
        <v>61</v>
      </c>
      <c r="D1082" t="s">
        <v>222</v>
      </c>
      <c r="E1082" t="s">
        <v>30</v>
      </c>
      <c r="F1082" s="6">
        <v>45290</v>
      </c>
      <c r="G1082">
        <v>2023</v>
      </c>
      <c r="H1082" t="s">
        <v>57</v>
      </c>
      <c r="I1082" t="s">
        <v>33</v>
      </c>
      <c r="J1082">
        <v>1</v>
      </c>
      <c r="K1082">
        <v>1</v>
      </c>
      <c r="L1082">
        <v>1</v>
      </c>
      <c r="M1082">
        <v>1</v>
      </c>
      <c r="N1082" t="s">
        <v>118</v>
      </c>
      <c r="O1082" t="s">
        <v>118</v>
      </c>
      <c r="P1082" t="s">
        <v>5904</v>
      </c>
      <c r="Q1082">
        <v>0</v>
      </c>
      <c r="R1082">
        <v>0</v>
      </c>
    </row>
    <row r="1083" spans="1:18" x14ac:dyDescent="0.3">
      <c r="A1083" t="s">
        <v>2409</v>
      </c>
      <c r="B1083" t="s">
        <v>2410</v>
      </c>
      <c r="C1083" t="s">
        <v>61</v>
      </c>
      <c r="D1083" t="s">
        <v>222</v>
      </c>
      <c r="E1083" t="s">
        <v>30</v>
      </c>
      <c r="F1083" s="6">
        <v>45291</v>
      </c>
      <c r="G1083">
        <v>2023</v>
      </c>
      <c r="H1083" t="s">
        <v>57</v>
      </c>
      <c r="I1083" t="s">
        <v>47</v>
      </c>
      <c r="J1083">
        <v>1</v>
      </c>
      <c r="K1083">
        <v>1</v>
      </c>
      <c r="L1083">
        <v>1</v>
      </c>
      <c r="M1083">
        <v>1</v>
      </c>
      <c r="N1083" t="s">
        <v>617</v>
      </c>
      <c r="O1083" t="s">
        <v>617</v>
      </c>
      <c r="P1083" t="s">
        <v>2412</v>
      </c>
      <c r="Q1083">
        <v>2</v>
      </c>
      <c r="R1083">
        <v>2</v>
      </c>
    </row>
    <row r="1084" spans="1:18" x14ac:dyDescent="0.3">
      <c r="A1084" t="s">
        <v>2409</v>
      </c>
      <c r="B1084" t="s">
        <v>2410</v>
      </c>
      <c r="C1084" t="s">
        <v>61</v>
      </c>
      <c r="D1084" t="s">
        <v>222</v>
      </c>
      <c r="E1084" t="s">
        <v>30</v>
      </c>
      <c r="F1084" s="6">
        <v>45656</v>
      </c>
      <c r="G1084">
        <v>2024</v>
      </c>
      <c r="H1084" t="s">
        <v>57</v>
      </c>
      <c r="I1084" t="s">
        <v>78</v>
      </c>
      <c r="J1084">
        <v>0</v>
      </c>
      <c r="K1084">
        <v>0</v>
      </c>
      <c r="L1084">
        <v>0</v>
      </c>
      <c r="P1084" t="s">
        <v>2413</v>
      </c>
      <c r="Q1084">
        <v>0</v>
      </c>
      <c r="R1084">
        <v>0</v>
      </c>
    </row>
    <row r="1085" spans="1:18" x14ac:dyDescent="0.3">
      <c r="A1085" t="s">
        <v>2409</v>
      </c>
      <c r="B1085" t="s">
        <v>2410</v>
      </c>
      <c r="C1085" t="s">
        <v>61</v>
      </c>
      <c r="D1085" t="s">
        <v>222</v>
      </c>
      <c r="E1085" t="s">
        <v>30</v>
      </c>
      <c r="F1085" s="6">
        <v>45657</v>
      </c>
      <c r="G1085">
        <v>2024</v>
      </c>
      <c r="H1085" t="s">
        <v>57</v>
      </c>
      <c r="I1085" t="s">
        <v>78</v>
      </c>
      <c r="J1085">
        <v>0</v>
      </c>
      <c r="K1085">
        <v>0</v>
      </c>
      <c r="L1085">
        <v>0</v>
      </c>
      <c r="M1085">
        <v>0</v>
      </c>
      <c r="N1085" t="s">
        <v>122</v>
      </c>
      <c r="O1085" t="s">
        <v>122</v>
      </c>
      <c r="P1085" t="s">
        <v>5905</v>
      </c>
      <c r="Q1085">
        <v>2</v>
      </c>
      <c r="R1085">
        <v>2</v>
      </c>
    </row>
    <row r="1086" spans="1:18" x14ac:dyDescent="0.3">
      <c r="A1086" t="s">
        <v>2414</v>
      </c>
      <c r="B1086" t="s">
        <v>2415</v>
      </c>
      <c r="C1086" t="s">
        <v>61</v>
      </c>
      <c r="D1086" t="s">
        <v>222</v>
      </c>
      <c r="E1086" t="s">
        <v>30</v>
      </c>
      <c r="F1086" s="6">
        <v>44926</v>
      </c>
      <c r="G1086">
        <v>2022</v>
      </c>
      <c r="H1086" t="s">
        <v>57</v>
      </c>
      <c r="I1086" t="s">
        <v>90</v>
      </c>
      <c r="J1086">
        <v>2</v>
      </c>
      <c r="K1086">
        <v>2</v>
      </c>
      <c r="L1086">
        <v>1</v>
      </c>
      <c r="M1086">
        <v>1</v>
      </c>
      <c r="N1086" t="s">
        <v>569</v>
      </c>
      <c r="O1086" t="s">
        <v>569</v>
      </c>
      <c r="P1086" t="s">
        <v>2416</v>
      </c>
      <c r="Q1086">
        <v>2</v>
      </c>
      <c r="R1086">
        <v>2</v>
      </c>
    </row>
    <row r="1087" spans="1:18" x14ac:dyDescent="0.3">
      <c r="A1087" t="s">
        <v>2414</v>
      </c>
      <c r="B1087" t="s">
        <v>2415</v>
      </c>
      <c r="C1087" t="s">
        <v>61</v>
      </c>
      <c r="D1087" t="s">
        <v>222</v>
      </c>
      <c r="E1087" t="s">
        <v>30</v>
      </c>
      <c r="F1087" s="6">
        <v>45291</v>
      </c>
      <c r="G1087">
        <v>2023</v>
      </c>
      <c r="H1087" t="s">
        <v>57</v>
      </c>
      <c r="I1087" t="s">
        <v>47</v>
      </c>
      <c r="J1087">
        <v>1</v>
      </c>
      <c r="K1087">
        <v>1</v>
      </c>
      <c r="L1087">
        <v>1</v>
      </c>
      <c r="M1087">
        <v>1</v>
      </c>
      <c r="N1087" t="s">
        <v>617</v>
      </c>
      <c r="O1087" t="s">
        <v>617</v>
      </c>
      <c r="P1087" t="s">
        <v>2417</v>
      </c>
      <c r="Q1087">
        <v>2</v>
      </c>
      <c r="R1087">
        <v>2</v>
      </c>
    </row>
    <row r="1088" spans="1:18" x14ac:dyDescent="0.3">
      <c r="A1088" t="s">
        <v>2414</v>
      </c>
      <c r="B1088" t="s">
        <v>2415</v>
      </c>
      <c r="C1088" t="s">
        <v>61</v>
      </c>
      <c r="D1088" t="s">
        <v>222</v>
      </c>
      <c r="E1088" t="s">
        <v>30</v>
      </c>
      <c r="F1088" s="6">
        <v>45657</v>
      </c>
      <c r="G1088">
        <v>2024</v>
      </c>
      <c r="H1088" t="s">
        <v>57</v>
      </c>
      <c r="I1088" t="s">
        <v>78</v>
      </c>
      <c r="J1088">
        <v>5</v>
      </c>
      <c r="K1088">
        <v>5</v>
      </c>
      <c r="L1088">
        <v>1</v>
      </c>
      <c r="M1088">
        <v>1</v>
      </c>
      <c r="N1088" t="s">
        <v>823</v>
      </c>
      <c r="O1088" t="s">
        <v>823</v>
      </c>
      <c r="P1088" t="s">
        <v>2418</v>
      </c>
      <c r="Q1088">
        <v>2</v>
      </c>
      <c r="R1088">
        <v>2</v>
      </c>
    </row>
    <row r="1089" spans="1:18" x14ac:dyDescent="0.3">
      <c r="A1089" t="s">
        <v>2419</v>
      </c>
      <c r="B1089" t="s">
        <v>2420</v>
      </c>
      <c r="C1089" t="s">
        <v>87</v>
      </c>
      <c r="D1089" t="s">
        <v>98</v>
      </c>
      <c r="E1089" t="s">
        <v>30</v>
      </c>
      <c r="F1089" s="6">
        <v>45291</v>
      </c>
      <c r="G1089">
        <v>2023</v>
      </c>
      <c r="H1089" t="s">
        <v>57</v>
      </c>
      <c r="I1089" t="s">
        <v>47</v>
      </c>
      <c r="J1089">
        <v>5</v>
      </c>
      <c r="K1089">
        <v>5</v>
      </c>
      <c r="L1089">
        <v>1</v>
      </c>
      <c r="M1089">
        <v>1</v>
      </c>
      <c r="N1089" t="s">
        <v>823</v>
      </c>
      <c r="O1089" t="s">
        <v>823</v>
      </c>
      <c r="P1089" t="s">
        <v>2421</v>
      </c>
      <c r="Q1089">
        <v>2</v>
      </c>
      <c r="R1089">
        <v>2</v>
      </c>
    </row>
    <row r="1090" spans="1:18" x14ac:dyDescent="0.3">
      <c r="A1090" t="s">
        <v>2419</v>
      </c>
      <c r="B1090" t="s">
        <v>2420</v>
      </c>
      <c r="C1090" t="s">
        <v>87</v>
      </c>
      <c r="D1090" t="s">
        <v>98</v>
      </c>
      <c r="E1090" t="s">
        <v>30</v>
      </c>
      <c r="F1090" s="6">
        <v>45657</v>
      </c>
      <c r="G1090">
        <v>2024</v>
      </c>
      <c r="H1090" t="s">
        <v>57</v>
      </c>
      <c r="I1090" t="s">
        <v>78</v>
      </c>
      <c r="J1090">
        <v>0</v>
      </c>
      <c r="L1090">
        <v>0</v>
      </c>
      <c r="M1090">
        <v>0</v>
      </c>
      <c r="N1090" t="s">
        <v>122</v>
      </c>
      <c r="P1090" t="s">
        <v>2422</v>
      </c>
      <c r="Q1090">
        <v>2</v>
      </c>
      <c r="R1090">
        <v>2</v>
      </c>
    </row>
    <row r="1091" spans="1:18" x14ac:dyDescent="0.3">
      <c r="A1091" t="s">
        <v>2419</v>
      </c>
      <c r="B1091" t="s">
        <v>2423</v>
      </c>
      <c r="C1091" t="s">
        <v>87</v>
      </c>
      <c r="D1091" t="s">
        <v>98</v>
      </c>
      <c r="E1091" t="s">
        <v>30</v>
      </c>
      <c r="F1091" s="6">
        <v>46022</v>
      </c>
      <c r="G1091">
        <v>2025</v>
      </c>
      <c r="H1091" t="s">
        <v>57</v>
      </c>
      <c r="I1091" t="s">
        <v>103</v>
      </c>
      <c r="K1091">
        <v>100</v>
      </c>
      <c r="L1091">
        <v>0</v>
      </c>
      <c r="M1091">
        <v>0</v>
      </c>
      <c r="O1091" t="s">
        <v>102</v>
      </c>
      <c r="P1091" t="s">
        <v>2424</v>
      </c>
      <c r="Q1091">
        <v>2</v>
      </c>
      <c r="R1091">
        <v>2</v>
      </c>
    </row>
    <row r="1092" spans="1:18" x14ac:dyDescent="0.3">
      <c r="A1092" t="s">
        <v>2425</v>
      </c>
      <c r="B1092" t="s">
        <v>2426</v>
      </c>
      <c r="C1092" t="s">
        <v>87</v>
      </c>
      <c r="D1092" t="s">
        <v>222</v>
      </c>
      <c r="E1092" t="s">
        <v>30</v>
      </c>
      <c r="F1092" s="6">
        <v>44926</v>
      </c>
      <c r="G1092">
        <v>2022</v>
      </c>
      <c r="H1092" t="s">
        <v>57</v>
      </c>
      <c r="I1092" t="s">
        <v>90</v>
      </c>
      <c r="J1092">
        <v>0</v>
      </c>
      <c r="K1092">
        <v>0</v>
      </c>
      <c r="L1092">
        <v>0</v>
      </c>
      <c r="M1092">
        <v>0</v>
      </c>
      <c r="N1092" t="s">
        <v>122</v>
      </c>
      <c r="O1092" t="s">
        <v>122</v>
      </c>
      <c r="P1092" t="s">
        <v>2427</v>
      </c>
      <c r="Q1092">
        <v>2</v>
      </c>
      <c r="R1092">
        <v>2</v>
      </c>
    </row>
    <row r="1093" spans="1:18" x14ac:dyDescent="0.3">
      <c r="A1093" t="s">
        <v>2425</v>
      </c>
      <c r="B1093" t="s">
        <v>2426</v>
      </c>
      <c r="C1093" t="s">
        <v>87</v>
      </c>
      <c r="D1093" t="s">
        <v>222</v>
      </c>
      <c r="E1093" t="s">
        <v>30</v>
      </c>
      <c r="F1093" s="6">
        <v>45107</v>
      </c>
      <c r="G1093">
        <v>2023</v>
      </c>
      <c r="H1093" t="s">
        <v>44</v>
      </c>
      <c r="I1093" t="s">
        <v>33</v>
      </c>
      <c r="J1093">
        <v>0</v>
      </c>
      <c r="K1093">
        <v>0</v>
      </c>
      <c r="L1093">
        <v>0</v>
      </c>
      <c r="M1093">
        <v>0</v>
      </c>
      <c r="N1093" t="s">
        <v>122</v>
      </c>
      <c r="O1093" t="s">
        <v>122</v>
      </c>
      <c r="P1093" t="s">
        <v>2428</v>
      </c>
      <c r="Q1093">
        <v>2</v>
      </c>
      <c r="R1093">
        <v>2</v>
      </c>
    </row>
    <row r="1094" spans="1:18" x14ac:dyDescent="0.3">
      <c r="A1094" t="s">
        <v>2425</v>
      </c>
      <c r="B1094" t="s">
        <v>2426</v>
      </c>
      <c r="C1094" t="s">
        <v>87</v>
      </c>
      <c r="D1094" t="s">
        <v>222</v>
      </c>
      <c r="E1094" t="s">
        <v>30</v>
      </c>
      <c r="F1094" s="6">
        <v>45291</v>
      </c>
      <c r="G1094">
        <v>2023</v>
      </c>
      <c r="H1094" t="s">
        <v>57</v>
      </c>
      <c r="I1094" t="s">
        <v>47</v>
      </c>
      <c r="J1094">
        <v>2</v>
      </c>
      <c r="K1094">
        <v>2</v>
      </c>
      <c r="L1094">
        <v>1</v>
      </c>
      <c r="M1094">
        <v>1</v>
      </c>
      <c r="N1094" t="s">
        <v>569</v>
      </c>
      <c r="O1094" t="s">
        <v>569</v>
      </c>
      <c r="P1094" t="s">
        <v>2429</v>
      </c>
      <c r="Q1094">
        <v>2</v>
      </c>
      <c r="R1094">
        <v>2</v>
      </c>
    </row>
    <row r="1095" spans="1:18" x14ac:dyDescent="0.3">
      <c r="A1095" t="s">
        <v>2425</v>
      </c>
      <c r="B1095" t="s">
        <v>2426</v>
      </c>
      <c r="C1095" t="s">
        <v>87</v>
      </c>
      <c r="D1095" t="s">
        <v>222</v>
      </c>
      <c r="E1095" t="s">
        <v>30</v>
      </c>
      <c r="F1095" s="6">
        <v>45473</v>
      </c>
      <c r="G1095">
        <v>2024</v>
      </c>
      <c r="H1095" t="s">
        <v>44</v>
      </c>
      <c r="I1095" t="s">
        <v>71</v>
      </c>
      <c r="J1095">
        <v>0</v>
      </c>
      <c r="K1095">
        <v>0</v>
      </c>
      <c r="L1095">
        <v>0</v>
      </c>
      <c r="M1095">
        <v>0</v>
      </c>
      <c r="N1095" t="s">
        <v>122</v>
      </c>
      <c r="O1095" t="s">
        <v>122</v>
      </c>
      <c r="P1095" t="s">
        <v>2430</v>
      </c>
      <c r="Q1095">
        <v>2</v>
      </c>
      <c r="R1095">
        <v>2</v>
      </c>
    </row>
    <row r="1096" spans="1:18" x14ac:dyDescent="0.3">
      <c r="A1096" t="s">
        <v>2425</v>
      </c>
      <c r="B1096" t="s">
        <v>2426</v>
      </c>
      <c r="C1096" t="s">
        <v>87</v>
      </c>
      <c r="D1096" t="s">
        <v>222</v>
      </c>
      <c r="E1096" t="s">
        <v>30</v>
      </c>
      <c r="F1096" s="6">
        <v>45657</v>
      </c>
      <c r="G1096">
        <v>2024</v>
      </c>
      <c r="H1096" t="s">
        <v>57</v>
      </c>
      <c r="I1096" t="s">
        <v>78</v>
      </c>
      <c r="J1096">
        <v>0</v>
      </c>
      <c r="K1096">
        <v>0</v>
      </c>
      <c r="L1096">
        <v>0</v>
      </c>
      <c r="M1096">
        <v>0</v>
      </c>
      <c r="N1096" t="s">
        <v>122</v>
      </c>
      <c r="O1096" t="s">
        <v>122</v>
      </c>
      <c r="P1096" t="s">
        <v>2431</v>
      </c>
      <c r="Q1096">
        <v>2</v>
      </c>
      <c r="R1096">
        <v>2</v>
      </c>
    </row>
    <row r="1097" spans="1:18" x14ac:dyDescent="0.3">
      <c r="A1097" t="s">
        <v>2425</v>
      </c>
      <c r="B1097" t="s">
        <v>2432</v>
      </c>
      <c r="C1097" t="s">
        <v>87</v>
      </c>
      <c r="D1097" t="s">
        <v>222</v>
      </c>
      <c r="E1097" t="s">
        <v>30</v>
      </c>
      <c r="F1097" s="6">
        <v>45838</v>
      </c>
      <c r="G1097">
        <v>2025</v>
      </c>
      <c r="H1097" t="s">
        <v>44</v>
      </c>
      <c r="I1097" t="s">
        <v>244</v>
      </c>
      <c r="J1097">
        <v>100</v>
      </c>
      <c r="K1097">
        <v>100</v>
      </c>
      <c r="L1097">
        <v>1</v>
      </c>
      <c r="M1097">
        <v>1</v>
      </c>
      <c r="N1097" t="s">
        <v>102</v>
      </c>
      <c r="O1097" t="s">
        <v>102</v>
      </c>
      <c r="P1097" t="s">
        <v>2433</v>
      </c>
      <c r="Q1097">
        <v>2</v>
      </c>
      <c r="R1097">
        <v>2</v>
      </c>
    </row>
    <row r="1098" spans="1:18" x14ac:dyDescent="0.3">
      <c r="A1098" t="s">
        <v>2425</v>
      </c>
      <c r="B1098" t="s">
        <v>2432</v>
      </c>
      <c r="C1098" t="s">
        <v>87</v>
      </c>
      <c r="D1098" t="s">
        <v>222</v>
      </c>
      <c r="E1098" t="s">
        <v>30</v>
      </c>
      <c r="F1098" s="6">
        <v>46022</v>
      </c>
      <c r="G1098">
        <v>2025</v>
      </c>
      <c r="H1098" t="s">
        <v>57</v>
      </c>
      <c r="I1098" t="s">
        <v>103</v>
      </c>
      <c r="J1098">
        <v>100</v>
      </c>
      <c r="K1098">
        <v>100</v>
      </c>
      <c r="L1098">
        <v>1</v>
      </c>
      <c r="M1098">
        <v>1</v>
      </c>
      <c r="N1098" t="s">
        <v>102</v>
      </c>
      <c r="O1098" t="s">
        <v>102</v>
      </c>
      <c r="P1098" t="s">
        <v>2434</v>
      </c>
      <c r="Q1098">
        <v>2</v>
      </c>
      <c r="R1098">
        <v>2</v>
      </c>
    </row>
    <row r="1099" spans="1:18" x14ac:dyDescent="0.3">
      <c r="A1099" t="s">
        <v>2435</v>
      </c>
      <c r="B1099" t="s">
        <v>2436</v>
      </c>
      <c r="C1099" t="s">
        <v>2437</v>
      </c>
      <c r="D1099" t="s">
        <v>98</v>
      </c>
      <c r="E1099" t="s">
        <v>30</v>
      </c>
      <c r="F1099" s="6">
        <v>45291</v>
      </c>
      <c r="G1099">
        <v>2023</v>
      </c>
      <c r="H1099" t="s">
        <v>57</v>
      </c>
      <c r="I1099" t="s">
        <v>47</v>
      </c>
      <c r="J1099">
        <v>800</v>
      </c>
      <c r="K1099">
        <v>1035</v>
      </c>
      <c r="L1099">
        <v>1.29375</v>
      </c>
      <c r="M1099">
        <v>1.29375</v>
      </c>
      <c r="N1099" t="s">
        <v>1144</v>
      </c>
      <c r="O1099" t="s">
        <v>5906</v>
      </c>
      <c r="P1099" t="s">
        <v>2438</v>
      </c>
      <c r="Q1099">
        <v>2</v>
      </c>
      <c r="R1099">
        <v>2</v>
      </c>
    </row>
    <row r="1100" spans="1:18" x14ac:dyDescent="0.3">
      <c r="A1100" t="s">
        <v>2435</v>
      </c>
      <c r="B1100" t="s">
        <v>2436</v>
      </c>
      <c r="C1100" t="s">
        <v>2437</v>
      </c>
      <c r="D1100" t="s">
        <v>98</v>
      </c>
      <c r="E1100" t="s">
        <v>30</v>
      </c>
      <c r="F1100" s="6">
        <v>45657</v>
      </c>
      <c r="G1100">
        <v>2024</v>
      </c>
      <c r="H1100" t="s">
        <v>57</v>
      </c>
      <c r="I1100" t="s">
        <v>78</v>
      </c>
      <c r="J1100">
        <v>100</v>
      </c>
      <c r="K1100">
        <v>157</v>
      </c>
      <c r="L1100">
        <v>1.3</v>
      </c>
      <c r="M1100">
        <v>1.57</v>
      </c>
      <c r="N1100" t="s">
        <v>102</v>
      </c>
      <c r="O1100" t="s">
        <v>5907</v>
      </c>
      <c r="P1100" t="s">
        <v>2439</v>
      </c>
      <c r="Q1100">
        <v>2</v>
      </c>
      <c r="R1100">
        <v>2</v>
      </c>
    </row>
    <row r="1101" spans="1:18" x14ac:dyDescent="0.3">
      <c r="A1101" t="s">
        <v>2440</v>
      </c>
      <c r="B1101" t="s">
        <v>2441</v>
      </c>
      <c r="C1101" t="s">
        <v>2437</v>
      </c>
      <c r="D1101" t="s">
        <v>98</v>
      </c>
      <c r="E1101" t="s">
        <v>30</v>
      </c>
      <c r="F1101" s="6">
        <v>45291</v>
      </c>
      <c r="G1101">
        <v>2023</v>
      </c>
      <c r="H1101" t="s">
        <v>57</v>
      </c>
      <c r="I1101" t="s">
        <v>47</v>
      </c>
      <c r="J1101">
        <v>3000</v>
      </c>
      <c r="K1101">
        <v>3315</v>
      </c>
      <c r="L1101">
        <v>1.105</v>
      </c>
      <c r="M1101">
        <v>1.105</v>
      </c>
      <c r="N1101" t="s">
        <v>5908</v>
      </c>
      <c r="O1101" t="s">
        <v>5909</v>
      </c>
      <c r="P1101" t="s">
        <v>2442</v>
      </c>
      <c r="Q1101">
        <v>2</v>
      </c>
      <c r="R1101">
        <v>2</v>
      </c>
    </row>
    <row r="1102" spans="1:18" x14ac:dyDescent="0.3">
      <c r="A1102" t="s">
        <v>2440</v>
      </c>
      <c r="B1102" t="s">
        <v>2441</v>
      </c>
      <c r="C1102" t="s">
        <v>2437</v>
      </c>
      <c r="D1102" t="s">
        <v>98</v>
      </c>
      <c r="E1102" t="s">
        <v>30</v>
      </c>
      <c r="F1102" s="6">
        <v>45657</v>
      </c>
      <c r="G1102">
        <v>2024</v>
      </c>
      <c r="H1102" t="s">
        <v>57</v>
      </c>
      <c r="I1102" t="s">
        <v>78</v>
      </c>
      <c r="J1102">
        <v>100</v>
      </c>
      <c r="K1102">
        <v>106.63</v>
      </c>
      <c r="L1102">
        <v>1.0663</v>
      </c>
      <c r="M1102">
        <v>1.0663</v>
      </c>
      <c r="N1102" t="s">
        <v>102</v>
      </c>
      <c r="O1102" t="s">
        <v>5910</v>
      </c>
      <c r="P1102" t="s">
        <v>2443</v>
      </c>
      <c r="Q1102">
        <v>2</v>
      </c>
      <c r="R1102">
        <v>2</v>
      </c>
    </row>
    <row r="1103" spans="1:18" x14ac:dyDescent="0.3">
      <c r="A1103" t="s">
        <v>2444</v>
      </c>
      <c r="B1103" t="s">
        <v>2445</v>
      </c>
      <c r="C1103" t="s">
        <v>2437</v>
      </c>
      <c r="D1103" t="s">
        <v>98</v>
      </c>
      <c r="E1103" t="s">
        <v>30</v>
      </c>
      <c r="F1103" s="6">
        <v>45291</v>
      </c>
      <c r="G1103">
        <v>2023</v>
      </c>
      <c r="H1103" t="s">
        <v>57</v>
      </c>
      <c r="I1103" t="s">
        <v>47</v>
      </c>
      <c r="K1103">
        <v>81</v>
      </c>
      <c r="L1103">
        <v>0</v>
      </c>
      <c r="M1103">
        <v>0</v>
      </c>
      <c r="O1103" t="s">
        <v>1054</v>
      </c>
      <c r="P1103" t="s">
        <v>2446</v>
      </c>
      <c r="Q1103">
        <v>2</v>
      </c>
      <c r="R1103">
        <v>2</v>
      </c>
    </row>
    <row r="1104" spans="1:18" x14ac:dyDescent="0.3">
      <c r="A1104" t="s">
        <v>2444</v>
      </c>
      <c r="B1104" t="s">
        <v>2445</v>
      </c>
      <c r="C1104" t="s">
        <v>2437</v>
      </c>
      <c r="D1104" t="s">
        <v>98</v>
      </c>
      <c r="E1104" t="s">
        <v>30</v>
      </c>
      <c r="F1104" s="6">
        <v>45657</v>
      </c>
      <c r="G1104">
        <v>2024</v>
      </c>
      <c r="H1104" t="s">
        <v>57</v>
      </c>
      <c r="I1104" t="s">
        <v>78</v>
      </c>
      <c r="J1104">
        <v>0</v>
      </c>
      <c r="K1104">
        <v>82</v>
      </c>
      <c r="L1104">
        <v>0</v>
      </c>
      <c r="M1104">
        <v>0</v>
      </c>
      <c r="N1104" t="s">
        <v>122</v>
      </c>
      <c r="O1104" t="s">
        <v>5879</v>
      </c>
      <c r="P1104" t="s">
        <v>2447</v>
      </c>
      <c r="Q1104">
        <v>2</v>
      </c>
      <c r="R1104">
        <v>2</v>
      </c>
    </row>
    <row r="1105" spans="1:18" x14ac:dyDescent="0.3">
      <c r="A1105" t="s">
        <v>2448</v>
      </c>
      <c r="B1105" t="s">
        <v>2449</v>
      </c>
      <c r="C1105" t="s">
        <v>262</v>
      </c>
      <c r="D1105" t="s">
        <v>222</v>
      </c>
      <c r="E1105" t="s">
        <v>108</v>
      </c>
      <c r="F1105" s="6">
        <v>44742</v>
      </c>
      <c r="G1105">
        <v>2022</v>
      </c>
      <c r="H1105" t="s">
        <v>44</v>
      </c>
      <c r="I1105" t="s">
        <v>88</v>
      </c>
      <c r="J1105">
        <v>1.6</v>
      </c>
      <c r="K1105">
        <v>1.8</v>
      </c>
      <c r="L1105">
        <v>0.88888888888888895</v>
      </c>
      <c r="M1105">
        <v>0.88888888888888895</v>
      </c>
      <c r="N1105" t="s">
        <v>501</v>
      </c>
      <c r="O1105" t="s">
        <v>5911</v>
      </c>
      <c r="P1105" t="s">
        <v>2450</v>
      </c>
      <c r="Q1105">
        <v>2</v>
      </c>
      <c r="R1105">
        <v>2</v>
      </c>
    </row>
    <row r="1106" spans="1:18" x14ac:dyDescent="0.3">
      <c r="A1106" t="s">
        <v>2448</v>
      </c>
      <c r="B1106" t="s">
        <v>2449</v>
      </c>
      <c r="C1106" t="s">
        <v>262</v>
      </c>
      <c r="D1106" t="s">
        <v>222</v>
      </c>
      <c r="E1106" t="s">
        <v>108</v>
      </c>
      <c r="F1106" s="6">
        <v>44926</v>
      </c>
      <c r="G1106">
        <v>2022</v>
      </c>
      <c r="H1106" t="s">
        <v>57</v>
      </c>
      <c r="I1106" t="s">
        <v>90</v>
      </c>
      <c r="J1106">
        <v>1.6</v>
      </c>
      <c r="K1106">
        <v>1.75</v>
      </c>
      <c r="L1106">
        <v>0.91428571428571437</v>
      </c>
      <c r="M1106">
        <v>0.91428571428571437</v>
      </c>
      <c r="N1106" t="s">
        <v>501</v>
      </c>
      <c r="O1106" t="s">
        <v>5912</v>
      </c>
      <c r="P1106" t="s">
        <v>2451</v>
      </c>
      <c r="Q1106">
        <v>2</v>
      </c>
      <c r="R1106">
        <v>2</v>
      </c>
    </row>
    <row r="1107" spans="1:18" x14ac:dyDescent="0.3">
      <c r="A1107" t="s">
        <v>2448</v>
      </c>
      <c r="B1107" t="s">
        <v>2449</v>
      </c>
      <c r="C1107" t="s">
        <v>262</v>
      </c>
      <c r="D1107" t="s">
        <v>222</v>
      </c>
      <c r="E1107" t="s">
        <v>108</v>
      </c>
      <c r="F1107" s="6">
        <v>45107</v>
      </c>
      <c r="G1107">
        <v>2023</v>
      </c>
      <c r="H1107" t="s">
        <v>44</v>
      </c>
      <c r="I1107" t="s">
        <v>33</v>
      </c>
      <c r="J1107">
        <v>1.8</v>
      </c>
      <c r="K1107">
        <v>1.57</v>
      </c>
      <c r="L1107">
        <v>1.1464968152866239</v>
      </c>
      <c r="M1107">
        <v>1.1464968152866239</v>
      </c>
      <c r="N1107" t="s">
        <v>5911</v>
      </c>
      <c r="O1107" t="s">
        <v>5913</v>
      </c>
      <c r="P1107" t="s">
        <v>2452</v>
      </c>
      <c r="Q1107">
        <v>2</v>
      </c>
      <c r="R1107">
        <v>2</v>
      </c>
    </row>
    <row r="1108" spans="1:18" x14ac:dyDescent="0.3">
      <c r="A1108" t="s">
        <v>2448</v>
      </c>
      <c r="B1108" t="s">
        <v>2449</v>
      </c>
      <c r="C1108" t="s">
        <v>262</v>
      </c>
      <c r="D1108" t="s">
        <v>222</v>
      </c>
      <c r="E1108" t="s">
        <v>108</v>
      </c>
      <c r="F1108" s="6">
        <v>45291</v>
      </c>
      <c r="G1108">
        <v>2023</v>
      </c>
      <c r="H1108" t="s">
        <v>57</v>
      </c>
      <c r="I1108" t="s">
        <v>47</v>
      </c>
      <c r="J1108">
        <v>1.8</v>
      </c>
      <c r="K1108">
        <v>1.3</v>
      </c>
      <c r="L1108">
        <v>1.3</v>
      </c>
      <c r="M1108">
        <v>1.384615384615385</v>
      </c>
      <c r="N1108" t="s">
        <v>5911</v>
      </c>
      <c r="O1108" t="s">
        <v>5914</v>
      </c>
      <c r="P1108" t="s">
        <v>2453</v>
      </c>
      <c r="Q1108">
        <v>2</v>
      </c>
      <c r="R1108">
        <v>2</v>
      </c>
    </row>
    <row r="1109" spans="1:18" x14ac:dyDescent="0.3">
      <c r="A1109" t="s">
        <v>2448</v>
      </c>
      <c r="B1109" t="s">
        <v>2449</v>
      </c>
      <c r="C1109" t="s">
        <v>262</v>
      </c>
      <c r="D1109" t="s">
        <v>222</v>
      </c>
      <c r="E1109" t="s">
        <v>108</v>
      </c>
      <c r="F1109" s="6">
        <v>45473</v>
      </c>
      <c r="G1109">
        <v>2024</v>
      </c>
      <c r="H1109" t="s">
        <v>44</v>
      </c>
      <c r="I1109" t="s">
        <v>71</v>
      </c>
      <c r="J1109">
        <v>1.5</v>
      </c>
      <c r="K1109">
        <v>1.48</v>
      </c>
      <c r="L1109">
        <v>1.013513513513514</v>
      </c>
      <c r="M1109">
        <v>1.013513513513514</v>
      </c>
      <c r="N1109" t="s">
        <v>5915</v>
      </c>
      <c r="O1109" t="s">
        <v>5916</v>
      </c>
      <c r="P1109" t="s">
        <v>2454</v>
      </c>
      <c r="Q1109">
        <v>2</v>
      </c>
      <c r="R1109">
        <v>2</v>
      </c>
    </row>
    <row r="1110" spans="1:18" x14ac:dyDescent="0.3">
      <c r="A1110" t="s">
        <v>2448</v>
      </c>
      <c r="B1110" t="s">
        <v>2449</v>
      </c>
      <c r="C1110" t="s">
        <v>262</v>
      </c>
      <c r="D1110" t="s">
        <v>222</v>
      </c>
      <c r="E1110" t="s">
        <v>108</v>
      </c>
      <c r="F1110" s="6">
        <v>45657</v>
      </c>
      <c r="G1110">
        <v>2024</v>
      </c>
      <c r="H1110" t="s">
        <v>57</v>
      </c>
      <c r="I1110" t="s">
        <v>78</v>
      </c>
      <c r="J1110">
        <v>1.8</v>
      </c>
      <c r="K1110">
        <v>0.82</v>
      </c>
      <c r="L1110">
        <v>1.3</v>
      </c>
      <c r="M1110">
        <v>2.1951219512195119</v>
      </c>
      <c r="N1110" t="s">
        <v>5911</v>
      </c>
      <c r="O1110" t="s">
        <v>5917</v>
      </c>
      <c r="P1110" t="s">
        <v>2455</v>
      </c>
      <c r="Q1110">
        <v>2</v>
      </c>
      <c r="R1110">
        <v>2</v>
      </c>
    </row>
    <row r="1111" spans="1:18" x14ac:dyDescent="0.3">
      <c r="A1111" t="s">
        <v>2448</v>
      </c>
      <c r="B1111" t="s">
        <v>2449</v>
      </c>
      <c r="C1111" t="s">
        <v>262</v>
      </c>
      <c r="D1111" t="s">
        <v>222</v>
      </c>
      <c r="E1111" t="s">
        <v>108</v>
      </c>
      <c r="F1111" s="6">
        <v>45838</v>
      </c>
      <c r="G1111">
        <v>2025</v>
      </c>
      <c r="H1111" t="s">
        <v>44</v>
      </c>
      <c r="I1111" t="s">
        <v>244</v>
      </c>
      <c r="J1111">
        <v>1.18</v>
      </c>
      <c r="K1111">
        <v>0.85</v>
      </c>
      <c r="L1111">
        <v>1.3</v>
      </c>
      <c r="M1111">
        <v>1.388235294117647</v>
      </c>
      <c r="N1111" t="s">
        <v>2457</v>
      </c>
      <c r="O1111" t="s">
        <v>2458</v>
      </c>
      <c r="P1111" t="s">
        <v>2459</v>
      </c>
      <c r="Q1111">
        <v>2</v>
      </c>
      <c r="R1111">
        <v>2</v>
      </c>
    </row>
    <row r="1112" spans="1:18" x14ac:dyDescent="0.3">
      <c r="A1112" t="s">
        <v>2448</v>
      </c>
      <c r="B1112" t="s">
        <v>2449</v>
      </c>
      <c r="C1112" t="s">
        <v>262</v>
      </c>
      <c r="D1112" t="s">
        <v>222</v>
      </c>
      <c r="E1112" t="s">
        <v>108</v>
      </c>
      <c r="F1112" s="6">
        <v>46022</v>
      </c>
      <c r="G1112">
        <v>2025</v>
      </c>
      <c r="H1112" t="s">
        <v>57</v>
      </c>
      <c r="I1112" t="s">
        <v>103</v>
      </c>
      <c r="J1112">
        <v>1.18</v>
      </c>
      <c r="K1112">
        <v>0.93</v>
      </c>
      <c r="L1112">
        <v>1.268817204301075</v>
      </c>
      <c r="M1112">
        <v>1.268817204301075</v>
      </c>
      <c r="N1112" t="s">
        <v>2457</v>
      </c>
      <c r="O1112" t="s">
        <v>2461</v>
      </c>
      <c r="P1112" t="s">
        <v>2462</v>
      </c>
      <c r="Q1112">
        <v>2</v>
      </c>
      <c r="R1112">
        <v>2</v>
      </c>
    </row>
    <row r="1113" spans="1:18" x14ac:dyDescent="0.3">
      <c r="A1113" t="s">
        <v>2463</v>
      </c>
      <c r="B1113" t="s">
        <v>2464</v>
      </c>
      <c r="C1113" t="s">
        <v>262</v>
      </c>
      <c r="D1113" t="s">
        <v>98</v>
      </c>
      <c r="E1113" t="s">
        <v>30</v>
      </c>
      <c r="F1113" s="6">
        <v>44926</v>
      </c>
      <c r="G1113">
        <v>2022</v>
      </c>
      <c r="H1113" t="s">
        <v>57</v>
      </c>
      <c r="I1113" t="s">
        <v>90</v>
      </c>
      <c r="J1113">
        <v>86</v>
      </c>
      <c r="K1113">
        <v>86</v>
      </c>
      <c r="L1113">
        <v>1</v>
      </c>
      <c r="M1113">
        <v>1</v>
      </c>
      <c r="N1113" t="s">
        <v>4410</v>
      </c>
      <c r="O1113" t="s">
        <v>4410</v>
      </c>
      <c r="P1113" t="s">
        <v>2465</v>
      </c>
      <c r="Q1113">
        <v>2</v>
      </c>
      <c r="R1113">
        <v>2</v>
      </c>
    </row>
    <row r="1114" spans="1:18" x14ac:dyDescent="0.3">
      <c r="A1114" t="s">
        <v>2463</v>
      </c>
      <c r="B1114" t="s">
        <v>2464</v>
      </c>
      <c r="C1114" t="s">
        <v>262</v>
      </c>
      <c r="D1114" t="s">
        <v>98</v>
      </c>
      <c r="E1114" t="s">
        <v>30</v>
      </c>
      <c r="F1114" s="6">
        <v>45291</v>
      </c>
      <c r="G1114">
        <v>2023</v>
      </c>
      <c r="H1114" t="s">
        <v>57</v>
      </c>
      <c r="I1114" t="s">
        <v>47</v>
      </c>
      <c r="J1114">
        <v>88</v>
      </c>
      <c r="K1114">
        <v>88.39</v>
      </c>
      <c r="L1114">
        <v>1.0044318181818179</v>
      </c>
      <c r="M1114">
        <v>1.0044318181818179</v>
      </c>
      <c r="N1114" t="s">
        <v>4404</v>
      </c>
      <c r="O1114" t="s">
        <v>5918</v>
      </c>
      <c r="P1114" t="s">
        <v>2466</v>
      </c>
      <c r="Q1114">
        <v>2</v>
      </c>
      <c r="R1114">
        <v>2</v>
      </c>
    </row>
    <row r="1115" spans="1:18" x14ac:dyDescent="0.3">
      <c r="A1115" t="s">
        <v>2463</v>
      </c>
      <c r="B1115" t="s">
        <v>2464</v>
      </c>
      <c r="C1115" t="s">
        <v>262</v>
      </c>
      <c r="D1115" t="s">
        <v>98</v>
      </c>
      <c r="E1115" t="s">
        <v>30</v>
      </c>
      <c r="F1115" s="6">
        <v>45657</v>
      </c>
      <c r="G1115">
        <v>2024</v>
      </c>
      <c r="H1115" t="s">
        <v>57</v>
      </c>
      <c r="I1115" t="s">
        <v>78</v>
      </c>
      <c r="J1115">
        <v>88</v>
      </c>
      <c r="K1115">
        <v>88.84</v>
      </c>
      <c r="L1115">
        <v>1.009545454545455</v>
      </c>
      <c r="M1115">
        <v>1.009545454545455</v>
      </c>
      <c r="N1115" t="s">
        <v>4404</v>
      </c>
      <c r="O1115" t="s">
        <v>5919</v>
      </c>
      <c r="P1115" t="s">
        <v>2467</v>
      </c>
      <c r="Q1115">
        <v>2</v>
      </c>
      <c r="R1115">
        <v>2</v>
      </c>
    </row>
    <row r="1116" spans="1:18" x14ac:dyDescent="0.3">
      <c r="A1116" t="s">
        <v>2463</v>
      </c>
      <c r="B1116" t="s">
        <v>2464</v>
      </c>
      <c r="C1116" t="s">
        <v>262</v>
      </c>
      <c r="D1116" t="s">
        <v>98</v>
      </c>
      <c r="E1116" t="s">
        <v>30</v>
      </c>
      <c r="F1116" s="6">
        <v>46022</v>
      </c>
      <c r="G1116">
        <v>2025</v>
      </c>
      <c r="H1116" t="s">
        <v>57</v>
      </c>
      <c r="I1116" t="s">
        <v>103</v>
      </c>
      <c r="J1116">
        <v>89</v>
      </c>
      <c r="K1116">
        <v>90.1</v>
      </c>
      <c r="L1116">
        <v>1.0123595505617979</v>
      </c>
      <c r="M1116">
        <v>1.0123595505617979</v>
      </c>
      <c r="N1116" t="s">
        <v>280</v>
      </c>
      <c r="O1116" t="s">
        <v>1732</v>
      </c>
      <c r="P1116" t="s">
        <v>2468</v>
      </c>
      <c r="Q1116">
        <v>2</v>
      </c>
      <c r="R1116">
        <v>2</v>
      </c>
    </row>
    <row r="1117" spans="1:18" x14ac:dyDescent="0.3">
      <c r="A1117" t="s">
        <v>2469</v>
      </c>
      <c r="B1117" t="s">
        <v>2470</v>
      </c>
      <c r="C1117" t="s">
        <v>262</v>
      </c>
      <c r="D1117" t="s">
        <v>98</v>
      </c>
      <c r="E1117" t="s">
        <v>30</v>
      </c>
      <c r="F1117" s="6">
        <v>45291</v>
      </c>
      <c r="G1117">
        <v>2023</v>
      </c>
      <c r="H1117" t="s">
        <v>57</v>
      </c>
      <c r="I1117" t="s">
        <v>47</v>
      </c>
      <c r="J1117">
        <v>80</v>
      </c>
      <c r="K1117">
        <v>93.85</v>
      </c>
      <c r="L1117">
        <v>1.173125</v>
      </c>
      <c r="M1117">
        <v>1.173125</v>
      </c>
      <c r="N1117" t="s">
        <v>193</v>
      </c>
      <c r="O1117" t="s">
        <v>5920</v>
      </c>
      <c r="P1117" t="s">
        <v>2471</v>
      </c>
      <c r="Q1117">
        <v>2</v>
      </c>
      <c r="R1117">
        <v>2</v>
      </c>
    </row>
    <row r="1118" spans="1:18" x14ac:dyDescent="0.3">
      <c r="A1118" t="s">
        <v>2469</v>
      </c>
      <c r="B1118" t="s">
        <v>2470</v>
      </c>
      <c r="C1118" t="s">
        <v>262</v>
      </c>
      <c r="D1118" t="s">
        <v>98</v>
      </c>
      <c r="E1118" t="s">
        <v>30</v>
      </c>
      <c r="F1118" s="6">
        <v>45657</v>
      </c>
      <c r="G1118">
        <v>2024</v>
      </c>
      <c r="H1118" t="s">
        <v>57</v>
      </c>
      <c r="I1118" t="s">
        <v>78</v>
      </c>
      <c r="J1118">
        <v>82</v>
      </c>
      <c r="K1118">
        <v>80.95</v>
      </c>
      <c r="L1118">
        <v>0.9871951219512195</v>
      </c>
      <c r="M1118">
        <v>0.9871951219512195</v>
      </c>
      <c r="N1118" t="s">
        <v>5879</v>
      </c>
      <c r="O1118" t="s">
        <v>5921</v>
      </c>
      <c r="P1118" t="s">
        <v>2472</v>
      </c>
      <c r="Q1118">
        <v>2</v>
      </c>
      <c r="R1118">
        <v>2</v>
      </c>
    </row>
    <row r="1119" spans="1:18" x14ac:dyDescent="0.3">
      <c r="A1119" t="s">
        <v>2473</v>
      </c>
      <c r="B1119" t="s">
        <v>2474</v>
      </c>
      <c r="C1119" t="s">
        <v>672</v>
      </c>
      <c r="D1119" t="s">
        <v>98</v>
      </c>
      <c r="E1119" t="s">
        <v>108</v>
      </c>
      <c r="F1119" s="6">
        <v>45291</v>
      </c>
      <c r="G1119">
        <v>2023</v>
      </c>
      <c r="H1119" t="s">
        <v>57</v>
      </c>
      <c r="I1119" t="s">
        <v>47</v>
      </c>
      <c r="L1119">
        <v>0</v>
      </c>
      <c r="M1119">
        <v>0</v>
      </c>
      <c r="P1119" t="s">
        <v>2475</v>
      </c>
      <c r="Q1119">
        <v>2</v>
      </c>
      <c r="R1119">
        <v>2</v>
      </c>
    </row>
    <row r="1120" spans="1:18" x14ac:dyDescent="0.3">
      <c r="A1120" t="s">
        <v>2473</v>
      </c>
      <c r="B1120" t="s">
        <v>2474</v>
      </c>
      <c r="C1120" t="s">
        <v>672</v>
      </c>
      <c r="D1120" t="s">
        <v>98</v>
      </c>
      <c r="E1120" t="s">
        <v>108</v>
      </c>
      <c r="F1120" s="6">
        <v>45657</v>
      </c>
      <c r="G1120">
        <v>2024</v>
      </c>
      <c r="H1120" t="s">
        <v>57</v>
      </c>
      <c r="I1120" t="s">
        <v>78</v>
      </c>
      <c r="J1120">
        <v>2</v>
      </c>
      <c r="K1120">
        <v>0.79</v>
      </c>
      <c r="L1120">
        <v>1.3</v>
      </c>
      <c r="M1120">
        <v>2.5316455696202529</v>
      </c>
      <c r="N1120" t="s">
        <v>569</v>
      </c>
      <c r="O1120" t="s">
        <v>5922</v>
      </c>
      <c r="P1120" t="s">
        <v>2476</v>
      </c>
      <c r="Q1120">
        <v>2</v>
      </c>
      <c r="R1120">
        <v>2</v>
      </c>
    </row>
    <row r="1121" spans="1:18" x14ac:dyDescent="0.3">
      <c r="A1121" t="s">
        <v>2473</v>
      </c>
      <c r="B1121" t="s">
        <v>2474</v>
      </c>
      <c r="C1121" t="s">
        <v>672</v>
      </c>
      <c r="D1121" t="s">
        <v>98</v>
      </c>
      <c r="E1121" t="s">
        <v>108</v>
      </c>
      <c r="F1121" s="6">
        <v>46022</v>
      </c>
      <c r="G1121">
        <v>2025</v>
      </c>
      <c r="H1121" t="s">
        <v>57</v>
      </c>
      <c r="I1121" t="s">
        <v>103</v>
      </c>
      <c r="K1121">
        <v>0.36</v>
      </c>
      <c r="L1121">
        <v>0</v>
      </c>
      <c r="M1121">
        <v>0</v>
      </c>
      <c r="O1121" t="s">
        <v>2478</v>
      </c>
      <c r="P1121" t="s">
        <v>2479</v>
      </c>
      <c r="Q1121">
        <v>2</v>
      </c>
      <c r="R1121">
        <v>2</v>
      </c>
    </row>
    <row r="1122" spans="1:18" x14ac:dyDescent="0.3">
      <c r="A1122" t="s">
        <v>2480</v>
      </c>
      <c r="B1122" t="s">
        <v>2481</v>
      </c>
      <c r="C1122" t="s">
        <v>87</v>
      </c>
      <c r="D1122" t="s">
        <v>222</v>
      </c>
      <c r="E1122" t="s">
        <v>30</v>
      </c>
      <c r="F1122" s="6">
        <v>45107</v>
      </c>
      <c r="G1122">
        <v>2023</v>
      </c>
      <c r="H1122" t="s">
        <v>44</v>
      </c>
      <c r="I1122" t="s">
        <v>33</v>
      </c>
      <c r="L1122">
        <v>0</v>
      </c>
      <c r="M1122">
        <v>0</v>
      </c>
      <c r="P1122" t="s">
        <v>2482</v>
      </c>
      <c r="Q1122">
        <v>2</v>
      </c>
      <c r="R1122">
        <v>2</v>
      </c>
    </row>
    <row r="1123" spans="1:18" x14ac:dyDescent="0.3">
      <c r="A1123" t="s">
        <v>2480</v>
      </c>
      <c r="B1123" t="s">
        <v>2481</v>
      </c>
      <c r="C1123" t="s">
        <v>87</v>
      </c>
      <c r="D1123" t="s">
        <v>222</v>
      </c>
      <c r="E1123" t="s">
        <v>30</v>
      </c>
      <c r="F1123" s="6">
        <v>45291</v>
      </c>
      <c r="G1123">
        <v>2023</v>
      </c>
      <c r="H1123" t="s">
        <v>57</v>
      </c>
      <c r="I1123" t="s">
        <v>47</v>
      </c>
      <c r="J1123">
        <v>3</v>
      </c>
      <c r="K1123">
        <v>3</v>
      </c>
      <c r="L1123">
        <v>1</v>
      </c>
      <c r="M1123">
        <v>1</v>
      </c>
      <c r="N1123" t="s">
        <v>1849</v>
      </c>
      <c r="O1123" t="s">
        <v>1849</v>
      </c>
      <c r="P1123" t="s">
        <v>2483</v>
      </c>
      <c r="Q1123">
        <v>2</v>
      </c>
      <c r="R1123">
        <v>2</v>
      </c>
    </row>
    <row r="1124" spans="1:18" x14ac:dyDescent="0.3">
      <c r="A1124" t="s">
        <v>2480</v>
      </c>
      <c r="B1124" t="s">
        <v>2481</v>
      </c>
      <c r="C1124" t="s">
        <v>87</v>
      </c>
      <c r="D1124" t="s">
        <v>222</v>
      </c>
      <c r="E1124" t="s">
        <v>30</v>
      </c>
      <c r="F1124" s="6">
        <v>45473</v>
      </c>
      <c r="G1124">
        <v>2024</v>
      </c>
      <c r="H1124" t="s">
        <v>44</v>
      </c>
      <c r="I1124" t="s">
        <v>71</v>
      </c>
      <c r="J1124">
        <v>100</v>
      </c>
      <c r="K1124">
        <v>100</v>
      </c>
      <c r="L1124">
        <v>1</v>
      </c>
      <c r="M1124">
        <v>1</v>
      </c>
      <c r="N1124" t="s">
        <v>102</v>
      </c>
      <c r="O1124" t="s">
        <v>102</v>
      </c>
      <c r="P1124" t="s">
        <v>2484</v>
      </c>
      <c r="Q1124">
        <v>2</v>
      </c>
      <c r="R1124">
        <v>2</v>
      </c>
    </row>
    <row r="1125" spans="1:18" x14ac:dyDescent="0.3">
      <c r="A1125" t="s">
        <v>2480</v>
      </c>
      <c r="B1125" t="s">
        <v>2481</v>
      </c>
      <c r="C1125" t="s">
        <v>87</v>
      </c>
      <c r="D1125" t="s">
        <v>222</v>
      </c>
      <c r="E1125" t="s">
        <v>30</v>
      </c>
      <c r="F1125" s="6">
        <v>45657</v>
      </c>
      <c r="G1125">
        <v>2024</v>
      </c>
      <c r="H1125" t="s">
        <v>57</v>
      </c>
      <c r="I1125" t="s">
        <v>78</v>
      </c>
      <c r="J1125">
        <v>100</v>
      </c>
      <c r="L1125">
        <v>0</v>
      </c>
      <c r="M1125">
        <v>0</v>
      </c>
      <c r="N1125" t="s">
        <v>102</v>
      </c>
      <c r="P1125" t="s">
        <v>2485</v>
      </c>
      <c r="Q1125">
        <v>2</v>
      </c>
      <c r="R1125">
        <v>2</v>
      </c>
    </row>
    <row r="1126" spans="1:18" x14ac:dyDescent="0.3">
      <c r="A1126" t="s">
        <v>2480</v>
      </c>
      <c r="B1126" t="s">
        <v>2486</v>
      </c>
      <c r="C1126" t="s">
        <v>87</v>
      </c>
      <c r="D1126" t="s">
        <v>222</v>
      </c>
      <c r="E1126" t="s">
        <v>30</v>
      </c>
      <c r="F1126" s="6">
        <v>45838</v>
      </c>
      <c r="G1126">
        <v>2025</v>
      </c>
      <c r="H1126" t="s">
        <v>44</v>
      </c>
      <c r="I1126" t="s">
        <v>244</v>
      </c>
      <c r="J1126">
        <v>100</v>
      </c>
      <c r="L1126">
        <v>0</v>
      </c>
      <c r="M1126">
        <v>0</v>
      </c>
      <c r="N1126" t="s">
        <v>102</v>
      </c>
      <c r="P1126" t="s">
        <v>2487</v>
      </c>
      <c r="Q1126">
        <v>2</v>
      </c>
      <c r="R1126">
        <v>2</v>
      </c>
    </row>
    <row r="1127" spans="1:18" x14ac:dyDescent="0.3">
      <c r="A1127" t="s">
        <v>2480</v>
      </c>
      <c r="B1127" t="s">
        <v>2486</v>
      </c>
      <c r="C1127" t="s">
        <v>87</v>
      </c>
      <c r="D1127" t="s">
        <v>222</v>
      </c>
      <c r="E1127" t="s">
        <v>30</v>
      </c>
      <c r="F1127" s="6">
        <v>46022</v>
      </c>
      <c r="G1127">
        <v>2025</v>
      </c>
      <c r="H1127" t="s">
        <v>57</v>
      </c>
      <c r="I1127" t="s">
        <v>103</v>
      </c>
      <c r="J1127">
        <v>100</v>
      </c>
      <c r="L1127">
        <v>0</v>
      </c>
      <c r="M1127">
        <v>0</v>
      </c>
      <c r="N1127" t="s">
        <v>102</v>
      </c>
      <c r="P1127" t="s">
        <v>2488</v>
      </c>
      <c r="Q1127">
        <v>2</v>
      </c>
      <c r="R1127">
        <v>2</v>
      </c>
    </row>
    <row r="1128" spans="1:18" x14ac:dyDescent="0.3">
      <c r="A1128" t="s">
        <v>2489</v>
      </c>
      <c r="B1128" t="s">
        <v>2490</v>
      </c>
      <c r="C1128" t="s">
        <v>87</v>
      </c>
      <c r="D1128" t="s">
        <v>222</v>
      </c>
      <c r="E1128" t="s">
        <v>30</v>
      </c>
      <c r="F1128" s="6">
        <v>45107</v>
      </c>
      <c r="G1128">
        <v>2023</v>
      </c>
      <c r="H1128" t="s">
        <v>44</v>
      </c>
      <c r="I1128" t="s">
        <v>33</v>
      </c>
      <c r="J1128">
        <v>5</v>
      </c>
      <c r="K1128">
        <v>5</v>
      </c>
      <c r="L1128">
        <v>1</v>
      </c>
      <c r="M1128">
        <v>1</v>
      </c>
      <c r="N1128" t="s">
        <v>823</v>
      </c>
      <c r="O1128" t="s">
        <v>823</v>
      </c>
      <c r="P1128" t="s">
        <v>2491</v>
      </c>
      <c r="Q1128">
        <v>2</v>
      </c>
      <c r="R1128">
        <v>2</v>
      </c>
    </row>
    <row r="1129" spans="1:18" x14ac:dyDescent="0.3">
      <c r="A1129" t="s">
        <v>2489</v>
      </c>
      <c r="B1129" t="s">
        <v>2490</v>
      </c>
      <c r="C1129" t="s">
        <v>87</v>
      </c>
      <c r="D1129" t="s">
        <v>222</v>
      </c>
      <c r="E1129" t="s">
        <v>30</v>
      </c>
      <c r="F1129" s="6">
        <v>45291</v>
      </c>
      <c r="G1129">
        <v>2023</v>
      </c>
      <c r="H1129" t="s">
        <v>57</v>
      </c>
      <c r="I1129" t="s">
        <v>47</v>
      </c>
      <c r="L1129">
        <v>0</v>
      </c>
      <c r="M1129">
        <v>0</v>
      </c>
      <c r="P1129" t="s">
        <v>2492</v>
      </c>
      <c r="Q1129">
        <v>2</v>
      </c>
      <c r="R1129">
        <v>2</v>
      </c>
    </row>
    <row r="1130" spans="1:18" x14ac:dyDescent="0.3">
      <c r="A1130" t="s">
        <v>2489</v>
      </c>
      <c r="B1130" t="s">
        <v>2493</v>
      </c>
      <c r="C1130" t="s">
        <v>87</v>
      </c>
      <c r="D1130" t="s">
        <v>222</v>
      </c>
      <c r="E1130" t="s">
        <v>30</v>
      </c>
      <c r="F1130" s="6">
        <v>45473</v>
      </c>
      <c r="G1130">
        <v>2024</v>
      </c>
      <c r="H1130" t="s">
        <v>44</v>
      </c>
      <c r="I1130" t="s">
        <v>71</v>
      </c>
      <c r="J1130">
        <v>3</v>
      </c>
      <c r="K1130">
        <v>3</v>
      </c>
      <c r="L1130">
        <v>1</v>
      </c>
      <c r="M1130">
        <v>1</v>
      </c>
      <c r="N1130" t="s">
        <v>1849</v>
      </c>
      <c r="O1130" t="s">
        <v>1849</v>
      </c>
      <c r="P1130" t="s">
        <v>2494</v>
      </c>
      <c r="Q1130">
        <v>2</v>
      </c>
      <c r="R1130">
        <v>2</v>
      </c>
    </row>
    <row r="1131" spans="1:18" x14ac:dyDescent="0.3">
      <c r="A1131" t="s">
        <v>2489</v>
      </c>
      <c r="B1131" t="s">
        <v>2490</v>
      </c>
      <c r="C1131" t="s">
        <v>87</v>
      </c>
      <c r="D1131" t="s">
        <v>222</v>
      </c>
      <c r="E1131" t="s">
        <v>30</v>
      </c>
      <c r="F1131" s="6">
        <v>45657</v>
      </c>
      <c r="G1131">
        <v>2024</v>
      </c>
      <c r="H1131" t="s">
        <v>57</v>
      </c>
      <c r="I1131" t="s">
        <v>78</v>
      </c>
      <c r="L1131">
        <v>0</v>
      </c>
      <c r="M1131">
        <v>0</v>
      </c>
      <c r="P1131" t="s">
        <v>2495</v>
      </c>
      <c r="Q1131">
        <v>2</v>
      </c>
      <c r="R1131">
        <v>2</v>
      </c>
    </row>
    <row r="1132" spans="1:18" x14ac:dyDescent="0.3">
      <c r="A1132" t="s">
        <v>2489</v>
      </c>
      <c r="B1132" t="s">
        <v>2496</v>
      </c>
      <c r="C1132" t="s">
        <v>87</v>
      </c>
      <c r="D1132" t="s">
        <v>222</v>
      </c>
      <c r="E1132" t="s">
        <v>30</v>
      </c>
      <c r="F1132" s="6">
        <v>45838</v>
      </c>
      <c r="G1132">
        <v>2025</v>
      </c>
      <c r="H1132" t="s">
        <v>44</v>
      </c>
      <c r="I1132" t="s">
        <v>244</v>
      </c>
      <c r="J1132">
        <v>100</v>
      </c>
      <c r="K1132">
        <v>100</v>
      </c>
      <c r="L1132">
        <v>1</v>
      </c>
      <c r="M1132">
        <v>1</v>
      </c>
      <c r="N1132" t="s">
        <v>102</v>
      </c>
      <c r="O1132" t="s">
        <v>102</v>
      </c>
      <c r="P1132" t="s">
        <v>2497</v>
      </c>
      <c r="Q1132">
        <v>2</v>
      </c>
      <c r="R1132">
        <v>2</v>
      </c>
    </row>
    <row r="1133" spans="1:18" x14ac:dyDescent="0.3">
      <c r="A1133" t="s">
        <v>2489</v>
      </c>
      <c r="B1133" t="s">
        <v>2496</v>
      </c>
      <c r="C1133" t="s">
        <v>87</v>
      </c>
      <c r="D1133" t="s">
        <v>222</v>
      </c>
      <c r="E1133" t="s">
        <v>30</v>
      </c>
      <c r="F1133" s="6">
        <v>46022</v>
      </c>
      <c r="G1133">
        <v>2025</v>
      </c>
      <c r="H1133" t="s">
        <v>57</v>
      </c>
      <c r="I1133" t="s">
        <v>103</v>
      </c>
      <c r="J1133">
        <v>100</v>
      </c>
      <c r="K1133">
        <v>100</v>
      </c>
      <c r="L1133">
        <v>1</v>
      </c>
      <c r="M1133">
        <v>1</v>
      </c>
      <c r="N1133" t="s">
        <v>102</v>
      </c>
      <c r="O1133" t="s">
        <v>102</v>
      </c>
      <c r="P1133" t="s">
        <v>2498</v>
      </c>
      <c r="Q1133">
        <v>2</v>
      </c>
      <c r="R1133">
        <v>2</v>
      </c>
    </row>
    <row r="1134" spans="1:18" x14ac:dyDescent="0.3">
      <c r="A1134" t="s">
        <v>2499</v>
      </c>
      <c r="B1134" t="s">
        <v>2500</v>
      </c>
      <c r="C1134" t="s">
        <v>2501</v>
      </c>
      <c r="D1134" t="s">
        <v>98</v>
      </c>
      <c r="E1134" t="s">
        <v>30</v>
      </c>
      <c r="F1134" s="6">
        <v>45291</v>
      </c>
      <c r="G1134">
        <v>2023</v>
      </c>
      <c r="H1134" t="s">
        <v>57</v>
      </c>
      <c r="I1134" t="s">
        <v>47</v>
      </c>
      <c r="J1134">
        <v>30</v>
      </c>
      <c r="K1134">
        <v>28.571428571428601</v>
      </c>
      <c r="L1134">
        <v>0.95238095238095333</v>
      </c>
      <c r="M1134">
        <v>0.95238095238095333</v>
      </c>
      <c r="N1134" t="s">
        <v>2505</v>
      </c>
      <c r="O1134" t="s">
        <v>5923</v>
      </c>
      <c r="P1134" t="s">
        <v>2502</v>
      </c>
      <c r="Q1134">
        <v>2</v>
      </c>
      <c r="R1134">
        <v>2</v>
      </c>
    </row>
    <row r="1135" spans="1:18" x14ac:dyDescent="0.3">
      <c r="A1135" t="s">
        <v>2499</v>
      </c>
      <c r="B1135" t="s">
        <v>2500</v>
      </c>
      <c r="C1135" t="s">
        <v>2501</v>
      </c>
      <c r="D1135" t="s">
        <v>98</v>
      </c>
      <c r="E1135" t="s">
        <v>30</v>
      </c>
      <c r="F1135" s="6">
        <v>45657</v>
      </c>
      <c r="G1135">
        <v>2024</v>
      </c>
      <c r="H1135" t="s">
        <v>57</v>
      </c>
      <c r="I1135" t="s">
        <v>78</v>
      </c>
      <c r="J1135">
        <v>30</v>
      </c>
      <c r="K1135">
        <v>30.3</v>
      </c>
      <c r="L1135">
        <v>1.01</v>
      </c>
      <c r="M1135">
        <v>1.01</v>
      </c>
      <c r="N1135" t="s">
        <v>2505</v>
      </c>
      <c r="O1135" t="s">
        <v>5924</v>
      </c>
      <c r="P1135" t="s">
        <v>2503</v>
      </c>
      <c r="Q1135">
        <v>2</v>
      </c>
      <c r="R1135">
        <v>2</v>
      </c>
    </row>
    <row r="1136" spans="1:18" x14ac:dyDescent="0.3">
      <c r="A1136" t="s">
        <v>2499</v>
      </c>
      <c r="B1136" t="s">
        <v>2500</v>
      </c>
      <c r="C1136" t="s">
        <v>2501</v>
      </c>
      <c r="D1136" t="s">
        <v>98</v>
      </c>
      <c r="E1136" t="s">
        <v>30</v>
      </c>
      <c r="F1136" s="6">
        <v>46022</v>
      </c>
      <c r="G1136">
        <v>2025</v>
      </c>
      <c r="H1136" t="s">
        <v>57</v>
      </c>
      <c r="I1136" t="s">
        <v>103</v>
      </c>
      <c r="J1136">
        <v>30</v>
      </c>
      <c r="K1136">
        <v>35.29</v>
      </c>
      <c r="L1136">
        <v>1.176333333333333</v>
      </c>
      <c r="M1136">
        <v>1.176333333333333</v>
      </c>
      <c r="N1136" t="s">
        <v>2505</v>
      </c>
      <c r="O1136" t="s">
        <v>2506</v>
      </c>
      <c r="P1136" t="s">
        <v>2507</v>
      </c>
      <c r="Q1136">
        <v>2</v>
      </c>
      <c r="R1136">
        <v>2</v>
      </c>
    </row>
    <row r="1137" spans="1:18" x14ac:dyDescent="0.3">
      <c r="A1137" t="s">
        <v>2508</v>
      </c>
      <c r="B1137" t="s">
        <v>2509</v>
      </c>
      <c r="C1137" t="s">
        <v>251</v>
      </c>
      <c r="D1137" t="s">
        <v>233</v>
      </c>
      <c r="E1137" t="s">
        <v>30</v>
      </c>
      <c r="F1137" s="6">
        <v>45107</v>
      </c>
      <c r="G1137">
        <v>2023</v>
      </c>
      <c r="H1137" t="s">
        <v>44</v>
      </c>
      <c r="I1137" t="s">
        <v>33</v>
      </c>
      <c r="J1137">
        <v>90</v>
      </c>
      <c r="K1137">
        <v>100</v>
      </c>
      <c r="L1137">
        <v>1.1111111111111109</v>
      </c>
      <c r="M1137">
        <v>1.1111111111111109</v>
      </c>
      <c r="N1137" t="s">
        <v>256</v>
      </c>
      <c r="O1137" t="s">
        <v>102</v>
      </c>
      <c r="P1137" t="s">
        <v>2511</v>
      </c>
      <c r="Q1137">
        <v>2</v>
      </c>
      <c r="R1137">
        <v>2</v>
      </c>
    </row>
    <row r="1138" spans="1:18" x14ac:dyDescent="0.3">
      <c r="A1138" t="s">
        <v>2508</v>
      </c>
      <c r="B1138" t="s">
        <v>2509</v>
      </c>
      <c r="C1138" t="s">
        <v>251</v>
      </c>
      <c r="D1138" t="s">
        <v>233</v>
      </c>
      <c r="E1138" t="s">
        <v>30</v>
      </c>
      <c r="F1138" s="6">
        <v>45291</v>
      </c>
      <c r="G1138">
        <v>2023</v>
      </c>
      <c r="H1138" t="s">
        <v>57</v>
      </c>
      <c r="I1138" t="s">
        <v>47</v>
      </c>
      <c r="J1138">
        <v>90</v>
      </c>
      <c r="K1138">
        <v>100</v>
      </c>
      <c r="L1138">
        <v>1.1111111111111109</v>
      </c>
      <c r="M1138">
        <v>1.1111111111111109</v>
      </c>
      <c r="N1138" t="s">
        <v>256</v>
      </c>
      <c r="O1138" t="s">
        <v>102</v>
      </c>
      <c r="P1138" t="s">
        <v>2513</v>
      </c>
      <c r="Q1138">
        <v>2</v>
      </c>
      <c r="R1138">
        <v>2</v>
      </c>
    </row>
    <row r="1139" spans="1:18" x14ac:dyDescent="0.3">
      <c r="A1139" t="s">
        <v>2508</v>
      </c>
      <c r="B1139" t="s">
        <v>2509</v>
      </c>
      <c r="C1139" t="s">
        <v>251</v>
      </c>
      <c r="D1139" t="s">
        <v>233</v>
      </c>
      <c r="E1139" t="s">
        <v>30</v>
      </c>
      <c r="F1139" s="6">
        <v>45473</v>
      </c>
      <c r="G1139">
        <v>2024</v>
      </c>
      <c r="H1139" t="s">
        <v>44</v>
      </c>
      <c r="I1139" t="s">
        <v>71</v>
      </c>
      <c r="J1139">
        <v>95</v>
      </c>
      <c r="K1139">
        <v>100</v>
      </c>
      <c r="L1139">
        <v>1.0526315789473679</v>
      </c>
      <c r="M1139">
        <v>1.0526315789473679</v>
      </c>
      <c r="N1139" t="s">
        <v>838</v>
      </c>
      <c r="O1139" t="s">
        <v>102</v>
      </c>
      <c r="P1139" t="s">
        <v>2515</v>
      </c>
      <c r="Q1139">
        <v>2</v>
      </c>
      <c r="R1139">
        <v>2</v>
      </c>
    </row>
    <row r="1140" spans="1:18" x14ac:dyDescent="0.3">
      <c r="A1140" t="s">
        <v>2508</v>
      </c>
      <c r="B1140" t="s">
        <v>2509</v>
      </c>
      <c r="C1140" t="s">
        <v>251</v>
      </c>
      <c r="D1140" t="s">
        <v>233</v>
      </c>
      <c r="E1140" t="s">
        <v>30</v>
      </c>
      <c r="F1140" s="6">
        <v>45657</v>
      </c>
      <c r="G1140">
        <v>2024</v>
      </c>
      <c r="H1140" t="s">
        <v>57</v>
      </c>
      <c r="I1140" t="s">
        <v>78</v>
      </c>
      <c r="J1140">
        <v>95</v>
      </c>
      <c r="K1140">
        <v>100</v>
      </c>
      <c r="L1140">
        <v>1.0526315789473679</v>
      </c>
      <c r="M1140">
        <v>1.0526315789473679</v>
      </c>
      <c r="N1140" t="s">
        <v>838</v>
      </c>
      <c r="O1140" t="s">
        <v>102</v>
      </c>
      <c r="P1140" t="s">
        <v>2517</v>
      </c>
      <c r="Q1140">
        <v>2</v>
      </c>
      <c r="R1140">
        <v>2</v>
      </c>
    </row>
    <row r="1141" spans="1:18" x14ac:dyDescent="0.3">
      <c r="A1141" t="s">
        <v>2508</v>
      </c>
      <c r="B1141" t="s">
        <v>2509</v>
      </c>
      <c r="C1141" t="s">
        <v>251</v>
      </c>
      <c r="D1141" t="s">
        <v>233</v>
      </c>
      <c r="E1141" t="s">
        <v>30</v>
      </c>
      <c r="F1141" s="6">
        <v>45838</v>
      </c>
      <c r="G1141">
        <v>2025</v>
      </c>
      <c r="H1141" t="s">
        <v>44</v>
      </c>
      <c r="I1141" t="s">
        <v>244</v>
      </c>
      <c r="J1141">
        <v>95</v>
      </c>
      <c r="K1141">
        <v>100</v>
      </c>
      <c r="L1141">
        <v>1.0526315789473679</v>
      </c>
      <c r="M1141">
        <v>1.0526315789473679</v>
      </c>
      <c r="N1141" t="s">
        <v>838</v>
      </c>
      <c r="O1141" t="s">
        <v>102</v>
      </c>
      <c r="P1141" t="s">
        <v>2519</v>
      </c>
      <c r="Q1141">
        <v>2</v>
      </c>
      <c r="R1141">
        <v>2</v>
      </c>
    </row>
    <row r="1142" spans="1:18" x14ac:dyDescent="0.3">
      <c r="A1142" t="s">
        <v>2520</v>
      </c>
      <c r="B1142" t="s">
        <v>2521</v>
      </c>
      <c r="C1142" t="s">
        <v>232</v>
      </c>
      <c r="D1142" t="s">
        <v>222</v>
      </c>
      <c r="E1142" t="s">
        <v>30</v>
      </c>
      <c r="F1142" s="6">
        <v>45107</v>
      </c>
      <c r="G1142">
        <v>2023</v>
      </c>
      <c r="H1142" t="s">
        <v>44</v>
      </c>
      <c r="I1142" t="s">
        <v>33</v>
      </c>
      <c r="J1142">
        <v>600000000</v>
      </c>
      <c r="K1142">
        <v>743218000</v>
      </c>
      <c r="L1142">
        <v>1.238696666666667</v>
      </c>
      <c r="M1142">
        <v>1.238696666666667</v>
      </c>
      <c r="N1142" t="s">
        <v>5925</v>
      </c>
      <c r="O1142" t="s">
        <v>5926</v>
      </c>
      <c r="P1142" t="s">
        <v>2522</v>
      </c>
      <c r="Q1142">
        <v>2</v>
      </c>
      <c r="R1142">
        <v>2</v>
      </c>
    </row>
    <row r="1143" spans="1:18" x14ac:dyDescent="0.3">
      <c r="A1143" t="s">
        <v>2520</v>
      </c>
      <c r="B1143" t="s">
        <v>2521</v>
      </c>
      <c r="C1143" t="s">
        <v>232</v>
      </c>
      <c r="D1143" t="s">
        <v>222</v>
      </c>
      <c r="E1143" t="s">
        <v>30</v>
      </c>
      <c r="F1143" s="6">
        <v>45291</v>
      </c>
      <c r="G1143">
        <v>2023</v>
      </c>
      <c r="H1143" t="s">
        <v>57</v>
      </c>
      <c r="I1143" t="s">
        <v>47</v>
      </c>
      <c r="J1143">
        <v>900000000</v>
      </c>
      <c r="K1143">
        <v>1175172000</v>
      </c>
      <c r="L1143">
        <v>1.3</v>
      </c>
      <c r="M1143">
        <v>1.3057466666666671</v>
      </c>
      <c r="N1143" t="s">
        <v>5927</v>
      </c>
      <c r="O1143" t="s">
        <v>5928</v>
      </c>
      <c r="P1143" t="s">
        <v>2523</v>
      </c>
      <c r="Q1143">
        <v>2</v>
      </c>
      <c r="R1143">
        <v>2</v>
      </c>
    </row>
    <row r="1144" spans="1:18" x14ac:dyDescent="0.3">
      <c r="A1144" t="s">
        <v>2520</v>
      </c>
      <c r="B1144" t="s">
        <v>2524</v>
      </c>
      <c r="C1144" t="s">
        <v>232</v>
      </c>
      <c r="D1144" t="s">
        <v>222</v>
      </c>
      <c r="E1144" t="s">
        <v>30</v>
      </c>
      <c r="F1144" s="6">
        <v>45473</v>
      </c>
      <c r="G1144">
        <v>2024</v>
      </c>
      <c r="H1144" t="s">
        <v>44</v>
      </c>
      <c r="I1144" t="s">
        <v>71</v>
      </c>
      <c r="J1144">
        <v>600000000</v>
      </c>
      <c r="K1144">
        <v>750000000</v>
      </c>
      <c r="L1144">
        <v>1.25</v>
      </c>
      <c r="M1144">
        <v>1.25</v>
      </c>
      <c r="N1144" t="s">
        <v>5925</v>
      </c>
      <c r="O1144" t="s">
        <v>5929</v>
      </c>
      <c r="P1144" t="s">
        <v>2525</v>
      </c>
      <c r="Q1144">
        <v>2</v>
      </c>
      <c r="R1144">
        <v>2</v>
      </c>
    </row>
    <row r="1145" spans="1:18" x14ac:dyDescent="0.3">
      <c r="A1145" t="s">
        <v>2520</v>
      </c>
      <c r="B1145" t="s">
        <v>2524</v>
      </c>
      <c r="C1145" t="s">
        <v>232</v>
      </c>
      <c r="D1145" t="s">
        <v>222</v>
      </c>
      <c r="E1145" t="s">
        <v>30</v>
      </c>
      <c r="F1145" s="6">
        <v>45657</v>
      </c>
      <c r="G1145">
        <v>2024</v>
      </c>
      <c r="H1145" t="s">
        <v>57</v>
      </c>
      <c r="I1145" t="s">
        <v>78</v>
      </c>
      <c r="J1145">
        <v>900000000</v>
      </c>
      <c r="K1145">
        <v>922000000</v>
      </c>
      <c r="L1145">
        <v>1.024444444444444</v>
      </c>
      <c r="M1145">
        <v>1.024444444444444</v>
      </c>
      <c r="N1145" t="s">
        <v>5927</v>
      </c>
      <c r="O1145" t="s">
        <v>5930</v>
      </c>
      <c r="P1145" t="s">
        <v>2526</v>
      </c>
      <c r="Q1145">
        <v>2</v>
      </c>
      <c r="R1145">
        <v>2</v>
      </c>
    </row>
    <row r="1146" spans="1:18" x14ac:dyDescent="0.3">
      <c r="A1146" t="s">
        <v>2520</v>
      </c>
      <c r="B1146" t="s">
        <v>2527</v>
      </c>
      <c r="C1146" t="s">
        <v>232</v>
      </c>
      <c r="D1146" t="s">
        <v>222</v>
      </c>
      <c r="E1146" t="s">
        <v>30</v>
      </c>
      <c r="F1146" s="6">
        <v>45838</v>
      </c>
      <c r="G1146">
        <v>2025</v>
      </c>
      <c r="H1146" t="s">
        <v>44</v>
      </c>
      <c r="I1146" t="s">
        <v>244</v>
      </c>
      <c r="J1146">
        <v>100</v>
      </c>
      <c r="K1146">
        <v>102.25</v>
      </c>
      <c r="L1146">
        <v>1.0225</v>
      </c>
      <c r="M1146">
        <v>1.0225</v>
      </c>
      <c r="N1146" t="s">
        <v>102</v>
      </c>
      <c r="O1146" t="s">
        <v>2529</v>
      </c>
      <c r="P1146" t="s">
        <v>2530</v>
      </c>
      <c r="Q1146">
        <v>2</v>
      </c>
      <c r="R1146">
        <v>2</v>
      </c>
    </row>
    <row r="1147" spans="1:18" x14ac:dyDescent="0.3">
      <c r="A1147" t="s">
        <v>2520</v>
      </c>
      <c r="B1147" t="s">
        <v>2527</v>
      </c>
      <c r="C1147" t="s">
        <v>232</v>
      </c>
      <c r="D1147" t="s">
        <v>222</v>
      </c>
      <c r="E1147" t="s">
        <v>30</v>
      </c>
      <c r="F1147" s="6">
        <v>46022</v>
      </c>
      <c r="G1147">
        <v>2025</v>
      </c>
      <c r="H1147" t="s">
        <v>57</v>
      </c>
      <c r="I1147" t="s">
        <v>103</v>
      </c>
      <c r="J1147">
        <v>100</v>
      </c>
      <c r="K1147">
        <v>102.65</v>
      </c>
      <c r="L1147">
        <v>1.0265</v>
      </c>
      <c r="M1147">
        <v>1.0265</v>
      </c>
      <c r="N1147" t="s">
        <v>102</v>
      </c>
      <c r="O1147" t="s">
        <v>2532</v>
      </c>
      <c r="P1147" t="s">
        <v>2533</v>
      </c>
      <c r="Q1147">
        <v>2</v>
      </c>
      <c r="R1147">
        <v>2</v>
      </c>
    </row>
    <row r="1148" spans="1:18" x14ac:dyDescent="0.3">
      <c r="A1148" t="s">
        <v>2534</v>
      </c>
      <c r="B1148" t="s">
        <v>2535</v>
      </c>
      <c r="C1148" t="s">
        <v>262</v>
      </c>
      <c r="D1148" t="s">
        <v>222</v>
      </c>
      <c r="E1148" t="s">
        <v>30</v>
      </c>
      <c r="F1148" s="6">
        <v>45107</v>
      </c>
      <c r="G1148">
        <v>2023</v>
      </c>
      <c r="H1148" t="s">
        <v>44</v>
      </c>
      <c r="I1148" t="s">
        <v>33</v>
      </c>
      <c r="J1148">
        <v>90</v>
      </c>
      <c r="K1148">
        <v>97.74</v>
      </c>
      <c r="L1148">
        <v>1.0860000000000001</v>
      </c>
      <c r="M1148">
        <v>1.0860000000000001</v>
      </c>
      <c r="N1148" t="s">
        <v>256</v>
      </c>
      <c r="O1148" t="s">
        <v>5931</v>
      </c>
      <c r="P1148" t="s">
        <v>2536</v>
      </c>
      <c r="Q1148">
        <v>2</v>
      </c>
      <c r="R1148">
        <v>2</v>
      </c>
    </row>
    <row r="1149" spans="1:18" x14ac:dyDescent="0.3">
      <c r="A1149" t="s">
        <v>2534</v>
      </c>
      <c r="B1149" t="s">
        <v>2535</v>
      </c>
      <c r="C1149" t="s">
        <v>262</v>
      </c>
      <c r="D1149" t="s">
        <v>222</v>
      </c>
      <c r="E1149" t="s">
        <v>30</v>
      </c>
      <c r="F1149" s="6">
        <v>45291</v>
      </c>
      <c r="G1149">
        <v>2023</v>
      </c>
      <c r="H1149" t="s">
        <v>57</v>
      </c>
      <c r="I1149" t="s">
        <v>47</v>
      </c>
      <c r="J1149">
        <v>90</v>
      </c>
      <c r="K1149">
        <v>97.76</v>
      </c>
      <c r="L1149">
        <v>1.086222222222222</v>
      </c>
      <c r="M1149">
        <v>1.086222222222222</v>
      </c>
      <c r="N1149" t="s">
        <v>256</v>
      </c>
      <c r="O1149" t="s">
        <v>5932</v>
      </c>
      <c r="P1149" t="s">
        <v>2537</v>
      </c>
      <c r="Q1149">
        <v>2</v>
      </c>
      <c r="R1149">
        <v>2</v>
      </c>
    </row>
    <row r="1150" spans="1:18" x14ac:dyDescent="0.3">
      <c r="A1150" t="s">
        <v>2534</v>
      </c>
      <c r="B1150" t="s">
        <v>2535</v>
      </c>
      <c r="C1150" t="s">
        <v>262</v>
      </c>
      <c r="D1150" t="s">
        <v>222</v>
      </c>
      <c r="E1150" t="s">
        <v>30</v>
      </c>
      <c r="F1150" s="6">
        <v>45473</v>
      </c>
      <c r="G1150">
        <v>2024</v>
      </c>
      <c r="H1150" t="s">
        <v>44</v>
      </c>
      <c r="I1150" t="s">
        <v>71</v>
      </c>
      <c r="J1150">
        <v>93</v>
      </c>
      <c r="K1150">
        <v>97.34</v>
      </c>
      <c r="L1150">
        <v>1.0466666666666671</v>
      </c>
      <c r="M1150">
        <v>1.0466666666666671</v>
      </c>
      <c r="N1150" t="s">
        <v>971</v>
      </c>
      <c r="O1150" t="s">
        <v>5933</v>
      </c>
      <c r="P1150" t="s">
        <v>2538</v>
      </c>
      <c r="Q1150">
        <v>2</v>
      </c>
      <c r="R1150">
        <v>2</v>
      </c>
    </row>
    <row r="1151" spans="1:18" x14ac:dyDescent="0.3">
      <c r="A1151" t="s">
        <v>2534</v>
      </c>
      <c r="B1151" t="s">
        <v>2535</v>
      </c>
      <c r="C1151" t="s">
        <v>262</v>
      </c>
      <c r="D1151" t="s">
        <v>222</v>
      </c>
      <c r="E1151" t="s">
        <v>30</v>
      </c>
      <c r="F1151" s="6">
        <v>45657</v>
      </c>
      <c r="G1151">
        <v>2024</v>
      </c>
      <c r="H1151" t="s">
        <v>57</v>
      </c>
      <c r="I1151" t="s">
        <v>78</v>
      </c>
      <c r="J1151">
        <v>93</v>
      </c>
      <c r="K1151">
        <v>99.19</v>
      </c>
      <c r="L1151">
        <v>1.0665591397849461</v>
      </c>
      <c r="M1151">
        <v>1.0665591397849461</v>
      </c>
      <c r="N1151" t="s">
        <v>971</v>
      </c>
      <c r="O1151" t="s">
        <v>5934</v>
      </c>
      <c r="P1151" t="s">
        <v>2539</v>
      </c>
      <c r="Q1151">
        <v>2</v>
      </c>
      <c r="R1151">
        <v>2</v>
      </c>
    </row>
    <row r="1152" spans="1:18" x14ac:dyDescent="0.3">
      <c r="A1152" t="s">
        <v>2534</v>
      </c>
      <c r="B1152" t="s">
        <v>2535</v>
      </c>
      <c r="C1152" t="s">
        <v>262</v>
      </c>
      <c r="D1152" t="s">
        <v>222</v>
      </c>
      <c r="E1152" t="s">
        <v>30</v>
      </c>
      <c r="F1152" s="6">
        <v>45838</v>
      </c>
      <c r="G1152">
        <v>2025</v>
      </c>
      <c r="H1152" t="s">
        <v>44</v>
      </c>
      <c r="I1152" t="s">
        <v>244</v>
      </c>
      <c r="J1152">
        <v>93</v>
      </c>
      <c r="K1152">
        <v>99.43</v>
      </c>
      <c r="L1152">
        <v>1.069139784946237</v>
      </c>
      <c r="M1152">
        <v>1.069139784946237</v>
      </c>
      <c r="N1152" t="s">
        <v>971</v>
      </c>
      <c r="O1152" t="s">
        <v>2541</v>
      </c>
      <c r="P1152" t="s">
        <v>2542</v>
      </c>
      <c r="Q1152">
        <v>2</v>
      </c>
      <c r="R1152">
        <v>2</v>
      </c>
    </row>
    <row r="1153" spans="1:18" x14ac:dyDescent="0.3">
      <c r="A1153" t="s">
        <v>2534</v>
      </c>
      <c r="B1153" t="s">
        <v>2535</v>
      </c>
      <c r="C1153" t="s">
        <v>262</v>
      </c>
      <c r="D1153" t="s">
        <v>222</v>
      </c>
      <c r="E1153" t="s">
        <v>30</v>
      </c>
      <c r="F1153" s="6">
        <v>46022</v>
      </c>
      <c r="G1153">
        <v>2025</v>
      </c>
      <c r="H1153" t="s">
        <v>57</v>
      </c>
      <c r="I1153" t="s">
        <v>103</v>
      </c>
      <c r="J1153">
        <v>93</v>
      </c>
      <c r="K1153">
        <v>100</v>
      </c>
      <c r="L1153">
        <v>1.075268817204301</v>
      </c>
      <c r="M1153">
        <v>1.075268817204301</v>
      </c>
      <c r="N1153" t="s">
        <v>971</v>
      </c>
      <c r="O1153" t="s">
        <v>102</v>
      </c>
      <c r="P1153" t="s">
        <v>2543</v>
      </c>
      <c r="Q1153">
        <v>2</v>
      </c>
      <c r="R1153">
        <v>2</v>
      </c>
    </row>
    <row r="1154" spans="1:18" x14ac:dyDescent="0.3">
      <c r="A1154" t="s">
        <v>2544</v>
      </c>
      <c r="B1154" t="s">
        <v>2545</v>
      </c>
      <c r="C1154" t="s">
        <v>262</v>
      </c>
      <c r="D1154" t="s">
        <v>98</v>
      </c>
      <c r="E1154" t="s">
        <v>30</v>
      </c>
      <c r="F1154" s="6">
        <v>45291</v>
      </c>
      <c r="G1154">
        <v>2023</v>
      </c>
      <c r="H1154" t="s">
        <v>57</v>
      </c>
      <c r="I1154" t="s">
        <v>47</v>
      </c>
      <c r="K1154">
        <v>94.85</v>
      </c>
      <c r="L1154">
        <v>0</v>
      </c>
      <c r="M1154">
        <v>0</v>
      </c>
      <c r="O1154" t="s">
        <v>5935</v>
      </c>
      <c r="P1154" t="s">
        <v>2546</v>
      </c>
      <c r="Q1154">
        <v>2</v>
      </c>
      <c r="R1154">
        <v>2</v>
      </c>
    </row>
    <row r="1155" spans="1:18" x14ac:dyDescent="0.3">
      <c r="A1155" t="s">
        <v>2547</v>
      </c>
      <c r="B1155" t="s">
        <v>2548</v>
      </c>
      <c r="C1155" t="s">
        <v>262</v>
      </c>
      <c r="D1155" t="s">
        <v>98</v>
      </c>
      <c r="E1155" t="s">
        <v>30</v>
      </c>
      <c r="F1155" s="6">
        <v>45291</v>
      </c>
      <c r="G1155">
        <v>2023</v>
      </c>
      <c r="H1155" t="s">
        <v>57</v>
      </c>
      <c r="I1155" t="s">
        <v>47</v>
      </c>
      <c r="K1155">
        <v>88.24</v>
      </c>
      <c r="L1155">
        <v>0</v>
      </c>
      <c r="M1155">
        <v>0</v>
      </c>
      <c r="O1155" t="s">
        <v>5936</v>
      </c>
      <c r="P1155" t="s">
        <v>2549</v>
      </c>
      <c r="Q1155">
        <v>2</v>
      </c>
      <c r="R1155">
        <v>2</v>
      </c>
    </row>
    <row r="1156" spans="1:18" x14ac:dyDescent="0.3">
      <c r="A1156" t="s">
        <v>2547</v>
      </c>
      <c r="B1156" t="s">
        <v>2548</v>
      </c>
      <c r="C1156" t="s">
        <v>262</v>
      </c>
      <c r="D1156" t="s">
        <v>98</v>
      </c>
      <c r="E1156" t="s">
        <v>30</v>
      </c>
      <c r="F1156" s="6">
        <v>45657</v>
      </c>
      <c r="G1156">
        <v>2024</v>
      </c>
      <c r="H1156" t="s">
        <v>57</v>
      </c>
      <c r="I1156" t="s">
        <v>78</v>
      </c>
      <c r="J1156">
        <v>85</v>
      </c>
      <c r="K1156">
        <v>91.88</v>
      </c>
      <c r="L1156">
        <v>1.0809411764705881</v>
      </c>
      <c r="M1156">
        <v>1.0809411764705881</v>
      </c>
      <c r="N1156" t="s">
        <v>2357</v>
      </c>
      <c r="O1156" t="s">
        <v>5937</v>
      </c>
      <c r="P1156" t="s">
        <v>2550</v>
      </c>
      <c r="Q1156">
        <v>2</v>
      </c>
      <c r="R1156">
        <v>2</v>
      </c>
    </row>
    <row r="1157" spans="1:18" x14ac:dyDescent="0.3">
      <c r="A1157" t="s">
        <v>2547</v>
      </c>
      <c r="B1157" t="s">
        <v>2548</v>
      </c>
      <c r="C1157" t="s">
        <v>262</v>
      </c>
      <c r="D1157" t="s">
        <v>98</v>
      </c>
      <c r="E1157" t="s">
        <v>30</v>
      </c>
      <c r="F1157" s="6">
        <v>46022</v>
      </c>
      <c r="G1157">
        <v>2025</v>
      </c>
      <c r="H1157" t="s">
        <v>57</v>
      </c>
      <c r="I1157" t="s">
        <v>103</v>
      </c>
      <c r="J1157">
        <v>85</v>
      </c>
      <c r="K1157">
        <v>97.28</v>
      </c>
      <c r="L1157">
        <v>1.1444705882352939</v>
      </c>
      <c r="M1157">
        <v>1.1444705882352939</v>
      </c>
      <c r="N1157" t="s">
        <v>2357</v>
      </c>
      <c r="O1157" t="s">
        <v>2552</v>
      </c>
      <c r="P1157" t="s">
        <v>2553</v>
      </c>
      <c r="Q1157">
        <v>2</v>
      </c>
      <c r="R1157">
        <v>2</v>
      </c>
    </row>
    <row r="1158" spans="1:18" x14ac:dyDescent="0.3">
      <c r="A1158" t="s">
        <v>2554</v>
      </c>
      <c r="B1158" t="s">
        <v>2555</v>
      </c>
      <c r="C1158" t="s">
        <v>174</v>
      </c>
      <c r="D1158" t="s">
        <v>233</v>
      </c>
      <c r="E1158" t="s">
        <v>108</v>
      </c>
      <c r="F1158" s="6">
        <v>45107</v>
      </c>
      <c r="G1158">
        <v>2023</v>
      </c>
      <c r="H1158" t="s">
        <v>44</v>
      </c>
      <c r="I1158" t="s">
        <v>33</v>
      </c>
      <c r="J1158">
        <v>9.9999999999999995E-7</v>
      </c>
      <c r="K1158">
        <v>6.5</v>
      </c>
      <c r="L1158">
        <v>1.5384615384615379E-7</v>
      </c>
      <c r="M1158">
        <v>1.5384615384615379E-7</v>
      </c>
      <c r="N1158" t="s">
        <v>122</v>
      </c>
      <c r="O1158" t="s">
        <v>5938</v>
      </c>
      <c r="P1158" t="s">
        <v>2557</v>
      </c>
      <c r="Q1158">
        <v>2</v>
      </c>
      <c r="R1158">
        <v>2</v>
      </c>
    </row>
    <row r="1159" spans="1:18" x14ac:dyDescent="0.3">
      <c r="A1159" t="s">
        <v>2554</v>
      </c>
      <c r="B1159" t="s">
        <v>2555</v>
      </c>
      <c r="C1159" t="s">
        <v>174</v>
      </c>
      <c r="D1159" t="s">
        <v>233</v>
      </c>
      <c r="E1159" t="s">
        <v>108</v>
      </c>
      <c r="F1159" s="6">
        <v>45291</v>
      </c>
      <c r="G1159">
        <v>2023</v>
      </c>
      <c r="H1159" t="s">
        <v>57</v>
      </c>
      <c r="I1159" t="s">
        <v>47</v>
      </c>
      <c r="J1159">
        <v>0</v>
      </c>
      <c r="K1159">
        <v>7</v>
      </c>
      <c r="L1159">
        <v>0</v>
      </c>
      <c r="M1159">
        <v>0</v>
      </c>
      <c r="N1159" t="s">
        <v>122</v>
      </c>
      <c r="O1159" t="s">
        <v>5558</v>
      </c>
      <c r="P1159" t="s">
        <v>2559</v>
      </c>
      <c r="Q1159">
        <v>2</v>
      </c>
      <c r="R1159">
        <v>2</v>
      </c>
    </row>
    <row r="1160" spans="1:18" x14ac:dyDescent="0.3">
      <c r="A1160" t="s">
        <v>2554</v>
      </c>
      <c r="B1160" t="s">
        <v>2555</v>
      </c>
      <c r="C1160" t="s">
        <v>174</v>
      </c>
      <c r="D1160" t="s">
        <v>233</v>
      </c>
      <c r="E1160" t="s">
        <v>108</v>
      </c>
      <c r="F1160" s="6">
        <v>45473</v>
      </c>
      <c r="G1160">
        <v>2024</v>
      </c>
      <c r="H1160" t="s">
        <v>44</v>
      </c>
      <c r="I1160" t="s">
        <v>71</v>
      </c>
      <c r="J1160">
        <v>5</v>
      </c>
      <c r="K1160">
        <v>1.5</v>
      </c>
      <c r="L1160">
        <v>1.3</v>
      </c>
      <c r="M1160">
        <v>3.333333333333333</v>
      </c>
      <c r="N1160" t="s">
        <v>823</v>
      </c>
      <c r="O1160" t="s">
        <v>5915</v>
      </c>
      <c r="P1160" t="s">
        <v>2561</v>
      </c>
      <c r="Q1160">
        <v>2</v>
      </c>
      <c r="R1160">
        <v>2</v>
      </c>
    </row>
    <row r="1161" spans="1:18" x14ac:dyDescent="0.3">
      <c r="A1161" t="s">
        <v>2554</v>
      </c>
      <c r="B1161" t="s">
        <v>2555</v>
      </c>
      <c r="C1161" t="s">
        <v>174</v>
      </c>
      <c r="D1161" t="s">
        <v>233</v>
      </c>
      <c r="E1161" t="s">
        <v>108</v>
      </c>
      <c r="F1161" s="6">
        <v>45657</v>
      </c>
      <c r="G1161">
        <v>2024</v>
      </c>
      <c r="H1161" t="s">
        <v>57</v>
      </c>
      <c r="I1161" t="s">
        <v>78</v>
      </c>
      <c r="J1161">
        <v>5</v>
      </c>
      <c r="K1161">
        <v>0</v>
      </c>
      <c r="L1161">
        <v>0</v>
      </c>
      <c r="M1161">
        <v>0</v>
      </c>
      <c r="N1161" t="s">
        <v>823</v>
      </c>
      <c r="O1161" t="s">
        <v>122</v>
      </c>
      <c r="P1161" t="s">
        <v>2563</v>
      </c>
      <c r="Q1161">
        <v>2</v>
      </c>
      <c r="R1161">
        <v>2</v>
      </c>
    </row>
    <row r="1162" spans="1:18" x14ac:dyDescent="0.3">
      <c r="A1162" t="s">
        <v>2554</v>
      </c>
      <c r="B1162" t="s">
        <v>2555</v>
      </c>
      <c r="C1162" t="s">
        <v>174</v>
      </c>
      <c r="D1162" t="s">
        <v>233</v>
      </c>
      <c r="E1162" t="s">
        <v>108</v>
      </c>
      <c r="F1162" s="6">
        <v>45838</v>
      </c>
      <c r="G1162">
        <v>2025</v>
      </c>
      <c r="H1162" t="s">
        <v>44</v>
      </c>
      <c r="I1162" t="s">
        <v>244</v>
      </c>
      <c r="J1162">
        <v>5</v>
      </c>
      <c r="K1162">
        <v>1</v>
      </c>
      <c r="L1162">
        <v>1.3</v>
      </c>
      <c r="M1162">
        <v>5</v>
      </c>
      <c r="N1162" t="s">
        <v>823</v>
      </c>
      <c r="O1162" t="s">
        <v>617</v>
      </c>
      <c r="P1162" t="s">
        <v>2565</v>
      </c>
      <c r="Q1162">
        <v>2</v>
      </c>
      <c r="R1162">
        <v>2</v>
      </c>
    </row>
    <row r="1163" spans="1:18" x14ac:dyDescent="0.3">
      <c r="A1163" t="s">
        <v>2554</v>
      </c>
      <c r="B1163" t="s">
        <v>2555</v>
      </c>
      <c r="C1163" t="s">
        <v>174</v>
      </c>
      <c r="D1163" t="s">
        <v>233</v>
      </c>
      <c r="E1163" t="s">
        <v>108</v>
      </c>
      <c r="F1163" s="6">
        <v>46022</v>
      </c>
      <c r="G1163">
        <v>2025</v>
      </c>
      <c r="H1163" t="s">
        <v>57</v>
      </c>
      <c r="I1163" t="s">
        <v>103</v>
      </c>
      <c r="J1163">
        <v>5</v>
      </c>
      <c r="K1163">
        <v>1</v>
      </c>
      <c r="L1163">
        <v>1.3</v>
      </c>
      <c r="M1163">
        <v>5</v>
      </c>
      <c r="N1163" t="s">
        <v>823</v>
      </c>
      <c r="O1163" t="s">
        <v>617</v>
      </c>
      <c r="P1163" t="s">
        <v>2566</v>
      </c>
      <c r="Q1163">
        <v>2</v>
      </c>
      <c r="R1163">
        <v>2</v>
      </c>
    </row>
    <row r="1164" spans="1:18" x14ac:dyDescent="0.3">
      <c r="A1164" t="s">
        <v>2567</v>
      </c>
      <c r="B1164" t="s">
        <v>2568</v>
      </c>
      <c r="C1164" t="s">
        <v>174</v>
      </c>
      <c r="D1164" t="s">
        <v>233</v>
      </c>
      <c r="E1164" t="s">
        <v>30</v>
      </c>
      <c r="F1164" s="6">
        <v>45107</v>
      </c>
      <c r="G1164">
        <v>2023</v>
      </c>
      <c r="H1164" t="s">
        <v>44</v>
      </c>
      <c r="I1164" t="s">
        <v>33</v>
      </c>
      <c r="J1164">
        <v>99</v>
      </c>
      <c r="K1164">
        <v>99.82</v>
      </c>
      <c r="L1164">
        <v>1.008282828282828</v>
      </c>
      <c r="M1164">
        <v>1.008282828282828</v>
      </c>
      <c r="N1164" t="s">
        <v>2577</v>
      </c>
      <c r="O1164" t="s">
        <v>5939</v>
      </c>
      <c r="P1164" t="s">
        <v>2570</v>
      </c>
      <c r="Q1164">
        <v>2</v>
      </c>
      <c r="R1164">
        <v>2</v>
      </c>
    </row>
    <row r="1165" spans="1:18" x14ac:dyDescent="0.3">
      <c r="A1165" t="s">
        <v>2567</v>
      </c>
      <c r="B1165" t="s">
        <v>2568</v>
      </c>
      <c r="C1165" t="s">
        <v>174</v>
      </c>
      <c r="D1165" t="s">
        <v>233</v>
      </c>
      <c r="E1165" t="s">
        <v>30</v>
      </c>
      <c r="F1165" s="6">
        <v>45291</v>
      </c>
      <c r="G1165">
        <v>2023</v>
      </c>
      <c r="H1165" t="s">
        <v>57</v>
      </c>
      <c r="I1165" t="s">
        <v>47</v>
      </c>
      <c r="J1165">
        <v>99</v>
      </c>
      <c r="K1165">
        <v>100</v>
      </c>
      <c r="L1165">
        <v>1.0101010101010099</v>
      </c>
      <c r="M1165">
        <v>1.0101010101010099</v>
      </c>
      <c r="N1165" t="s">
        <v>2577</v>
      </c>
      <c r="O1165" t="s">
        <v>102</v>
      </c>
      <c r="P1165" t="s">
        <v>2572</v>
      </c>
      <c r="Q1165">
        <v>2</v>
      </c>
      <c r="R1165">
        <v>2</v>
      </c>
    </row>
    <row r="1166" spans="1:18" x14ac:dyDescent="0.3">
      <c r="A1166" t="s">
        <v>2567</v>
      </c>
      <c r="B1166" t="s">
        <v>2568</v>
      </c>
      <c r="C1166" t="s">
        <v>174</v>
      </c>
      <c r="D1166" t="s">
        <v>233</v>
      </c>
      <c r="E1166" t="s">
        <v>30</v>
      </c>
      <c r="F1166" s="6">
        <v>45473</v>
      </c>
      <c r="G1166">
        <v>2024</v>
      </c>
      <c r="H1166" t="s">
        <v>44</v>
      </c>
      <c r="I1166" t="s">
        <v>71</v>
      </c>
      <c r="J1166">
        <v>99</v>
      </c>
      <c r="K1166">
        <v>99.925000000000011</v>
      </c>
      <c r="L1166">
        <v>1.009343434343434</v>
      </c>
      <c r="M1166">
        <v>1.009343434343434</v>
      </c>
      <c r="N1166" t="s">
        <v>2577</v>
      </c>
      <c r="O1166" t="s">
        <v>5940</v>
      </c>
      <c r="P1166" t="s">
        <v>2574</v>
      </c>
      <c r="Q1166">
        <v>2</v>
      </c>
      <c r="R1166">
        <v>2</v>
      </c>
    </row>
    <row r="1167" spans="1:18" x14ac:dyDescent="0.3">
      <c r="A1167" t="s">
        <v>2567</v>
      </c>
      <c r="B1167" t="s">
        <v>2568</v>
      </c>
      <c r="C1167" t="s">
        <v>174</v>
      </c>
      <c r="D1167" t="s">
        <v>233</v>
      </c>
      <c r="E1167" t="s">
        <v>30</v>
      </c>
      <c r="F1167" s="6">
        <v>45657</v>
      </c>
      <c r="G1167">
        <v>2024</v>
      </c>
      <c r="H1167" t="s">
        <v>57</v>
      </c>
      <c r="I1167" t="s">
        <v>78</v>
      </c>
      <c r="J1167">
        <v>99</v>
      </c>
      <c r="K1167">
        <v>100</v>
      </c>
      <c r="L1167">
        <v>1.0101010101010099</v>
      </c>
      <c r="M1167">
        <v>1.0101010101010099</v>
      </c>
      <c r="N1167" t="s">
        <v>2577</v>
      </c>
      <c r="O1167" t="s">
        <v>102</v>
      </c>
      <c r="P1167" t="s">
        <v>2576</v>
      </c>
      <c r="Q1167">
        <v>2</v>
      </c>
      <c r="R1167">
        <v>2</v>
      </c>
    </row>
    <row r="1168" spans="1:18" x14ac:dyDescent="0.3">
      <c r="A1168" t="s">
        <v>2567</v>
      </c>
      <c r="B1168" t="s">
        <v>2568</v>
      </c>
      <c r="C1168" t="s">
        <v>174</v>
      </c>
      <c r="D1168" t="s">
        <v>233</v>
      </c>
      <c r="E1168" t="s">
        <v>30</v>
      </c>
      <c r="F1168" s="6">
        <v>45838</v>
      </c>
      <c r="G1168">
        <v>2025</v>
      </c>
      <c r="H1168" t="s">
        <v>44</v>
      </c>
      <c r="I1168" t="s">
        <v>244</v>
      </c>
      <c r="J1168">
        <v>99</v>
      </c>
      <c r="K1168">
        <v>100</v>
      </c>
      <c r="L1168">
        <v>1.0101010101010099</v>
      </c>
      <c r="M1168">
        <v>1.0101010101010099</v>
      </c>
      <c r="N1168" t="s">
        <v>2577</v>
      </c>
      <c r="O1168" t="s">
        <v>102</v>
      </c>
      <c r="P1168" t="s">
        <v>2579</v>
      </c>
      <c r="Q1168">
        <v>2</v>
      </c>
      <c r="R1168">
        <v>2</v>
      </c>
    </row>
    <row r="1169" spans="1:18" x14ac:dyDescent="0.3">
      <c r="A1169" t="s">
        <v>2567</v>
      </c>
      <c r="B1169" t="s">
        <v>2568</v>
      </c>
      <c r="C1169" t="s">
        <v>174</v>
      </c>
      <c r="D1169" t="s">
        <v>233</v>
      </c>
      <c r="E1169" t="s">
        <v>30</v>
      </c>
      <c r="F1169" s="6">
        <v>46022</v>
      </c>
      <c r="G1169">
        <v>2025</v>
      </c>
      <c r="H1169" t="s">
        <v>57</v>
      </c>
      <c r="I1169" t="s">
        <v>103</v>
      </c>
      <c r="J1169">
        <v>99</v>
      </c>
      <c r="K1169">
        <v>100</v>
      </c>
      <c r="L1169">
        <v>1.0101010101010099</v>
      </c>
      <c r="M1169">
        <v>1.0101010101010099</v>
      </c>
      <c r="N1169" t="s">
        <v>2577</v>
      </c>
      <c r="O1169" t="s">
        <v>102</v>
      </c>
      <c r="P1169" t="s">
        <v>2580</v>
      </c>
      <c r="Q1169">
        <v>2</v>
      </c>
      <c r="R1169">
        <v>2</v>
      </c>
    </row>
    <row r="1170" spans="1:18" x14ac:dyDescent="0.3">
      <c r="A1170" t="s">
        <v>2581</v>
      </c>
      <c r="B1170" t="s">
        <v>2582</v>
      </c>
      <c r="C1170" t="s">
        <v>760</v>
      </c>
      <c r="D1170" t="s">
        <v>98</v>
      </c>
      <c r="E1170" t="s">
        <v>30</v>
      </c>
      <c r="F1170" s="6">
        <v>45291</v>
      </c>
      <c r="G1170">
        <v>2023</v>
      </c>
      <c r="H1170" t="s">
        <v>57</v>
      </c>
      <c r="I1170" t="s">
        <v>47</v>
      </c>
      <c r="L1170">
        <v>0</v>
      </c>
      <c r="M1170">
        <v>0</v>
      </c>
      <c r="P1170" t="s">
        <v>2583</v>
      </c>
      <c r="Q1170">
        <v>2</v>
      </c>
      <c r="R1170">
        <v>2</v>
      </c>
    </row>
    <row r="1171" spans="1:18" x14ac:dyDescent="0.3">
      <c r="A1171" t="s">
        <v>2584</v>
      </c>
      <c r="B1171" t="s">
        <v>2585</v>
      </c>
      <c r="C1171" t="s">
        <v>760</v>
      </c>
      <c r="D1171" t="s">
        <v>98</v>
      </c>
      <c r="E1171" t="s">
        <v>30</v>
      </c>
      <c r="F1171" s="6">
        <v>45291</v>
      </c>
      <c r="G1171">
        <v>2023</v>
      </c>
      <c r="H1171" t="s">
        <v>57</v>
      </c>
      <c r="I1171" t="s">
        <v>47</v>
      </c>
      <c r="L1171">
        <v>0</v>
      </c>
      <c r="M1171">
        <v>0</v>
      </c>
      <c r="P1171" t="s">
        <v>2586</v>
      </c>
      <c r="Q1171">
        <v>2</v>
      </c>
      <c r="R1171">
        <v>2</v>
      </c>
    </row>
    <row r="1172" spans="1:18" x14ac:dyDescent="0.3">
      <c r="A1172" t="s">
        <v>2587</v>
      </c>
      <c r="B1172" t="s">
        <v>2588</v>
      </c>
      <c r="C1172" t="s">
        <v>174</v>
      </c>
      <c r="D1172" t="s">
        <v>233</v>
      </c>
      <c r="E1172" t="s">
        <v>108</v>
      </c>
      <c r="F1172" s="6">
        <v>45107</v>
      </c>
      <c r="G1172">
        <v>2023</v>
      </c>
      <c r="H1172" t="s">
        <v>44</v>
      </c>
      <c r="I1172" t="s">
        <v>33</v>
      </c>
      <c r="J1172">
        <v>5</v>
      </c>
      <c r="K1172">
        <v>9.8260420414913998</v>
      </c>
      <c r="L1172">
        <v>0.50885188348340293</v>
      </c>
      <c r="M1172">
        <v>0.50885188348340293</v>
      </c>
      <c r="N1172" t="s">
        <v>823</v>
      </c>
      <c r="O1172" t="s">
        <v>5941</v>
      </c>
      <c r="P1172" t="s">
        <v>2590</v>
      </c>
      <c r="Q1172">
        <v>2</v>
      </c>
      <c r="R1172">
        <v>2</v>
      </c>
    </row>
    <row r="1173" spans="1:18" x14ac:dyDescent="0.3">
      <c r="A1173" t="s">
        <v>2587</v>
      </c>
      <c r="B1173" t="s">
        <v>2588</v>
      </c>
      <c r="C1173" t="s">
        <v>174</v>
      </c>
      <c r="D1173" t="s">
        <v>233</v>
      </c>
      <c r="E1173" t="s">
        <v>108</v>
      </c>
      <c r="F1173" s="6">
        <v>45291</v>
      </c>
      <c r="G1173">
        <v>2023</v>
      </c>
      <c r="H1173" t="s">
        <v>57</v>
      </c>
      <c r="I1173" t="s">
        <v>47</v>
      </c>
      <c r="J1173">
        <v>5</v>
      </c>
      <c r="K1173">
        <v>6.92</v>
      </c>
      <c r="L1173">
        <v>0.7225433526011561</v>
      </c>
      <c r="M1173">
        <v>0.7225433526011561</v>
      </c>
      <c r="N1173" t="s">
        <v>823</v>
      </c>
      <c r="O1173" t="s">
        <v>5942</v>
      </c>
      <c r="P1173" t="s">
        <v>2592</v>
      </c>
      <c r="Q1173">
        <v>2</v>
      </c>
      <c r="R1173">
        <v>2</v>
      </c>
    </row>
    <row r="1174" spans="1:18" x14ac:dyDescent="0.3">
      <c r="A1174" t="s">
        <v>2587</v>
      </c>
      <c r="B1174" t="s">
        <v>2588</v>
      </c>
      <c r="C1174" t="s">
        <v>174</v>
      </c>
      <c r="D1174" t="s">
        <v>233</v>
      </c>
      <c r="E1174" t="s">
        <v>108</v>
      </c>
      <c r="F1174" s="6">
        <v>45473</v>
      </c>
      <c r="G1174">
        <v>2024</v>
      </c>
      <c r="H1174" t="s">
        <v>44</v>
      </c>
      <c r="I1174" t="s">
        <v>71</v>
      </c>
      <c r="J1174">
        <v>5</v>
      </c>
      <c r="K1174">
        <v>8.7650000000000006</v>
      </c>
      <c r="L1174">
        <v>0.5704506560182544</v>
      </c>
      <c r="M1174">
        <v>0.5704506560182544</v>
      </c>
      <c r="N1174" t="s">
        <v>823</v>
      </c>
      <c r="O1174" t="s">
        <v>5943</v>
      </c>
      <c r="P1174" t="s">
        <v>2594</v>
      </c>
      <c r="Q1174">
        <v>2</v>
      </c>
      <c r="R1174">
        <v>2</v>
      </c>
    </row>
    <row r="1175" spans="1:18" x14ac:dyDescent="0.3">
      <c r="A1175" t="s">
        <v>2587</v>
      </c>
      <c r="B1175" t="s">
        <v>2588</v>
      </c>
      <c r="C1175" t="s">
        <v>174</v>
      </c>
      <c r="D1175" t="s">
        <v>233</v>
      </c>
      <c r="E1175" t="s">
        <v>108</v>
      </c>
      <c r="F1175" s="6">
        <v>45657</v>
      </c>
      <c r="G1175">
        <v>2024</v>
      </c>
      <c r="H1175" t="s">
        <v>57</v>
      </c>
      <c r="I1175" t="s">
        <v>78</v>
      </c>
      <c r="J1175">
        <v>5</v>
      </c>
      <c r="K1175">
        <v>2.34</v>
      </c>
      <c r="L1175">
        <v>1.3</v>
      </c>
      <c r="M1175">
        <v>2.1367521367521372</v>
      </c>
      <c r="N1175" t="s">
        <v>823</v>
      </c>
      <c r="O1175" t="s">
        <v>5944</v>
      </c>
      <c r="P1175" t="s">
        <v>2596</v>
      </c>
      <c r="Q1175">
        <v>2</v>
      </c>
      <c r="R1175">
        <v>2</v>
      </c>
    </row>
    <row r="1176" spans="1:18" x14ac:dyDescent="0.3">
      <c r="A1176" t="s">
        <v>2587</v>
      </c>
      <c r="B1176" t="s">
        <v>2588</v>
      </c>
      <c r="C1176" t="s">
        <v>174</v>
      </c>
      <c r="D1176" t="s">
        <v>233</v>
      </c>
      <c r="E1176" t="s">
        <v>108</v>
      </c>
      <c r="F1176" s="6">
        <v>45838</v>
      </c>
      <c r="G1176">
        <v>2025</v>
      </c>
      <c r="H1176" t="s">
        <v>44</v>
      </c>
      <c r="I1176" t="s">
        <v>244</v>
      </c>
      <c r="J1176">
        <v>0</v>
      </c>
      <c r="K1176">
        <v>0.56000000000000005</v>
      </c>
      <c r="L1176">
        <v>0</v>
      </c>
      <c r="M1176">
        <v>0</v>
      </c>
      <c r="N1176" t="s">
        <v>122</v>
      </c>
      <c r="O1176" t="s">
        <v>5945</v>
      </c>
      <c r="P1176" t="s">
        <v>2602</v>
      </c>
      <c r="Q1176">
        <v>2</v>
      </c>
      <c r="R1176">
        <v>2</v>
      </c>
    </row>
    <row r="1177" spans="1:18" x14ac:dyDescent="0.3">
      <c r="A1177" t="s">
        <v>2603</v>
      </c>
      <c r="B1177" t="s">
        <v>2604</v>
      </c>
      <c r="C1177" t="s">
        <v>174</v>
      </c>
      <c r="D1177" t="s">
        <v>233</v>
      </c>
      <c r="E1177" t="s">
        <v>108</v>
      </c>
      <c r="F1177" s="6">
        <v>45107</v>
      </c>
      <c r="G1177">
        <v>2023</v>
      </c>
      <c r="H1177" t="s">
        <v>44</v>
      </c>
      <c r="I1177" t="s">
        <v>33</v>
      </c>
      <c r="J1177">
        <v>0</v>
      </c>
      <c r="K1177">
        <v>1.90433997907055E-2</v>
      </c>
      <c r="L1177">
        <v>0</v>
      </c>
      <c r="M1177">
        <v>0</v>
      </c>
      <c r="N1177" t="s">
        <v>122</v>
      </c>
      <c r="O1177" t="s">
        <v>3742</v>
      </c>
      <c r="P1177" t="s">
        <v>2606</v>
      </c>
      <c r="Q1177">
        <v>2</v>
      </c>
      <c r="R1177">
        <v>2</v>
      </c>
    </row>
    <row r="1178" spans="1:18" x14ac:dyDescent="0.3">
      <c r="A1178" t="s">
        <v>2603</v>
      </c>
      <c r="B1178" t="s">
        <v>2604</v>
      </c>
      <c r="C1178" t="s">
        <v>174</v>
      </c>
      <c r="D1178" t="s">
        <v>233</v>
      </c>
      <c r="E1178" t="s">
        <v>108</v>
      </c>
      <c r="F1178" s="6">
        <v>45291</v>
      </c>
      <c r="G1178">
        <v>2023</v>
      </c>
      <c r="H1178" t="s">
        <v>57</v>
      </c>
      <c r="I1178" t="s">
        <v>47</v>
      </c>
      <c r="J1178">
        <v>0</v>
      </c>
      <c r="K1178">
        <v>0.155</v>
      </c>
      <c r="L1178">
        <v>0</v>
      </c>
      <c r="M1178">
        <v>0</v>
      </c>
      <c r="N1178" t="s">
        <v>122</v>
      </c>
      <c r="O1178" t="s">
        <v>570</v>
      </c>
      <c r="P1178" t="s">
        <v>2608</v>
      </c>
      <c r="Q1178">
        <v>2</v>
      </c>
      <c r="R1178">
        <v>2</v>
      </c>
    </row>
    <row r="1179" spans="1:18" x14ac:dyDescent="0.3">
      <c r="A1179" t="s">
        <v>2603</v>
      </c>
      <c r="B1179" t="s">
        <v>2604</v>
      </c>
      <c r="C1179" t="s">
        <v>174</v>
      </c>
      <c r="D1179" t="s">
        <v>233</v>
      </c>
      <c r="E1179" t="s">
        <v>108</v>
      </c>
      <c r="F1179" s="6">
        <v>45473</v>
      </c>
      <c r="G1179">
        <v>2024</v>
      </c>
      <c r="H1179" t="s">
        <v>44</v>
      </c>
      <c r="I1179" t="s">
        <v>71</v>
      </c>
      <c r="J1179">
        <v>0</v>
      </c>
      <c r="K1179">
        <v>0.04</v>
      </c>
      <c r="L1179">
        <v>0</v>
      </c>
      <c r="M1179">
        <v>0</v>
      </c>
      <c r="N1179" t="s">
        <v>122</v>
      </c>
      <c r="O1179" t="s">
        <v>5441</v>
      </c>
      <c r="P1179" t="s">
        <v>2610</v>
      </c>
      <c r="Q1179">
        <v>2</v>
      </c>
      <c r="R1179">
        <v>2</v>
      </c>
    </row>
    <row r="1180" spans="1:18" x14ac:dyDescent="0.3">
      <c r="A1180" t="s">
        <v>2603</v>
      </c>
      <c r="B1180" t="s">
        <v>2604</v>
      </c>
      <c r="C1180" t="s">
        <v>174</v>
      </c>
      <c r="D1180" t="s">
        <v>233</v>
      </c>
      <c r="E1180" t="s">
        <v>108</v>
      </c>
      <c r="F1180" s="6">
        <v>45657</v>
      </c>
      <c r="G1180">
        <v>2024</v>
      </c>
      <c r="H1180" t="s">
        <v>57</v>
      </c>
      <c r="I1180" t="s">
        <v>78</v>
      </c>
      <c r="J1180">
        <v>0</v>
      </c>
      <c r="K1180">
        <v>0</v>
      </c>
      <c r="L1180">
        <v>0</v>
      </c>
      <c r="M1180">
        <v>0</v>
      </c>
      <c r="N1180" t="s">
        <v>122</v>
      </c>
      <c r="O1180" t="s">
        <v>122</v>
      </c>
      <c r="P1180" t="s">
        <v>2612</v>
      </c>
      <c r="Q1180">
        <v>2</v>
      </c>
      <c r="R1180">
        <v>2</v>
      </c>
    </row>
    <row r="1181" spans="1:18" x14ac:dyDescent="0.3">
      <c r="A1181" t="s">
        <v>2603</v>
      </c>
      <c r="B1181" t="s">
        <v>2604</v>
      </c>
      <c r="C1181" t="s">
        <v>174</v>
      </c>
      <c r="D1181" t="s">
        <v>233</v>
      </c>
      <c r="E1181" t="s">
        <v>108</v>
      </c>
      <c r="F1181" s="6">
        <v>45838</v>
      </c>
      <c r="G1181">
        <v>2025</v>
      </c>
      <c r="H1181" t="s">
        <v>44</v>
      </c>
      <c r="I1181" t="s">
        <v>244</v>
      </c>
      <c r="J1181">
        <v>0</v>
      </c>
      <c r="K1181">
        <v>5.0000000000000001E-3</v>
      </c>
      <c r="L1181">
        <v>0</v>
      </c>
      <c r="M1181">
        <v>0</v>
      </c>
      <c r="N1181" t="s">
        <v>122</v>
      </c>
      <c r="O1181" t="s">
        <v>2615</v>
      </c>
      <c r="P1181" t="s">
        <v>2616</v>
      </c>
      <c r="Q1181">
        <v>2</v>
      </c>
      <c r="R1181">
        <v>2</v>
      </c>
    </row>
    <row r="1182" spans="1:18" x14ac:dyDescent="0.3">
      <c r="A1182" t="s">
        <v>2617</v>
      </c>
      <c r="B1182" t="s">
        <v>2618</v>
      </c>
      <c r="C1182" t="s">
        <v>2619</v>
      </c>
      <c r="D1182" t="s">
        <v>222</v>
      </c>
      <c r="E1182" t="s">
        <v>30</v>
      </c>
      <c r="F1182" s="6">
        <v>45107</v>
      </c>
      <c r="G1182">
        <v>2023</v>
      </c>
      <c r="H1182" t="s">
        <v>44</v>
      </c>
      <c r="I1182" t="s">
        <v>33</v>
      </c>
      <c r="J1182">
        <v>35</v>
      </c>
      <c r="K1182">
        <v>40.384615384615003</v>
      </c>
      <c r="L1182">
        <v>1.1538461538461431</v>
      </c>
      <c r="M1182">
        <v>1.1538461538461431</v>
      </c>
      <c r="N1182" t="s">
        <v>1516</v>
      </c>
      <c r="O1182" t="s">
        <v>5946</v>
      </c>
      <c r="P1182" t="s">
        <v>2620</v>
      </c>
      <c r="Q1182">
        <v>2</v>
      </c>
      <c r="R1182">
        <v>2</v>
      </c>
    </row>
    <row r="1183" spans="1:18" x14ac:dyDescent="0.3">
      <c r="A1183" t="s">
        <v>2617</v>
      </c>
      <c r="B1183" t="s">
        <v>2618</v>
      </c>
      <c r="C1183" t="s">
        <v>2619</v>
      </c>
      <c r="D1183" t="s">
        <v>222</v>
      </c>
      <c r="E1183" t="s">
        <v>30</v>
      </c>
      <c r="F1183" s="6">
        <v>45291</v>
      </c>
      <c r="G1183">
        <v>2023</v>
      </c>
      <c r="H1183" t="s">
        <v>57</v>
      </c>
      <c r="I1183" t="s">
        <v>47</v>
      </c>
      <c r="J1183">
        <v>35</v>
      </c>
      <c r="K1183">
        <v>40.384615384615401</v>
      </c>
      <c r="L1183">
        <v>1.153846153846154</v>
      </c>
      <c r="M1183">
        <v>1.153846153846154</v>
      </c>
      <c r="N1183" t="s">
        <v>1516</v>
      </c>
      <c r="O1183" t="s">
        <v>5946</v>
      </c>
      <c r="P1183" t="s">
        <v>2621</v>
      </c>
      <c r="Q1183">
        <v>2</v>
      </c>
      <c r="R1183">
        <v>2</v>
      </c>
    </row>
    <row r="1184" spans="1:18" x14ac:dyDescent="0.3">
      <c r="A1184" t="s">
        <v>2622</v>
      </c>
      <c r="B1184" t="s">
        <v>2623</v>
      </c>
      <c r="C1184" t="s">
        <v>2619</v>
      </c>
      <c r="D1184" t="s">
        <v>222</v>
      </c>
      <c r="E1184" t="s">
        <v>30</v>
      </c>
      <c r="F1184" s="6">
        <v>45107</v>
      </c>
      <c r="G1184">
        <v>2023</v>
      </c>
      <c r="H1184" t="s">
        <v>44</v>
      </c>
      <c r="I1184" t="s">
        <v>33</v>
      </c>
      <c r="J1184">
        <v>10</v>
      </c>
      <c r="K1184">
        <v>5.07</v>
      </c>
      <c r="L1184">
        <v>0.50700000000000001</v>
      </c>
      <c r="M1184">
        <v>0.50700000000000001</v>
      </c>
      <c r="N1184" t="s">
        <v>1861</v>
      </c>
      <c r="O1184" t="s">
        <v>5947</v>
      </c>
      <c r="P1184" t="s">
        <v>2624</v>
      </c>
      <c r="Q1184">
        <v>2</v>
      </c>
      <c r="R1184">
        <v>2</v>
      </c>
    </row>
    <row r="1185" spans="1:18" x14ac:dyDescent="0.3">
      <c r="A1185" t="s">
        <v>2622</v>
      </c>
      <c r="B1185" t="s">
        <v>2623</v>
      </c>
      <c r="C1185" t="s">
        <v>2619</v>
      </c>
      <c r="D1185" t="s">
        <v>222</v>
      </c>
      <c r="E1185" t="s">
        <v>30</v>
      </c>
      <c r="F1185" s="6">
        <v>45291</v>
      </c>
      <c r="G1185">
        <v>2023</v>
      </c>
      <c r="H1185" t="s">
        <v>57</v>
      </c>
      <c r="I1185" t="s">
        <v>47</v>
      </c>
      <c r="J1185">
        <v>10</v>
      </c>
      <c r="K1185">
        <v>31.77</v>
      </c>
      <c r="L1185">
        <v>1.3</v>
      </c>
      <c r="M1185">
        <v>3.177</v>
      </c>
      <c r="N1185" t="s">
        <v>1861</v>
      </c>
      <c r="O1185" t="s">
        <v>5948</v>
      </c>
      <c r="P1185" t="s">
        <v>2625</v>
      </c>
      <c r="Q1185">
        <v>2</v>
      </c>
      <c r="R1185">
        <v>2</v>
      </c>
    </row>
    <row r="1186" spans="1:18" x14ac:dyDescent="0.3">
      <c r="A1186" t="s">
        <v>2626</v>
      </c>
      <c r="B1186" t="s">
        <v>2627</v>
      </c>
      <c r="C1186" t="s">
        <v>178</v>
      </c>
      <c r="D1186" t="s">
        <v>98</v>
      </c>
      <c r="E1186" t="s">
        <v>30</v>
      </c>
      <c r="F1186" s="6">
        <v>45291</v>
      </c>
      <c r="G1186">
        <v>2023</v>
      </c>
      <c r="H1186" t="s">
        <v>57</v>
      </c>
      <c r="I1186" t="s">
        <v>47</v>
      </c>
      <c r="J1186">
        <v>1</v>
      </c>
      <c r="K1186">
        <v>1.65</v>
      </c>
      <c r="L1186">
        <v>1.3</v>
      </c>
      <c r="M1186">
        <v>1.65</v>
      </c>
      <c r="N1186" t="s">
        <v>617</v>
      </c>
      <c r="O1186" t="s">
        <v>1930</v>
      </c>
      <c r="P1186" t="s">
        <v>2628</v>
      </c>
      <c r="Q1186">
        <v>2</v>
      </c>
      <c r="R1186">
        <v>2</v>
      </c>
    </row>
    <row r="1187" spans="1:18" x14ac:dyDescent="0.3">
      <c r="A1187" t="s">
        <v>2626</v>
      </c>
      <c r="B1187" t="s">
        <v>2627</v>
      </c>
      <c r="C1187" t="s">
        <v>178</v>
      </c>
      <c r="D1187" t="s">
        <v>98</v>
      </c>
      <c r="E1187" t="s">
        <v>30</v>
      </c>
      <c r="F1187" s="6">
        <v>45657</v>
      </c>
      <c r="G1187">
        <v>2024</v>
      </c>
      <c r="H1187" t="s">
        <v>57</v>
      </c>
      <c r="I1187" t="s">
        <v>78</v>
      </c>
      <c r="J1187">
        <v>0</v>
      </c>
      <c r="K1187">
        <v>1.69</v>
      </c>
      <c r="L1187">
        <v>0</v>
      </c>
      <c r="M1187">
        <v>0</v>
      </c>
      <c r="N1187" t="s">
        <v>122</v>
      </c>
      <c r="O1187" t="s">
        <v>5949</v>
      </c>
      <c r="P1187" t="s">
        <v>2629</v>
      </c>
      <c r="Q1187">
        <v>2</v>
      </c>
      <c r="R1187">
        <v>2</v>
      </c>
    </row>
    <row r="1188" spans="1:18" x14ac:dyDescent="0.3">
      <c r="A1188" t="s">
        <v>2626</v>
      </c>
      <c r="B1188" t="s">
        <v>2627</v>
      </c>
      <c r="C1188" t="s">
        <v>178</v>
      </c>
      <c r="D1188" t="s">
        <v>98</v>
      </c>
      <c r="E1188" t="s">
        <v>30</v>
      </c>
      <c r="F1188" s="6">
        <v>46022</v>
      </c>
      <c r="G1188">
        <v>2025</v>
      </c>
      <c r="H1188" t="s">
        <v>57</v>
      </c>
      <c r="I1188" t="s">
        <v>103</v>
      </c>
      <c r="K1188">
        <v>1.56</v>
      </c>
      <c r="L1188">
        <v>0</v>
      </c>
      <c r="M1188">
        <v>0</v>
      </c>
      <c r="O1188" t="s">
        <v>2631</v>
      </c>
      <c r="P1188" t="s">
        <v>2632</v>
      </c>
      <c r="Q1188">
        <v>2</v>
      </c>
      <c r="R1188">
        <v>2</v>
      </c>
    </row>
    <row r="1189" spans="1:18" x14ac:dyDescent="0.3">
      <c r="A1189" t="s">
        <v>2633</v>
      </c>
      <c r="B1189" t="s">
        <v>2634</v>
      </c>
      <c r="C1189" t="s">
        <v>178</v>
      </c>
      <c r="D1189" t="s">
        <v>222</v>
      </c>
      <c r="E1189" t="s">
        <v>108</v>
      </c>
      <c r="F1189" s="6">
        <v>45107</v>
      </c>
      <c r="G1189">
        <v>2023</v>
      </c>
      <c r="H1189" t="s">
        <v>44</v>
      </c>
      <c r="I1189" t="s">
        <v>33</v>
      </c>
      <c r="J1189">
        <v>60</v>
      </c>
      <c r="K1189">
        <v>49.21</v>
      </c>
      <c r="L1189">
        <v>1.2192643771591141</v>
      </c>
      <c r="M1189">
        <v>1.2192643771591141</v>
      </c>
      <c r="N1189" t="s">
        <v>2640</v>
      </c>
      <c r="O1189" t="s">
        <v>5950</v>
      </c>
      <c r="P1189" t="s">
        <v>2635</v>
      </c>
      <c r="Q1189">
        <v>2</v>
      </c>
      <c r="R1189">
        <v>2</v>
      </c>
    </row>
    <row r="1190" spans="1:18" x14ac:dyDescent="0.3">
      <c r="A1190" t="s">
        <v>2633</v>
      </c>
      <c r="B1190" t="s">
        <v>2634</v>
      </c>
      <c r="C1190" t="s">
        <v>178</v>
      </c>
      <c r="D1190" t="s">
        <v>222</v>
      </c>
      <c r="E1190" t="s">
        <v>108</v>
      </c>
      <c r="F1190" s="6">
        <v>45291</v>
      </c>
      <c r="G1190">
        <v>2023</v>
      </c>
      <c r="H1190" t="s">
        <v>57</v>
      </c>
      <c r="I1190" t="s">
        <v>47</v>
      </c>
      <c r="J1190">
        <v>60</v>
      </c>
      <c r="K1190">
        <v>61.54</v>
      </c>
      <c r="L1190">
        <v>0.9749756256093598</v>
      </c>
      <c r="M1190">
        <v>0.9749756256093598</v>
      </c>
      <c r="N1190" t="s">
        <v>2640</v>
      </c>
      <c r="O1190" t="s">
        <v>5951</v>
      </c>
      <c r="P1190" t="s">
        <v>2636</v>
      </c>
      <c r="Q1190">
        <v>2</v>
      </c>
      <c r="R1190">
        <v>2</v>
      </c>
    </row>
    <row r="1191" spans="1:18" x14ac:dyDescent="0.3">
      <c r="A1191" t="s">
        <v>2633</v>
      </c>
      <c r="B1191" t="s">
        <v>2634</v>
      </c>
      <c r="C1191" t="s">
        <v>178</v>
      </c>
      <c r="D1191" t="s">
        <v>222</v>
      </c>
      <c r="E1191" t="s">
        <v>108</v>
      </c>
      <c r="F1191" s="6">
        <v>45473</v>
      </c>
      <c r="G1191">
        <v>2024</v>
      </c>
      <c r="H1191" t="s">
        <v>44</v>
      </c>
      <c r="I1191" t="s">
        <v>71</v>
      </c>
      <c r="J1191">
        <v>60</v>
      </c>
      <c r="K1191">
        <v>54.08</v>
      </c>
      <c r="L1191">
        <v>1.109467455621302</v>
      </c>
      <c r="M1191">
        <v>1.109467455621302</v>
      </c>
      <c r="N1191" t="s">
        <v>2640</v>
      </c>
      <c r="O1191" t="s">
        <v>5952</v>
      </c>
      <c r="P1191" t="s">
        <v>2637</v>
      </c>
      <c r="Q1191">
        <v>2</v>
      </c>
      <c r="R1191">
        <v>2</v>
      </c>
    </row>
    <row r="1192" spans="1:18" x14ac:dyDescent="0.3">
      <c r="A1192" t="s">
        <v>2633</v>
      </c>
      <c r="B1192" t="s">
        <v>2634</v>
      </c>
      <c r="C1192" t="s">
        <v>178</v>
      </c>
      <c r="D1192" t="s">
        <v>222</v>
      </c>
      <c r="E1192" t="s">
        <v>108</v>
      </c>
      <c r="F1192" s="6">
        <v>45657</v>
      </c>
      <c r="G1192">
        <v>2024</v>
      </c>
      <c r="H1192" t="s">
        <v>57</v>
      </c>
      <c r="I1192" t="s">
        <v>78</v>
      </c>
      <c r="J1192">
        <v>60</v>
      </c>
      <c r="K1192">
        <v>65.55</v>
      </c>
      <c r="L1192">
        <v>0.91533180778032042</v>
      </c>
      <c r="M1192">
        <v>0.91533180778032042</v>
      </c>
      <c r="N1192" t="s">
        <v>2640</v>
      </c>
      <c r="O1192" t="s">
        <v>5953</v>
      </c>
      <c r="P1192" t="s">
        <v>2638</v>
      </c>
      <c r="Q1192">
        <v>2</v>
      </c>
      <c r="R1192">
        <v>2</v>
      </c>
    </row>
    <row r="1193" spans="1:18" x14ac:dyDescent="0.3">
      <c r="A1193" t="s">
        <v>2633</v>
      </c>
      <c r="B1193" t="s">
        <v>2634</v>
      </c>
      <c r="C1193" t="s">
        <v>178</v>
      </c>
      <c r="D1193" t="s">
        <v>222</v>
      </c>
      <c r="E1193" t="s">
        <v>108</v>
      </c>
      <c r="F1193" s="6">
        <v>45838</v>
      </c>
      <c r="G1193">
        <v>2025</v>
      </c>
      <c r="H1193" t="s">
        <v>44</v>
      </c>
      <c r="I1193" t="s">
        <v>244</v>
      </c>
      <c r="J1193">
        <v>60</v>
      </c>
      <c r="K1193">
        <v>49.14</v>
      </c>
      <c r="L1193">
        <v>1.2210012210012211</v>
      </c>
      <c r="M1193">
        <v>1.2210012210012211</v>
      </c>
      <c r="N1193" t="s">
        <v>2640</v>
      </c>
      <c r="O1193" t="s">
        <v>2641</v>
      </c>
      <c r="P1193" t="s">
        <v>2642</v>
      </c>
      <c r="Q1193">
        <v>2</v>
      </c>
      <c r="R1193">
        <v>2</v>
      </c>
    </row>
    <row r="1194" spans="1:18" x14ac:dyDescent="0.3">
      <c r="A1194" t="s">
        <v>2633</v>
      </c>
      <c r="B1194" t="s">
        <v>2634</v>
      </c>
      <c r="C1194" t="s">
        <v>178</v>
      </c>
      <c r="D1194" t="s">
        <v>222</v>
      </c>
      <c r="E1194" t="s">
        <v>108</v>
      </c>
      <c r="F1194" s="6">
        <v>46022</v>
      </c>
      <c r="G1194">
        <v>2025</v>
      </c>
      <c r="H1194" t="s">
        <v>57</v>
      </c>
      <c r="I1194" t="s">
        <v>103</v>
      </c>
      <c r="J1194">
        <v>60</v>
      </c>
      <c r="K1194">
        <v>64.77</v>
      </c>
      <c r="L1194">
        <v>0.92635479388605846</v>
      </c>
      <c r="M1194">
        <v>0.92635479388605846</v>
      </c>
      <c r="N1194" t="s">
        <v>2640</v>
      </c>
      <c r="O1194" t="s">
        <v>2644</v>
      </c>
      <c r="P1194" t="s">
        <v>2645</v>
      </c>
      <c r="Q1194">
        <v>2</v>
      </c>
      <c r="R1194">
        <v>2</v>
      </c>
    </row>
    <row r="1195" spans="1:18" x14ac:dyDescent="0.3">
      <c r="A1195" t="s">
        <v>2646</v>
      </c>
      <c r="B1195" t="s">
        <v>2647</v>
      </c>
      <c r="C1195" t="s">
        <v>178</v>
      </c>
      <c r="D1195" t="s">
        <v>222</v>
      </c>
      <c r="E1195" t="s">
        <v>30</v>
      </c>
      <c r="F1195" s="6">
        <v>45107</v>
      </c>
      <c r="G1195">
        <v>2023</v>
      </c>
      <c r="H1195" t="s">
        <v>44</v>
      </c>
      <c r="I1195" t="s">
        <v>33</v>
      </c>
      <c r="K1195">
        <v>3.01</v>
      </c>
      <c r="L1195">
        <v>0</v>
      </c>
      <c r="M1195">
        <v>0</v>
      </c>
      <c r="O1195" t="s">
        <v>5954</v>
      </c>
      <c r="P1195" t="s">
        <v>2648</v>
      </c>
      <c r="Q1195">
        <v>2</v>
      </c>
      <c r="R1195">
        <v>2</v>
      </c>
    </row>
    <row r="1196" spans="1:18" x14ac:dyDescent="0.3">
      <c r="A1196" t="s">
        <v>2646</v>
      </c>
      <c r="B1196" t="s">
        <v>2647</v>
      </c>
      <c r="C1196" t="s">
        <v>178</v>
      </c>
      <c r="D1196" t="s">
        <v>222</v>
      </c>
      <c r="E1196" t="s">
        <v>30</v>
      </c>
      <c r="F1196" s="6">
        <v>45291</v>
      </c>
      <c r="G1196">
        <v>2023</v>
      </c>
      <c r="H1196" t="s">
        <v>57</v>
      </c>
      <c r="I1196" t="s">
        <v>47</v>
      </c>
      <c r="K1196">
        <v>4.45</v>
      </c>
      <c r="L1196">
        <v>0</v>
      </c>
      <c r="M1196">
        <v>0</v>
      </c>
      <c r="O1196" t="s">
        <v>5955</v>
      </c>
      <c r="P1196" t="s">
        <v>2649</v>
      </c>
      <c r="Q1196">
        <v>2</v>
      </c>
      <c r="R1196">
        <v>2</v>
      </c>
    </row>
    <row r="1197" spans="1:18" x14ac:dyDescent="0.3">
      <c r="A1197" t="s">
        <v>2646</v>
      </c>
      <c r="B1197" t="s">
        <v>2647</v>
      </c>
      <c r="C1197" t="s">
        <v>178</v>
      </c>
      <c r="D1197" t="s">
        <v>222</v>
      </c>
      <c r="E1197" t="s">
        <v>30</v>
      </c>
      <c r="F1197" s="6">
        <v>45473</v>
      </c>
      <c r="G1197">
        <v>2024</v>
      </c>
      <c r="H1197" t="s">
        <v>44</v>
      </c>
      <c r="I1197" t="s">
        <v>71</v>
      </c>
      <c r="K1197">
        <v>3.87</v>
      </c>
      <c r="L1197">
        <v>0</v>
      </c>
      <c r="M1197">
        <v>0</v>
      </c>
      <c r="O1197" t="s">
        <v>5956</v>
      </c>
      <c r="P1197" t="s">
        <v>2650</v>
      </c>
      <c r="Q1197">
        <v>2</v>
      </c>
      <c r="R1197">
        <v>2</v>
      </c>
    </row>
    <row r="1198" spans="1:18" x14ac:dyDescent="0.3">
      <c r="A1198" t="s">
        <v>2646</v>
      </c>
      <c r="B1198" t="s">
        <v>2647</v>
      </c>
      <c r="C1198" t="s">
        <v>178</v>
      </c>
      <c r="D1198" t="s">
        <v>222</v>
      </c>
      <c r="E1198" t="s">
        <v>30</v>
      </c>
      <c r="F1198" s="6">
        <v>45657</v>
      </c>
      <c r="G1198">
        <v>2024</v>
      </c>
      <c r="H1198" t="s">
        <v>57</v>
      </c>
      <c r="I1198" t="s">
        <v>78</v>
      </c>
      <c r="K1198">
        <v>0.51</v>
      </c>
      <c r="L1198">
        <v>0</v>
      </c>
      <c r="M1198">
        <v>0</v>
      </c>
      <c r="O1198" t="s">
        <v>5957</v>
      </c>
      <c r="P1198" t="s">
        <v>2651</v>
      </c>
      <c r="Q1198">
        <v>2</v>
      </c>
      <c r="R1198">
        <v>2</v>
      </c>
    </row>
    <row r="1199" spans="1:18" x14ac:dyDescent="0.3">
      <c r="A1199" t="s">
        <v>2646</v>
      </c>
      <c r="B1199" t="s">
        <v>2652</v>
      </c>
      <c r="C1199" t="s">
        <v>178</v>
      </c>
      <c r="D1199" t="s">
        <v>222</v>
      </c>
      <c r="E1199" t="s">
        <v>30</v>
      </c>
      <c r="F1199" s="6">
        <v>45838</v>
      </c>
      <c r="G1199">
        <v>2025</v>
      </c>
      <c r="H1199" t="s">
        <v>44</v>
      </c>
      <c r="I1199" t="s">
        <v>244</v>
      </c>
      <c r="K1199">
        <v>0.85</v>
      </c>
      <c r="L1199">
        <v>0</v>
      </c>
      <c r="M1199">
        <v>0</v>
      </c>
      <c r="O1199" t="s">
        <v>2458</v>
      </c>
      <c r="P1199" t="s">
        <v>2653</v>
      </c>
      <c r="Q1199">
        <v>2</v>
      </c>
      <c r="R1199">
        <v>2</v>
      </c>
    </row>
    <row r="1200" spans="1:18" x14ac:dyDescent="0.3">
      <c r="A1200" t="s">
        <v>2654</v>
      </c>
      <c r="B1200" t="s">
        <v>2655</v>
      </c>
      <c r="C1200" t="s">
        <v>2656</v>
      </c>
      <c r="D1200" t="s">
        <v>222</v>
      </c>
      <c r="E1200" t="s">
        <v>30</v>
      </c>
      <c r="F1200" s="6">
        <v>45107</v>
      </c>
      <c r="G1200">
        <v>2023</v>
      </c>
      <c r="H1200" t="s">
        <v>44</v>
      </c>
      <c r="I1200" t="s">
        <v>33</v>
      </c>
      <c r="J1200">
        <v>87</v>
      </c>
      <c r="K1200">
        <v>86.98</v>
      </c>
      <c r="L1200">
        <v>0.99977011494252876</v>
      </c>
      <c r="M1200">
        <v>0.99977011494252876</v>
      </c>
      <c r="N1200" t="s">
        <v>1045</v>
      </c>
      <c r="O1200" t="s">
        <v>5958</v>
      </c>
      <c r="P1200" t="s">
        <v>2657</v>
      </c>
      <c r="Q1200">
        <v>2</v>
      </c>
      <c r="R1200">
        <v>2</v>
      </c>
    </row>
    <row r="1201" spans="1:18" x14ac:dyDescent="0.3">
      <c r="A1201" t="s">
        <v>2654</v>
      </c>
      <c r="B1201" t="s">
        <v>2655</v>
      </c>
      <c r="C1201" t="s">
        <v>2656</v>
      </c>
      <c r="D1201" t="s">
        <v>222</v>
      </c>
      <c r="E1201" t="s">
        <v>30</v>
      </c>
      <c r="F1201" s="6">
        <v>45291</v>
      </c>
      <c r="G1201">
        <v>2023</v>
      </c>
      <c r="H1201" t="s">
        <v>57</v>
      </c>
      <c r="I1201" t="s">
        <v>47</v>
      </c>
      <c r="J1201">
        <v>87</v>
      </c>
      <c r="K1201">
        <v>95</v>
      </c>
      <c r="L1201">
        <v>1.0919540229885061</v>
      </c>
      <c r="M1201">
        <v>1.0919540229885061</v>
      </c>
      <c r="N1201" t="s">
        <v>1045</v>
      </c>
      <c r="O1201" t="s">
        <v>838</v>
      </c>
      <c r="P1201" t="s">
        <v>2658</v>
      </c>
      <c r="Q1201">
        <v>2</v>
      </c>
      <c r="R1201">
        <v>2</v>
      </c>
    </row>
    <row r="1202" spans="1:18" x14ac:dyDescent="0.3">
      <c r="A1202" t="s">
        <v>2654</v>
      </c>
      <c r="B1202" t="s">
        <v>2655</v>
      </c>
      <c r="C1202" t="s">
        <v>2656</v>
      </c>
      <c r="D1202" t="s">
        <v>222</v>
      </c>
      <c r="E1202" t="s">
        <v>30</v>
      </c>
      <c r="F1202" s="6">
        <v>45473</v>
      </c>
      <c r="G1202">
        <v>2024</v>
      </c>
      <c r="H1202" t="s">
        <v>44</v>
      </c>
      <c r="I1202" t="s">
        <v>71</v>
      </c>
      <c r="J1202">
        <v>87</v>
      </c>
      <c r="K1202">
        <v>97.99</v>
      </c>
      <c r="L1202">
        <v>1.1263218390804599</v>
      </c>
      <c r="M1202">
        <v>1.1263218390804599</v>
      </c>
      <c r="N1202" t="s">
        <v>1045</v>
      </c>
      <c r="O1202" t="s">
        <v>5959</v>
      </c>
      <c r="P1202" t="s">
        <v>2659</v>
      </c>
      <c r="Q1202">
        <v>2</v>
      </c>
      <c r="R1202">
        <v>2</v>
      </c>
    </row>
    <row r="1203" spans="1:18" x14ac:dyDescent="0.3">
      <c r="A1203" t="s">
        <v>2654</v>
      </c>
      <c r="B1203" t="s">
        <v>2655</v>
      </c>
      <c r="C1203" t="s">
        <v>2656</v>
      </c>
      <c r="D1203" t="s">
        <v>222</v>
      </c>
      <c r="E1203" t="s">
        <v>30</v>
      </c>
      <c r="F1203" s="6">
        <v>45657</v>
      </c>
      <c r="G1203">
        <v>2024</v>
      </c>
      <c r="H1203" t="s">
        <v>57</v>
      </c>
      <c r="I1203" t="s">
        <v>78</v>
      </c>
      <c r="J1203">
        <v>87</v>
      </c>
      <c r="K1203">
        <v>100</v>
      </c>
      <c r="L1203">
        <v>1.149425287356322</v>
      </c>
      <c r="M1203">
        <v>1.149425287356322</v>
      </c>
      <c r="N1203" t="s">
        <v>1045</v>
      </c>
      <c r="O1203" t="s">
        <v>102</v>
      </c>
      <c r="P1203" t="s">
        <v>2660</v>
      </c>
      <c r="Q1203">
        <v>2</v>
      </c>
      <c r="R1203">
        <v>2</v>
      </c>
    </row>
    <row r="1204" spans="1:18" x14ac:dyDescent="0.3">
      <c r="A1204" t="s">
        <v>2654</v>
      </c>
      <c r="B1204" t="s">
        <v>2661</v>
      </c>
      <c r="C1204" t="s">
        <v>2656</v>
      </c>
      <c r="D1204" t="s">
        <v>222</v>
      </c>
      <c r="E1204" t="s">
        <v>30</v>
      </c>
      <c r="F1204" s="6">
        <v>45838</v>
      </c>
      <c r="G1204">
        <v>2025</v>
      </c>
      <c r="H1204" t="s">
        <v>44</v>
      </c>
      <c r="I1204" t="s">
        <v>244</v>
      </c>
      <c r="J1204">
        <v>100</v>
      </c>
      <c r="K1204">
        <v>100</v>
      </c>
      <c r="L1204">
        <v>1</v>
      </c>
      <c r="M1204">
        <v>1</v>
      </c>
      <c r="N1204" t="s">
        <v>102</v>
      </c>
      <c r="O1204" t="s">
        <v>102</v>
      </c>
      <c r="P1204" t="s">
        <v>2662</v>
      </c>
      <c r="Q1204">
        <v>2</v>
      </c>
      <c r="R1204">
        <v>2</v>
      </c>
    </row>
    <row r="1205" spans="1:18" x14ac:dyDescent="0.3">
      <c r="A1205" t="s">
        <v>2654</v>
      </c>
      <c r="B1205" t="s">
        <v>2661</v>
      </c>
      <c r="C1205" t="s">
        <v>2656</v>
      </c>
      <c r="D1205" t="s">
        <v>222</v>
      </c>
      <c r="E1205" t="s">
        <v>30</v>
      </c>
      <c r="F1205" s="6">
        <v>46022</v>
      </c>
      <c r="G1205">
        <v>2025</v>
      </c>
      <c r="H1205" t="s">
        <v>57</v>
      </c>
      <c r="I1205" t="s">
        <v>103</v>
      </c>
      <c r="J1205">
        <v>100</v>
      </c>
      <c r="K1205">
        <v>100</v>
      </c>
      <c r="L1205">
        <v>1</v>
      </c>
      <c r="M1205">
        <v>1</v>
      </c>
      <c r="N1205" t="s">
        <v>102</v>
      </c>
      <c r="O1205" t="s">
        <v>102</v>
      </c>
      <c r="P1205" t="s">
        <v>2663</v>
      </c>
      <c r="Q1205">
        <v>2</v>
      </c>
      <c r="R1205">
        <v>2</v>
      </c>
    </row>
    <row r="1206" spans="1:18" x14ac:dyDescent="0.3">
      <c r="A1206" t="s">
        <v>2664</v>
      </c>
      <c r="B1206" t="s">
        <v>2665</v>
      </c>
      <c r="C1206" t="s">
        <v>1988</v>
      </c>
      <c r="D1206" t="s">
        <v>222</v>
      </c>
      <c r="E1206" t="s">
        <v>30</v>
      </c>
      <c r="F1206" s="6">
        <v>45657</v>
      </c>
      <c r="G1206">
        <v>2024</v>
      </c>
      <c r="H1206" t="s">
        <v>57</v>
      </c>
      <c r="I1206" t="s">
        <v>78</v>
      </c>
      <c r="J1206">
        <v>80</v>
      </c>
      <c r="K1206">
        <v>86</v>
      </c>
      <c r="L1206">
        <v>1.075</v>
      </c>
      <c r="M1206">
        <v>1.075</v>
      </c>
      <c r="N1206" t="s">
        <v>193</v>
      </c>
      <c r="O1206" t="s">
        <v>4410</v>
      </c>
      <c r="P1206" t="s">
        <v>2666</v>
      </c>
      <c r="Q1206">
        <v>2</v>
      </c>
      <c r="R1206">
        <v>2</v>
      </c>
    </row>
    <row r="1207" spans="1:18" x14ac:dyDescent="0.3">
      <c r="A1207" t="s">
        <v>2664</v>
      </c>
      <c r="B1207" t="s">
        <v>2667</v>
      </c>
      <c r="C1207" t="s">
        <v>1988</v>
      </c>
      <c r="D1207" t="s">
        <v>222</v>
      </c>
      <c r="E1207" t="s">
        <v>30</v>
      </c>
      <c r="F1207" s="6">
        <v>45838</v>
      </c>
      <c r="G1207">
        <v>2025</v>
      </c>
      <c r="H1207" t="s">
        <v>44</v>
      </c>
      <c r="I1207" t="s">
        <v>244</v>
      </c>
      <c r="J1207">
        <v>80</v>
      </c>
      <c r="K1207">
        <v>90</v>
      </c>
      <c r="L1207">
        <v>1.125</v>
      </c>
      <c r="M1207">
        <v>1.125</v>
      </c>
      <c r="N1207" t="s">
        <v>193</v>
      </c>
      <c r="O1207" t="s">
        <v>256</v>
      </c>
      <c r="P1207" t="s">
        <v>2668</v>
      </c>
      <c r="Q1207">
        <v>2</v>
      </c>
      <c r="R1207">
        <v>2</v>
      </c>
    </row>
    <row r="1208" spans="1:18" x14ac:dyDescent="0.3">
      <c r="A1208" t="s">
        <v>2664</v>
      </c>
      <c r="B1208" t="s">
        <v>2667</v>
      </c>
      <c r="C1208" t="s">
        <v>1988</v>
      </c>
      <c r="D1208" t="s">
        <v>222</v>
      </c>
      <c r="E1208" t="s">
        <v>30</v>
      </c>
      <c r="F1208" s="6">
        <v>46022</v>
      </c>
      <c r="G1208">
        <v>2025</v>
      </c>
      <c r="H1208" t="s">
        <v>57</v>
      </c>
      <c r="I1208" t="s">
        <v>103</v>
      </c>
      <c r="J1208">
        <v>85</v>
      </c>
      <c r="K1208">
        <v>89.9</v>
      </c>
      <c r="L1208">
        <v>1.0576470588235289</v>
      </c>
      <c r="M1208">
        <v>1.0576470588235289</v>
      </c>
      <c r="N1208" t="s">
        <v>2357</v>
      </c>
      <c r="O1208" t="s">
        <v>2670</v>
      </c>
      <c r="P1208" t="s">
        <v>2671</v>
      </c>
      <c r="Q1208">
        <v>2</v>
      </c>
      <c r="R1208">
        <v>2</v>
      </c>
    </row>
    <row r="1209" spans="1:18" x14ac:dyDescent="0.3">
      <c r="A1209" t="s">
        <v>2672</v>
      </c>
      <c r="B1209" t="s">
        <v>2673</v>
      </c>
      <c r="C1209" t="s">
        <v>649</v>
      </c>
      <c r="D1209" t="s">
        <v>222</v>
      </c>
      <c r="E1209" t="s">
        <v>30</v>
      </c>
      <c r="F1209" s="6">
        <v>45107</v>
      </c>
      <c r="G1209">
        <v>2023</v>
      </c>
      <c r="H1209" t="s">
        <v>44</v>
      </c>
      <c r="I1209" t="s">
        <v>33</v>
      </c>
      <c r="J1209">
        <v>0</v>
      </c>
      <c r="K1209">
        <v>0</v>
      </c>
      <c r="L1209">
        <v>0</v>
      </c>
      <c r="M1209">
        <v>0</v>
      </c>
      <c r="N1209" t="s">
        <v>122</v>
      </c>
      <c r="O1209" t="s">
        <v>122</v>
      </c>
      <c r="P1209" t="s">
        <v>2674</v>
      </c>
      <c r="Q1209">
        <v>2</v>
      </c>
      <c r="R1209">
        <v>2</v>
      </c>
    </row>
    <row r="1210" spans="1:18" x14ac:dyDescent="0.3">
      <c r="A1210" t="s">
        <v>2672</v>
      </c>
      <c r="B1210" t="s">
        <v>2673</v>
      </c>
      <c r="C1210" t="s">
        <v>1988</v>
      </c>
      <c r="D1210" t="s">
        <v>222</v>
      </c>
      <c r="E1210" t="s">
        <v>30</v>
      </c>
      <c r="F1210" s="6">
        <v>45291</v>
      </c>
      <c r="G1210">
        <v>2023</v>
      </c>
      <c r="H1210" t="s">
        <v>57</v>
      </c>
      <c r="I1210" t="s">
        <v>47</v>
      </c>
      <c r="J1210">
        <v>0</v>
      </c>
      <c r="K1210">
        <v>0</v>
      </c>
      <c r="L1210">
        <v>0</v>
      </c>
      <c r="M1210">
        <v>0</v>
      </c>
      <c r="N1210" t="s">
        <v>122</v>
      </c>
      <c r="O1210" t="s">
        <v>122</v>
      </c>
      <c r="P1210" t="s">
        <v>2675</v>
      </c>
      <c r="Q1210">
        <v>2</v>
      </c>
      <c r="R1210">
        <v>2</v>
      </c>
    </row>
    <row r="1211" spans="1:18" x14ac:dyDescent="0.3">
      <c r="A1211" t="s">
        <v>2676</v>
      </c>
      <c r="B1211" t="s">
        <v>2677</v>
      </c>
      <c r="C1211" t="s">
        <v>2678</v>
      </c>
      <c r="D1211" t="s">
        <v>98</v>
      </c>
      <c r="E1211" t="s">
        <v>30</v>
      </c>
      <c r="F1211" s="6">
        <v>45291</v>
      </c>
      <c r="G1211">
        <v>2023</v>
      </c>
      <c r="H1211" t="s">
        <v>57</v>
      </c>
      <c r="I1211" t="s">
        <v>47</v>
      </c>
      <c r="J1211">
        <v>4.5</v>
      </c>
      <c r="K1211">
        <v>4.5599999999999996</v>
      </c>
      <c r="L1211">
        <v>1.013333333333333</v>
      </c>
      <c r="M1211">
        <v>1.013333333333333</v>
      </c>
      <c r="N1211" t="s">
        <v>5836</v>
      </c>
      <c r="O1211" t="s">
        <v>5960</v>
      </c>
      <c r="P1211" t="s">
        <v>2679</v>
      </c>
      <c r="Q1211">
        <v>2</v>
      </c>
      <c r="R1211">
        <v>2</v>
      </c>
    </row>
    <row r="1212" spans="1:18" x14ac:dyDescent="0.3">
      <c r="A1212" t="s">
        <v>2676</v>
      </c>
      <c r="B1212" t="s">
        <v>2680</v>
      </c>
      <c r="C1212" t="s">
        <v>2678</v>
      </c>
      <c r="D1212" t="s">
        <v>98</v>
      </c>
      <c r="E1212" t="s">
        <v>30</v>
      </c>
      <c r="F1212" s="6">
        <v>45657</v>
      </c>
      <c r="G1212">
        <v>2024</v>
      </c>
      <c r="H1212" t="s">
        <v>57</v>
      </c>
      <c r="I1212" t="s">
        <v>78</v>
      </c>
      <c r="J1212">
        <v>0</v>
      </c>
      <c r="L1212">
        <v>0</v>
      </c>
      <c r="M1212">
        <v>0</v>
      </c>
      <c r="N1212" t="s">
        <v>122</v>
      </c>
      <c r="P1212" t="s">
        <v>2681</v>
      </c>
      <c r="Q1212">
        <v>2</v>
      </c>
      <c r="R1212">
        <v>2</v>
      </c>
    </row>
    <row r="1213" spans="1:18" x14ac:dyDescent="0.3">
      <c r="A1213" t="s">
        <v>2676</v>
      </c>
      <c r="B1213" t="s">
        <v>2682</v>
      </c>
      <c r="C1213" t="s">
        <v>2678</v>
      </c>
      <c r="D1213" t="s">
        <v>98</v>
      </c>
      <c r="E1213" t="s">
        <v>30</v>
      </c>
      <c r="F1213" s="6">
        <v>46022</v>
      </c>
      <c r="G1213">
        <v>2025</v>
      </c>
      <c r="H1213" t="s">
        <v>57</v>
      </c>
      <c r="I1213" t="s">
        <v>103</v>
      </c>
      <c r="J1213">
        <v>4.5999999999999996</v>
      </c>
      <c r="K1213">
        <v>4.78</v>
      </c>
      <c r="L1213">
        <v>1.0391304347826089</v>
      </c>
      <c r="M1213">
        <v>1.0391304347826089</v>
      </c>
      <c r="N1213" t="s">
        <v>2068</v>
      </c>
      <c r="O1213" t="s">
        <v>2684</v>
      </c>
      <c r="P1213" t="s">
        <v>2685</v>
      </c>
      <c r="Q1213">
        <v>2</v>
      </c>
      <c r="R1213">
        <v>2</v>
      </c>
    </row>
    <row r="1214" spans="1:18" x14ac:dyDescent="0.3">
      <c r="A1214" t="s">
        <v>2686</v>
      </c>
      <c r="B1214" t="s">
        <v>2687</v>
      </c>
      <c r="C1214" t="s">
        <v>2688</v>
      </c>
      <c r="D1214" t="s">
        <v>222</v>
      </c>
      <c r="E1214" t="s">
        <v>30</v>
      </c>
      <c r="F1214" s="6">
        <v>45291</v>
      </c>
      <c r="G1214">
        <v>2023</v>
      </c>
      <c r="H1214" t="s">
        <v>57</v>
      </c>
      <c r="I1214" t="s">
        <v>47</v>
      </c>
      <c r="J1214">
        <v>100</v>
      </c>
      <c r="K1214">
        <v>99.16</v>
      </c>
      <c r="L1214">
        <v>0.99159999999999993</v>
      </c>
      <c r="M1214">
        <v>0.99159999999999993</v>
      </c>
      <c r="N1214" t="s">
        <v>102</v>
      </c>
      <c r="O1214" t="s">
        <v>5961</v>
      </c>
      <c r="P1214" t="s">
        <v>2689</v>
      </c>
      <c r="Q1214">
        <v>2</v>
      </c>
      <c r="R1214">
        <v>2</v>
      </c>
    </row>
    <row r="1215" spans="1:18" x14ac:dyDescent="0.3">
      <c r="A1215" t="s">
        <v>2686</v>
      </c>
      <c r="B1215" t="s">
        <v>2687</v>
      </c>
      <c r="C1215" t="s">
        <v>2688</v>
      </c>
      <c r="D1215" t="s">
        <v>222</v>
      </c>
      <c r="E1215" t="s">
        <v>30</v>
      </c>
      <c r="F1215" s="6">
        <v>45473</v>
      </c>
      <c r="G1215">
        <v>2024</v>
      </c>
      <c r="H1215" t="s">
        <v>44</v>
      </c>
      <c r="I1215" t="s">
        <v>71</v>
      </c>
      <c r="J1215">
        <v>98</v>
      </c>
      <c r="K1215">
        <v>99.584323040379999</v>
      </c>
      <c r="L1215">
        <v>1.016166561636531</v>
      </c>
      <c r="M1215">
        <v>1.016166561636531</v>
      </c>
      <c r="N1215" t="s">
        <v>312</v>
      </c>
      <c r="O1215" t="s">
        <v>1779</v>
      </c>
      <c r="P1215" t="s">
        <v>2690</v>
      </c>
      <c r="Q1215">
        <v>2</v>
      </c>
      <c r="R1215">
        <v>2</v>
      </c>
    </row>
    <row r="1216" spans="1:18" x14ac:dyDescent="0.3">
      <c r="A1216" t="s">
        <v>2686</v>
      </c>
      <c r="B1216" t="s">
        <v>2687</v>
      </c>
      <c r="C1216" t="s">
        <v>2688</v>
      </c>
      <c r="D1216" t="s">
        <v>222</v>
      </c>
      <c r="E1216" t="s">
        <v>30</v>
      </c>
      <c r="F1216" s="6">
        <v>45657</v>
      </c>
      <c r="G1216">
        <v>2024</v>
      </c>
      <c r="H1216" t="s">
        <v>57</v>
      </c>
      <c r="I1216" t="s">
        <v>78</v>
      </c>
      <c r="J1216">
        <v>98</v>
      </c>
      <c r="K1216">
        <v>99.49</v>
      </c>
      <c r="L1216">
        <v>1.0152040816326531</v>
      </c>
      <c r="M1216">
        <v>1.0152040816326531</v>
      </c>
      <c r="N1216" t="s">
        <v>312</v>
      </c>
      <c r="O1216" t="s">
        <v>5962</v>
      </c>
      <c r="P1216" t="s">
        <v>2691</v>
      </c>
      <c r="Q1216">
        <v>2</v>
      </c>
      <c r="R1216">
        <v>2</v>
      </c>
    </row>
    <row r="1217" spans="1:18" x14ac:dyDescent="0.3">
      <c r="A1217" t="s">
        <v>2686</v>
      </c>
      <c r="B1217" t="s">
        <v>2687</v>
      </c>
      <c r="C1217" t="s">
        <v>2688</v>
      </c>
      <c r="D1217" t="s">
        <v>222</v>
      </c>
      <c r="E1217" t="s">
        <v>30</v>
      </c>
      <c r="F1217" s="6">
        <v>45838</v>
      </c>
      <c r="G1217">
        <v>2025</v>
      </c>
      <c r="H1217" t="s">
        <v>44</v>
      </c>
      <c r="I1217" t="s">
        <v>244</v>
      </c>
      <c r="J1217">
        <v>98</v>
      </c>
      <c r="K1217">
        <v>99.63</v>
      </c>
      <c r="L1217">
        <v>1.016632653061224</v>
      </c>
      <c r="M1217">
        <v>1.016632653061224</v>
      </c>
      <c r="N1217" t="s">
        <v>312</v>
      </c>
      <c r="O1217" t="s">
        <v>2693</v>
      </c>
      <c r="P1217" t="s">
        <v>2694</v>
      </c>
      <c r="Q1217">
        <v>2</v>
      </c>
      <c r="R1217">
        <v>2</v>
      </c>
    </row>
    <row r="1218" spans="1:18" x14ac:dyDescent="0.3">
      <c r="A1218" t="s">
        <v>2686</v>
      </c>
      <c r="B1218" t="s">
        <v>2687</v>
      </c>
      <c r="C1218" t="s">
        <v>2688</v>
      </c>
      <c r="D1218" t="s">
        <v>222</v>
      </c>
      <c r="E1218" t="s">
        <v>30</v>
      </c>
      <c r="F1218" s="6">
        <v>46022</v>
      </c>
      <c r="G1218">
        <v>2025</v>
      </c>
      <c r="H1218" t="s">
        <v>57</v>
      </c>
      <c r="I1218" t="s">
        <v>103</v>
      </c>
      <c r="J1218">
        <v>98</v>
      </c>
      <c r="K1218">
        <v>99.7</v>
      </c>
      <c r="L1218">
        <v>1.0173469387755101</v>
      </c>
      <c r="M1218">
        <v>1.0173469387755101</v>
      </c>
      <c r="N1218" t="s">
        <v>312</v>
      </c>
      <c r="O1218" t="s">
        <v>2696</v>
      </c>
      <c r="P1218" t="s">
        <v>2697</v>
      </c>
      <c r="Q1218">
        <v>2</v>
      </c>
      <c r="R1218">
        <v>2</v>
      </c>
    </row>
    <row r="1219" spans="1:18" x14ac:dyDescent="0.3">
      <c r="A1219" t="s">
        <v>2698</v>
      </c>
      <c r="B1219" t="s">
        <v>2699</v>
      </c>
      <c r="C1219" t="s">
        <v>2688</v>
      </c>
      <c r="D1219" t="s">
        <v>222</v>
      </c>
      <c r="E1219" t="s">
        <v>30</v>
      </c>
      <c r="F1219" s="6">
        <v>45291</v>
      </c>
      <c r="G1219">
        <v>2023</v>
      </c>
      <c r="H1219" t="s">
        <v>57</v>
      </c>
      <c r="I1219" t="s">
        <v>47</v>
      </c>
      <c r="J1219">
        <v>100</v>
      </c>
      <c r="K1219">
        <v>100</v>
      </c>
      <c r="L1219">
        <v>1</v>
      </c>
      <c r="M1219">
        <v>1</v>
      </c>
      <c r="N1219" t="s">
        <v>102</v>
      </c>
      <c r="O1219" t="s">
        <v>102</v>
      </c>
      <c r="P1219" t="s">
        <v>2700</v>
      </c>
      <c r="Q1219">
        <v>2</v>
      </c>
      <c r="R1219">
        <v>2</v>
      </c>
    </row>
    <row r="1220" spans="1:18" x14ac:dyDescent="0.3">
      <c r="A1220" t="s">
        <v>2698</v>
      </c>
      <c r="B1220" t="s">
        <v>2699</v>
      </c>
      <c r="C1220" t="s">
        <v>2688</v>
      </c>
      <c r="D1220" t="s">
        <v>222</v>
      </c>
      <c r="E1220" t="s">
        <v>30</v>
      </c>
      <c r="F1220" s="6">
        <v>45473</v>
      </c>
      <c r="G1220">
        <v>2024</v>
      </c>
      <c r="H1220" t="s">
        <v>44</v>
      </c>
      <c r="I1220" t="s">
        <v>71</v>
      </c>
      <c r="J1220">
        <v>100</v>
      </c>
      <c r="K1220">
        <v>100</v>
      </c>
      <c r="L1220">
        <v>1</v>
      </c>
      <c r="M1220">
        <v>1</v>
      </c>
      <c r="N1220" t="s">
        <v>102</v>
      </c>
      <c r="O1220" t="s">
        <v>102</v>
      </c>
      <c r="P1220" t="s">
        <v>2701</v>
      </c>
      <c r="Q1220">
        <v>2</v>
      </c>
      <c r="R1220">
        <v>2</v>
      </c>
    </row>
    <row r="1221" spans="1:18" x14ac:dyDescent="0.3">
      <c r="A1221" t="s">
        <v>2698</v>
      </c>
      <c r="B1221" t="s">
        <v>2699</v>
      </c>
      <c r="C1221" t="s">
        <v>2688</v>
      </c>
      <c r="D1221" t="s">
        <v>222</v>
      </c>
      <c r="E1221" t="s">
        <v>30</v>
      </c>
      <c r="F1221" s="6">
        <v>45657</v>
      </c>
      <c r="G1221">
        <v>2024</v>
      </c>
      <c r="H1221" t="s">
        <v>57</v>
      </c>
      <c r="I1221" t="s">
        <v>78</v>
      </c>
      <c r="J1221">
        <v>100</v>
      </c>
      <c r="K1221">
        <v>100</v>
      </c>
      <c r="L1221">
        <v>1</v>
      </c>
      <c r="M1221">
        <v>1</v>
      </c>
      <c r="N1221" t="s">
        <v>102</v>
      </c>
      <c r="O1221" t="s">
        <v>102</v>
      </c>
      <c r="P1221" t="s">
        <v>2702</v>
      </c>
      <c r="Q1221">
        <v>2</v>
      </c>
      <c r="R1221">
        <v>2</v>
      </c>
    </row>
    <row r="1222" spans="1:18" x14ac:dyDescent="0.3">
      <c r="A1222" t="s">
        <v>2698</v>
      </c>
      <c r="B1222" t="s">
        <v>2699</v>
      </c>
      <c r="C1222" t="s">
        <v>2688</v>
      </c>
      <c r="D1222" t="s">
        <v>222</v>
      </c>
      <c r="E1222" t="s">
        <v>30</v>
      </c>
      <c r="F1222" s="6">
        <v>45838</v>
      </c>
      <c r="G1222">
        <v>2025</v>
      </c>
      <c r="H1222" t="s">
        <v>44</v>
      </c>
      <c r="I1222" t="s">
        <v>244</v>
      </c>
      <c r="J1222">
        <v>100</v>
      </c>
      <c r="K1222">
        <v>100</v>
      </c>
      <c r="L1222">
        <v>1</v>
      </c>
      <c r="M1222">
        <v>1</v>
      </c>
      <c r="N1222" t="s">
        <v>102</v>
      </c>
      <c r="O1222" t="s">
        <v>102</v>
      </c>
      <c r="P1222" t="s">
        <v>2703</v>
      </c>
      <c r="Q1222">
        <v>2</v>
      </c>
      <c r="R1222">
        <v>2</v>
      </c>
    </row>
    <row r="1223" spans="1:18" x14ac:dyDescent="0.3">
      <c r="A1223" t="s">
        <v>2698</v>
      </c>
      <c r="B1223" t="s">
        <v>2699</v>
      </c>
      <c r="C1223" t="s">
        <v>2688</v>
      </c>
      <c r="D1223" t="s">
        <v>222</v>
      </c>
      <c r="E1223" t="s">
        <v>30</v>
      </c>
      <c r="F1223" s="6">
        <v>46022</v>
      </c>
      <c r="G1223">
        <v>2025</v>
      </c>
      <c r="H1223" t="s">
        <v>57</v>
      </c>
      <c r="I1223" t="s">
        <v>103</v>
      </c>
      <c r="J1223">
        <v>100</v>
      </c>
      <c r="K1223">
        <v>100</v>
      </c>
      <c r="L1223">
        <v>1</v>
      </c>
      <c r="M1223">
        <v>1</v>
      </c>
      <c r="N1223" t="s">
        <v>102</v>
      </c>
      <c r="O1223" t="s">
        <v>102</v>
      </c>
      <c r="P1223" t="s">
        <v>2704</v>
      </c>
      <c r="Q1223">
        <v>2</v>
      </c>
      <c r="R1223">
        <v>2</v>
      </c>
    </row>
    <row r="1224" spans="1:18" x14ac:dyDescent="0.3">
      <c r="A1224" t="s">
        <v>2705</v>
      </c>
      <c r="B1224" t="s">
        <v>2706</v>
      </c>
      <c r="C1224" t="s">
        <v>2678</v>
      </c>
      <c r="D1224" t="s">
        <v>222</v>
      </c>
      <c r="E1224" t="s">
        <v>108</v>
      </c>
      <c r="F1224" s="6">
        <v>45107</v>
      </c>
      <c r="G1224">
        <v>2023</v>
      </c>
      <c r="H1224" t="s">
        <v>44</v>
      </c>
      <c r="I1224" t="s">
        <v>33</v>
      </c>
      <c r="J1224">
        <v>0</v>
      </c>
      <c r="K1224">
        <v>30173</v>
      </c>
      <c r="L1224">
        <v>0</v>
      </c>
      <c r="M1224">
        <v>0</v>
      </c>
      <c r="N1224" t="s">
        <v>122</v>
      </c>
      <c r="O1224" t="s">
        <v>5963</v>
      </c>
      <c r="P1224" t="s">
        <v>2707</v>
      </c>
      <c r="Q1224">
        <v>2</v>
      </c>
      <c r="R1224">
        <v>2</v>
      </c>
    </row>
    <row r="1225" spans="1:18" x14ac:dyDescent="0.3">
      <c r="A1225" t="s">
        <v>2705</v>
      </c>
      <c r="B1225" t="s">
        <v>2706</v>
      </c>
      <c r="C1225" t="s">
        <v>2678</v>
      </c>
      <c r="D1225" t="s">
        <v>222</v>
      </c>
      <c r="E1225" t="s">
        <v>108</v>
      </c>
      <c r="F1225" s="6">
        <v>45291</v>
      </c>
      <c r="G1225">
        <v>2023</v>
      </c>
      <c r="H1225" t="s">
        <v>57</v>
      </c>
      <c r="I1225" t="s">
        <v>47</v>
      </c>
      <c r="J1225">
        <v>0</v>
      </c>
      <c r="K1225">
        <v>78450</v>
      </c>
      <c r="L1225">
        <v>0</v>
      </c>
      <c r="M1225">
        <v>0</v>
      </c>
      <c r="N1225" t="s">
        <v>122</v>
      </c>
      <c r="O1225" t="s">
        <v>5964</v>
      </c>
      <c r="P1225" t="s">
        <v>2708</v>
      </c>
      <c r="Q1225">
        <v>2</v>
      </c>
      <c r="R1225">
        <v>2</v>
      </c>
    </row>
    <row r="1226" spans="1:18" x14ac:dyDescent="0.3">
      <c r="A1226" t="s">
        <v>2705</v>
      </c>
      <c r="B1226" t="s">
        <v>2706</v>
      </c>
      <c r="C1226" t="s">
        <v>2678</v>
      </c>
      <c r="D1226" t="s">
        <v>222</v>
      </c>
      <c r="E1226" t="s">
        <v>108</v>
      </c>
      <c r="F1226" s="6">
        <v>45473</v>
      </c>
      <c r="G1226">
        <v>2024</v>
      </c>
      <c r="H1226" t="s">
        <v>44</v>
      </c>
      <c r="I1226" t="s">
        <v>71</v>
      </c>
      <c r="J1226">
        <v>31694</v>
      </c>
      <c r="K1226">
        <v>35993</v>
      </c>
      <c r="L1226">
        <v>0.88056010891006586</v>
      </c>
      <c r="M1226">
        <v>0.88056010891006586</v>
      </c>
      <c r="N1226" t="s">
        <v>5965</v>
      </c>
      <c r="O1226" t="s">
        <v>5966</v>
      </c>
      <c r="P1226" t="s">
        <v>2709</v>
      </c>
      <c r="Q1226">
        <v>2</v>
      </c>
      <c r="R1226">
        <v>2</v>
      </c>
    </row>
    <row r="1227" spans="1:18" x14ac:dyDescent="0.3">
      <c r="A1227" t="s">
        <v>2705</v>
      </c>
      <c r="B1227" t="s">
        <v>2706</v>
      </c>
      <c r="C1227" t="s">
        <v>2678</v>
      </c>
      <c r="D1227" t="s">
        <v>222</v>
      </c>
      <c r="E1227" t="s">
        <v>30</v>
      </c>
      <c r="F1227" s="6">
        <v>45657</v>
      </c>
      <c r="G1227">
        <v>2024</v>
      </c>
      <c r="H1227" t="s">
        <v>57</v>
      </c>
      <c r="I1227" t="s">
        <v>78</v>
      </c>
      <c r="J1227">
        <v>100</v>
      </c>
      <c r="K1227">
        <v>98.09</v>
      </c>
      <c r="L1227">
        <v>0.98089999999999999</v>
      </c>
      <c r="M1227">
        <v>0.98089999999999999</v>
      </c>
      <c r="N1227" t="s">
        <v>102</v>
      </c>
      <c r="O1227" t="s">
        <v>5967</v>
      </c>
      <c r="P1227" t="s">
        <v>2710</v>
      </c>
      <c r="Q1227">
        <v>2</v>
      </c>
      <c r="R1227">
        <v>2</v>
      </c>
    </row>
    <row r="1228" spans="1:18" x14ac:dyDescent="0.3">
      <c r="A1228" t="s">
        <v>2705</v>
      </c>
      <c r="B1228" t="s">
        <v>2706</v>
      </c>
      <c r="C1228" t="s">
        <v>2678</v>
      </c>
      <c r="D1228" t="s">
        <v>222</v>
      </c>
      <c r="E1228" t="s">
        <v>30</v>
      </c>
      <c r="F1228" s="6">
        <v>45838</v>
      </c>
      <c r="G1228">
        <v>2025</v>
      </c>
      <c r="H1228" t="s">
        <v>44</v>
      </c>
      <c r="I1228" t="s">
        <v>244</v>
      </c>
      <c r="J1228">
        <v>100</v>
      </c>
      <c r="K1228">
        <v>93.89</v>
      </c>
      <c r="L1228">
        <v>0.93889999999999996</v>
      </c>
      <c r="M1228">
        <v>0.93889999999999996</v>
      </c>
      <c r="N1228" t="s">
        <v>102</v>
      </c>
      <c r="O1228" t="s">
        <v>2712</v>
      </c>
      <c r="P1228" t="s">
        <v>2713</v>
      </c>
      <c r="Q1228">
        <v>2</v>
      </c>
      <c r="R1228">
        <v>2</v>
      </c>
    </row>
    <row r="1229" spans="1:18" x14ac:dyDescent="0.3">
      <c r="A1229" t="s">
        <v>2705</v>
      </c>
      <c r="B1229" t="s">
        <v>2706</v>
      </c>
      <c r="C1229" t="s">
        <v>2678</v>
      </c>
      <c r="D1229" t="s">
        <v>222</v>
      </c>
      <c r="E1229" t="s">
        <v>30</v>
      </c>
      <c r="F1229" s="6">
        <v>46022</v>
      </c>
      <c r="G1229">
        <v>2025</v>
      </c>
      <c r="H1229" t="s">
        <v>57</v>
      </c>
      <c r="I1229" t="s">
        <v>103</v>
      </c>
      <c r="J1229">
        <v>100</v>
      </c>
      <c r="K1229">
        <v>78.11</v>
      </c>
      <c r="L1229">
        <v>0.78110000000000002</v>
      </c>
      <c r="M1229">
        <v>0.78110000000000002</v>
      </c>
      <c r="N1229" t="s">
        <v>102</v>
      </c>
      <c r="O1229" t="s">
        <v>2715</v>
      </c>
      <c r="P1229" t="s">
        <v>2716</v>
      </c>
      <c r="Q1229">
        <v>2</v>
      </c>
      <c r="R1229">
        <v>2</v>
      </c>
    </row>
    <row r="1230" spans="1:18" x14ac:dyDescent="0.3">
      <c r="A1230" t="s">
        <v>2717</v>
      </c>
      <c r="B1230" t="s">
        <v>2718</v>
      </c>
      <c r="C1230" t="s">
        <v>2688</v>
      </c>
      <c r="D1230" t="s">
        <v>222</v>
      </c>
      <c r="E1230" t="s">
        <v>30</v>
      </c>
      <c r="F1230" s="6">
        <v>45291</v>
      </c>
      <c r="G1230">
        <v>2023</v>
      </c>
      <c r="H1230" t="s">
        <v>57</v>
      </c>
      <c r="I1230" t="s">
        <v>47</v>
      </c>
      <c r="J1230">
        <v>100</v>
      </c>
      <c r="K1230">
        <v>100</v>
      </c>
      <c r="L1230">
        <v>1</v>
      </c>
      <c r="M1230">
        <v>1</v>
      </c>
      <c r="N1230" t="s">
        <v>102</v>
      </c>
      <c r="O1230" t="s">
        <v>102</v>
      </c>
      <c r="P1230" t="s">
        <v>2719</v>
      </c>
      <c r="Q1230">
        <v>2</v>
      </c>
      <c r="R1230">
        <v>2</v>
      </c>
    </row>
    <row r="1231" spans="1:18" x14ac:dyDescent="0.3">
      <c r="A1231" t="s">
        <v>2720</v>
      </c>
      <c r="B1231" t="s">
        <v>2721</v>
      </c>
      <c r="C1231" t="s">
        <v>2688</v>
      </c>
      <c r="D1231" t="s">
        <v>98</v>
      </c>
      <c r="E1231" t="s">
        <v>30</v>
      </c>
      <c r="F1231" s="6">
        <v>45291</v>
      </c>
      <c r="G1231">
        <v>2023</v>
      </c>
      <c r="H1231" t="s">
        <v>57</v>
      </c>
      <c r="I1231" t="s">
        <v>47</v>
      </c>
      <c r="J1231">
        <v>100</v>
      </c>
      <c r="K1231">
        <v>100</v>
      </c>
      <c r="L1231">
        <v>1</v>
      </c>
      <c r="M1231">
        <v>1</v>
      </c>
      <c r="N1231" t="s">
        <v>102</v>
      </c>
      <c r="O1231" t="s">
        <v>102</v>
      </c>
      <c r="P1231" t="s">
        <v>2722</v>
      </c>
      <c r="Q1231">
        <v>2</v>
      </c>
      <c r="R1231">
        <v>2</v>
      </c>
    </row>
    <row r="1232" spans="1:18" x14ac:dyDescent="0.3">
      <c r="A1232" t="s">
        <v>2720</v>
      </c>
      <c r="B1232" t="s">
        <v>2721</v>
      </c>
      <c r="C1232" t="s">
        <v>2688</v>
      </c>
      <c r="D1232" t="s">
        <v>98</v>
      </c>
      <c r="E1232" t="s">
        <v>30</v>
      </c>
      <c r="F1232" s="6">
        <v>45657</v>
      </c>
      <c r="G1232">
        <v>2024</v>
      </c>
      <c r="H1232" t="s">
        <v>57</v>
      </c>
      <c r="I1232" t="s">
        <v>78</v>
      </c>
      <c r="J1232">
        <v>100</v>
      </c>
      <c r="K1232">
        <v>100</v>
      </c>
      <c r="L1232">
        <v>1</v>
      </c>
      <c r="M1232">
        <v>1</v>
      </c>
      <c r="N1232" t="s">
        <v>102</v>
      </c>
      <c r="O1232" t="s">
        <v>102</v>
      </c>
      <c r="P1232" t="s">
        <v>2723</v>
      </c>
      <c r="Q1232">
        <v>2</v>
      </c>
      <c r="R1232">
        <v>2</v>
      </c>
    </row>
    <row r="1233" spans="1:18" x14ac:dyDescent="0.3">
      <c r="A1233" t="s">
        <v>2720</v>
      </c>
      <c r="B1233" t="s">
        <v>2721</v>
      </c>
      <c r="C1233" t="s">
        <v>2688</v>
      </c>
      <c r="D1233" t="s">
        <v>98</v>
      </c>
      <c r="E1233" t="s">
        <v>30</v>
      </c>
      <c r="F1233" s="6">
        <v>46022</v>
      </c>
      <c r="G1233">
        <v>2025</v>
      </c>
      <c r="H1233" t="s">
        <v>57</v>
      </c>
      <c r="I1233" t="s">
        <v>103</v>
      </c>
      <c r="J1233">
        <v>100</v>
      </c>
      <c r="K1233">
        <v>100</v>
      </c>
      <c r="L1233">
        <v>1</v>
      </c>
      <c r="M1233">
        <v>1</v>
      </c>
      <c r="N1233" t="s">
        <v>102</v>
      </c>
      <c r="O1233" t="s">
        <v>102</v>
      </c>
      <c r="P1233" t="s">
        <v>2724</v>
      </c>
      <c r="Q1233">
        <v>2</v>
      </c>
      <c r="R1233">
        <v>2</v>
      </c>
    </row>
    <row r="1234" spans="1:18" x14ac:dyDescent="0.3">
      <c r="A1234" t="s">
        <v>2725</v>
      </c>
      <c r="B1234" t="s">
        <v>2726</v>
      </c>
      <c r="C1234" t="s">
        <v>2678</v>
      </c>
      <c r="D1234" t="s">
        <v>98</v>
      </c>
      <c r="E1234" t="s">
        <v>30</v>
      </c>
      <c r="F1234" s="6">
        <v>44926</v>
      </c>
      <c r="G1234">
        <v>2022</v>
      </c>
      <c r="H1234" t="s">
        <v>57</v>
      </c>
      <c r="I1234" t="s">
        <v>90</v>
      </c>
      <c r="J1234">
        <v>5.7</v>
      </c>
      <c r="K1234">
        <v>6.7</v>
      </c>
      <c r="L1234">
        <v>1.1754385964912279</v>
      </c>
      <c r="M1234">
        <v>1.1754385964912279</v>
      </c>
      <c r="N1234" t="s">
        <v>5968</v>
      </c>
      <c r="O1234" t="s">
        <v>5969</v>
      </c>
      <c r="P1234" t="s">
        <v>2727</v>
      </c>
      <c r="Q1234">
        <v>2</v>
      </c>
      <c r="R1234">
        <v>2</v>
      </c>
    </row>
    <row r="1235" spans="1:18" x14ac:dyDescent="0.3">
      <c r="A1235" t="s">
        <v>2725</v>
      </c>
      <c r="B1235" t="s">
        <v>2728</v>
      </c>
      <c r="C1235" t="s">
        <v>2678</v>
      </c>
      <c r="D1235" t="s">
        <v>98</v>
      </c>
      <c r="E1235" t="s">
        <v>30</v>
      </c>
      <c r="F1235" s="6">
        <v>45291</v>
      </c>
      <c r="G1235">
        <v>2023</v>
      </c>
      <c r="H1235" t="s">
        <v>57</v>
      </c>
      <c r="I1235" t="s">
        <v>47</v>
      </c>
      <c r="J1235">
        <v>5</v>
      </c>
      <c r="K1235">
        <v>6.25</v>
      </c>
      <c r="L1235">
        <v>1.25</v>
      </c>
      <c r="M1235">
        <v>1.25</v>
      </c>
      <c r="N1235" t="s">
        <v>823</v>
      </c>
      <c r="O1235" t="s">
        <v>5773</v>
      </c>
      <c r="P1235" t="s">
        <v>2729</v>
      </c>
      <c r="Q1235">
        <v>2</v>
      </c>
      <c r="R1235">
        <v>2</v>
      </c>
    </row>
    <row r="1236" spans="1:18" x14ac:dyDescent="0.3">
      <c r="A1236" t="s">
        <v>2725</v>
      </c>
      <c r="B1236" t="s">
        <v>2726</v>
      </c>
      <c r="C1236" t="s">
        <v>2678</v>
      </c>
      <c r="D1236" t="s">
        <v>98</v>
      </c>
      <c r="E1236" t="s">
        <v>30</v>
      </c>
      <c r="F1236" s="6">
        <v>45657</v>
      </c>
      <c r="G1236">
        <v>2024</v>
      </c>
      <c r="H1236" t="s">
        <v>57</v>
      </c>
      <c r="I1236" t="s">
        <v>78</v>
      </c>
      <c r="J1236">
        <v>5</v>
      </c>
      <c r="K1236">
        <v>4.96</v>
      </c>
      <c r="L1236">
        <v>0.99199999999999999</v>
      </c>
      <c r="M1236">
        <v>0.99199999999999999</v>
      </c>
      <c r="N1236" t="s">
        <v>823</v>
      </c>
      <c r="O1236" t="s">
        <v>5970</v>
      </c>
      <c r="P1236" t="s">
        <v>2730</v>
      </c>
      <c r="Q1236">
        <v>2</v>
      </c>
      <c r="R1236">
        <v>2</v>
      </c>
    </row>
    <row r="1237" spans="1:18" x14ac:dyDescent="0.3">
      <c r="A1237" t="s">
        <v>2725</v>
      </c>
      <c r="B1237" t="s">
        <v>2726</v>
      </c>
      <c r="C1237" t="s">
        <v>2678</v>
      </c>
      <c r="D1237" t="s">
        <v>98</v>
      </c>
      <c r="E1237" t="s">
        <v>30</v>
      </c>
      <c r="F1237" s="6">
        <v>46022</v>
      </c>
      <c r="G1237">
        <v>2025</v>
      </c>
      <c r="H1237" t="s">
        <v>57</v>
      </c>
      <c r="I1237" t="s">
        <v>103</v>
      </c>
      <c r="J1237">
        <v>5</v>
      </c>
      <c r="K1237">
        <v>3.82</v>
      </c>
      <c r="L1237">
        <v>0.76400000000000001</v>
      </c>
      <c r="M1237">
        <v>0.76400000000000001</v>
      </c>
      <c r="N1237" t="s">
        <v>823</v>
      </c>
      <c r="O1237" t="s">
        <v>2732</v>
      </c>
      <c r="P1237" t="s">
        <v>2733</v>
      </c>
      <c r="Q1237">
        <v>2</v>
      </c>
      <c r="R1237">
        <v>2</v>
      </c>
    </row>
    <row r="1238" spans="1:18" x14ac:dyDescent="0.3">
      <c r="A1238" t="s">
        <v>2734</v>
      </c>
      <c r="B1238" t="s">
        <v>2735</v>
      </c>
      <c r="C1238" t="s">
        <v>2736</v>
      </c>
      <c r="D1238" t="s">
        <v>233</v>
      </c>
      <c r="E1238" t="s">
        <v>30</v>
      </c>
      <c r="F1238" s="6">
        <v>45291</v>
      </c>
      <c r="G1238">
        <v>2023</v>
      </c>
      <c r="H1238" t="s">
        <v>57</v>
      </c>
      <c r="I1238" t="s">
        <v>47</v>
      </c>
      <c r="J1238">
        <v>90</v>
      </c>
      <c r="K1238">
        <v>94.5</v>
      </c>
      <c r="L1238">
        <v>1.05</v>
      </c>
      <c r="M1238">
        <v>1.05</v>
      </c>
      <c r="N1238" t="s">
        <v>256</v>
      </c>
      <c r="O1238" t="s">
        <v>5379</v>
      </c>
      <c r="P1238" t="s">
        <v>2738</v>
      </c>
      <c r="Q1238">
        <v>2</v>
      </c>
      <c r="R1238">
        <v>2</v>
      </c>
    </row>
    <row r="1239" spans="1:18" x14ac:dyDescent="0.3">
      <c r="A1239" t="s">
        <v>2734</v>
      </c>
      <c r="B1239" t="s">
        <v>2735</v>
      </c>
      <c r="C1239" t="s">
        <v>2736</v>
      </c>
      <c r="D1239" t="s">
        <v>233</v>
      </c>
      <c r="E1239" t="s">
        <v>30</v>
      </c>
      <c r="F1239" s="6">
        <v>45473</v>
      </c>
      <c r="G1239">
        <v>2024</v>
      </c>
      <c r="H1239" t="s">
        <v>44</v>
      </c>
      <c r="I1239" t="s">
        <v>71</v>
      </c>
      <c r="J1239">
        <v>90</v>
      </c>
      <c r="K1239">
        <v>94.5</v>
      </c>
      <c r="L1239">
        <v>1.05</v>
      </c>
      <c r="M1239">
        <v>1.05</v>
      </c>
      <c r="N1239" t="s">
        <v>256</v>
      </c>
      <c r="O1239" t="s">
        <v>5379</v>
      </c>
      <c r="P1239" t="s">
        <v>2740</v>
      </c>
      <c r="Q1239">
        <v>2</v>
      </c>
      <c r="R1239">
        <v>2</v>
      </c>
    </row>
    <row r="1240" spans="1:18" x14ac:dyDescent="0.3">
      <c r="A1240" t="s">
        <v>2734</v>
      </c>
      <c r="B1240" t="s">
        <v>2735</v>
      </c>
      <c r="C1240" t="s">
        <v>2736</v>
      </c>
      <c r="D1240" t="s">
        <v>233</v>
      </c>
      <c r="E1240" t="s">
        <v>30</v>
      </c>
      <c r="F1240" s="6">
        <v>45657</v>
      </c>
      <c r="G1240">
        <v>2024</v>
      </c>
      <c r="H1240" t="s">
        <v>57</v>
      </c>
      <c r="I1240" t="s">
        <v>78</v>
      </c>
      <c r="J1240">
        <v>90</v>
      </c>
      <c r="K1240">
        <v>94</v>
      </c>
      <c r="L1240">
        <v>1.044444444444445</v>
      </c>
      <c r="M1240">
        <v>1.044444444444445</v>
      </c>
      <c r="N1240" t="s">
        <v>256</v>
      </c>
      <c r="O1240" t="s">
        <v>194</v>
      </c>
      <c r="P1240" t="s">
        <v>2742</v>
      </c>
      <c r="Q1240">
        <v>2</v>
      </c>
      <c r="R1240">
        <v>2</v>
      </c>
    </row>
    <row r="1241" spans="1:18" x14ac:dyDescent="0.3">
      <c r="A1241" t="s">
        <v>2734</v>
      </c>
      <c r="B1241" t="s">
        <v>2735</v>
      </c>
      <c r="C1241" t="s">
        <v>2736</v>
      </c>
      <c r="D1241" t="s">
        <v>233</v>
      </c>
      <c r="E1241" t="s">
        <v>30</v>
      </c>
      <c r="F1241" s="6">
        <v>45838</v>
      </c>
      <c r="G1241">
        <v>2025</v>
      </c>
      <c r="H1241" t="s">
        <v>44</v>
      </c>
      <c r="I1241" t="s">
        <v>244</v>
      </c>
      <c r="J1241">
        <v>93</v>
      </c>
      <c r="K1241">
        <v>95</v>
      </c>
      <c r="L1241">
        <v>1.021505376344086</v>
      </c>
      <c r="M1241">
        <v>1.021505376344086</v>
      </c>
      <c r="N1241" t="s">
        <v>971</v>
      </c>
      <c r="O1241" t="s">
        <v>838</v>
      </c>
      <c r="P1241" t="s">
        <v>2744</v>
      </c>
      <c r="Q1241">
        <v>2</v>
      </c>
      <c r="R1241">
        <v>2</v>
      </c>
    </row>
    <row r="1242" spans="1:18" x14ac:dyDescent="0.3">
      <c r="A1242" t="s">
        <v>2734</v>
      </c>
      <c r="B1242" t="s">
        <v>2735</v>
      </c>
      <c r="C1242" t="s">
        <v>2736</v>
      </c>
      <c r="D1242" t="s">
        <v>233</v>
      </c>
      <c r="E1242" t="s">
        <v>30</v>
      </c>
      <c r="F1242" s="6">
        <v>46022</v>
      </c>
      <c r="G1242">
        <v>2025</v>
      </c>
      <c r="H1242" t="s">
        <v>57</v>
      </c>
      <c r="I1242" t="s">
        <v>103</v>
      </c>
      <c r="J1242">
        <v>93</v>
      </c>
      <c r="K1242">
        <v>95</v>
      </c>
      <c r="L1242">
        <v>1.021505376344086</v>
      </c>
      <c r="M1242">
        <v>1.021505376344086</v>
      </c>
      <c r="N1242" t="s">
        <v>971</v>
      </c>
      <c r="O1242" t="s">
        <v>838</v>
      </c>
      <c r="P1242" t="s">
        <v>2745</v>
      </c>
      <c r="Q1242">
        <v>2</v>
      </c>
      <c r="R1242">
        <v>2</v>
      </c>
    </row>
    <row r="1243" spans="1:18" x14ac:dyDescent="0.3">
      <c r="A1243" t="s">
        <v>2746</v>
      </c>
      <c r="B1243" t="s">
        <v>2747</v>
      </c>
      <c r="C1243" t="s">
        <v>2678</v>
      </c>
      <c r="D1243" t="s">
        <v>222</v>
      </c>
      <c r="E1243" t="s">
        <v>30</v>
      </c>
      <c r="F1243" s="6">
        <v>45107</v>
      </c>
      <c r="G1243">
        <v>2023</v>
      </c>
      <c r="H1243" t="s">
        <v>44</v>
      </c>
      <c r="I1243" t="s">
        <v>33</v>
      </c>
      <c r="J1243">
        <v>0</v>
      </c>
      <c r="K1243">
        <v>78</v>
      </c>
      <c r="L1243">
        <v>0</v>
      </c>
      <c r="M1243">
        <v>0</v>
      </c>
      <c r="N1243" t="s">
        <v>122</v>
      </c>
      <c r="O1243" t="s">
        <v>5377</v>
      </c>
      <c r="P1243" t="s">
        <v>2748</v>
      </c>
      <c r="Q1243">
        <v>2</v>
      </c>
      <c r="R1243">
        <v>2</v>
      </c>
    </row>
    <row r="1244" spans="1:18" x14ac:dyDescent="0.3">
      <c r="A1244" t="s">
        <v>2746</v>
      </c>
      <c r="B1244" t="s">
        <v>2747</v>
      </c>
      <c r="C1244" t="s">
        <v>2678</v>
      </c>
      <c r="D1244" t="s">
        <v>222</v>
      </c>
      <c r="E1244" t="s">
        <v>30</v>
      </c>
      <c r="F1244" s="6">
        <v>45291</v>
      </c>
      <c r="G1244">
        <v>2023</v>
      </c>
      <c r="H1244" t="s">
        <v>57</v>
      </c>
      <c r="I1244" t="s">
        <v>47</v>
      </c>
      <c r="J1244">
        <v>0</v>
      </c>
      <c r="K1244">
        <v>96</v>
      </c>
      <c r="L1244">
        <v>0</v>
      </c>
      <c r="M1244">
        <v>0</v>
      </c>
      <c r="N1244" t="s">
        <v>122</v>
      </c>
      <c r="O1244" t="s">
        <v>668</v>
      </c>
      <c r="P1244" t="s">
        <v>2749</v>
      </c>
      <c r="Q1244">
        <v>2</v>
      </c>
      <c r="R1244">
        <v>2</v>
      </c>
    </row>
    <row r="1245" spans="1:18" x14ac:dyDescent="0.3">
      <c r="A1245" t="s">
        <v>2746</v>
      </c>
      <c r="B1245" t="s">
        <v>2747</v>
      </c>
      <c r="C1245" t="s">
        <v>2678</v>
      </c>
      <c r="D1245" t="s">
        <v>222</v>
      </c>
      <c r="E1245" t="s">
        <v>30</v>
      </c>
      <c r="F1245" s="6">
        <v>45473</v>
      </c>
      <c r="G1245">
        <v>2024</v>
      </c>
      <c r="H1245" t="s">
        <v>44</v>
      </c>
      <c r="I1245" t="s">
        <v>71</v>
      </c>
      <c r="J1245">
        <v>80</v>
      </c>
      <c r="K1245">
        <v>61</v>
      </c>
      <c r="L1245">
        <v>0.76249999999999996</v>
      </c>
      <c r="M1245">
        <v>0.76249999999999996</v>
      </c>
      <c r="N1245" t="s">
        <v>193</v>
      </c>
      <c r="O1245" t="s">
        <v>5971</v>
      </c>
      <c r="P1245" t="s">
        <v>2750</v>
      </c>
      <c r="Q1245">
        <v>2</v>
      </c>
      <c r="R1245">
        <v>2</v>
      </c>
    </row>
    <row r="1246" spans="1:18" x14ac:dyDescent="0.3">
      <c r="A1246" t="s">
        <v>2746</v>
      </c>
      <c r="B1246" t="s">
        <v>2747</v>
      </c>
      <c r="C1246" t="s">
        <v>2678</v>
      </c>
      <c r="D1246" t="s">
        <v>222</v>
      </c>
      <c r="E1246" t="s">
        <v>30</v>
      </c>
      <c r="F1246" s="6">
        <v>45657</v>
      </c>
      <c r="G1246">
        <v>2024</v>
      </c>
      <c r="H1246" t="s">
        <v>57</v>
      </c>
      <c r="I1246" t="s">
        <v>78</v>
      </c>
      <c r="J1246">
        <v>100</v>
      </c>
      <c r="K1246">
        <v>71.3</v>
      </c>
      <c r="L1246">
        <v>0.71299999999999997</v>
      </c>
      <c r="M1246">
        <v>0.71299999999999997</v>
      </c>
      <c r="N1246" t="s">
        <v>102</v>
      </c>
      <c r="O1246" t="s">
        <v>5972</v>
      </c>
      <c r="P1246" t="s">
        <v>2751</v>
      </c>
      <c r="Q1246">
        <v>2</v>
      </c>
      <c r="R1246">
        <v>2</v>
      </c>
    </row>
    <row r="1247" spans="1:18" x14ac:dyDescent="0.3">
      <c r="A1247" t="s">
        <v>2746</v>
      </c>
      <c r="B1247" t="s">
        <v>2747</v>
      </c>
      <c r="C1247" t="s">
        <v>2678</v>
      </c>
      <c r="D1247" t="s">
        <v>222</v>
      </c>
      <c r="E1247" t="s">
        <v>30</v>
      </c>
      <c r="F1247" s="6">
        <v>45838</v>
      </c>
      <c r="G1247">
        <v>2025</v>
      </c>
      <c r="H1247" t="s">
        <v>44</v>
      </c>
      <c r="I1247" t="s">
        <v>244</v>
      </c>
      <c r="J1247">
        <v>100</v>
      </c>
      <c r="K1247">
        <v>88.89</v>
      </c>
      <c r="L1247">
        <v>0.88890000000000002</v>
      </c>
      <c r="M1247">
        <v>0.88890000000000002</v>
      </c>
      <c r="N1247" t="s">
        <v>102</v>
      </c>
      <c r="O1247" t="s">
        <v>440</v>
      </c>
      <c r="P1247" t="s">
        <v>2752</v>
      </c>
      <c r="Q1247">
        <v>2</v>
      </c>
      <c r="R1247">
        <v>2</v>
      </c>
    </row>
    <row r="1248" spans="1:18" x14ac:dyDescent="0.3">
      <c r="A1248" t="s">
        <v>2746</v>
      </c>
      <c r="B1248" t="s">
        <v>2747</v>
      </c>
      <c r="C1248" t="s">
        <v>2678</v>
      </c>
      <c r="D1248" t="s">
        <v>222</v>
      </c>
      <c r="E1248" t="s">
        <v>30</v>
      </c>
      <c r="F1248" s="6">
        <v>46022</v>
      </c>
      <c r="G1248">
        <v>2025</v>
      </c>
      <c r="H1248" t="s">
        <v>57</v>
      </c>
      <c r="I1248" t="s">
        <v>103</v>
      </c>
      <c r="J1248">
        <v>100</v>
      </c>
      <c r="K1248">
        <v>108.26</v>
      </c>
      <c r="L1248">
        <v>1.0826</v>
      </c>
      <c r="M1248">
        <v>1.0826</v>
      </c>
      <c r="N1248" t="s">
        <v>102</v>
      </c>
      <c r="O1248" t="s">
        <v>2754</v>
      </c>
      <c r="P1248" t="s">
        <v>2755</v>
      </c>
      <c r="Q1248">
        <v>2</v>
      </c>
      <c r="R1248">
        <v>2</v>
      </c>
    </row>
    <row r="1249" spans="1:18" x14ac:dyDescent="0.3">
      <c r="A1249" t="s">
        <v>2756</v>
      </c>
      <c r="B1249" t="s">
        <v>2757</v>
      </c>
      <c r="C1249" t="s">
        <v>2678</v>
      </c>
      <c r="D1249" t="s">
        <v>222</v>
      </c>
      <c r="E1249" t="s">
        <v>30</v>
      </c>
      <c r="F1249" s="6">
        <v>45107</v>
      </c>
      <c r="G1249">
        <v>2023</v>
      </c>
      <c r="H1249" t="s">
        <v>44</v>
      </c>
      <c r="I1249" t="s">
        <v>33</v>
      </c>
      <c r="J1249">
        <v>0</v>
      </c>
      <c r="K1249">
        <v>0</v>
      </c>
      <c r="L1249">
        <v>0</v>
      </c>
      <c r="M1249">
        <v>0</v>
      </c>
      <c r="N1249" t="s">
        <v>122</v>
      </c>
      <c r="O1249" t="s">
        <v>122</v>
      </c>
      <c r="P1249" t="s">
        <v>2758</v>
      </c>
      <c r="Q1249">
        <v>2</v>
      </c>
      <c r="R1249">
        <v>2</v>
      </c>
    </row>
    <row r="1250" spans="1:18" x14ac:dyDescent="0.3">
      <c r="A1250" t="s">
        <v>2756</v>
      </c>
      <c r="B1250" t="s">
        <v>2757</v>
      </c>
      <c r="C1250" t="s">
        <v>2678</v>
      </c>
      <c r="D1250" t="s">
        <v>222</v>
      </c>
      <c r="E1250" t="s">
        <v>30</v>
      </c>
      <c r="F1250" s="6">
        <v>45291</v>
      </c>
      <c r="G1250">
        <v>2023</v>
      </c>
      <c r="H1250" t="s">
        <v>57</v>
      </c>
      <c r="I1250" t="s">
        <v>47</v>
      </c>
      <c r="J1250">
        <v>0</v>
      </c>
      <c r="L1250">
        <v>0</v>
      </c>
      <c r="M1250">
        <v>0</v>
      </c>
      <c r="N1250" t="s">
        <v>122</v>
      </c>
      <c r="P1250" t="s">
        <v>2759</v>
      </c>
      <c r="Q1250">
        <v>2</v>
      </c>
      <c r="R1250">
        <v>2</v>
      </c>
    </row>
    <row r="1251" spans="1:18" x14ac:dyDescent="0.3">
      <c r="A1251" t="s">
        <v>2760</v>
      </c>
      <c r="B1251" t="s">
        <v>2761</v>
      </c>
      <c r="C1251" t="s">
        <v>2678</v>
      </c>
      <c r="D1251" t="s">
        <v>222</v>
      </c>
      <c r="E1251" t="s">
        <v>30</v>
      </c>
      <c r="F1251" s="6">
        <v>45107</v>
      </c>
      <c r="G1251">
        <v>2023</v>
      </c>
      <c r="H1251" t="s">
        <v>44</v>
      </c>
      <c r="I1251" t="s">
        <v>33</v>
      </c>
      <c r="J1251">
        <v>2750000000</v>
      </c>
      <c r="K1251">
        <v>4331325417</v>
      </c>
      <c r="L1251">
        <v>1.3</v>
      </c>
      <c r="M1251">
        <v>1.575027424363636</v>
      </c>
      <c r="N1251" t="s">
        <v>5973</v>
      </c>
      <c r="O1251" t="s">
        <v>5974</v>
      </c>
      <c r="P1251" t="s">
        <v>2762</v>
      </c>
      <c r="Q1251">
        <v>2</v>
      </c>
      <c r="R1251">
        <v>2</v>
      </c>
    </row>
    <row r="1252" spans="1:18" x14ac:dyDescent="0.3">
      <c r="A1252" t="s">
        <v>2760</v>
      </c>
      <c r="B1252" t="s">
        <v>2761</v>
      </c>
      <c r="C1252" t="s">
        <v>2678</v>
      </c>
      <c r="D1252" t="s">
        <v>222</v>
      </c>
      <c r="E1252" t="s">
        <v>30</v>
      </c>
      <c r="F1252" s="6">
        <v>45291</v>
      </c>
      <c r="G1252">
        <v>2023</v>
      </c>
      <c r="H1252" t="s">
        <v>57</v>
      </c>
      <c r="I1252" t="s">
        <v>47</v>
      </c>
      <c r="J1252">
        <v>2750000000</v>
      </c>
      <c r="K1252">
        <v>5187526725</v>
      </c>
      <c r="L1252">
        <v>1.3</v>
      </c>
      <c r="M1252">
        <v>1.8863733545454551</v>
      </c>
      <c r="N1252" t="s">
        <v>5973</v>
      </c>
      <c r="O1252" t="s">
        <v>5975</v>
      </c>
      <c r="P1252" t="s">
        <v>2763</v>
      </c>
      <c r="Q1252">
        <v>2</v>
      </c>
      <c r="R1252">
        <v>2</v>
      </c>
    </row>
    <row r="1253" spans="1:18" x14ac:dyDescent="0.3">
      <c r="A1253" t="s">
        <v>2760</v>
      </c>
      <c r="B1253" t="s">
        <v>2761</v>
      </c>
      <c r="C1253" t="s">
        <v>2678</v>
      </c>
      <c r="D1253" t="s">
        <v>222</v>
      </c>
      <c r="E1253" t="s">
        <v>30</v>
      </c>
      <c r="F1253" s="6">
        <v>45473</v>
      </c>
      <c r="G1253">
        <v>2024</v>
      </c>
      <c r="H1253" t="s">
        <v>44</v>
      </c>
      <c r="I1253" t="s">
        <v>71</v>
      </c>
      <c r="J1253">
        <v>620023081</v>
      </c>
      <c r="K1253">
        <v>928306953</v>
      </c>
      <c r="L1253">
        <v>1.3</v>
      </c>
      <c r="M1253">
        <v>1.4972135416358801</v>
      </c>
      <c r="N1253" t="s">
        <v>5976</v>
      </c>
      <c r="O1253" t="s">
        <v>5977</v>
      </c>
      <c r="P1253" t="s">
        <v>2764</v>
      </c>
      <c r="Q1253">
        <v>2</v>
      </c>
      <c r="R1253">
        <v>2</v>
      </c>
    </row>
    <row r="1254" spans="1:18" x14ac:dyDescent="0.3">
      <c r="A1254" t="s">
        <v>2760</v>
      </c>
      <c r="B1254" t="s">
        <v>2761</v>
      </c>
      <c r="C1254" t="s">
        <v>2678</v>
      </c>
      <c r="D1254" t="s">
        <v>222</v>
      </c>
      <c r="E1254" t="s">
        <v>30</v>
      </c>
      <c r="F1254" s="6">
        <v>45657</v>
      </c>
      <c r="G1254">
        <v>2024</v>
      </c>
      <c r="H1254" t="s">
        <v>57</v>
      </c>
      <c r="I1254" t="s">
        <v>78</v>
      </c>
      <c r="J1254">
        <v>974321985.06500006</v>
      </c>
      <c r="K1254">
        <v>2045128020</v>
      </c>
      <c r="L1254">
        <v>1.3</v>
      </c>
      <c r="M1254">
        <v>2.099026863140693</v>
      </c>
      <c r="N1254" t="s">
        <v>5978</v>
      </c>
      <c r="O1254" t="s">
        <v>5979</v>
      </c>
      <c r="P1254" t="s">
        <v>2765</v>
      </c>
      <c r="Q1254">
        <v>2</v>
      </c>
      <c r="R1254">
        <v>2</v>
      </c>
    </row>
    <row r="1255" spans="1:18" x14ac:dyDescent="0.3">
      <c r="A1255" t="s">
        <v>2760</v>
      </c>
      <c r="B1255" t="s">
        <v>2761</v>
      </c>
      <c r="C1255" t="s">
        <v>2678</v>
      </c>
      <c r="D1255" t="s">
        <v>222</v>
      </c>
      <c r="E1255" t="s">
        <v>30</v>
      </c>
      <c r="F1255" s="6">
        <v>45838</v>
      </c>
      <c r="G1255">
        <v>2025</v>
      </c>
      <c r="H1255" t="s">
        <v>44</v>
      </c>
      <c r="I1255" t="s">
        <v>244</v>
      </c>
      <c r="J1255">
        <v>100</v>
      </c>
      <c r="K1255">
        <v>73.69</v>
      </c>
      <c r="L1255">
        <v>0.7369</v>
      </c>
      <c r="M1255">
        <v>0.7369</v>
      </c>
      <c r="N1255" t="s">
        <v>102</v>
      </c>
      <c r="O1255" t="s">
        <v>2767</v>
      </c>
      <c r="P1255" t="s">
        <v>2768</v>
      </c>
      <c r="Q1255">
        <v>2</v>
      </c>
      <c r="R1255">
        <v>2</v>
      </c>
    </row>
    <row r="1256" spans="1:18" x14ac:dyDescent="0.3">
      <c r="A1256" t="s">
        <v>2760</v>
      </c>
      <c r="B1256" t="s">
        <v>2761</v>
      </c>
      <c r="C1256" t="s">
        <v>2678</v>
      </c>
      <c r="D1256" t="s">
        <v>222</v>
      </c>
      <c r="E1256" t="s">
        <v>30</v>
      </c>
      <c r="F1256" s="6">
        <v>46022</v>
      </c>
      <c r="G1256">
        <v>2025</v>
      </c>
      <c r="H1256" t="s">
        <v>57</v>
      </c>
      <c r="I1256" t="s">
        <v>103</v>
      </c>
      <c r="J1256">
        <v>100</v>
      </c>
      <c r="K1256">
        <v>83.42</v>
      </c>
      <c r="L1256">
        <v>0.83420000000000005</v>
      </c>
      <c r="M1256">
        <v>0.83420000000000005</v>
      </c>
      <c r="N1256" t="s">
        <v>102</v>
      </c>
      <c r="O1256" t="s">
        <v>2770</v>
      </c>
      <c r="P1256" t="s">
        <v>2771</v>
      </c>
      <c r="Q1256">
        <v>2</v>
      </c>
      <c r="R1256">
        <v>2</v>
      </c>
    </row>
    <row r="1257" spans="1:18" x14ac:dyDescent="0.3">
      <c r="A1257" t="s">
        <v>2772</v>
      </c>
      <c r="B1257" t="s">
        <v>2773</v>
      </c>
      <c r="C1257" t="s">
        <v>2736</v>
      </c>
      <c r="D1257" t="s">
        <v>233</v>
      </c>
      <c r="E1257" t="s">
        <v>30</v>
      </c>
      <c r="F1257" s="6">
        <v>45291</v>
      </c>
      <c r="G1257">
        <v>2023</v>
      </c>
      <c r="H1257" t="s">
        <v>57</v>
      </c>
      <c r="I1257" t="s">
        <v>47</v>
      </c>
      <c r="J1257">
        <v>87</v>
      </c>
      <c r="K1257">
        <v>95.5</v>
      </c>
      <c r="L1257">
        <v>1.0977011494252871</v>
      </c>
      <c r="M1257">
        <v>1.0977011494252871</v>
      </c>
      <c r="N1257" t="s">
        <v>1045</v>
      </c>
      <c r="O1257" t="s">
        <v>4640</v>
      </c>
      <c r="P1257" t="s">
        <v>2775</v>
      </c>
      <c r="Q1257">
        <v>2</v>
      </c>
      <c r="R1257">
        <v>2</v>
      </c>
    </row>
    <row r="1258" spans="1:18" x14ac:dyDescent="0.3">
      <c r="A1258" t="s">
        <v>2772</v>
      </c>
      <c r="B1258" t="s">
        <v>2773</v>
      </c>
      <c r="C1258" t="s">
        <v>2736</v>
      </c>
      <c r="D1258" t="s">
        <v>233</v>
      </c>
      <c r="E1258" t="s">
        <v>30</v>
      </c>
      <c r="F1258" s="6">
        <v>45473</v>
      </c>
      <c r="G1258">
        <v>2024</v>
      </c>
      <c r="H1258" t="s">
        <v>44</v>
      </c>
      <c r="I1258" t="s">
        <v>71</v>
      </c>
      <c r="J1258">
        <v>87</v>
      </c>
      <c r="K1258">
        <v>91.5</v>
      </c>
      <c r="L1258">
        <v>1.051724137931034</v>
      </c>
      <c r="M1258">
        <v>1.051724137931034</v>
      </c>
      <c r="N1258" t="s">
        <v>1045</v>
      </c>
      <c r="O1258" t="s">
        <v>5980</v>
      </c>
      <c r="P1258" t="s">
        <v>2777</v>
      </c>
      <c r="Q1258">
        <v>2</v>
      </c>
      <c r="R1258">
        <v>2</v>
      </c>
    </row>
    <row r="1259" spans="1:18" x14ac:dyDescent="0.3">
      <c r="A1259" t="s">
        <v>2772</v>
      </c>
      <c r="B1259" t="s">
        <v>2773</v>
      </c>
      <c r="C1259" t="s">
        <v>2736</v>
      </c>
      <c r="D1259" t="s">
        <v>233</v>
      </c>
      <c r="E1259" t="s">
        <v>30</v>
      </c>
      <c r="F1259" s="6">
        <v>45657</v>
      </c>
      <c r="G1259">
        <v>2024</v>
      </c>
      <c r="H1259" t="s">
        <v>57</v>
      </c>
      <c r="I1259" t="s">
        <v>78</v>
      </c>
      <c r="J1259">
        <v>87</v>
      </c>
      <c r="K1259">
        <v>92</v>
      </c>
      <c r="L1259">
        <v>1.0574712643678159</v>
      </c>
      <c r="M1259">
        <v>1.0574712643678159</v>
      </c>
      <c r="N1259" t="s">
        <v>1045</v>
      </c>
      <c r="O1259" t="s">
        <v>4634</v>
      </c>
      <c r="P1259" t="s">
        <v>2779</v>
      </c>
      <c r="Q1259">
        <v>2</v>
      </c>
      <c r="R1259">
        <v>2</v>
      </c>
    </row>
    <row r="1260" spans="1:18" x14ac:dyDescent="0.3">
      <c r="A1260" t="s">
        <v>2772</v>
      </c>
      <c r="B1260" t="s">
        <v>2773</v>
      </c>
      <c r="C1260" t="s">
        <v>2736</v>
      </c>
      <c r="D1260" t="s">
        <v>233</v>
      </c>
      <c r="E1260" t="s">
        <v>30</v>
      </c>
      <c r="F1260" s="6">
        <v>45838</v>
      </c>
      <c r="G1260">
        <v>2025</v>
      </c>
      <c r="H1260" t="s">
        <v>44</v>
      </c>
      <c r="I1260" t="s">
        <v>244</v>
      </c>
      <c r="J1260">
        <v>90</v>
      </c>
      <c r="K1260">
        <v>94</v>
      </c>
      <c r="L1260">
        <v>1.044444444444445</v>
      </c>
      <c r="M1260">
        <v>1.044444444444445</v>
      </c>
      <c r="N1260" t="s">
        <v>256</v>
      </c>
      <c r="O1260" t="s">
        <v>194</v>
      </c>
      <c r="P1260" t="s">
        <v>2781</v>
      </c>
      <c r="Q1260">
        <v>2</v>
      </c>
      <c r="R1260">
        <v>2</v>
      </c>
    </row>
    <row r="1261" spans="1:18" x14ac:dyDescent="0.3">
      <c r="A1261" t="s">
        <v>2772</v>
      </c>
      <c r="B1261" t="s">
        <v>2773</v>
      </c>
      <c r="C1261" t="s">
        <v>2736</v>
      </c>
      <c r="D1261" t="s">
        <v>233</v>
      </c>
      <c r="E1261" t="s">
        <v>30</v>
      </c>
      <c r="F1261" s="6">
        <v>46022</v>
      </c>
      <c r="G1261">
        <v>2025</v>
      </c>
      <c r="H1261" t="s">
        <v>57</v>
      </c>
      <c r="I1261" t="s">
        <v>103</v>
      </c>
      <c r="J1261">
        <v>90</v>
      </c>
      <c r="K1261">
        <v>97</v>
      </c>
      <c r="L1261">
        <v>1.0777777777777779</v>
      </c>
      <c r="M1261">
        <v>1.0777777777777779</v>
      </c>
      <c r="N1261" t="s">
        <v>256</v>
      </c>
      <c r="O1261" t="s">
        <v>1005</v>
      </c>
      <c r="P1261" t="s">
        <v>2783</v>
      </c>
      <c r="Q1261">
        <v>2</v>
      </c>
      <c r="R1261">
        <v>2</v>
      </c>
    </row>
    <row r="1262" spans="1:18" x14ac:dyDescent="0.3">
      <c r="A1262" t="s">
        <v>2784</v>
      </c>
      <c r="B1262" t="s">
        <v>2785</v>
      </c>
      <c r="C1262" t="s">
        <v>129</v>
      </c>
      <c r="D1262" t="s">
        <v>233</v>
      </c>
      <c r="E1262" t="s">
        <v>30</v>
      </c>
      <c r="F1262" s="6">
        <v>45107</v>
      </c>
      <c r="G1262">
        <v>2023</v>
      </c>
      <c r="H1262" t="s">
        <v>44</v>
      </c>
      <c r="I1262" t="s">
        <v>33</v>
      </c>
      <c r="J1262">
        <v>100</v>
      </c>
      <c r="K1262">
        <v>107.17</v>
      </c>
      <c r="L1262">
        <v>1.0717000000000001</v>
      </c>
      <c r="M1262">
        <v>1.0717000000000001</v>
      </c>
      <c r="N1262" t="s">
        <v>102</v>
      </c>
      <c r="O1262" t="s">
        <v>5981</v>
      </c>
      <c r="P1262" t="s">
        <v>2786</v>
      </c>
      <c r="Q1262">
        <v>2</v>
      </c>
      <c r="R1262">
        <v>2</v>
      </c>
    </row>
    <row r="1263" spans="1:18" x14ac:dyDescent="0.3">
      <c r="A1263" t="s">
        <v>2784</v>
      </c>
      <c r="B1263" t="s">
        <v>2785</v>
      </c>
      <c r="C1263" t="s">
        <v>129</v>
      </c>
      <c r="D1263" t="s">
        <v>233</v>
      </c>
      <c r="E1263" t="s">
        <v>30</v>
      </c>
      <c r="F1263" s="6">
        <v>45291</v>
      </c>
      <c r="G1263">
        <v>2023</v>
      </c>
      <c r="H1263" t="s">
        <v>57</v>
      </c>
      <c r="I1263" t="s">
        <v>47</v>
      </c>
      <c r="J1263">
        <v>100</v>
      </c>
      <c r="K1263">
        <v>94.34</v>
      </c>
      <c r="L1263">
        <v>0.94340000000000002</v>
      </c>
      <c r="M1263">
        <v>0.94340000000000002</v>
      </c>
      <c r="N1263" t="s">
        <v>102</v>
      </c>
      <c r="O1263" t="s">
        <v>5982</v>
      </c>
      <c r="P1263" t="s">
        <v>2788</v>
      </c>
      <c r="Q1263">
        <v>2</v>
      </c>
      <c r="R1263">
        <v>2</v>
      </c>
    </row>
    <row r="1264" spans="1:18" x14ac:dyDescent="0.3">
      <c r="A1264" t="s">
        <v>2784</v>
      </c>
      <c r="B1264" t="s">
        <v>2785</v>
      </c>
      <c r="C1264" t="s">
        <v>129</v>
      </c>
      <c r="D1264" t="s">
        <v>233</v>
      </c>
      <c r="E1264" t="s">
        <v>30</v>
      </c>
      <c r="F1264" s="6">
        <v>45473</v>
      </c>
      <c r="G1264">
        <v>2024</v>
      </c>
      <c r="H1264" t="s">
        <v>44</v>
      </c>
      <c r="I1264" t="s">
        <v>71</v>
      </c>
      <c r="J1264">
        <v>100</v>
      </c>
      <c r="K1264">
        <v>97.91</v>
      </c>
      <c r="L1264">
        <v>0.97909999999999997</v>
      </c>
      <c r="M1264">
        <v>0.97909999999999997</v>
      </c>
      <c r="N1264" t="s">
        <v>102</v>
      </c>
      <c r="O1264" t="s">
        <v>5983</v>
      </c>
      <c r="P1264" t="s">
        <v>2790</v>
      </c>
      <c r="Q1264">
        <v>2</v>
      </c>
      <c r="R1264">
        <v>2</v>
      </c>
    </row>
    <row r="1265" spans="1:18" x14ac:dyDescent="0.3">
      <c r="A1265" t="s">
        <v>2784</v>
      </c>
      <c r="B1265" t="s">
        <v>2785</v>
      </c>
      <c r="C1265" t="s">
        <v>129</v>
      </c>
      <c r="D1265" t="s">
        <v>233</v>
      </c>
      <c r="E1265" t="s">
        <v>30</v>
      </c>
      <c r="F1265" s="6">
        <v>45657</v>
      </c>
      <c r="G1265">
        <v>2024</v>
      </c>
      <c r="H1265" t="s">
        <v>57</v>
      </c>
      <c r="I1265" t="s">
        <v>78</v>
      </c>
      <c r="J1265">
        <v>100</v>
      </c>
      <c r="K1265">
        <v>49.805</v>
      </c>
      <c r="L1265">
        <v>0.49804999999999999</v>
      </c>
      <c r="M1265">
        <v>0.49804999999999999</v>
      </c>
      <c r="N1265" t="s">
        <v>102</v>
      </c>
      <c r="O1265" t="s">
        <v>5984</v>
      </c>
      <c r="P1265" t="s">
        <v>2792</v>
      </c>
      <c r="Q1265">
        <v>2</v>
      </c>
      <c r="R1265">
        <v>2</v>
      </c>
    </row>
    <row r="1266" spans="1:18" x14ac:dyDescent="0.3">
      <c r="A1266" t="s">
        <v>2784</v>
      </c>
      <c r="B1266" t="s">
        <v>2785</v>
      </c>
      <c r="C1266" t="s">
        <v>129</v>
      </c>
      <c r="D1266" t="s">
        <v>233</v>
      </c>
      <c r="E1266" t="s">
        <v>30</v>
      </c>
      <c r="F1266" s="6">
        <v>45838</v>
      </c>
      <c r="G1266">
        <v>2025</v>
      </c>
      <c r="H1266" t="s">
        <v>44</v>
      </c>
      <c r="I1266" t="s">
        <v>244</v>
      </c>
      <c r="J1266">
        <v>100</v>
      </c>
      <c r="K1266">
        <v>104.605</v>
      </c>
      <c r="L1266">
        <v>1.0460499999999999</v>
      </c>
      <c r="M1266">
        <v>1.0460499999999999</v>
      </c>
      <c r="N1266" t="s">
        <v>102</v>
      </c>
      <c r="O1266" t="s">
        <v>5985</v>
      </c>
      <c r="P1266" t="s">
        <v>2798</v>
      </c>
      <c r="Q1266">
        <v>2</v>
      </c>
      <c r="R1266">
        <v>2</v>
      </c>
    </row>
    <row r="1267" spans="1:18" x14ac:dyDescent="0.3">
      <c r="A1267" t="s">
        <v>2784</v>
      </c>
      <c r="B1267" t="s">
        <v>2785</v>
      </c>
      <c r="C1267" t="s">
        <v>129</v>
      </c>
      <c r="D1267" t="s">
        <v>233</v>
      </c>
      <c r="E1267" t="s">
        <v>30</v>
      </c>
      <c r="F1267" s="6">
        <v>46022</v>
      </c>
      <c r="G1267">
        <v>2025</v>
      </c>
      <c r="H1267" t="s">
        <v>57</v>
      </c>
      <c r="I1267" t="s">
        <v>103</v>
      </c>
      <c r="J1267">
        <v>100</v>
      </c>
      <c r="L1267">
        <v>0</v>
      </c>
      <c r="M1267">
        <v>0</v>
      </c>
      <c r="N1267" t="s">
        <v>102</v>
      </c>
      <c r="P1267" t="s">
        <v>2799</v>
      </c>
      <c r="Q1267">
        <v>2</v>
      </c>
      <c r="R1267">
        <v>2</v>
      </c>
    </row>
    <row r="1268" spans="1:18" x14ac:dyDescent="0.3">
      <c r="A1268" t="s">
        <v>2800</v>
      </c>
      <c r="B1268" t="s">
        <v>2801</v>
      </c>
      <c r="C1268" t="s">
        <v>2688</v>
      </c>
      <c r="D1268" t="s">
        <v>222</v>
      </c>
      <c r="E1268" t="s">
        <v>30</v>
      </c>
      <c r="F1268" s="6">
        <v>45291</v>
      </c>
      <c r="G1268">
        <v>2023</v>
      </c>
      <c r="H1268" t="s">
        <v>57</v>
      </c>
      <c r="I1268" t="s">
        <v>47</v>
      </c>
      <c r="J1268">
        <v>100</v>
      </c>
      <c r="K1268">
        <v>100</v>
      </c>
      <c r="L1268">
        <v>1</v>
      </c>
      <c r="M1268">
        <v>1</v>
      </c>
      <c r="N1268" t="s">
        <v>102</v>
      </c>
      <c r="O1268" t="s">
        <v>102</v>
      </c>
      <c r="P1268" t="s">
        <v>2802</v>
      </c>
      <c r="Q1268">
        <v>2</v>
      </c>
      <c r="R1268">
        <v>2</v>
      </c>
    </row>
    <row r="1269" spans="1:18" x14ac:dyDescent="0.3">
      <c r="A1269" t="s">
        <v>2803</v>
      </c>
      <c r="B1269" t="s">
        <v>2804</v>
      </c>
      <c r="C1269" t="s">
        <v>2688</v>
      </c>
      <c r="D1269" t="s">
        <v>222</v>
      </c>
      <c r="E1269" t="s">
        <v>30</v>
      </c>
      <c r="F1269" s="6">
        <v>45291</v>
      </c>
      <c r="G1269">
        <v>2023</v>
      </c>
      <c r="H1269" t="s">
        <v>57</v>
      </c>
      <c r="I1269" t="s">
        <v>47</v>
      </c>
      <c r="J1269">
        <v>100</v>
      </c>
      <c r="K1269">
        <v>100</v>
      </c>
      <c r="L1269">
        <v>1</v>
      </c>
      <c r="M1269">
        <v>1</v>
      </c>
      <c r="N1269" t="s">
        <v>102</v>
      </c>
      <c r="O1269" t="s">
        <v>102</v>
      </c>
      <c r="P1269" t="s">
        <v>2805</v>
      </c>
      <c r="Q1269">
        <v>2</v>
      </c>
      <c r="R1269">
        <v>2</v>
      </c>
    </row>
    <row r="1270" spans="1:18" x14ac:dyDescent="0.3">
      <c r="A1270" t="s">
        <v>2803</v>
      </c>
      <c r="B1270" t="s">
        <v>2804</v>
      </c>
      <c r="C1270" t="s">
        <v>2688</v>
      </c>
      <c r="D1270" t="s">
        <v>222</v>
      </c>
      <c r="E1270" t="s">
        <v>30</v>
      </c>
      <c r="F1270" s="6">
        <v>45473</v>
      </c>
      <c r="G1270">
        <v>2024</v>
      </c>
      <c r="H1270" t="s">
        <v>44</v>
      </c>
      <c r="I1270" t="s">
        <v>71</v>
      </c>
      <c r="J1270">
        <v>100</v>
      </c>
      <c r="K1270">
        <v>100</v>
      </c>
      <c r="L1270">
        <v>1</v>
      </c>
      <c r="M1270">
        <v>1</v>
      </c>
      <c r="N1270" t="s">
        <v>102</v>
      </c>
      <c r="O1270" t="s">
        <v>102</v>
      </c>
      <c r="P1270" t="s">
        <v>2806</v>
      </c>
      <c r="Q1270">
        <v>2</v>
      </c>
      <c r="R1270">
        <v>2</v>
      </c>
    </row>
    <row r="1271" spans="1:18" x14ac:dyDescent="0.3">
      <c r="A1271" t="s">
        <v>2803</v>
      </c>
      <c r="B1271" t="s">
        <v>2804</v>
      </c>
      <c r="C1271" t="s">
        <v>2688</v>
      </c>
      <c r="D1271" t="s">
        <v>222</v>
      </c>
      <c r="E1271" t="s">
        <v>30</v>
      </c>
      <c r="F1271" s="6">
        <v>45657</v>
      </c>
      <c r="G1271">
        <v>2024</v>
      </c>
      <c r="H1271" t="s">
        <v>57</v>
      </c>
      <c r="I1271" t="s">
        <v>78</v>
      </c>
      <c r="J1271">
        <v>100</v>
      </c>
      <c r="K1271">
        <v>100</v>
      </c>
      <c r="L1271">
        <v>1</v>
      </c>
      <c r="M1271">
        <v>1</v>
      </c>
      <c r="N1271" t="s">
        <v>102</v>
      </c>
      <c r="O1271" t="s">
        <v>102</v>
      </c>
      <c r="P1271" t="s">
        <v>2807</v>
      </c>
      <c r="Q1271">
        <v>2</v>
      </c>
      <c r="R1271">
        <v>2</v>
      </c>
    </row>
    <row r="1272" spans="1:18" x14ac:dyDescent="0.3">
      <c r="A1272" t="s">
        <v>2803</v>
      </c>
      <c r="B1272" t="s">
        <v>2804</v>
      </c>
      <c r="C1272" t="s">
        <v>2688</v>
      </c>
      <c r="D1272" t="s">
        <v>222</v>
      </c>
      <c r="E1272" t="s">
        <v>30</v>
      </c>
      <c r="F1272" s="6">
        <v>45838</v>
      </c>
      <c r="G1272">
        <v>2025</v>
      </c>
      <c r="H1272" t="s">
        <v>44</v>
      </c>
      <c r="I1272" t="s">
        <v>244</v>
      </c>
      <c r="J1272">
        <v>100</v>
      </c>
      <c r="K1272">
        <v>100</v>
      </c>
      <c r="L1272">
        <v>1</v>
      </c>
      <c r="M1272">
        <v>1</v>
      </c>
      <c r="N1272" t="s">
        <v>102</v>
      </c>
      <c r="O1272" t="s">
        <v>102</v>
      </c>
      <c r="P1272" t="s">
        <v>2808</v>
      </c>
      <c r="Q1272">
        <v>2</v>
      </c>
      <c r="R1272">
        <v>2</v>
      </c>
    </row>
    <row r="1273" spans="1:18" x14ac:dyDescent="0.3">
      <c r="A1273" t="s">
        <v>2803</v>
      </c>
      <c r="B1273" t="s">
        <v>2804</v>
      </c>
      <c r="C1273" t="s">
        <v>2688</v>
      </c>
      <c r="D1273" t="s">
        <v>222</v>
      </c>
      <c r="E1273" t="s">
        <v>30</v>
      </c>
      <c r="F1273" s="6">
        <v>46022</v>
      </c>
      <c r="G1273">
        <v>2025</v>
      </c>
      <c r="H1273" t="s">
        <v>57</v>
      </c>
      <c r="I1273" t="s">
        <v>103</v>
      </c>
      <c r="J1273">
        <v>100</v>
      </c>
      <c r="K1273">
        <v>100</v>
      </c>
      <c r="L1273">
        <v>1</v>
      </c>
      <c r="M1273">
        <v>1</v>
      </c>
      <c r="N1273" t="s">
        <v>102</v>
      </c>
      <c r="O1273" t="s">
        <v>102</v>
      </c>
      <c r="P1273" t="s">
        <v>2809</v>
      </c>
      <c r="Q1273">
        <v>2</v>
      </c>
      <c r="R1273">
        <v>2</v>
      </c>
    </row>
    <row r="1274" spans="1:18" x14ac:dyDescent="0.3">
      <c r="A1274" t="s">
        <v>2810</v>
      </c>
      <c r="B1274" t="s">
        <v>2811</v>
      </c>
      <c r="C1274" t="s">
        <v>225</v>
      </c>
      <c r="D1274" t="s">
        <v>222</v>
      </c>
      <c r="E1274" t="s">
        <v>30</v>
      </c>
      <c r="F1274" s="6">
        <v>44742</v>
      </c>
      <c r="G1274">
        <v>2022</v>
      </c>
      <c r="H1274" t="s">
        <v>44</v>
      </c>
      <c r="I1274" t="s">
        <v>88</v>
      </c>
      <c r="J1274">
        <v>10494</v>
      </c>
      <c r="K1274">
        <v>14221</v>
      </c>
      <c r="L1274">
        <v>1.3</v>
      </c>
      <c r="M1274">
        <v>1.35515532685344</v>
      </c>
      <c r="N1274" t="s">
        <v>5986</v>
      </c>
      <c r="O1274" t="s">
        <v>5987</v>
      </c>
      <c r="P1274" t="s">
        <v>2812</v>
      </c>
      <c r="Q1274">
        <v>2</v>
      </c>
      <c r="R1274">
        <v>2</v>
      </c>
    </row>
    <row r="1275" spans="1:18" x14ac:dyDescent="0.3">
      <c r="A1275" t="s">
        <v>2810</v>
      </c>
      <c r="B1275" t="s">
        <v>2811</v>
      </c>
      <c r="C1275" t="s">
        <v>225</v>
      </c>
      <c r="D1275" t="s">
        <v>222</v>
      </c>
      <c r="E1275" t="s">
        <v>30</v>
      </c>
      <c r="F1275" s="6">
        <v>44926</v>
      </c>
      <c r="G1275">
        <v>2022</v>
      </c>
      <c r="H1275" t="s">
        <v>57</v>
      </c>
      <c r="I1275" t="s">
        <v>90</v>
      </c>
      <c r="J1275">
        <v>5570</v>
      </c>
      <c r="K1275">
        <v>9919</v>
      </c>
      <c r="L1275">
        <v>1.3</v>
      </c>
      <c r="M1275">
        <v>1.7807899461400361</v>
      </c>
      <c r="N1275" t="s">
        <v>5988</v>
      </c>
      <c r="O1275" t="s">
        <v>5989</v>
      </c>
      <c r="P1275" t="s">
        <v>5990</v>
      </c>
      <c r="Q1275">
        <v>2</v>
      </c>
      <c r="R1275">
        <v>2</v>
      </c>
    </row>
    <row r="1276" spans="1:18" x14ac:dyDescent="0.3">
      <c r="A1276" t="s">
        <v>2810</v>
      </c>
      <c r="B1276" t="s">
        <v>2811</v>
      </c>
      <c r="C1276" t="s">
        <v>225</v>
      </c>
      <c r="D1276" t="s">
        <v>222</v>
      </c>
      <c r="E1276" t="s">
        <v>30</v>
      </c>
      <c r="F1276" s="6">
        <v>45107</v>
      </c>
      <c r="G1276">
        <v>2023</v>
      </c>
      <c r="H1276" t="s">
        <v>44</v>
      </c>
      <c r="I1276" t="s">
        <v>33</v>
      </c>
      <c r="J1276">
        <v>8796.2412700000004</v>
      </c>
      <c r="K1276">
        <v>13169.941457999999</v>
      </c>
      <c r="L1276">
        <v>1.3</v>
      </c>
      <c r="M1276">
        <v>1.4972237633950209</v>
      </c>
      <c r="N1276" t="s">
        <v>5991</v>
      </c>
      <c r="O1276" t="s">
        <v>5992</v>
      </c>
      <c r="P1276" t="s">
        <v>2814</v>
      </c>
      <c r="Q1276">
        <v>2</v>
      </c>
      <c r="R1276">
        <v>2</v>
      </c>
    </row>
    <row r="1277" spans="1:18" x14ac:dyDescent="0.3">
      <c r="A1277" t="s">
        <v>2810</v>
      </c>
      <c r="B1277" t="s">
        <v>2811</v>
      </c>
      <c r="C1277" t="s">
        <v>225</v>
      </c>
      <c r="D1277" t="s">
        <v>222</v>
      </c>
      <c r="E1277" t="s">
        <v>30</v>
      </c>
      <c r="F1277" s="6">
        <v>45291</v>
      </c>
      <c r="G1277">
        <v>2023</v>
      </c>
      <c r="H1277" t="s">
        <v>57</v>
      </c>
      <c r="I1277" t="s">
        <v>47</v>
      </c>
      <c r="J1277">
        <v>26073.47270271854</v>
      </c>
      <c r="K1277">
        <v>26403.087925999949</v>
      </c>
      <c r="L1277">
        <v>1.012641784507939</v>
      </c>
      <c r="M1277">
        <v>1.012641784507939</v>
      </c>
      <c r="N1277" t="s">
        <v>5993</v>
      </c>
      <c r="O1277" t="s">
        <v>5994</v>
      </c>
      <c r="P1277" t="s">
        <v>2815</v>
      </c>
      <c r="Q1277">
        <v>2</v>
      </c>
      <c r="R1277">
        <v>2</v>
      </c>
    </row>
    <row r="1278" spans="1:18" x14ac:dyDescent="0.3">
      <c r="A1278" t="s">
        <v>2810</v>
      </c>
      <c r="B1278" t="s">
        <v>2811</v>
      </c>
      <c r="C1278" t="s">
        <v>225</v>
      </c>
      <c r="D1278" t="s">
        <v>222</v>
      </c>
      <c r="E1278" t="s">
        <v>30</v>
      </c>
      <c r="F1278" s="6">
        <v>45473</v>
      </c>
      <c r="G1278">
        <v>2024</v>
      </c>
      <c r="H1278" t="s">
        <v>44</v>
      </c>
      <c r="I1278" t="s">
        <v>71</v>
      </c>
      <c r="J1278">
        <v>14136.961539</v>
      </c>
      <c r="K1278">
        <v>14702.219810000001</v>
      </c>
      <c r="L1278">
        <v>1.039984424477679</v>
      </c>
      <c r="M1278">
        <v>1.039984424477679</v>
      </c>
      <c r="N1278" t="s">
        <v>5995</v>
      </c>
      <c r="O1278" t="s">
        <v>5996</v>
      </c>
      <c r="P1278" t="s">
        <v>2816</v>
      </c>
      <c r="Q1278">
        <v>2</v>
      </c>
      <c r="R1278">
        <v>2</v>
      </c>
    </row>
    <row r="1279" spans="1:18" x14ac:dyDescent="0.3">
      <c r="A1279" t="s">
        <v>2810</v>
      </c>
      <c r="B1279" t="s">
        <v>2817</v>
      </c>
      <c r="C1279" t="s">
        <v>225</v>
      </c>
      <c r="D1279" t="s">
        <v>222</v>
      </c>
      <c r="E1279" t="s">
        <v>30</v>
      </c>
      <c r="F1279" s="6">
        <v>45657</v>
      </c>
      <c r="G1279">
        <v>2024</v>
      </c>
      <c r="H1279" t="s">
        <v>57</v>
      </c>
      <c r="I1279" t="s">
        <v>78</v>
      </c>
      <c r="J1279">
        <v>27010.108281000001</v>
      </c>
      <c r="K1279">
        <v>29467.922112</v>
      </c>
      <c r="L1279">
        <v>1.090996074707665</v>
      </c>
      <c r="M1279">
        <v>1.090996074707665</v>
      </c>
      <c r="N1279" t="s">
        <v>5997</v>
      </c>
      <c r="O1279" t="s">
        <v>5998</v>
      </c>
      <c r="P1279" t="s">
        <v>2818</v>
      </c>
      <c r="Q1279">
        <v>2</v>
      </c>
      <c r="R1279">
        <v>2</v>
      </c>
    </row>
    <row r="1280" spans="1:18" x14ac:dyDescent="0.3">
      <c r="A1280" t="s">
        <v>2810</v>
      </c>
      <c r="B1280" t="s">
        <v>2817</v>
      </c>
      <c r="C1280" t="s">
        <v>225</v>
      </c>
      <c r="D1280" t="s">
        <v>222</v>
      </c>
      <c r="E1280" t="s">
        <v>30</v>
      </c>
      <c r="F1280" s="6">
        <v>45838</v>
      </c>
      <c r="G1280">
        <v>2025</v>
      </c>
      <c r="H1280" t="s">
        <v>44</v>
      </c>
      <c r="I1280" t="s">
        <v>244</v>
      </c>
      <c r="J1280">
        <v>95</v>
      </c>
      <c r="K1280">
        <v>117.87</v>
      </c>
      <c r="L1280">
        <v>1.2407368421052629</v>
      </c>
      <c r="M1280">
        <v>1.2407368421052629</v>
      </c>
      <c r="N1280" t="s">
        <v>838</v>
      </c>
      <c r="O1280" t="s">
        <v>2820</v>
      </c>
      <c r="P1280" t="s">
        <v>2821</v>
      </c>
      <c r="Q1280">
        <v>2</v>
      </c>
      <c r="R1280">
        <v>2</v>
      </c>
    </row>
    <row r="1281" spans="1:18" x14ac:dyDescent="0.3">
      <c r="A1281" t="s">
        <v>2810</v>
      </c>
      <c r="B1281" t="s">
        <v>2817</v>
      </c>
      <c r="C1281" t="s">
        <v>225</v>
      </c>
      <c r="D1281" t="s">
        <v>222</v>
      </c>
      <c r="E1281" t="s">
        <v>30</v>
      </c>
      <c r="F1281" s="6">
        <v>46022</v>
      </c>
      <c r="G1281">
        <v>2025</v>
      </c>
      <c r="H1281" t="s">
        <v>57</v>
      </c>
      <c r="I1281" t="s">
        <v>103</v>
      </c>
      <c r="J1281">
        <v>95</v>
      </c>
      <c r="K1281">
        <v>117.51</v>
      </c>
      <c r="L1281">
        <v>1.236947368421053</v>
      </c>
      <c r="M1281">
        <v>1.236947368421053</v>
      </c>
      <c r="N1281" t="s">
        <v>838</v>
      </c>
      <c r="O1281" t="s">
        <v>2823</v>
      </c>
      <c r="P1281" t="s">
        <v>2824</v>
      </c>
      <c r="Q1281">
        <v>2</v>
      </c>
      <c r="R1281">
        <v>2</v>
      </c>
    </row>
    <row r="1282" spans="1:18" x14ac:dyDescent="0.3">
      <c r="A1282" t="s">
        <v>2825</v>
      </c>
      <c r="B1282" t="s">
        <v>2826</v>
      </c>
      <c r="C1282" t="s">
        <v>225</v>
      </c>
      <c r="D1282" t="s">
        <v>222</v>
      </c>
      <c r="E1282" t="s">
        <v>108</v>
      </c>
      <c r="F1282" s="6">
        <v>45107</v>
      </c>
      <c r="G1282">
        <v>2023</v>
      </c>
      <c r="H1282" t="s">
        <v>44</v>
      </c>
      <c r="I1282" t="s">
        <v>33</v>
      </c>
      <c r="J1282">
        <v>7200.908222</v>
      </c>
      <c r="K1282">
        <v>1606.8681489999999</v>
      </c>
      <c r="L1282">
        <v>1.3</v>
      </c>
      <c r="M1282">
        <v>4.4813311076464686</v>
      </c>
      <c r="N1282" t="s">
        <v>5999</v>
      </c>
      <c r="O1282" t="s">
        <v>5639</v>
      </c>
      <c r="P1282" t="s">
        <v>2827</v>
      </c>
      <c r="Q1282">
        <v>2</v>
      </c>
      <c r="R1282">
        <v>2</v>
      </c>
    </row>
    <row r="1283" spans="1:18" x14ac:dyDescent="0.3">
      <c r="A1283" t="s">
        <v>2825</v>
      </c>
      <c r="B1283" t="s">
        <v>2826</v>
      </c>
      <c r="C1283" t="s">
        <v>225</v>
      </c>
      <c r="D1283" t="s">
        <v>222</v>
      </c>
      <c r="E1283" t="s">
        <v>108</v>
      </c>
      <c r="F1283" s="6">
        <v>45291</v>
      </c>
      <c r="G1283">
        <v>2023</v>
      </c>
      <c r="H1283" t="s">
        <v>57</v>
      </c>
      <c r="I1283" t="s">
        <v>47</v>
      </c>
      <c r="J1283">
        <v>12518.005306706251</v>
      </c>
      <c r="K1283">
        <v>7607.138418999999</v>
      </c>
      <c r="L1283">
        <v>1.3</v>
      </c>
      <c r="M1283">
        <v>1.6455603430904591</v>
      </c>
      <c r="N1283" t="s">
        <v>6000</v>
      </c>
      <c r="O1283" t="s">
        <v>6001</v>
      </c>
      <c r="P1283" t="s">
        <v>2828</v>
      </c>
      <c r="Q1283">
        <v>2</v>
      </c>
      <c r="R1283">
        <v>2</v>
      </c>
    </row>
    <row r="1284" spans="1:18" x14ac:dyDescent="0.3">
      <c r="A1284" t="s">
        <v>2825</v>
      </c>
      <c r="B1284" t="s">
        <v>2826</v>
      </c>
      <c r="C1284" t="s">
        <v>225</v>
      </c>
      <c r="D1284" t="s">
        <v>222</v>
      </c>
      <c r="E1284" t="s">
        <v>108</v>
      </c>
      <c r="F1284" s="6">
        <v>45473</v>
      </c>
      <c r="G1284">
        <v>2024</v>
      </c>
      <c r="H1284" t="s">
        <v>44</v>
      </c>
      <c r="I1284" t="s">
        <v>71</v>
      </c>
      <c r="J1284">
        <v>4468.4024010000003</v>
      </c>
      <c r="K1284">
        <v>2155.4775049999998</v>
      </c>
      <c r="L1284">
        <v>1.3</v>
      </c>
      <c r="M1284">
        <v>2.0730452489690911</v>
      </c>
      <c r="N1284" t="s">
        <v>6002</v>
      </c>
      <c r="O1284" t="s">
        <v>6003</v>
      </c>
      <c r="P1284" t="s">
        <v>2829</v>
      </c>
      <c r="Q1284">
        <v>2</v>
      </c>
      <c r="R1284">
        <v>2</v>
      </c>
    </row>
    <row r="1285" spans="1:18" x14ac:dyDescent="0.3">
      <c r="A1285" t="s">
        <v>2825</v>
      </c>
      <c r="B1285" t="s">
        <v>2826</v>
      </c>
      <c r="C1285" t="s">
        <v>225</v>
      </c>
      <c r="D1285" t="s">
        <v>222</v>
      </c>
      <c r="E1285" t="s">
        <v>108</v>
      </c>
      <c r="F1285" s="6">
        <v>45657</v>
      </c>
      <c r="G1285">
        <v>2024</v>
      </c>
      <c r="H1285" t="s">
        <v>57</v>
      </c>
      <c r="I1285" t="s">
        <v>78</v>
      </c>
      <c r="J1285">
        <v>100</v>
      </c>
      <c r="K1285">
        <v>125.01</v>
      </c>
      <c r="L1285">
        <v>0.7999360051195904</v>
      </c>
      <c r="M1285">
        <v>0.7999360051195904</v>
      </c>
      <c r="N1285" t="s">
        <v>102</v>
      </c>
      <c r="O1285" t="s">
        <v>6004</v>
      </c>
      <c r="P1285" t="s">
        <v>2830</v>
      </c>
      <c r="Q1285">
        <v>2</v>
      </c>
      <c r="R1285">
        <v>2</v>
      </c>
    </row>
    <row r="1286" spans="1:18" x14ac:dyDescent="0.3">
      <c r="A1286" t="s">
        <v>2825</v>
      </c>
      <c r="B1286" t="s">
        <v>2826</v>
      </c>
      <c r="C1286" t="s">
        <v>225</v>
      </c>
      <c r="D1286" t="s">
        <v>98</v>
      </c>
      <c r="E1286" t="s">
        <v>30</v>
      </c>
      <c r="F1286" s="6">
        <v>46022</v>
      </c>
      <c r="G1286">
        <v>2025</v>
      </c>
      <c r="H1286" t="s">
        <v>57</v>
      </c>
      <c r="I1286" t="s">
        <v>103</v>
      </c>
      <c r="J1286">
        <v>100</v>
      </c>
      <c r="K1286">
        <v>107.11</v>
      </c>
      <c r="L1286">
        <v>1.0710999999999999</v>
      </c>
      <c r="M1286">
        <v>1.0710999999999999</v>
      </c>
      <c r="N1286" t="s">
        <v>102</v>
      </c>
      <c r="O1286" t="s">
        <v>2832</v>
      </c>
      <c r="P1286" t="s">
        <v>2833</v>
      </c>
      <c r="Q1286">
        <v>2</v>
      </c>
      <c r="R1286">
        <v>2</v>
      </c>
    </row>
    <row r="1287" spans="1:18" x14ac:dyDescent="0.3">
      <c r="A1287" t="s">
        <v>2834</v>
      </c>
      <c r="B1287" t="s">
        <v>2835</v>
      </c>
      <c r="C1287" t="s">
        <v>266</v>
      </c>
      <c r="D1287" t="s">
        <v>29</v>
      </c>
      <c r="E1287" t="s">
        <v>30</v>
      </c>
      <c r="F1287" s="6">
        <v>45107</v>
      </c>
      <c r="G1287">
        <v>2023</v>
      </c>
      <c r="H1287" t="s">
        <v>44</v>
      </c>
      <c r="I1287" t="s">
        <v>33</v>
      </c>
      <c r="J1287">
        <v>92</v>
      </c>
      <c r="K1287">
        <v>93.833333333333329</v>
      </c>
      <c r="L1287">
        <v>1.019927536231884</v>
      </c>
      <c r="M1287">
        <v>1.019927536231884</v>
      </c>
      <c r="N1287" t="s">
        <v>4634</v>
      </c>
      <c r="O1287" t="s">
        <v>6005</v>
      </c>
      <c r="P1287" t="s">
        <v>2841</v>
      </c>
      <c r="Q1287">
        <v>2</v>
      </c>
      <c r="R1287">
        <v>2</v>
      </c>
    </row>
    <row r="1288" spans="1:18" x14ac:dyDescent="0.3">
      <c r="A1288" t="s">
        <v>2834</v>
      </c>
      <c r="B1288" t="s">
        <v>2835</v>
      </c>
      <c r="C1288" t="s">
        <v>266</v>
      </c>
      <c r="D1288" t="s">
        <v>29</v>
      </c>
      <c r="E1288" t="s">
        <v>30</v>
      </c>
      <c r="F1288" s="6">
        <v>45291</v>
      </c>
      <c r="G1288">
        <v>2023</v>
      </c>
      <c r="H1288" t="s">
        <v>57</v>
      </c>
      <c r="I1288" t="s">
        <v>47</v>
      </c>
      <c r="J1288">
        <v>92</v>
      </c>
      <c r="K1288">
        <v>97.321666666666658</v>
      </c>
      <c r="L1288">
        <v>1.0578442028985511</v>
      </c>
      <c r="M1288">
        <v>1.0578442028985511</v>
      </c>
      <c r="N1288" t="s">
        <v>4634</v>
      </c>
      <c r="O1288" t="s">
        <v>6006</v>
      </c>
      <c r="P1288" t="s">
        <v>2847</v>
      </c>
      <c r="Q1288">
        <v>2</v>
      </c>
      <c r="R1288">
        <v>2</v>
      </c>
    </row>
    <row r="1289" spans="1:18" x14ac:dyDescent="0.3">
      <c r="A1289" t="s">
        <v>2834</v>
      </c>
      <c r="B1289" t="s">
        <v>2835</v>
      </c>
      <c r="C1289" t="s">
        <v>270</v>
      </c>
      <c r="D1289" t="s">
        <v>29</v>
      </c>
      <c r="E1289" t="s">
        <v>30</v>
      </c>
      <c r="F1289" s="6">
        <v>45473</v>
      </c>
      <c r="G1289">
        <v>2024</v>
      </c>
      <c r="H1289" t="s">
        <v>44</v>
      </c>
      <c r="I1289" t="s">
        <v>71</v>
      </c>
      <c r="J1289">
        <v>92</v>
      </c>
      <c r="K1289">
        <v>32.833333333333343</v>
      </c>
      <c r="L1289">
        <v>0.35688405797101452</v>
      </c>
      <c r="M1289">
        <v>0.35688405797101452</v>
      </c>
      <c r="N1289" t="s">
        <v>4634</v>
      </c>
      <c r="O1289" t="s">
        <v>6007</v>
      </c>
      <c r="P1289" t="s">
        <v>2853</v>
      </c>
      <c r="Q1289">
        <v>2</v>
      </c>
      <c r="R1289">
        <v>2</v>
      </c>
    </row>
    <row r="1290" spans="1:18" x14ac:dyDescent="0.3">
      <c r="A1290" t="s">
        <v>2834</v>
      </c>
      <c r="B1290" t="s">
        <v>2835</v>
      </c>
      <c r="C1290" t="s">
        <v>270</v>
      </c>
      <c r="D1290" t="s">
        <v>29</v>
      </c>
      <c r="E1290" t="s">
        <v>30</v>
      </c>
      <c r="F1290" s="6">
        <v>45657</v>
      </c>
      <c r="G1290">
        <v>2024</v>
      </c>
      <c r="H1290" t="s">
        <v>57</v>
      </c>
      <c r="I1290" t="s">
        <v>78</v>
      </c>
      <c r="J1290">
        <v>76.666666666666671</v>
      </c>
      <c r="K1290">
        <v>0</v>
      </c>
      <c r="L1290">
        <v>0</v>
      </c>
      <c r="M1290">
        <v>0</v>
      </c>
      <c r="N1290" t="s">
        <v>6008</v>
      </c>
      <c r="O1290" t="s">
        <v>122</v>
      </c>
      <c r="P1290" t="s">
        <v>2859</v>
      </c>
      <c r="Q1290">
        <v>2</v>
      </c>
      <c r="R1290">
        <v>2</v>
      </c>
    </row>
    <row r="1291" spans="1:18" x14ac:dyDescent="0.3">
      <c r="A1291" t="s">
        <v>2860</v>
      </c>
      <c r="B1291" t="s">
        <v>2861</v>
      </c>
      <c r="C1291" t="s">
        <v>2862</v>
      </c>
      <c r="D1291" t="s">
        <v>222</v>
      </c>
      <c r="E1291" t="s">
        <v>30</v>
      </c>
      <c r="F1291" s="6">
        <v>44742</v>
      </c>
      <c r="G1291">
        <v>2022</v>
      </c>
      <c r="H1291" t="s">
        <v>44</v>
      </c>
      <c r="I1291" t="s">
        <v>88</v>
      </c>
      <c r="J1291">
        <v>10808</v>
      </c>
      <c r="K1291">
        <v>11013</v>
      </c>
      <c r="L1291">
        <v>1.0189674315321979</v>
      </c>
      <c r="M1291">
        <v>1.0189674315321979</v>
      </c>
      <c r="N1291" t="s">
        <v>6009</v>
      </c>
      <c r="O1291" t="s">
        <v>6010</v>
      </c>
      <c r="P1291" t="s">
        <v>2863</v>
      </c>
      <c r="Q1291">
        <v>2</v>
      </c>
      <c r="R1291">
        <v>2</v>
      </c>
    </row>
    <row r="1292" spans="1:18" x14ac:dyDescent="0.3">
      <c r="A1292" t="s">
        <v>2860</v>
      </c>
      <c r="B1292" t="s">
        <v>2861</v>
      </c>
      <c r="C1292" t="s">
        <v>2862</v>
      </c>
      <c r="D1292" t="s">
        <v>222</v>
      </c>
      <c r="E1292" t="s">
        <v>30</v>
      </c>
      <c r="F1292" s="6">
        <v>44926</v>
      </c>
      <c r="G1292">
        <v>2022</v>
      </c>
      <c r="H1292" t="s">
        <v>57</v>
      </c>
      <c r="I1292" t="s">
        <v>90</v>
      </c>
      <c r="J1292">
        <v>9192</v>
      </c>
      <c r="K1292">
        <v>9678</v>
      </c>
      <c r="L1292">
        <v>1.0528720626631849</v>
      </c>
      <c r="M1292">
        <v>1.0528720626631849</v>
      </c>
      <c r="N1292" t="s">
        <v>6011</v>
      </c>
      <c r="O1292" t="s">
        <v>6012</v>
      </c>
      <c r="P1292" t="s">
        <v>2864</v>
      </c>
      <c r="Q1292">
        <v>2</v>
      </c>
      <c r="R1292">
        <v>2</v>
      </c>
    </row>
    <row r="1293" spans="1:18" x14ac:dyDescent="0.3">
      <c r="A1293" t="s">
        <v>2860</v>
      </c>
      <c r="B1293" t="s">
        <v>2861</v>
      </c>
      <c r="C1293" t="s">
        <v>2862</v>
      </c>
      <c r="D1293" t="s">
        <v>222</v>
      </c>
      <c r="E1293" t="s">
        <v>30</v>
      </c>
      <c r="F1293" s="6">
        <v>45107</v>
      </c>
      <c r="G1293">
        <v>2023</v>
      </c>
      <c r="H1293" t="s">
        <v>44</v>
      </c>
      <c r="I1293" t="s">
        <v>33</v>
      </c>
      <c r="J1293">
        <v>12130</v>
      </c>
      <c r="K1293">
        <v>12461</v>
      </c>
      <c r="L1293">
        <v>1.027287716405606</v>
      </c>
      <c r="M1293">
        <v>1.027287716405606</v>
      </c>
      <c r="N1293" t="s">
        <v>6013</v>
      </c>
      <c r="O1293" t="s">
        <v>6014</v>
      </c>
      <c r="P1293" t="s">
        <v>2865</v>
      </c>
      <c r="Q1293">
        <v>2</v>
      </c>
      <c r="R1293">
        <v>2</v>
      </c>
    </row>
    <row r="1294" spans="1:18" x14ac:dyDescent="0.3">
      <c r="A1294" t="s">
        <v>2860</v>
      </c>
      <c r="B1294" t="s">
        <v>2861</v>
      </c>
      <c r="C1294" t="s">
        <v>2862</v>
      </c>
      <c r="D1294" t="s">
        <v>222</v>
      </c>
      <c r="E1294" t="s">
        <v>30</v>
      </c>
      <c r="F1294" s="6">
        <v>45291</v>
      </c>
      <c r="G1294">
        <v>2023</v>
      </c>
      <c r="H1294" t="s">
        <v>57</v>
      </c>
      <c r="I1294" t="s">
        <v>47</v>
      </c>
      <c r="J1294">
        <v>9876</v>
      </c>
      <c r="K1294">
        <v>10730</v>
      </c>
      <c r="L1294">
        <v>1.086472255974078</v>
      </c>
      <c r="M1294">
        <v>1.086472255974078</v>
      </c>
      <c r="N1294" t="s">
        <v>6015</v>
      </c>
      <c r="O1294" t="s">
        <v>6016</v>
      </c>
      <c r="P1294" t="s">
        <v>2866</v>
      </c>
      <c r="Q1294">
        <v>2</v>
      </c>
      <c r="R1294">
        <v>2</v>
      </c>
    </row>
    <row r="1295" spans="1:18" x14ac:dyDescent="0.3">
      <c r="A1295" t="s">
        <v>2860</v>
      </c>
      <c r="B1295" t="s">
        <v>2861</v>
      </c>
      <c r="C1295" t="s">
        <v>2862</v>
      </c>
      <c r="D1295" t="s">
        <v>222</v>
      </c>
      <c r="E1295" t="s">
        <v>30</v>
      </c>
      <c r="F1295" s="6">
        <v>45473</v>
      </c>
      <c r="G1295">
        <v>2024</v>
      </c>
      <c r="H1295" t="s">
        <v>44</v>
      </c>
      <c r="I1295" t="s">
        <v>71</v>
      </c>
      <c r="J1295">
        <v>13590</v>
      </c>
      <c r="K1295">
        <v>12987</v>
      </c>
      <c r="L1295">
        <v>0.95562913907284763</v>
      </c>
      <c r="M1295">
        <v>0.95562913907284763</v>
      </c>
      <c r="N1295" t="s">
        <v>6017</v>
      </c>
      <c r="O1295" t="s">
        <v>6018</v>
      </c>
      <c r="P1295" t="s">
        <v>2867</v>
      </c>
      <c r="Q1295">
        <v>2</v>
      </c>
      <c r="R1295">
        <v>2</v>
      </c>
    </row>
    <row r="1296" spans="1:18" x14ac:dyDescent="0.3">
      <c r="A1296" t="s">
        <v>2860</v>
      </c>
      <c r="B1296" t="s">
        <v>2861</v>
      </c>
      <c r="C1296" t="s">
        <v>2862</v>
      </c>
      <c r="D1296" t="s">
        <v>222</v>
      </c>
      <c r="E1296" t="s">
        <v>30</v>
      </c>
      <c r="F1296" s="6">
        <v>45657</v>
      </c>
      <c r="G1296">
        <v>2024</v>
      </c>
      <c r="H1296" t="s">
        <v>57</v>
      </c>
      <c r="I1296" t="s">
        <v>78</v>
      </c>
      <c r="J1296">
        <v>10675</v>
      </c>
      <c r="K1296">
        <v>10569</v>
      </c>
      <c r="L1296">
        <v>0.99007025761124123</v>
      </c>
      <c r="M1296">
        <v>0.99007025761124123</v>
      </c>
      <c r="N1296" t="s">
        <v>6019</v>
      </c>
      <c r="O1296" t="s">
        <v>6020</v>
      </c>
      <c r="P1296" t="s">
        <v>2868</v>
      </c>
      <c r="Q1296">
        <v>2</v>
      </c>
      <c r="R1296">
        <v>2</v>
      </c>
    </row>
    <row r="1297" spans="1:18" x14ac:dyDescent="0.3">
      <c r="A1297" t="s">
        <v>2860</v>
      </c>
      <c r="B1297" t="s">
        <v>2861</v>
      </c>
      <c r="C1297" t="s">
        <v>2862</v>
      </c>
      <c r="D1297" t="s">
        <v>222</v>
      </c>
      <c r="E1297" t="s">
        <v>30</v>
      </c>
      <c r="F1297" s="6">
        <v>45838</v>
      </c>
      <c r="G1297">
        <v>2025</v>
      </c>
      <c r="H1297" t="s">
        <v>44</v>
      </c>
      <c r="I1297" t="s">
        <v>244</v>
      </c>
      <c r="J1297">
        <v>100</v>
      </c>
      <c r="K1297">
        <v>104.11</v>
      </c>
      <c r="L1297">
        <v>1.0410999999999999</v>
      </c>
      <c r="M1297">
        <v>1.0410999999999999</v>
      </c>
      <c r="N1297" t="s">
        <v>102</v>
      </c>
      <c r="O1297" t="s">
        <v>2870</v>
      </c>
      <c r="P1297" t="s">
        <v>2871</v>
      </c>
      <c r="Q1297">
        <v>2</v>
      </c>
      <c r="R1297">
        <v>2</v>
      </c>
    </row>
    <row r="1298" spans="1:18" x14ac:dyDescent="0.3">
      <c r="A1298" t="s">
        <v>2860</v>
      </c>
      <c r="B1298" t="s">
        <v>2861</v>
      </c>
      <c r="C1298" t="s">
        <v>2862</v>
      </c>
      <c r="D1298" t="s">
        <v>222</v>
      </c>
      <c r="E1298" t="s">
        <v>30</v>
      </c>
      <c r="F1298" s="6">
        <v>46022</v>
      </c>
      <c r="G1298">
        <v>2025</v>
      </c>
      <c r="H1298" t="s">
        <v>57</v>
      </c>
      <c r="I1298" t="s">
        <v>103</v>
      </c>
      <c r="J1298">
        <v>100</v>
      </c>
      <c r="K1298">
        <v>102.41</v>
      </c>
      <c r="L1298">
        <v>1.0241</v>
      </c>
      <c r="M1298">
        <v>1.0241</v>
      </c>
      <c r="N1298" t="s">
        <v>102</v>
      </c>
      <c r="O1298" t="s">
        <v>2873</v>
      </c>
      <c r="P1298" t="s">
        <v>2874</v>
      </c>
      <c r="Q1298">
        <v>2</v>
      </c>
      <c r="R1298">
        <v>2</v>
      </c>
    </row>
    <row r="1299" spans="1:18" x14ac:dyDescent="0.3">
      <c r="A1299" t="s">
        <v>2875</v>
      </c>
      <c r="B1299" t="s">
        <v>2876</v>
      </c>
      <c r="C1299" t="s">
        <v>2862</v>
      </c>
      <c r="D1299" t="s">
        <v>222</v>
      </c>
      <c r="E1299" t="s">
        <v>30</v>
      </c>
      <c r="F1299" s="6">
        <v>45107</v>
      </c>
      <c r="G1299">
        <v>2023</v>
      </c>
      <c r="H1299" t="s">
        <v>44</v>
      </c>
      <c r="I1299" t="s">
        <v>33</v>
      </c>
      <c r="J1299">
        <v>24659.314309000001</v>
      </c>
      <c r="K1299">
        <v>25754.085545999998</v>
      </c>
      <c r="L1299">
        <v>1.0443958507232469</v>
      </c>
      <c r="M1299">
        <v>1.0443958507232469</v>
      </c>
      <c r="N1299" t="s">
        <v>6021</v>
      </c>
      <c r="O1299" t="s">
        <v>6022</v>
      </c>
      <c r="P1299" t="s">
        <v>2877</v>
      </c>
      <c r="Q1299">
        <v>2</v>
      </c>
      <c r="R1299">
        <v>2</v>
      </c>
    </row>
    <row r="1300" spans="1:18" x14ac:dyDescent="0.3">
      <c r="A1300" t="s">
        <v>2875</v>
      </c>
      <c r="B1300" t="s">
        <v>2876</v>
      </c>
      <c r="C1300" t="s">
        <v>2862</v>
      </c>
      <c r="D1300" t="s">
        <v>222</v>
      </c>
      <c r="E1300" t="s">
        <v>30</v>
      </c>
      <c r="F1300" s="6">
        <v>45291</v>
      </c>
      <c r="G1300">
        <v>2023</v>
      </c>
      <c r="H1300" t="s">
        <v>57</v>
      </c>
      <c r="I1300" t="s">
        <v>47</v>
      </c>
      <c r="J1300">
        <v>24724.802793999999</v>
      </c>
      <c r="K1300">
        <v>25340.546505999999</v>
      </c>
      <c r="L1300">
        <v>1.0249038876924601</v>
      </c>
      <c r="M1300">
        <v>1.0249038876924601</v>
      </c>
      <c r="N1300" t="s">
        <v>6023</v>
      </c>
      <c r="O1300" t="s">
        <v>6024</v>
      </c>
      <c r="P1300" t="s">
        <v>2878</v>
      </c>
      <c r="Q1300">
        <v>2</v>
      </c>
      <c r="R1300">
        <v>2</v>
      </c>
    </row>
    <row r="1301" spans="1:18" x14ac:dyDescent="0.3">
      <c r="A1301" t="s">
        <v>2875</v>
      </c>
      <c r="B1301" t="s">
        <v>2876</v>
      </c>
      <c r="C1301" t="s">
        <v>2862</v>
      </c>
      <c r="D1301" t="s">
        <v>222</v>
      </c>
      <c r="E1301" t="s">
        <v>30</v>
      </c>
      <c r="F1301" s="6">
        <v>45473</v>
      </c>
      <c r="G1301">
        <v>2024</v>
      </c>
      <c r="H1301" t="s">
        <v>44</v>
      </c>
      <c r="I1301" t="s">
        <v>71</v>
      </c>
      <c r="J1301">
        <v>29596.26987</v>
      </c>
      <c r="K1301">
        <v>28449.632913000001</v>
      </c>
      <c r="L1301">
        <v>0.96125738270273453</v>
      </c>
      <c r="M1301">
        <v>0.96125738270273453</v>
      </c>
      <c r="N1301" t="s">
        <v>6025</v>
      </c>
      <c r="O1301" t="s">
        <v>6026</v>
      </c>
      <c r="P1301" t="s">
        <v>2879</v>
      </c>
      <c r="Q1301">
        <v>2</v>
      </c>
      <c r="R1301">
        <v>2</v>
      </c>
    </row>
    <row r="1302" spans="1:18" x14ac:dyDescent="0.3">
      <c r="A1302" t="s">
        <v>2875</v>
      </c>
      <c r="B1302" t="s">
        <v>2876</v>
      </c>
      <c r="C1302" t="s">
        <v>2862</v>
      </c>
      <c r="D1302" t="s">
        <v>222</v>
      </c>
      <c r="E1302" t="s">
        <v>30</v>
      </c>
      <c r="F1302" s="6">
        <v>45657</v>
      </c>
      <c r="G1302">
        <v>2024</v>
      </c>
      <c r="H1302" t="s">
        <v>57</v>
      </c>
      <c r="I1302" t="s">
        <v>78</v>
      </c>
      <c r="J1302">
        <v>100</v>
      </c>
      <c r="K1302">
        <v>78.92</v>
      </c>
      <c r="L1302">
        <v>0.78920000000000001</v>
      </c>
      <c r="M1302">
        <v>0.78920000000000001</v>
      </c>
      <c r="N1302" t="s">
        <v>102</v>
      </c>
      <c r="O1302" t="s">
        <v>6027</v>
      </c>
      <c r="P1302" t="s">
        <v>2880</v>
      </c>
      <c r="Q1302">
        <v>2</v>
      </c>
      <c r="R1302">
        <v>2</v>
      </c>
    </row>
    <row r="1303" spans="1:18" x14ac:dyDescent="0.3">
      <c r="A1303" t="s">
        <v>2881</v>
      </c>
      <c r="B1303" t="s">
        <v>2882</v>
      </c>
      <c r="C1303" t="s">
        <v>2862</v>
      </c>
      <c r="D1303" t="s">
        <v>222</v>
      </c>
      <c r="E1303" t="s">
        <v>30</v>
      </c>
      <c r="F1303" s="6">
        <v>44742</v>
      </c>
      <c r="G1303">
        <v>2022</v>
      </c>
      <c r="H1303" t="s">
        <v>44</v>
      </c>
      <c r="I1303" t="s">
        <v>88</v>
      </c>
      <c r="J1303">
        <v>1424</v>
      </c>
      <c r="K1303">
        <v>1366</v>
      </c>
      <c r="L1303">
        <v>0.9592696629213483</v>
      </c>
      <c r="M1303">
        <v>0.9592696629213483</v>
      </c>
      <c r="N1303" t="s">
        <v>6028</v>
      </c>
      <c r="O1303" t="s">
        <v>6029</v>
      </c>
      <c r="P1303" t="s">
        <v>2883</v>
      </c>
      <c r="Q1303">
        <v>2</v>
      </c>
      <c r="R1303">
        <v>2</v>
      </c>
    </row>
    <row r="1304" spans="1:18" x14ac:dyDescent="0.3">
      <c r="A1304" t="s">
        <v>2881</v>
      </c>
      <c r="B1304" t="s">
        <v>2882</v>
      </c>
      <c r="C1304" t="s">
        <v>2862</v>
      </c>
      <c r="D1304" t="s">
        <v>222</v>
      </c>
      <c r="E1304" t="s">
        <v>30</v>
      </c>
      <c r="F1304" s="6">
        <v>44926</v>
      </c>
      <c r="G1304">
        <v>2022</v>
      </c>
      <c r="H1304" t="s">
        <v>57</v>
      </c>
      <c r="I1304" t="s">
        <v>90</v>
      </c>
      <c r="J1304">
        <v>988</v>
      </c>
      <c r="K1304">
        <v>1086</v>
      </c>
      <c r="L1304">
        <v>1.09919028340081</v>
      </c>
      <c r="M1304">
        <v>1.09919028340081</v>
      </c>
      <c r="N1304" t="s">
        <v>6030</v>
      </c>
      <c r="O1304" t="s">
        <v>6031</v>
      </c>
      <c r="P1304" t="s">
        <v>2884</v>
      </c>
      <c r="Q1304">
        <v>2</v>
      </c>
      <c r="R1304">
        <v>2</v>
      </c>
    </row>
    <row r="1305" spans="1:18" x14ac:dyDescent="0.3">
      <c r="A1305" t="s">
        <v>2881</v>
      </c>
      <c r="B1305" t="s">
        <v>2882</v>
      </c>
      <c r="C1305" t="s">
        <v>2862</v>
      </c>
      <c r="D1305" t="s">
        <v>222</v>
      </c>
      <c r="E1305" t="s">
        <v>30</v>
      </c>
      <c r="F1305" s="6">
        <v>45107</v>
      </c>
      <c r="G1305">
        <v>2023</v>
      </c>
      <c r="H1305" t="s">
        <v>44</v>
      </c>
      <c r="I1305" t="s">
        <v>33</v>
      </c>
      <c r="J1305">
        <v>1428</v>
      </c>
      <c r="K1305">
        <v>1489</v>
      </c>
      <c r="L1305">
        <v>1.042717086834734</v>
      </c>
      <c r="M1305">
        <v>1.042717086834734</v>
      </c>
      <c r="N1305" t="s">
        <v>6032</v>
      </c>
      <c r="O1305" t="s">
        <v>6033</v>
      </c>
      <c r="P1305" t="s">
        <v>2885</v>
      </c>
      <c r="Q1305">
        <v>2</v>
      </c>
      <c r="R1305">
        <v>2</v>
      </c>
    </row>
    <row r="1306" spans="1:18" x14ac:dyDescent="0.3">
      <c r="A1306" t="s">
        <v>2881</v>
      </c>
      <c r="B1306" t="s">
        <v>2882</v>
      </c>
      <c r="C1306" t="s">
        <v>2862</v>
      </c>
      <c r="D1306" t="s">
        <v>222</v>
      </c>
      <c r="E1306" t="s">
        <v>30</v>
      </c>
      <c r="F1306" s="6">
        <v>45291</v>
      </c>
      <c r="G1306">
        <v>2023</v>
      </c>
      <c r="H1306" t="s">
        <v>57</v>
      </c>
      <c r="I1306" t="s">
        <v>47</v>
      </c>
      <c r="J1306">
        <v>1168</v>
      </c>
      <c r="K1306">
        <v>1328</v>
      </c>
      <c r="L1306">
        <v>1.1369863013698629</v>
      </c>
      <c r="M1306">
        <v>1.1369863013698629</v>
      </c>
      <c r="N1306" t="s">
        <v>6034</v>
      </c>
      <c r="O1306" t="s">
        <v>6035</v>
      </c>
      <c r="P1306" t="s">
        <v>2886</v>
      </c>
      <c r="Q1306">
        <v>2</v>
      </c>
      <c r="R1306">
        <v>2</v>
      </c>
    </row>
    <row r="1307" spans="1:18" x14ac:dyDescent="0.3">
      <c r="A1307" t="s">
        <v>2881</v>
      </c>
      <c r="B1307" t="s">
        <v>2882</v>
      </c>
      <c r="C1307" t="s">
        <v>2862</v>
      </c>
      <c r="D1307" t="s">
        <v>222</v>
      </c>
      <c r="E1307" t="s">
        <v>30</v>
      </c>
      <c r="F1307" s="6">
        <v>45473</v>
      </c>
      <c r="G1307">
        <v>2024</v>
      </c>
      <c r="H1307" t="s">
        <v>44</v>
      </c>
      <c r="I1307" t="s">
        <v>71</v>
      </c>
      <c r="J1307">
        <v>1482</v>
      </c>
      <c r="K1307">
        <v>1560</v>
      </c>
      <c r="L1307">
        <v>1.0526315789473679</v>
      </c>
      <c r="M1307">
        <v>1.0526315789473679</v>
      </c>
      <c r="N1307" t="s">
        <v>6036</v>
      </c>
      <c r="O1307" t="s">
        <v>6037</v>
      </c>
      <c r="P1307" t="s">
        <v>2887</v>
      </c>
      <c r="Q1307">
        <v>2</v>
      </c>
      <c r="R1307">
        <v>2</v>
      </c>
    </row>
    <row r="1308" spans="1:18" x14ac:dyDescent="0.3">
      <c r="A1308" t="s">
        <v>2881</v>
      </c>
      <c r="B1308" t="s">
        <v>2882</v>
      </c>
      <c r="C1308" t="s">
        <v>2862</v>
      </c>
      <c r="D1308" t="s">
        <v>222</v>
      </c>
      <c r="E1308" t="s">
        <v>30</v>
      </c>
      <c r="F1308" s="6">
        <v>45657</v>
      </c>
      <c r="G1308">
        <v>2024</v>
      </c>
      <c r="H1308" t="s">
        <v>57</v>
      </c>
      <c r="I1308" t="s">
        <v>78</v>
      </c>
      <c r="J1308">
        <v>1101</v>
      </c>
      <c r="K1308">
        <v>982</v>
      </c>
      <c r="L1308">
        <v>0.89191643960036326</v>
      </c>
      <c r="M1308">
        <v>0.89191643960036326</v>
      </c>
      <c r="N1308" t="s">
        <v>6038</v>
      </c>
      <c r="O1308" t="s">
        <v>6039</v>
      </c>
      <c r="P1308" t="s">
        <v>2888</v>
      </c>
      <c r="Q1308">
        <v>2</v>
      </c>
      <c r="R1308">
        <v>2</v>
      </c>
    </row>
    <row r="1309" spans="1:18" x14ac:dyDescent="0.3">
      <c r="A1309" t="s">
        <v>2881</v>
      </c>
      <c r="B1309" t="s">
        <v>2882</v>
      </c>
      <c r="C1309" t="s">
        <v>2862</v>
      </c>
      <c r="D1309" t="s">
        <v>222</v>
      </c>
      <c r="E1309" t="s">
        <v>30</v>
      </c>
      <c r="F1309" s="6">
        <v>45838</v>
      </c>
      <c r="G1309">
        <v>2025</v>
      </c>
      <c r="H1309" t="s">
        <v>44</v>
      </c>
      <c r="I1309" t="s">
        <v>244</v>
      </c>
      <c r="J1309">
        <v>100</v>
      </c>
      <c r="K1309">
        <v>98.22</v>
      </c>
      <c r="L1309">
        <v>0.98219999999999996</v>
      </c>
      <c r="M1309">
        <v>0.98219999999999996</v>
      </c>
      <c r="N1309" t="s">
        <v>102</v>
      </c>
      <c r="O1309" t="s">
        <v>2890</v>
      </c>
      <c r="P1309" t="s">
        <v>2891</v>
      </c>
      <c r="Q1309">
        <v>2</v>
      </c>
      <c r="R1309">
        <v>2</v>
      </c>
    </row>
    <row r="1310" spans="1:18" x14ac:dyDescent="0.3">
      <c r="A1310" t="s">
        <v>2881</v>
      </c>
      <c r="B1310" t="s">
        <v>2882</v>
      </c>
      <c r="C1310" t="s">
        <v>2862</v>
      </c>
      <c r="D1310" t="s">
        <v>222</v>
      </c>
      <c r="E1310" t="s">
        <v>30</v>
      </c>
      <c r="F1310" s="6">
        <v>46022</v>
      </c>
      <c r="G1310">
        <v>2025</v>
      </c>
      <c r="H1310" t="s">
        <v>57</v>
      </c>
      <c r="I1310" t="s">
        <v>103</v>
      </c>
      <c r="J1310">
        <v>100</v>
      </c>
      <c r="K1310">
        <v>113.66</v>
      </c>
      <c r="L1310">
        <v>1.1366000000000001</v>
      </c>
      <c r="M1310">
        <v>1.1366000000000001</v>
      </c>
      <c r="N1310" t="s">
        <v>102</v>
      </c>
      <c r="O1310" t="s">
        <v>2893</v>
      </c>
      <c r="P1310" t="s">
        <v>2894</v>
      </c>
      <c r="Q1310">
        <v>2</v>
      </c>
      <c r="R1310">
        <v>2</v>
      </c>
    </row>
    <row r="1311" spans="1:18" x14ac:dyDescent="0.3">
      <c r="A1311" t="s">
        <v>2895</v>
      </c>
      <c r="B1311" t="s">
        <v>2896</v>
      </c>
      <c r="C1311" t="s">
        <v>2862</v>
      </c>
      <c r="D1311" t="s">
        <v>222</v>
      </c>
      <c r="E1311" t="s">
        <v>30</v>
      </c>
      <c r="F1311" s="6">
        <v>44742</v>
      </c>
      <c r="G1311">
        <v>2022</v>
      </c>
      <c r="H1311" t="s">
        <v>44</v>
      </c>
      <c r="I1311" t="s">
        <v>88</v>
      </c>
      <c r="J1311">
        <v>8041</v>
      </c>
      <c r="K1311">
        <v>8156</v>
      </c>
      <c r="L1311">
        <v>1.0143017037681881</v>
      </c>
      <c r="M1311">
        <v>1.0143017037681881</v>
      </c>
      <c r="N1311" t="s">
        <v>6040</v>
      </c>
      <c r="O1311" t="s">
        <v>6041</v>
      </c>
      <c r="P1311" t="s">
        <v>2897</v>
      </c>
      <c r="Q1311">
        <v>2</v>
      </c>
      <c r="R1311">
        <v>2</v>
      </c>
    </row>
    <row r="1312" spans="1:18" x14ac:dyDescent="0.3">
      <c r="A1312" t="s">
        <v>2895</v>
      </c>
      <c r="B1312" t="s">
        <v>2896</v>
      </c>
      <c r="C1312" t="s">
        <v>2862</v>
      </c>
      <c r="D1312" t="s">
        <v>222</v>
      </c>
      <c r="E1312" t="s">
        <v>30</v>
      </c>
      <c r="F1312" s="6">
        <v>44926</v>
      </c>
      <c r="G1312">
        <v>2022</v>
      </c>
      <c r="H1312" t="s">
        <v>57</v>
      </c>
      <c r="I1312" t="s">
        <v>90</v>
      </c>
      <c r="J1312">
        <v>7245</v>
      </c>
      <c r="K1312">
        <v>7311</v>
      </c>
      <c r="L1312">
        <v>1.009109730848861</v>
      </c>
      <c r="M1312">
        <v>1.009109730848861</v>
      </c>
      <c r="N1312" t="s">
        <v>6042</v>
      </c>
      <c r="O1312" t="s">
        <v>6043</v>
      </c>
      <c r="P1312" t="s">
        <v>2898</v>
      </c>
      <c r="Q1312">
        <v>2</v>
      </c>
      <c r="R1312">
        <v>2</v>
      </c>
    </row>
    <row r="1313" spans="1:18" x14ac:dyDescent="0.3">
      <c r="A1313" t="s">
        <v>2895</v>
      </c>
      <c r="B1313" t="s">
        <v>2896</v>
      </c>
      <c r="C1313" t="s">
        <v>2862</v>
      </c>
      <c r="D1313" t="s">
        <v>222</v>
      </c>
      <c r="E1313" t="s">
        <v>30</v>
      </c>
      <c r="F1313" s="6">
        <v>45107</v>
      </c>
      <c r="G1313">
        <v>2023</v>
      </c>
      <c r="H1313" t="s">
        <v>44</v>
      </c>
      <c r="I1313" t="s">
        <v>33</v>
      </c>
      <c r="J1313">
        <v>9117</v>
      </c>
      <c r="K1313">
        <v>9231</v>
      </c>
      <c r="L1313">
        <v>1.01250411319513</v>
      </c>
      <c r="M1313">
        <v>1.01250411319513</v>
      </c>
      <c r="N1313" t="s">
        <v>6044</v>
      </c>
      <c r="O1313" t="s">
        <v>6045</v>
      </c>
      <c r="P1313" t="s">
        <v>2899</v>
      </c>
      <c r="Q1313">
        <v>2</v>
      </c>
      <c r="R1313">
        <v>2</v>
      </c>
    </row>
    <row r="1314" spans="1:18" x14ac:dyDescent="0.3">
      <c r="A1314" t="s">
        <v>2895</v>
      </c>
      <c r="B1314" t="s">
        <v>2896</v>
      </c>
      <c r="C1314" t="s">
        <v>2862</v>
      </c>
      <c r="D1314" t="s">
        <v>222</v>
      </c>
      <c r="E1314" t="s">
        <v>30</v>
      </c>
      <c r="F1314" s="6">
        <v>45291</v>
      </c>
      <c r="G1314">
        <v>2023</v>
      </c>
      <c r="H1314" t="s">
        <v>57</v>
      </c>
      <c r="I1314" t="s">
        <v>47</v>
      </c>
      <c r="J1314">
        <v>7616</v>
      </c>
      <c r="K1314">
        <v>7845</v>
      </c>
      <c r="L1314">
        <v>1.030068277310924</v>
      </c>
      <c r="M1314">
        <v>1.030068277310924</v>
      </c>
      <c r="N1314" t="s">
        <v>6046</v>
      </c>
      <c r="O1314" t="s">
        <v>6047</v>
      </c>
      <c r="P1314" t="s">
        <v>2900</v>
      </c>
      <c r="Q1314">
        <v>2</v>
      </c>
      <c r="R1314">
        <v>2</v>
      </c>
    </row>
    <row r="1315" spans="1:18" x14ac:dyDescent="0.3">
      <c r="A1315" t="s">
        <v>2895</v>
      </c>
      <c r="B1315" t="s">
        <v>2896</v>
      </c>
      <c r="C1315" t="s">
        <v>2862</v>
      </c>
      <c r="D1315" t="s">
        <v>222</v>
      </c>
      <c r="E1315" t="s">
        <v>30</v>
      </c>
      <c r="F1315" s="6">
        <v>45473</v>
      </c>
      <c r="G1315">
        <v>2024</v>
      </c>
      <c r="H1315" t="s">
        <v>44</v>
      </c>
      <c r="I1315" t="s">
        <v>71</v>
      </c>
      <c r="J1315">
        <v>10220</v>
      </c>
      <c r="K1315">
        <v>9576</v>
      </c>
      <c r="L1315">
        <v>0.93698630136986305</v>
      </c>
      <c r="M1315">
        <v>0.93698630136986305</v>
      </c>
      <c r="N1315" t="s">
        <v>6048</v>
      </c>
      <c r="O1315" t="s">
        <v>6049</v>
      </c>
      <c r="P1315" t="s">
        <v>2901</v>
      </c>
      <c r="Q1315">
        <v>2</v>
      </c>
      <c r="R1315">
        <v>2</v>
      </c>
    </row>
    <row r="1316" spans="1:18" x14ac:dyDescent="0.3">
      <c r="A1316" t="s">
        <v>2895</v>
      </c>
      <c r="B1316" t="s">
        <v>2896</v>
      </c>
      <c r="C1316" t="s">
        <v>2862</v>
      </c>
      <c r="D1316" t="s">
        <v>222</v>
      </c>
      <c r="E1316" t="s">
        <v>30</v>
      </c>
      <c r="F1316" s="6">
        <v>45657</v>
      </c>
      <c r="G1316">
        <v>2024</v>
      </c>
      <c r="H1316" t="s">
        <v>57</v>
      </c>
      <c r="I1316" t="s">
        <v>78</v>
      </c>
      <c r="J1316">
        <v>8220</v>
      </c>
      <c r="K1316">
        <v>8066</v>
      </c>
      <c r="L1316">
        <v>0.98126520681265206</v>
      </c>
      <c r="M1316">
        <v>0.98126520681265206</v>
      </c>
      <c r="N1316" t="s">
        <v>6050</v>
      </c>
      <c r="O1316" t="s">
        <v>6051</v>
      </c>
      <c r="P1316" t="s">
        <v>2902</v>
      </c>
      <c r="Q1316">
        <v>2</v>
      </c>
      <c r="R1316">
        <v>2</v>
      </c>
    </row>
    <row r="1317" spans="1:18" x14ac:dyDescent="0.3">
      <c r="A1317" t="s">
        <v>2895</v>
      </c>
      <c r="B1317" t="s">
        <v>2896</v>
      </c>
      <c r="C1317" t="s">
        <v>2862</v>
      </c>
      <c r="D1317" t="s">
        <v>222</v>
      </c>
      <c r="E1317" t="s">
        <v>30</v>
      </c>
      <c r="F1317" s="6">
        <v>45838</v>
      </c>
      <c r="G1317">
        <v>2025</v>
      </c>
      <c r="H1317" t="s">
        <v>44</v>
      </c>
      <c r="I1317" t="s">
        <v>244</v>
      </c>
      <c r="J1317">
        <v>100</v>
      </c>
      <c r="K1317">
        <v>99.85</v>
      </c>
      <c r="L1317">
        <v>0.99849999999999994</v>
      </c>
      <c r="M1317">
        <v>0.99849999999999994</v>
      </c>
      <c r="N1317" t="s">
        <v>102</v>
      </c>
      <c r="O1317" t="s">
        <v>2904</v>
      </c>
      <c r="P1317" t="s">
        <v>2905</v>
      </c>
      <c r="Q1317">
        <v>2</v>
      </c>
      <c r="R1317">
        <v>2</v>
      </c>
    </row>
    <row r="1318" spans="1:18" x14ac:dyDescent="0.3">
      <c r="A1318" t="s">
        <v>2895</v>
      </c>
      <c r="B1318" t="s">
        <v>2896</v>
      </c>
      <c r="C1318" t="s">
        <v>2862</v>
      </c>
      <c r="D1318" t="s">
        <v>222</v>
      </c>
      <c r="E1318" t="s">
        <v>30</v>
      </c>
      <c r="F1318" s="6">
        <v>46022</v>
      </c>
      <c r="G1318">
        <v>2025</v>
      </c>
      <c r="H1318" t="s">
        <v>57</v>
      </c>
      <c r="I1318" t="s">
        <v>103</v>
      </c>
      <c r="J1318">
        <v>100</v>
      </c>
      <c r="K1318">
        <v>97.21</v>
      </c>
      <c r="L1318">
        <v>0.97209999999999996</v>
      </c>
      <c r="M1318">
        <v>0.97209999999999996</v>
      </c>
      <c r="N1318" t="s">
        <v>102</v>
      </c>
      <c r="O1318" t="s">
        <v>2907</v>
      </c>
      <c r="P1318" t="s">
        <v>2908</v>
      </c>
      <c r="Q1318">
        <v>2</v>
      </c>
      <c r="R1318">
        <v>2</v>
      </c>
    </row>
    <row r="1319" spans="1:18" x14ac:dyDescent="0.3">
      <c r="A1319" t="s">
        <v>2909</v>
      </c>
      <c r="B1319" t="s">
        <v>2910</v>
      </c>
      <c r="C1319" t="s">
        <v>2862</v>
      </c>
      <c r="D1319" t="s">
        <v>222</v>
      </c>
      <c r="E1319" t="s">
        <v>30</v>
      </c>
      <c r="F1319" s="6">
        <v>44742</v>
      </c>
      <c r="G1319">
        <v>2022</v>
      </c>
      <c r="H1319" t="s">
        <v>44</v>
      </c>
      <c r="I1319" t="s">
        <v>88</v>
      </c>
      <c r="J1319">
        <v>1004</v>
      </c>
      <c r="K1319">
        <v>1191</v>
      </c>
      <c r="L1319">
        <v>1.1862549800796811</v>
      </c>
      <c r="M1319">
        <v>1.1862549800796811</v>
      </c>
      <c r="N1319" t="s">
        <v>6052</v>
      </c>
      <c r="O1319" t="s">
        <v>6053</v>
      </c>
      <c r="P1319" t="s">
        <v>2911</v>
      </c>
      <c r="Q1319">
        <v>2</v>
      </c>
      <c r="R1319">
        <v>2</v>
      </c>
    </row>
    <row r="1320" spans="1:18" x14ac:dyDescent="0.3">
      <c r="A1320" t="s">
        <v>2909</v>
      </c>
      <c r="B1320" t="s">
        <v>2910</v>
      </c>
      <c r="C1320" t="s">
        <v>2862</v>
      </c>
      <c r="D1320" t="s">
        <v>222</v>
      </c>
      <c r="E1320" t="s">
        <v>30</v>
      </c>
      <c r="F1320" s="6">
        <v>44926</v>
      </c>
      <c r="G1320">
        <v>2022</v>
      </c>
      <c r="H1320" t="s">
        <v>57</v>
      </c>
      <c r="I1320" t="s">
        <v>90</v>
      </c>
      <c r="J1320">
        <v>764</v>
      </c>
      <c r="K1320">
        <v>993</v>
      </c>
      <c r="L1320">
        <v>1.299738219895288</v>
      </c>
      <c r="M1320">
        <v>1.299738219895288</v>
      </c>
      <c r="N1320" t="s">
        <v>6054</v>
      </c>
      <c r="O1320" t="s">
        <v>6055</v>
      </c>
      <c r="P1320" t="s">
        <v>2912</v>
      </c>
      <c r="Q1320">
        <v>2</v>
      </c>
      <c r="R1320">
        <v>2</v>
      </c>
    </row>
    <row r="1321" spans="1:18" x14ac:dyDescent="0.3">
      <c r="A1321" t="s">
        <v>2909</v>
      </c>
      <c r="B1321" t="s">
        <v>2910</v>
      </c>
      <c r="C1321" t="s">
        <v>2862</v>
      </c>
      <c r="D1321" t="s">
        <v>222</v>
      </c>
      <c r="E1321" t="s">
        <v>30</v>
      </c>
      <c r="F1321" s="6">
        <v>45107</v>
      </c>
      <c r="G1321">
        <v>2023</v>
      </c>
      <c r="H1321" t="s">
        <v>44</v>
      </c>
      <c r="I1321" t="s">
        <v>33</v>
      </c>
      <c r="J1321">
        <v>1279</v>
      </c>
      <c r="K1321">
        <v>1399</v>
      </c>
      <c r="L1321">
        <v>1.093823299452698</v>
      </c>
      <c r="M1321">
        <v>1.093823299452698</v>
      </c>
      <c r="N1321" t="s">
        <v>6056</v>
      </c>
      <c r="O1321" t="s">
        <v>6057</v>
      </c>
      <c r="P1321" t="s">
        <v>2913</v>
      </c>
      <c r="Q1321">
        <v>2</v>
      </c>
      <c r="R1321">
        <v>2</v>
      </c>
    </row>
    <row r="1322" spans="1:18" x14ac:dyDescent="0.3">
      <c r="A1322" t="s">
        <v>2909</v>
      </c>
      <c r="B1322" t="s">
        <v>2910</v>
      </c>
      <c r="C1322" t="s">
        <v>2862</v>
      </c>
      <c r="D1322" t="s">
        <v>222</v>
      </c>
      <c r="E1322" t="s">
        <v>30</v>
      </c>
      <c r="F1322" s="6">
        <v>45291</v>
      </c>
      <c r="G1322">
        <v>2023</v>
      </c>
      <c r="H1322" t="s">
        <v>57</v>
      </c>
      <c r="I1322" t="s">
        <v>47</v>
      </c>
      <c r="J1322">
        <v>896</v>
      </c>
      <c r="K1322">
        <v>1305</v>
      </c>
      <c r="L1322">
        <v>1.3</v>
      </c>
      <c r="M1322">
        <v>1.456473214285714</v>
      </c>
      <c r="N1322" t="s">
        <v>6058</v>
      </c>
      <c r="O1322" t="s">
        <v>6059</v>
      </c>
      <c r="P1322" t="s">
        <v>2914</v>
      </c>
      <c r="Q1322">
        <v>2</v>
      </c>
      <c r="R1322">
        <v>2</v>
      </c>
    </row>
    <row r="1323" spans="1:18" x14ac:dyDescent="0.3">
      <c r="A1323" t="s">
        <v>2909</v>
      </c>
      <c r="B1323" t="s">
        <v>2910</v>
      </c>
      <c r="C1323" t="s">
        <v>2862</v>
      </c>
      <c r="D1323" t="s">
        <v>222</v>
      </c>
      <c r="E1323" t="s">
        <v>30</v>
      </c>
      <c r="F1323" s="6">
        <v>45473</v>
      </c>
      <c r="G1323">
        <v>2024</v>
      </c>
      <c r="H1323" t="s">
        <v>44</v>
      </c>
      <c r="I1323" t="s">
        <v>71</v>
      </c>
      <c r="J1323">
        <v>1525</v>
      </c>
      <c r="K1323">
        <v>1506</v>
      </c>
      <c r="L1323">
        <v>0.9875409836065574</v>
      </c>
      <c r="M1323">
        <v>0.9875409836065574</v>
      </c>
      <c r="N1323" t="s">
        <v>6060</v>
      </c>
      <c r="O1323" t="s">
        <v>6061</v>
      </c>
      <c r="P1323" t="s">
        <v>2915</v>
      </c>
      <c r="Q1323">
        <v>2</v>
      </c>
      <c r="R1323">
        <v>2</v>
      </c>
    </row>
    <row r="1324" spans="1:18" x14ac:dyDescent="0.3">
      <c r="A1324" t="s">
        <v>2909</v>
      </c>
      <c r="B1324" t="s">
        <v>2910</v>
      </c>
      <c r="C1324" t="s">
        <v>2862</v>
      </c>
      <c r="D1324" t="s">
        <v>222</v>
      </c>
      <c r="E1324" t="s">
        <v>30</v>
      </c>
      <c r="F1324" s="6">
        <v>45657</v>
      </c>
      <c r="G1324">
        <v>2024</v>
      </c>
      <c r="H1324" t="s">
        <v>57</v>
      </c>
      <c r="I1324" t="s">
        <v>78</v>
      </c>
      <c r="J1324">
        <v>1106</v>
      </c>
      <c r="K1324">
        <v>1317</v>
      </c>
      <c r="L1324">
        <v>1.190777576853526</v>
      </c>
      <c r="M1324">
        <v>1.190777576853526</v>
      </c>
      <c r="N1324" t="s">
        <v>6062</v>
      </c>
      <c r="O1324" t="s">
        <v>6063</v>
      </c>
      <c r="P1324" t="s">
        <v>2916</v>
      </c>
      <c r="Q1324">
        <v>2</v>
      </c>
      <c r="R1324">
        <v>2</v>
      </c>
    </row>
    <row r="1325" spans="1:18" x14ac:dyDescent="0.3">
      <c r="A1325" t="s">
        <v>2909</v>
      </c>
      <c r="B1325" t="s">
        <v>2910</v>
      </c>
      <c r="C1325" t="s">
        <v>2862</v>
      </c>
      <c r="D1325" t="s">
        <v>222</v>
      </c>
      <c r="E1325" t="s">
        <v>30</v>
      </c>
      <c r="F1325" s="6">
        <v>45838</v>
      </c>
      <c r="G1325">
        <v>2025</v>
      </c>
      <c r="H1325" t="s">
        <v>44</v>
      </c>
      <c r="I1325" t="s">
        <v>244</v>
      </c>
      <c r="J1325">
        <v>100</v>
      </c>
      <c r="K1325">
        <v>136.96</v>
      </c>
      <c r="L1325">
        <v>1.3</v>
      </c>
      <c r="M1325">
        <v>1.3695999999999999</v>
      </c>
      <c r="N1325" t="s">
        <v>102</v>
      </c>
      <c r="O1325" t="s">
        <v>2918</v>
      </c>
      <c r="P1325" t="s">
        <v>2919</v>
      </c>
      <c r="Q1325">
        <v>2</v>
      </c>
      <c r="R1325">
        <v>2</v>
      </c>
    </row>
    <row r="1326" spans="1:18" x14ac:dyDescent="0.3">
      <c r="A1326" t="s">
        <v>2909</v>
      </c>
      <c r="B1326" t="s">
        <v>2910</v>
      </c>
      <c r="C1326" t="s">
        <v>2862</v>
      </c>
      <c r="D1326" t="s">
        <v>222</v>
      </c>
      <c r="E1326" t="s">
        <v>30</v>
      </c>
      <c r="F1326" s="6">
        <v>46022</v>
      </c>
      <c r="G1326">
        <v>2025</v>
      </c>
      <c r="H1326" t="s">
        <v>57</v>
      </c>
      <c r="I1326" t="s">
        <v>103</v>
      </c>
      <c r="J1326">
        <v>100</v>
      </c>
      <c r="K1326">
        <v>127.87</v>
      </c>
      <c r="L1326">
        <v>1.2786999999999999</v>
      </c>
      <c r="M1326">
        <v>1.2786999999999999</v>
      </c>
      <c r="N1326" t="s">
        <v>102</v>
      </c>
      <c r="O1326" t="s">
        <v>2921</v>
      </c>
      <c r="P1326" t="s">
        <v>2922</v>
      </c>
      <c r="Q1326">
        <v>2</v>
      </c>
      <c r="R1326">
        <v>2</v>
      </c>
    </row>
    <row r="1327" spans="1:18" x14ac:dyDescent="0.3">
      <c r="A1327" t="s">
        <v>2923</v>
      </c>
      <c r="B1327" t="s">
        <v>2924</v>
      </c>
      <c r="C1327" t="s">
        <v>2862</v>
      </c>
      <c r="D1327" t="s">
        <v>222</v>
      </c>
      <c r="E1327" t="s">
        <v>30</v>
      </c>
      <c r="F1327" s="6">
        <v>44742</v>
      </c>
      <c r="G1327">
        <v>2022</v>
      </c>
      <c r="H1327" t="s">
        <v>44</v>
      </c>
      <c r="I1327" t="s">
        <v>88</v>
      </c>
      <c r="J1327">
        <v>339</v>
      </c>
      <c r="K1327">
        <v>299</v>
      </c>
      <c r="L1327">
        <v>0.88200589970501475</v>
      </c>
      <c r="M1327">
        <v>0.88200589970501475</v>
      </c>
      <c r="N1327" t="s">
        <v>6064</v>
      </c>
      <c r="O1327" t="s">
        <v>6065</v>
      </c>
      <c r="P1327" t="s">
        <v>2925</v>
      </c>
      <c r="Q1327">
        <v>2</v>
      </c>
      <c r="R1327">
        <v>2</v>
      </c>
    </row>
    <row r="1328" spans="1:18" x14ac:dyDescent="0.3">
      <c r="A1328" t="s">
        <v>2923</v>
      </c>
      <c r="B1328" t="s">
        <v>2924</v>
      </c>
      <c r="C1328" t="s">
        <v>2862</v>
      </c>
      <c r="D1328" t="s">
        <v>222</v>
      </c>
      <c r="E1328" t="s">
        <v>30</v>
      </c>
      <c r="F1328" s="6">
        <v>44926</v>
      </c>
      <c r="G1328">
        <v>2022</v>
      </c>
      <c r="H1328" t="s">
        <v>57</v>
      </c>
      <c r="I1328" t="s">
        <v>90</v>
      </c>
      <c r="J1328">
        <v>195</v>
      </c>
      <c r="K1328">
        <v>188</v>
      </c>
      <c r="L1328">
        <v>0.96410256410256412</v>
      </c>
      <c r="M1328">
        <v>0.96410256410256412</v>
      </c>
      <c r="N1328" t="s">
        <v>6066</v>
      </c>
      <c r="O1328" t="s">
        <v>6067</v>
      </c>
      <c r="P1328" t="s">
        <v>2926</v>
      </c>
      <c r="Q1328">
        <v>2</v>
      </c>
      <c r="R1328">
        <v>2</v>
      </c>
    </row>
    <row r="1329" spans="1:18" x14ac:dyDescent="0.3">
      <c r="A1329" t="s">
        <v>2923</v>
      </c>
      <c r="B1329" t="s">
        <v>2924</v>
      </c>
      <c r="C1329" t="s">
        <v>2862</v>
      </c>
      <c r="D1329" t="s">
        <v>222</v>
      </c>
      <c r="E1329" t="s">
        <v>30</v>
      </c>
      <c r="F1329" s="6">
        <v>45107</v>
      </c>
      <c r="G1329">
        <v>2023</v>
      </c>
      <c r="H1329" t="s">
        <v>44</v>
      </c>
      <c r="I1329" t="s">
        <v>33</v>
      </c>
      <c r="J1329">
        <v>306</v>
      </c>
      <c r="K1329">
        <v>332</v>
      </c>
      <c r="L1329">
        <v>1.0849673202614381</v>
      </c>
      <c r="M1329">
        <v>1.0849673202614381</v>
      </c>
      <c r="N1329" t="s">
        <v>6068</v>
      </c>
      <c r="O1329" t="s">
        <v>6069</v>
      </c>
      <c r="P1329" t="s">
        <v>2927</v>
      </c>
      <c r="Q1329">
        <v>2</v>
      </c>
      <c r="R1329">
        <v>2</v>
      </c>
    </row>
    <row r="1330" spans="1:18" x14ac:dyDescent="0.3">
      <c r="A1330" t="s">
        <v>2923</v>
      </c>
      <c r="B1330" t="s">
        <v>2924</v>
      </c>
      <c r="C1330" t="s">
        <v>2862</v>
      </c>
      <c r="D1330" t="s">
        <v>222</v>
      </c>
      <c r="E1330" t="s">
        <v>30</v>
      </c>
      <c r="F1330" s="6">
        <v>45291</v>
      </c>
      <c r="G1330">
        <v>2023</v>
      </c>
      <c r="H1330" t="s">
        <v>57</v>
      </c>
      <c r="I1330" t="s">
        <v>47</v>
      </c>
      <c r="J1330">
        <v>195</v>
      </c>
      <c r="K1330">
        <v>224</v>
      </c>
      <c r="L1330">
        <v>1.1487179487179491</v>
      </c>
      <c r="M1330">
        <v>1.1487179487179491</v>
      </c>
      <c r="N1330" t="s">
        <v>6066</v>
      </c>
      <c r="O1330" t="s">
        <v>6070</v>
      </c>
      <c r="P1330" t="s">
        <v>2928</v>
      </c>
      <c r="Q1330">
        <v>2</v>
      </c>
      <c r="R1330">
        <v>2</v>
      </c>
    </row>
    <row r="1331" spans="1:18" x14ac:dyDescent="0.3">
      <c r="A1331" t="s">
        <v>2923</v>
      </c>
      <c r="B1331" t="s">
        <v>2924</v>
      </c>
      <c r="C1331" t="s">
        <v>2862</v>
      </c>
      <c r="D1331" t="s">
        <v>222</v>
      </c>
      <c r="E1331" t="s">
        <v>30</v>
      </c>
      <c r="F1331" s="6">
        <v>45473</v>
      </c>
      <c r="G1331">
        <v>2024</v>
      </c>
      <c r="H1331" t="s">
        <v>44</v>
      </c>
      <c r="I1331" t="s">
        <v>71</v>
      </c>
      <c r="J1331">
        <v>363</v>
      </c>
      <c r="K1331">
        <v>361</v>
      </c>
      <c r="L1331">
        <v>0.99449035812672182</v>
      </c>
      <c r="M1331">
        <v>0.99449035812672182</v>
      </c>
      <c r="N1331" t="s">
        <v>6071</v>
      </c>
      <c r="O1331" t="s">
        <v>6072</v>
      </c>
      <c r="P1331" t="s">
        <v>2929</v>
      </c>
      <c r="Q1331">
        <v>2</v>
      </c>
      <c r="R1331">
        <v>2</v>
      </c>
    </row>
    <row r="1332" spans="1:18" x14ac:dyDescent="0.3">
      <c r="A1332" t="s">
        <v>2923</v>
      </c>
      <c r="B1332" t="s">
        <v>2924</v>
      </c>
      <c r="C1332" t="s">
        <v>2862</v>
      </c>
      <c r="D1332" t="s">
        <v>222</v>
      </c>
      <c r="E1332" t="s">
        <v>30</v>
      </c>
      <c r="F1332" s="6">
        <v>45657</v>
      </c>
      <c r="G1332">
        <v>2024</v>
      </c>
      <c r="H1332" t="s">
        <v>57</v>
      </c>
      <c r="I1332" t="s">
        <v>78</v>
      </c>
      <c r="J1332">
        <v>248</v>
      </c>
      <c r="K1332">
        <v>218</v>
      </c>
      <c r="L1332">
        <v>0.87903225806451613</v>
      </c>
      <c r="M1332">
        <v>0.87903225806451613</v>
      </c>
      <c r="N1332" t="s">
        <v>6073</v>
      </c>
      <c r="O1332" t="s">
        <v>6074</v>
      </c>
      <c r="P1332" t="s">
        <v>2930</v>
      </c>
      <c r="Q1332">
        <v>2</v>
      </c>
      <c r="R1332">
        <v>2</v>
      </c>
    </row>
    <row r="1333" spans="1:18" x14ac:dyDescent="0.3">
      <c r="A1333" t="s">
        <v>2923</v>
      </c>
      <c r="B1333" t="s">
        <v>2924</v>
      </c>
      <c r="C1333" t="s">
        <v>2862</v>
      </c>
      <c r="D1333" t="s">
        <v>222</v>
      </c>
      <c r="E1333" t="s">
        <v>30</v>
      </c>
      <c r="F1333" s="6">
        <v>45838</v>
      </c>
      <c r="G1333">
        <v>2025</v>
      </c>
      <c r="H1333" t="s">
        <v>44</v>
      </c>
      <c r="I1333" t="s">
        <v>244</v>
      </c>
      <c r="J1333">
        <v>100</v>
      </c>
      <c r="K1333">
        <v>103.23</v>
      </c>
      <c r="L1333">
        <v>1.0323</v>
      </c>
      <c r="M1333">
        <v>1.0323</v>
      </c>
      <c r="N1333" t="s">
        <v>102</v>
      </c>
      <c r="O1333" t="s">
        <v>2932</v>
      </c>
      <c r="P1333" t="s">
        <v>2933</v>
      </c>
      <c r="Q1333">
        <v>2</v>
      </c>
      <c r="R1333">
        <v>2</v>
      </c>
    </row>
    <row r="1334" spans="1:18" x14ac:dyDescent="0.3">
      <c r="A1334" t="s">
        <v>2923</v>
      </c>
      <c r="B1334" t="s">
        <v>2924</v>
      </c>
      <c r="C1334" t="s">
        <v>2862</v>
      </c>
      <c r="D1334" t="s">
        <v>222</v>
      </c>
      <c r="E1334" t="s">
        <v>30</v>
      </c>
      <c r="F1334" s="6">
        <v>46022</v>
      </c>
      <c r="G1334">
        <v>2025</v>
      </c>
      <c r="H1334" t="s">
        <v>57</v>
      </c>
      <c r="I1334" t="s">
        <v>103</v>
      </c>
      <c r="J1334">
        <v>100</v>
      </c>
      <c r="K1334">
        <v>100.93</v>
      </c>
      <c r="L1334">
        <v>1.0093000000000001</v>
      </c>
      <c r="M1334">
        <v>1.0093000000000001</v>
      </c>
      <c r="N1334" t="s">
        <v>102</v>
      </c>
      <c r="O1334" t="s">
        <v>1720</v>
      </c>
      <c r="P1334" t="s">
        <v>2934</v>
      </c>
      <c r="Q1334">
        <v>2</v>
      </c>
      <c r="R1334">
        <v>2</v>
      </c>
    </row>
    <row r="1335" spans="1:18" x14ac:dyDescent="0.3">
      <c r="A1335" t="s">
        <v>2935</v>
      </c>
      <c r="B1335" t="s">
        <v>2936</v>
      </c>
      <c r="C1335" t="s">
        <v>2937</v>
      </c>
      <c r="D1335" t="s">
        <v>222</v>
      </c>
      <c r="E1335" t="s">
        <v>30</v>
      </c>
      <c r="F1335" s="6">
        <v>44742</v>
      </c>
      <c r="G1335">
        <v>2022</v>
      </c>
      <c r="H1335" t="s">
        <v>44</v>
      </c>
      <c r="I1335" t="s">
        <v>88</v>
      </c>
      <c r="J1335">
        <v>4345.5951990000003</v>
      </c>
      <c r="K1335">
        <v>4697.0352290000001</v>
      </c>
      <c r="L1335">
        <v>1.0808727030260139</v>
      </c>
      <c r="M1335">
        <v>1.0808727030260139</v>
      </c>
      <c r="N1335" t="s">
        <v>6075</v>
      </c>
      <c r="O1335" t="s">
        <v>6076</v>
      </c>
      <c r="P1335" t="s">
        <v>2938</v>
      </c>
      <c r="Q1335">
        <v>2</v>
      </c>
      <c r="R1335">
        <v>2</v>
      </c>
    </row>
    <row r="1336" spans="1:18" x14ac:dyDescent="0.3">
      <c r="A1336" t="s">
        <v>2935</v>
      </c>
      <c r="B1336" t="s">
        <v>2936</v>
      </c>
      <c r="C1336" t="s">
        <v>2937</v>
      </c>
      <c r="D1336" t="s">
        <v>222</v>
      </c>
      <c r="E1336" t="s">
        <v>30</v>
      </c>
      <c r="F1336" s="6">
        <v>44926</v>
      </c>
      <c r="G1336">
        <v>2022</v>
      </c>
      <c r="H1336" t="s">
        <v>57</v>
      </c>
      <c r="I1336" t="s">
        <v>90</v>
      </c>
      <c r="J1336">
        <v>9015.4048010000006</v>
      </c>
      <c r="K1336">
        <v>10035.311890999999</v>
      </c>
      <c r="L1336">
        <v>1.113129372725101</v>
      </c>
      <c r="M1336">
        <v>1.113129372725101</v>
      </c>
      <c r="N1336" t="s">
        <v>6077</v>
      </c>
      <c r="O1336" t="s">
        <v>6078</v>
      </c>
      <c r="P1336" t="s">
        <v>2939</v>
      </c>
      <c r="Q1336">
        <v>2</v>
      </c>
      <c r="R1336">
        <v>2</v>
      </c>
    </row>
    <row r="1337" spans="1:18" x14ac:dyDescent="0.3">
      <c r="A1337" t="s">
        <v>2935</v>
      </c>
      <c r="B1337" t="s">
        <v>2936</v>
      </c>
      <c r="C1337" t="s">
        <v>2937</v>
      </c>
      <c r="D1337" t="s">
        <v>222</v>
      </c>
      <c r="E1337" t="s">
        <v>30</v>
      </c>
      <c r="F1337" s="6">
        <v>45107</v>
      </c>
      <c r="G1337">
        <v>2023</v>
      </c>
      <c r="H1337" t="s">
        <v>44</v>
      </c>
      <c r="I1337" t="s">
        <v>33</v>
      </c>
      <c r="J1337">
        <v>5315.2060000000001</v>
      </c>
      <c r="K1337">
        <v>5473.8577590000004</v>
      </c>
      <c r="L1337">
        <v>1.0298486566654239</v>
      </c>
      <c r="M1337">
        <v>1.0298486566654239</v>
      </c>
      <c r="N1337" t="s">
        <v>6079</v>
      </c>
      <c r="O1337" t="s">
        <v>6080</v>
      </c>
      <c r="P1337" t="s">
        <v>2940</v>
      </c>
      <c r="Q1337">
        <v>2</v>
      </c>
      <c r="R1337">
        <v>2</v>
      </c>
    </row>
    <row r="1338" spans="1:18" x14ac:dyDescent="0.3">
      <c r="A1338" t="s">
        <v>2935</v>
      </c>
      <c r="B1338" t="s">
        <v>2936</v>
      </c>
      <c r="C1338" t="s">
        <v>2937</v>
      </c>
      <c r="D1338" t="s">
        <v>222</v>
      </c>
      <c r="E1338" t="s">
        <v>30</v>
      </c>
      <c r="F1338" s="6">
        <v>45291</v>
      </c>
      <c r="G1338">
        <v>2023</v>
      </c>
      <c r="H1338" t="s">
        <v>57</v>
      </c>
      <c r="I1338" t="s">
        <v>47</v>
      </c>
      <c r="J1338">
        <v>14097.721</v>
      </c>
      <c r="K1338">
        <v>17697.080526999998</v>
      </c>
      <c r="L1338">
        <v>1.2553149921891631</v>
      </c>
      <c r="M1338">
        <v>1.2553149921891631</v>
      </c>
      <c r="N1338" t="s">
        <v>6081</v>
      </c>
      <c r="O1338" t="s">
        <v>6082</v>
      </c>
      <c r="P1338" t="s">
        <v>2941</v>
      </c>
      <c r="Q1338">
        <v>2</v>
      </c>
      <c r="R1338">
        <v>2</v>
      </c>
    </row>
    <row r="1339" spans="1:18" x14ac:dyDescent="0.3">
      <c r="A1339" t="s">
        <v>2935</v>
      </c>
      <c r="B1339" t="s">
        <v>2936</v>
      </c>
      <c r="C1339" t="s">
        <v>2937</v>
      </c>
      <c r="D1339" t="s">
        <v>222</v>
      </c>
      <c r="E1339" t="s">
        <v>30</v>
      </c>
      <c r="F1339" s="6">
        <v>45473</v>
      </c>
      <c r="G1339">
        <v>2024</v>
      </c>
      <c r="H1339" t="s">
        <v>44</v>
      </c>
      <c r="I1339" t="s">
        <v>71</v>
      </c>
      <c r="J1339">
        <v>5441.4588450000001</v>
      </c>
      <c r="K1339">
        <v>6182.8620629999996</v>
      </c>
      <c r="L1339">
        <v>1.1362508178631641</v>
      </c>
      <c r="M1339">
        <v>1.1362508178631641</v>
      </c>
      <c r="N1339" t="s">
        <v>6083</v>
      </c>
      <c r="O1339" t="s">
        <v>6084</v>
      </c>
      <c r="P1339" t="s">
        <v>2942</v>
      </c>
      <c r="Q1339">
        <v>2</v>
      </c>
      <c r="R1339">
        <v>2</v>
      </c>
    </row>
    <row r="1340" spans="1:18" x14ac:dyDescent="0.3">
      <c r="A1340" t="s">
        <v>2935</v>
      </c>
      <c r="B1340" t="s">
        <v>2936</v>
      </c>
      <c r="C1340" t="s">
        <v>2937</v>
      </c>
      <c r="D1340" t="s">
        <v>222</v>
      </c>
      <c r="E1340" t="s">
        <v>30</v>
      </c>
      <c r="F1340" s="6">
        <v>45657</v>
      </c>
      <c r="G1340">
        <v>2024</v>
      </c>
      <c r="H1340" t="s">
        <v>57</v>
      </c>
      <c r="I1340" t="s">
        <v>78</v>
      </c>
      <c r="J1340">
        <v>15507.4931</v>
      </c>
      <c r="K1340">
        <v>13243.138849000001</v>
      </c>
      <c r="L1340">
        <v>0.85398321724869908</v>
      </c>
      <c r="M1340">
        <v>0.85398321724869908</v>
      </c>
      <c r="N1340" t="s">
        <v>6085</v>
      </c>
      <c r="O1340" t="s">
        <v>6086</v>
      </c>
      <c r="P1340" t="s">
        <v>2943</v>
      </c>
      <c r="Q1340">
        <v>2</v>
      </c>
      <c r="R1340">
        <v>2</v>
      </c>
    </row>
    <row r="1341" spans="1:18" x14ac:dyDescent="0.3">
      <c r="A1341" t="s">
        <v>2935</v>
      </c>
      <c r="B1341" t="s">
        <v>2936</v>
      </c>
      <c r="C1341" t="s">
        <v>2937</v>
      </c>
      <c r="D1341" t="s">
        <v>222</v>
      </c>
      <c r="E1341" t="s">
        <v>30</v>
      </c>
      <c r="F1341" s="6">
        <v>45838</v>
      </c>
      <c r="G1341">
        <v>2025</v>
      </c>
      <c r="H1341" t="s">
        <v>44</v>
      </c>
      <c r="I1341" t="s">
        <v>244</v>
      </c>
      <c r="J1341">
        <v>100</v>
      </c>
      <c r="K1341">
        <v>118.92</v>
      </c>
      <c r="L1341">
        <v>1.1892</v>
      </c>
      <c r="M1341">
        <v>1.1892</v>
      </c>
      <c r="N1341" t="s">
        <v>102</v>
      </c>
      <c r="O1341" t="s">
        <v>2945</v>
      </c>
      <c r="P1341" t="s">
        <v>2946</v>
      </c>
      <c r="Q1341">
        <v>2</v>
      </c>
      <c r="R1341">
        <v>2</v>
      </c>
    </row>
    <row r="1342" spans="1:18" x14ac:dyDescent="0.3">
      <c r="A1342" t="s">
        <v>2935</v>
      </c>
      <c r="B1342" t="s">
        <v>2936</v>
      </c>
      <c r="C1342" t="s">
        <v>2937</v>
      </c>
      <c r="D1342" t="s">
        <v>222</v>
      </c>
      <c r="E1342" t="s">
        <v>30</v>
      </c>
      <c r="F1342" s="6">
        <v>46022</v>
      </c>
      <c r="G1342">
        <v>2025</v>
      </c>
      <c r="H1342" t="s">
        <v>57</v>
      </c>
      <c r="I1342" t="s">
        <v>103</v>
      </c>
      <c r="J1342">
        <v>100</v>
      </c>
      <c r="K1342">
        <v>108.89</v>
      </c>
      <c r="L1342">
        <v>1.0889</v>
      </c>
      <c r="M1342">
        <v>1.0889</v>
      </c>
      <c r="N1342" t="s">
        <v>102</v>
      </c>
      <c r="O1342" t="s">
        <v>2948</v>
      </c>
      <c r="P1342" t="s">
        <v>2949</v>
      </c>
      <c r="Q1342">
        <v>2</v>
      </c>
      <c r="R1342">
        <v>2</v>
      </c>
    </row>
    <row r="1343" spans="1:18" x14ac:dyDescent="0.3">
      <c r="A1343" t="s">
        <v>2950</v>
      </c>
      <c r="B1343" t="s">
        <v>2951</v>
      </c>
      <c r="C1343" t="s">
        <v>2937</v>
      </c>
      <c r="D1343" t="s">
        <v>222</v>
      </c>
      <c r="E1343" t="s">
        <v>30</v>
      </c>
      <c r="F1343" s="6">
        <v>45291</v>
      </c>
      <c r="G1343">
        <v>2023</v>
      </c>
      <c r="H1343" t="s">
        <v>57</v>
      </c>
      <c r="I1343" t="s">
        <v>47</v>
      </c>
      <c r="J1343">
        <v>8782.5149999999994</v>
      </c>
      <c r="K1343">
        <v>12139.120171</v>
      </c>
      <c r="L1343">
        <v>1.3</v>
      </c>
      <c r="M1343">
        <v>1.3821917948332569</v>
      </c>
      <c r="N1343" t="s">
        <v>6087</v>
      </c>
      <c r="O1343" t="s">
        <v>6088</v>
      </c>
      <c r="P1343" t="s">
        <v>2952</v>
      </c>
      <c r="Q1343">
        <v>2</v>
      </c>
      <c r="R1343">
        <v>2</v>
      </c>
    </row>
    <row r="1344" spans="1:18" x14ac:dyDescent="0.3">
      <c r="A1344" t="s">
        <v>2950</v>
      </c>
      <c r="B1344" t="s">
        <v>2951</v>
      </c>
      <c r="C1344" t="s">
        <v>2937</v>
      </c>
      <c r="D1344" t="s">
        <v>222</v>
      </c>
      <c r="E1344" t="s">
        <v>30</v>
      </c>
      <c r="F1344" s="6">
        <v>45473</v>
      </c>
      <c r="G1344">
        <v>2024</v>
      </c>
      <c r="H1344" t="s">
        <v>44</v>
      </c>
      <c r="I1344" t="s">
        <v>71</v>
      </c>
      <c r="J1344">
        <v>5441.4588450000001</v>
      </c>
      <c r="K1344">
        <v>6182.8620629999996</v>
      </c>
      <c r="L1344">
        <v>1.1362508178631641</v>
      </c>
      <c r="M1344">
        <v>1.1362508178631641</v>
      </c>
      <c r="N1344" t="s">
        <v>6083</v>
      </c>
      <c r="O1344" t="s">
        <v>6084</v>
      </c>
      <c r="P1344" t="s">
        <v>2953</v>
      </c>
      <c r="Q1344">
        <v>2</v>
      </c>
      <c r="R1344">
        <v>2</v>
      </c>
    </row>
    <row r="1345" spans="1:18" x14ac:dyDescent="0.3">
      <c r="A1345" t="s">
        <v>2950</v>
      </c>
      <c r="B1345" t="s">
        <v>2951</v>
      </c>
      <c r="C1345" t="s">
        <v>2937</v>
      </c>
      <c r="D1345" t="s">
        <v>222</v>
      </c>
      <c r="E1345" t="s">
        <v>30</v>
      </c>
      <c r="F1345" s="6">
        <v>45657</v>
      </c>
      <c r="G1345">
        <v>2024</v>
      </c>
      <c r="H1345" t="s">
        <v>57</v>
      </c>
      <c r="I1345" t="s">
        <v>78</v>
      </c>
      <c r="J1345">
        <v>10066.034255</v>
      </c>
      <c r="K1345">
        <v>7550.5316910000001</v>
      </c>
      <c r="L1345">
        <v>0.75009994002846747</v>
      </c>
      <c r="M1345">
        <v>0.75009994002846747</v>
      </c>
      <c r="N1345" t="s">
        <v>6089</v>
      </c>
      <c r="O1345" t="s">
        <v>6090</v>
      </c>
      <c r="P1345" t="s">
        <v>2954</v>
      </c>
      <c r="Q1345">
        <v>2</v>
      </c>
      <c r="R1345">
        <v>2</v>
      </c>
    </row>
    <row r="1346" spans="1:18" x14ac:dyDescent="0.3">
      <c r="A1346" t="s">
        <v>2950</v>
      </c>
      <c r="B1346" t="s">
        <v>2951</v>
      </c>
      <c r="C1346" t="s">
        <v>2937</v>
      </c>
      <c r="D1346" t="s">
        <v>222</v>
      </c>
      <c r="E1346" t="s">
        <v>30</v>
      </c>
      <c r="F1346" s="6">
        <v>45838</v>
      </c>
      <c r="G1346">
        <v>2025</v>
      </c>
      <c r="H1346" t="s">
        <v>44</v>
      </c>
      <c r="I1346" t="s">
        <v>244</v>
      </c>
      <c r="J1346">
        <v>100</v>
      </c>
      <c r="K1346">
        <v>118.92</v>
      </c>
      <c r="L1346">
        <v>1.1892</v>
      </c>
      <c r="M1346">
        <v>1.1892</v>
      </c>
      <c r="N1346" t="s">
        <v>102</v>
      </c>
      <c r="O1346" t="s">
        <v>2945</v>
      </c>
      <c r="P1346" t="s">
        <v>2955</v>
      </c>
      <c r="Q1346">
        <v>2</v>
      </c>
      <c r="R1346">
        <v>2</v>
      </c>
    </row>
    <row r="1347" spans="1:18" x14ac:dyDescent="0.3">
      <c r="A1347" t="s">
        <v>2950</v>
      </c>
      <c r="B1347" t="s">
        <v>2951</v>
      </c>
      <c r="C1347" t="s">
        <v>2937</v>
      </c>
      <c r="D1347" t="s">
        <v>222</v>
      </c>
      <c r="E1347" t="s">
        <v>30</v>
      </c>
      <c r="F1347" s="6">
        <v>46022</v>
      </c>
      <c r="G1347">
        <v>2025</v>
      </c>
      <c r="H1347" t="s">
        <v>57</v>
      </c>
      <c r="I1347" t="s">
        <v>103</v>
      </c>
      <c r="J1347">
        <v>100</v>
      </c>
      <c r="K1347">
        <v>106.54</v>
      </c>
      <c r="L1347">
        <v>1.0653999999999999</v>
      </c>
      <c r="M1347">
        <v>1.0653999999999999</v>
      </c>
      <c r="N1347" t="s">
        <v>102</v>
      </c>
      <c r="O1347" t="s">
        <v>2957</v>
      </c>
      <c r="P1347" t="s">
        <v>2958</v>
      </c>
      <c r="Q1347">
        <v>2</v>
      </c>
      <c r="R1347">
        <v>2</v>
      </c>
    </row>
    <row r="1348" spans="1:18" x14ac:dyDescent="0.3">
      <c r="A1348" t="s">
        <v>2959</v>
      </c>
      <c r="B1348" t="s">
        <v>2960</v>
      </c>
      <c r="C1348" t="s">
        <v>2937</v>
      </c>
      <c r="D1348" t="s">
        <v>222</v>
      </c>
      <c r="E1348" t="s">
        <v>30</v>
      </c>
      <c r="F1348" s="6">
        <v>45107</v>
      </c>
      <c r="G1348">
        <v>2023</v>
      </c>
      <c r="H1348" t="s">
        <v>44</v>
      </c>
      <c r="I1348" t="s">
        <v>33</v>
      </c>
      <c r="J1348">
        <v>240.869</v>
      </c>
      <c r="K1348">
        <v>883.81096500000001</v>
      </c>
      <c r="L1348">
        <v>1.3</v>
      </c>
      <c r="M1348">
        <v>3.6692599089131441</v>
      </c>
      <c r="P1348" t="s">
        <v>6091</v>
      </c>
      <c r="Q1348">
        <v>0</v>
      </c>
      <c r="R1348">
        <v>0</v>
      </c>
    </row>
    <row r="1349" spans="1:18" x14ac:dyDescent="0.3">
      <c r="A1349" t="s">
        <v>2959</v>
      </c>
      <c r="B1349" t="s">
        <v>2960</v>
      </c>
      <c r="C1349" t="s">
        <v>2937</v>
      </c>
      <c r="D1349" t="s">
        <v>222</v>
      </c>
      <c r="E1349" t="s">
        <v>30</v>
      </c>
      <c r="F1349" s="6">
        <v>45291</v>
      </c>
      <c r="G1349">
        <v>2023</v>
      </c>
      <c r="H1349" t="s">
        <v>57</v>
      </c>
      <c r="I1349" t="s">
        <v>47</v>
      </c>
      <c r="J1349">
        <v>1357.778</v>
      </c>
      <c r="K1349">
        <v>3779.9283479999999</v>
      </c>
      <c r="L1349">
        <v>1.3</v>
      </c>
      <c r="M1349">
        <v>2.7839074929774972</v>
      </c>
      <c r="N1349" t="s">
        <v>6092</v>
      </c>
      <c r="O1349" t="s">
        <v>6093</v>
      </c>
      <c r="P1349" t="s">
        <v>2961</v>
      </c>
      <c r="Q1349">
        <v>2</v>
      </c>
      <c r="R1349">
        <v>2</v>
      </c>
    </row>
    <row r="1350" spans="1:18" x14ac:dyDescent="0.3">
      <c r="A1350" t="s">
        <v>2959</v>
      </c>
      <c r="B1350" t="s">
        <v>2960</v>
      </c>
      <c r="C1350" t="s">
        <v>2937</v>
      </c>
      <c r="D1350" t="s">
        <v>222</v>
      </c>
      <c r="E1350" t="s">
        <v>30</v>
      </c>
      <c r="F1350" s="6">
        <v>45473</v>
      </c>
      <c r="G1350">
        <v>2024</v>
      </c>
      <c r="H1350" t="s">
        <v>44</v>
      </c>
      <c r="I1350" t="s">
        <v>71</v>
      </c>
      <c r="J1350">
        <v>817.70707000000004</v>
      </c>
      <c r="K1350">
        <v>1076.3764839999999</v>
      </c>
      <c r="L1350">
        <v>1.3</v>
      </c>
      <c r="M1350">
        <v>1.3163350587148519</v>
      </c>
      <c r="N1350" t="s">
        <v>6094</v>
      </c>
      <c r="O1350" t="s">
        <v>6095</v>
      </c>
      <c r="P1350" t="s">
        <v>2962</v>
      </c>
      <c r="Q1350">
        <v>2</v>
      </c>
      <c r="R1350">
        <v>2</v>
      </c>
    </row>
    <row r="1351" spans="1:18" x14ac:dyDescent="0.3">
      <c r="A1351" t="s">
        <v>2959</v>
      </c>
      <c r="B1351" t="s">
        <v>2960</v>
      </c>
      <c r="C1351" t="s">
        <v>2937</v>
      </c>
      <c r="D1351" t="s">
        <v>222</v>
      </c>
      <c r="E1351" t="s">
        <v>30</v>
      </c>
      <c r="F1351" s="6">
        <v>45657</v>
      </c>
      <c r="G1351">
        <v>2024</v>
      </c>
      <c r="H1351" t="s">
        <v>57</v>
      </c>
      <c r="I1351" t="s">
        <v>78</v>
      </c>
      <c r="J1351">
        <v>3424.207396199999</v>
      </c>
      <c r="K1351">
        <v>4694.2130900000002</v>
      </c>
      <c r="L1351">
        <v>1.3</v>
      </c>
      <c r="M1351">
        <v>1.3708904125402519</v>
      </c>
      <c r="N1351" t="s">
        <v>6096</v>
      </c>
      <c r="O1351" t="s">
        <v>6097</v>
      </c>
      <c r="P1351" t="s">
        <v>2963</v>
      </c>
      <c r="Q1351">
        <v>2</v>
      </c>
      <c r="R1351">
        <v>2</v>
      </c>
    </row>
    <row r="1352" spans="1:18" x14ac:dyDescent="0.3">
      <c r="A1352" t="s">
        <v>2959</v>
      </c>
      <c r="B1352" t="s">
        <v>2960</v>
      </c>
      <c r="C1352" t="s">
        <v>2937</v>
      </c>
      <c r="D1352" t="s">
        <v>222</v>
      </c>
      <c r="E1352" t="s">
        <v>30</v>
      </c>
      <c r="F1352" s="6">
        <v>45838</v>
      </c>
      <c r="G1352">
        <v>2025</v>
      </c>
      <c r="H1352" t="s">
        <v>44</v>
      </c>
      <c r="I1352" t="s">
        <v>244</v>
      </c>
      <c r="J1352">
        <v>1392.56187</v>
      </c>
      <c r="K1352">
        <v>1610.582185</v>
      </c>
      <c r="L1352">
        <v>1.1565605950419999</v>
      </c>
      <c r="M1352">
        <v>1.1565605950419999</v>
      </c>
      <c r="N1352" t="s">
        <v>6098</v>
      </c>
      <c r="O1352" t="s">
        <v>6099</v>
      </c>
      <c r="P1352" t="s">
        <v>2964</v>
      </c>
      <c r="Q1352">
        <v>2</v>
      </c>
      <c r="R1352">
        <v>2</v>
      </c>
    </row>
    <row r="1353" spans="1:18" x14ac:dyDescent="0.3">
      <c r="A1353" t="s">
        <v>2965</v>
      </c>
      <c r="B1353" t="s">
        <v>2966</v>
      </c>
      <c r="C1353" t="s">
        <v>2937</v>
      </c>
      <c r="D1353" t="s">
        <v>222</v>
      </c>
      <c r="E1353" t="s">
        <v>30</v>
      </c>
      <c r="F1353" s="6">
        <v>45107</v>
      </c>
      <c r="G1353">
        <v>2023</v>
      </c>
      <c r="H1353" t="s">
        <v>44</v>
      </c>
      <c r="I1353" t="s">
        <v>33</v>
      </c>
      <c r="J1353">
        <v>2268.5070000000001</v>
      </c>
      <c r="K1353">
        <v>2406.8934370000002</v>
      </c>
      <c r="L1353">
        <v>1.0610033105474219</v>
      </c>
      <c r="M1353">
        <v>1.0610033105474219</v>
      </c>
      <c r="P1353" t="s">
        <v>6100</v>
      </c>
      <c r="Q1353">
        <v>0</v>
      </c>
      <c r="R1353">
        <v>0</v>
      </c>
    </row>
    <row r="1354" spans="1:18" x14ac:dyDescent="0.3">
      <c r="A1354" t="s">
        <v>2965</v>
      </c>
      <c r="B1354" t="s">
        <v>2966</v>
      </c>
      <c r="C1354" t="s">
        <v>2937</v>
      </c>
      <c r="D1354" t="s">
        <v>222</v>
      </c>
      <c r="E1354" t="s">
        <v>30</v>
      </c>
      <c r="F1354" s="6">
        <v>45291</v>
      </c>
      <c r="G1354">
        <v>2023</v>
      </c>
      <c r="H1354" t="s">
        <v>57</v>
      </c>
      <c r="I1354" t="s">
        <v>47</v>
      </c>
      <c r="J1354">
        <v>7082.0029999999997</v>
      </c>
      <c r="K1354">
        <v>9868.4183170000015</v>
      </c>
      <c r="L1354">
        <v>1.3</v>
      </c>
      <c r="M1354">
        <v>1.393450174618678</v>
      </c>
      <c r="N1354" t="s">
        <v>6101</v>
      </c>
      <c r="O1354" t="s">
        <v>6102</v>
      </c>
      <c r="P1354" t="s">
        <v>2967</v>
      </c>
      <c r="Q1354">
        <v>2</v>
      </c>
      <c r="R1354">
        <v>2</v>
      </c>
    </row>
    <row r="1355" spans="1:18" x14ac:dyDescent="0.3">
      <c r="A1355" t="s">
        <v>2965</v>
      </c>
      <c r="B1355" t="s">
        <v>2966</v>
      </c>
      <c r="C1355" t="s">
        <v>2937</v>
      </c>
      <c r="D1355" t="s">
        <v>222</v>
      </c>
      <c r="E1355" t="s">
        <v>30</v>
      </c>
      <c r="F1355" s="6">
        <v>45473</v>
      </c>
      <c r="G1355">
        <v>2024</v>
      </c>
      <c r="H1355" t="s">
        <v>44</v>
      </c>
      <c r="I1355" t="s">
        <v>71</v>
      </c>
      <c r="J1355">
        <v>2674.9657400000001</v>
      </c>
      <c r="K1355">
        <v>2915.5557789999998</v>
      </c>
      <c r="L1355">
        <v>1.089941353417109</v>
      </c>
      <c r="M1355">
        <v>1.089941353417109</v>
      </c>
      <c r="N1355" t="s">
        <v>6103</v>
      </c>
      <c r="O1355" t="s">
        <v>6104</v>
      </c>
      <c r="P1355" t="s">
        <v>2968</v>
      </c>
      <c r="Q1355">
        <v>2</v>
      </c>
      <c r="R1355">
        <v>2</v>
      </c>
    </row>
    <row r="1356" spans="1:18" x14ac:dyDescent="0.3">
      <c r="A1356" t="s">
        <v>2965</v>
      </c>
      <c r="B1356" t="s">
        <v>2966</v>
      </c>
      <c r="C1356" t="s">
        <v>2937</v>
      </c>
      <c r="D1356" t="s">
        <v>222</v>
      </c>
      <c r="E1356" t="s">
        <v>30</v>
      </c>
      <c r="F1356" s="6">
        <v>45657</v>
      </c>
      <c r="G1356">
        <v>2024</v>
      </c>
      <c r="H1356" t="s">
        <v>57</v>
      </c>
      <c r="I1356" t="s">
        <v>78</v>
      </c>
      <c r="J1356">
        <v>7711.1257611000001</v>
      </c>
      <c r="K1356">
        <v>4170.686009</v>
      </c>
      <c r="L1356">
        <v>0.54086603411912804</v>
      </c>
      <c r="M1356">
        <v>0.54086603411912804</v>
      </c>
      <c r="N1356" t="s">
        <v>6105</v>
      </c>
      <c r="O1356" t="s">
        <v>6106</v>
      </c>
      <c r="P1356" t="s">
        <v>2969</v>
      </c>
      <c r="Q1356">
        <v>2</v>
      </c>
      <c r="R1356">
        <v>2</v>
      </c>
    </row>
    <row r="1357" spans="1:18" x14ac:dyDescent="0.3">
      <c r="A1357" t="s">
        <v>2965</v>
      </c>
      <c r="B1357" t="s">
        <v>2966</v>
      </c>
      <c r="C1357" t="s">
        <v>2937</v>
      </c>
      <c r="D1357" t="s">
        <v>222</v>
      </c>
      <c r="E1357" t="s">
        <v>30</v>
      </c>
      <c r="F1357" s="6">
        <v>45838</v>
      </c>
      <c r="G1357">
        <v>2025</v>
      </c>
      <c r="H1357" t="s">
        <v>44</v>
      </c>
      <c r="I1357" t="s">
        <v>244</v>
      </c>
      <c r="J1357">
        <v>2655.6515559999998</v>
      </c>
      <c r="K1357">
        <v>3358.9061839999999</v>
      </c>
      <c r="L1357">
        <v>1.264814345244621</v>
      </c>
      <c r="M1357">
        <v>1.264814345244621</v>
      </c>
      <c r="N1357" t="s">
        <v>6107</v>
      </c>
      <c r="O1357" t="s">
        <v>6108</v>
      </c>
      <c r="P1357" t="s">
        <v>2970</v>
      </c>
      <c r="Q1357">
        <v>2</v>
      </c>
      <c r="R1357">
        <v>2</v>
      </c>
    </row>
    <row r="1358" spans="1:18" x14ac:dyDescent="0.3">
      <c r="A1358" t="s">
        <v>2971</v>
      </c>
      <c r="B1358" t="s">
        <v>2972</v>
      </c>
      <c r="C1358" t="s">
        <v>2937</v>
      </c>
      <c r="D1358" t="s">
        <v>222</v>
      </c>
      <c r="E1358" t="s">
        <v>30</v>
      </c>
      <c r="F1358" s="6">
        <v>45107</v>
      </c>
      <c r="G1358">
        <v>2023</v>
      </c>
      <c r="H1358" t="s">
        <v>44</v>
      </c>
      <c r="I1358" t="s">
        <v>33</v>
      </c>
      <c r="J1358">
        <v>2805.83</v>
      </c>
      <c r="K1358">
        <v>2183.1533570000001</v>
      </c>
      <c r="L1358">
        <v>0.77807755886849883</v>
      </c>
      <c r="M1358">
        <v>0.77807755886849883</v>
      </c>
      <c r="P1358" t="s">
        <v>6109</v>
      </c>
      <c r="Q1358">
        <v>0</v>
      </c>
      <c r="R1358">
        <v>0</v>
      </c>
    </row>
    <row r="1359" spans="1:18" x14ac:dyDescent="0.3">
      <c r="A1359" t="s">
        <v>2971</v>
      </c>
      <c r="B1359" t="s">
        <v>2972</v>
      </c>
      <c r="C1359" t="s">
        <v>2937</v>
      </c>
      <c r="D1359" t="s">
        <v>222</v>
      </c>
      <c r="E1359" t="s">
        <v>30</v>
      </c>
      <c r="F1359" s="6">
        <v>45291</v>
      </c>
      <c r="G1359">
        <v>2023</v>
      </c>
      <c r="H1359" t="s">
        <v>57</v>
      </c>
      <c r="I1359" t="s">
        <v>47</v>
      </c>
      <c r="J1359">
        <v>5657.94</v>
      </c>
      <c r="K1359">
        <v>4048.733862</v>
      </c>
      <c r="L1359">
        <v>0.71558444628256934</v>
      </c>
      <c r="M1359">
        <v>0.71558444628256934</v>
      </c>
      <c r="N1359" t="s">
        <v>6110</v>
      </c>
      <c r="O1359" t="s">
        <v>6111</v>
      </c>
      <c r="P1359" t="s">
        <v>2973</v>
      </c>
      <c r="Q1359">
        <v>2</v>
      </c>
      <c r="R1359">
        <v>2</v>
      </c>
    </row>
    <row r="1360" spans="1:18" x14ac:dyDescent="0.3">
      <c r="A1360" t="s">
        <v>2971</v>
      </c>
      <c r="B1360" t="s">
        <v>2972</v>
      </c>
      <c r="C1360" t="s">
        <v>2937</v>
      </c>
      <c r="D1360" t="s">
        <v>222</v>
      </c>
      <c r="E1360" t="s">
        <v>30</v>
      </c>
      <c r="F1360" s="6">
        <v>45473</v>
      </c>
      <c r="G1360">
        <v>2024</v>
      </c>
      <c r="H1360" t="s">
        <v>44</v>
      </c>
      <c r="I1360" t="s">
        <v>71</v>
      </c>
      <c r="J1360">
        <v>1948.7860350000001</v>
      </c>
      <c r="K1360">
        <v>2190.9297999999999</v>
      </c>
      <c r="L1360">
        <v>1.1242536433713719</v>
      </c>
      <c r="M1360">
        <v>1.1242536433713719</v>
      </c>
      <c r="N1360" t="s">
        <v>6112</v>
      </c>
      <c r="O1360" t="s">
        <v>6113</v>
      </c>
      <c r="P1360" t="s">
        <v>2974</v>
      </c>
      <c r="Q1360">
        <v>2</v>
      </c>
      <c r="R1360">
        <v>2</v>
      </c>
    </row>
    <row r="1361" spans="1:18" x14ac:dyDescent="0.3">
      <c r="A1361" t="s">
        <v>2971</v>
      </c>
      <c r="B1361" t="s">
        <v>2972</v>
      </c>
      <c r="C1361" t="s">
        <v>2937</v>
      </c>
      <c r="D1361" t="s">
        <v>222</v>
      </c>
      <c r="E1361" t="s">
        <v>30</v>
      </c>
      <c r="F1361" s="6">
        <v>45657</v>
      </c>
      <c r="G1361">
        <v>2024</v>
      </c>
      <c r="H1361" t="s">
        <v>57</v>
      </c>
      <c r="I1361" t="s">
        <v>78</v>
      </c>
      <c r="J1361">
        <v>4372.1599426999992</v>
      </c>
      <c r="K1361">
        <v>4378.2397499999997</v>
      </c>
      <c r="L1361">
        <v>1.0013905729387029</v>
      </c>
      <c r="M1361">
        <v>1.0013905729387029</v>
      </c>
      <c r="N1361" t="s">
        <v>6114</v>
      </c>
      <c r="O1361" t="s">
        <v>6115</v>
      </c>
      <c r="P1361" t="s">
        <v>2975</v>
      </c>
      <c r="Q1361">
        <v>2</v>
      </c>
      <c r="R1361">
        <v>2</v>
      </c>
    </row>
    <row r="1362" spans="1:18" x14ac:dyDescent="0.3">
      <c r="A1362" t="s">
        <v>2971</v>
      </c>
      <c r="B1362" t="s">
        <v>2972</v>
      </c>
      <c r="C1362" t="s">
        <v>2937</v>
      </c>
      <c r="D1362" t="s">
        <v>222</v>
      </c>
      <c r="E1362" t="s">
        <v>30</v>
      </c>
      <c r="F1362" s="6">
        <v>45838</v>
      </c>
      <c r="G1362">
        <v>2025</v>
      </c>
      <c r="H1362" t="s">
        <v>44</v>
      </c>
      <c r="I1362" t="s">
        <v>244</v>
      </c>
      <c r="J1362">
        <v>2797.6638859999998</v>
      </c>
      <c r="K1362">
        <v>3821.45975</v>
      </c>
      <c r="L1362">
        <v>1.3</v>
      </c>
      <c r="M1362">
        <v>1.365946699002426</v>
      </c>
      <c r="N1362" t="s">
        <v>6116</v>
      </c>
      <c r="O1362" t="s">
        <v>6117</v>
      </c>
      <c r="P1362" t="s">
        <v>2976</v>
      </c>
      <c r="Q1362">
        <v>2</v>
      </c>
      <c r="R1362">
        <v>2</v>
      </c>
    </row>
    <row r="1363" spans="1:18" x14ac:dyDescent="0.3">
      <c r="A1363" t="s">
        <v>2977</v>
      </c>
      <c r="B1363" t="s">
        <v>2978</v>
      </c>
      <c r="C1363" t="s">
        <v>28</v>
      </c>
      <c r="D1363" t="s">
        <v>222</v>
      </c>
      <c r="E1363" t="s">
        <v>30</v>
      </c>
      <c r="F1363" s="6">
        <v>45107</v>
      </c>
      <c r="G1363">
        <v>2023</v>
      </c>
      <c r="H1363" t="s">
        <v>44</v>
      </c>
      <c r="I1363" t="s">
        <v>33</v>
      </c>
      <c r="J1363">
        <v>38</v>
      </c>
      <c r="K1363">
        <v>38</v>
      </c>
      <c r="L1363">
        <v>1</v>
      </c>
      <c r="M1363">
        <v>1</v>
      </c>
      <c r="N1363" t="s">
        <v>6118</v>
      </c>
      <c r="O1363" t="s">
        <v>6118</v>
      </c>
      <c r="P1363" t="s">
        <v>2979</v>
      </c>
      <c r="Q1363">
        <v>2</v>
      </c>
      <c r="R1363">
        <v>2</v>
      </c>
    </row>
    <row r="1364" spans="1:18" x14ac:dyDescent="0.3">
      <c r="A1364" t="s">
        <v>2977</v>
      </c>
      <c r="B1364" t="s">
        <v>2978</v>
      </c>
      <c r="C1364" t="s">
        <v>28</v>
      </c>
      <c r="D1364" t="s">
        <v>222</v>
      </c>
      <c r="E1364" t="s">
        <v>30</v>
      </c>
      <c r="F1364" s="6">
        <v>45291</v>
      </c>
      <c r="G1364">
        <v>2023</v>
      </c>
      <c r="H1364" t="s">
        <v>57</v>
      </c>
      <c r="I1364" t="s">
        <v>47</v>
      </c>
      <c r="J1364">
        <v>0</v>
      </c>
      <c r="K1364">
        <v>0</v>
      </c>
      <c r="L1364">
        <v>0</v>
      </c>
      <c r="M1364">
        <v>0</v>
      </c>
      <c r="N1364" t="s">
        <v>122</v>
      </c>
      <c r="O1364" t="s">
        <v>122</v>
      </c>
      <c r="P1364" t="s">
        <v>2980</v>
      </c>
      <c r="Q1364">
        <v>2</v>
      </c>
      <c r="R1364">
        <v>2</v>
      </c>
    </row>
    <row r="1365" spans="1:18" x14ac:dyDescent="0.3">
      <c r="A1365" t="s">
        <v>2981</v>
      </c>
      <c r="B1365" t="s">
        <v>2982</v>
      </c>
      <c r="C1365" t="s">
        <v>28</v>
      </c>
      <c r="D1365" t="s">
        <v>222</v>
      </c>
      <c r="E1365" t="s">
        <v>30</v>
      </c>
      <c r="F1365" s="6">
        <v>45107</v>
      </c>
      <c r="G1365">
        <v>2023</v>
      </c>
      <c r="H1365" t="s">
        <v>44</v>
      </c>
      <c r="I1365" t="s">
        <v>33</v>
      </c>
      <c r="J1365">
        <v>77</v>
      </c>
      <c r="K1365">
        <v>77</v>
      </c>
      <c r="L1365">
        <v>1</v>
      </c>
      <c r="M1365">
        <v>1</v>
      </c>
      <c r="N1365" t="s">
        <v>4331</v>
      </c>
      <c r="O1365" t="s">
        <v>4331</v>
      </c>
      <c r="P1365" t="s">
        <v>2983</v>
      </c>
      <c r="Q1365">
        <v>2</v>
      </c>
      <c r="R1365">
        <v>2</v>
      </c>
    </row>
    <row r="1366" spans="1:18" x14ac:dyDescent="0.3">
      <c r="A1366" t="s">
        <v>2981</v>
      </c>
      <c r="B1366" t="s">
        <v>2982</v>
      </c>
      <c r="C1366" t="s">
        <v>28</v>
      </c>
      <c r="D1366" t="s">
        <v>222</v>
      </c>
      <c r="E1366" t="s">
        <v>30</v>
      </c>
      <c r="F1366" s="6">
        <v>45291</v>
      </c>
      <c r="G1366">
        <v>2023</v>
      </c>
      <c r="H1366" t="s">
        <v>57</v>
      </c>
      <c r="I1366" t="s">
        <v>47</v>
      </c>
      <c r="J1366">
        <v>16</v>
      </c>
      <c r="K1366">
        <v>16</v>
      </c>
      <c r="L1366">
        <v>1</v>
      </c>
      <c r="M1366">
        <v>1</v>
      </c>
      <c r="N1366" t="s">
        <v>809</v>
      </c>
      <c r="O1366" t="s">
        <v>809</v>
      </c>
      <c r="P1366" t="s">
        <v>2984</v>
      </c>
      <c r="Q1366">
        <v>2</v>
      </c>
      <c r="R1366">
        <v>2</v>
      </c>
    </row>
    <row r="1367" spans="1:18" x14ac:dyDescent="0.3">
      <c r="A1367" t="s">
        <v>2985</v>
      </c>
      <c r="B1367" t="s">
        <v>2986</v>
      </c>
      <c r="C1367" t="s">
        <v>730</v>
      </c>
      <c r="D1367" t="s">
        <v>222</v>
      </c>
      <c r="E1367" t="s">
        <v>30</v>
      </c>
      <c r="F1367" s="6">
        <v>45107</v>
      </c>
      <c r="G1367">
        <v>2023</v>
      </c>
      <c r="H1367" t="s">
        <v>44</v>
      </c>
      <c r="I1367" t="s">
        <v>33</v>
      </c>
      <c r="J1367">
        <v>91</v>
      </c>
      <c r="K1367">
        <v>84.783333333333303</v>
      </c>
      <c r="L1367">
        <v>0.93168498168498137</v>
      </c>
      <c r="M1367">
        <v>0.93168498168498137</v>
      </c>
      <c r="N1367" t="s">
        <v>5460</v>
      </c>
      <c r="O1367" t="s">
        <v>6119</v>
      </c>
      <c r="P1367" t="s">
        <v>2987</v>
      </c>
      <c r="Q1367">
        <v>2</v>
      </c>
      <c r="R1367">
        <v>2</v>
      </c>
    </row>
    <row r="1368" spans="1:18" x14ac:dyDescent="0.3">
      <c r="A1368" t="s">
        <v>2985</v>
      </c>
      <c r="B1368" t="s">
        <v>2986</v>
      </c>
      <c r="C1368" t="s">
        <v>730</v>
      </c>
      <c r="D1368" t="s">
        <v>222</v>
      </c>
      <c r="E1368" t="s">
        <v>30</v>
      </c>
      <c r="F1368" s="6">
        <v>45291</v>
      </c>
      <c r="G1368">
        <v>2023</v>
      </c>
      <c r="H1368" t="s">
        <v>57</v>
      </c>
      <c r="I1368" t="s">
        <v>47</v>
      </c>
      <c r="J1368">
        <v>91</v>
      </c>
      <c r="K1368">
        <v>85.42</v>
      </c>
      <c r="L1368">
        <v>0.93868131868131865</v>
      </c>
      <c r="M1368">
        <v>0.93868131868131865</v>
      </c>
      <c r="N1368" t="s">
        <v>5460</v>
      </c>
      <c r="O1368" t="s">
        <v>6120</v>
      </c>
      <c r="P1368" t="s">
        <v>2988</v>
      </c>
      <c r="Q1368">
        <v>2</v>
      </c>
      <c r="R1368">
        <v>2</v>
      </c>
    </row>
    <row r="1369" spans="1:18" x14ac:dyDescent="0.3">
      <c r="A1369" t="s">
        <v>2985</v>
      </c>
      <c r="B1369" t="s">
        <v>2986</v>
      </c>
      <c r="C1369" t="s">
        <v>730</v>
      </c>
      <c r="D1369" t="s">
        <v>222</v>
      </c>
      <c r="E1369" t="s">
        <v>30</v>
      </c>
      <c r="F1369" s="6">
        <v>45473</v>
      </c>
      <c r="G1369">
        <v>2024</v>
      </c>
      <c r="H1369" t="s">
        <v>44</v>
      </c>
      <c r="I1369" t="s">
        <v>71</v>
      </c>
      <c r="J1369">
        <v>85</v>
      </c>
      <c r="K1369">
        <v>84.433333333333294</v>
      </c>
      <c r="L1369">
        <v>0.99333333333333285</v>
      </c>
      <c r="M1369">
        <v>0.99333333333333285</v>
      </c>
      <c r="N1369" t="s">
        <v>2357</v>
      </c>
      <c r="O1369" t="s">
        <v>6121</v>
      </c>
      <c r="P1369" t="s">
        <v>2989</v>
      </c>
      <c r="Q1369">
        <v>2</v>
      </c>
      <c r="R1369">
        <v>2</v>
      </c>
    </row>
    <row r="1370" spans="1:18" x14ac:dyDescent="0.3">
      <c r="A1370" t="s">
        <v>2985</v>
      </c>
      <c r="B1370" t="s">
        <v>2986</v>
      </c>
      <c r="C1370" t="s">
        <v>730</v>
      </c>
      <c r="D1370" t="s">
        <v>222</v>
      </c>
      <c r="E1370" t="s">
        <v>30</v>
      </c>
      <c r="F1370" s="6">
        <v>45657</v>
      </c>
      <c r="G1370">
        <v>2024</v>
      </c>
      <c r="H1370" t="s">
        <v>57</v>
      </c>
      <c r="I1370" t="s">
        <v>78</v>
      </c>
      <c r="J1370">
        <v>85</v>
      </c>
      <c r="K1370">
        <v>0</v>
      </c>
      <c r="L1370">
        <v>0</v>
      </c>
      <c r="M1370">
        <v>0</v>
      </c>
      <c r="N1370" t="s">
        <v>2357</v>
      </c>
      <c r="O1370" t="s">
        <v>122</v>
      </c>
      <c r="P1370" t="s">
        <v>2990</v>
      </c>
      <c r="Q1370">
        <v>2</v>
      </c>
      <c r="R1370">
        <v>2</v>
      </c>
    </row>
    <row r="1371" spans="1:18" x14ac:dyDescent="0.3">
      <c r="A1371" t="s">
        <v>2985</v>
      </c>
      <c r="B1371" t="s">
        <v>2986</v>
      </c>
      <c r="C1371" t="s">
        <v>2991</v>
      </c>
      <c r="D1371" t="s">
        <v>222</v>
      </c>
      <c r="E1371" t="s">
        <v>30</v>
      </c>
      <c r="F1371" s="6">
        <v>45838</v>
      </c>
      <c r="G1371">
        <v>2025</v>
      </c>
      <c r="H1371" t="s">
        <v>44</v>
      </c>
      <c r="I1371" t="s">
        <v>244</v>
      </c>
      <c r="K1371">
        <v>0</v>
      </c>
      <c r="L1371">
        <v>0</v>
      </c>
      <c r="M1371">
        <v>0</v>
      </c>
      <c r="O1371" t="s">
        <v>122</v>
      </c>
      <c r="P1371" t="s">
        <v>2992</v>
      </c>
      <c r="Q1371">
        <v>2</v>
      </c>
      <c r="R1371">
        <v>2</v>
      </c>
    </row>
    <row r="1372" spans="1:18" x14ac:dyDescent="0.3">
      <c r="A1372" t="s">
        <v>2993</v>
      </c>
      <c r="B1372" t="s">
        <v>2994</v>
      </c>
      <c r="C1372" t="s">
        <v>129</v>
      </c>
      <c r="D1372" t="s">
        <v>233</v>
      </c>
      <c r="E1372" t="s">
        <v>30</v>
      </c>
      <c r="F1372" s="6">
        <v>45107</v>
      </c>
      <c r="G1372">
        <v>2023</v>
      </c>
      <c r="H1372" t="s">
        <v>44</v>
      </c>
      <c r="I1372" t="s">
        <v>33</v>
      </c>
      <c r="J1372">
        <v>100</v>
      </c>
      <c r="K1372">
        <v>110.38</v>
      </c>
      <c r="L1372">
        <v>1.1037999999999999</v>
      </c>
      <c r="M1372">
        <v>1.1037999999999999</v>
      </c>
      <c r="N1372" t="s">
        <v>102</v>
      </c>
      <c r="O1372" t="s">
        <v>6122</v>
      </c>
      <c r="P1372" t="s">
        <v>2995</v>
      </c>
      <c r="Q1372">
        <v>2</v>
      </c>
      <c r="R1372">
        <v>2</v>
      </c>
    </row>
    <row r="1373" spans="1:18" x14ac:dyDescent="0.3">
      <c r="A1373" t="s">
        <v>2993</v>
      </c>
      <c r="B1373" t="s">
        <v>2994</v>
      </c>
      <c r="C1373" t="s">
        <v>129</v>
      </c>
      <c r="D1373" t="s">
        <v>233</v>
      </c>
      <c r="E1373" t="s">
        <v>30</v>
      </c>
      <c r="F1373" s="6">
        <v>45291</v>
      </c>
      <c r="G1373">
        <v>2023</v>
      </c>
      <c r="H1373" t="s">
        <v>57</v>
      </c>
      <c r="I1373" t="s">
        <v>47</v>
      </c>
      <c r="J1373">
        <v>100</v>
      </c>
      <c r="K1373">
        <v>97.295000000000002</v>
      </c>
      <c r="L1373">
        <v>0.97294999999999998</v>
      </c>
      <c r="M1373">
        <v>0.97294999999999998</v>
      </c>
      <c r="N1373" t="s">
        <v>102</v>
      </c>
      <c r="O1373" t="s">
        <v>6123</v>
      </c>
      <c r="P1373" t="s">
        <v>2997</v>
      </c>
      <c r="Q1373">
        <v>2</v>
      </c>
      <c r="R1373">
        <v>2</v>
      </c>
    </row>
    <row r="1374" spans="1:18" x14ac:dyDescent="0.3">
      <c r="A1374" t="s">
        <v>2993</v>
      </c>
      <c r="B1374" t="s">
        <v>2994</v>
      </c>
      <c r="C1374" t="s">
        <v>129</v>
      </c>
      <c r="D1374" t="s">
        <v>233</v>
      </c>
      <c r="E1374" t="s">
        <v>30</v>
      </c>
      <c r="F1374" s="6">
        <v>45473</v>
      </c>
      <c r="G1374">
        <v>2024</v>
      </c>
      <c r="H1374" t="s">
        <v>44</v>
      </c>
      <c r="I1374" t="s">
        <v>71</v>
      </c>
      <c r="J1374">
        <v>100</v>
      </c>
      <c r="K1374">
        <v>140.07</v>
      </c>
      <c r="L1374">
        <v>1.3</v>
      </c>
      <c r="M1374">
        <v>1.4007000000000001</v>
      </c>
      <c r="N1374" t="s">
        <v>102</v>
      </c>
      <c r="O1374" t="s">
        <v>6124</v>
      </c>
      <c r="P1374" t="s">
        <v>2999</v>
      </c>
      <c r="Q1374">
        <v>2</v>
      </c>
      <c r="R1374">
        <v>2</v>
      </c>
    </row>
    <row r="1375" spans="1:18" x14ac:dyDescent="0.3">
      <c r="A1375" t="s">
        <v>2993</v>
      </c>
      <c r="B1375" t="s">
        <v>2994</v>
      </c>
      <c r="C1375" t="s">
        <v>129</v>
      </c>
      <c r="D1375" t="s">
        <v>233</v>
      </c>
      <c r="E1375" t="s">
        <v>30</v>
      </c>
      <c r="F1375" s="6">
        <v>45657</v>
      </c>
      <c r="G1375">
        <v>2024</v>
      </c>
      <c r="H1375" t="s">
        <v>57</v>
      </c>
      <c r="I1375" t="s">
        <v>78</v>
      </c>
      <c r="J1375">
        <v>100</v>
      </c>
      <c r="K1375">
        <v>41.66</v>
      </c>
      <c r="L1375">
        <v>0.41660000000000003</v>
      </c>
      <c r="M1375">
        <v>0.41660000000000003</v>
      </c>
      <c r="N1375" t="s">
        <v>102</v>
      </c>
      <c r="O1375" t="s">
        <v>6125</v>
      </c>
      <c r="P1375" t="s">
        <v>3001</v>
      </c>
      <c r="Q1375">
        <v>2</v>
      </c>
      <c r="R1375">
        <v>2</v>
      </c>
    </row>
    <row r="1376" spans="1:18" x14ac:dyDescent="0.3">
      <c r="A1376" t="s">
        <v>2993</v>
      </c>
      <c r="B1376" t="s">
        <v>2994</v>
      </c>
      <c r="C1376" t="s">
        <v>129</v>
      </c>
      <c r="D1376" t="s">
        <v>233</v>
      </c>
      <c r="E1376" t="s">
        <v>30</v>
      </c>
      <c r="F1376" s="6">
        <v>45838</v>
      </c>
      <c r="G1376">
        <v>2025</v>
      </c>
      <c r="H1376" t="s">
        <v>44</v>
      </c>
      <c r="I1376" t="s">
        <v>244</v>
      </c>
      <c r="J1376">
        <v>100</v>
      </c>
      <c r="K1376">
        <v>122.06</v>
      </c>
      <c r="L1376">
        <v>1.2205999999999999</v>
      </c>
      <c r="M1376">
        <v>1.2205999999999999</v>
      </c>
      <c r="N1376" t="s">
        <v>102</v>
      </c>
      <c r="O1376" t="s">
        <v>6126</v>
      </c>
      <c r="P1376" t="s">
        <v>3007</v>
      </c>
      <c r="Q1376">
        <v>2</v>
      </c>
      <c r="R1376">
        <v>2</v>
      </c>
    </row>
    <row r="1377" spans="1:18" x14ac:dyDescent="0.3">
      <c r="A1377" t="s">
        <v>2993</v>
      </c>
      <c r="B1377" t="s">
        <v>2994</v>
      </c>
      <c r="C1377" t="s">
        <v>129</v>
      </c>
      <c r="D1377" t="s">
        <v>233</v>
      </c>
      <c r="E1377" t="s">
        <v>30</v>
      </c>
      <c r="F1377" s="6">
        <v>46022</v>
      </c>
      <c r="G1377">
        <v>2025</v>
      </c>
      <c r="H1377" t="s">
        <v>57</v>
      </c>
      <c r="I1377" t="s">
        <v>103</v>
      </c>
      <c r="J1377">
        <v>100</v>
      </c>
      <c r="L1377">
        <v>0</v>
      </c>
      <c r="M1377">
        <v>0</v>
      </c>
      <c r="N1377" t="s">
        <v>102</v>
      </c>
      <c r="P1377" t="s">
        <v>3008</v>
      </c>
      <c r="Q1377">
        <v>2</v>
      </c>
      <c r="R1377">
        <v>2</v>
      </c>
    </row>
    <row r="1378" spans="1:18" x14ac:dyDescent="0.3">
      <c r="A1378" t="s">
        <v>3009</v>
      </c>
      <c r="B1378" t="s">
        <v>3013</v>
      </c>
      <c r="C1378" t="s">
        <v>3011</v>
      </c>
      <c r="D1378" t="s">
        <v>233</v>
      </c>
      <c r="E1378" t="s">
        <v>30</v>
      </c>
      <c r="F1378" s="6">
        <v>45107</v>
      </c>
      <c r="G1378">
        <v>2023</v>
      </c>
      <c r="H1378" t="s">
        <v>44</v>
      </c>
      <c r="I1378" t="s">
        <v>33</v>
      </c>
      <c r="J1378">
        <v>57.28</v>
      </c>
      <c r="K1378">
        <v>62.284999999999997</v>
      </c>
      <c r="L1378">
        <v>1.0873777932960891</v>
      </c>
      <c r="M1378">
        <v>1.0873777932960891</v>
      </c>
      <c r="N1378" t="s">
        <v>6127</v>
      </c>
      <c r="O1378" t="s">
        <v>6128</v>
      </c>
      <c r="P1378" t="s">
        <v>3012</v>
      </c>
      <c r="Q1378">
        <v>2</v>
      </c>
      <c r="R1378">
        <v>2</v>
      </c>
    </row>
    <row r="1379" spans="1:18" x14ac:dyDescent="0.3">
      <c r="A1379" t="s">
        <v>3009</v>
      </c>
      <c r="B1379" t="s">
        <v>3013</v>
      </c>
      <c r="C1379" t="s">
        <v>3011</v>
      </c>
      <c r="D1379" t="s">
        <v>233</v>
      </c>
      <c r="E1379" t="s">
        <v>30</v>
      </c>
      <c r="F1379" s="6">
        <v>45291</v>
      </c>
      <c r="G1379">
        <v>2023</v>
      </c>
      <c r="H1379" t="s">
        <v>57</v>
      </c>
      <c r="I1379" t="s">
        <v>47</v>
      </c>
      <c r="J1379">
        <v>100</v>
      </c>
      <c r="K1379">
        <v>100</v>
      </c>
      <c r="L1379">
        <v>1</v>
      </c>
      <c r="M1379">
        <v>1</v>
      </c>
      <c r="N1379" t="s">
        <v>102</v>
      </c>
      <c r="O1379" t="s">
        <v>102</v>
      </c>
      <c r="P1379" t="s">
        <v>3015</v>
      </c>
      <c r="Q1379">
        <v>2</v>
      </c>
      <c r="R1379">
        <v>2</v>
      </c>
    </row>
    <row r="1380" spans="1:18" x14ac:dyDescent="0.3">
      <c r="A1380" t="s">
        <v>3009</v>
      </c>
      <c r="B1380" t="s">
        <v>3013</v>
      </c>
      <c r="C1380" t="s">
        <v>3011</v>
      </c>
      <c r="D1380" t="s">
        <v>233</v>
      </c>
      <c r="E1380" t="s">
        <v>30</v>
      </c>
      <c r="F1380" s="6">
        <v>45473</v>
      </c>
      <c r="G1380">
        <v>2024</v>
      </c>
      <c r="H1380" t="s">
        <v>44</v>
      </c>
      <c r="I1380" t="s">
        <v>71</v>
      </c>
      <c r="J1380">
        <v>45.28</v>
      </c>
      <c r="K1380">
        <v>48.465000000000003</v>
      </c>
      <c r="L1380">
        <v>1.070340106007067</v>
      </c>
      <c r="M1380">
        <v>1.070340106007067</v>
      </c>
      <c r="N1380" t="s">
        <v>6129</v>
      </c>
      <c r="O1380" t="s">
        <v>6130</v>
      </c>
      <c r="P1380" t="s">
        <v>3017</v>
      </c>
      <c r="Q1380">
        <v>2</v>
      </c>
      <c r="R1380">
        <v>2</v>
      </c>
    </row>
    <row r="1381" spans="1:18" x14ac:dyDescent="0.3">
      <c r="A1381" t="s">
        <v>3019</v>
      </c>
      <c r="B1381" t="s">
        <v>3020</v>
      </c>
      <c r="C1381" t="s">
        <v>3011</v>
      </c>
      <c r="D1381" t="s">
        <v>233</v>
      </c>
      <c r="E1381" t="s">
        <v>30</v>
      </c>
      <c r="F1381" s="6">
        <v>45107</v>
      </c>
      <c r="G1381">
        <v>2023</v>
      </c>
      <c r="H1381" t="s">
        <v>44</v>
      </c>
      <c r="I1381" t="s">
        <v>33</v>
      </c>
      <c r="J1381">
        <v>69.58</v>
      </c>
      <c r="K1381">
        <v>73.75</v>
      </c>
      <c r="L1381">
        <v>1.059931014659385</v>
      </c>
      <c r="M1381">
        <v>1.059931014659385</v>
      </c>
      <c r="N1381" t="s">
        <v>6131</v>
      </c>
      <c r="O1381" t="s">
        <v>6132</v>
      </c>
      <c r="P1381" t="s">
        <v>3021</v>
      </c>
      <c r="Q1381">
        <v>2</v>
      </c>
      <c r="R1381">
        <v>2</v>
      </c>
    </row>
    <row r="1382" spans="1:18" x14ac:dyDescent="0.3">
      <c r="A1382" t="s">
        <v>3019</v>
      </c>
      <c r="B1382" t="s">
        <v>3020</v>
      </c>
      <c r="C1382" t="s">
        <v>3011</v>
      </c>
      <c r="D1382" t="s">
        <v>233</v>
      </c>
      <c r="E1382" t="s">
        <v>30</v>
      </c>
      <c r="F1382" s="6">
        <v>45291</v>
      </c>
      <c r="G1382">
        <v>2023</v>
      </c>
      <c r="H1382" t="s">
        <v>57</v>
      </c>
      <c r="I1382" t="s">
        <v>47</v>
      </c>
      <c r="J1382">
        <v>100</v>
      </c>
      <c r="K1382">
        <v>98.75</v>
      </c>
      <c r="L1382">
        <v>0.98750000000000004</v>
      </c>
      <c r="M1382">
        <v>0.98750000000000004</v>
      </c>
      <c r="N1382" t="s">
        <v>102</v>
      </c>
      <c r="O1382" t="s">
        <v>4423</v>
      </c>
      <c r="P1382" t="s">
        <v>3022</v>
      </c>
      <c r="Q1382">
        <v>2</v>
      </c>
      <c r="R1382">
        <v>2</v>
      </c>
    </row>
    <row r="1383" spans="1:18" x14ac:dyDescent="0.3">
      <c r="A1383" t="s">
        <v>3019</v>
      </c>
      <c r="B1383" t="s">
        <v>3020</v>
      </c>
      <c r="C1383" t="s">
        <v>3011</v>
      </c>
      <c r="D1383" t="s">
        <v>233</v>
      </c>
      <c r="E1383" t="s">
        <v>30</v>
      </c>
      <c r="F1383" s="6">
        <v>45473</v>
      </c>
      <c r="G1383">
        <v>2024</v>
      </c>
      <c r="H1383" t="s">
        <v>44</v>
      </c>
      <c r="I1383" t="s">
        <v>71</v>
      </c>
      <c r="J1383">
        <v>48.5</v>
      </c>
      <c r="K1383">
        <v>41.97</v>
      </c>
      <c r="L1383">
        <v>0.86536082474226805</v>
      </c>
      <c r="M1383">
        <v>0.86536082474226805</v>
      </c>
      <c r="N1383" t="s">
        <v>6133</v>
      </c>
      <c r="O1383" t="s">
        <v>6134</v>
      </c>
      <c r="P1383" t="s">
        <v>3023</v>
      </c>
      <c r="Q1383">
        <v>2</v>
      </c>
      <c r="R1383">
        <v>2</v>
      </c>
    </row>
    <row r="1384" spans="1:18" x14ac:dyDescent="0.3">
      <c r="A1384" t="s">
        <v>3024</v>
      </c>
      <c r="B1384" t="s">
        <v>3025</v>
      </c>
      <c r="C1384" t="s">
        <v>3011</v>
      </c>
      <c r="D1384" t="s">
        <v>233</v>
      </c>
      <c r="E1384" t="s">
        <v>30</v>
      </c>
      <c r="F1384" s="6">
        <v>45107</v>
      </c>
      <c r="G1384">
        <v>2023</v>
      </c>
      <c r="H1384" t="s">
        <v>44</v>
      </c>
      <c r="I1384" t="s">
        <v>33</v>
      </c>
      <c r="J1384">
        <v>72.27</v>
      </c>
      <c r="K1384">
        <v>70.209999999999994</v>
      </c>
      <c r="L1384">
        <v>0.97149577971495782</v>
      </c>
      <c r="M1384">
        <v>0.97149577971495782</v>
      </c>
      <c r="N1384" t="s">
        <v>6135</v>
      </c>
      <c r="O1384" t="s">
        <v>6136</v>
      </c>
      <c r="P1384" t="s">
        <v>3026</v>
      </c>
      <c r="Q1384">
        <v>2</v>
      </c>
      <c r="R1384">
        <v>2</v>
      </c>
    </row>
    <row r="1385" spans="1:18" x14ac:dyDescent="0.3">
      <c r="A1385" t="s">
        <v>3024</v>
      </c>
      <c r="B1385" t="s">
        <v>3025</v>
      </c>
      <c r="C1385" t="s">
        <v>3011</v>
      </c>
      <c r="D1385" t="s">
        <v>233</v>
      </c>
      <c r="E1385" t="s">
        <v>30</v>
      </c>
      <c r="F1385" s="6">
        <v>45291</v>
      </c>
      <c r="G1385">
        <v>2023</v>
      </c>
      <c r="H1385" t="s">
        <v>57</v>
      </c>
      <c r="I1385" t="s">
        <v>47</v>
      </c>
      <c r="J1385">
        <v>100</v>
      </c>
      <c r="K1385">
        <v>100</v>
      </c>
      <c r="L1385">
        <v>1</v>
      </c>
      <c r="M1385">
        <v>1</v>
      </c>
      <c r="N1385" t="s">
        <v>102</v>
      </c>
      <c r="O1385" t="s">
        <v>102</v>
      </c>
      <c r="P1385" t="s">
        <v>3027</v>
      </c>
      <c r="Q1385">
        <v>2</v>
      </c>
      <c r="R1385">
        <v>2</v>
      </c>
    </row>
    <row r="1386" spans="1:18" x14ac:dyDescent="0.3">
      <c r="A1386" t="s">
        <v>3024</v>
      </c>
      <c r="B1386" t="s">
        <v>3025</v>
      </c>
      <c r="C1386" t="s">
        <v>3011</v>
      </c>
      <c r="D1386" t="s">
        <v>233</v>
      </c>
      <c r="E1386" t="s">
        <v>30</v>
      </c>
      <c r="F1386" s="6">
        <v>45473</v>
      </c>
      <c r="G1386">
        <v>2024</v>
      </c>
      <c r="H1386" t="s">
        <v>44</v>
      </c>
      <c r="I1386" t="s">
        <v>71</v>
      </c>
      <c r="J1386">
        <v>36.78</v>
      </c>
      <c r="K1386">
        <v>44.65</v>
      </c>
      <c r="L1386">
        <v>1.213974986405655</v>
      </c>
      <c r="M1386">
        <v>1.213974986405655</v>
      </c>
      <c r="N1386" t="s">
        <v>6137</v>
      </c>
      <c r="O1386" t="s">
        <v>6138</v>
      </c>
      <c r="P1386" t="s">
        <v>3028</v>
      </c>
      <c r="Q1386">
        <v>2</v>
      </c>
      <c r="R1386">
        <v>2</v>
      </c>
    </row>
    <row r="1387" spans="1:18" x14ac:dyDescent="0.3">
      <c r="A1387" t="s">
        <v>3029</v>
      </c>
      <c r="B1387" t="s">
        <v>3030</v>
      </c>
      <c r="C1387" t="s">
        <v>3011</v>
      </c>
      <c r="D1387" t="s">
        <v>233</v>
      </c>
      <c r="E1387" t="s">
        <v>30</v>
      </c>
      <c r="F1387" s="6">
        <v>45107</v>
      </c>
      <c r="G1387">
        <v>2023</v>
      </c>
      <c r="H1387" t="s">
        <v>44</v>
      </c>
      <c r="I1387" t="s">
        <v>33</v>
      </c>
      <c r="J1387">
        <v>66.319999999999993</v>
      </c>
      <c r="K1387">
        <v>73</v>
      </c>
      <c r="L1387">
        <v>1.1007237635705669</v>
      </c>
      <c r="M1387">
        <v>1.1007237635705669</v>
      </c>
      <c r="N1387" t="s">
        <v>6139</v>
      </c>
      <c r="O1387" t="s">
        <v>5583</v>
      </c>
      <c r="P1387" t="s">
        <v>3031</v>
      </c>
      <c r="Q1387">
        <v>2</v>
      </c>
      <c r="R1387">
        <v>2</v>
      </c>
    </row>
    <row r="1388" spans="1:18" x14ac:dyDescent="0.3">
      <c r="A1388" t="s">
        <v>3029</v>
      </c>
      <c r="B1388" t="s">
        <v>3030</v>
      </c>
      <c r="C1388" t="s">
        <v>3011</v>
      </c>
      <c r="D1388" t="s">
        <v>233</v>
      </c>
      <c r="E1388" t="s">
        <v>30</v>
      </c>
      <c r="F1388" s="6">
        <v>45291</v>
      </c>
      <c r="G1388">
        <v>2023</v>
      </c>
      <c r="H1388" t="s">
        <v>57</v>
      </c>
      <c r="I1388" t="s">
        <v>47</v>
      </c>
      <c r="J1388">
        <v>100</v>
      </c>
      <c r="K1388">
        <v>100</v>
      </c>
      <c r="L1388">
        <v>1</v>
      </c>
      <c r="M1388">
        <v>1</v>
      </c>
      <c r="N1388" t="s">
        <v>102</v>
      </c>
      <c r="O1388" t="s">
        <v>102</v>
      </c>
      <c r="P1388" t="s">
        <v>3032</v>
      </c>
      <c r="Q1388">
        <v>2</v>
      </c>
      <c r="R1388">
        <v>2</v>
      </c>
    </row>
    <row r="1389" spans="1:18" x14ac:dyDescent="0.3">
      <c r="A1389" t="s">
        <v>3029</v>
      </c>
      <c r="B1389" t="s">
        <v>3030</v>
      </c>
      <c r="C1389" t="s">
        <v>3011</v>
      </c>
      <c r="D1389" t="s">
        <v>233</v>
      </c>
      <c r="E1389" t="s">
        <v>30</v>
      </c>
      <c r="F1389" s="6">
        <v>45473</v>
      </c>
      <c r="G1389">
        <v>2024</v>
      </c>
      <c r="H1389" t="s">
        <v>44</v>
      </c>
      <c r="I1389" t="s">
        <v>71</v>
      </c>
      <c r="J1389">
        <v>34.4</v>
      </c>
      <c r="K1389">
        <v>35.71</v>
      </c>
      <c r="L1389">
        <v>1.038081395348837</v>
      </c>
      <c r="M1389">
        <v>1.038081395348837</v>
      </c>
      <c r="N1389" t="s">
        <v>6140</v>
      </c>
      <c r="O1389" t="s">
        <v>6141</v>
      </c>
      <c r="P1389" t="s">
        <v>3033</v>
      </c>
      <c r="Q1389">
        <v>2</v>
      </c>
      <c r="R1389">
        <v>2</v>
      </c>
    </row>
    <row r="1390" spans="1:18" x14ac:dyDescent="0.3">
      <c r="A1390" t="s">
        <v>3034</v>
      </c>
      <c r="B1390" t="s">
        <v>3035</v>
      </c>
      <c r="C1390" t="s">
        <v>3011</v>
      </c>
      <c r="D1390" t="s">
        <v>233</v>
      </c>
      <c r="E1390" t="s">
        <v>30</v>
      </c>
      <c r="F1390" s="6">
        <v>45107</v>
      </c>
      <c r="G1390">
        <v>2023</v>
      </c>
      <c r="H1390" t="s">
        <v>44</v>
      </c>
      <c r="I1390" t="s">
        <v>33</v>
      </c>
      <c r="J1390">
        <v>67.81</v>
      </c>
      <c r="K1390">
        <v>77.5</v>
      </c>
      <c r="L1390">
        <v>1.1428992773927149</v>
      </c>
      <c r="M1390">
        <v>1.1428992773927149</v>
      </c>
      <c r="N1390" t="s">
        <v>6142</v>
      </c>
      <c r="O1390" t="s">
        <v>6143</v>
      </c>
      <c r="P1390" t="s">
        <v>3036</v>
      </c>
      <c r="Q1390">
        <v>2</v>
      </c>
      <c r="R1390">
        <v>2</v>
      </c>
    </row>
    <row r="1391" spans="1:18" x14ac:dyDescent="0.3">
      <c r="A1391" t="s">
        <v>3034</v>
      </c>
      <c r="B1391" t="s">
        <v>3035</v>
      </c>
      <c r="C1391" t="s">
        <v>3011</v>
      </c>
      <c r="D1391" t="s">
        <v>233</v>
      </c>
      <c r="E1391" t="s">
        <v>30</v>
      </c>
      <c r="F1391" s="6">
        <v>45291</v>
      </c>
      <c r="G1391">
        <v>2023</v>
      </c>
      <c r="H1391" t="s">
        <v>57</v>
      </c>
      <c r="I1391" t="s">
        <v>47</v>
      </c>
      <c r="J1391">
        <v>100</v>
      </c>
      <c r="K1391">
        <v>99.38</v>
      </c>
      <c r="L1391">
        <v>0.99379999999999991</v>
      </c>
      <c r="M1391">
        <v>0.99379999999999991</v>
      </c>
      <c r="N1391" t="s">
        <v>102</v>
      </c>
      <c r="O1391" t="s">
        <v>4519</v>
      </c>
      <c r="P1391" t="s">
        <v>3037</v>
      </c>
      <c r="Q1391">
        <v>2</v>
      </c>
      <c r="R1391">
        <v>2</v>
      </c>
    </row>
    <row r="1392" spans="1:18" x14ac:dyDescent="0.3">
      <c r="A1392" t="s">
        <v>3034</v>
      </c>
      <c r="B1392" t="s">
        <v>3035</v>
      </c>
      <c r="C1392" t="s">
        <v>3011</v>
      </c>
      <c r="D1392" t="s">
        <v>233</v>
      </c>
      <c r="E1392" t="s">
        <v>30</v>
      </c>
      <c r="F1392" s="6">
        <v>45473</v>
      </c>
      <c r="G1392">
        <v>2024</v>
      </c>
      <c r="H1392" t="s">
        <v>44</v>
      </c>
      <c r="I1392" t="s">
        <v>71</v>
      </c>
      <c r="J1392">
        <v>44.99</v>
      </c>
      <c r="K1392">
        <v>60.75</v>
      </c>
      <c r="L1392">
        <v>1.3</v>
      </c>
      <c r="M1392">
        <v>1.3503000666814851</v>
      </c>
      <c r="N1392" t="s">
        <v>6144</v>
      </c>
      <c r="O1392" t="s">
        <v>6145</v>
      </c>
      <c r="P1392" t="s">
        <v>3038</v>
      </c>
      <c r="Q1392">
        <v>2</v>
      </c>
      <c r="R1392">
        <v>2</v>
      </c>
    </row>
    <row r="1393" spans="1:18" x14ac:dyDescent="0.3">
      <c r="A1393" t="s">
        <v>3039</v>
      </c>
      <c r="B1393" t="s">
        <v>3040</v>
      </c>
      <c r="C1393" t="s">
        <v>3011</v>
      </c>
      <c r="D1393" t="s">
        <v>233</v>
      </c>
      <c r="E1393" t="s">
        <v>30</v>
      </c>
      <c r="F1393" s="6">
        <v>45107</v>
      </c>
      <c r="G1393">
        <v>2023</v>
      </c>
      <c r="H1393" t="s">
        <v>44</v>
      </c>
      <c r="I1393" t="s">
        <v>33</v>
      </c>
      <c r="J1393">
        <v>64.88</v>
      </c>
      <c r="K1393">
        <v>78.33</v>
      </c>
      <c r="L1393">
        <v>1.2073057953144271</v>
      </c>
      <c r="M1393">
        <v>1.2073057953144271</v>
      </c>
      <c r="N1393" t="s">
        <v>6146</v>
      </c>
      <c r="O1393" t="s">
        <v>6147</v>
      </c>
      <c r="P1393" t="s">
        <v>3041</v>
      </c>
      <c r="Q1393">
        <v>2</v>
      </c>
      <c r="R1393">
        <v>2</v>
      </c>
    </row>
    <row r="1394" spans="1:18" x14ac:dyDescent="0.3">
      <c r="A1394" t="s">
        <v>3039</v>
      </c>
      <c r="B1394" t="s">
        <v>3040</v>
      </c>
      <c r="C1394" t="s">
        <v>3011</v>
      </c>
      <c r="D1394" t="s">
        <v>233</v>
      </c>
      <c r="E1394" t="s">
        <v>30</v>
      </c>
      <c r="F1394" s="6">
        <v>45291</v>
      </c>
      <c r="G1394">
        <v>2023</v>
      </c>
      <c r="H1394" t="s">
        <v>57</v>
      </c>
      <c r="I1394" t="s">
        <v>47</v>
      </c>
      <c r="J1394">
        <v>100</v>
      </c>
      <c r="K1394">
        <v>100</v>
      </c>
      <c r="L1394">
        <v>1</v>
      </c>
      <c r="M1394">
        <v>1</v>
      </c>
      <c r="N1394" t="s">
        <v>102</v>
      </c>
      <c r="O1394" t="s">
        <v>102</v>
      </c>
      <c r="P1394" t="s">
        <v>3042</v>
      </c>
      <c r="Q1394">
        <v>2</v>
      </c>
      <c r="R1394">
        <v>2</v>
      </c>
    </row>
    <row r="1395" spans="1:18" x14ac:dyDescent="0.3">
      <c r="A1395" t="s">
        <v>3039</v>
      </c>
      <c r="B1395" t="s">
        <v>3040</v>
      </c>
      <c r="C1395" t="s">
        <v>3011</v>
      </c>
      <c r="D1395" t="s">
        <v>233</v>
      </c>
      <c r="E1395" t="s">
        <v>30</v>
      </c>
      <c r="F1395" s="6">
        <v>45473</v>
      </c>
      <c r="G1395">
        <v>2024</v>
      </c>
      <c r="H1395" t="s">
        <v>44</v>
      </c>
      <c r="I1395" t="s">
        <v>71</v>
      </c>
      <c r="J1395">
        <v>31.84</v>
      </c>
      <c r="K1395">
        <v>39.01</v>
      </c>
      <c r="L1395">
        <v>1.2251884422110551</v>
      </c>
      <c r="M1395">
        <v>1.2251884422110551</v>
      </c>
      <c r="N1395" t="s">
        <v>6148</v>
      </c>
      <c r="O1395" t="s">
        <v>6149</v>
      </c>
      <c r="P1395" t="s">
        <v>3043</v>
      </c>
      <c r="Q1395">
        <v>2</v>
      </c>
      <c r="R1395">
        <v>2</v>
      </c>
    </row>
    <row r="1396" spans="1:18" x14ac:dyDescent="0.3">
      <c r="A1396" t="s">
        <v>3044</v>
      </c>
      <c r="B1396" t="s">
        <v>3045</v>
      </c>
      <c r="C1396" t="s">
        <v>3011</v>
      </c>
      <c r="D1396" t="s">
        <v>233</v>
      </c>
      <c r="E1396" t="s">
        <v>30</v>
      </c>
      <c r="F1396" s="6">
        <v>45107</v>
      </c>
      <c r="G1396">
        <v>2023</v>
      </c>
      <c r="H1396" t="s">
        <v>44</v>
      </c>
      <c r="I1396" t="s">
        <v>33</v>
      </c>
      <c r="J1396">
        <v>51.39</v>
      </c>
      <c r="K1396">
        <v>53.93</v>
      </c>
      <c r="L1396">
        <v>1.0494259583576571</v>
      </c>
      <c r="M1396">
        <v>1.0494259583576571</v>
      </c>
      <c r="N1396" t="s">
        <v>6150</v>
      </c>
      <c r="O1396" t="s">
        <v>6151</v>
      </c>
      <c r="P1396" t="s">
        <v>3046</v>
      </c>
      <c r="Q1396">
        <v>2</v>
      </c>
      <c r="R1396">
        <v>2</v>
      </c>
    </row>
    <row r="1397" spans="1:18" x14ac:dyDescent="0.3">
      <c r="A1397" t="s">
        <v>3044</v>
      </c>
      <c r="B1397" t="s">
        <v>3045</v>
      </c>
      <c r="C1397" t="s">
        <v>3011</v>
      </c>
      <c r="D1397" t="s">
        <v>233</v>
      </c>
      <c r="E1397" t="s">
        <v>30</v>
      </c>
      <c r="F1397" s="6">
        <v>45291</v>
      </c>
      <c r="G1397">
        <v>2023</v>
      </c>
      <c r="H1397" t="s">
        <v>57</v>
      </c>
      <c r="I1397" t="s">
        <v>47</v>
      </c>
      <c r="J1397">
        <v>100</v>
      </c>
      <c r="K1397">
        <v>92.86</v>
      </c>
      <c r="L1397">
        <v>0.92859999999999998</v>
      </c>
      <c r="M1397">
        <v>0.92859999999999998</v>
      </c>
      <c r="N1397" t="s">
        <v>102</v>
      </c>
      <c r="O1397" t="s">
        <v>6152</v>
      </c>
      <c r="P1397" t="s">
        <v>3047</v>
      </c>
      <c r="Q1397">
        <v>2</v>
      </c>
      <c r="R1397">
        <v>2</v>
      </c>
    </row>
    <row r="1398" spans="1:18" x14ac:dyDescent="0.3">
      <c r="A1398" t="s">
        <v>3044</v>
      </c>
      <c r="B1398" t="s">
        <v>3045</v>
      </c>
      <c r="C1398" t="s">
        <v>3011</v>
      </c>
      <c r="D1398" t="s">
        <v>233</v>
      </c>
      <c r="E1398" t="s">
        <v>30</v>
      </c>
      <c r="F1398" s="6">
        <v>45473</v>
      </c>
      <c r="G1398">
        <v>2024</v>
      </c>
      <c r="H1398" t="s">
        <v>44</v>
      </c>
      <c r="I1398" t="s">
        <v>71</v>
      </c>
      <c r="J1398">
        <v>65.739999999999995</v>
      </c>
      <c r="K1398">
        <v>68.33</v>
      </c>
      <c r="L1398">
        <v>1.0393976270155161</v>
      </c>
      <c r="M1398">
        <v>1.0393976270155161</v>
      </c>
      <c r="N1398" t="s">
        <v>6153</v>
      </c>
      <c r="O1398" t="s">
        <v>6154</v>
      </c>
      <c r="P1398" t="s">
        <v>3048</v>
      </c>
      <c r="Q1398">
        <v>2</v>
      </c>
      <c r="R1398">
        <v>2</v>
      </c>
    </row>
    <row r="1399" spans="1:18" x14ac:dyDescent="0.3">
      <c r="A1399" t="s">
        <v>3049</v>
      </c>
      <c r="B1399" t="s">
        <v>3050</v>
      </c>
      <c r="C1399" t="s">
        <v>3011</v>
      </c>
      <c r="D1399" t="s">
        <v>233</v>
      </c>
      <c r="E1399" t="s">
        <v>30</v>
      </c>
      <c r="F1399" s="6">
        <v>45107</v>
      </c>
      <c r="G1399">
        <v>2023</v>
      </c>
      <c r="H1399" t="s">
        <v>44</v>
      </c>
      <c r="I1399" t="s">
        <v>33</v>
      </c>
      <c r="J1399">
        <v>54.33</v>
      </c>
      <c r="K1399">
        <v>67</v>
      </c>
      <c r="L1399">
        <v>1.233204491073072</v>
      </c>
      <c r="M1399">
        <v>1.233204491073072</v>
      </c>
      <c r="N1399" t="s">
        <v>6155</v>
      </c>
      <c r="O1399" t="s">
        <v>5418</v>
      </c>
      <c r="P1399" t="s">
        <v>3051</v>
      </c>
      <c r="Q1399">
        <v>2</v>
      </c>
      <c r="R1399">
        <v>2</v>
      </c>
    </row>
    <row r="1400" spans="1:18" x14ac:dyDescent="0.3">
      <c r="A1400" t="s">
        <v>3049</v>
      </c>
      <c r="B1400" t="s">
        <v>3050</v>
      </c>
      <c r="C1400" t="s">
        <v>3011</v>
      </c>
      <c r="D1400" t="s">
        <v>233</v>
      </c>
      <c r="E1400" t="s">
        <v>30</v>
      </c>
      <c r="F1400" s="6">
        <v>45291</v>
      </c>
      <c r="G1400">
        <v>2023</v>
      </c>
      <c r="H1400" t="s">
        <v>57</v>
      </c>
      <c r="I1400" t="s">
        <v>47</v>
      </c>
      <c r="J1400">
        <v>100</v>
      </c>
      <c r="K1400">
        <v>100</v>
      </c>
      <c r="L1400">
        <v>1</v>
      </c>
      <c r="M1400">
        <v>1</v>
      </c>
      <c r="N1400" t="s">
        <v>102</v>
      </c>
      <c r="O1400" t="s">
        <v>102</v>
      </c>
      <c r="P1400" t="s">
        <v>3052</v>
      </c>
      <c r="Q1400">
        <v>2</v>
      </c>
      <c r="R1400">
        <v>2</v>
      </c>
    </row>
    <row r="1401" spans="1:18" x14ac:dyDescent="0.3">
      <c r="A1401" t="s">
        <v>3049</v>
      </c>
      <c r="B1401" t="s">
        <v>3050</v>
      </c>
      <c r="C1401" t="s">
        <v>3011</v>
      </c>
      <c r="D1401" t="s">
        <v>233</v>
      </c>
      <c r="E1401" t="s">
        <v>30</v>
      </c>
      <c r="F1401" s="6">
        <v>45473</v>
      </c>
      <c r="G1401">
        <v>2024</v>
      </c>
      <c r="H1401" t="s">
        <v>44</v>
      </c>
      <c r="I1401" t="s">
        <v>71</v>
      </c>
      <c r="J1401">
        <v>50.22</v>
      </c>
      <c r="K1401">
        <v>52.92</v>
      </c>
      <c r="L1401">
        <v>1.053763440860215</v>
      </c>
      <c r="M1401">
        <v>1.053763440860215</v>
      </c>
      <c r="N1401" t="s">
        <v>6156</v>
      </c>
      <c r="O1401" t="s">
        <v>6157</v>
      </c>
      <c r="P1401" t="s">
        <v>3053</v>
      </c>
      <c r="Q1401">
        <v>2</v>
      </c>
      <c r="R1401">
        <v>2</v>
      </c>
    </row>
    <row r="1402" spans="1:18" x14ac:dyDescent="0.3">
      <c r="A1402" t="s">
        <v>3054</v>
      </c>
      <c r="B1402" t="s">
        <v>3055</v>
      </c>
      <c r="C1402" t="s">
        <v>3011</v>
      </c>
      <c r="D1402" t="s">
        <v>233</v>
      </c>
      <c r="E1402" t="s">
        <v>30</v>
      </c>
      <c r="F1402" s="6">
        <v>45107</v>
      </c>
      <c r="G1402">
        <v>2023</v>
      </c>
      <c r="H1402" t="s">
        <v>44</v>
      </c>
      <c r="I1402" t="s">
        <v>33</v>
      </c>
      <c r="J1402">
        <v>60.38</v>
      </c>
      <c r="K1402">
        <v>73.06</v>
      </c>
      <c r="L1402">
        <v>1.210003312355084</v>
      </c>
      <c r="M1402">
        <v>1.210003312355084</v>
      </c>
      <c r="N1402" t="s">
        <v>6158</v>
      </c>
      <c r="O1402" t="s">
        <v>6159</v>
      </c>
      <c r="P1402" t="s">
        <v>3056</v>
      </c>
      <c r="Q1402">
        <v>2</v>
      </c>
      <c r="R1402">
        <v>2</v>
      </c>
    </row>
    <row r="1403" spans="1:18" x14ac:dyDescent="0.3">
      <c r="A1403" t="s">
        <v>3054</v>
      </c>
      <c r="B1403" t="s">
        <v>3055</v>
      </c>
      <c r="C1403" t="s">
        <v>3011</v>
      </c>
      <c r="D1403" t="s">
        <v>233</v>
      </c>
      <c r="E1403" t="s">
        <v>30</v>
      </c>
      <c r="F1403" s="6">
        <v>45291</v>
      </c>
      <c r="G1403">
        <v>2023</v>
      </c>
      <c r="H1403" t="s">
        <v>57</v>
      </c>
      <c r="I1403" t="s">
        <v>47</v>
      </c>
      <c r="J1403">
        <v>100</v>
      </c>
      <c r="K1403">
        <v>100</v>
      </c>
      <c r="L1403">
        <v>1</v>
      </c>
      <c r="M1403">
        <v>1</v>
      </c>
      <c r="N1403" t="s">
        <v>102</v>
      </c>
      <c r="O1403" t="s">
        <v>102</v>
      </c>
      <c r="P1403" t="s">
        <v>3057</v>
      </c>
      <c r="Q1403">
        <v>2</v>
      </c>
      <c r="R1403">
        <v>2</v>
      </c>
    </row>
    <row r="1404" spans="1:18" x14ac:dyDescent="0.3">
      <c r="A1404" t="s">
        <v>3054</v>
      </c>
      <c r="B1404" t="s">
        <v>3055</v>
      </c>
      <c r="C1404" t="s">
        <v>3011</v>
      </c>
      <c r="D1404" t="s">
        <v>233</v>
      </c>
      <c r="E1404" t="s">
        <v>30</v>
      </c>
      <c r="F1404" s="6">
        <v>45473</v>
      </c>
      <c r="G1404">
        <v>2024</v>
      </c>
      <c r="H1404" t="s">
        <v>44</v>
      </c>
      <c r="I1404" t="s">
        <v>71</v>
      </c>
      <c r="J1404">
        <v>58.85</v>
      </c>
      <c r="K1404">
        <v>65.08</v>
      </c>
      <c r="L1404">
        <v>1.1058623619371279</v>
      </c>
      <c r="M1404">
        <v>1.1058623619371279</v>
      </c>
      <c r="N1404" t="s">
        <v>6160</v>
      </c>
      <c r="O1404" t="s">
        <v>6161</v>
      </c>
      <c r="P1404" t="s">
        <v>3058</v>
      </c>
      <c r="Q1404">
        <v>2</v>
      </c>
      <c r="R1404">
        <v>2</v>
      </c>
    </row>
    <row r="1405" spans="1:18" x14ac:dyDescent="0.3">
      <c r="A1405" t="s">
        <v>3059</v>
      </c>
      <c r="B1405" t="s">
        <v>3060</v>
      </c>
      <c r="C1405" t="s">
        <v>3011</v>
      </c>
      <c r="D1405" t="s">
        <v>233</v>
      </c>
      <c r="E1405" t="s">
        <v>30</v>
      </c>
      <c r="F1405" s="6">
        <v>45107</v>
      </c>
      <c r="G1405">
        <v>2023</v>
      </c>
      <c r="H1405" t="s">
        <v>44</v>
      </c>
      <c r="I1405" t="s">
        <v>33</v>
      </c>
      <c r="J1405">
        <v>69.650000000000006</v>
      </c>
      <c r="K1405">
        <v>68.75</v>
      </c>
      <c r="L1405">
        <v>0.98707824838478098</v>
      </c>
      <c r="M1405">
        <v>0.98707824838478098</v>
      </c>
      <c r="N1405" t="s">
        <v>6162</v>
      </c>
      <c r="O1405" t="s">
        <v>5702</v>
      </c>
      <c r="P1405" t="s">
        <v>3061</v>
      </c>
      <c r="Q1405">
        <v>2</v>
      </c>
      <c r="R1405">
        <v>2</v>
      </c>
    </row>
    <row r="1406" spans="1:18" x14ac:dyDescent="0.3">
      <c r="A1406" t="s">
        <v>3059</v>
      </c>
      <c r="B1406" t="s">
        <v>3060</v>
      </c>
      <c r="C1406" t="s">
        <v>3011</v>
      </c>
      <c r="D1406" t="s">
        <v>233</v>
      </c>
      <c r="E1406" t="s">
        <v>30</v>
      </c>
      <c r="F1406" s="6">
        <v>45291</v>
      </c>
      <c r="G1406">
        <v>2023</v>
      </c>
      <c r="H1406" t="s">
        <v>57</v>
      </c>
      <c r="I1406" t="s">
        <v>47</v>
      </c>
      <c r="J1406">
        <v>100</v>
      </c>
      <c r="K1406">
        <v>100</v>
      </c>
      <c r="L1406">
        <v>1</v>
      </c>
      <c r="M1406">
        <v>1</v>
      </c>
      <c r="N1406" t="s">
        <v>102</v>
      </c>
      <c r="O1406" t="s">
        <v>102</v>
      </c>
      <c r="P1406" t="s">
        <v>3062</v>
      </c>
      <c r="Q1406">
        <v>2</v>
      </c>
      <c r="R1406">
        <v>2</v>
      </c>
    </row>
    <row r="1407" spans="1:18" x14ac:dyDescent="0.3">
      <c r="A1407" t="s">
        <v>3059</v>
      </c>
      <c r="B1407" t="s">
        <v>3060</v>
      </c>
      <c r="C1407" t="s">
        <v>3011</v>
      </c>
      <c r="D1407" t="s">
        <v>233</v>
      </c>
      <c r="E1407" t="s">
        <v>30</v>
      </c>
      <c r="F1407" s="6">
        <v>45473</v>
      </c>
      <c r="G1407">
        <v>2024</v>
      </c>
      <c r="H1407" t="s">
        <v>44</v>
      </c>
      <c r="I1407" t="s">
        <v>71</v>
      </c>
      <c r="J1407">
        <v>44.13</v>
      </c>
      <c r="K1407">
        <v>58.56</v>
      </c>
      <c r="L1407">
        <v>1.3</v>
      </c>
      <c r="M1407">
        <v>1.326988443235894</v>
      </c>
      <c r="N1407" t="s">
        <v>6163</v>
      </c>
      <c r="O1407" t="s">
        <v>6164</v>
      </c>
      <c r="P1407" t="s">
        <v>3063</v>
      </c>
      <c r="Q1407">
        <v>2</v>
      </c>
      <c r="R1407">
        <v>2</v>
      </c>
    </row>
    <row r="1408" spans="1:18" x14ac:dyDescent="0.3">
      <c r="A1408" t="s">
        <v>3064</v>
      </c>
      <c r="B1408" t="s">
        <v>3065</v>
      </c>
      <c r="C1408" t="s">
        <v>3011</v>
      </c>
      <c r="D1408" t="s">
        <v>233</v>
      </c>
      <c r="E1408" t="s">
        <v>30</v>
      </c>
      <c r="F1408" s="6">
        <v>45107</v>
      </c>
      <c r="G1408">
        <v>2023</v>
      </c>
      <c r="H1408" t="s">
        <v>44</v>
      </c>
      <c r="I1408" t="s">
        <v>33</v>
      </c>
      <c r="J1408">
        <v>61.42</v>
      </c>
      <c r="K1408">
        <v>67.67</v>
      </c>
      <c r="L1408">
        <v>1.1017583848909149</v>
      </c>
      <c r="M1408">
        <v>1.1017583848909149</v>
      </c>
      <c r="N1408" t="s">
        <v>6165</v>
      </c>
      <c r="O1408" t="s">
        <v>6166</v>
      </c>
      <c r="P1408" t="s">
        <v>3066</v>
      </c>
      <c r="Q1408">
        <v>2</v>
      </c>
      <c r="R1408">
        <v>2</v>
      </c>
    </row>
    <row r="1409" spans="1:18" x14ac:dyDescent="0.3">
      <c r="A1409" t="s">
        <v>3064</v>
      </c>
      <c r="B1409" t="s">
        <v>3065</v>
      </c>
      <c r="C1409" t="s">
        <v>3011</v>
      </c>
      <c r="D1409" t="s">
        <v>233</v>
      </c>
      <c r="E1409" t="s">
        <v>30</v>
      </c>
      <c r="F1409" s="6">
        <v>45291</v>
      </c>
      <c r="G1409">
        <v>2023</v>
      </c>
      <c r="H1409" t="s">
        <v>57</v>
      </c>
      <c r="I1409" t="s">
        <v>47</v>
      </c>
      <c r="J1409">
        <v>100</v>
      </c>
      <c r="K1409">
        <v>100</v>
      </c>
      <c r="L1409">
        <v>1</v>
      </c>
      <c r="M1409">
        <v>1</v>
      </c>
      <c r="N1409" t="s">
        <v>102</v>
      </c>
      <c r="O1409" t="s">
        <v>102</v>
      </c>
      <c r="P1409" t="s">
        <v>3067</v>
      </c>
      <c r="Q1409">
        <v>2</v>
      </c>
      <c r="R1409">
        <v>2</v>
      </c>
    </row>
    <row r="1410" spans="1:18" x14ac:dyDescent="0.3">
      <c r="A1410" t="s">
        <v>3064</v>
      </c>
      <c r="B1410" t="s">
        <v>3065</v>
      </c>
      <c r="C1410" t="s">
        <v>3011</v>
      </c>
      <c r="D1410" t="s">
        <v>233</v>
      </c>
      <c r="E1410" t="s">
        <v>30</v>
      </c>
      <c r="F1410" s="6">
        <v>45473</v>
      </c>
      <c r="G1410">
        <v>2024</v>
      </c>
      <c r="H1410" t="s">
        <v>44</v>
      </c>
      <c r="I1410" t="s">
        <v>71</v>
      </c>
      <c r="J1410">
        <v>44.29</v>
      </c>
      <c r="K1410">
        <v>44.65</v>
      </c>
      <c r="L1410">
        <v>1.008128245653646</v>
      </c>
      <c r="M1410">
        <v>1.008128245653646</v>
      </c>
      <c r="N1410" t="s">
        <v>6167</v>
      </c>
      <c r="O1410" t="s">
        <v>6138</v>
      </c>
      <c r="P1410" t="s">
        <v>3068</v>
      </c>
      <c r="Q1410">
        <v>2</v>
      </c>
      <c r="R1410">
        <v>2</v>
      </c>
    </row>
    <row r="1411" spans="1:18" x14ac:dyDescent="0.3">
      <c r="A1411" t="s">
        <v>3069</v>
      </c>
      <c r="B1411" t="s">
        <v>3070</v>
      </c>
      <c r="C1411" t="s">
        <v>3071</v>
      </c>
      <c r="D1411" t="s">
        <v>222</v>
      </c>
      <c r="E1411" t="s">
        <v>30</v>
      </c>
      <c r="F1411" s="6">
        <v>45107</v>
      </c>
      <c r="G1411">
        <v>2023</v>
      </c>
      <c r="H1411" t="s">
        <v>44</v>
      </c>
      <c r="I1411" t="s">
        <v>33</v>
      </c>
      <c r="J1411">
        <v>100</v>
      </c>
      <c r="K1411">
        <v>100</v>
      </c>
      <c r="L1411">
        <v>1</v>
      </c>
      <c r="M1411">
        <v>1</v>
      </c>
      <c r="N1411" t="s">
        <v>102</v>
      </c>
      <c r="O1411" t="s">
        <v>102</v>
      </c>
      <c r="P1411" t="s">
        <v>3072</v>
      </c>
      <c r="Q1411">
        <v>2</v>
      </c>
      <c r="R1411">
        <v>2</v>
      </c>
    </row>
    <row r="1412" spans="1:18" x14ac:dyDescent="0.3">
      <c r="A1412" t="s">
        <v>3069</v>
      </c>
      <c r="B1412" t="s">
        <v>3070</v>
      </c>
      <c r="C1412" t="s">
        <v>3071</v>
      </c>
      <c r="D1412" t="s">
        <v>222</v>
      </c>
      <c r="E1412" t="s">
        <v>30</v>
      </c>
      <c r="F1412" s="6">
        <v>45291</v>
      </c>
      <c r="G1412">
        <v>2023</v>
      </c>
      <c r="H1412" t="s">
        <v>57</v>
      </c>
      <c r="I1412" t="s">
        <v>47</v>
      </c>
      <c r="J1412">
        <v>100</v>
      </c>
      <c r="K1412">
        <v>100</v>
      </c>
      <c r="L1412">
        <v>1</v>
      </c>
      <c r="M1412">
        <v>1</v>
      </c>
      <c r="N1412" t="s">
        <v>102</v>
      </c>
      <c r="O1412" t="s">
        <v>102</v>
      </c>
      <c r="P1412" t="s">
        <v>3073</v>
      </c>
      <c r="Q1412">
        <v>2</v>
      </c>
      <c r="R1412">
        <v>2</v>
      </c>
    </row>
    <row r="1413" spans="1:18" x14ac:dyDescent="0.3">
      <c r="A1413" t="s">
        <v>3069</v>
      </c>
      <c r="B1413" t="s">
        <v>3070</v>
      </c>
      <c r="C1413" t="s">
        <v>3071</v>
      </c>
      <c r="D1413" t="s">
        <v>222</v>
      </c>
      <c r="E1413" t="s">
        <v>30</v>
      </c>
      <c r="F1413" s="6">
        <v>45473</v>
      </c>
      <c r="G1413">
        <v>2024</v>
      </c>
      <c r="H1413" t="s">
        <v>44</v>
      </c>
      <c r="I1413" t="s">
        <v>71</v>
      </c>
      <c r="J1413">
        <v>96</v>
      </c>
      <c r="K1413">
        <v>100</v>
      </c>
      <c r="L1413">
        <v>1.041666666666667</v>
      </c>
      <c r="M1413">
        <v>1.041666666666667</v>
      </c>
      <c r="N1413" t="s">
        <v>668</v>
      </c>
      <c r="O1413" t="s">
        <v>102</v>
      </c>
      <c r="P1413" t="s">
        <v>3074</v>
      </c>
      <c r="Q1413">
        <v>2</v>
      </c>
      <c r="R1413">
        <v>2</v>
      </c>
    </row>
    <row r="1414" spans="1:18" x14ac:dyDescent="0.3">
      <c r="A1414" t="s">
        <v>3069</v>
      </c>
      <c r="B1414" t="s">
        <v>3070</v>
      </c>
      <c r="C1414" t="s">
        <v>3071</v>
      </c>
      <c r="D1414" t="s">
        <v>222</v>
      </c>
      <c r="E1414" t="s">
        <v>30</v>
      </c>
      <c r="F1414" s="6">
        <v>45657</v>
      </c>
      <c r="G1414">
        <v>2024</v>
      </c>
      <c r="H1414" t="s">
        <v>57</v>
      </c>
      <c r="I1414" t="s">
        <v>78</v>
      </c>
      <c r="J1414">
        <v>96</v>
      </c>
      <c r="K1414">
        <v>100</v>
      </c>
      <c r="L1414">
        <v>1.041666666666667</v>
      </c>
      <c r="M1414">
        <v>1.041666666666667</v>
      </c>
      <c r="N1414" t="s">
        <v>668</v>
      </c>
      <c r="O1414" t="s">
        <v>102</v>
      </c>
      <c r="P1414" t="s">
        <v>3075</v>
      </c>
      <c r="Q1414">
        <v>2</v>
      </c>
      <c r="R1414">
        <v>2</v>
      </c>
    </row>
    <row r="1415" spans="1:18" x14ac:dyDescent="0.3">
      <c r="A1415" t="s">
        <v>3076</v>
      </c>
      <c r="B1415" t="s">
        <v>3077</v>
      </c>
      <c r="C1415" t="s">
        <v>3071</v>
      </c>
      <c r="D1415" t="s">
        <v>222</v>
      </c>
      <c r="E1415" t="s">
        <v>30</v>
      </c>
      <c r="F1415" s="6">
        <v>45107</v>
      </c>
      <c r="G1415">
        <v>2023</v>
      </c>
      <c r="H1415" t="s">
        <v>44</v>
      </c>
      <c r="I1415" t="s">
        <v>33</v>
      </c>
      <c r="J1415">
        <v>310000000</v>
      </c>
      <c r="K1415">
        <v>341285148</v>
      </c>
      <c r="L1415">
        <v>1.100919832258064</v>
      </c>
      <c r="M1415">
        <v>1.100919832258064</v>
      </c>
      <c r="N1415" t="s">
        <v>6168</v>
      </c>
      <c r="O1415" t="s">
        <v>6169</v>
      </c>
      <c r="P1415" t="s">
        <v>3078</v>
      </c>
      <c r="Q1415">
        <v>2</v>
      </c>
      <c r="R1415">
        <v>2</v>
      </c>
    </row>
    <row r="1416" spans="1:18" x14ac:dyDescent="0.3">
      <c r="A1416" t="s">
        <v>3076</v>
      </c>
      <c r="B1416" t="s">
        <v>3077</v>
      </c>
      <c r="C1416" t="s">
        <v>3071</v>
      </c>
      <c r="D1416" t="s">
        <v>222</v>
      </c>
      <c r="E1416" t="s">
        <v>30</v>
      </c>
      <c r="F1416" s="6">
        <v>45291</v>
      </c>
      <c r="G1416">
        <v>2023</v>
      </c>
      <c r="H1416" t="s">
        <v>57</v>
      </c>
      <c r="I1416" t="s">
        <v>47</v>
      </c>
      <c r="J1416">
        <v>420000000</v>
      </c>
      <c r="K1416">
        <v>1075863089</v>
      </c>
      <c r="L1416">
        <v>1.3</v>
      </c>
      <c r="M1416">
        <v>2.5615787833333332</v>
      </c>
      <c r="N1416" t="s">
        <v>6170</v>
      </c>
      <c r="O1416" t="s">
        <v>6171</v>
      </c>
      <c r="P1416" t="s">
        <v>3079</v>
      </c>
      <c r="Q1416">
        <v>2</v>
      </c>
      <c r="R1416">
        <v>2</v>
      </c>
    </row>
    <row r="1417" spans="1:18" x14ac:dyDescent="0.3">
      <c r="A1417" t="s">
        <v>3076</v>
      </c>
      <c r="B1417" t="s">
        <v>3077</v>
      </c>
      <c r="C1417" t="s">
        <v>3071</v>
      </c>
      <c r="D1417" t="s">
        <v>222</v>
      </c>
      <c r="E1417" t="s">
        <v>30</v>
      </c>
      <c r="F1417" s="6">
        <v>45473</v>
      </c>
      <c r="G1417">
        <v>2024</v>
      </c>
      <c r="H1417" t="s">
        <v>44</v>
      </c>
      <c r="I1417" t="s">
        <v>71</v>
      </c>
      <c r="J1417">
        <v>341000000</v>
      </c>
      <c r="K1417">
        <v>334552287</v>
      </c>
      <c r="L1417">
        <v>0.98109175073313781</v>
      </c>
      <c r="M1417">
        <v>0.98109175073313781</v>
      </c>
      <c r="N1417" t="s">
        <v>6172</v>
      </c>
      <c r="O1417" t="s">
        <v>6173</v>
      </c>
      <c r="P1417" t="s">
        <v>3080</v>
      </c>
      <c r="Q1417">
        <v>2</v>
      </c>
      <c r="R1417">
        <v>2</v>
      </c>
    </row>
    <row r="1418" spans="1:18" x14ac:dyDescent="0.3">
      <c r="A1418" t="s">
        <v>3076</v>
      </c>
      <c r="B1418" t="s">
        <v>3077</v>
      </c>
      <c r="C1418" t="s">
        <v>3071</v>
      </c>
      <c r="D1418" t="s">
        <v>222</v>
      </c>
      <c r="E1418" t="s">
        <v>30</v>
      </c>
      <c r="F1418" s="6">
        <v>45657</v>
      </c>
      <c r="G1418">
        <v>2024</v>
      </c>
      <c r="H1418" t="s">
        <v>57</v>
      </c>
      <c r="I1418" t="s">
        <v>78</v>
      </c>
      <c r="J1418">
        <v>100</v>
      </c>
      <c r="K1418">
        <v>252.39</v>
      </c>
      <c r="L1418">
        <v>1.3</v>
      </c>
      <c r="M1418">
        <v>2.5238999999999998</v>
      </c>
      <c r="N1418" t="s">
        <v>102</v>
      </c>
      <c r="O1418" t="s">
        <v>6174</v>
      </c>
      <c r="P1418" t="s">
        <v>3081</v>
      </c>
      <c r="Q1418">
        <v>2</v>
      </c>
      <c r="R1418">
        <v>2</v>
      </c>
    </row>
    <row r="1419" spans="1:18" x14ac:dyDescent="0.3">
      <c r="A1419" t="s">
        <v>3076</v>
      </c>
      <c r="B1419" t="s">
        <v>3077</v>
      </c>
      <c r="C1419" t="s">
        <v>3071</v>
      </c>
      <c r="D1419" t="s">
        <v>98</v>
      </c>
      <c r="E1419" t="s">
        <v>30</v>
      </c>
      <c r="F1419" s="6">
        <v>46022</v>
      </c>
      <c r="G1419">
        <v>2025</v>
      </c>
      <c r="H1419" t="s">
        <v>57</v>
      </c>
      <c r="I1419" t="s">
        <v>103</v>
      </c>
      <c r="J1419">
        <v>100</v>
      </c>
      <c r="K1419">
        <v>100.8</v>
      </c>
      <c r="L1419">
        <v>1.008</v>
      </c>
      <c r="M1419">
        <v>1.008</v>
      </c>
      <c r="N1419" t="s">
        <v>102</v>
      </c>
      <c r="O1419" t="s">
        <v>3083</v>
      </c>
      <c r="P1419" t="s">
        <v>3084</v>
      </c>
      <c r="Q1419">
        <v>2</v>
      </c>
      <c r="R1419">
        <v>2</v>
      </c>
    </row>
    <row r="1420" spans="1:18" x14ac:dyDescent="0.3">
      <c r="A1420" t="s">
        <v>3085</v>
      </c>
      <c r="B1420" t="s">
        <v>3086</v>
      </c>
      <c r="C1420" t="s">
        <v>3071</v>
      </c>
      <c r="D1420" t="s">
        <v>98</v>
      </c>
      <c r="E1420" t="s">
        <v>30</v>
      </c>
      <c r="F1420" s="6">
        <v>45291</v>
      </c>
      <c r="G1420">
        <v>2023</v>
      </c>
      <c r="H1420" t="s">
        <v>57</v>
      </c>
      <c r="I1420" t="s">
        <v>47</v>
      </c>
      <c r="J1420">
        <v>15</v>
      </c>
      <c r="K1420">
        <v>15.45</v>
      </c>
      <c r="L1420">
        <v>1.03</v>
      </c>
      <c r="M1420">
        <v>1.03</v>
      </c>
      <c r="N1420" t="s">
        <v>3932</v>
      </c>
      <c r="O1420" t="s">
        <v>6175</v>
      </c>
      <c r="P1420" t="s">
        <v>3087</v>
      </c>
      <c r="Q1420">
        <v>2</v>
      </c>
      <c r="R1420">
        <v>2</v>
      </c>
    </row>
    <row r="1421" spans="1:18" x14ac:dyDescent="0.3">
      <c r="A1421" t="s">
        <v>3085</v>
      </c>
      <c r="B1421" t="s">
        <v>3086</v>
      </c>
      <c r="C1421" t="s">
        <v>3071</v>
      </c>
      <c r="D1421" t="s">
        <v>98</v>
      </c>
      <c r="E1421" t="s">
        <v>108</v>
      </c>
      <c r="F1421" s="6">
        <v>45657</v>
      </c>
      <c r="G1421">
        <v>2024</v>
      </c>
      <c r="H1421" t="s">
        <v>57</v>
      </c>
      <c r="I1421" t="s">
        <v>78</v>
      </c>
      <c r="J1421">
        <v>15</v>
      </c>
      <c r="K1421">
        <v>13</v>
      </c>
      <c r="L1421">
        <v>1.153846153846154</v>
      </c>
      <c r="M1421">
        <v>1.153846153846154</v>
      </c>
      <c r="N1421" t="s">
        <v>3932</v>
      </c>
      <c r="O1421" t="s">
        <v>5550</v>
      </c>
      <c r="P1421" t="s">
        <v>3088</v>
      </c>
      <c r="Q1421">
        <v>2</v>
      </c>
      <c r="R1421">
        <v>2</v>
      </c>
    </row>
    <row r="1422" spans="1:18" x14ac:dyDescent="0.3">
      <c r="A1422" t="s">
        <v>3085</v>
      </c>
      <c r="B1422" t="s">
        <v>3086</v>
      </c>
      <c r="C1422" t="s">
        <v>3071</v>
      </c>
      <c r="D1422" t="s">
        <v>98</v>
      </c>
      <c r="E1422" t="s">
        <v>108</v>
      </c>
      <c r="F1422" s="6">
        <v>46022</v>
      </c>
      <c r="G1422">
        <v>2025</v>
      </c>
      <c r="H1422" t="s">
        <v>57</v>
      </c>
      <c r="I1422" t="s">
        <v>103</v>
      </c>
      <c r="K1422">
        <v>12</v>
      </c>
      <c r="L1422">
        <v>0</v>
      </c>
      <c r="M1422">
        <v>0</v>
      </c>
      <c r="O1422" t="s">
        <v>3089</v>
      </c>
      <c r="P1422" t="s">
        <v>3090</v>
      </c>
      <c r="Q1422">
        <v>2</v>
      </c>
      <c r="R1422">
        <v>2</v>
      </c>
    </row>
    <row r="1423" spans="1:18" x14ac:dyDescent="0.3">
      <c r="A1423" t="s">
        <v>3091</v>
      </c>
      <c r="B1423" t="s">
        <v>3092</v>
      </c>
      <c r="C1423" t="s">
        <v>3093</v>
      </c>
      <c r="D1423" t="s">
        <v>222</v>
      </c>
      <c r="E1423" t="s">
        <v>30</v>
      </c>
      <c r="F1423" s="6">
        <v>45107</v>
      </c>
      <c r="G1423">
        <v>2023</v>
      </c>
      <c r="H1423" t="s">
        <v>44</v>
      </c>
      <c r="I1423" t="s">
        <v>33</v>
      </c>
      <c r="J1423">
        <v>175</v>
      </c>
      <c r="K1423">
        <v>482</v>
      </c>
      <c r="L1423">
        <v>1.3</v>
      </c>
      <c r="M1423">
        <v>2.754285714285714</v>
      </c>
      <c r="N1423" t="s">
        <v>5737</v>
      </c>
      <c r="O1423" t="s">
        <v>6176</v>
      </c>
      <c r="P1423" t="s">
        <v>3094</v>
      </c>
      <c r="Q1423">
        <v>2</v>
      </c>
      <c r="R1423">
        <v>2</v>
      </c>
    </row>
    <row r="1424" spans="1:18" x14ac:dyDescent="0.3">
      <c r="A1424" t="s">
        <v>3091</v>
      </c>
      <c r="B1424" t="s">
        <v>3092</v>
      </c>
      <c r="C1424" t="s">
        <v>3093</v>
      </c>
      <c r="D1424" t="s">
        <v>222</v>
      </c>
      <c r="E1424" t="s">
        <v>30</v>
      </c>
      <c r="F1424" s="6">
        <v>45291</v>
      </c>
      <c r="G1424">
        <v>2023</v>
      </c>
      <c r="H1424" t="s">
        <v>57</v>
      </c>
      <c r="I1424" t="s">
        <v>47</v>
      </c>
      <c r="J1424">
        <v>175</v>
      </c>
      <c r="K1424">
        <v>612</v>
      </c>
      <c r="L1424">
        <v>1.3</v>
      </c>
      <c r="M1424">
        <v>3.4971428571428569</v>
      </c>
      <c r="N1424" t="s">
        <v>5737</v>
      </c>
      <c r="O1424" t="s">
        <v>6177</v>
      </c>
      <c r="P1424" t="s">
        <v>3095</v>
      </c>
      <c r="Q1424">
        <v>2</v>
      </c>
      <c r="R1424">
        <v>2</v>
      </c>
    </row>
    <row r="1425" spans="1:18" x14ac:dyDescent="0.3">
      <c r="A1425" t="s">
        <v>3091</v>
      </c>
      <c r="B1425" t="s">
        <v>3092</v>
      </c>
      <c r="C1425" t="s">
        <v>3093</v>
      </c>
      <c r="D1425" t="s">
        <v>222</v>
      </c>
      <c r="E1425" t="s">
        <v>30</v>
      </c>
      <c r="F1425" s="6">
        <v>45473</v>
      </c>
      <c r="G1425">
        <v>2024</v>
      </c>
      <c r="H1425" t="s">
        <v>44</v>
      </c>
      <c r="I1425" t="s">
        <v>71</v>
      </c>
      <c r="J1425">
        <v>500</v>
      </c>
      <c r="K1425">
        <v>593</v>
      </c>
      <c r="L1425">
        <v>1.1859999999999999</v>
      </c>
      <c r="M1425">
        <v>1.1859999999999999</v>
      </c>
      <c r="N1425" t="s">
        <v>6178</v>
      </c>
      <c r="O1425" t="s">
        <v>6179</v>
      </c>
      <c r="P1425" t="s">
        <v>3096</v>
      </c>
      <c r="Q1425">
        <v>2</v>
      </c>
      <c r="R1425">
        <v>2</v>
      </c>
    </row>
    <row r="1426" spans="1:18" x14ac:dyDescent="0.3">
      <c r="A1426" t="s">
        <v>3091</v>
      </c>
      <c r="B1426" t="s">
        <v>3092</v>
      </c>
      <c r="C1426" t="s">
        <v>3093</v>
      </c>
      <c r="D1426" t="s">
        <v>222</v>
      </c>
      <c r="E1426" t="s">
        <v>30</v>
      </c>
      <c r="F1426" s="6">
        <v>45657</v>
      </c>
      <c r="G1426">
        <v>2024</v>
      </c>
      <c r="H1426" t="s">
        <v>57</v>
      </c>
      <c r="I1426" t="s">
        <v>78</v>
      </c>
      <c r="J1426">
        <v>500</v>
      </c>
      <c r="K1426">
        <v>960</v>
      </c>
      <c r="L1426">
        <v>1.3</v>
      </c>
      <c r="M1426">
        <v>1.92</v>
      </c>
      <c r="N1426" t="s">
        <v>6178</v>
      </c>
      <c r="O1426" t="s">
        <v>6180</v>
      </c>
      <c r="P1426" t="s">
        <v>3097</v>
      </c>
      <c r="Q1426">
        <v>2</v>
      </c>
      <c r="R1426">
        <v>2</v>
      </c>
    </row>
    <row r="1427" spans="1:18" x14ac:dyDescent="0.3">
      <c r="A1427" t="s">
        <v>3091</v>
      </c>
      <c r="B1427" t="s">
        <v>3092</v>
      </c>
      <c r="C1427" t="s">
        <v>3093</v>
      </c>
      <c r="D1427" t="s">
        <v>233</v>
      </c>
      <c r="E1427" t="s">
        <v>30</v>
      </c>
      <c r="F1427" s="6">
        <v>45838</v>
      </c>
      <c r="G1427">
        <v>2025</v>
      </c>
      <c r="H1427" t="s">
        <v>44</v>
      </c>
      <c r="I1427" t="s">
        <v>244</v>
      </c>
      <c r="J1427">
        <v>100</v>
      </c>
      <c r="K1427">
        <v>162.18</v>
      </c>
      <c r="L1427">
        <v>1.3</v>
      </c>
      <c r="M1427">
        <v>1.6217999999999999</v>
      </c>
      <c r="N1427" t="s">
        <v>102</v>
      </c>
      <c r="O1427" t="s">
        <v>6181</v>
      </c>
      <c r="P1427" t="s">
        <v>3103</v>
      </c>
      <c r="Q1427">
        <v>2</v>
      </c>
      <c r="R1427">
        <v>2</v>
      </c>
    </row>
    <row r="1428" spans="1:18" x14ac:dyDescent="0.3">
      <c r="A1428" t="s">
        <v>3091</v>
      </c>
      <c r="B1428" t="s">
        <v>3092</v>
      </c>
      <c r="C1428" t="s">
        <v>3093</v>
      </c>
      <c r="D1428" t="s">
        <v>233</v>
      </c>
      <c r="E1428" t="s">
        <v>30</v>
      </c>
      <c r="F1428" s="6">
        <v>46022</v>
      </c>
      <c r="G1428">
        <v>2025</v>
      </c>
      <c r="H1428" t="s">
        <v>57</v>
      </c>
      <c r="I1428" t="s">
        <v>103</v>
      </c>
      <c r="J1428">
        <v>100</v>
      </c>
      <c r="K1428">
        <v>137.5</v>
      </c>
      <c r="L1428">
        <v>1.3</v>
      </c>
      <c r="M1428">
        <v>1.375</v>
      </c>
      <c r="N1428" t="s">
        <v>102</v>
      </c>
      <c r="O1428" t="s">
        <v>3105</v>
      </c>
      <c r="P1428" t="s">
        <v>3106</v>
      </c>
      <c r="Q1428">
        <v>2</v>
      </c>
      <c r="R1428">
        <v>2</v>
      </c>
    </row>
    <row r="1429" spans="1:18" x14ac:dyDescent="0.3">
      <c r="A1429" t="s">
        <v>3107</v>
      </c>
      <c r="B1429" t="s">
        <v>3108</v>
      </c>
      <c r="C1429" t="s">
        <v>3093</v>
      </c>
      <c r="D1429" t="s">
        <v>222</v>
      </c>
      <c r="E1429" t="s">
        <v>30</v>
      </c>
      <c r="F1429" s="6">
        <v>45107</v>
      </c>
      <c r="G1429">
        <v>2023</v>
      </c>
      <c r="H1429" t="s">
        <v>44</v>
      </c>
      <c r="I1429" t="s">
        <v>33</v>
      </c>
      <c r="J1429">
        <v>17</v>
      </c>
      <c r="K1429">
        <v>50</v>
      </c>
      <c r="L1429">
        <v>1.3</v>
      </c>
      <c r="M1429">
        <v>2.9411764705882359</v>
      </c>
      <c r="N1429" t="s">
        <v>1478</v>
      </c>
      <c r="O1429" t="s">
        <v>4242</v>
      </c>
      <c r="P1429" t="s">
        <v>3109</v>
      </c>
      <c r="Q1429">
        <v>2</v>
      </c>
      <c r="R1429">
        <v>2</v>
      </c>
    </row>
    <row r="1430" spans="1:18" x14ac:dyDescent="0.3">
      <c r="A1430" t="s">
        <v>3107</v>
      </c>
      <c r="B1430" t="s">
        <v>3108</v>
      </c>
      <c r="C1430" t="s">
        <v>3093</v>
      </c>
      <c r="D1430" t="s">
        <v>222</v>
      </c>
      <c r="E1430" t="s">
        <v>30</v>
      </c>
      <c r="F1430" s="6">
        <v>45291</v>
      </c>
      <c r="G1430">
        <v>2023</v>
      </c>
      <c r="H1430" t="s">
        <v>57</v>
      </c>
      <c r="I1430" t="s">
        <v>47</v>
      </c>
      <c r="J1430">
        <v>18</v>
      </c>
      <c r="K1430">
        <v>48</v>
      </c>
      <c r="L1430">
        <v>1.3</v>
      </c>
      <c r="M1430">
        <v>2.666666666666667</v>
      </c>
      <c r="N1430" t="s">
        <v>1475</v>
      </c>
      <c r="O1430" t="s">
        <v>3982</v>
      </c>
      <c r="P1430" t="s">
        <v>3110</v>
      </c>
      <c r="Q1430">
        <v>2</v>
      </c>
      <c r="R1430">
        <v>2</v>
      </c>
    </row>
    <row r="1431" spans="1:18" x14ac:dyDescent="0.3">
      <c r="A1431" t="s">
        <v>3107</v>
      </c>
      <c r="B1431" t="s">
        <v>3111</v>
      </c>
      <c r="C1431" t="s">
        <v>3093</v>
      </c>
      <c r="D1431" t="s">
        <v>222</v>
      </c>
      <c r="E1431" t="s">
        <v>30</v>
      </c>
      <c r="F1431" s="6">
        <v>45473</v>
      </c>
      <c r="G1431">
        <v>2024</v>
      </c>
      <c r="H1431" t="s">
        <v>44</v>
      </c>
      <c r="I1431" t="s">
        <v>71</v>
      </c>
      <c r="J1431">
        <v>90</v>
      </c>
      <c r="K1431">
        <v>99</v>
      </c>
      <c r="L1431">
        <v>1.1000000000000001</v>
      </c>
      <c r="M1431">
        <v>1.1000000000000001</v>
      </c>
      <c r="N1431" t="s">
        <v>256</v>
      </c>
      <c r="O1431" t="s">
        <v>2577</v>
      </c>
      <c r="P1431" t="s">
        <v>3112</v>
      </c>
      <c r="Q1431">
        <v>2</v>
      </c>
      <c r="R1431">
        <v>2</v>
      </c>
    </row>
    <row r="1432" spans="1:18" x14ac:dyDescent="0.3">
      <c r="A1432" t="s">
        <v>3107</v>
      </c>
      <c r="B1432" t="s">
        <v>3111</v>
      </c>
      <c r="C1432" t="s">
        <v>3093</v>
      </c>
      <c r="D1432" t="s">
        <v>222</v>
      </c>
      <c r="E1432" t="s">
        <v>30</v>
      </c>
      <c r="F1432" s="6">
        <v>45657</v>
      </c>
      <c r="G1432">
        <v>2024</v>
      </c>
      <c r="H1432" t="s">
        <v>57</v>
      </c>
      <c r="I1432" t="s">
        <v>78</v>
      </c>
      <c r="J1432">
        <v>90</v>
      </c>
      <c r="K1432">
        <v>134</v>
      </c>
      <c r="L1432">
        <v>1.3</v>
      </c>
      <c r="M1432">
        <v>1.4888888888888889</v>
      </c>
      <c r="N1432" t="s">
        <v>256</v>
      </c>
      <c r="O1432" t="s">
        <v>6182</v>
      </c>
      <c r="P1432" t="s">
        <v>3113</v>
      </c>
      <c r="Q1432">
        <v>2</v>
      </c>
      <c r="R1432">
        <v>2</v>
      </c>
    </row>
    <row r="1433" spans="1:18" x14ac:dyDescent="0.3">
      <c r="A1433" t="s">
        <v>3107</v>
      </c>
      <c r="B1433" t="s">
        <v>3111</v>
      </c>
      <c r="C1433" t="s">
        <v>3093</v>
      </c>
      <c r="D1433" t="s">
        <v>233</v>
      </c>
      <c r="E1433" t="s">
        <v>30</v>
      </c>
      <c r="F1433" s="6">
        <v>45838</v>
      </c>
      <c r="G1433">
        <v>2025</v>
      </c>
      <c r="H1433" t="s">
        <v>44</v>
      </c>
      <c r="I1433" t="s">
        <v>244</v>
      </c>
      <c r="J1433">
        <v>100</v>
      </c>
      <c r="K1433">
        <v>226.625</v>
      </c>
      <c r="L1433">
        <v>1.3</v>
      </c>
      <c r="M1433">
        <v>2.2662499999999999</v>
      </c>
      <c r="N1433" t="s">
        <v>102</v>
      </c>
      <c r="O1433" t="s">
        <v>6183</v>
      </c>
      <c r="P1433" t="s">
        <v>3119</v>
      </c>
      <c r="Q1433">
        <v>2</v>
      </c>
      <c r="R1433">
        <v>2</v>
      </c>
    </row>
    <row r="1434" spans="1:18" x14ac:dyDescent="0.3">
      <c r="A1434" t="s">
        <v>3107</v>
      </c>
      <c r="B1434" t="s">
        <v>3111</v>
      </c>
      <c r="C1434" t="s">
        <v>3093</v>
      </c>
      <c r="D1434" t="s">
        <v>233</v>
      </c>
      <c r="E1434" t="s">
        <v>30</v>
      </c>
      <c r="F1434" s="6">
        <v>46022</v>
      </c>
      <c r="G1434">
        <v>2025</v>
      </c>
      <c r="H1434" t="s">
        <v>57</v>
      </c>
      <c r="I1434" t="s">
        <v>103</v>
      </c>
      <c r="J1434">
        <v>100</v>
      </c>
      <c r="K1434">
        <v>177.14</v>
      </c>
      <c r="L1434">
        <v>1.3</v>
      </c>
      <c r="M1434">
        <v>1.7714000000000001</v>
      </c>
      <c r="N1434" t="s">
        <v>102</v>
      </c>
      <c r="O1434" t="s">
        <v>3121</v>
      </c>
      <c r="P1434" t="s">
        <v>3122</v>
      </c>
      <c r="Q1434">
        <v>2</v>
      </c>
      <c r="R1434">
        <v>2</v>
      </c>
    </row>
    <row r="1435" spans="1:18" x14ac:dyDescent="0.3">
      <c r="A1435" t="s">
        <v>3123</v>
      </c>
      <c r="B1435" t="s">
        <v>3124</v>
      </c>
      <c r="C1435" t="s">
        <v>3071</v>
      </c>
      <c r="D1435" t="s">
        <v>222</v>
      </c>
      <c r="E1435" t="s">
        <v>30</v>
      </c>
      <c r="F1435" s="6">
        <v>45291</v>
      </c>
      <c r="G1435">
        <v>2023</v>
      </c>
      <c r="H1435" t="s">
        <v>57</v>
      </c>
      <c r="I1435" t="s">
        <v>47</v>
      </c>
      <c r="J1435">
        <v>80</v>
      </c>
      <c r="K1435">
        <v>88.89</v>
      </c>
      <c r="L1435">
        <v>1.1111249999999999</v>
      </c>
      <c r="M1435">
        <v>1.1111249999999999</v>
      </c>
      <c r="N1435" t="s">
        <v>193</v>
      </c>
      <c r="O1435" t="s">
        <v>440</v>
      </c>
      <c r="P1435" t="s">
        <v>3125</v>
      </c>
      <c r="Q1435">
        <v>2</v>
      </c>
      <c r="R1435">
        <v>2</v>
      </c>
    </row>
    <row r="1436" spans="1:18" x14ac:dyDescent="0.3">
      <c r="A1436" t="s">
        <v>3123</v>
      </c>
      <c r="B1436" t="s">
        <v>3124</v>
      </c>
      <c r="C1436" t="s">
        <v>3126</v>
      </c>
      <c r="D1436" t="s">
        <v>222</v>
      </c>
      <c r="E1436" t="s">
        <v>30</v>
      </c>
      <c r="F1436" s="6">
        <v>45473</v>
      </c>
      <c r="G1436">
        <v>2024</v>
      </c>
      <c r="H1436" t="s">
        <v>44</v>
      </c>
      <c r="I1436" t="s">
        <v>71</v>
      </c>
      <c r="J1436">
        <v>80</v>
      </c>
      <c r="K1436">
        <v>88.1</v>
      </c>
      <c r="L1436">
        <v>1.1012500000000001</v>
      </c>
      <c r="M1436">
        <v>1.1012500000000001</v>
      </c>
      <c r="N1436" t="s">
        <v>193</v>
      </c>
      <c r="O1436" t="s">
        <v>5390</v>
      </c>
      <c r="P1436" t="s">
        <v>3127</v>
      </c>
      <c r="Q1436">
        <v>2</v>
      </c>
      <c r="R1436">
        <v>2</v>
      </c>
    </row>
    <row r="1437" spans="1:18" x14ac:dyDescent="0.3">
      <c r="A1437" t="s">
        <v>3128</v>
      </c>
      <c r="B1437" t="s">
        <v>3129</v>
      </c>
      <c r="C1437" t="s">
        <v>3071</v>
      </c>
      <c r="D1437" t="s">
        <v>222</v>
      </c>
      <c r="E1437" t="s">
        <v>30</v>
      </c>
      <c r="F1437" s="6">
        <v>45107</v>
      </c>
      <c r="G1437">
        <v>2023</v>
      </c>
      <c r="H1437" t="s">
        <v>44</v>
      </c>
      <c r="I1437" t="s">
        <v>33</v>
      </c>
      <c r="J1437">
        <v>80</v>
      </c>
      <c r="K1437">
        <v>91.07</v>
      </c>
      <c r="L1437">
        <v>1.1383749999999999</v>
      </c>
      <c r="M1437">
        <v>1.1383749999999999</v>
      </c>
      <c r="N1437" t="s">
        <v>193</v>
      </c>
      <c r="O1437" t="s">
        <v>6184</v>
      </c>
      <c r="P1437" t="s">
        <v>3130</v>
      </c>
      <c r="Q1437">
        <v>2</v>
      </c>
      <c r="R1437">
        <v>2</v>
      </c>
    </row>
    <row r="1438" spans="1:18" x14ac:dyDescent="0.3">
      <c r="A1438" t="s">
        <v>3128</v>
      </c>
      <c r="B1438" t="s">
        <v>3129</v>
      </c>
      <c r="C1438" t="s">
        <v>3071</v>
      </c>
      <c r="D1438" t="s">
        <v>222</v>
      </c>
      <c r="E1438" t="s">
        <v>30</v>
      </c>
      <c r="F1438" s="6">
        <v>45291</v>
      </c>
      <c r="G1438">
        <v>2023</v>
      </c>
      <c r="H1438" t="s">
        <v>57</v>
      </c>
      <c r="I1438" t="s">
        <v>47</v>
      </c>
      <c r="J1438">
        <v>80</v>
      </c>
      <c r="K1438">
        <v>92.96</v>
      </c>
      <c r="L1438">
        <v>1.1619999999999999</v>
      </c>
      <c r="M1438">
        <v>1.1619999999999999</v>
      </c>
      <c r="N1438" t="s">
        <v>193</v>
      </c>
      <c r="O1438" t="s">
        <v>6185</v>
      </c>
      <c r="P1438" t="s">
        <v>3131</v>
      </c>
      <c r="Q1438">
        <v>2</v>
      </c>
      <c r="R1438">
        <v>2</v>
      </c>
    </row>
    <row r="1439" spans="1:18" x14ac:dyDescent="0.3">
      <c r="A1439" t="s">
        <v>3128</v>
      </c>
      <c r="B1439" t="s">
        <v>3129</v>
      </c>
      <c r="C1439" t="s">
        <v>3126</v>
      </c>
      <c r="D1439" t="s">
        <v>222</v>
      </c>
      <c r="E1439" t="s">
        <v>30</v>
      </c>
      <c r="F1439" s="6">
        <v>45473</v>
      </c>
      <c r="G1439">
        <v>2024</v>
      </c>
      <c r="H1439" t="s">
        <v>44</v>
      </c>
      <c r="I1439" t="s">
        <v>71</v>
      </c>
      <c r="J1439">
        <v>80</v>
      </c>
      <c r="K1439">
        <v>88.08</v>
      </c>
      <c r="L1439">
        <v>1.101</v>
      </c>
      <c r="M1439">
        <v>1.101</v>
      </c>
      <c r="N1439" t="s">
        <v>193</v>
      </c>
      <c r="O1439" t="s">
        <v>5352</v>
      </c>
      <c r="P1439" t="s">
        <v>3132</v>
      </c>
      <c r="Q1439">
        <v>2</v>
      </c>
      <c r="R1439">
        <v>2</v>
      </c>
    </row>
    <row r="1440" spans="1:18" x14ac:dyDescent="0.3">
      <c r="A1440" t="s">
        <v>3128</v>
      </c>
      <c r="B1440" t="s">
        <v>3129</v>
      </c>
      <c r="C1440" t="s">
        <v>3126</v>
      </c>
      <c r="D1440" t="s">
        <v>222</v>
      </c>
      <c r="E1440" t="s">
        <v>30</v>
      </c>
      <c r="F1440" s="6">
        <v>45657</v>
      </c>
      <c r="G1440">
        <v>2024</v>
      </c>
      <c r="H1440" t="s">
        <v>57</v>
      </c>
      <c r="I1440" t="s">
        <v>78</v>
      </c>
      <c r="J1440">
        <v>80</v>
      </c>
      <c r="K1440">
        <v>94.88</v>
      </c>
      <c r="L1440">
        <v>1.1859999999999999</v>
      </c>
      <c r="M1440">
        <v>1.1859999999999999</v>
      </c>
      <c r="N1440" t="s">
        <v>193</v>
      </c>
      <c r="O1440" t="s">
        <v>6186</v>
      </c>
      <c r="P1440" t="s">
        <v>3133</v>
      </c>
      <c r="Q1440">
        <v>2</v>
      </c>
      <c r="R1440">
        <v>2</v>
      </c>
    </row>
    <row r="1441" spans="1:18" x14ac:dyDescent="0.3">
      <c r="A1441" t="s">
        <v>3128</v>
      </c>
      <c r="B1441" t="s">
        <v>3134</v>
      </c>
      <c r="C1441" t="s">
        <v>3126</v>
      </c>
      <c r="D1441" t="s">
        <v>222</v>
      </c>
      <c r="E1441" t="s">
        <v>30</v>
      </c>
      <c r="F1441" s="6">
        <v>45838</v>
      </c>
      <c r="G1441">
        <v>2025</v>
      </c>
      <c r="H1441" t="s">
        <v>44</v>
      </c>
      <c r="I1441" t="s">
        <v>244</v>
      </c>
      <c r="J1441">
        <v>90</v>
      </c>
      <c r="K1441">
        <v>95.26</v>
      </c>
      <c r="L1441">
        <v>1.058444444444445</v>
      </c>
      <c r="M1441">
        <v>1.058444444444445</v>
      </c>
      <c r="N1441" t="s">
        <v>256</v>
      </c>
      <c r="O1441" t="s">
        <v>3136</v>
      </c>
      <c r="P1441" t="s">
        <v>3137</v>
      </c>
      <c r="Q1441">
        <v>2</v>
      </c>
      <c r="R1441">
        <v>2</v>
      </c>
    </row>
    <row r="1442" spans="1:18" x14ac:dyDescent="0.3">
      <c r="A1442" t="s">
        <v>3128</v>
      </c>
      <c r="B1442" t="s">
        <v>3134</v>
      </c>
      <c r="C1442" t="s">
        <v>3126</v>
      </c>
      <c r="D1442" t="s">
        <v>222</v>
      </c>
      <c r="E1442" t="s">
        <v>30</v>
      </c>
      <c r="F1442" s="6">
        <v>46022</v>
      </c>
      <c r="G1442">
        <v>2025</v>
      </c>
      <c r="H1442" t="s">
        <v>57</v>
      </c>
      <c r="I1442" t="s">
        <v>103</v>
      </c>
      <c r="J1442">
        <v>90</v>
      </c>
      <c r="K1442">
        <v>96.14</v>
      </c>
      <c r="L1442">
        <v>1.068222222222222</v>
      </c>
      <c r="M1442">
        <v>1.068222222222222</v>
      </c>
      <c r="N1442" t="s">
        <v>256</v>
      </c>
      <c r="O1442" t="s">
        <v>3139</v>
      </c>
      <c r="P1442" t="s">
        <v>3140</v>
      </c>
      <c r="Q1442">
        <v>2</v>
      </c>
      <c r="R1442">
        <v>2</v>
      </c>
    </row>
    <row r="1443" spans="1:18" x14ac:dyDescent="0.3">
      <c r="A1443" t="s">
        <v>3141</v>
      </c>
      <c r="B1443" t="s">
        <v>3142</v>
      </c>
      <c r="C1443" t="s">
        <v>3143</v>
      </c>
      <c r="D1443" t="s">
        <v>222</v>
      </c>
      <c r="E1443" t="s">
        <v>30</v>
      </c>
      <c r="F1443" s="6">
        <v>45107</v>
      </c>
      <c r="G1443">
        <v>2023</v>
      </c>
      <c r="H1443" t="s">
        <v>44</v>
      </c>
      <c r="I1443" t="s">
        <v>33</v>
      </c>
      <c r="J1443">
        <v>1000</v>
      </c>
      <c r="K1443">
        <v>2568</v>
      </c>
      <c r="L1443">
        <v>1.3</v>
      </c>
      <c r="M1443">
        <v>2.5680000000000001</v>
      </c>
      <c r="N1443" t="s">
        <v>6187</v>
      </c>
      <c r="O1443" t="s">
        <v>6188</v>
      </c>
      <c r="P1443" t="s">
        <v>3144</v>
      </c>
      <c r="Q1443">
        <v>2</v>
      </c>
      <c r="R1443">
        <v>2</v>
      </c>
    </row>
    <row r="1444" spans="1:18" x14ac:dyDescent="0.3">
      <c r="A1444" t="s">
        <v>3141</v>
      </c>
      <c r="B1444" t="s">
        <v>3142</v>
      </c>
      <c r="C1444" t="s">
        <v>3143</v>
      </c>
      <c r="D1444" t="s">
        <v>222</v>
      </c>
      <c r="E1444" t="s">
        <v>30</v>
      </c>
      <c r="F1444" s="6">
        <v>45291</v>
      </c>
      <c r="G1444">
        <v>2023</v>
      </c>
      <c r="H1444" t="s">
        <v>57</v>
      </c>
      <c r="I1444" t="s">
        <v>47</v>
      </c>
      <c r="J1444">
        <v>1000</v>
      </c>
      <c r="K1444">
        <v>2344</v>
      </c>
      <c r="L1444">
        <v>1.3</v>
      </c>
      <c r="M1444">
        <v>2.3439999999999999</v>
      </c>
      <c r="N1444" t="s">
        <v>6187</v>
      </c>
      <c r="O1444" t="s">
        <v>6189</v>
      </c>
      <c r="P1444" t="s">
        <v>3145</v>
      </c>
      <c r="Q1444">
        <v>2</v>
      </c>
      <c r="R1444">
        <v>2</v>
      </c>
    </row>
    <row r="1445" spans="1:18" x14ac:dyDescent="0.3">
      <c r="A1445" t="s">
        <v>3141</v>
      </c>
      <c r="B1445" t="s">
        <v>3142</v>
      </c>
      <c r="C1445" t="s">
        <v>3143</v>
      </c>
      <c r="D1445" t="s">
        <v>222</v>
      </c>
      <c r="E1445" t="s">
        <v>30</v>
      </c>
      <c r="F1445" s="6">
        <v>45473</v>
      </c>
      <c r="G1445">
        <v>2024</v>
      </c>
      <c r="H1445" t="s">
        <v>44</v>
      </c>
      <c r="I1445" t="s">
        <v>71</v>
      </c>
      <c r="J1445">
        <v>1250</v>
      </c>
      <c r="K1445">
        <v>3478</v>
      </c>
      <c r="L1445">
        <v>1.3</v>
      </c>
      <c r="M1445">
        <v>2.7824</v>
      </c>
      <c r="N1445" t="s">
        <v>6190</v>
      </c>
      <c r="O1445" t="s">
        <v>6191</v>
      </c>
      <c r="P1445" t="s">
        <v>3146</v>
      </c>
      <c r="Q1445">
        <v>2</v>
      </c>
      <c r="R1445">
        <v>2</v>
      </c>
    </row>
    <row r="1446" spans="1:18" x14ac:dyDescent="0.3">
      <c r="A1446" t="s">
        <v>3141</v>
      </c>
      <c r="B1446" t="s">
        <v>3142</v>
      </c>
      <c r="C1446" t="s">
        <v>3143</v>
      </c>
      <c r="D1446" t="s">
        <v>222</v>
      </c>
      <c r="E1446" t="s">
        <v>30</v>
      </c>
      <c r="F1446" s="6">
        <v>45657</v>
      </c>
      <c r="G1446">
        <v>2024</v>
      </c>
      <c r="H1446" t="s">
        <v>57</v>
      </c>
      <c r="I1446" t="s">
        <v>78</v>
      </c>
      <c r="J1446">
        <v>1250</v>
      </c>
      <c r="K1446">
        <v>2000</v>
      </c>
      <c r="L1446">
        <v>1.3</v>
      </c>
      <c r="M1446">
        <v>1.6</v>
      </c>
      <c r="N1446" t="s">
        <v>6190</v>
      </c>
      <c r="O1446" t="s">
        <v>6192</v>
      </c>
      <c r="P1446" t="s">
        <v>3147</v>
      </c>
      <c r="Q1446">
        <v>2</v>
      </c>
      <c r="R1446">
        <v>2</v>
      </c>
    </row>
    <row r="1447" spans="1:18" x14ac:dyDescent="0.3">
      <c r="A1447" t="s">
        <v>3141</v>
      </c>
      <c r="B1447" t="s">
        <v>3142</v>
      </c>
      <c r="C1447" t="s">
        <v>3143</v>
      </c>
      <c r="D1447" t="s">
        <v>222</v>
      </c>
      <c r="E1447" t="s">
        <v>30</v>
      </c>
      <c r="F1447" s="6">
        <v>45838</v>
      </c>
      <c r="G1447">
        <v>2025</v>
      </c>
      <c r="H1447" t="s">
        <v>44</v>
      </c>
      <c r="I1447" t="s">
        <v>244</v>
      </c>
      <c r="J1447">
        <v>100</v>
      </c>
      <c r="K1447">
        <v>159.5</v>
      </c>
      <c r="L1447">
        <v>1.3</v>
      </c>
      <c r="M1447">
        <v>1.595</v>
      </c>
      <c r="N1447" t="s">
        <v>102</v>
      </c>
      <c r="O1447" t="s">
        <v>3149</v>
      </c>
      <c r="P1447" t="s">
        <v>3150</v>
      </c>
      <c r="Q1447">
        <v>2</v>
      </c>
      <c r="R1447">
        <v>2</v>
      </c>
    </row>
    <row r="1448" spans="1:18" x14ac:dyDescent="0.3">
      <c r="A1448" t="s">
        <v>3141</v>
      </c>
      <c r="B1448" t="s">
        <v>3142</v>
      </c>
      <c r="C1448" t="s">
        <v>3143</v>
      </c>
      <c r="D1448" t="s">
        <v>222</v>
      </c>
      <c r="E1448" t="s">
        <v>30</v>
      </c>
      <c r="F1448" s="6">
        <v>46022</v>
      </c>
      <c r="G1448">
        <v>2025</v>
      </c>
      <c r="H1448" t="s">
        <v>57</v>
      </c>
      <c r="I1448" t="s">
        <v>103</v>
      </c>
      <c r="J1448">
        <v>100</v>
      </c>
      <c r="K1448">
        <v>168.71</v>
      </c>
      <c r="L1448">
        <v>1.3</v>
      </c>
      <c r="M1448">
        <v>1.6871</v>
      </c>
      <c r="N1448" t="s">
        <v>102</v>
      </c>
      <c r="O1448" t="s">
        <v>3152</v>
      </c>
      <c r="P1448" t="s">
        <v>3153</v>
      </c>
      <c r="Q1448">
        <v>2</v>
      </c>
      <c r="R1448">
        <v>2</v>
      </c>
    </row>
    <row r="1449" spans="1:18" x14ac:dyDescent="0.3">
      <c r="A1449" t="s">
        <v>3154</v>
      </c>
      <c r="B1449" t="s">
        <v>3155</v>
      </c>
      <c r="C1449" t="s">
        <v>3143</v>
      </c>
      <c r="D1449" t="s">
        <v>222</v>
      </c>
      <c r="E1449" t="s">
        <v>30</v>
      </c>
      <c r="F1449" s="6">
        <v>45107</v>
      </c>
      <c r="G1449">
        <v>2023</v>
      </c>
      <c r="H1449" t="s">
        <v>44</v>
      </c>
      <c r="I1449" t="s">
        <v>33</v>
      </c>
      <c r="J1449">
        <v>500</v>
      </c>
      <c r="K1449">
        <v>589</v>
      </c>
      <c r="L1449">
        <v>1.1779999999999999</v>
      </c>
      <c r="M1449">
        <v>1.1779999999999999</v>
      </c>
      <c r="N1449" t="s">
        <v>6178</v>
      </c>
      <c r="O1449" t="s">
        <v>6193</v>
      </c>
      <c r="P1449" t="s">
        <v>3156</v>
      </c>
      <c r="Q1449">
        <v>2</v>
      </c>
      <c r="R1449">
        <v>2</v>
      </c>
    </row>
    <row r="1450" spans="1:18" x14ac:dyDescent="0.3">
      <c r="A1450" t="s">
        <v>3154</v>
      </c>
      <c r="B1450" t="s">
        <v>3155</v>
      </c>
      <c r="C1450" t="s">
        <v>3143</v>
      </c>
      <c r="D1450" t="s">
        <v>222</v>
      </c>
      <c r="E1450" t="s">
        <v>30</v>
      </c>
      <c r="F1450" s="6">
        <v>45291</v>
      </c>
      <c r="G1450">
        <v>2023</v>
      </c>
      <c r="H1450" t="s">
        <v>57</v>
      </c>
      <c r="I1450" t="s">
        <v>47</v>
      </c>
      <c r="J1450">
        <v>500</v>
      </c>
      <c r="K1450">
        <v>745</v>
      </c>
      <c r="L1450">
        <v>1.3</v>
      </c>
      <c r="M1450">
        <v>1.49</v>
      </c>
      <c r="N1450" t="s">
        <v>6178</v>
      </c>
      <c r="O1450" t="s">
        <v>6194</v>
      </c>
      <c r="P1450" t="s">
        <v>3157</v>
      </c>
      <c r="Q1450">
        <v>2</v>
      </c>
      <c r="R1450">
        <v>2</v>
      </c>
    </row>
    <row r="1451" spans="1:18" x14ac:dyDescent="0.3">
      <c r="A1451" t="s">
        <v>3154</v>
      </c>
      <c r="B1451" t="s">
        <v>3158</v>
      </c>
      <c r="C1451" t="s">
        <v>3143</v>
      </c>
      <c r="D1451" t="s">
        <v>222</v>
      </c>
      <c r="E1451" t="s">
        <v>30</v>
      </c>
      <c r="F1451" s="6">
        <v>45473</v>
      </c>
      <c r="G1451">
        <v>2024</v>
      </c>
      <c r="H1451" t="s">
        <v>44</v>
      </c>
      <c r="I1451" t="s">
        <v>71</v>
      </c>
      <c r="J1451">
        <v>625</v>
      </c>
      <c r="K1451">
        <v>696</v>
      </c>
      <c r="L1451">
        <v>1.1135999999999999</v>
      </c>
      <c r="M1451">
        <v>1.1135999999999999</v>
      </c>
      <c r="N1451" t="s">
        <v>6195</v>
      </c>
      <c r="O1451" t="s">
        <v>6196</v>
      </c>
      <c r="P1451" t="s">
        <v>3159</v>
      </c>
      <c r="Q1451">
        <v>2</v>
      </c>
      <c r="R1451">
        <v>2</v>
      </c>
    </row>
    <row r="1452" spans="1:18" x14ac:dyDescent="0.3">
      <c r="A1452" t="s">
        <v>3154</v>
      </c>
      <c r="B1452" t="s">
        <v>3158</v>
      </c>
      <c r="C1452" t="s">
        <v>3143</v>
      </c>
      <c r="D1452" t="s">
        <v>222</v>
      </c>
      <c r="E1452" t="s">
        <v>30</v>
      </c>
      <c r="F1452" s="6">
        <v>45657</v>
      </c>
      <c r="G1452">
        <v>2024</v>
      </c>
      <c r="H1452" t="s">
        <v>57</v>
      </c>
      <c r="I1452" t="s">
        <v>78</v>
      </c>
      <c r="J1452">
        <v>625</v>
      </c>
      <c r="K1452">
        <v>696</v>
      </c>
      <c r="L1452">
        <v>1.1135999999999999</v>
      </c>
      <c r="M1452">
        <v>1.1135999999999999</v>
      </c>
      <c r="N1452" t="s">
        <v>6195</v>
      </c>
      <c r="O1452" t="s">
        <v>6196</v>
      </c>
      <c r="P1452" t="s">
        <v>3160</v>
      </c>
      <c r="Q1452">
        <v>2</v>
      </c>
      <c r="R1452">
        <v>2</v>
      </c>
    </row>
    <row r="1453" spans="1:18" x14ac:dyDescent="0.3">
      <c r="A1453" t="s">
        <v>3154</v>
      </c>
      <c r="B1453" t="s">
        <v>3158</v>
      </c>
      <c r="C1453" t="s">
        <v>3143</v>
      </c>
      <c r="D1453" t="s">
        <v>222</v>
      </c>
      <c r="E1453" t="s">
        <v>30</v>
      </c>
      <c r="F1453" s="6">
        <v>45838</v>
      </c>
      <c r="G1453">
        <v>2025</v>
      </c>
      <c r="H1453" t="s">
        <v>44</v>
      </c>
      <c r="I1453" t="s">
        <v>244</v>
      </c>
      <c r="J1453">
        <v>100</v>
      </c>
      <c r="K1453">
        <v>102.93</v>
      </c>
      <c r="L1453">
        <v>1.0293000000000001</v>
      </c>
      <c r="M1453">
        <v>1.0293000000000001</v>
      </c>
      <c r="N1453" t="s">
        <v>102</v>
      </c>
      <c r="O1453" t="s">
        <v>3162</v>
      </c>
      <c r="P1453" t="s">
        <v>3163</v>
      </c>
      <c r="Q1453">
        <v>2</v>
      </c>
      <c r="R1453">
        <v>2</v>
      </c>
    </row>
    <row r="1454" spans="1:18" x14ac:dyDescent="0.3">
      <c r="A1454" t="s">
        <v>3154</v>
      </c>
      <c r="B1454" t="s">
        <v>3158</v>
      </c>
      <c r="C1454" t="s">
        <v>3143</v>
      </c>
      <c r="D1454" t="s">
        <v>222</v>
      </c>
      <c r="E1454" t="s">
        <v>30</v>
      </c>
      <c r="F1454" s="6">
        <v>46022</v>
      </c>
      <c r="G1454">
        <v>2025</v>
      </c>
      <c r="H1454" t="s">
        <v>57</v>
      </c>
      <c r="I1454" t="s">
        <v>103</v>
      </c>
      <c r="J1454">
        <v>100</v>
      </c>
      <c r="K1454">
        <v>106.13</v>
      </c>
      <c r="L1454">
        <v>1.0612999999999999</v>
      </c>
      <c r="M1454">
        <v>1.0612999999999999</v>
      </c>
      <c r="N1454" t="s">
        <v>102</v>
      </c>
      <c r="O1454" t="s">
        <v>3165</v>
      </c>
      <c r="P1454" t="s">
        <v>3166</v>
      </c>
      <c r="Q1454">
        <v>2</v>
      </c>
      <c r="R1454">
        <v>2</v>
      </c>
    </row>
    <row r="1455" spans="1:18" x14ac:dyDescent="0.3">
      <c r="A1455" t="s">
        <v>3167</v>
      </c>
      <c r="B1455" t="s">
        <v>3168</v>
      </c>
      <c r="C1455" t="s">
        <v>187</v>
      </c>
      <c r="D1455" t="s">
        <v>29</v>
      </c>
      <c r="E1455" t="s">
        <v>30</v>
      </c>
      <c r="F1455" s="6">
        <v>44926</v>
      </c>
      <c r="G1455">
        <v>2022</v>
      </c>
      <c r="H1455" t="s">
        <v>57</v>
      </c>
      <c r="I1455" t="s">
        <v>90</v>
      </c>
      <c r="J1455">
        <v>39</v>
      </c>
      <c r="K1455">
        <v>37</v>
      </c>
      <c r="L1455">
        <v>0.94871794871794868</v>
      </c>
      <c r="M1455">
        <v>0.94871794871794868</v>
      </c>
      <c r="N1455" t="s">
        <v>6197</v>
      </c>
      <c r="O1455" t="s">
        <v>5593</v>
      </c>
      <c r="P1455" t="s">
        <v>3169</v>
      </c>
      <c r="Q1455">
        <v>2</v>
      </c>
      <c r="R1455">
        <v>2</v>
      </c>
    </row>
    <row r="1456" spans="1:18" x14ac:dyDescent="0.3">
      <c r="A1456" t="s">
        <v>3167</v>
      </c>
      <c r="B1456" t="s">
        <v>3168</v>
      </c>
      <c r="C1456" t="s">
        <v>3170</v>
      </c>
      <c r="D1456" t="s">
        <v>29</v>
      </c>
      <c r="E1456" t="s">
        <v>30</v>
      </c>
      <c r="F1456" s="6">
        <v>45107</v>
      </c>
      <c r="G1456">
        <v>2023</v>
      </c>
      <c r="H1456" t="s">
        <v>44</v>
      </c>
      <c r="I1456" t="s">
        <v>33</v>
      </c>
      <c r="J1456">
        <v>79.5</v>
      </c>
      <c r="K1456">
        <v>80.5</v>
      </c>
      <c r="L1456">
        <v>1.012578616352201</v>
      </c>
      <c r="M1456">
        <v>1.012578616352201</v>
      </c>
      <c r="N1456" t="s">
        <v>6198</v>
      </c>
      <c r="O1456" t="s">
        <v>6199</v>
      </c>
      <c r="P1456" t="s">
        <v>3176</v>
      </c>
      <c r="Q1456">
        <v>2</v>
      </c>
      <c r="R1456">
        <v>2</v>
      </c>
    </row>
    <row r="1457" spans="1:18" x14ac:dyDescent="0.3">
      <c r="A1457" t="s">
        <v>3167</v>
      </c>
      <c r="B1457" t="s">
        <v>3168</v>
      </c>
      <c r="C1457" t="s">
        <v>3170</v>
      </c>
      <c r="D1457" t="s">
        <v>29</v>
      </c>
      <c r="E1457" t="s">
        <v>30</v>
      </c>
      <c r="F1457" s="6">
        <v>45291</v>
      </c>
      <c r="G1457">
        <v>2023</v>
      </c>
      <c r="H1457" t="s">
        <v>57</v>
      </c>
      <c r="I1457" t="s">
        <v>47</v>
      </c>
      <c r="J1457">
        <v>97.666666666666671</v>
      </c>
      <c r="K1457">
        <v>97</v>
      </c>
      <c r="L1457">
        <v>0.993174061433447</v>
      </c>
      <c r="M1457">
        <v>0.993174061433447</v>
      </c>
      <c r="N1457" t="s">
        <v>6200</v>
      </c>
      <c r="O1457" t="s">
        <v>1005</v>
      </c>
      <c r="P1457" t="s">
        <v>3182</v>
      </c>
      <c r="Q1457">
        <v>2</v>
      </c>
      <c r="R1457">
        <v>2</v>
      </c>
    </row>
    <row r="1458" spans="1:18" x14ac:dyDescent="0.3">
      <c r="A1458" t="s">
        <v>3183</v>
      </c>
      <c r="B1458" t="s">
        <v>3184</v>
      </c>
      <c r="C1458" t="s">
        <v>3143</v>
      </c>
      <c r="D1458" t="s">
        <v>222</v>
      </c>
      <c r="E1458" t="s">
        <v>30</v>
      </c>
      <c r="F1458" s="6">
        <v>45107</v>
      </c>
      <c r="G1458">
        <v>2023</v>
      </c>
      <c r="H1458" t="s">
        <v>44</v>
      </c>
      <c r="I1458" t="s">
        <v>33</v>
      </c>
      <c r="J1458">
        <v>35</v>
      </c>
      <c r="K1458">
        <v>77</v>
      </c>
      <c r="L1458">
        <v>1.3</v>
      </c>
      <c r="M1458">
        <v>2.2000000000000002</v>
      </c>
      <c r="N1458" t="s">
        <v>1516</v>
      </c>
      <c r="O1458" t="s">
        <v>4331</v>
      </c>
      <c r="P1458" t="s">
        <v>3185</v>
      </c>
      <c r="Q1458">
        <v>2</v>
      </c>
      <c r="R1458">
        <v>2</v>
      </c>
    </row>
    <row r="1459" spans="1:18" x14ac:dyDescent="0.3">
      <c r="A1459" t="s">
        <v>3183</v>
      </c>
      <c r="B1459" t="s">
        <v>3184</v>
      </c>
      <c r="C1459" t="s">
        <v>3143</v>
      </c>
      <c r="D1459" t="s">
        <v>222</v>
      </c>
      <c r="E1459" t="s">
        <v>30</v>
      </c>
      <c r="F1459" s="6">
        <v>45291</v>
      </c>
      <c r="G1459">
        <v>2023</v>
      </c>
      <c r="H1459" t="s">
        <v>57</v>
      </c>
      <c r="I1459" t="s">
        <v>47</v>
      </c>
      <c r="J1459">
        <v>35</v>
      </c>
      <c r="K1459">
        <v>99</v>
      </c>
      <c r="L1459">
        <v>1.3</v>
      </c>
      <c r="M1459">
        <v>2.8285714285714292</v>
      </c>
      <c r="N1459" t="s">
        <v>1516</v>
      </c>
      <c r="O1459" t="s">
        <v>2577</v>
      </c>
      <c r="P1459" t="s">
        <v>3186</v>
      </c>
      <c r="Q1459">
        <v>2</v>
      </c>
      <c r="R1459">
        <v>2</v>
      </c>
    </row>
    <row r="1460" spans="1:18" x14ac:dyDescent="0.3">
      <c r="A1460" t="s">
        <v>3183</v>
      </c>
      <c r="B1460" t="s">
        <v>3184</v>
      </c>
      <c r="C1460" t="s">
        <v>3143</v>
      </c>
      <c r="D1460" t="s">
        <v>222</v>
      </c>
      <c r="E1460" t="s">
        <v>30</v>
      </c>
      <c r="F1460" s="6">
        <v>45473</v>
      </c>
      <c r="G1460">
        <v>2024</v>
      </c>
      <c r="H1460" t="s">
        <v>44</v>
      </c>
      <c r="I1460" t="s">
        <v>71</v>
      </c>
      <c r="J1460">
        <v>44</v>
      </c>
      <c r="K1460">
        <v>119</v>
      </c>
      <c r="L1460">
        <v>1.3</v>
      </c>
      <c r="M1460">
        <v>2.704545454545455</v>
      </c>
      <c r="N1460" t="s">
        <v>6201</v>
      </c>
      <c r="O1460" t="s">
        <v>5707</v>
      </c>
      <c r="P1460" t="s">
        <v>3187</v>
      </c>
      <c r="Q1460">
        <v>2</v>
      </c>
      <c r="R1460">
        <v>2</v>
      </c>
    </row>
    <row r="1461" spans="1:18" x14ac:dyDescent="0.3">
      <c r="A1461" t="s">
        <v>3183</v>
      </c>
      <c r="B1461" t="s">
        <v>3184</v>
      </c>
      <c r="C1461" t="s">
        <v>3143</v>
      </c>
      <c r="D1461" t="s">
        <v>222</v>
      </c>
      <c r="E1461" t="s">
        <v>30</v>
      </c>
      <c r="F1461" s="6">
        <v>45657</v>
      </c>
      <c r="G1461">
        <v>2024</v>
      </c>
      <c r="H1461" t="s">
        <v>57</v>
      </c>
      <c r="I1461" t="s">
        <v>78</v>
      </c>
      <c r="J1461">
        <v>44</v>
      </c>
      <c r="K1461">
        <v>175</v>
      </c>
      <c r="L1461">
        <v>1.3</v>
      </c>
      <c r="M1461">
        <v>3.9772727272727271</v>
      </c>
      <c r="N1461" t="s">
        <v>6201</v>
      </c>
      <c r="O1461" t="s">
        <v>5737</v>
      </c>
      <c r="P1461" t="s">
        <v>3188</v>
      </c>
      <c r="Q1461">
        <v>2</v>
      </c>
      <c r="R1461">
        <v>2</v>
      </c>
    </row>
    <row r="1462" spans="1:18" x14ac:dyDescent="0.3">
      <c r="A1462" t="s">
        <v>3183</v>
      </c>
      <c r="B1462" t="s">
        <v>3184</v>
      </c>
      <c r="C1462" t="s">
        <v>3143</v>
      </c>
      <c r="D1462" t="s">
        <v>222</v>
      </c>
      <c r="E1462" t="s">
        <v>30</v>
      </c>
      <c r="F1462" s="6">
        <v>45838</v>
      </c>
      <c r="G1462">
        <v>2025</v>
      </c>
      <c r="H1462" t="s">
        <v>44</v>
      </c>
      <c r="I1462" t="s">
        <v>244</v>
      </c>
      <c r="J1462">
        <v>100</v>
      </c>
      <c r="K1462">
        <v>123</v>
      </c>
      <c r="L1462">
        <v>1.23</v>
      </c>
      <c r="M1462">
        <v>1.23</v>
      </c>
      <c r="N1462" t="s">
        <v>102</v>
      </c>
      <c r="O1462" t="s">
        <v>3190</v>
      </c>
      <c r="P1462" t="s">
        <v>3191</v>
      </c>
      <c r="Q1462">
        <v>2</v>
      </c>
      <c r="R1462">
        <v>2</v>
      </c>
    </row>
    <row r="1463" spans="1:18" x14ac:dyDescent="0.3">
      <c r="A1463" t="s">
        <v>3183</v>
      </c>
      <c r="B1463" t="s">
        <v>3184</v>
      </c>
      <c r="C1463" t="s">
        <v>3143</v>
      </c>
      <c r="D1463" t="s">
        <v>222</v>
      </c>
      <c r="E1463" t="s">
        <v>30</v>
      </c>
      <c r="F1463" s="6">
        <v>46022</v>
      </c>
      <c r="G1463">
        <v>2025</v>
      </c>
      <c r="H1463" t="s">
        <v>57</v>
      </c>
      <c r="I1463" t="s">
        <v>103</v>
      </c>
      <c r="J1463">
        <v>100</v>
      </c>
      <c r="K1463">
        <v>127.14</v>
      </c>
      <c r="L1463">
        <v>1.2714000000000001</v>
      </c>
      <c r="M1463">
        <v>1.2714000000000001</v>
      </c>
      <c r="N1463" t="s">
        <v>102</v>
      </c>
      <c r="O1463" t="s">
        <v>3193</v>
      </c>
      <c r="P1463" t="s">
        <v>3194</v>
      </c>
      <c r="Q1463">
        <v>2</v>
      </c>
      <c r="R1463">
        <v>2</v>
      </c>
    </row>
    <row r="1464" spans="1:18" x14ac:dyDescent="0.3">
      <c r="A1464" t="s">
        <v>3195</v>
      </c>
      <c r="B1464" t="s">
        <v>3196</v>
      </c>
      <c r="C1464" t="s">
        <v>3197</v>
      </c>
      <c r="D1464" t="s">
        <v>222</v>
      </c>
      <c r="E1464" t="s">
        <v>30</v>
      </c>
      <c r="F1464" s="6">
        <v>45107</v>
      </c>
      <c r="G1464">
        <v>2023</v>
      </c>
      <c r="H1464" t="s">
        <v>44</v>
      </c>
      <c r="I1464" t="s">
        <v>33</v>
      </c>
      <c r="J1464">
        <v>8</v>
      </c>
      <c r="K1464">
        <v>7</v>
      </c>
      <c r="L1464">
        <v>0.875</v>
      </c>
      <c r="M1464">
        <v>0.875</v>
      </c>
      <c r="N1464" t="s">
        <v>2145</v>
      </c>
      <c r="O1464" t="s">
        <v>5558</v>
      </c>
      <c r="P1464" t="s">
        <v>3198</v>
      </c>
      <c r="Q1464">
        <v>2</v>
      </c>
      <c r="R1464">
        <v>2</v>
      </c>
    </row>
    <row r="1465" spans="1:18" x14ac:dyDescent="0.3">
      <c r="A1465" t="s">
        <v>3195</v>
      </c>
      <c r="B1465" t="s">
        <v>3196</v>
      </c>
      <c r="C1465" t="s">
        <v>3197</v>
      </c>
      <c r="D1465" t="s">
        <v>222</v>
      </c>
      <c r="E1465" t="s">
        <v>30</v>
      </c>
      <c r="F1465" s="6">
        <v>45291</v>
      </c>
      <c r="G1465">
        <v>2023</v>
      </c>
      <c r="H1465" t="s">
        <v>57</v>
      </c>
      <c r="I1465" t="s">
        <v>47</v>
      </c>
      <c r="J1465">
        <v>8</v>
      </c>
      <c r="K1465">
        <v>10</v>
      </c>
      <c r="L1465">
        <v>1.25</v>
      </c>
      <c r="M1465">
        <v>1.25</v>
      </c>
      <c r="N1465" t="s">
        <v>2145</v>
      </c>
      <c r="O1465" t="s">
        <v>1861</v>
      </c>
      <c r="P1465" t="s">
        <v>3199</v>
      </c>
      <c r="Q1465">
        <v>2</v>
      </c>
      <c r="R1465">
        <v>2</v>
      </c>
    </row>
    <row r="1466" spans="1:18" x14ac:dyDescent="0.3">
      <c r="A1466" t="s">
        <v>3195</v>
      </c>
      <c r="B1466" t="s">
        <v>3196</v>
      </c>
      <c r="C1466" t="s">
        <v>3197</v>
      </c>
      <c r="D1466" t="s">
        <v>222</v>
      </c>
      <c r="E1466" t="s">
        <v>30</v>
      </c>
      <c r="F1466" s="6">
        <v>45473</v>
      </c>
      <c r="G1466">
        <v>2024</v>
      </c>
      <c r="H1466" t="s">
        <v>44</v>
      </c>
      <c r="I1466" t="s">
        <v>71</v>
      </c>
      <c r="J1466">
        <v>8</v>
      </c>
      <c r="K1466">
        <v>9</v>
      </c>
      <c r="L1466">
        <v>1.125</v>
      </c>
      <c r="M1466">
        <v>1.125</v>
      </c>
      <c r="N1466" t="s">
        <v>2145</v>
      </c>
      <c r="O1466" t="s">
        <v>3653</v>
      </c>
      <c r="P1466" t="s">
        <v>3200</v>
      </c>
      <c r="Q1466">
        <v>2</v>
      </c>
      <c r="R1466">
        <v>2</v>
      </c>
    </row>
    <row r="1467" spans="1:18" x14ac:dyDescent="0.3">
      <c r="A1467" t="s">
        <v>3195</v>
      </c>
      <c r="B1467" t="s">
        <v>3196</v>
      </c>
      <c r="C1467" t="s">
        <v>3197</v>
      </c>
      <c r="D1467" t="s">
        <v>222</v>
      </c>
      <c r="E1467" t="s">
        <v>30</v>
      </c>
      <c r="F1467" s="6">
        <v>45657</v>
      </c>
      <c r="G1467">
        <v>2024</v>
      </c>
      <c r="H1467" t="s">
        <v>57</v>
      </c>
      <c r="I1467" t="s">
        <v>78</v>
      </c>
      <c r="J1467">
        <v>8</v>
      </c>
      <c r="K1467">
        <v>8</v>
      </c>
      <c r="L1467">
        <v>1</v>
      </c>
      <c r="M1467">
        <v>1</v>
      </c>
      <c r="N1467" t="s">
        <v>2145</v>
      </c>
      <c r="O1467" t="s">
        <v>2145</v>
      </c>
      <c r="P1467" t="s">
        <v>3201</v>
      </c>
      <c r="Q1467">
        <v>2</v>
      </c>
      <c r="R1467">
        <v>2</v>
      </c>
    </row>
    <row r="1468" spans="1:18" x14ac:dyDescent="0.3">
      <c r="A1468" t="s">
        <v>3195</v>
      </c>
      <c r="B1468" t="s">
        <v>3196</v>
      </c>
      <c r="C1468" t="s">
        <v>3197</v>
      </c>
      <c r="D1468" t="s">
        <v>222</v>
      </c>
      <c r="E1468" t="s">
        <v>30</v>
      </c>
      <c r="F1468" s="6">
        <v>45838</v>
      </c>
      <c r="G1468">
        <v>2025</v>
      </c>
      <c r="H1468" t="s">
        <v>44</v>
      </c>
      <c r="I1468" t="s">
        <v>244</v>
      </c>
      <c r="J1468">
        <v>100</v>
      </c>
      <c r="K1468">
        <v>100</v>
      </c>
      <c r="L1468">
        <v>1</v>
      </c>
      <c r="M1468">
        <v>1</v>
      </c>
      <c r="N1468" t="s">
        <v>102</v>
      </c>
      <c r="O1468" t="s">
        <v>102</v>
      </c>
      <c r="P1468" t="s">
        <v>3202</v>
      </c>
      <c r="Q1468">
        <v>2</v>
      </c>
      <c r="R1468">
        <v>2</v>
      </c>
    </row>
    <row r="1469" spans="1:18" x14ac:dyDescent="0.3">
      <c r="A1469" t="s">
        <v>3195</v>
      </c>
      <c r="B1469" t="s">
        <v>3196</v>
      </c>
      <c r="C1469" t="s">
        <v>3197</v>
      </c>
      <c r="D1469" t="s">
        <v>222</v>
      </c>
      <c r="E1469" t="s">
        <v>30</v>
      </c>
      <c r="F1469" s="6">
        <v>46022</v>
      </c>
      <c r="G1469">
        <v>2025</v>
      </c>
      <c r="H1469" t="s">
        <v>57</v>
      </c>
      <c r="I1469" t="s">
        <v>103</v>
      </c>
      <c r="J1469">
        <v>100</v>
      </c>
      <c r="K1469">
        <v>100</v>
      </c>
      <c r="L1469">
        <v>1</v>
      </c>
      <c r="M1469">
        <v>1</v>
      </c>
      <c r="N1469" t="s">
        <v>102</v>
      </c>
      <c r="O1469" t="s">
        <v>102</v>
      </c>
      <c r="P1469" t="s">
        <v>3203</v>
      </c>
      <c r="Q1469">
        <v>2</v>
      </c>
      <c r="R1469">
        <v>2</v>
      </c>
    </row>
    <row r="1470" spans="1:18" x14ac:dyDescent="0.3">
      <c r="A1470" t="s">
        <v>3204</v>
      </c>
      <c r="B1470" t="s">
        <v>3205</v>
      </c>
      <c r="C1470" t="s">
        <v>3197</v>
      </c>
      <c r="D1470" t="s">
        <v>98</v>
      </c>
      <c r="E1470" t="s">
        <v>30</v>
      </c>
      <c r="F1470" s="6">
        <v>45291</v>
      </c>
      <c r="G1470">
        <v>2023</v>
      </c>
      <c r="H1470" t="s">
        <v>57</v>
      </c>
      <c r="I1470" t="s">
        <v>47</v>
      </c>
      <c r="K1470">
        <v>21000</v>
      </c>
      <c r="L1470">
        <v>0</v>
      </c>
      <c r="M1470">
        <v>0</v>
      </c>
      <c r="O1470" t="s">
        <v>6202</v>
      </c>
      <c r="P1470" t="s">
        <v>3206</v>
      </c>
      <c r="Q1470">
        <v>2</v>
      </c>
      <c r="R1470">
        <v>2</v>
      </c>
    </row>
    <row r="1471" spans="1:18" x14ac:dyDescent="0.3">
      <c r="A1471" t="s">
        <v>3204</v>
      </c>
      <c r="B1471" t="s">
        <v>3205</v>
      </c>
      <c r="C1471" t="s">
        <v>3197</v>
      </c>
      <c r="D1471" t="s">
        <v>98</v>
      </c>
      <c r="E1471" t="s">
        <v>30</v>
      </c>
      <c r="F1471" s="6">
        <v>45657</v>
      </c>
      <c r="G1471">
        <v>2024</v>
      </c>
      <c r="H1471" t="s">
        <v>57</v>
      </c>
      <c r="I1471" t="s">
        <v>78</v>
      </c>
      <c r="J1471">
        <v>3</v>
      </c>
      <c r="K1471">
        <v>4.76</v>
      </c>
      <c r="L1471">
        <v>1.3</v>
      </c>
      <c r="M1471">
        <v>1.5866666666666669</v>
      </c>
      <c r="N1471" t="s">
        <v>1849</v>
      </c>
      <c r="O1471" t="s">
        <v>6203</v>
      </c>
      <c r="P1471" t="s">
        <v>3207</v>
      </c>
      <c r="Q1471">
        <v>2</v>
      </c>
      <c r="R1471">
        <v>2</v>
      </c>
    </row>
    <row r="1472" spans="1:18" x14ac:dyDescent="0.3">
      <c r="A1472" t="s">
        <v>3204</v>
      </c>
      <c r="B1472" t="s">
        <v>3205</v>
      </c>
      <c r="C1472" t="s">
        <v>3197</v>
      </c>
      <c r="D1472" t="s">
        <v>98</v>
      </c>
      <c r="E1472" t="s">
        <v>30</v>
      </c>
      <c r="F1472" s="6">
        <v>46022</v>
      </c>
      <c r="G1472">
        <v>2025</v>
      </c>
      <c r="H1472" t="s">
        <v>57</v>
      </c>
      <c r="I1472" t="s">
        <v>103</v>
      </c>
      <c r="K1472">
        <v>22.73</v>
      </c>
      <c r="L1472">
        <v>0</v>
      </c>
      <c r="M1472">
        <v>0</v>
      </c>
      <c r="O1472" t="s">
        <v>3209</v>
      </c>
      <c r="P1472" t="s">
        <v>3210</v>
      </c>
      <c r="Q1472">
        <v>2</v>
      </c>
      <c r="R1472">
        <v>2</v>
      </c>
    </row>
    <row r="1473" spans="1:18" x14ac:dyDescent="0.3">
      <c r="A1473" t="s">
        <v>3211</v>
      </c>
      <c r="B1473" t="s">
        <v>3212</v>
      </c>
      <c r="C1473" t="s">
        <v>3197</v>
      </c>
      <c r="D1473" t="s">
        <v>222</v>
      </c>
      <c r="E1473" t="s">
        <v>30</v>
      </c>
      <c r="F1473" s="6">
        <v>45107</v>
      </c>
      <c r="G1473">
        <v>2023</v>
      </c>
      <c r="H1473" t="s">
        <v>44</v>
      </c>
      <c r="I1473" t="s">
        <v>33</v>
      </c>
      <c r="K1473">
        <v>14370</v>
      </c>
      <c r="L1473">
        <v>0</v>
      </c>
      <c r="M1473">
        <v>0</v>
      </c>
      <c r="O1473" t="s">
        <v>6204</v>
      </c>
      <c r="P1473" t="s">
        <v>3213</v>
      </c>
      <c r="Q1473">
        <v>2</v>
      </c>
      <c r="R1473">
        <v>2</v>
      </c>
    </row>
    <row r="1474" spans="1:18" x14ac:dyDescent="0.3">
      <c r="A1474" t="s">
        <v>3211</v>
      </c>
      <c r="B1474" t="s">
        <v>3212</v>
      </c>
      <c r="C1474" t="s">
        <v>3197</v>
      </c>
      <c r="D1474" t="s">
        <v>222</v>
      </c>
      <c r="E1474" t="s">
        <v>30</v>
      </c>
      <c r="F1474" s="6">
        <v>45291</v>
      </c>
      <c r="G1474">
        <v>2023</v>
      </c>
      <c r="H1474" t="s">
        <v>57</v>
      </c>
      <c r="I1474" t="s">
        <v>47</v>
      </c>
      <c r="K1474">
        <v>14220</v>
      </c>
      <c r="L1474">
        <v>0</v>
      </c>
      <c r="M1474">
        <v>0</v>
      </c>
      <c r="O1474" t="s">
        <v>6205</v>
      </c>
      <c r="P1474" t="s">
        <v>3214</v>
      </c>
      <c r="Q1474">
        <v>2</v>
      </c>
      <c r="R1474">
        <v>2</v>
      </c>
    </row>
    <row r="1475" spans="1:18" x14ac:dyDescent="0.3">
      <c r="A1475" t="s">
        <v>3211</v>
      </c>
      <c r="B1475" t="s">
        <v>3212</v>
      </c>
      <c r="C1475" t="s">
        <v>3197</v>
      </c>
      <c r="D1475" t="s">
        <v>222</v>
      </c>
      <c r="E1475" t="s">
        <v>30</v>
      </c>
      <c r="F1475" s="6">
        <v>45473</v>
      </c>
      <c r="G1475">
        <v>2024</v>
      </c>
      <c r="H1475" t="s">
        <v>44</v>
      </c>
      <c r="I1475" t="s">
        <v>71</v>
      </c>
      <c r="K1475">
        <v>14923</v>
      </c>
      <c r="L1475">
        <v>0</v>
      </c>
      <c r="M1475">
        <v>0</v>
      </c>
      <c r="O1475" t="s">
        <v>6206</v>
      </c>
      <c r="P1475" t="s">
        <v>3215</v>
      </c>
      <c r="Q1475">
        <v>2</v>
      </c>
      <c r="R1475">
        <v>2</v>
      </c>
    </row>
    <row r="1476" spans="1:18" x14ac:dyDescent="0.3">
      <c r="A1476" t="s">
        <v>3211</v>
      </c>
      <c r="B1476" t="s">
        <v>3212</v>
      </c>
      <c r="C1476" t="s">
        <v>3197</v>
      </c>
      <c r="D1476" t="s">
        <v>222</v>
      </c>
      <c r="E1476" t="s">
        <v>30</v>
      </c>
      <c r="F1476" s="6">
        <v>45657</v>
      </c>
      <c r="G1476">
        <v>2024</v>
      </c>
      <c r="H1476" t="s">
        <v>57</v>
      </c>
      <c r="I1476" t="s">
        <v>78</v>
      </c>
      <c r="K1476">
        <v>14495</v>
      </c>
      <c r="L1476">
        <v>0</v>
      </c>
      <c r="M1476">
        <v>0</v>
      </c>
      <c r="O1476" t="s">
        <v>6207</v>
      </c>
      <c r="P1476" t="s">
        <v>3216</v>
      </c>
      <c r="Q1476">
        <v>2</v>
      </c>
      <c r="R1476">
        <v>2</v>
      </c>
    </row>
    <row r="1477" spans="1:18" x14ac:dyDescent="0.3">
      <c r="A1477" t="s">
        <v>3211</v>
      </c>
      <c r="B1477" t="s">
        <v>3217</v>
      </c>
      <c r="C1477" t="s">
        <v>3197</v>
      </c>
      <c r="D1477" t="s">
        <v>222</v>
      </c>
      <c r="E1477" t="s">
        <v>30</v>
      </c>
      <c r="F1477" s="6">
        <v>45838</v>
      </c>
      <c r="G1477">
        <v>2025</v>
      </c>
      <c r="H1477" t="s">
        <v>44</v>
      </c>
      <c r="I1477" t="s">
        <v>244</v>
      </c>
      <c r="K1477">
        <v>14410</v>
      </c>
      <c r="L1477">
        <v>0</v>
      </c>
      <c r="M1477">
        <v>0</v>
      </c>
      <c r="O1477" t="s">
        <v>3219</v>
      </c>
      <c r="P1477" t="s">
        <v>3220</v>
      </c>
      <c r="Q1477">
        <v>2</v>
      </c>
      <c r="R1477">
        <v>2</v>
      </c>
    </row>
    <row r="1478" spans="1:18" x14ac:dyDescent="0.3">
      <c r="A1478" t="s">
        <v>3211</v>
      </c>
      <c r="B1478" t="s">
        <v>3217</v>
      </c>
      <c r="C1478" t="s">
        <v>3197</v>
      </c>
      <c r="D1478" t="s">
        <v>222</v>
      </c>
      <c r="E1478" t="s">
        <v>30</v>
      </c>
      <c r="F1478" s="6">
        <v>46022</v>
      </c>
      <c r="G1478">
        <v>2025</v>
      </c>
      <c r="H1478" t="s">
        <v>57</v>
      </c>
      <c r="I1478" t="s">
        <v>103</v>
      </c>
      <c r="K1478">
        <v>12510</v>
      </c>
      <c r="L1478">
        <v>0</v>
      </c>
      <c r="M1478">
        <v>0</v>
      </c>
      <c r="O1478" t="s">
        <v>3222</v>
      </c>
      <c r="P1478" t="s">
        <v>3223</v>
      </c>
      <c r="Q1478">
        <v>2</v>
      </c>
      <c r="R1478">
        <v>2</v>
      </c>
    </row>
    <row r="1479" spans="1:18" x14ac:dyDescent="0.3">
      <c r="A1479" t="s">
        <v>3224</v>
      </c>
      <c r="B1479" t="s">
        <v>3225</v>
      </c>
      <c r="C1479" t="s">
        <v>3197</v>
      </c>
      <c r="D1479" t="s">
        <v>222</v>
      </c>
      <c r="E1479" t="s">
        <v>108</v>
      </c>
      <c r="F1479" s="6">
        <v>45107</v>
      </c>
      <c r="G1479">
        <v>2023</v>
      </c>
      <c r="H1479" t="s">
        <v>44</v>
      </c>
      <c r="I1479" t="s">
        <v>33</v>
      </c>
      <c r="J1479">
        <v>20</v>
      </c>
      <c r="K1479">
        <v>2</v>
      </c>
      <c r="L1479">
        <v>1.3</v>
      </c>
      <c r="M1479">
        <v>10</v>
      </c>
      <c r="N1479" t="s">
        <v>1298</v>
      </c>
      <c r="O1479" t="s">
        <v>569</v>
      </c>
      <c r="P1479" t="s">
        <v>3226</v>
      </c>
      <c r="Q1479">
        <v>2</v>
      </c>
      <c r="R1479">
        <v>2</v>
      </c>
    </row>
    <row r="1480" spans="1:18" x14ac:dyDescent="0.3">
      <c r="A1480" t="s">
        <v>3224</v>
      </c>
      <c r="B1480" t="s">
        <v>3225</v>
      </c>
      <c r="C1480" t="s">
        <v>3197</v>
      </c>
      <c r="D1480" t="s">
        <v>222</v>
      </c>
      <c r="E1480" t="s">
        <v>108</v>
      </c>
      <c r="F1480" s="6">
        <v>45291</v>
      </c>
      <c r="G1480">
        <v>2023</v>
      </c>
      <c r="H1480" t="s">
        <v>57</v>
      </c>
      <c r="I1480" t="s">
        <v>47</v>
      </c>
      <c r="J1480">
        <v>20</v>
      </c>
      <c r="K1480">
        <v>1.31</v>
      </c>
      <c r="L1480">
        <v>1.3</v>
      </c>
      <c r="M1480">
        <v>15.267175572519079</v>
      </c>
      <c r="N1480" t="s">
        <v>1298</v>
      </c>
      <c r="O1480" t="s">
        <v>6208</v>
      </c>
      <c r="P1480" t="s">
        <v>3227</v>
      </c>
      <c r="Q1480">
        <v>2</v>
      </c>
      <c r="R1480">
        <v>2</v>
      </c>
    </row>
    <row r="1481" spans="1:18" x14ac:dyDescent="0.3">
      <c r="A1481" t="s">
        <v>3224</v>
      </c>
      <c r="B1481" t="s">
        <v>3225</v>
      </c>
      <c r="C1481" t="s">
        <v>3197</v>
      </c>
      <c r="D1481" t="s">
        <v>222</v>
      </c>
      <c r="E1481" t="s">
        <v>108</v>
      </c>
      <c r="F1481" s="6">
        <v>45473</v>
      </c>
      <c r="G1481">
        <v>2024</v>
      </c>
      <c r="H1481" t="s">
        <v>44</v>
      </c>
      <c r="I1481" t="s">
        <v>71</v>
      </c>
      <c r="J1481">
        <v>10</v>
      </c>
      <c r="K1481">
        <v>5.85</v>
      </c>
      <c r="L1481">
        <v>1.3</v>
      </c>
      <c r="M1481">
        <v>1.70940170940171</v>
      </c>
      <c r="N1481" t="s">
        <v>1861</v>
      </c>
      <c r="O1481" t="s">
        <v>6209</v>
      </c>
      <c r="P1481" t="s">
        <v>3228</v>
      </c>
      <c r="Q1481">
        <v>2</v>
      </c>
      <c r="R1481">
        <v>2</v>
      </c>
    </row>
    <row r="1482" spans="1:18" x14ac:dyDescent="0.3">
      <c r="A1482" t="s">
        <v>3224</v>
      </c>
      <c r="B1482" t="s">
        <v>3225</v>
      </c>
      <c r="C1482" t="s">
        <v>3197</v>
      </c>
      <c r="D1482" t="s">
        <v>222</v>
      </c>
      <c r="E1482" t="s">
        <v>108</v>
      </c>
      <c r="F1482" s="6">
        <v>45657</v>
      </c>
      <c r="G1482">
        <v>2024</v>
      </c>
      <c r="H1482" t="s">
        <v>57</v>
      </c>
      <c r="I1482" t="s">
        <v>78</v>
      </c>
      <c r="J1482">
        <v>10</v>
      </c>
      <c r="K1482">
        <v>6.02</v>
      </c>
      <c r="L1482">
        <v>1.3</v>
      </c>
      <c r="M1482">
        <v>1.661129568106313</v>
      </c>
      <c r="N1482" t="s">
        <v>1861</v>
      </c>
      <c r="O1482" t="s">
        <v>6210</v>
      </c>
      <c r="P1482" t="s">
        <v>3229</v>
      </c>
      <c r="Q1482">
        <v>2</v>
      </c>
      <c r="R1482">
        <v>2</v>
      </c>
    </row>
    <row r="1483" spans="1:18" x14ac:dyDescent="0.3">
      <c r="A1483" t="s">
        <v>3230</v>
      </c>
      <c r="B1483" t="s">
        <v>3231</v>
      </c>
      <c r="C1483" t="s">
        <v>3197</v>
      </c>
      <c r="D1483" t="s">
        <v>222</v>
      </c>
      <c r="E1483" t="s">
        <v>30</v>
      </c>
      <c r="F1483" s="6">
        <v>45107</v>
      </c>
      <c r="G1483">
        <v>2023</v>
      </c>
      <c r="H1483" t="s">
        <v>44</v>
      </c>
      <c r="I1483" t="s">
        <v>33</v>
      </c>
      <c r="J1483">
        <v>25</v>
      </c>
      <c r="K1483">
        <v>30</v>
      </c>
      <c r="L1483">
        <v>1.2</v>
      </c>
      <c r="M1483">
        <v>1.2</v>
      </c>
      <c r="N1483" t="s">
        <v>5588</v>
      </c>
      <c r="O1483" t="s">
        <v>2505</v>
      </c>
      <c r="P1483" t="s">
        <v>3232</v>
      </c>
      <c r="Q1483">
        <v>2</v>
      </c>
      <c r="R1483">
        <v>2</v>
      </c>
    </row>
    <row r="1484" spans="1:18" x14ac:dyDescent="0.3">
      <c r="A1484" t="s">
        <v>3230</v>
      </c>
      <c r="B1484" t="s">
        <v>3231</v>
      </c>
      <c r="C1484" t="s">
        <v>3197</v>
      </c>
      <c r="D1484" t="s">
        <v>222</v>
      </c>
      <c r="E1484" t="s">
        <v>30</v>
      </c>
      <c r="F1484" s="6">
        <v>45291</v>
      </c>
      <c r="G1484">
        <v>2023</v>
      </c>
      <c r="H1484" t="s">
        <v>57</v>
      </c>
      <c r="I1484" t="s">
        <v>47</v>
      </c>
      <c r="J1484">
        <v>50</v>
      </c>
      <c r="K1484">
        <v>62</v>
      </c>
      <c r="L1484">
        <v>1.24</v>
      </c>
      <c r="M1484">
        <v>1.24</v>
      </c>
      <c r="N1484" t="s">
        <v>4242</v>
      </c>
      <c r="O1484" t="s">
        <v>6211</v>
      </c>
      <c r="P1484" t="s">
        <v>3233</v>
      </c>
      <c r="Q1484">
        <v>2</v>
      </c>
      <c r="R1484">
        <v>2</v>
      </c>
    </row>
    <row r="1485" spans="1:18" x14ac:dyDescent="0.3">
      <c r="A1485" t="s">
        <v>3230</v>
      </c>
      <c r="B1485" t="s">
        <v>3234</v>
      </c>
      <c r="C1485" t="s">
        <v>3197</v>
      </c>
      <c r="D1485" t="s">
        <v>222</v>
      </c>
      <c r="E1485" t="s">
        <v>30</v>
      </c>
      <c r="F1485" s="6">
        <v>45473</v>
      </c>
      <c r="G1485">
        <v>2024</v>
      </c>
      <c r="H1485" t="s">
        <v>44</v>
      </c>
      <c r="I1485" t="s">
        <v>71</v>
      </c>
      <c r="J1485">
        <v>100</v>
      </c>
      <c r="K1485">
        <v>92</v>
      </c>
      <c r="L1485">
        <v>0.92</v>
      </c>
      <c r="M1485">
        <v>0.92</v>
      </c>
      <c r="N1485" t="s">
        <v>102</v>
      </c>
      <c r="O1485" t="s">
        <v>4634</v>
      </c>
      <c r="P1485" t="s">
        <v>3235</v>
      </c>
      <c r="Q1485">
        <v>2</v>
      </c>
      <c r="R1485">
        <v>2</v>
      </c>
    </row>
    <row r="1486" spans="1:18" x14ac:dyDescent="0.3">
      <c r="A1486" t="s">
        <v>3230</v>
      </c>
      <c r="B1486" t="s">
        <v>3234</v>
      </c>
      <c r="C1486" t="s">
        <v>3197</v>
      </c>
      <c r="D1486" t="s">
        <v>222</v>
      </c>
      <c r="E1486" t="s">
        <v>30</v>
      </c>
      <c r="F1486" s="6">
        <v>45657</v>
      </c>
      <c r="G1486">
        <v>2024</v>
      </c>
      <c r="H1486" t="s">
        <v>57</v>
      </c>
      <c r="I1486" t="s">
        <v>78</v>
      </c>
      <c r="J1486">
        <v>100</v>
      </c>
      <c r="K1486">
        <v>98</v>
      </c>
      <c r="L1486">
        <v>0.98</v>
      </c>
      <c r="M1486">
        <v>0.98</v>
      </c>
      <c r="N1486" t="s">
        <v>102</v>
      </c>
      <c r="O1486" t="s">
        <v>312</v>
      </c>
      <c r="P1486" t="s">
        <v>3236</v>
      </c>
      <c r="Q1486">
        <v>2</v>
      </c>
      <c r="R1486">
        <v>2</v>
      </c>
    </row>
    <row r="1487" spans="1:18" x14ac:dyDescent="0.3">
      <c r="A1487" t="s">
        <v>3237</v>
      </c>
      <c r="B1487" t="s">
        <v>3238</v>
      </c>
      <c r="C1487" t="s">
        <v>61</v>
      </c>
      <c r="D1487" t="s">
        <v>222</v>
      </c>
      <c r="E1487" t="s">
        <v>30</v>
      </c>
      <c r="F1487" s="6">
        <v>45291</v>
      </c>
      <c r="G1487">
        <v>2023</v>
      </c>
      <c r="H1487" t="s">
        <v>57</v>
      </c>
      <c r="I1487" t="s">
        <v>47</v>
      </c>
      <c r="J1487">
        <v>5</v>
      </c>
      <c r="K1487">
        <v>5</v>
      </c>
      <c r="L1487">
        <v>1</v>
      </c>
      <c r="M1487">
        <v>1</v>
      </c>
      <c r="N1487" t="s">
        <v>823</v>
      </c>
      <c r="O1487" t="s">
        <v>823</v>
      </c>
      <c r="P1487" t="s">
        <v>3239</v>
      </c>
      <c r="Q1487">
        <v>2</v>
      </c>
      <c r="R1487">
        <v>2</v>
      </c>
    </row>
    <row r="1488" spans="1:18" x14ac:dyDescent="0.3">
      <c r="A1488" t="s">
        <v>3237</v>
      </c>
      <c r="B1488" t="s">
        <v>3238</v>
      </c>
      <c r="C1488" t="s">
        <v>61</v>
      </c>
      <c r="D1488" t="s">
        <v>222</v>
      </c>
      <c r="E1488" t="s">
        <v>30</v>
      </c>
      <c r="F1488" s="6">
        <v>45473</v>
      </c>
      <c r="G1488">
        <v>2024</v>
      </c>
      <c r="H1488" t="s">
        <v>44</v>
      </c>
      <c r="I1488" t="s">
        <v>71</v>
      </c>
      <c r="J1488">
        <v>0</v>
      </c>
      <c r="K1488">
        <v>3</v>
      </c>
      <c r="L1488">
        <v>0</v>
      </c>
      <c r="M1488">
        <v>0</v>
      </c>
      <c r="N1488" t="s">
        <v>122</v>
      </c>
      <c r="O1488" t="s">
        <v>1849</v>
      </c>
      <c r="P1488" t="s">
        <v>3240</v>
      </c>
      <c r="Q1488">
        <v>2</v>
      </c>
      <c r="R1488">
        <v>2</v>
      </c>
    </row>
    <row r="1489" spans="1:18" x14ac:dyDescent="0.3">
      <c r="A1489" t="s">
        <v>3237</v>
      </c>
      <c r="B1489" t="s">
        <v>3238</v>
      </c>
      <c r="C1489" t="s">
        <v>87</v>
      </c>
      <c r="D1489" t="s">
        <v>222</v>
      </c>
      <c r="E1489" t="s">
        <v>30</v>
      </c>
      <c r="F1489" s="6">
        <v>45657</v>
      </c>
      <c r="G1489">
        <v>2024</v>
      </c>
      <c r="H1489" t="s">
        <v>57</v>
      </c>
      <c r="I1489" t="s">
        <v>78</v>
      </c>
      <c r="J1489">
        <v>0</v>
      </c>
      <c r="L1489">
        <v>0</v>
      </c>
      <c r="M1489">
        <v>0</v>
      </c>
      <c r="N1489" t="s">
        <v>122</v>
      </c>
      <c r="P1489" t="s">
        <v>3241</v>
      </c>
      <c r="Q1489">
        <v>2</v>
      </c>
      <c r="R1489">
        <v>2</v>
      </c>
    </row>
    <row r="1490" spans="1:18" x14ac:dyDescent="0.3">
      <c r="A1490" t="s">
        <v>3242</v>
      </c>
      <c r="B1490" t="s">
        <v>3243</v>
      </c>
      <c r="C1490" t="s">
        <v>61</v>
      </c>
      <c r="D1490" t="s">
        <v>222</v>
      </c>
      <c r="E1490" t="s">
        <v>30</v>
      </c>
      <c r="F1490" s="6">
        <v>45291</v>
      </c>
      <c r="G1490">
        <v>2023</v>
      </c>
      <c r="H1490" t="s">
        <v>57</v>
      </c>
      <c r="I1490" t="s">
        <v>47</v>
      </c>
      <c r="J1490">
        <v>3</v>
      </c>
      <c r="K1490">
        <v>3</v>
      </c>
      <c r="L1490">
        <v>1</v>
      </c>
      <c r="M1490">
        <v>1</v>
      </c>
      <c r="N1490" t="s">
        <v>1849</v>
      </c>
      <c r="O1490" t="s">
        <v>1849</v>
      </c>
      <c r="P1490" t="s">
        <v>3244</v>
      </c>
      <c r="Q1490">
        <v>2</v>
      </c>
      <c r="R1490">
        <v>2</v>
      </c>
    </row>
    <row r="1491" spans="1:18" x14ac:dyDescent="0.3">
      <c r="A1491" t="s">
        <v>3242</v>
      </c>
      <c r="B1491" t="s">
        <v>3243</v>
      </c>
      <c r="C1491" t="s">
        <v>61</v>
      </c>
      <c r="D1491" t="s">
        <v>222</v>
      </c>
      <c r="E1491" t="s">
        <v>30</v>
      </c>
      <c r="F1491" s="6">
        <v>45473</v>
      </c>
      <c r="G1491">
        <v>2024</v>
      </c>
      <c r="H1491" t="s">
        <v>44</v>
      </c>
      <c r="I1491" t="s">
        <v>71</v>
      </c>
      <c r="L1491">
        <v>0</v>
      </c>
      <c r="M1491">
        <v>0</v>
      </c>
      <c r="P1491" t="s">
        <v>3245</v>
      </c>
      <c r="Q1491">
        <v>2</v>
      </c>
      <c r="R1491">
        <v>2</v>
      </c>
    </row>
    <row r="1492" spans="1:18" x14ac:dyDescent="0.3">
      <c r="A1492" t="s">
        <v>3242</v>
      </c>
      <c r="B1492" t="s">
        <v>3243</v>
      </c>
      <c r="C1492" t="s">
        <v>87</v>
      </c>
      <c r="D1492" t="s">
        <v>222</v>
      </c>
      <c r="E1492" t="s">
        <v>30</v>
      </c>
      <c r="F1492" s="6">
        <v>45657</v>
      </c>
      <c r="G1492">
        <v>2024</v>
      </c>
      <c r="H1492" t="s">
        <v>57</v>
      </c>
      <c r="I1492" t="s">
        <v>78</v>
      </c>
      <c r="J1492">
        <v>100</v>
      </c>
      <c r="L1492">
        <v>0</v>
      </c>
      <c r="M1492">
        <v>0</v>
      </c>
      <c r="N1492" t="s">
        <v>102</v>
      </c>
      <c r="P1492" t="s">
        <v>3246</v>
      </c>
      <c r="Q1492">
        <v>2</v>
      </c>
      <c r="R1492">
        <v>2</v>
      </c>
    </row>
    <row r="1493" spans="1:18" x14ac:dyDescent="0.3">
      <c r="A1493" t="s">
        <v>3247</v>
      </c>
      <c r="B1493" t="s">
        <v>3248</v>
      </c>
      <c r="C1493" t="s">
        <v>61</v>
      </c>
      <c r="D1493" t="s">
        <v>222</v>
      </c>
      <c r="E1493" t="s">
        <v>30</v>
      </c>
      <c r="F1493" s="6">
        <v>45291</v>
      </c>
      <c r="G1493">
        <v>2023</v>
      </c>
      <c r="H1493" t="s">
        <v>57</v>
      </c>
      <c r="I1493" t="s">
        <v>47</v>
      </c>
      <c r="J1493">
        <v>12</v>
      </c>
      <c r="K1493">
        <v>12</v>
      </c>
      <c r="L1493">
        <v>1</v>
      </c>
      <c r="M1493">
        <v>1</v>
      </c>
      <c r="N1493" t="s">
        <v>3089</v>
      </c>
      <c r="O1493" t="s">
        <v>3089</v>
      </c>
      <c r="P1493" t="s">
        <v>3249</v>
      </c>
      <c r="Q1493">
        <v>2</v>
      </c>
      <c r="R1493">
        <v>2</v>
      </c>
    </row>
    <row r="1494" spans="1:18" x14ac:dyDescent="0.3">
      <c r="A1494" t="s">
        <v>3247</v>
      </c>
      <c r="B1494" t="s">
        <v>3248</v>
      </c>
      <c r="C1494" t="s">
        <v>61</v>
      </c>
      <c r="D1494" t="s">
        <v>222</v>
      </c>
      <c r="E1494" t="s">
        <v>30</v>
      </c>
      <c r="F1494" s="6">
        <v>45473</v>
      </c>
      <c r="G1494">
        <v>2024</v>
      </c>
      <c r="H1494" t="s">
        <v>44</v>
      </c>
      <c r="I1494" t="s">
        <v>71</v>
      </c>
      <c r="L1494">
        <v>0</v>
      </c>
      <c r="M1494">
        <v>0</v>
      </c>
      <c r="P1494" t="s">
        <v>3250</v>
      </c>
      <c r="Q1494">
        <v>2</v>
      </c>
      <c r="R1494">
        <v>2</v>
      </c>
    </row>
    <row r="1495" spans="1:18" x14ac:dyDescent="0.3">
      <c r="A1495" t="s">
        <v>3247</v>
      </c>
      <c r="B1495" t="s">
        <v>3248</v>
      </c>
      <c r="C1495" t="s">
        <v>61</v>
      </c>
      <c r="D1495" t="s">
        <v>222</v>
      </c>
      <c r="E1495" t="s">
        <v>30</v>
      </c>
      <c r="F1495" s="6">
        <v>45657</v>
      </c>
      <c r="G1495">
        <v>2024</v>
      </c>
      <c r="H1495" t="s">
        <v>57</v>
      </c>
      <c r="I1495" t="s">
        <v>78</v>
      </c>
      <c r="J1495">
        <v>100</v>
      </c>
      <c r="K1495">
        <v>100</v>
      </c>
      <c r="L1495">
        <v>1</v>
      </c>
      <c r="M1495">
        <v>1</v>
      </c>
      <c r="N1495" t="s">
        <v>102</v>
      </c>
      <c r="O1495" t="s">
        <v>102</v>
      </c>
      <c r="P1495" t="s">
        <v>3251</v>
      </c>
      <c r="Q1495">
        <v>2</v>
      </c>
      <c r="R1495">
        <v>2</v>
      </c>
    </row>
    <row r="1496" spans="1:18" x14ac:dyDescent="0.3">
      <c r="A1496" t="s">
        <v>3247</v>
      </c>
      <c r="B1496" t="s">
        <v>3248</v>
      </c>
      <c r="C1496" t="s">
        <v>61</v>
      </c>
      <c r="D1496" t="s">
        <v>222</v>
      </c>
      <c r="E1496" t="s">
        <v>30</v>
      </c>
      <c r="F1496" s="6">
        <v>45838</v>
      </c>
      <c r="G1496">
        <v>2025</v>
      </c>
      <c r="H1496" t="s">
        <v>44</v>
      </c>
      <c r="I1496" t="s">
        <v>244</v>
      </c>
      <c r="J1496">
        <v>100</v>
      </c>
      <c r="K1496">
        <v>100</v>
      </c>
      <c r="L1496">
        <v>1</v>
      </c>
      <c r="M1496">
        <v>1</v>
      </c>
      <c r="N1496" t="s">
        <v>102</v>
      </c>
      <c r="O1496" t="s">
        <v>102</v>
      </c>
      <c r="P1496" t="s">
        <v>3252</v>
      </c>
      <c r="Q1496">
        <v>2</v>
      </c>
      <c r="R1496">
        <v>2</v>
      </c>
    </row>
    <row r="1497" spans="1:18" x14ac:dyDescent="0.3">
      <c r="A1497" t="s">
        <v>3247</v>
      </c>
      <c r="B1497" t="s">
        <v>3248</v>
      </c>
      <c r="C1497" t="s">
        <v>61</v>
      </c>
      <c r="D1497" t="s">
        <v>222</v>
      </c>
      <c r="E1497" t="s">
        <v>30</v>
      </c>
      <c r="F1497" s="6">
        <v>46022</v>
      </c>
      <c r="G1497">
        <v>2025</v>
      </c>
      <c r="H1497" t="s">
        <v>57</v>
      </c>
      <c r="I1497" t="s">
        <v>103</v>
      </c>
      <c r="J1497">
        <v>100</v>
      </c>
      <c r="K1497">
        <v>100</v>
      </c>
      <c r="L1497">
        <v>1</v>
      </c>
      <c r="M1497">
        <v>1</v>
      </c>
      <c r="N1497" t="s">
        <v>102</v>
      </c>
      <c r="O1497" t="s">
        <v>102</v>
      </c>
      <c r="P1497" t="s">
        <v>3253</v>
      </c>
      <c r="Q1497">
        <v>2</v>
      </c>
      <c r="R1497">
        <v>2</v>
      </c>
    </row>
    <row r="1498" spans="1:18" x14ac:dyDescent="0.3">
      <c r="A1498" t="s">
        <v>3254</v>
      </c>
      <c r="B1498" t="s">
        <v>3255</v>
      </c>
      <c r="C1498" t="s">
        <v>184</v>
      </c>
      <c r="D1498" t="s">
        <v>233</v>
      </c>
      <c r="E1498" t="s">
        <v>30</v>
      </c>
      <c r="F1498" s="6">
        <v>45291</v>
      </c>
      <c r="G1498">
        <v>2023</v>
      </c>
      <c r="H1498" t="s">
        <v>57</v>
      </c>
      <c r="I1498" t="s">
        <v>47</v>
      </c>
      <c r="J1498">
        <v>160</v>
      </c>
      <c r="K1498">
        <v>203.71885459278499</v>
      </c>
      <c r="L1498">
        <v>1.2732428412049059</v>
      </c>
      <c r="M1498">
        <v>1.2732428412049059</v>
      </c>
      <c r="N1498" t="s">
        <v>6212</v>
      </c>
      <c r="O1498" t="s">
        <v>6213</v>
      </c>
      <c r="P1498" t="s">
        <v>3257</v>
      </c>
      <c r="Q1498">
        <v>2</v>
      </c>
      <c r="R1498">
        <v>2</v>
      </c>
    </row>
    <row r="1499" spans="1:18" x14ac:dyDescent="0.3">
      <c r="A1499" t="s">
        <v>3254</v>
      </c>
      <c r="B1499" t="s">
        <v>3255</v>
      </c>
      <c r="C1499" t="s">
        <v>184</v>
      </c>
      <c r="D1499" t="s">
        <v>233</v>
      </c>
      <c r="E1499" t="s">
        <v>30</v>
      </c>
      <c r="F1499" s="6">
        <v>45473</v>
      </c>
      <c r="G1499">
        <v>2024</v>
      </c>
      <c r="H1499" t="s">
        <v>44</v>
      </c>
      <c r="I1499" t="s">
        <v>71</v>
      </c>
      <c r="J1499">
        <v>190</v>
      </c>
      <c r="K1499">
        <v>196.51624060150371</v>
      </c>
      <c r="L1499">
        <v>1.0342960031658091</v>
      </c>
      <c r="M1499">
        <v>1.0342960031658091</v>
      </c>
      <c r="N1499" t="s">
        <v>6214</v>
      </c>
      <c r="O1499" t="s">
        <v>6215</v>
      </c>
      <c r="P1499" t="s">
        <v>3259</v>
      </c>
      <c r="Q1499">
        <v>2</v>
      </c>
      <c r="R1499">
        <v>2</v>
      </c>
    </row>
    <row r="1500" spans="1:18" x14ac:dyDescent="0.3">
      <c r="A1500" t="s">
        <v>3254</v>
      </c>
      <c r="B1500" t="s">
        <v>3255</v>
      </c>
      <c r="C1500" t="s">
        <v>184</v>
      </c>
      <c r="D1500" t="s">
        <v>233</v>
      </c>
      <c r="E1500" t="s">
        <v>30</v>
      </c>
      <c r="F1500" s="6">
        <v>45657</v>
      </c>
      <c r="G1500">
        <v>2024</v>
      </c>
      <c r="H1500" t="s">
        <v>57</v>
      </c>
      <c r="I1500" t="s">
        <v>78</v>
      </c>
      <c r="J1500">
        <v>190</v>
      </c>
      <c r="K1500">
        <v>193.582302158273</v>
      </c>
      <c r="L1500">
        <v>1.0188542218856469</v>
      </c>
      <c r="M1500">
        <v>1.0188542218856469</v>
      </c>
      <c r="N1500" t="s">
        <v>6214</v>
      </c>
      <c r="O1500" t="s">
        <v>6216</v>
      </c>
      <c r="P1500" t="s">
        <v>3261</v>
      </c>
      <c r="Q1500">
        <v>2</v>
      </c>
      <c r="R1500">
        <v>2</v>
      </c>
    </row>
    <row r="1501" spans="1:18" x14ac:dyDescent="0.3">
      <c r="A1501" t="s">
        <v>3254</v>
      </c>
      <c r="B1501" t="s">
        <v>3255</v>
      </c>
      <c r="C1501" t="s">
        <v>184</v>
      </c>
      <c r="D1501" t="s">
        <v>233</v>
      </c>
      <c r="E1501" t="s">
        <v>30</v>
      </c>
      <c r="F1501" s="6">
        <v>45838</v>
      </c>
      <c r="G1501">
        <v>2025</v>
      </c>
      <c r="H1501" t="s">
        <v>44</v>
      </c>
      <c r="I1501" t="s">
        <v>244</v>
      </c>
      <c r="J1501">
        <v>190</v>
      </c>
      <c r="K1501">
        <v>100</v>
      </c>
      <c r="L1501">
        <v>0.52631578947368418</v>
      </c>
      <c r="M1501">
        <v>0.52631578947368418</v>
      </c>
      <c r="N1501" t="s">
        <v>6214</v>
      </c>
      <c r="O1501" t="s">
        <v>102</v>
      </c>
      <c r="P1501" t="s">
        <v>3263</v>
      </c>
      <c r="Q1501">
        <v>2</v>
      </c>
      <c r="R1501">
        <v>2</v>
      </c>
    </row>
    <row r="1502" spans="1:18" x14ac:dyDescent="0.3">
      <c r="A1502" t="s">
        <v>3264</v>
      </c>
      <c r="B1502" t="s">
        <v>3265</v>
      </c>
      <c r="C1502" t="s">
        <v>184</v>
      </c>
      <c r="D1502" t="s">
        <v>233</v>
      </c>
      <c r="E1502" t="s">
        <v>30</v>
      </c>
      <c r="F1502" s="6">
        <v>45291</v>
      </c>
      <c r="G1502">
        <v>2023</v>
      </c>
      <c r="H1502" t="s">
        <v>57</v>
      </c>
      <c r="I1502" t="s">
        <v>47</v>
      </c>
      <c r="J1502">
        <v>90</v>
      </c>
      <c r="K1502">
        <v>90.31</v>
      </c>
      <c r="L1502">
        <v>1.0034444444444439</v>
      </c>
      <c r="M1502">
        <v>1.0034444444444439</v>
      </c>
      <c r="N1502" t="s">
        <v>256</v>
      </c>
      <c r="O1502" t="s">
        <v>6217</v>
      </c>
      <c r="P1502" t="s">
        <v>3267</v>
      </c>
      <c r="Q1502">
        <v>2</v>
      </c>
      <c r="R1502">
        <v>2</v>
      </c>
    </row>
    <row r="1503" spans="1:18" x14ac:dyDescent="0.3">
      <c r="A1503" t="s">
        <v>3268</v>
      </c>
      <c r="B1503" t="s">
        <v>3269</v>
      </c>
      <c r="C1503" t="s">
        <v>3093</v>
      </c>
      <c r="D1503" t="s">
        <v>222</v>
      </c>
      <c r="E1503" t="s">
        <v>30</v>
      </c>
      <c r="F1503" s="6">
        <v>45107</v>
      </c>
      <c r="G1503">
        <v>2023</v>
      </c>
      <c r="H1503" t="s">
        <v>44</v>
      </c>
      <c r="I1503" t="s">
        <v>33</v>
      </c>
      <c r="L1503">
        <v>0</v>
      </c>
      <c r="M1503">
        <v>0</v>
      </c>
      <c r="P1503" t="s">
        <v>3270</v>
      </c>
      <c r="Q1503">
        <v>2</v>
      </c>
      <c r="R1503">
        <v>2</v>
      </c>
    </row>
    <row r="1504" spans="1:18" x14ac:dyDescent="0.3">
      <c r="A1504" t="s">
        <v>3268</v>
      </c>
      <c r="B1504" t="s">
        <v>3269</v>
      </c>
      <c r="C1504" t="s">
        <v>3093</v>
      </c>
      <c r="D1504" t="s">
        <v>222</v>
      </c>
      <c r="E1504" t="s">
        <v>30</v>
      </c>
      <c r="F1504" s="6">
        <v>45291</v>
      </c>
      <c r="G1504">
        <v>2023</v>
      </c>
      <c r="H1504" t="s">
        <v>57</v>
      </c>
      <c r="I1504" t="s">
        <v>47</v>
      </c>
      <c r="J1504">
        <v>100</v>
      </c>
      <c r="K1504">
        <v>100</v>
      </c>
      <c r="L1504">
        <v>1</v>
      </c>
      <c r="M1504">
        <v>1</v>
      </c>
      <c r="N1504" t="s">
        <v>102</v>
      </c>
      <c r="O1504" t="s">
        <v>102</v>
      </c>
      <c r="P1504" t="s">
        <v>3271</v>
      </c>
      <c r="Q1504">
        <v>2</v>
      </c>
      <c r="R1504">
        <v>2</v>
      </c>
    </row>
    <row r="1505" spans="1:18" x14ac:dyDescent="0.3">
      <c r="A1505" t="s">
        <v>3272</v>
      </c>
      <c r="B1505" t="s">
        <v>3273</v>
      </c>
      <c r="C1505" t="s">
        <v>3093</v>
      </c>
      <c r="D1505" t="s">
        <v>98</v>
      </c>
      <c r="E1505" t="s">
        <v>30</v>
      </c>
      <c r="F1505" s="6">
        <v>45291</v>
      </c>
      <c r="G1505">
        <v>2023</v>
      </c>
      <c r="H1505" t="s">
        <v>57</v>
      </c>
      <c r="I1505" t="s">
        <v>47</v>
      </c>
      <c r="J1505">
        <v>100</v>
      </c>
      <c r="K1505">
        <v>100</v>
      </c>
      <c r="L1505">
        <v>1</v>
      </c>
      <c r="M1505">
        <v>1</v>
      </c>
      <c r="N1505" t="s">
        <v>102</v>
      </c>
      <c r="O1505" t="s">
        <v>102</v>
      </c>
      <c r="P1505" t="s">
        <v>3274</v>
      </c>
      <c r="Q1505">
        <v>2</v>
      </c>
      <c r="R1505">
        <v>2</v>
      </c>
    </row>
    <row r="1506" spans="1:18" x14ac:dyDescent="0.3">
      <c r="A1506" t="s">
        <v>3272</v>
      </c>
      <c r="B1506" t="s">
        <v>3275</v>
      </c>
      <c r="C1506" t="s">
        <v>3093</v>
      </c>
      <c r="D1506" t="s">
        <v>98</v>
      </c>
      <c r="E1506" t="s">
        <v>30</v>
      </c>
      <c r="F1506" s="6">
        <v>45657</v>
      </c>
      <c r="G1506">
        <v>2024</v>
      </c>
      <c r="H1506" t="s">
        <v>57</v>
      </c>
      <c r="I1506" t="s">
        <v>78</v>
      </c>
      <c r="J1506">
        <v>100</v>
      </c>
      <c r="K1506">
        <v>100</v>
      </c>
      <c r="L1506">
        <v>1</v>
      </c>
      <c r="M1506">
        <v>1</v>
      </c>
      <c r="N1506" t="s">
        <v>102</v>
      </c>
      <c r="O1506" t="s">
        <v>102</v>
      </c>
      <c r="P1506" t="s">
        <v>3276</v>
      </c>
      <c r="Q1506">
        <v>2</v>
      </c>
      <c r="R1506">
        <v>2</v>
      </c>
    </row>
    <row r="1507" spans="1:18" x14ac:dyDescent="0.3">
      <c r="A1507" t="s">
        <v>3277</v>
      </c>
      <c r="B1507" t="s">
        <v>3278</v>
      </c>
      <c r="C1507" t="s">
        <v>3093</v>
      </c>
      <c r="D1507" t="s">
        <v>98</v>
      </c>
      <c r="E1507" t="s">
        <v>30</v>
      </c>
      <c r="F1507" s="6">
        <v>45291</v>
      </c>
      <c r="G1507">
        <v>2023</v>
      </c>
      <c r="H1507" t="s">
        <v>57</v>
      </c>
      <c r="I1507" t="s">
        <v>47</v>
      </c>
      <c r="K1507">
        <v>2</v>
      </c>
      <c r="L1507">
        <v>0</v>
      </c>
      <c r="M1507">
        <v>0</v>
      </c>
      <c r="O1507" t="s">
        <v>569</v>
      </c>
      <c r="P1507" t="s">
        <v>3279</v>
      </c>
      <c r="Q1507">
        <v>2</v>
      </c>
      <c r="R1507">
        <v>2</v>
      </c>
    </row>
    <row r="1508" spans="1:18" x14ac:dyDescent="0.3">
      <c r="A1508" t="s">
        <v>3277</v>
      </c>
      <c r="B1508" t="s">
        <v>3280</v>
      </c>
      <c r="C1508" t="s">
        <v>3093</v>
      </c>
      <c r="D1508" t="s">
        <v>98</v>
      </c>
      <c r="E1508" t="s">
        <v>30</v>
      </c>
      <c r="F1508" s="6">
        <v>45657</v>
      </c>
      <c r="G1508">
        <v>2024</v>
      </c>
      <c r="H1508" t="s">
        <v>57</v>
      </c>
      <c r="I1508" t="s">
        <v>78</v>
      </c>
      <c r="J1508">
        <v>100</v>
      </c>
      <c r="K1508">
        <v>100</v>
      </c>
      <c r="L1508">
        <v>1</v>
      </c>
      <c r="M1508">
        <v>1</v>
      </c>
      <c r="N1508" t="s">
        <v>102</v>
      </c>
      <c r="O1508" t="s">
        <v>102</v>
      </c>
      <c r="P1508" t="s">
        <v>3281</v>
      </c>
      <c r="Q1508">
        <v>2</v>
      </c>
      <c r="R1508">
        <v>2</v>
      </c>
    </row>
    <row r="1509" spans="1:18" x14ac:dyDescent="0.3">
      <c r="A1509" t="s">
        <v>3277</v>
      </c>
      <c r="B1509" t="s">
        <v>3280</v>
      </c>
      <c r="C1509" t="s">
        <v>3093</v>
      </c>
      <c r="D1509" t="s">
        <v>98</v>
      </c>
      <c r="E1509" t="s">
        <v>30</v>
      </c>
      <c r="F1509" s="6">
        <v>46022</v>
      </c>
      <c r="G1509">
        <v>2025</v>
      </c>
      <c r="H1509" t="s">
        <v>57</v>
      </c>
      <c r="I1509" t="s">
        <v>103</v>
      </c>
      <c r="J1509">
        <v>100</v>
      </c>
      <c r="L1509">
        <v>0</v>
      </c>
      <c r="M1509">
        <v>0</v>
      </c>
      <c r="N1509" t="s">
        <v>102</v>
      </c>
      <c r="P1509" t="s">
        <v>3282</v>
      </c>
      <c r="Q1509">
        <v>2</v>
      </c>
      <c r="R1509">
        <v>2</v>
      </c>
    </row>
    <row r="1510" spans="1:18" x14ac:dyDescent="0.3">
      <c r="A1510" t="s">
        <v>3283</v>
      </c>
      <c r="B1510" t="s">
        <v>3284</v>
      </c>
      <c r="D1510" t="s">
        <v>233</v>
      </c>
      <c r="E1510" t="s">
        <v>30</v>
      </c>
      <c r="F1510" s="6">
        <v>45107</v>
      </c>
      <c r="G1510">
        <v>2023</v>
      </c>
      <c r="H1510" t="s">
        <v>44</v>
      </c>
      <c r="I1510" t="s">
        <v>33</v>
      </c>
      <c r="J1510">
        <v>100</v>
      </c>
      <c r="K1510">
        <v>110.1</v>
      </c>
      <c r="L1510">
        <v>1.101</v>
      </c>
      <c r="M1510">
        <v>1.101</v>
      </c>
      <c r="N1510" t="s">
        <v>102</v>
      </c>
      <c r="O1510" t="s">
        <v>6218</v>
      </c>
      <c r="P1510" t="s">
        <v>3285</v>
      </c>
      <c r="Q1510">
        <v>2</v>
      </c>
      <c r="R1510">
        <v>2</v>
      </c>
    </row>
    <row r="1511" spans="1:18" x14ac:dyDescent="0.3">
      <c r="A1511" t="s">
        <v>3283</v>
      </c>
      <c r="B1511" t="s">
        <v>3284</v>
      </c>
      <c r="D1511" t="s">
        <v>233</v>
      </c>
      <c r="E1511" t="s">
        <v>30</v>
      </c>
      <c r="F1511" s="6">
        <v>45291</v>
      </c>
      <c r="G1511">
        <v>2023</v>
      </c>
      <c r="H1511" t="s">
        <v>57</v>
      </c>
      <c r="I1511" t="s">
        <v>47</v>
      </c>
      <c r="J1511">
        <v>100</v>
      </c>
      <c r="K1511">
        <v>94.91</v>
      </c>
      <c r="L1511">
        <v>0.94909999999999994</v>
      </c>
      <c r="M1511">
        <v>0.94909999999999994</v>
      </c>
      <c r="N1511" t="s">
        <v>102</v>
      </c>
      <c r="O1511" t="s">
        <v>6219</v>
      </c>
      <c r="P1511" t="s">
        <v>3287</v>
      </c>
      <c r="Q1511">
        <v>2</v>
      </c>
      <c r="R1511">
        <v>2</v>
      </c>
    </row>
    <row r="1512" spans="1:18" x14ac:dyDescent="0.3">
      <c r="A1512" t="s">
        <v>3283</v>
      </c>
      <c r="B1512" t="s">
        <v>3284</v>
      </c>
      <c r="C1512" t="s">
        <v>129</v>
      </c>
      <c r="D1512" t="s">
        <v>233</v>
      </c>
      <c r="E1512" t="s">
        <v>30</v>
      </c>
      <c r="F1512" s="6">
        <v>45473</v>
      </c>
      <c r="G1512">
        <v>2024</v>
      </c>
      <c r="H1512" t="s">
        <v>44</v>
      </c>
      <c r="I1512" t="s">
        <v>71</v>
      </c>
      <c r="J1512">
        <v>100</v>
      </c>
      <c r="K1512">
        <v>99.68</v>
      </c>
      <c r="L1512">
        <v>0.99680000000000002</v>
      </c>
      <c r="M1512">
        <v>0.99680000000000002</v>
      </c>
      <c r="N1512" t="s">
        <v>102</v>
      </c>
      <c r="O1512" t="s">
        <v>6220</v>
      </c>
      <c r="P1512" t="s">
        <v>3289</v>
      </c>
      <c r="Q1512">
        <v>2</v>
      </c>
      <c r="R1512">
        <v>2</v>
      </c>
    </row>
    <row r="1513" spans="1:18" x14ac:dyDescent="0.3">
      <c r="A1513" t="s">
        <v>3283</v>
      </c>
      <c r="B1513" t="s">
        <v>3284</v>
      </c>
      <c r="C1513" t="s">
        <v>129</v>
      </c>
      <c r="D1513" t="s">
        <v>233</v>
      </c>
      <c r="E1513" t="s">
        <v>30</v>
      </c>
      <c r="F1513" s="6">
        <v>45657</v>
      </c>
      <c r="G1513">
        <v>2024</v>
      </c>
      <c r="H1513" t="s">
        <v>57</v>
      </c>
      <c r="I1513" t="s">
        <v>78</v>
      </c>
      <c r="J1513">
        <v>100</v>
      </c>
      <c r="K1513">
        <v>49.69</v>
      </c>
      <c r="L1513">
        <v>0.49690000000000001</v>
      </c>
      <c r="M1513">
        <v>0.49690000000000001</v>
      </c>
      <c r="N1513" t="s">
        <v>102</v>
      </c>
      <c r="O1513" t="s">
        <v>6221</v>
      </c>
      <c r="P1513" t="s">
        <v>3291</v>
      </c>
      <c r="Q1513">
        <v>2</v>
      </c>
      <c r="R1513">
        <v>2</v>
      </c>
    </row>
    <row r="1514" spans="1:18" x14ac:dyDescent="0.3">
      <c r="A1514" t="s">
        <v>3283</v>
      </c>
      <c r="B1514" t="s">
        <v>3284</v>
      </c>
      <c r="C1514" t="s">
        <v>129</v>
      </c>
      <c r="D1514" t="s">
        <v>233</v>
      </c>
      <c r="E1514" t="s">
        <v>30</v>
      </c>
      <c r="F1514" s="6">
        <v>45838</v>
      </c>
      <c r="G1514">
        <v>2025</v>
      </c>
      <c r="H1514" t="s">
        <v>44</v>
      </c>
      <c r="I1514" t="s">
        <v>244</v>
      </c>
      <c r="J1514">
        <v>100</v>
      </c>
      <c r="K1514">
        <v>109.67</v>
      </c>
      <c r="L1514">
        <v>1.0967</v>
      </c>
      <c r="M1514">
        <v>1.0967</v>
      </c>
      <c r="N1514" t="s">
        <v>102</v>
      </c>
      <c r="O1514" t="s">
        <v>6222</v>
      </c>
      <c r="P1514" t="s">
        <v>3297</v>
      </c>
      <c r="Q1514">
        <v>2</v>
      </c>
      <c r="R1514">
        <v>2</v>
      </c>
    </row>
    <row r="1515" spans="1:18" x14ac:dyDescent="0.3">
      <c r="A1515" t="s">
        <v>3283</v>
      </c>
      <c r="B1515" t="s">
        <v>3284</v>
      </c>
      <c r="C1515" t="s">
        <v>129</v>
      </c>
      <c r="D1515" t="s">
        <v>233</v>
      </c>
      <c r="E1515" t="s">
        <v>30</v>
      </c>
      <c r="F1515" s="6">
        <v>46022</v>
      </c>
      <c r="G1515">
        <v>2025</v>
      </c>
      <c r="H1515" t="s">
        <v>57</v>
      </c>
      <c r="I1515" t="s">
        <v>103</v>
      </c>
      <c r="J1515">
        <v>100</v>
      </c>
      <c r="L1515">
        <v>0</v>
      </c>
      <c r="M1515">
        <v>0</v>
      </c>
      <c r="N1515" t="s">
        <v>102</v>
      </c>
      <c r="P1515" t="s">
        <v>3298</v>
      </c>
      <c r="Q1515">
        <v>2</v>
      </c>
      <c r="R1515">
        <v>2</v>
      </c>
    </row>
    <row r="1516" spans="1:18" x14ac:dyDescent="0.3">
      <c r="A1516" t="s">
        <v>3299</v>
      </c>
      <c r="B1516" t="s">
        <v>3300</v>
      </c>
      <c r="C1516" t="s">
        <v>3011</v>
      </c>
      <c r="D1516" t="s">
        <v>233</v>
      </c>
      <c r="E1516" t="s">
        <v>30</v>
      </c>
      <c r="F1516" s="6">
        <v>45107</v>
      </c>
      <c r="G1516">
        <v>2023</v>
      </c>
      <c r="H1516" t="s">
        <v>44</v>
      </c>
      <c r="I1516" t="s">
        <v>33</v>
      </c>
      <c r="J1516">
        <v>71</v>
      </c>
      <c r="K1516">
        <v>78</v>
      </c>
      <c r="L1516">
        <v>1.098591549295775</v>
      </c>
      <c r="M1516">
        <v>1.098591549295775</v>
      </c>
      <c r="N1516" t="s">
        <v>2018</v>
      </c>
      <c r="O1516" t="s">
        <v>5377</v>
      </c>
      <c r="P1516" t="s">
        <v>3301</v>
      </c>
      <c r="Q1516">
        <v>2</v>
      </c>
      <c r="R1516">
        <v>2</v>
      </c>
    </row>
    <row r="1517" spans="1:18" x14ac:dyDescent="0.3">
      <c r="A1517" t="s">
        <v>3299</v>
      </c>
      <c r="B1517" t="s">
        <v>3300</v>
      </c>
      <c r="C1517" t="s">
        <v>3011</v>
      </c>
      <c r="D1517" t="s">
        <v>233</v>
      </c>
      <c r="E1517" t="s">
        <v>30</v>
      </c>
      <c r="F1517" s="6">
        <v>45291</v>
      </c>
      <c r="G1517">
        <v>2023</v>
      </c>
      <c r="H1517" t="s">
        <v>57</v>
      </c>
      <c r="I1517" t="s">
        <v>47</v>
      </c>
      <c r="J1517">
        <v>100</v>
      </c>
      <c r="K1517">
        <v>99.75</v>
      </c>
      <c r="L1517">
        <v>0.99750000000000005</v>
      </c>
      <c r="M1517">
        <v>0.99750000000000005</v>
      </c>
      <c r="N1517" t="s">
        <v>102</v>
      </c>
      <c r="O1517" t="s">
        <v>6223</v>
      </c>
      <c r="P1517" t="s">
        <v>3302</v>
      </c>
      <c r="Q1517">
        <v>2</v>
      </c>
      <c r="R1517">
        <v>2</v>
      </c>
    </row>
    <row r="1518" spans="1:18" x14ac:dyDescent="0.3">
      <c r="A1518" t="s">
        <v>3299</v>
      </c>
      <c r="B1518" t="s">
        <v>3300</v>
      </c>
      <c r="C1518" t="s">
        <v>3011</v>
      </c>
      <c r="D1518" t="s">
        <v>233</v>
      </c>
      <c r="E1518" t="s">
        <v>30</v>
      </c>
      <c r="F1518" s="6">
        <v>45473</v>
      </c>
      <c r="G1518">
        <v>2024</v>
      </c>
      <c r="H1518" t="s">
        <v>44</v>
      </c>
      <c r="I1518" t="s">
        <v>71</v>
      </c>
      <c r="J1518">
        <v>40.79</v>
      </c>
      <c r="K1518">
        <v>42.33</v>
      </c>
      <c r="L1518">
        <v>1.037754351556754</v>
      </c>
      <c r="M1518">
        <v>1.037754351556754</v>
      </c>
      <c r="N1518" t="s">
        <v>6224</v>
      </c>
      <c r="O1518" t="s">
        <v>6225</v>
      </c>
      <c r="P1518" t="s">
        <v>3303</v>
      </c>
      <c r="Q1518">
        <v>2</v>
      </c>
      <c r="R1518">
        <v>2</v>
      </c>
    </row>
    <row r="1519" spans="1:18" x14ac:dyDescent="0.3">
      <c r="A1519" t="s">
        <v>3304</v>
      </c>
      <c r="B1519" t="s">
        <v>3305</v>
      </c>
      <c r="C1519" t="s">
        <v>3011</v>
      </c>
      <c r="D1519" t="s">
        <v>233</v>
      </c>
      <c r="E1519" t="s">
        <v>30</v>
      </c>
      <c r="F1519" s="6">
        <v>45107</v>
      </c>
      <c r="G1519">
        <v>2023</v>
      </c>
      <c r="H1519" t="s">
        <v>44</v>
      </c>
      <c r="I1519" t="s">
        <v>33</v>
      </c>
      <c r="J1519">
        <v>74</v>
      </c>
      <c r="K1519">
        <v>45</v>
      </c>
      <c r="L1519">
        <v>0.60810810810810811</v>
      </c>
      <c r="M1519">
        <v>0.60810810810810811</v>
      </c>
      <c r="N1519" t="s">
        <v>272</v>
      </c>
      <c r="O1519" t="s">
        <v>5882</v>
      </c>
      <c r="P1519" t="s">
        <v>3306</v>
      </c>
      <c r="Q1519">
        <v>2</v>
      </c>
      <c r="R1519">
        <v>2</v>
      </c>
    </row>
    <row r="1520" spans="1:18" x14ac:dyDescent="0.3">
      <c r="A1520" t="s">
        <v>3304</v>
      </c>
      <c r="B1520" t="s">
        <v>3305</v>
      </c>
      <c r="C1520" t="s">
        <v>3011</v>
      </c>
      <c r="D1520" t="s">
        <v>233</v>
      </c>
      <c r="E1520" t="s">
        <v>30</v>
      </c>
      <c r="F1520" s="6">
        <v>45291</v>
      </c>
      <c r="G1520">
        <v>2023</v>
      </c>
      <c r="H1520" t="s">
        <v>57</v>
      </c>
      <c r="I1520" t="s">
        <v>47</v>
      </c>
      <c r="J1520">
        <v>100</v>
      </c>
      <c r="K1520">
        <v>97.4</v>
      </c>
      <c r="L1520">
        <v>0.97400000000000009</v>
      </c>
      <c r="M1520">
        <v>0.97400000000000009</v>
      </c>
      <c r="N1520" t="s">
        <v>102</v>
      </c>
      <c r="O1520" t="s">
        <v>6226</v>
      </c>
      <c r="P1520" t="s">
        <v>3307</v>
      </c>
      <c r="Q1520">
        <v>2</v>
      </c>
      <c r="R1520">
        <v>2</v>
      </c>
    </row>
    <row r="1521" spans="1:18" x14ac:dyDescent="0.3">
      <c r="A1521" t="s">
        <v>3304</v>
      </c>
      <c r="B1521" t="s">
        <v>3305</v>
      </c>
      <c r="C1521" t="s">
        <v>3011</v>
      </c>
      <c r="D1521" t="s">
        <v>233</v>
      </c>
      <c r="E1521" t="s">
        <v>30</v>
      </c>
      <c r="F1521" s="6">
        <v>45473</v>
      </c>
      <c r="G1521">
        <v>2024</v>
      </c>
      <c r="H1521" t="s">
        <v>44</v>
      </c>
      <c r="I1521" t="s">
        <v>71</v>
      </c>
      <c r="J1521">
        <v>92.24</v>
      </c>
      <c r="K1521">
        <v>88</v>
      </c>
      <c r="L1521">
        <v>0.95403295750216832</v>
      </c>
      <c r="M1521">
        <v>0.95403295750216832</v>
      </c>
      <c r="N1521" t="s">
        <v>6227</v>
      </c>
      <c r="O1521" t="s">
        <v>4404</v>
      </c>
      <c r="P1521" t="s">
        <v>3308</v>
      </c>
      <c r="Q1521">
        <v>2</v>
      </c>
      <c r="R1521">
        <v>2</v>
      </c>
    </row>
    <row r="1522" spans="1:18" x14ac:dyDescent="0.3">
      <c r="A1522" t="s">
        <v>3309</v>
      </c>
      <c r="B1522" t="s">
        <v>3310</v>
      </c>
      <c r="C1522" t="s">
        <v>3011</v>
      </c>
      <c r="D1522" t="s">
        <v>233</v>
      </c>
      <c r="E1522" t="s">
        <v>30</v>
      </c>
      <c r="F1522" s="6">
        <v>45107</v>
      </c>
      <c r="G1522">
        <v>2023</v>
      </c>
      <c r="H1522" t="s">
        <v>44</v>
      </c>
      <c r="I1522" t="s">
        <v>33</v>
      </c>
      <c r="J1522">
        <v>52</v>
      </c>
      <c r="K1522">
        <v>65</v>
      </c>
      <c r="L1522">
        <v>1.25</v>
      </c>
      <c r="M1522">
        <v>1.25</v>
      </c>
      <c r="N1522" t="s">
        <v>6228</v>
      </c>
      <c r="O1522" t="s">
        <v>6229</v>
      </c>
      <c r="P1522" t="s">
        <v>3311</v>
      </c>
      <c r="Q1522">
        <v>2</v>
      </c>
      <c r="R1522">
        <v>2</v>
      </c>
    </row>
    <row r="1523" spans="1:18" x14ac:dyDescent="0.3">
      <c r="A1523" t="s">
        <v>3309</v>
      </c>
      <c r="B1523" t="s">
        <v>3310</v>
      </c>
      <c r="C1523" t="s">
        <v>3011</v>
      </c>
      <c r="D1523" t="s">
        <v>233</v>
      </c>
      <c r="E1523" t="s">
        <v>30</v>
      </c>
      <c r="F1523" s="6">
        <v>45291</v>
      </c>
      <c r="G1523">
        <v>2023</v>
      </c>
      <c r="H1523" t="s">
        <v>57</v>
      </c>
      <c r="I1523" t="s">
        <v>47</v>
      </c>
      <c r="J1523">
        <v>100</v>
      </c>
      <c r="K1523">
        <v>98.83</v>
      </c>
      <c r="L1523">
        <v>0.98829999999999996</v>
      </c>
      <c r="M1523">
        <v>0.98829999999999996</v>
      </c>
      <c r="N1523" t="s">
        <v>102</v>
      </c>
      <c r="O1523" t="s">
        <v>5339</v>
      </c>
      <c r="P1523" t="s">
        <v>3312</v>
      </c>
      <c r="Q1523">
        <v>2</v>
      </c>
      <c r="R1523">
        <v>2</v>
      </c>
    </row>
    <row r="1524" spans="1:18" x14ac:dyDescent="0.3">
      <c r="A1524" t="s">
        <v>3309</v>
      </c>
      <c r="B1524" t="s">
        <v>3310</v>
      </c>
      <c r="C1524" t="s">
        <v>3011</v>
      </c>
      <c r="D1524" t="s">
        <v>233</v>
      </c>
      <c r="E1524" t="s">
        <v>30</v>
      </c>
      <c r="F1524" s="6">
        <v>45473</v>
      </c>
      <c r="G1524">
        <v>2024</v>
      </c>
      <c r="H1524" t="s">
        <v>44</v>
      </c>
      <c r="I1524" t="s">
        <v>71</v>
      </c>
      <c r="J1524">
        <v>51.84</v>
      </c>
      <c r="K1524">
        <v>48.34</v>
      </c>
      <c r="L1524">
        <v>0.93248456790123457</v>
      </c>
      <c r="M1524">
        <v>0.93248456790123457</v>
      </c>
      <c r="N1524" t="s">
        <v>6230</v>
      </c>
      <c r="O1524" t="s">
        <v>6231</v>
      </c>
      <c r="P1524" t="s">
        <v>3313</v>
      </c>
      <c r="Q1524">
        <v>2</v>
      </c>
      <c r="R1524">
        <v>2</v>
      </c>
    </row>
    <row r="1525" spans="1:18" x14ac:dyDescent="0.3">
      <c r="A1525" t="s">
        <v>3314</v>
      </c>
      <c r="B1525" t="s">
        <v>3315</v>
      </c>
      <c r="C1525" t="s">
        <v>3011</v>
      </c>
      <c r="D1525" t="s">
        <v>233</v>
      </c>
      <c r="E1525" t="s">
        <v>30</v>
      </c>
      <c r="F1525" s="6">
        <v>45107</v>
      </c>
      <c r="G1525">
        <v>2023</v>
      </c>
      <c r="H1525" t="s">
        <v>44</v>
      </c>
      <c r="I1525" t="s">
        <v>33</v>
      </c>
      <c r="J1525">
        <v>70</v>
      </c>
      <c r="K1525">
        <v>84</v>
      </c>
      <c r="L1525">
        <v>1.2</v>
      </c>
      <c r="M1525">
        <v>1.2</v>
      </c>
      <c r="N1525" t="s">
        <v>3922</v>
      </c>
      <c r="O1525" t="s">
        <v>6232</v>
      </c>
      <c r="P1525" t="s">
        <v>3316</v>
      </c>
      <c r="Q1525">
        <v>2</v>
      </c>
      <c r="R1525">
        <v>2</v>
      </c>
    </row>
    <row r="1526" spans="1:18" x14ac:dyDescent="0.3">
      <c r="A1526" t="s">
        <v>3314</v>
      </c>
      <c r="B1526" t="s">
        <v>3315</v>
      </c>
      <c r="C1526" t="s">
        <v>3011</v>
      </c>
      <c r="D1526" t="s">
        <v>233</v>
      </c>
      <c r="E1526" t="s">
        <v>30</v>
      </c>
      <c r="F1526" s="6">
        <v>45291</v>
      </c>
      <c r="G1526">
        <v>2023</v>
      </c>
      <c r="H1526" t="s">
        <v>57</v>
      </c>
      <c r="I1526" t="s">
        <v>47</v>
      </c>
      <c r="J1526">
        <v>100</v>
      </c>
      <c r="K1526">
        <v>98.75</v>
      </c>
      <c r="L1526">
        <v>0.98750000000000004</v>
      </c>
      <c r="M1526">
        <v>0.98750000000000004</v>
      </c>
      <c r="N1526" t="s">
        <v>102</v>
      </c>
      <c r="O1526" t="s">
        <v>4423</v>
      </c>
      <c r="P1526" t="s">
        <v>3317</v>
      </c>
      <c r="Q1526">
        <v>2</v>
      </c>
      <c r="R1526">
        <v>2</v>
      </c>
    </row>
    <row r="1527" spans="1:18" x14ac:dyDescent="0.3">
      <c r="A1527" t="s">
        <v>3314</v>
      </c>
      <c r="B1527" t="s">
        <v>3315</v>
      </c>
      <c r="C1527" t="s">
        <v>3011</v>
      </c>
      <c r="D1527" t="s">
        <v>233</v>
      </c>
      <c r="E1527" t="s">
        <v>30</v>
      </c>
      <c r="F1527" s="6">
        <v>45473</v>
      </c>
      <c r="G1527">
        <v>2024</v>
      </c>
      <c r="H1527" t="s">
        <v>44</v>
      </c>
      <c r="I1527" t="s">
        <v>71</v>
      </c>
      <c r="J1527">
        <v>81.790000000000006</v>
      </c>
      <c r="K1527">
        <v>80</v>
      </c>
      <c r="L1527">
        <v>0.97811468394669265</v>
      </c>
      <c r="M1527">
        <v>0.97811468394669265</v>
      </c>
      <c r="N1527" t="s">
        <v>6233</v>
      </c>
      <c r="O1527" t="s">
        <v>193</v>
      </c>
      <c r="P1527" t="s">
        <v>3318</v>
      </c>
      <c r="Q1527">
        <v>2</v>
      </c>
      <c r="R1527">
        <v>2</v>
      </c>
    </row>
    <row r="1528" spans="1:18" x14ac:dyDescent="0.3">
      <c r="A1528" t="s">
        <v>3319</v>
      </c>
      <c r="B1528" t="s">
        <v>3320</v>
      </c>
      <c r="D1528" t="s">
        <v>233</v>
      </c>
      <c r="E1528" t="s">
        <v>30</v>
      </c>
      <c r="F1528" s="6">
        <v>45107</v>
      </c>
      <c r="G1528">
        <v>2023</v>
      </c>
      <c r="H1528" t="s">
        <v>44</v>
      </c>
      <c r="I1528" t="s">
        <v>33</v>
      </c>
      <c r="J1528">
        <v>41</v>
      </c>
      <c r="K1528">
        <v>54</v>
      </c>
      <c r="L1528">
        <v>1.3</v>
      </c>
      <c r="M1528">
        <v>1.3170731707317069</v>
      </c>
      <c r="N1528" t="s">
        <v>1624</v>
      </c>
      <c r="O1528" t="s">
        <v>5881</v>
      </c>
      <c r="P1528" t="s">
        <v>3321</v>
      </c>
      <c r="Q1528">
        <v>2</v>
      </c>
      <c r="R1528">
        <v>2</v>
      </c>
    </row>
    <row r="1529" spans="1:18" x14ac:dyDescent="0.3">
      <c r="A1529" t="s">
        <v>3319</v>
      </c>
      <c r="B1529" t="s">
        <v>3320</v>
      </c>
      <c r="D1529" t="s">
        <v>233</v>
      </c>
      <c r="E1529" t="s">
        <v>30</v>
      </c>
      <c r="F1529" s="6">
        <v>45291</v>
      </c>
      <c r="G1529">
        <v>2023</v>
      </c>
      <c r="H1529" t="s">
        <v>57</v>
      </c>
      <c r="I1529" t="s">
        <v>47</v>
      </c>
      <c r="J1529">
        <v>100</v>
      </c>
      <c r="K1529">
        <v>100</v>
      </c>
      <c r="L1529">
        <v>1</v>
      </c>
      <c r="M1529">
        <v>1</v>
      </c>
      <c r="N1529" t="s">
        <v>102</v>
      </c>
      <c r="O1529" t="s">
        <v>102</v>
      </c>
      <c r="P1529" t="s">
        <v>3322</v>
      </c>
      <c r="Q1529">
        <v>2</v>
      </c>
      <c r="R1529">
        <v>2</v>
      </c>
    </row>
    <row r="1530" spans="1:18" x14ac:dyDescent="0.3">
      <c r="A1530" t="s">
        <v>3319</v>
      </c>
      <c r="B1530" t="s">
        <v>3320</v>
      </c>
      <c r="D1530" t="s">
        <v>233</v>
      </c>
      <c r="E1530" t="s">
        <v>30</v>
      </c>
      <c r="F1530" s="6">
        <v>45473</v>
      </c>
      <c r="G1530">
        <v>2024</v>
      </c>
      <c r="H1530" t="s">
        <v>44</v>
      </c>
      <c r="I1530" t="s">
        <v>71</v>
      </c>
      <c r="J1530">
        <v>65.83</v>
      </c>
      <c r="K1530">
        <v>65.63</v>
      </c>
      <c r="L1530">
        <v>0.99696187148716386</v>
      </c>
      <c r="M1530">
        <v>0.99696187148716386</v>
      </c>
      <c r="N1530" t="s">
        <v>6234</v>
      </c>
      <c r="O1530" t="s">
        <v>6235</v>
      </c>
      <c r="P1530" t="s">
        <v>3323</v>
      </c>
      <c r="Q1530">
        <v>2</v>
      </c>
      <c r="R1530">
        <v>2</v>
      </c>
    </row>
    <row r="1531" spans="1:18" x14ac:dyDescent="0.3">
      <c r="A1531" t="s">
        <v>3324</v>
      </c>
      <c r="B1531" t="s">
        <v>3325</v>
      </c>
      <c r="C1531" t="s">
        <v>262</v>
      </c>
      <c r="D1531" t="s">
        <v>233</v>
      </c>
      <c r="E1531" t="s">
        <v>30</v>
      </c>
      <c r="F1531" s="6">
        <v>45107</v>
      </c>
      <c r="G1531">
        <v>2023</v>
      </c>
      <c r="H1531" t="s">
        <v>44</v>
      </c>
      <c r="I1531" t="s">
        <v>33</v>
      </c>
      <c r="J1531">
        <v>56</v>
      </c>
      <c r="K1531">
        <v>70</v>
      </c>
      <c r="L1531">
        <v>1.25</v>
      </c>
      <c r="M1531">
        <v>1.25</v>
      </c>
      <c r="N1531" t="s">
        <v>6236</v>
      </c>
      <c r="O1531" t="s">
        <v>3922</v>
      </c>
      <c r="P1531" t="s">
        <v>3326</v>
      </c>
      <c r="Q1531">
        <v>2</v>
      </c>
      <c r="R1531">
        <v>2</v>
      </c>
    </row>
    <row r="1532" spans="1:18" x14ac:dyDescent="0.3">
      <c r="A1532" t="s">
        <v>3324</v>
      </c>
      <c r="B1532" t="s">
        <v>3325</v>
      </c>
      <c r="C1532" t="s">
        <v>262</v>
      </c>
      <c r="D1532" t="s">
        <v>233</v>
      </c>
      <c r="E1532" t="s">
        <v>30</v>
      </c>
      <c r="F1532" s="6">
        <v>45291</v>
      </c>
      <c r="G1532">
        <v>2023</v>
      </c>
      <c r="H1532" t="s">
        <v>57</v>
      </c>
      <c r="I1532" t="s">
        <v>47</v>
      </c>
      <c r="J1532">
        <v>100</v>
      </c>
      <c r="K1532">
        <v>94.51</v>
      </c>
      <c r="L1532">
        <v>0.94510000000000005</v>
      </c>
      <c r="M1532">
        <v>0.94510000000000005</v>
      </c>
      <c r="N1532" t="s">
        <v>102</v>
      </c>
      <c r="O1532" t="s">
        <v>6237</v>
      </c>
      <c r="P1532" t="s">
        <v>3327</v>
      </c>
      <c r="Q1532">
        <v>2</v>
      </c>
      <c r="R1532">
        <v>2</v>
      </c>
    </row>
    <row r="1533" spans="1:18" x14ac:dyDescent="0.3">
      <c r="A1533" t="s">
        <v>3324</v>
      </c>
      <c r="B1533" t="s">
        <v>3325</v>
      </c>
      <c r="C1533" t="s">
        <v>262</v>
      </c>
      <c r="D1533" t="s">
        <v>233</v>
      </c>
      <c r="E1533" t="s">
        <v>30</v>
      </c>
      <c r="F1533" s="6">
        <v>45473</v>
      </c>
      <c r="G1533">
        <v>2024</v>
      </c>
      <c r="H1533" t="s">
        <v>44</v>
      </c>
      <c r="I1533" t="s">
        <v>71</v>
      </c>
      <c r="J1533">
        <v>51.58</v>
      </c>
      <c r="K1533">
        <v>62.5</v>
      </c>
      <c r="L1533">
        <v>1.211709965102753</v>
      </c>
      <c r="M1533">
        <v>1.211709965102753</v>
      </c>
      <c r="N1533" t="s">
        <v>6238</v>
      </c>
      <c r="O1533" t="s">
        <v>6239</v>
      </c>
      <c r="P1533" t="s">
        <v>3328</v>
      </c>
      <c r="Q1533">
        <v>2</v>
      </c>
      <c r="R1533">
        <v>2</v>
      </c>
    </row>
    <row r="1534" spans="1:18" x14ac:dyDescent="0.3">
      <c r="A1534" t="s">
        <v>3329</v>
      </c>
      <c r="B1534" t="s">
        <v>3330</v>
      </c>
      <c r="C1534" t="s">
        <v>3331</v>
      </c>
      <c r="D1534" t="s">
        <v>233</v>
      </c>
      <c r="E1534" t="s">
        <v>30</v>
      </c>
      <c r="F1534" s="6">
        <v>45107</v>
      </c>
      <c r="G1534">
        <v>2023</v>
      </c>
      <c r="H1534" t="s">
        <v>44</v>
      </c>
      <c r="I1534" t="s">
        <v>33</v>
      </c>
      <c r="J1534">
        <v>52</v>
      </c>
      <c r="K1534">
        <v>56</v>
      </c>
      <c r="L1534">
        <v>1.0769230769230771</v>
      </c>
      <c r="M1534">
        <v>1.0769230769230771</v>
      </c>
      <c r="N1534" t="s">
        <v>6228</v>
      </c>
      <c r="O1534" t="s">
        <v>6236</v>
      </c>
      <c r="P1534" t="s">
        <v>3332</v>
      </c>
      <c r="Q1534">
        <v>2</v>
      </c>
      <c r="R1534">
        <v>2</v>
      </c>
    </row>
    <row r="1535" spans="1:18" x14ac:dyDescent="0.3">
      <c r="A1535" t="s">
        <v>3329</v>
      </c>
      <c r="B1535" t="s">
        <v>3330</v>
      </c>
      <c r="C1535" t="s">
        <v>3331</v>
      </c>
      <c r="D1535" t="s">
        <v>233</v>
      </c>
      <c r="E1535" t="s">
        <v>30</v>
      </c>
      <c r="F1535" s="6">
        <v>45291</v>
      </c>
      <c r="G1535">
        <v>2023</v>
      </c>
      <c r="H1535" t="s">
        <v>57</v>
      </c>
      <c r="I1535" t="s">
        <v>47</v>
      </c>
      <c r="J1535">
        <v>100</v>
      </c>
      <c r="K1535">
        <v>86.53</v>
      </c>
      <c r="L1535">
        <v>0.86529999999999996</v>
      </c>
      <c r="M1535">
        <v>0.86529999999999996</v>
      </c>
      <c r="N1535" t="s">
        <v>102</v>
      </c>
      <c r="O1535" t="s">
        <v>6240</v>
      </c>
      <c r="P1535" t="s">
        <v>3333</v>
      </c>
      <c r="Q1535">
        <v>2</v>
      </c>
      <c r="R1535">
        <v>2</v>
      </c>
    </row>
    <row r="1536" spans="1:18" x14ac:dyDescent="0.3">
      <c r="A1536" t="s">
        <v>3329</v>
      </c>
      <c r="B1536" t="s">
        <v>3330</v>
      </c>
      <c r="C1536" t="s">
        <v>3331</v>
      </c>
      <c r="D1536" t="s">
        <v>233</v>
      </c>
      <c r="E1536" t="s">
        <v>30</v>
      </c>
      <c r="F1536" s="6">
        <v>45473</v>
      </c>
      <c r="G1536">
        <v>2024</v>
      </c>
      <c r="H1536" t="s">
        <v>44</v>
      </c>
      <c r="I1536" t="s">
        <v>71</v>
      </c>
      <c r="J1536">
        <v>65.95</v>
      </c>
      <c r="K1536">
        <v>62.83</v>
      </c>
      <c r="L1536">
        <v>0.95269143290371483</v>
      </c>
      <c r="M1536">
        <v>0.95269143290371483</v>
      </c>
      <c r="N1536" t="s">
        <v>6241</v>
      </c>
      <c r="O1536" t="s">
        <v>6242</v>
      </c>
      <c r="P1536" t="s">
        <v>3334</v>
      </c>
      <c r="Q1536">
        <v>2</v>
      </c>
      <c r="R1536">
        <v>2</v>
      </c>
    </row>
    <row r="1537" spans="1:18" x14ac:dyDescent="0.3">
      <c r="A1537" t="s">
        <v>3335</v>
      </c>
      <c r="B1537" t="s">
        <v>3336</v>
      </c>
      <c r="C1537" t="s">
        <v>184</v>
      </c>
      <c r="D1537" t="s">
        <v>233</v>
      </c>
      <c r="E1537" t="s">
        <v>30</v>
      </c>
      <c r="F1537" s="6">
        <v>45107</v>
      </c>
      <c r="G1537">
        <v>2023</v>
      </c>
      <c r="H1537" t="s">
        <v>44</v>
      </c>
      <c r="I1537" t="s">
        <v>33</v>
      </c>
      <c r="J1537">
        <v>66</v>
      </c>
      <c r="K1537">
        <v>66</v>
      </c>
      <c r="L1537">
        <v>1</v>
      </c>
      <c r="M1537">
        <v>1</v>
      </c>
      <c r="N1537" t="s">
        <v>5598</v>
      </c>
      <c r="O1537" t="s">
        <v>5598</v>
      </c>
      <c r="P1537" t="s">
        <v>3337</v>
      </c>
      <c r="Q1537">
        <v>2</v>
      </c>
      <c r="R1537">
        <v>2</v>
      </c>
    </row>
    <row r="1538" spans="1:18" x14ac:dyDescent="0.3">
      <c r="A1538" t="s">
        <v>3335</v>
      </c>
      <c r="B1538" t="s">
        <v>3336</v>
      </c>
      <c r="C1538" t="s">
        <v>184</v>
      </c>
      <c r="D1538" t="s">
        <v>233</v>
      </c>
      <c r="E1538" t="s">
        <v>30</v>
      </c>
      <c r="F1538" s="6">
        <v>45291</v>
      </c>
      <c r="G1538">
        <v>2023</v>
      </c>
      <c r="H1538" t="s">
        <v>57</v>
      </c>
      <c r="I1538" t="s">
        <v>47</v>
      </c>
      <c r="J1538">
        <v>100</v>
      </c>
      <c r="K1538">
        <v>94.6</v>
      </c>
      <c r="L1538">
        <v>0.94599999999999995</v>
      </c>
      <c r="M1538">
        <v>0.94599999999999995</v>
      </c>
      <c r="N1538" t="s">
        <v>102</v>
      </c>
      <c r="O1538" t="s">
        <v>6243</v>
      </c>
      <c r="P1538" t="s">
        <v>3338</v>
      </c>
      <c r="Q1538">
        <v>2</v>
      </c>
      <c r="R1538">
        <v>2</v>
      </c>
    </row>
    <row r="1539" spans="1:18" x14ac:dyDescent="0.3">
      <c r="A1539" t="s">
        <v>3335</v>
      </c>
      <c r="B1539" t="s">
        <v>3336</v>
      </c>
      <c r="C1539" t="s">
        <v>184</v>
      </c>
      <c r="D1539" t="s">
        <v>233</v>
      </c>
      <c r="E1539" t="s">
        <v>30</v>
      </c>
      <c r="F1539" s="6">
        <v>45473</v>
      </c>
      <c r="G1539">
        <v>2024</v>
      </c>
      <c r="H1539" t="s">
        <v>44</v>
      </c>
      <c r="I1539" t="s">
        <v>71</v>
      </c>
      <c r="J1539">
        <v>79.25</v>
      </c>
      <c r="K1539">
        <v>85.57</v>
      </c>
      <c r="L1539">
        <v>1.079747634069401</v>
      </c>
      <c r="M1539">
        <v>1.079747634069401</v>
      </c>
      <c r="N1539" t="s">
        <v>6244</v>
      </c>
      <c r="O1539" t="s">
        <v>6245</v>
      </c>
      <c r="P1539" t="s">
        <v>3339</v>
      </c>
      <c r="Q1539">
        <v>2</v>
      </c>
      <c r="R1539">
        <v>2</v>
      </c>
    </row>
    <row r="1540" spans="1:18" x14ac:dyDescent="0.3">
      <c r="A1540" t="s">
        <v>3340</v>
      </c>
      <c r="B1540" t="s">
        <v>3341</v>
      </c>
      <c r="C1540" t="s">
        <v>184</v>
      </c>
      <c r="D1540" t="s">
        <v>233</v>
      </c>
      <c r="E1540" t="s">
        <v>30</v>
      </c>
      <c r="F1540" s="6">
        <v>45473</v>
      </c>
      <c r="G1540">
        <v>2024</v>
      </c>
      <c r="H1540" t="s">
        <v>44</v>
      </c>
      <c r="I1540" t="s">
        <v>71</v>
      </c>
      <c r="J1540">
        <v>52.19</v>
      </c>
      <c r="K1540">
        <v>45</v>
      </c>
      <c r="L1540">
        <v>0.8622341444721211</v>
      </c>
      <c r="M1540">
        <v>0.8622341444721211</v>
      </c>
      <c r="N1540" t="s">
        <v>6246</v>
      </c>
      <c r="O1540" t="s">
        <v>5882</v>
      </c>
      <c r="P1540" t="s">
        <v>3342</v>
      </c>
      <c r="Q1540">
        <v>2</v>
      </c>
      <c r="R1540">
        <v>2</v>
      </c>
    </row>
    <row r="1541" spans="1:18" x14ac:dyDescent="0.3">
      <c r="A1541" t="s">
        <v>3343</v>
      </c>
      <c r="B1541" t="s">
        <v>3344</v>
      </c>
      <c r="D1541" t="s">
        <v>233</v>
      </c>
      <c r="E1541" t="s">
        <v>30</v>
      </c>
      <c r="F1541" s="6">
        <v>45107</v>
      </c>
      <c r="G1541">
        <v>2023</v>
      </c>
      <c r="H1541" t="s">
        <v>44</v>
      </c>
      <c r="I1541" t="s">
        <v>33</v>
      </c>
      <c r="J1541">
        <v>100</v>
      </c>
      <c r="K1541">
        <v>94.04</v>
      </c>
      <c r="L1541">
        <v>0.94040000000000001</v>
      </c>
      <c r="M1541">
        <v>0.94040000000000001</v>
      </c>
      <c r="N1541" t="s">
        <v>102</v>
      </c>
      <c r="O1541" t="s">
        <v>6247</v>
      </c>
      <c r="P1541" t="s">
        <v>3345</v>
      </c>
      <c r="Q1541">
        <v>2</v>
      </c>
      <c r="R1541">
        <v>2</v>
      </c>
    </row>
    <row r="1542" spans="1:18" x14ac:dyDescent="0.3">
      <c r="A1542" t="s">
        <v>3343</v>
      </c>
      <c r="B1542" t="s">
        <v>3344</v>
      </c>
      <c r="D1542" t="s">
        <v>233</v>
      </c>
      <c r="E1542" t="s">
        <v>30</v>
      </c>
      <c r="F1542" s="6">
        <v>45291</v>
      </c>
      <c r="G1542">
        <v>2023</v>
      </c>
      <c r="H1542" t="s">
        <v>57</v>
      </c>
      <c r="I1542" t="s">
        <v>47</v>
      </c>
      <c r="J1542">
        <v>100</v>
      </c>
      <c r="K1542">
        <v>94.984999999999999</v>
      </c>
      <c r="L1542">
        <v>0.94984999999999997</v>
      </c>
      <c r="M1542">
        <v>0.94984999999999997</v>
      </c>
      <c r="N1542" t="s">
        <v>102</v>
      </c>
      <c r="O1542" t="s">
        <v>6248</v>
      </c>
      <c r="P1542" t="s">
        <v>3347</v>
      </c>
      <c r="Q1542">
        <v>2</v>
      </c>
      <c r="R1542">
        <v>2</v>
      </c>
    </row>
    <row r="1543" spans="1:18" x14ac:dyDescent="0.3">
      <c r="A1543" t="s">
        <v>3343</v>
      </c>
      <c r="B1543" t="s">
        <v>3344</v>
      </c>
      <c r="C1543" t="s">
        <v>129</v>
      </c>
      <c r="D1543" t="s">
        <v>233</v>
      </c>
      <c r="E1543" t="s">
        <v>30</v>
      </c>
      <c r="F1543" s="6">
        <v>45473</v>
      </c>
      <c r="G1543">
        <v>2024</v>
      </c>
      <c r="H1543" t="s">
        <v>44</v>
      </c>
      <c r="I1543" t="s">
        <v>71</v>
      </c>
      <c r="J1543">
        <v>100</v>
      </c>
      <c r="K1543">
        <v>86.915000000000006</v>
      </c>
      <c r="L1543">
        <v>0.86915000000000009</v>
      </c>
      <c r="M1543">
        <v>0.86915000000000009</v>
      </c>
      <c r="N1543" t="s">
        <v>102</v>
      </c>
      <c r="O1543" t="s">
        <v>6249</v>
      </c>
      <c r="P1543" t="s">
        <v>3349</v>
      </c>
      <c r="Q1543">
        <v>2</v>
      </c>
      <c r="R1543">
        <v>2</v>
      </c>
    </row>
    <row r="1544" spans="1:18" x14ac:dyDescent="0.3">
      <c r="A1544" t="s">
        <v>3343</v>
      </c>
      <c r="B1544" t="s">
        <v>3344</v>
      </c>
      <c r="C1544" t="s">
        <v>129</v>
      </c>
      <c r="D1544" t="s">
        <v>233</v>
      </c>
      <c r="E1544" t="s">
        <v>30</v>
      </c>
      <c r="F1544" s="6">
        <v>45657</v>
      </c>
      <c r="G1544">
        <v>2024</v>
      </c>
      <c r="H1544" t="s">
        <v>57</v>
      </c>
      <c r="I1544" t="s">
        <v>78</v>
      </c>
      <c r="J1544">
        <v>100</v>
      </c>
      <c r="K1544">
        <v>46.23</v>
      </c>
      <c r="L1544">
        <v>0.46229999999999999</v>
      </c>
      <c r="M1544">
        <v>0.46229999999999999</v>
      </c>
      <c r="N1544" t="s">
        <v>102</v>
      </c>
      <c r="O1544" t="s">
        <v>6250</v>
      </c>
      <c r="P1544" t="s">
        <v>3351</v>
      </c>
      <c r="Q1544">
        <v>2</v>
      </c>
      <c r="R1544">
        <v>2</v>
      </c>
    </row>
    <row r="1545" spans="1:18" x14ac:dyDescent="0.3">
      <c r="A1545" t="s">
        <v>3343</v>
      </c>
      <c r="B1545" t="s">
        <v>3344</v>
      </c>
      <c r="C1545" t="s">
        <v>129</v>
      </c>
      <c r="D1545" t="s">
        <v>233</v>
      </c>
      <c r="E1545" t="s">
        <v>30</v>
      </c>
      <c r="F1545" s="6">
        <v>45838</v>
      </c>
      <c r="G1545">
        <v>2025</v>
      </c>
      <c r="H1545" t="s">
        <v>44</v>
      </c>
      <c r="I1545" t="s">
        <v>244</v>
      </c>
      <c r="J1545">
        <v>100</v>
      </c>
      <c r="K1545">
        <v>100.6</v>
      </c>
      <c r="L1545">
        <v>1.006</v>
      </c>
      <c r="M1545">
        <v>1.006</v>
      </c>
      <c r="N1545" t="s">
        <v>102</v>
      </c>
      <c r="O1545" t="s">
        <v>6251</v>
      </c>
      <c r="P1545" t="s">
        <v>3357</v>
      </c>
      <c r="Q1545">
        <v>2</v>
      </c>
      <c r="R1545">
        <v>2</v>
      </c>
    </row>
    <row r="1546" spans="1:18" x14ac:dyDescent="0.3">
      <c r="A1546" t="s">
        <v>3343</v>
      </c>
      <c r="B1546" t="s">
        <v>3344</v>
      </c>
      <c r="C1546" t="s">
        <v>129</v>
      </c>
      <c r="D1546" t="s">
        <v>233</v>
      </c>
      <c r="E1546" t="s">
        <v>30</v>
      </c>
      <c r="F1546" s="6">
        <v>46022</v>
      </c>
      <c r="G1546">
        <v>2025</v>
      </c>
      <c r="H1546" t="s">
        <v>57</v>
      </c>
      <c r="I1546" t="s">
        <v>103</v>
      </c>
      <c r="J1546">
        <v>100</v>
      </c>
      <c r="L1546">
        <v>0</v>
      </c>
      <c r="M1546">
        <v>0</v>
      </c>
      <c r="N1546" t="s">
        <v>102</v>
      </c>
      <c r="P1546" t="s">
        <v>3358</v>
      </c>
      <c r="Q1546">
        <v>2</v>
      </c>
      <c r="R1546">
        <v>2</v>
      </c>
    </row>
    <row r="1547" spans="1:18" x14ac:dyDescent="0.3">
      <c r="A1547" t="s">
        <v>3359</v>
      </c>
      <c r="B1547" t="s">
        <v>3362</v>
      </c>
      <c r="C1547" t="s">
        <v>266</v>
      </c>
      <c r="D1547" t="s">
        <v>233</v>
      </c>
      <c r="E1547" t="s">
        <v>30</v>
      </c>
      <c r="F1547" s="6">
        <v>45107</v>
      </c>
      <c r="G1547">
        <v>2023</v>
      </c>
      <c r="H1547" t="s">
        <v>44</v>
      </c>
      <c r="I1547" t="s">
        <v>33</v>
      </c>
      <c r="J1547">
        <v>60.5</v>
      </c>
      <c r="K1547">
        <v>44.5</v>
      </c>
      <c r="L1547">
        <v>0.73553719008264462</v>
      </c>
      <c r="M1547">
        <v>0.73553719008264462</v>
      </c>
      <c r="N1547" t="s">
        <v>6252</v>
      </c>
      <c r="O1547" t="s">
        <v>6253</v>
      </c>
      <c r="P1547" t="s">
        <v>3361</v>
      </c>
      <c r="Q1547">
        <v>2</v>
      </c>
      <c r="R1547">
        <v>2</v>
      </c>
    </row>
    <row r="1548" spans="1:18" x14ac:dyDescent="0.3">
      <c r="A1548" t="s">
        <v>3359</v>
      </c>
      <c r="B1548" t="s">
        <v>3362</v>
      </c>
      <c r="C1548" t="s">
        <v>266</v>
      </c>
      <c r="D1548" t="s">
        <v>233</v>
      </c>
      <c r="E1548" t="s">
        <v>30</v>
      </c>
      <c r="F1548" s="6">
        <v>45291</v>
      </c>
      <c r="G1548">
        <v>2023</v>
      </c>
      <c r="H1548" t="s">
        <v>57</v>
      </c>
      <c r="I1548" t="s">
        <v>47</v>
      </c>
      <c r="J1548">
        <v>100</v>
      </c>
      <c r="K1548">
        <v>92.094999999999999</v>
      </c>
      <c r="L1548">
        <v>0.92094999999999994</v>
      </c>
      <c r="M1548">
        <v>0.92094999999999994</v>
      </c>
      <c r="N1548" t="s">
        <v>102</v>
      </c>
      <c r="O1548" t="s">
        <v>6254</v>
      </c>
      <c r="P1548" t="s">
        <v>3364</v>
      </c>
      <c r="Q1548">
        <v>2</v>
      </c>
      <c r="R1548">
        <v>2</v>
      </c>
    </row>
    <row r="1549" spans="1:18" x14ac:dyDescent="0.3">
      <c r="A1549" t="s">
        <v>3359</v>
      </c>
      <c r="B1549" t="s">
        <v>3362</v>
      </c>
      <c r="C1549" t="s">
        <v>266</v>
      </c>
      <c r="D1549" t="s">
        <v>233</v>
      </c>
      <c r="E1549" t="s">
        <v>30</v>
      </c>
      <c r="F1549" s="6">
        <v>45473</v>
      </c>
      <c r="G1549">
        <v>2024</v>
      </c>
      <c r="H1549" t="s">
        <v>44</v>
      </c>
      <c r="I1549" t="s">
        <v>71</v>
      </c>
      <c r="J1549">
        <v>78.680000000000007</v>
      </c>
      <c r="K1549">
        <v>65.67</v>
      </c>
      <c r="L1549">
        <v>0.83464667005592263</v>
      </c>
      <c r="M1549">
        <v>0.83464667005592263</v>
      </c>
      <c r="N1549" t="s">
        <v>6255</v>
      </c>
      <c r="O1549" t="s">
        <v>6256</v>
      </c>
      <c r="P1549" t="s">
        <v>3366</v>
      </c>
      <c r="Q1549">
        <v>2</v>
      </c>
      <c r="R1549">
        <v>2</v>
      </c>
    </row>
    <row r="1550" spans="1:18" x14ac:dyDescent="0.3">
      <c r="A1550" t="s">
        <v>3368</v>
      </c>
      <c r="B1550" t="s">
        <v>3369</v>
      </c>
      <c r="C1550" t="s">
        <v>2688</v>
      </c>
      <c r="D1550" t="s">
        <v>233</v>
      </c>
      <c r="E1550" t="s">
        <v>30</v>
      </c>
      <c r="F1550" s="6">
        <v>45473</v>
      </c>
      <c r="G1550">
        <v>2024</v>
      </c>
      <c r="H1550" t="s">
        <v>44</v>
      </c>
      <c r="I1550" t="s">
        <v>71</v>
      </c>
      <c r="J1550">
        <v>100</v>
      </c>
      <c r="K1550">
        <v>97</v>
      </c>
      <c r="L1550">
        <v>0.97</v>
      </c>
      <c r="M1550">
        <v>0.97</v>
      </c>
      <c r="N1550" t="s">
        <v>102</v>
      </c>
      <c r="O1550" t="s">
        <v>1005</v>
      </c>
      <c r="P1550" t="s">
        <v>3370</v>
      </c>
      <c r="Q1550">
        <v>2</v>
      </c>
      <c r="R1550">
        <v>2</v>
      </c>
    </row>
    <row r="1551" spans="1:18" x14ac:dyDescent="0.3">
      <c r="A1551" t="s">
        <v>3371</v>
      </c>
      <c r="B1551" t="s">
        <v>3372</v>
      </c>
      <c r="C1551" t="s">
        <v>730</v>
      </c>
      <c r="D1551" t="s">
        <v>233</v>
      </c>
      <c r="E1551" t="s">
        <v>30</v>
      </c>
      <c r="F1551" s="6">
        <v>45473</v>
      </c>
      <c r="G1551">
        <v>2024</v>
      </c>
      <c r="H1551" t="s">
        <v>44</v>
      </c>
      <c r="I1551" t="s">
        <v>71</v>
      </c>
      <c r="J1551">
        <v>87.8</v>
      </c>
      <c r="K1551">
        <v>77.5</v>
      </c>
      <c r="L1551">
        <v>0.88268792710706157</v>
      </c>
      <c r="M1551">
        <v>0.88268792710706157</v>
      </c>
      <c r="N1551" t="s">
        <v>6257</v>
      </c>
      <c r="O1551" t="s">
        <v>6143</v>
      </c>
      <c r="P1551" t="s">
        <v>3373</v>
      </c>
      <c r="Q1551">
        <v>2</v>
      </c>
      <c r="R1551">
        <v>2</v>
      </c>
    </row>
    <row r="1552" spans="1:18" x14ac:dyDescent="0.3">
      <c r="A1552" t="s">
        <v>3374</v>
      </c>
      <c r="B1552" t="s">
        <v>3375</v>
      </c>
      <c r="C1552" t="s">
        <v>717</v>
      </c>
      <c r="D1552" t="s">
        <v>233</v>
      </c>
      <c r="E1552" t="s">
        <v>30</v>
      </c>
      <c r="F1552" s="6">
        <v>45473</v>
      </c>
      <c r="G1552">
        <v>2024</v>
      </c>
      <c r="H1552" t="s">
        <v>44</v>
      </c>
      <c r="I1552" t="s">
        <v>71</v>
      </c>
      <c r="J1552">
        <v>100</v>
      </c>
      <c r="K1552">
        <v>85</v>
      </c>
      <c r="L1552">
        <v>0.85</v>
      </c>
      <c r="M1552">
        <v>0.85</v>
      </c>
      <c r="N1552" t="s">
        <v>102</v>
      </c>
      <c r="O1552" t="s">
        <v>2357</v>
      </c>
      <c r="P1552" t="s">
        <v>3376</v>
      </c>
      <c r="Q1552">
        <v>2</v>
      </c>
      <c r="R1552">
        <v>2</v>
      </c>
    </row>
    <row r="1553" spans="1:18" x14ac:dyDescent="0.3">
      <c r="A1553" t="s">
        <v>3377</v>
      </c>
      <c r="B1553" t="s">
        <v>3378</v>
      </c>
      <c r="C1553" t="s">
        <v>266</v>
      </c>
      <c r="D1553" t="s">
        <v>233</v>
      </c>
      <c r="E1553" t="s">
        <v>30</v>
      </c>
      <c r="F1553" s="6">
        <v>45473</v>
      </c>
      <c r="G1553">
        <v>2024</v>
      </c>
      <c r="H1553" t="s">
        <v>44</v>
      </c>
      <c r="I1553" t="s">
        <v>71</v>
      </c>
      <c r="J1553">
        <v>27.99</v>
      </c>
      <c r="K1553">
        <v>26.66</v>
      </c>
      <c r="L1553">
        <v>0.95248302965344767</v>
      </c>
      <c r="M1553">
        <v>0.95248302965344767</v>
      </c>
      <c r="N1553" t="s">
        <v>6258</v>
      </c>
      <c r="O1553" t="s">
        <v>6259</v>
      </c>
      <c r="P1553" t="s">
        <v>3379</v>
      </c>
      <c r="Q1553">
        <v>2</v>
      </c>
      <c r="R1553">
        <v>2</v>
      </c>
    </row>
    <row r="1554" spans="1:18" x14ac:dyDescent="0.3">
      <c r="A1554" t="s">
        <v>3380</v>
      </c>
      <c r="B1554" t="s">
        <v>3381</v>
      </c>
      <c r="C1554" t="s">
        <v>717</v>
      </c>
      <c r="D1554" t="s">
        <v>233</v>
      </c>
      <c r="E1554" t="s">
        <v>30</v>
      </c>
      <c r="F1554" s="6">
        <v>45107</v>
      </c>
      <c r="G1554">
        <v>2023</v>
      </c>
      <c r="H1554" t="s">
        <v>44</v>
      </c>
      <c r="I1554" t="s">
        <v>33</v>
      </c>
      <c r="J1554">
        <v>88</v>
      </c>
      <c r="K1554">
        <v>94</v>
      </c>
      <c r="L1554">
        <v>1.0681818181818179</v>
      </c>
      <c r="M1554">
        <v>1.0681818181818179</v>
      </c>
      <c r="N1554" t="s">
        <v>4404</v>
      </c>
      <c r="O1554" t="s">
        <v>194</v>
      </c>
      <c r="P1554" t="s">
        <v>3382</v>
      </c>
      <c r="Q1554">
        <v>2</v>
      </c>
      <c r="R1554">
        <v>2</v>
      </c>
    </row>
    <row r="1555" spans="1:18" x14ac:dyDescent="0.3">
      <c r="A1555" t="s">
        <v>3380</v>
      </c>
      <c r="B1555" t="s">
        <v>3381</v>
      </c>
      <c r="C1555" t="s">
        <v>717</v>
      </c>
      <c r="D1555" t="s">
        <v>233</v>
      </c>
      <c r="E1555" t="s">
        <v>30</v>
      </c>
      <c r="F1555" s="6">
        <v>45291</v>
      </c>
      <c r="G1555">
        <v>2023</v>
      </c>
      <c r="H1555" t="s">
        <v>57</v>
      </c>
      <c r="I1555" t="s">
        <v>47</v>
      </c>
      <c r="J1555">
        <v>100</v>
      </c>
      <c r="K1555">
        <v>100</v>
      </c>
      <c r="L1555">
        <v>1</v>
      </c>
      <c r="M1555">
        <v>1</v>
      </c>
      <c r="N1555" t="s">
        <v>102</v>
      </c>
      <c r="O1555" t="s">
        <v>102</v>
      </c>
      <c r="P1555" t="s">
        <v>3383</v>
      </c>
      <c r="Q1555">
        <v>2</v>
      </c>
      <c r="R1555">
        <v>2</v>
      </c>
    </row>
    <row r="1556" spans="1:18" x14ac:dyDescent="0.3">
      <c r="A1556" t="s">
        <v>3380</v>
      </c>
      <c r="B1556" t="s">
        <v>3381</v>
      </c>
      <c r="C1556" t="s">
        <v>717</v>
      </c>
      <c r="D1556" t="s">
        <v>233</v>
      </c>
      <c r="E1556" t="s">
        <v>30</v>
      </c>
      <c r="F1556" s="6">
        <v>45473</v>
      </c>
      <c r="G1556">
        <v>2024</v>
      </c>
      <c r="H1556" t="s">
        <v>44</v>
      </c>
      <c r="I1556" t="s">
        <v>71</v>
      </c>
      <c r="J1556">
        <v>79.88</v>
      </c>
      <c r="K1556">
        <v>68.599999999999994</v>
      </c>
      <c r="L1556">
        <v>0.85878818227341014</v>
      </c>
      <c r="M1556">
        <v>0.85878818227341014</v>
      </c>
      <c r="N1556" t="s">
        <v>6260</v>
      </c>
      <c r="O1556" t="s">
        <v>6261</v>
      </c>
      <c r="P1556" t="s">
        <v>3384</v>
      </c>
      <c r="Q1556">
        <v>2</v>
      </c>
      <c r="R1556">
        <v>2</v>
      </c>
    </row>
    <row r="1557" spans="1:18" x14ac:dyDescent="0.3">
      <c r="A1557" t="s">
        <v>3385</v>
      </c>
      <c r="B1557" t="s">
        <v>3386</v>
      </c>
      <c r="C1557" t="s">
        <v>2619</v>
      </c>
      <c r="D1557" t="s">
        <v>233</v>
      </c>
      <c r="E1557" t="s">
        <v>30</v>
      </c>
      <c r="F1557" s="6">
        <v>45107</v>
      </c>
      <c r="G1557">
        <v>2023</v>
      </c>
      <c r="H1557" t="s">
        <v>44</v>
      </c>
      <c r="I1557" t="s">
        <v>33</v>
      </c>
      <c r="J1557">
        <v>58</v>
      </c>
      <c r="K1557">
        <v>50</v>
      </c>
      <c r="L1557">
        <v>0.86206896551724133</v>
      </c>
      <c r="M1557">
        <v>0.86206896551724133</v>
      </c>
      <c r="N1557" t="s">
        <v>6262</v>
      </c>
      <c r="O1557" t="s">
        <v>4242</v>
      </c>
      <c r="P1557" t="s">
        <v>3387</v>
      </c>
      <c r="Q1557">
        <v>2</v>
      </c>
      <c r="R1557">
        <v>2</v>
      </c>
    </row>
    <row r="1558" spans="1:18" x14ac:dyDescent="0.3">
      <c r="A1558" t="s">
        <v>3385</v>
      </c>
      <c r="B1558" t="s">
        <v>3386</v>
      </c>
      <c r="C1558" t="s">
        <v>2619</v>
      </c>
      <c r="D1558" t="s">
        <v>233</v>
      </c>
      <c r="E1558" t="s">
        <v>30</v>
      </c>
      <c r="F1558" s="6">
        <v>45291</v>
      </c>
      <c r="G1558">
        <v>2023</v>
      </c>
      <c r="H1558" t="s">
        <v>57</v>
      </c>
      <c r="I1558" t="s">
        <v>47</v>
      </c>
      <c r="J1558">
        <v>100</v>
      </c>
      <c r="K1558">
        <v>98</v>
      </c>
      <c r="L1558">
        <v>0.98</v>
      </c>
      <c r="M1558">
        <v>0.98</v>
      </c>
      <c r="N1558" t="s">
        <v>102</v>
      </c>
      <c r="O1558" t="s">
        <v>312</v>
      </c>
      <c r="P1558" t="s">
        <v>3388</v>
      </c>
      <c r="Q1558">
        <v>2</v>
      </c>
      <c r="R1558">
        <v>2</v>
      </c>
    </row>
    <row r="1559" spans="1:18" x14ac:dyDescent="0.3">
      <c r="A1559" t="s">
        <v>3385</v>
      </c>
      <c r="B1559" t="s">
        <v>3386</v>
      </c>
      <c r="C1559" t="s">
        <v>2619</v>
      </c>
      <c r="D1559" t="s">
        <v>233</v>
      </c>
      <c r="E1559" t="s">
        <v>30</v>
      </c>
      <c r="F1559" s="6">
        <v>45473</v>
      </c>
      <c r="G1559">
        <v>2024</v>
      </c>
      <c r="H1559" t="s">
        <v>44</v>
      </c>
      <c r="I1559" t="s">
        <v>71</v>
      </c>
      <c r="J1559">
        <v>53.64</v>
      </c>
      <c r="K1559">
        <v>40</v>
      </c>
      <c r="L1559">
        <v>0.74571215510812827</v>
      </c>
      <c r="M1559">
        <v>0.74571215510812827</v>
      </c>
      <c r="N1559" t="s">
        <v>6263</v>
      </c>
      <c r="O1559" t="s">
        <v>1620</v>
      </c>
      <c r="P1559" t="s">
        <v>3389</v>
      </c>
      <c r="Q1559">
        <v>2</v>
      </c>
      <c r="R1559">
        <v>2</v>
      </c>
    </row>
    <row r="1560" spans="1:18" x14ac:dyDescent="0.3">
      <c r="A1560" t="s">
        <v>3390</v>
      </c>
      <c r="B1560" t="s">
        <v>3391</v>
      </c>
      <c r="C1560" t="s">
        <v>150</v>
      </c>
      <c r="D1560" t="s">
        <v>233</v>
      </c>
      <c r="E1560" t="s">
        <v>30</v>
      </c>
      <c r="F1560" s="6">
        <v>45107</v>
      </c>
      <c r="G1560">
        <v>2023</v>
      </c>
      <c r="H1560" t="s">
        <v>44</v>
      </c>
      <c r="I1560" t="s">
        <v>33</v>
      </c>
      <c r="J1560">
        <v>20</v>
      </c>
      <c r="K1560">
        <v>24</v>
      </c>
      <c r="L1560">
        <v>1.2</v>
      </c>
      <c r="M1560">
        <v>1.2</v>
      </c>
      <c r="N1560" t="s">
        <v>1298</v>
      </c>
      <c r="O1560" t="s">
        <v>5777</v>
      </c>
      <c r="P1560" t="s">
        <v>3392</v>
      </c>
      <c r="Q1560">
        <v>2</v>
      </c>
      <c r="R1560">
        <v>2</v>
      </c>
    </row>
    <row r="1561" spans="1:18" x14ac:dyDescent="0.3">
      <c r="A1561" t="s">
        <v>3390</v>
      </c>
      <c r="B1561" t="s">
        <v>3391</v>
      </c>
      <c r="C1561" t="s">
        <v>150</v>
      </c>
      <c r="D1561" t="s">
        <v>233</v>
      </c>
      <c r="E1561" t="s">
        <v>30</v>
      </c>
      <c r="F1561" s="6">
        <v>45291</v>
      </c>
      <c r="G1561">
        <v>2023</v>
      </c>
      <c r="H1561" t="s">
        <v>57</v>
      </c>
      <c r="I1561" t="s">
        <v>47</v>
      </c>
      <c r="J1561">
        <v>100</v>
      </c>
      <c r="K1561">
        <v>100</v>
      </c>
      <c r="L1561">
        <v>1</v>
      </c>
      <c r="M1561">
        <v>1</v>
      </c>
      <c r="N1561" t="s">
        <v>102</v>
      </c>
      <c r="O1561" t="s">
        <v>102</v>
      </c>
      <c r="P1561" t="s">
        <v>3393</v>
      </c>
      <c r="Q1561">
        <v>2</v>
      </c>
      <c r="R1561">
        <v>2</v>
      </c>
    </row>
    <row r="1562" spans="1:18" x14ac:dyDescent="0.3">
      <c r="A1562" t="s">
        <v>3390</v>
      </c>
      <c r="B1562" t="s">
        <v>3391</v>
      </c>
      <c r="C1562" t="s">
        <v>150</v>
      </c>
      <c r="D1562" t="s">
        <v>233</v>
      </c>
      <c r="E1562" t="s">
        <v>30</v>
      </c>
      <c r="F1562" s="6">
        <v>45473</v>
      </c>
      <c r="G1562">
        <v>2024</v>
      </c>
      <c r="H1562" t="s">
        <v>44</v>
      </c>
      <c r="I1562" t="s">
        <v>71</v>
      </c>
      <c r="J1562">
        <v>36.049999999999997</v>
      </c>
      <c r="K1562">
        <v>43.92</v>
      </c>
      <c r="L1562">
        <v>1.2183079056865469</v>
      </c>
      <c r="M1562">
        <v>1.2183079056865469</v>
      </c>
      <c r="N1562" t="s">
        <v>6264</v>
      </c>
      <c r="O1562" t="s">
        <v>6265</v>
      </c>
      <c r="P1562" t="s">
        <v>3394</v>
      </c>
      <c r="Q1562">
        <v>2</v>
      </c>
      <c r="R1562">
        <v>2</v>
      </c>
    </row>
    <row r="1563" spans="1:18" x14ac:dyDescent="0.3">
      <c r="A1563" t="s">
        <v>3395</v>
      </c>
      <c r="B1563" t="s">
        <v>3396</v>
      </c>
      <c r="C1563" t="s">
        <v>649</v>
      </c>
      <c r="D1563" t="s">
        <v>233</v>
      </c>
      <c r="E1563" t="s">
        <v>30</v>
      </c>
      <c r="F1563" s="6">
        <v>45107</v>
      </c>
      <c r="G1563">
        <v>2023</v>
      </c>
      <c r="H1563" t="s">
        <v>44</v>
      </c>
      <c r="I1563" t="s">
        <v>33</v>
      </c>
      <c r="J1563">
        <v>54</v>
      </c>
      <c r="K1563">
        <v>63</v>
      </c>
      <c r="L1563">
        <v>1.166666666666667</v>
      </c>
      <c r="M1563">
        <v>1.166666666666667</v>
      </c>
      <c r="N1563" t="s">
        <v>5881</v>
      </c>
      <c r="O1563" t="s">
        <v>4342</v>
      </c>
      <c r="P1563" t="s">
        <v>3397</v>
      </c>
      <c r="Q1563">
        <v>2</v>
      </c>
      <c r="R1563">
        <v>2</v>
      </c>
    </row>
    <row r="1564" spans="1:18" x14ac:dyDescent="0.3">
      <c r="A1564" t="s">
        <v>3395</v>
      </c>
      <c r="B1564" t="s">
        <v>3396</v>
      </c>
      <c r="C1564" t="s">
        <v>649</v>
      </c>
      <c r="D1564" t="s">
        <v>233</v>
      </c>
      <c r="E1564" t="s">
        <v>30</v>
      </c>
      <c r="F1564" s="6">
        <v>45291</v>
      </c>
      <c r="G1564">
        <v>2023</v>
      </c>
      <c r="H1564" t="s">
        <v>57</v>
      </c>
      <c r="I1564" t="s">
        <v>47</v>
      </c>
      <c r="J1564">
        <v>100</v>
      </c>
      <c r="K1564">
        <v>90</v>
      </c>
      <c r="L1564">
        <v>0.9</v>
      </c>
      <c r="M1564">
        <v>0.9</v>
      </c>
      <c r="N1564" t="s">
        <v>102</v>
      </c>
      <c r="O1564" t="s">
        <v>256</v>
      </c>
      <c r="P1564" t="s">
        <v>3398</v>
      </c>
      <c r="Q1564">
        <v>2</v>
      </c>
      <c r="R1564">
        <v>2</v>
      </c>
    </row>
    <row r="1565" spans="1:18" x14ac:dyDescent="0.3">
      <c r="A1565" t="s">
        <v>3395</v>
      </c>
      <c r="B1565" t="s">
        <v>3396</v>
      </c>
      <c r="C1565" t="s">
        <v>649</v>
      </c>
      <c r="D1565" t="s">
        <v>233</v>
      </c>
      <c r="E1565" t="s">
        <v>30</v>
      </c>
      <c r="F1565" s="6">
        <v>45473</v>
      </c>
      <c r="G1565">
        <v>2024</v>
      </c>
      <c r="H1565" t="s">
        <v>44</v>
      </c>
      <c r="I1565" t="s">
        <v>71</v>
      </c>
      <c r="J1565">
        <v>81.239999999999995</v>
      </c>
      <c r="K1565">
        <v>86.67</v>
      </c>
      <c r="L1565">
        <v>1.066838995568685</v>
      </c>
      <c r="M1565">
        <v>1.066838995568685</v>
      </c>
      <c r="N1565" t="s">
        <v>4611</v>
      </c>
      <c r="O1565" t="s">
        <v>5403</v>
      </c>
      <c r="P1565" t="s">
        <v>3399</v>
      </c>
      <c r="Q1565">
        <v>2</v>
      </c>
      <c r="R1565">
        <v>2</v>
      </c>
    </row>
    <row r="1566" spans="1:18" x14ac:dyDescent="0.3">
      <c r="A1566" t="s">
        <v>3400</v>
      </c>
      <c r="B1566" t="s">
        <v>3401</v>
      </c>
      <c r="C1566" t="s">
        <v>2678</v>
      </c>
      <c r="D1566" t="s">
        <v>233</v>
      </c>
      <c r="E1566" t="s">
        <v>30</v>
      </c>
      <c r="F1566" s="6">
        <v>45107</v>
      </c>
      <c r="G1566">
        <v>2023</v>
      </c>
      <c r="H1566" t="s">
        <v>44</v>
      </c>
      <c r="I1566" t="s">
        <v>33</v>
      </c>
      <c r="J1566">
        <v>62</v>
      </c>
      <c r="K1566">
        <v>51</v>
      </c>
      <c r="L1566">
        <v>0.82258064516129037</v>
      </c>
      <c r="M1566">
        <v>0.82258064516129037</v>
      </c>
      <c r="N1566" t="s">
        <v>6211</v>
      </c>
      <c r="O1566" t="s">
        <v>5415</v>
      </c>
      <c r="P1566" t="s">
        <v>3402</v>
      </c>
      <c r="Q1566">
        <v>2</v>
      </c>
      <c r="R1566">
        <v>2</v>
      </c>
    </row>
    <row r="1567" spans="1:18" x14ac:dyDescent="0.3">
      <c r="A1567" t="s">
        <v>3400</v>
      </c>
      <c r="B1567" t="s">
        <v>3401</v>
      </c>
      <c r="C1567" t="s">
        <v>2678</v>
      </c>
      <c r="D1567" t="s">
        <v>233</v>
      </c>
      <c r="E1567" t="s">
        <v>30</v>
      </c>
      <c r="F1567" s="6">
        <v>45291</v>
      </c>
      <c r="G1567">
        <v>2023</v>
      </c>
      <c r="H1567" t="s">
        <v>57</v>
      </c>
      <c r="I1567" t="s">
        <v>47</v>
      </c>
      <c r="J1567">
        <v>100</v>
      </c>
      <c r="K1567">
        <v>100</v>
      </c>
      <c r="L1567">
        <v>1</v>
      </c>
      <c r="M1567">
        <v>1</v>
      </c>
      <c r="N1567" t="s">
        <v>102</v>
      </c>
      <c r="O1567" t="s">
        <v>102</v>
      </c>
      <c r="P1567" t="s">
        <v>3403</v>
      </c>
      <c r="Q1567">
        <v>2</v>
      </c>
      <c r="R1567">
        <v>2</v>
      </c>
    </row>
    <row r="1568" spans="1:18" x14ac:dyDescent="0.3">
      <c r="A1568" t="s">
        <v>3400</v>
      </c>
      <c r="B1568" t="s">
        <v>3401</v>
      </c>
      <c r="C1568" t="s">
        <v>2678</v>
      </c>
      <c r="D1568" t="s">
        <v>233</v>
      </c>
      <c r="E1568" t="s">
        <v>30</v>
      </c>
      <c r="F1568" s="6">
        <v>45473</v>
      </c>
      <c r="G1568">
        <v>2024</v>
      </c>
      <c r="H1568" t="s">
        <v>44</v>
      </c>
      <c r="I1568" t="s">
        <v>71</v>
      </c>
      <c r="J1568">
        <v>71.25</v>
      </c>
      <c r="K1568">
        <v>52.22</v>
      </c>
      <c r="L1568">
        <v>0.7329122807017544</v>
      </c>
      <c r="M1568">
        <v>0.7329122807017544</v>
      </c>
      <c r="N1568" t="s">
        <v>6266</v>
      </c>
      <c r="O1568" t="s">
        <v>6267</v>
      </c>
      <c r="P1568" t="s">
        <v>3404</v>
      </c>
      <c r="Q1568">
        <v>2</v>
      </c>
      <c r="R1568">
        <v>2</v>
      </c>
    </row>
    <row r="1569" spans="1:18" x14ac:dyDescent="0.3">
      <c r="A1569" t="s">
        <v>3405</v>
      </c>
      <c r="B1569" t="s">
        <v>3406</v>
      </c>
      <c r="C1569" t="s">
        <v>266</v>
      </c>
      <c r="D1569" t="s">
        <v>233</v>
      </c>
      <c r="E1569" t="s">
        <v>30</v>
      </c>
      <c r="F1569" s="6">
        <v>45473</v>
      </c>
      <c r="G1569">
        <v>2024</v>
      </c>
      <c r="H1569" t="s">
        <v>44</v>
      </c>
      <c r="I1569" t="s">
        <v>71</v>
      </c>
      <c r="J1569">
        <v>46.98</v>
      </c>
      <c r="K1569">
        <v>57.83</v>
      </c>
      <c r="L1569">
        <v>1.230949340144742</v>
      </c>
      <c r="M1569">
        <v>1.230949340144742</v>
      </c>
      <c r="N1569" t="s">
        <v>6268</v>
      </c>
      <c r="O1569" t="s">
        <v>6269</v>
      </c>
      <c r="P1569" t="s">
        <v>3407</v>
      </c>
      <c r="Q1569">
        <v>2</v>
      </c>
      <c r="R1569">
        <v>2</v>
      </c>
    </row>
    <row r="1570" spans="1:18" x14ac:dyDescent="0.3">
      <c r="A1570" t="s">
        <v>3408</v>
      </c>
      <c r="B1570" t="s">
        <v>3409</v>
      </c>
      <c r="D1570" t="s">
        <v>233</v>
      </c>
      <c r="E1570" t="s">
        <v>30</v>
      </c>
      <c r="F1570" s="6">
        <v>45473</v>
      </c>
      <c r="G1570">
        <v>2024</v>
      </c>
      <c r="H1570" t="s">
        <v>44</v>
      </c>
      <c r="I1570" t="s">
        <v>71</v>
      </c>
      <c r="J1570">
        <v>53.64</v>
      </c>
      <c r="K1570">
        <v>48.5</v>
      </c>
      <c r="L1570">
        <v>0.90417598806860555</v>
      </c>
      <c r="M1570">
        <v>0.90417598806860555</v>
      </c>
      <c r="N1570" t="s">
        <v>6263</v>
      </c>
      <c r="O1570" t="s">
        <v>6133</v>
      </c>
      <c r="P1570" t="s">
        <v>3410</v>
      </c>
      <c r="Q1570">
        <v>2</v>
      </c>
      <c r="R1570">
        <v>2</v>
      </c>
    </row>
    <row r="1571" spans="1:18" x14ac:dyDescent="0.3">
      <c r="A1571" t="s">
        <v>3411</v>
      </c>
      <c r="B1571" t="s">
        <v>3412</v>
      </c>
      <c r="C1571" t="s">
        <v>266</v>
      </c>
      <c r="D1571" t="s">
        <v>233</v>
      </c>
      <c r="E1571" t="s">
        <v>30</v>
      </c>
      <c r="F1571" s="6">
        <v>45473</v>
      </c>
      <c r="G1571">
        <v>2024</v>
      </c>
      <c r="H1571" t="s">
        <v>44</v>
      </c>
      <c r="I1571" t="s">
        <v>71</v>
      </c>
      <c r="J1571">
        <v>64.53</v>
      </c>
      <c r="K1571">
        <v>54.67</v>
      </c>
      <c r="L1571">
        <v>0.84720285138695184</v>
      </c>
      <c r="M1571">
        <v>0.84720285138695184</v>
      </c>
      <c r="N1571" t="s">
        <v>6270</v>
      </c>
      <c r="O1571" t="s">
        <v>6271</v>
      </c>
      <c r="P1571" t="s">
        <v>3413</v>
      </c>
      <c r="Q1571">
        <v>2</v>
      </c>
      <c r="R1571">
        <v>2</v>
      </c>
    </row>
    <row r="1572" spans="1:18" x14ac:dyDescent="0.3">
      <c r="A1572" t="s">
        <v>3414</v>
      </c>
      <c r="B1572" t="s">
        <v>3415</v>
      </c>
      <c r="D1572" t="s">
        <v>233</v>
      </c>
      <c r="E1572" t="s">
        <v>30</v>
      </c>
      <c r="F1572" s="6">
        <v>45107</v>
      </c>
      <c r="G1572">
        <v>2023</v>
      </c>
      <c r="H1572" t="s">
        <v>44</v>
      </c>
      <c r="I1572" t="s">
        <v>33</v>
      </c>
      <c r="J1572">
        <v>100</v>
      </c>
      <c r="K1572">
        <v>96</v>
      </c>
      <c r="L1572">
        <v>0.96</v>
      </c>
      <c r="M1572">
        <v>0.96</v>
      </c>
      <c r="N1572" t="s">
        <v>102</v>
      </c>
      <c r="O1572" t="s">
        <v>668</v>
      </c>
      <c r="P1572" t="s">
        <v>3416</v>
      </c>
      <c r="Q1572">
        <v>2</v>
      </c>
      <c r="R1572">
        <v>2</v>
      </c>
    </row>
    <row r="1573" spans="1:18" x14ac:dyDescent="0.3">
      <c r="A1573" t="s">
        <v>3414</v>
      </c>
      <c r="B1573" t="s">
        <v>3415</v>
      </c>
      <c r="D1573" t="s">
        <v>233</v>
      </c>
      <c r="E1573" t="s">
        <v>30</v>
      </c>
      <c r="F1573" s="6">
        <v>45291</v>
      </c>
      <c r="G1573">
        <v>2023</v>
      </c>
      <c r="H1573" t="s">
        <v>57</v>
      </c>
      <c r="I1573" t="s">
        <v>47</v>
      </c>
      <c r="J1573">
        <v>100</v>
      </c>
      <c r="K1573">
        <v>92.960000000000008</v>
      </c>
      <c r="L1573">
        <v>0.92960000000000009</v>
      </c>
      <c r="M1573">
        <v>0.92960000000000009</v>
      </c>
      <c r="N1573" t="s">
        <v>102</v>
      </c>
      <c r="O1573" t="s">
        <v>6185</v>
      </c>
      <c r="P1573" t="s">
        <v>3418</v>
      </c>
      <c r="Q1573">
        <v>2</v>
      </c>
      <c r="R1573">
        <v>2</v>
      </c>
    </row>
    <row r="1574" spans="1:18" x14ac:dyDescent="0.3">
      <c r="A1574" t="s">
        <v>3414</v>
      </c>
      <c r="B1574" t="s">
        <v>3415</v>
      </c>
      <c r="C1574" t="s">
        <v>129</v>
      </c>
      <c r="D1574" t="s">
        <v>233</v>
      </c>
      <c r="E1574" t="s">
        <v>30</v>
      </c>
      <c r="F1574" s="6">
        <v>45473</v>
      </c>
      <c r="G1574">
        <v>2024</v>
      </c>
      <c r="H1574" t="s">
        <v>44</v>
      </c>
      <c r="I1574" t="s">
        <v>71</v>
      </c>
      <c r="J1574">
        <v>100</v>
      </c>
      <c r="K1574">
        <v>119.79</v>
      </c>
      <c r="L1574">
        <v>1.1979</v>
      </c>
      <c r="M1574">
        <v>1.1979</v>
      </c>
      <c r="N1574" t="s">
        <v>102</v>
      </c>
      <c r="O1574" t="s">
        <v>6272</v>
      </c>
      <c r="P1574" t="s">
        <v>3420</v>
      </c>
      <c r="Q1574">
        <v>2</v>
      </c>
      <c r="R1574">
        <v>2</v>
      </c>
    </row>
    <row r="1575" spans="1:18" x14ac:dyDescent="0.3">
      <c r="A1575" t="s">
        <v>3414</v>
      </c>
      <c r="B1575" t="s">
        <v>3415</v>
      </c>
      <c r="C1575" t="s">
        <v>129</v>
      </c>
      <c r="D1575" t="s">
        <v>233</v>
      </c>
      <c r="E1575" t="s">
        <v>30</v>
      </c>
      <c r="F1575" s="6">
        <v>45657</v>
      </c>
      <c r="G1575">
        <v>2024</v>
      </c>
      <c r="H1575" t="s">
        <v>57</v>
      </c>
      <c r="I1575" t="s">
        <v>78</v>
      </c>
      <c r="J1575">
        <v>100</v>
      </c>
      <c r="K1575">
        <v>49.905000000000001</v>
      </c>
      <c r="L1575">
        <v>0.49904999999999999</v>
      </c>
      <c r="M1575">
        <v>0.49904999999999999</v>
      </c>
      <c r="N1575" t="s">
        <v>102</v>
      </c>
      <c r="O1575" t="s">
        <v>6273</v>
      </c>
      <c r="P1575" t="s">
        <v>3422</v>
      </c>
      <c r="Q1575">
        <v>2</v>
      </c>
      <c r="R1575">
        <v>2</v>
      </c>
    </row>
    <row r="1576" spans="1:18" x14ac:dyDescent="0.3">
      <c r="A1576" t="s">
        <v>3414</v>
      </c>
      <c r="B1576" t="s">
        <v>3415</v>
      </c>
      <c r="C1576" t="s">
        <v>129</v>
      </c>
      <c r="D1576" t="s">
        <v>233</v>
      </c>
      <c r="E1576" t="s">
        <v>30</v>
      </c>
      <c r="F1576" s="6">
        <v>45838</v>
      </c>
      <c r="G1576">
        <v>2025</v>
      </c>
      <c r="H1576" t="s">
        <v>44</v>
      </c>
      <c r="I1576" t="s">
        <v>244</v>
      </c>
      <c r="J1576">
        <v>100</v>
      </c>
      <c r="K1576">
        <v>140.08000000000001</v>
      </c>
      <c r="L1576">
        <v>1.3</v>
      </c>
      <c r="M1576">
        <v>1.4008</v>
      </c>
      <c r="N1576" t="s">
        <v>102</v>
      </c>
      <c r="O1576" t="s">
        <v>6274</v>
      </c>
      <c r="P1576" t="s">
        <v>3428</v>
      </c>
      <c r="Q1576">
        <v>2</v>
      </c>
      <c r="R1576">
        <v>2</v>
      </c>
    </row>
    <row r="1577" spans="1:18" x14ac:dyDescent="0.3">
      <c r="A1577" t="s">
        <v>3414</v>
      </c>
      <c r="B1577" t="s">
        <v>3415</v>
      </c>
      <c r="C1577" t="s">
        <v>129</v>
      </c>
      <c r="D1577" t="s">
        <v>233</v>
      </c>
      <c r="E1577" t="s">
        <v>30</v>
      </c>
      <c r="F1577" s="6">
        <v>46022</v>
      </c>
      <c r="G1577">
        <v>2025</v>
      </c>
      <c r="H1577" t="s">
        <v>57</v>
      </c>
      <c r="I1577" t="s">
        <v>103</v>
      </c>
      <c r="J1577">
        <v>100</v>
      </c>
      <c r="L1577">
        <v>0</v>
      </c>
      <c r="M1577">
        <v>0</v>
      </c>
      <c r="N1577" t="s">
        <v>102</v>
      </c>
      <c r="P1577" t="s">
        <v>3429</v>
      </c>
      <c r="Q1577">
        <v>2</v>
      </c>
      <c r="R1577">
        <v>2</v>
      </c>
    </row>
    <row r="1578" spans="1:18" x14ac:dyDescent="0.3">
      <c r="A1578" t="s">
        <v>3430</v>
      </c>
      <c r="B1578" t="s">
        <v>3431</v>
      </c>
      <c r="C1578" t="s">
        <v>2862</v>
      </c>
      <c r="D1578" t="s">
        <v>233</v>
      </c>
      <c r="E1578" t="s">
        <v>30</v>
      </c>
      <c r="F1578" s="6">
        <v>45107</v>
      </c>
      <c r="G1578">
        <v>2023</v>
      </c>
      <c r="H1578" t="s">
        <v>44</v>
      </c>
      <c r="I1578" t="s">
        <v>33</v>
      </c>
      <c r="J1578">
        <v>63</v>
      </c>
      <c r="K1578">
        <v>62</v>
      </c>
      <c r="L1578">
        <v>0.98412698412698407</v>
      </c>
      <c r="M1578">
        <v>0.98412698412698407</v>
      </c>
      <c r="N1578" t="s">
        <v>4342</v>
      </c>
      <c r="O1578" t="s">
        <v>6211</v>
      </c>
      <c r="P1578" t="s">
        <v>3432</v>
      </c>
      <c r="Q1578">
        <v>2</v>
      </c>
      <c r="R1578">
        <v>2</v>
      </c>
    </row>
    <row r="1579" spans="1:18" x14ac:dyDescent="0.3">
      <c r="A1579" t="s">
        <v>3430</v>
      </c>
      <c r="B1579" t="s">
        <v>3431</v>
      </c>
      <c r="C1579" t="s">
        <v>2862</v>
      </c>
      <c r="D1579" t="s">
        <v>233</v>
      </c>
      <c r="E1579" t="s">
        <v>30</v>
      </c>
      <c r="F1579" s="6">
        <v>45291</v>
      </c>
      <c r="G1579">
        <v>2023</v>
      </c>
      <c r="H1579" t="s">
        <v>57</v>
      </c>
      <c r="I1579" t="s">
        <v>47</v>
      </c>
      <c r="J1579">
        <v>100</v>
      </c>
      <c r="K1579">
        <v>100</v>
      </c>
      <c r="L1579">
        <v>1</v>
      </c>
      <c r="M1579">
        <v>1</v>
      </c>
      <c r="N1579" t="s">
        <v>102</v>
      </c>
      <c r="O1579" t="s">
        <v>102</v>
      </c>
      <c r="P1579" t="s">
        <v>3433</v>
      </c>
      <c r="Q1579">
        <v>2</v>
      </c>
      <c r="R1579">
        <v>2</v>
      </c>
    </row>
    <row r="1580" spans="1:18" x14ac:dyDescent="0.3">
      <c r="A1580" t="s">
        <v>3430</v>
      </c>
      <c r="B1580" t="s">
        <v>3431</v>
      </c>
      <c r="C1580" t="s">
        <v>2862</v>
      </c>
      <c r="D1580" t="s">
        <v>233</v>
      </c>
      <c r="E1580" t="s">
        <v>30</v>
      </c>
      <c r="F1580" s="6">
        <v>45473</v>
      </c>
      <c r="G1580">
        <v>2024</v>
      </c>
      <c r="H1580" t="s">
        <v>44</v>
      </c>
      <c r="I1580" t="s">
        <v>71</v>
      </c>
      <c r="J1580">
        <v>60.93</v>
      </c>
      <c r="K1580">
        <v>61.45</v>
      </c>
      <c r="L1580">
        <v>1.0085343837190219</v>
      </c>
      <c r="M1580">
        <v>1.0085343837190219</v>
      </c>
      <c r="N1580" t="s">
        <v>6275</v>
      </c>
      <c r="O1580" t="s">
        <v>6276</v>
      </c>
      <c r="P1580" t="s">
        <v>3434</v>
      </c>
      <c r="Q1580">
        <v>2</v>
      </c>
      <c r="R1580">
        <v>2</v>
      </c>
    </row>
    <row r="1581" spans="1:18" x14ac:dyDescent="0.3">
      <c r="A1581" t="s">
        <v>3435</v>
      </c>
      <c r="B1581" t="s">
        <v>3436</v>
      </c>
      <c r="C1581" t="s">
        <v>3437</v>
      </c>
      <c r="D1581" t="s">
        <v>233</v>
      </c>
      <c r="E1581" t="s">
        <v>30</v>
      </c>
      <c r="F1581" s="6">
        <v>45107</v>
      </c>
      <c r="G1581">
        <v>2023</v>
      </c>
      <c r="H1581" t="s">
        <v>44</v>
      </c>
      <c r="I1581" t="s">
        <v>33</v>
      </c>
      <c r="J1581">
        <v>78</v>
      </c>
      <c r="K1581">
        <v>73</v>
      </c>
      <c r="L1581">
        <v>0.9358974358974359</v>
      </c>
      <c r="M1581">
        <v>0.9358974358974359</v>
      </c>
      <c r="N1581" t="s">
        <v>5377</v>
      </c>
      <c r="O1581" t="s">
        <v>5583</v>
      </c>
      <c r="P1581" t="s">
        <v>3438</v>
      </c>
      <c r="Q1581">
        <v>2</v>
      </c>
      <c r="R1581">
        <v>2</v>
      </c>
    </row>
    <row r="1582" spans="1:18" x14ac:dyDescent="0.3">
      <c r="A1582" t="s">
        <v>3435</v>
      </c>
      <c r="B1582" t="s">
        <v>3436</v>
      </c>
      <c r="C1582" t="s">
        <v>3437</v>
      </c>
      <c r="D1582" t="s">
        <v>233</v>
      </c>
      <c r="E1582" t="s">
        <v>30</v>
      </c>
      <c r="F1582" s="6">
        <v>45291</v>
      </c>
      <c r="G1582">
        <v>2023</v>
      </c>
      <c r="H1582" t="s">
        <v>57</v>
      </c>
      <c r="I1582" t="s">
        <v>47</v>
      </c>
      <c r="J1582">
        <v>100</v>
      </c>
      <c r="K1582">
        <v>96</v>
      </c>
      <c r="L1582">
        <v>0.96</v>
      </c>
      <c r="M1582">
        <v>0.96</v>
      </c>
      <c r="N1582" t="s">
        <v>102</v>
      </c>
      <c r="O1582" t="s">
        <v>668</v>
      </c>
      <c r="P1582" t="s">
        <v>3439</v>
      </c>
      <c r="Q1582">
        <v>2</v>
      </c>
      <c r="R1582">
        <v>2</v>
      </c>
    </row>
    <row r="1583" spans="1:18" x14ac:dyDescent="0.3">
      <c r="A1583" t="s">
        <v>3435</v>
      </c>
      <c r="B1583" t="s">
        <v>3436</v>
      </c>
      <c r="C1583" t="s">
        <v>3437</v>
      </c>
      <c r="D1583" t="s">
        <v>233</v>
      </c>
      <c r="E1583" t="s">
        <v>30</v>
      </c>
      <c r="F1583" s="6">
        <v>45473</v>
      </c>
      <c r="G1583">
        <v>2024</v>
      </c>
      <c r="H1583" t="s">
        <v>44</v>
      </c>
      <c r="I1583" t="s">
        <v>71</v>
      </c>
      <c r="J1583">
        <v>42.89</v>
      </c>
      <c r="K1583">
        <v>41.67</v>
      </c>
      <c r="L1583">
        <v>0.97155514105852181</v>
      </c>
      <c r="M1583">
        <v>0.97155514105852181</v>
      </c>
      <c r="N1583" t="s">
        <v>6277</v>
      </c>
      <c r="O1583" t="s">
        <v>6278</v>
      </c>
      <c r="P1583" t="s">
        <v>3440</v>
      </c>
      <c r="Q1583">
        <v>2</v>
      </c>
      <c r="R1583">
        <v>2</v>
      </c>
    </row>
    <row r="1584" spans="1:18" x14ac:dyDescent="0.3">
      <c r="A1584" t="s">
        <v>3441</v>
      </c>
      <c r="B1584" t="s">
        <v>3442</v>
      </c>
      <c r="C1584" t="s">
        <v>3437</v>
      </c>
      <c r="D1584" t="s">
        <v>233</v>
      </c>
      <c r="E1584" t="s">
        <v>30</v>
      </c>
      <c r="F1584" s="6">
        <v>45473</v>
      </c>
      <c r="G1584">
        <v>2024</v>
      </c>
      <c r="H1584" t="s">
        <v>44</v>
      </c>
      <c r="I1584" t="s">
        <v>71</v>
      </c>
      <c r="J1584">
        <v>42.15</v>
      </c>
      <c r="K1584">
        <v>90</v>
      </c>
      <c r="L1584">
        <v>1.3</v>
      </c>
      <c r="M1584">
        <v>2.1352313167259789</v>
      </c>
      <c r="N1584" t="s">
        <v>6279</v>
      </c>
      <c r="O1584" t="s">
        <v>256</v>
      </c>
      <c r="P1584" t="s">
        <v>3443</v>
      </c>
      <c r="Q1584">
        <v>2</v>
      </c>
      <c r="R1584">
        <v>2</v>
      </c>
    </row>
    <row r="1585" spans="1:18" x14ac:dyDescent="0.3">
      <c r="A1585" t="s">
        <v>3444</v>
      </c>
      <c r="B1585" t="s">
        <v>3445</v>
      </c>
      <c r="C1585" t="s">
        <v>3437</v>
      </c>
      <c r="D1585" t="s">
        <v>233</v>
      </c>
      <c r="E1585" t="s">
        <v>30</v>
      </c>
      <c r="F1585" s="6">
        <v>45473</v>
      </c>
      <c r="G1585">
        <v>2024</v>
      </c>
      <c r="H1585" t="s">
        <v>44</v>
      </c>
      <c r="I1585" t="s">
        <v>71</v>
      </c>
      <c r="J1585">
        <v>58.9</v>
      </c>
      <c r="K1585">
        <v>60</v>
      </c>
      <c r="L1585">
        <v>1.0186757215619699</v>
      </c>
      <c r="M1585">
        <v>1.0186757215619699</v>
      </c>
      <c r="N1585" t="s">
        <v>4583</v>
      </c>
      <c r="O1585" t="s">
        <v>2640</v>
      </c>
      <c r="P1585" t="s">
        <v>3446</v>
      </c>
      <c r="Q1585">
        <v>2</v>
      </c>
      <c r="R1585">
        <v>2</v>
      </c>
    </row>
    <row r="1586" spans="1:18" x14ac:dyDescent="0.3">
      <c r="A1586" t="s">
        <v>3447</v>
      </c>
      <c r="B1586" t="s">
        <v>3448</v>
      </c>
      <c r="C1586" t="s">
        <v>3437</v>
      </c>
      <c r="D1586" t="s">
        <v>233</v>
      </c>
      <c r="E1586" t="s">
        <v>30</v>
      </c>
      <c r="F1586" s="6">
        <v>45473</v>
      </c>
      <c r="G1586">
        <v>2024</v>
      </c>
      <c r="H1586" t="s">
        <v>44</v>
      </c>
      <c r="I1586" t="s">
        <v>71</v>
      </c>
      <c r="J1586">
        <v>36.28</v>
      </c>
      <c r="K1586">
        <v>35</v>
      </c>
      <c r="L1586">
        <v>0.96471885336273422</v>
      </c>
      <c r="M1586">
        <v>0.96471885336273422</v>
      </c>
      <c r="N1586" t="s">
        <v>6280</v>
      </c>
      <c r="O1586" t="s">
        <v>1516</v>
      </c>
      <c r="P1586" t="s">
        <v>3449</v>
      </c>
      <c r="Q1586">
        <v>2</v>
      </c>
      <c r="R1586">
        <v>2</v>
      </c>
    </row>
    <row r="1587" spans="1:18" x14ac:dyDescent="0.3">
      <c r="A1587" t="s">
        <v>3450</v>
      </c>
      <c r="B1587" t="s">
        <v>3451</v>
      </c>
      <c r="C1587" t="s">
        <v>3437</v>
      </c>
      <c r="D1587" t="s">
        <v>233</v>
      </c>
      <c r="E1587" t="s">
        <v>30</v>
      </c>
      <c r="F1587" s="6">
        <v>45473</v>
      </c>
      <c r="G1587">
        <v>2024</v>
      </c>
      <c r="H1587" t="s">
        <v>44</v>
      </c>
      <c r="I1587" t="s">
        <v>71</v>
      </c>
      <c r="J1587">
        <v>57.55</v>
      </c>
      <c r="K1587">
        <v>61.67</v>
      </c>
      <c r="L1587">
        <v>1.0715899218071241</v>
      </c>
      <c r="M1587">
        <v>1.0715899218071241</v>
      </c>
      <c r="N1587" t="s">
        <v>6281</v>
      </c>
      <c r="O1587" t="s">
        <v>5455</v>
      </c>
      <c r="P1587" t="s">
        <v>3452</v>
      </c>
      <c r="Q1587">
        <v>2</v>
      </c>
      <c r="R1587">
        <v>2</v>
      </c>
    </row>
    <row r="1588" spans="1:18" x14ac:dyDescent="0.3">
      <c r="A1588" t="s">
        <v>3453</v>
      </c>
      <c r="B1588" t="s">
        <v>3454</v>
      </c>
      <c r="C1588" t="s">
        <v>2937</v>
      </c>
      <c r="D1588" t="s">
        <v>233</v>
      </c>
      <c r="E1588" t="s">
        <v>30</v>
      </c>
      <c r="F1588" s="6">
        <v>45107</v>
      </c>
      <c r="G1588">
        <v>2023</v>
      </c>
      <c r="H1588" t="s">
        <v>44</v>
      </c>
      <c r="I1588" t="s">
        <v>33</v>
      </c>
      <c r="J1588">
        <v>58</v>
      </c>
      <c r="K1588">
        <v>62</v>
      </c>
      <c r="L1588">
        <v>1.068965517241379</v>
      </c>
      <c r="M1588">
        <v>1.068965517241379</v>
      </c>
      <c r="N1588" t="s">
        <v>6262</v>
      </c>
      <c r="O1588" t="s">
        <v>6211</v>
      </c>
      <c r="P1588" t="s">
        <v>3455</v>
      </c>
      <c r="Q1588">
        <v>2</v>
      </c>
      <c r="R1588">
        <v>2</v>
      </c>
    </row>
    <row r="1589" spans="1:18" x14ac:dyDescent="0.3">
      <c r="A1589" t="s">
        <v>3453</v>
      </c>
      <c r="B1589" t="s">
        <v>3454</v>
      </c>
      <c r="C1589" t="s">
        <v>2937</v>
      </c>
      <c r="D1589" t="s">
        <v>233</v>
      </c>
      <c r="E1589" t="s">
        <v>30</v>
      </c>
      <c r="F1589" s="6">
        <v>45291</v>
      </c>
      <c r="G1589">
        <v>2023</v>
      </c>
      <c r="H1589" t="s">
        <v>57</v>
      </c>
      <c r="I1589" t="s">
        <v>47</v>
      </c>
      <c r="J1589">
        <v>100</v>
      </c>
      <c r="K1589">
        <v>92.5</v>
      </c>
      <c r="L1589">
        <v>0.92500000000000004</v>
      </c>
      <c r="M1589">
        <v>0.92500000000000004</v>
      </c>
      <c r="N1589" t="s">
        <v>102</v>
      </c>
      <c r="O1589" t="s">
        <v>4417</v>
      </c>
      <c r="P1589" t="s">
        <v>3456</v>
      </c>
      <c r="Q1589">
        <v>2</v>
      </c>
      <c r="R1589">
        <v>2</v>
      </c>
    </row>
    <row r="1590" spans="1:18" x14ac:dyDescent="0.3">
      <c r="A1590" t="s">
        <v>3457</v>
      </c>
      <c r="B1590" t="s">
        <v>3458</v>
      </c>
      <c r="C1590" t="s">
        <v>717</v>
      </c>
      <c r="D1590" t="s">
        <v>233</v>
      </c>
      <c r="E1590" t="s">
        <v>30</v>
      </c>
      <c r="F1590" s="6">
        <v>45107</v>
      </c>
      <c r="G1590">
        <v>2023</v>
      </c>
      <c r="H1590" t="s">
        <v>44</v>
      </c>
      <c r="I1590" t="s">
        <v>33</v>
      </c>
      <c r="J1590">
        <v>94</v>
      </c>
      <c r="K1590">
        <v>91</v>
      </c>
      <c r="L1590">
        <v>0.96808510638297873</v>
      </c>
      <c r="M1590">
        <v>0.96808510638297873</v>
      </c>
      <c r="N1590" t="s">
        <v>194</v>
      </c>
      <c r="O1590" t="s">
        <v>5460</v>
      </c>
      <c r="P1590" t="s">
        <v>3459</v>
      </c>
      <c r="Q1590">
        <v>2</v>
      </c>
      <c r="R1590">
        <v>2</v>
      </c>
    </row>
    <row r="1591" spans="1:18" x14ac:dyDescent="0.3">
      <c r="A1591" t="s">
        <v>3457</v>
      </c>
      <c r="B1591" t="s">
        <v>3458</v>
      </c>
      <c r="C1591" t="s">
        <v>3331</v>
      </c>
      <c r="D1591" t="s">
        <v>233</v>
      </c>
      <c r="E1591" t="s">
        <v>30</v>
      </c>
      <c r="F1591" s="6">
        <v>45291</v>
      </c>
      <c r="G1591">
        <v>2023</v>
      </c>
      <c r="H1591" t="s">
        <v>57</v>
      </c>
      <c r="I1591" t="s">
        <v>47</v>
      </c>
      <c r="J1591">
        <v>100</v>
      </c>
      <c r="K1591">
        <v>99.88</v>
      </c>
      <c r="L1591">
        <v>0.99879999999999991</v>
      </c>
      <c r="M1591">
        <v>0.99879999999999991</v>
      </c>
      <c r="N1591" t="s">
        <v>102</v>
      </c>
      <c r="O1591" t="s">
        <v>6282</v>
      </c>
      <c r="P1591" t="s">
        <v>3460</v>
      </c>
      <c r="Q1591">
        <v>2</v>
      </c>
      <c r="R1591">
        <v>2</v>
      </c>
    </row>
    <row r="1592" spans="1:18" x14ac:dyDescent="0.3">
      <c r="A1592" t="s">
        <v>3461</v>
      </c>
      <c r="B1592" t="s">
        <v>3462</v>
      </c>
      <c r="D1592" t="s">
        <v>233</v>
      </c>
      <c r="E1592" t="s">
        <v>30</v>
      </c>
      <c r="F1592" s="6">
        <v>45107</v>
      </c>
      <c r="G1592">
        <v>2023</v>
      </c>
      <c r="H1592" t="s">
        <v>44</v>
      </c>
      <c r="I1592" t="s">
        <v>33</v>
      </c>
      <c r="J1592">
        <v>100</v>
      </c>
      <c r="K1592">
        <v>110.67</v>
      </c>
      <c r="L1592">
        <v>1.1067</v>
      </c>
      <c r="M1592">
        <v>1.1067</v>
      </c>
      <c r="N1592" t="s">
        <v>102</v>
      </c>
      <c r="O1592" t="s">
        <v>6283</v>
      </c>
      <c r="P1592" t="s">
        <v>3463</v>
      </c>
      <c r="Q1592">
        <v>2</v>
      </c>
      <c r="R1592">
        <v>2</v>
      </c>
    </row>
    <row r="1593" spans="1:18" x14ac:dyDescent="0.3">
      <c r="A1593" t="s">
        <v>3461</v>
      </c>
      <c r="B1593" t="s">
        <v>3462</v>
      </c>
      <c r="D1593" t="s">
        <v>233</v>
      </c>
      <c r="E1593" t="s">
        <v>30</v>
      </c>
      <c r="F1593" s="6">
        <v>45291</v>
      </c>
      <c r="G1593">
        <v>2023</v>
      </c>
      <c r="H1593" t="s">
        <v>57</v>
      </c>
      <c r="I1593" t="s">
        <v>47</v>
      </c>
      <c r="J1593">
        <v>100</v>
      </c>
      <c r="K1593">
        <v>94.075000000000003</v>
      </c>
      <c r="L1593">
        <v>0.94074999999999998</v>
      </c>
      <c r="M1593">
        <v>0.94074999999999998</v>
      </c>
      <c r="N1593" t="s">
        <v>102</v>
      </c>
      <c r="O1593" t="s">
        <v>6284</v>
      </c>
      <c r="P1593" t="s">
        <v>3465</v>
      </c>
      <c r="Q1593">
        <v>2</v>
      </c>
      <c r="R1593">
        <v>2</v>
      </c>
    </row>
    <row r="1594" spans="1:18" x14ac:dyDescent="0.3">
      <c r="A1594" t="s">
        <v>3461</v>
      </c>
      <c r="B1594" t="s">
        <v>3462</v>
      </c>
      <c r="C1594" t="s">
        <v>129</v>
      </c>
      <c r="D1594" t="s">
        <v>233</v>
      </c>
      <c r="E1594" t="s">
        <v>30</v>
      </c>
      <c r="F1594" s="6">
        <v>45473</v>
      </c>
      <c r="G1594">
        <v>2024</v>
      </c>
      <c r="H1594" t="s">
        <v>44</v>
      </c>
      <c r="I1594" t="s">
        <v>71</v>
      </c>
      <c r="J1594">
        <v>100</v>
      </c>
      <c r="K1594">
        <v>105.565</v>
      </c>
      <c r="L1594">
        <v>1.05565</v>
      </c>
      <c r="M1594">
        <v>1.05565</v>
      </c>
      <c r="N1594" t="s">
        <v>102</v>
      </c>
      <c r="O1594" t="s">
        <v>5462</v>
      </c>
      <c r="P1594" t="s">
        <v>3467</v>
      </c>
      <c r="Q1594">
        <v>2</v>
      </c>
      <c r="R1594">
        <v>2</v>
      </c>
    </row>
    <row r="1595" spans="1:18" x14ac:dyDescent="0.3">
      <c r="A1595" t="s">
        <v>3461</v>
      </c>
      <c r="B1595" t="s">
        <v>3462</v>
      </c>
      <c r="C1595" t="s">
        <v>129</v>
      </c>
      <c r="D1595" t="s">
        <v>233</v>
      </c>
      <c r="E1595" t="s">
        <v>30</v>
      </c>
      <c r="F1595" s="6">
        <v>45657</v>
      </c>
      <c r="G1595">
        <v>2024</v>
      </c>
      <c r="H1595" t="s">
        <v>57</v>
      </c>
      <c r="I1595" t="s">
        <v>78</v>
      </c>
      <c r="J1595">
        <v>100</v>
      </c>
      <c r="K1595">
        <v>50.094999999999999</v>
      </c>
      <c r="L1595">
        <v>0.50095000000000001</v>
      </c>
      <c r="M1595">
        <v>0.50095000000000001</v>
      </c>
      <c r="N1595" t="s">
        <v>102</v>
      </c>
      <c r="O1595" t="s">
        <v>6285</v>
      </c>
      <c r="P1595" t="s">
        <v>3469</v>
      </c>
      <c r="Q1595">
        <v>2</v>
      </c>
      <c r="R1595">
        <v>2</v>
      </c>
    </row>
    <row r="1596" spans="1:18" x14ac:dyDescent="0.3">
      <c r="A1596" t="s">
        <v>3461</v>
      </c>
      <c r="B1596" t="s">
        <v>3462</v>
      </c>
      <c r="C1596" t="s">
        <v>129</v>
      </c>
      <c r="D1596" t="s">
        <v>233</v>
      </c>
      <c r="E1596" t="s">
        <v>30</v>
      </c>
      <c r="F1596" s="6">
        <v>45838</v>
      </c>
      <c r="G1596">
        <v>2025</v>
      </c>
      <c r="H1596" t="s">
        <v>44</v>
      </c>
      <c r="I1596" t="s">
        <v>244</v>
      </c>
      <c r="J1596">
        <v>100</v>
      </c>
      <c r="K1596">
        <v>97.48</v>
      </c>
      <c r="L1596">
        <v>0.9748</v>
      </c>
      <c r="M1596">
        <v>0.9748</v>
      </c>
      <c r="N1596" t="s">
        <v>102</v>
      </c>
      <c r="O1596" t="s">
        <v>6286</v>
      </c>
      <c r="P1596" t="s">
        <v>3475</v>
      </c>
      <c r="Q1596">
        <v>2</v>
      </c>
      <c r="R1596">
        <v>2</v>
      </c>
    </row>
    <row r="1597" spans="1:18" x14ac:dyDescent="0.3">
      <c r="A1597" t="s">
        <v>3461</v>
      </c>
      <c r="B1597" t="s">
        <v>3462</v>
      </c>
      <c r="C1597" t="s">
        <v>129</v>
      </c>
      <c r="D1597" t="s">
        <v>233</v>
      </c>
      <c r="E1597" t="s">
        <v>30</v>
      </c>
      <c r="F1597" s="6">
        <v>46022</v>
      </c>
      <c r="G1597">
        <v>2025</v>
      </c>
      <c r="H1597" t="s">
        <v>57</v>
      </c>
      <c r="I1597" t="s">
        <v>103</v>
      </c>
      <c r="J1597">
        <v>100</v>
      </c>
      <c r="L1597">
        <v>0</v>
      </c>
      <c r="M1597">
        <v>0</v>
      </c>
      <c r="N1597" t="s">
        <v>102</v>
      </c>
      <c r="P1597" t="s">
        <v>3476</v>
      </c>
      <c r="Q1597">
        <v>2</v>
      </c>
      <c r="R1597">
        <v>2</v>
      </c>
    </row>
    <row r="1598" spans="1:18" x14ac:dyDescent="0.3">
      <c r="A1598" t="s">
        <v>3477</v>
      </c>
      <c r="B1598" t="s">
        <v>3478</v>
      </c>
      <c r="C1598" t="s">
        <v>174</v>
      </c>
      <c r="D1598" t="s">
        <v>233</v>
      </c>
      <c r="E1598" t="s">
        <v>30</v>
      </c>
      <c r="F1598" s="6">
        <v>45107</v>
      </c>
      <c r="G1598">
        <v>2023</v>
      </c>
      <c r="H1598" t="s">
        <v>44</v>
      </c>
      <c r="I1598" t="s">
        <v>33</v>
      </c>
      <c r="J1598">
        <v>50</v>
      </c>
      <c r="K1598">
        <v>56</v>
      </c>
      <c r="L1598">
        <v>1.1200000000000001</v>
      </c>
      <c r="M1598">
        <v>1.1200000000000001</v>
      </c>
      <c r="N1598" t="s">
        <v>4242</v>
      </c>
      <c r="O1598" t="s">
        <v>6236</v>
      </c>
      <c r="P1598" t="s">
        <v>3479</v>
      </c>
      <c r="Q1598">
        <v>2</v>
      </c>
      <c r="R1598">
        <v>2</v>
      </c>
    </row>
    <row r="1599" spans="1:18" x14ac:dyDescent="0.3">
      <c r="A1599" t="s">
        <v>3477</v>
      </c>
      <c r="B1599" t="s">
        <v>3478</v>
      </c>
      <c r="C1599" t="s">
        <v>174</v>
      </c>
      <c r="D1599" t="s">
        <v>233</v>
      </c>
      <c r="E1599" t="s">
        <v>30</v>
      </c>
      <c r="F1599" s="6">
        <v>45291</v>
      </c>
      <c r="G1599">
        <v>2023</v>
      </c>
      <c r="H1599" t="s">
        <v>57</v>
      </c>
      <c r="I1599" t="s">
        <v>47</v>
      </c>
      <c r="J1599">
        <v>100</v>
      </c>
      <c r="K1599">
        <v>94</v>
      </c>
      <c r="L1599">
        <v>0.94</v>
      </c>
      <c r="M1599">
        <v>0.94</v>
      </c>
      <c r="N1599" t="s">
        <v>102</v>
      </c>
      <c r="O1599" t="s">
        <v>194</v>
      </c>
      <c r="P1599" t="s">
        <v>3480</v>
      </c>
      <c r="Q1599">
        <v>2</v>
      </c>
      <c r="R1599">
        <v>2</v>
      </c>
    </row>
    <row r="1600" spans="1:18" x14ac:dyDescent="0.3">
      <c r="A1600" t="s">
        <v>3477</v>
      </c>
      <c r="B1600" t="s">
        <v>3478</v>
      </c>
      <c r="C1600" t="s">
        <v>174</v>
      </c>
      <c r="D1600" t="s">
        <v>233</v>
      </c>
      <c r="E1600" t="s">
        <v>30</v>
      </c>
      <c r="F1600" s="6">
        <v>45473</v>
      </c>
      <c r="G1600">
        <v>2024</v>
      </c>
      <c r="H1600" t="s">
        <v>44</v>
      </c>
      <c r="I1600" t="s">
        <v>71</v>
      </c>
      <c r="J1600">
        <v>59.24</v>
      </c>
      <c r="K1600">
        <v>58.73</v>
      </c>
      <c r="L1600">
        <v>0.99139095205941918</v>
      </c>
      <c r="M1600">
        <v>0.99139095205941918</v>
      </c>
      <c r="N1600" t="s">
        <v>6287</v>
      </c>
      <c r="O1600" t="s">
        <v>6288</v>
      </c>
      <c r="P1600" t="s">
        <v>3481</v>
      </c>
      <c r="Q1600">
        <v>2</v>
      </c>
      <c r="R1600">
        <v>2</v>
      </c>
    </row>
    <row r="1601" spans="1:18" x14ac:dyDescent="0.3">
      <c r="A1601" t="s">
        <v>3482</v>
      </c>
      <c r="B1601" t="s">
        <v>3483</v>
      </c>
      <c r="C1601" t="s">
        <v>251</v>
      </c>
      <c r="D1601" t="s">
        <v>233</v>
      </c>
      <c r="E1601" t="s">
        <v>30</v>
      </c>
      <c r="F1601" s="6">
        <v>45107</v>
      </c>
      <c r="G1601">
        <v>2023</v>
      </c>
      <c r="H1601" t="s">
        <v>44</v>
      </c>
      <c r="I1601" t="s">
        <v>33</v>
      </c>
      <c r="J1601">
        <v>63</v>
      </c>
      <c r="K1601">
        <v>53</v>
      </c>
      <c r="L1601">
        <v>0.84126984126984128</v>
      </c>
      <c r="M1601">
        <v>0.84126984126984128</v>
      </c>
      <c r="N1601" t="s">
        <v>4342</v>
      </c>
      <c r="O1601" t="s">
        <v>6289</v>
      </c>
      <c r="P1601" t="s">
        <v>3484</v>
      </c>
      <c r="Q1601">
        <v>2</v>
      </c>
      <c r="R1601">
        <v>2</v>
      </c>
    </row>
    <row r="1602" spans="1:18" x14ac:dyDescent="0.3">
      <c r="A1602" t="s">
        <v>3482</v>
      </c>
      <c r="B1602" t="s">
        <v>3483</v>
      </c>
      <c r="C1602" t="s">
        <v>251</v>
      </c>
      <c r="D1602" t="s">
        <v>233</v>
      </c>
      <c r="E1602" t="s">
        <v>30</v>
      </c>
      <c r="F1602" s="6">
        <v>45291</v>
      </c>
      <c r="G1602">
        <v>2023</v>
      </c>
      <c r="H1602" t="s">
        <v>57</v>
      </c>
      <c r="I1602" t="s">
        <v>47</v>
      </c>
      <c r="J1602">
        <v>100</v>
      </c>
      <c r="K1602">
        <v>86.67</v>
      </c>
      <c r="L1602">
        <v>0.86670000000000003</v>
      </c>
      <c r="M1602">
        <v>0.86670000000000003</v>
      </c>
      <c r="N1602" t="s">
        <v>102</v>
      </c>
      <c r="O1602" t="s">
        <v>5403</v>
      </c>
      <c r="P1602" t="s">
        <v>3485</v>
      </c>
      <c r="Q1602">
        <v>2</v>
      </c>
      <c r="R1602">
        <v>2</v>
      </c>
    </row>
    <row r="1603" spans="1:18" x14ac:dyDescent="0.3">
      <c r="A1603" t="s">
        <v>3482</v>
      </c>
      <c r="B1603" t="s">
        <v>3483</v>
      </c>
      <c r="C1603" t="s">
        <v>251</v>
      </c>
      <c r="D1603" t="s">
        <v>233</v>
      </c>
      <c r="E1603" t="s">
        <v>30</v>
      </c>
      <c r="F1603" s="6">
        <v>45473</v>
      </c>
      <c r="G1603">
        <v>2024</v>
      </c>
      <c r="H1603" t="s">
        <v>44</v>
      </c>
      <c r="I1603" t="s">
        <v>71</v>
      </c>
      <c r="J1603">
        <v>70.150000000000006</v>
      </c>
      <c r="K1603">
        <v>83.25</v>
      </c>
      <c r="L1603">
        <v>1.186742694226657</v>
      </c>
      <c r="M1603">
        <v>1.186742694226657</v>
      </c>
      <c r="N1603" t="s">
        <v>6290</v>
      </c>
      <c r="O1603" t="s">
        <v>6291</v>
      </c>
      <c r="P1603" t="s">
        <v>3486</v>
      </c>
      <c r="Q1603">
        <v>2</v>
      </c>
      <c r="R1603">
        <v>2</v>
      </c>
    </row>
    <row r="1604" spans="1:18" x14ac:dyDescent="0.3">
      <c r="A1604" t="s">
        <v>3487</v>
      </c>
      <c r="B1604" t="s">
        <v>3488</v>
      </c>
      <c r="C1604" t="s">
        <v>225</v>
      </c>
      <c r="D1604" t="s">
        <v>233</v>
      </c>
      <c r="E1604" t="s">
        <v>30</v>
      </c>
      <c r="F1604" s="6">
        <v>45107</v>
      </c>
      <c r="G1604">
        <v>2023</v>
      </c>
      <c r="H1604" t="s">
        <v>44</v>
      </c>
      <c r="I1604" t="s">
        <v>33</v>
      </c>
      <c r="J1604">
        <v>56</v>
      </c>
      <c r="K1604">
        <v>74</v>
      </c>
      <c r="L1604">
        <v>1.3</v>
      </c>
      <c r="M1604">
        <v>1.321428571428571</v>
      </c>
      <c r="N1604" t="s">
        <v>6236</v>
      </c>
      <c r="O1604" t="s">
        <v>272</v>
      </c>
      <c r="P1604" t="s">
        <v>3489</v>
      </c>
      <c r="Q1604">
        <v>2</v>
      </c>
      <c r="R1604">
        <v>2</v>
      </c>
    </row>
    <row r="1605" spans="1:18" x14ac:dyDescent="0.3">
      <c r="A1605" t="s">
        <v>3487</v>
      </c>
      <c r="B1605" t="s">
        <v>3488</v>
      </c>
      <c r="C1605" t="s">
        <v>225</v>
      </c>
      <c r="D1605" t="s">
        <v>233</v>
      </c>
      <c r="E1605" t="s">
        <v>30</v>
      </c>
      <c r="F1605" s="6">
        <v>45291</v>
      </c>
      <c r="G1605">
        <v>2023</v>
      </c>
      <c r="H1605" t="s">
        <v>57</v>
      </c>
      <c r="I1605" t="s">
        <v>47</v>
      </c>
      <c r="J1605">
        <v>100</v>
      </c>
      <c r="K1605">
        <v>93.75</v>
      </c>
      <c r="L1605">
        <v>0.9375</v>
      </c>
      <c r="M1605">
        <v>0.9375</v>
      </c>
      <c r="N1605" t="s">
        <v>102</v>
      </c>
      <c r="O1605" t="s">
        <v>5701</v>
      </c>
      <c r="P1605" t="s">
        <v>3490</v>
      </c>
      <c r="Q1605">
        <v>2</v>
      </c>
      <c r="R1605">
        <v>2</v>
      </c>
    </row>
    <row r="1606" spans="1:18" x14ac:dyDescent="0.3">
      <c r="A1606" t="s">
        <v>3487</v>
      </c>
      <c r="B1606" t="s">
        <v>3488</v>
      </c>
      <c r="C1606" t="s">
        <v>225</v>
      </c>
      <c r="D1606" t="s">
        <v>233</v>
      </c>
      <c r="E1606" t="s">
        <v>30</v>
      </c>
      <c r="F1606" s="6">
        <v>45473</v>
      </c>
      <c r="G1606">
        <v>2024</v>
      </c>
      <c r="H1606" t="s">
        <v>44</v>
      </c>
      <c r="I1606" t="s">
        <v>71</v>
      </c>
      <c r="J1606">
        <v>36.979999999999997</v>
      </c>
      <c r="K1606">
        <v>52.24</v>
      </c>
      <c r="L1606">
        <v>1.3</v>
      </c>
      <c r="M1606">
        <v>1.4126554894537591</v>
      </c>
      <c r="N1606" t="s">
        <v>6292</v>
      </c>
      <c r="O1606" t="s">
        <v>6293</v>
      </c>
      <c r="P1606" t="s">
        <v>3491</v>
      </c>
      <c r="Q1606">
        <v>2</v>
      </c>
      <c r="R1606">
        <v>2</v>
      </c>
    </row>
    <row r="1607" spans="1:18" x14ac:dyDescent="0.3">
      <c r="A1607" t="s">
        <v>3492</v>
      </c>
      <c r="B1607" t="s">
        <v>3493</v>
      </c>
      <c r="C1607" t="s">
        <v>169</v>
      </c>
      <c r="D1607" t="s">
        <v>233</v>
      </c>
      <c r="E1607" t="s">
        <v>30</v>
      </c>
      <c r="F1607" s="6">
        <v>45107</v>
      </c>
      <c r="G1607">
        <v>2023</v>
      </c>
      <c r="H1607" t="s">
        <v>44</v>
      </c>
      <c r="I1607" t="s">
        <v>33</v>
      </c>
      <c r="J1607">
        <v>44</v>
      </c>
      <c r="K1607">
        <v>49</v>
      </c>
      <c r="L1607">
        <v>1.113636363636364</v>
      </c>
      <c r="M1607">
        <v>1.113636363636364</v>
      </c>
      <c r="N1607" t="s">
        <v>6201</v>
      </c>
      <c r="O1607" t="s">
        <v>6294</v>
      </c>
      <c r="P1607" t="s">
        <v>3494</v>
      </c>
      <c r="Q1607">
        <v>2</v>
      </c>
      <c r="R1607">
        <v>2</v>
      </c>
    </row>
    <row r="1608" spans="1:18" x14ac:dyDescent="0.3">
      <c r="A1608" t="s">
        <v>3492</v>
      </c>
      <c r="B1608" t="s">
        <v>3493</v>
      </c>
      <c r="C1608" t="s">
        <v>169</v>
      </c>
      <c r="D1608" t="s">
        <v>233</v>
      </c>
      <c r="E1608" t="s">
        <v>30</v>
      </c>
      <c r="F1608" s="6">
        <v>45291</v>
      </c>
      <c r="G1608">
        <v>2023</v>
      </c>
      <c r="H1608" t="s">
        <v>57</v>
      </c>
      <c r="I1608" t="s">
        <v>47</v>
      </c>
      <c r="J1608">
        <v>100</v>
      </c>
      <c r="K1608">
        <v>94.17</v>
      </c>
      <c r="L1608">
        <v>0.94169999999999998</v>
      </c>
      <c r="M1608">
        <v>0.94169999999999998</v>
      </c>
      <c r="N1608" t="s">
        <v>102</v>
      </c>
      <c r="O1608" t="s">
        <v>6295</v>
      </c>
      <c r="P1608" t="s">
        <v>3495</v>
      </c>
      <c r="Q1608">
        <v>2</v>
      </c>
      <c r="R1608">
        <v>2</v>
      </c>
    </row>
    <row r="1609" spans="1:18" x14ac:dyDescent="0.3">
      <c r="A1609" t="s">
        <v>3492</v>
      </c>
      <c r="B1609" t="s">
        <v>3493</v>
      </c>
      <c r="C1609" t="s">
        <v>169</v>
      </c>
      <c r="D1609" t="s">
        <v>233</v>
      </c>
      <c r="E1609" t="s">
        <v>30</v>
      </c>
      <c r="F1609" s="6">
        <v>45473</v>
      </c>
      <c r="G1609">
        <v>2024</v>
      </c>
      <c r="H1609" t="s">
        <v>44</v>
      </c>
      <c r="I1609" t="s">
        <v>71</v>
      </c>
      <c r="J1609">
        <v>39.619999999999997</v>
      </c>
      <c r="K1609">
        <v>43.31</v>
      </c>
      <c r="L1609">
        <v>1.093134780413932</v>
      </c>
      <c r="M1609">
        <v>1.093134780413932</v>
      </c>
      <c r="N1609" t="s">
        <v>3943</v>
      </c>
      <c r="O1609" t="s">
        <v>6296</v>
      </c>
      <c r="P1609" t="s">
        <v>3496</v>
      </c>
      <c r="Q1609">
        <v>2</v>
      </c>
      <c r="R1609">
        <v>2</v>
      </c>
    </row>
    <row r="1610" spans="1:18" x14ac:dyDescent="0.3">
      <c r="A1610" t="s">
        <v>3497</v>
      </c>
      <c r="B1610" t="s">
        <v>3498</v>
      </c>
      <c r="C1610" t="s">
        <v>232</v>
      </c>
      <c r="D1610" t="s">
        <v>233</v>
      </c>
      <c r="E1610" t="s">
        <v>30</v>
      </c>
      <c r="F1610" s="6">
        <v>45107</v>
      </c>
      <c r="G1610">
        <v>2023</v>
      </c>
      <c r="H1610" t="s">
        <v>44</v>
      </c>
      <c r="I1610" t="s">
        <v>33</v>
      </c>
      <c r="J1610">
        <v>62</v>
      </c>
      <c r="K1610">
        <v>64</v>
      </c>
      <c r="L1610">
        <v>1.032258064516129</v>
      </c>
      <c r="M1610">
        <v>1.032258064516129</v>
      </c>
      <c r="N1610" t="s">
        <v>6211</v>
      </c>
      <c r="O1610" t="s">
        <v>6297</v>
      </c>
      <c r="P1610" t="s">
        <v>3499</v>
      </c>
      <c r="Q1610">
        <v>2</v>
      </c>
      <c r="R1610">
        <v>2</v>
      </c>
    </row>
    <row r="1611" spans="1:18" x14ac:dyDescent="0.3">
      <c r="A1611" t="s">
        <v>3497</v>
      </c>
      <c r="B1611" t="s">
        <v>3498</v>
      </c>
      <c r="C1611" t="s">
        <v>232</v>
      </c>
      <c r="D1611" t="s">
        <v>233</v>
      </c>
      <c r="E1611" t="s">
        <v>30</v>
      </c>
      <c r="F1611" s="6">
        <v>45291</v>
      </c>
      <c r="G1611">
        <v>2023</v>
      </c>
      <c r="H1611" t="s">
        <v>57</v>
      </c>
      <c r="I1611" t="s">
        <v>47</v>
      </c>
      <c r="J1611">
        <v>100</v>
      </c>
      <c r="K1611">
        <v>99</v>
      </c>
      <c r="L1611">
        <v>0.99</v>
      </c>
      <c r="M1611">
        <v>0.99</v>
      </c>
      <c r="N1611" t="s">
        <v>102</v>
      </c>
      <c r="O1611" t="s">
        <v>2577</v>
      </c>
      <c r="P1611" t="s">
        <v>3500</v>
      </c>
      <c r="Q1611">
        <v>2</v>
      </c>
      <c r="R1611">
        <v>2</v>
      </c>
    </row>
    <row r="1612" spans="1:18" x14ac:dyDescent="0.3">
      <c r="A1612" t="s">
        <v>3497</v>
      </c>
      <c r="B1612" t="s">
        <v>3498</v>
      </c>
      <c r="C1612" t="s">
        <v>232</v>
      </c>
      <c r="D1612" t="s">
        <v>233</v>
      </c>
      <c r="E1612" t="s">
        <v>30</v>
      </c>
      <c r="F1612" s="6">
        <v>45473</v>
      </c>
      <c r="G1612">
        <v>2024</v>
      </c>
      <c r="H1612" t="s">
        <v>44</v>
      </c>
      <c r="I1612" t="s">
        <v>71</v>
      </c>
      <c r="J1612">
        <v>48.75</v>
      </c>
      <c r="K1612">
        <v>48.75</v>
      </c>
      <c r="L1612">
        <v>1</v>
      </c>
      <c r="M1612">
        <v>1</v>
      </c>
      <c r="N1612" t="s">
        <v>6298</v>
      </c>
      <c r="O1612" t="s">
        <v>6298</v>
      </c>
      <c r="P1612" t="s">
        <v>3501</v>
      </c>
      <c r="Q1612">
        <v>2</v>
      </c>
      <c r="R1612">
        <v>2</v>
      </c>
    </row>
    <row r="1613" spans="1:18" x14ac:dyDescent="0.3">
      <c r="A1613" t="s">
        <v>3502</v>
      </c>
      <c r="B1613" t="s">
        <v>3503</v>
      </c>
      <c r="D1613" t="s">
        <v>233</v>
      </c>
      <c r="E1613" t="s">
        <v>30</v>
      </c>
      <c r="F1613" s="6">
        <v>45107</v>
      </c>
      <c r="G1613">
        <v>2023</v>
      </c>
      <c r="H1613" t="s">
        <v>44</v>
      </c>
      <c r="I1613" t="s">
        <v>33</v>
      </c>
      <c r="J1613">
        <v>52</v>
      </c>
      <c r="K1613">
        <v>63</v>
      </c>
      <c r="L1613">
        <v>1.211538461538461</v>
      </c>
      <c r="M1613">
        <v>1.211538461538461</v>
      </c>
      <c r="N1613" t="s">
        <v>6228</v>
      </c>
      <c r="O1613" t="s">
        <v>4342</v>
      </c>
      <c r="P1613" t="s">
        <v>3504</v>
      </c>
      <c r="Q1613">
        <v>2</v>
      </c>
      <c r="R1613">
        <v>2</v>
      </c>
    </row>
    <row r="1614" spans="1:18" x14ac:dyDescent="0.3">
      <c r="A1614" t="s">
        <v>3502</v>
      </c>
      <c r="B1614" t="s">
        <v>3503</v>
      </c>
      <c r="D1614" t="s">
        <v>233</v>
      </c>
      <c r="E1614" t="s">
        <v>30</v>
      </c>
      <c r="F1614" s="6">
        <v>45291</v>
      </c>
      <c r="G1614">
        <v>2023</v>
      </c>
      <c r="H1614" t="s">
        <v>57</v>
      </c>
      <c r="I1614" t="s">
        <v>47</v>
      </c>
      <c r="J1614">
        <v>100</v>
      </c>
      <c r="K1614">
        <v>98.75</v>
      </c>
      <c r="L1614">
        <v>0.98750000000000004</v>
      </c>
      <c r="M1614">
        <v>0.98750000000000004</v>
      </c>
      <c r="N1614" t="s">
        <v>102</v>
      </c>
      <c r="O1614" t="s">
        <v>4423</v>
      </c>
      <c r="P1614" t="s">
        <v>3505</v>
      </c>
      <c r="Q1614">
        <v>2</v>
      </c>
      <c r="R1614">
        <v>2</v>
      </c>
    </row>
    <row r="1615" spans="1:18" x14ac:dyDescent="0.3">
      <c r="A1615" t="s">
        <v>3502</v>
      </c>
      <c r="B1615" t="s">
        <v>3503</v>
      </c>
      <c r="D1615" t="s">
        <v>233</v>
      </c>
      <c r="E1615" t="s">
        <v>30</v>
      </c>
      <c r="F1615" s="6">
        <v>45473</v>
      </c>
      <c r="G1615">
        <v>2024</v>
      </c>
      <c r="H1615" t="s">
        <v>44</v>
      </c>
      <c r="I1615" t="s">
        <v>71</v>
      </c>
      <c r="J1615">
        <v>47.2</v>
      </c>
      <c r="K1615">
        <v>49.23</v>
      </c>
      <c r="L1615">
        <v>1.0430084745762711</v>
      </c>
      <c r="M1615">
        <v>1.0430084745762711</v>
      </c>
      <c r="N1615" t="s">
        <v>6299</v>
      </c>
      <c r="O1615" t="s">
        <v>6300</v>
      </c>
      <c r="P1615" t="s">
        <v>3506</v>
      </c>
      <c r="Q1615">
        <v>2</v>
      </c>
      <c r="R1615">
        <v>2</v>
      </c>
    </row>
    <row r="1616" spans="1:18" x14ac:dyDescent="0.3">
      <c r="A1616" t="s">
        <v>3507</v>
      </c>
      <c r="B1616" t="s">
        <v>3508</v>
      </c>
      <c r="D1616" t="s">
        <v>233</v>
      </c>
      <c r="E1616" t="s">
        <v>30</v>
      </c>
      <c r="F1616" s="6">
        <v>45107</v>
      </c>
      <c r="G1616">
        <v>2023</v>
      </c>
      <c r="H1616" t="s">
        <v>44</v>
      </c>
      <c r="I1616" t="s">
        <v>33</v>
      </c>
      <c r="J1616">
        <v>100</v>
      </c>
      <c r="K1616">
        <v>104.36</v>
      </c>
      <c r="L1616">
        <v>1.0436000000000001</v>
      </c>
      <c r="M1616">
        <v>1.0436000000000001</v>
      </c>
      <c r="N1616" t="s">
        <v>102</v>
      </c>
      <c r="O1616" t="s">
        <v>6301</v>
      </c>
      <c r="P1616" t="s">
        <v>3509</v>
      </c>
      <c r="Q1616">
        <v>2</v>
      </c>
      <c r="R1616">
        <v>2</v>
      </c>
    </row>
    <row r="1617" spans="1:18" x14ac:dyDescent="0.3">
      <c r="A1617" t="s">
        <v>3507</v>
      </c>
      <c r="B1617" t="s">
        <v>3508</v>
      </c>
      <c r="D1617" t="s">
        <v>233</v>
      </c>
      <c r="E1617" t="s">
        <v>30</v>
      </c>
      <c r="F1617" s="6">
        <v>45291</v>
      </c>
      <c r="G1617">
        <v>2023</v>
      </c>
      <c r="H1617" t="s">
        <v>57</v>
      </c>
      <c r="I1617" t="s">
        <v>47</v>
      </c>
      <c r="J1617">
        <v>100</v>
      </c>
      <c r="K1617">
        <v>90.704999999999998</v>
      </c>
      <c r="L1617">
        <v>0.90705000000000002</v>
      </c>
      <c r="M1617">
        <v>0.90705000000000002</v>
      </c>
      <c r="N1617" t="s">
        <v>102</v>
      </c>
      <c r="O1617" t="s">
        <v>6302</v>
      </c>
      <c r="P1617" t="s">
        <v>3511</v>
      </c>
      <c r="Q1617">
        <v>2</v>
      </c>
      <c r="R1617">
        <v>2</v>
      </c>
    </row>
    <row r="1618" spans="1:18" x14ac:dyDescent="0.3">
      <c r="A1618" t="s">
        <v>3507</v>
      </c>
      <c r="B1618" t="s">
        <v>3508</v>
      </c>
      <c r="C1618" t="s">
        <v>129</v>
      </c>
      <c r="D1618" t="s">
        <v>233</v>
      </c>
      <c r="E1618" t="s">
        <v>30</v>
      </c>
      <c r="F1618" s="6">
        <v>45473</v>
      </c>
      <c r="G1618">
        <v>2024</v>
      </c>
      <c r="H1618" t="s">
        <v>44</v>
      </c>
      <c r="I1618" t="s">
        <v>71</v>
      </c>
      <c r="J1618">
        <v>100</v>
      </c>
      <c r="K1618">
        <v>103.145</v>
      </c>
      <c r="L1618">
        <v>1.03145</v>
      </c>
      <c r="M1618">
        <v>1.03145</v>
      </c>
      <c r="N1618" t="s">
        <v>102</v>
      </c>
      <c r="O1618" t="s">
        <v>6303</v>
      </c>
      <c r="P1618" t="s">
        <v>3513</v>
      </c>
      <c r="Q1618">
        <v>2</v>
      </c>
      <c r="R1618">
        <v>2</v>
      </c>
    </row>
    <row r="1619" spans="1:18" x14ac:dyDescent="0.3">
      <c r="A1619" t="s">
        <v>3507</v>
      </c>
      <c r="B1619" t="s">
        <v>3508</v>
      </c>
      <c r="C1619" t="s">
        <v>129</v>
      </c>
      <c r="D1619" t="s">
        <v>233</v>
      </c>
      <c r="E1619" t="s">
        <v>30</v>
      </c>
      <c r="F1619" s="6">
        <v>45657</v>
      </c>
      <c r="G1619">
        <v>2024</v>
      </c>
      <c r="H1619" t="s">
        <v>57</v>
      </c>
      <c r="I1619" t="s">
        <v>78</v>
      </c>
      <c r="J1619">
        <v>100</v>
      </c>
      <c r="K1619">
        <v>48.6</v>
      </c>
      <c r="L1619">
        <v>0.48599999999999999</v>
      </c>
      <c r="M1619">
        <v>0.48599999999999999</v>
      </c>
      <c r="N1619" t="s">
        <v>102</v>
      </c>
      <c r="O1619" t="s">
        <v>6304</v>
      </c>
      <c r="P1619" t="s">
        <v>3515</v>
      </c>
      <c r="Q1619">
        <v>2</v>
      </c>
      <c r="R1619">
        <v>2</v>
      </c>
    </row>
    <row r="1620" spans="1:18" x14ac:dyDescent="0.3">
      <c r="A1620" t="s">
        <v>3507</v>
      </c>
      <c r="B1620" t="s">
        <v>3508</v>
      </c>
      <c r="C1620" t="s">
        <v>129</v>
      </c>
      <c r="D1620" t="s">
        <v>233</v>
      </c>
      <c r="E1620" t="s">
        <v>30</v>
      </c>
      <c r="F1620" s="6">
        <v>45838</v>
      </c>
      <c r="G1620">
        <v>2025</v>
      </c>
      <c r="H1620" t="s">
        <v>44</v>
      </c>
      <c r="I1620" t="s">
        <v>244</v>
      </c>
      <c r="J1620">
        <v>100</v>
      </c>
      <c r="K1620">
        <v>176.26499999999999</v>
      </c>
      <c r="L1620">
        <v>1.3</v>
      </c>
      <c r="M1620">
        <v>1.7626500000000001</v>
      </c>
      <c r="N1620" t="s">
        <v>102</v>
      </c>
      <c r="O1620" t="s">
        <v>6305</v>
      </c>
      <c r="P1620" t="s">
        <v>3521</v>
      </c>
      <c r="Q1620">
        <v>2</v>
      </c>
      <c r="R1620">
        <v>2</v>
      </c>
    </row>
    <row r="1621" spans="1:18" x14ac:dyDescent="0.3">
      <c r="A1621" t="s">
        <v>3507</v>
      </c>
      <c r="B1621" t="s">
        <v>3508</v>
      </c>
      <c r="C1621" t="s">
        <v>129</v>
      </c>
      <c r="D1621" t="s">
        <v>233</v>
      </c>
      <c r="E1621" t="s">
        <v>30</v>
      </c>
      <c r="F1621" s="6">
        <v>46022</v>
      </c>
      <c r="G1621">
        <v>2025</v>
      </c>
      <c r="H1621" t="s">
        <v>57</v>
      </c>
      <c r="I1621" t="s">
        <v>103</v>
      </c>
      <c r="J1621">
        <v>100</v>
      </c>
      <c r="L1621">
        <v>0</v>
      </c>
      <c r="M1621">
        <v>0</v>
      </c>
      <c r="N1621" t="s">
        <v>102</v>
      </c>
      <c r="P1621" t="s">
        <v>3522</v>
      </c>
      <c r="Q1621">
        <v>2</v>
      </c>
      <c r="R1621">
        <v>2</v>
      </c>
    </row>
    <row r="1622" spans="1:18" x14ac:dyDescent="0.3">
      <c r="A1622" t="s">
        <v>3523</v>
      </c>
      <c r="B1622" t="s">
        <v>3524</v>
      </c>
      <c r="C1622" t="s">
        <v>61</v>
      </c>
      <c r="D1622" t="s">
        <v>233</v>
      </c>
      <c r="E1622" t="s">
        <v>30</v>
      </c>
      <c r="F1622" s="6">
        <v>45107</v>
      </c>
      <c r="G1622">
        <v>2023</v>
      </c>
      <c r="H1622" t="s">
        <v>44</v>
      </c>
      <c r="I1622" t="s">
        <v>33</v>
      </c>
      <c r="J1622">
        <v>43</v>
      </c>
      <c r="K1622">
        <v>46</v>
      </c>
      <c r="L1622">
        <v>1.069767441860465</v>
      </c>
      <c r="M1622">
        <v>1.069767441860465</v>
      </c>
      <c r="N1622" t="s">
        <v>1629</v>
      </c>
      <c r="O1622" t="s">
        <v>6306</v>
      </c>
      <c r="P1622" t="s">
        <v>3525</v>
      </c>
      <c r="Q1622">
        <v>2</v>
      </c>
      <c r="R1622">
        <v>2</v>
      </c>
    </row>
    <row r="1623" spans="1:18" x14ac:dyDescent="0.3">
      <c r="A1623" t="s">
        <v>3523</v>
      </c>
      <c r="B1623" t="s">
        <v>3524</v>
      </c>
      <c r="C1623" t="s">
        <v>61</v>
      </c>
      <c r="D1623" t="s">
        <v>233</v>
      </c>
      <c r="E1623" t="s">
        <v>30</v>
      </c>
      <c r="F1623" s="6">
        <v>45291</v>
      </c>
      <c r="G1623">
        <v>2023</v>
      </c>
      <c r="H1623" t="s">
        <v>57</v>
      </c>
      <c r="I1623" t="s">
        <v>47</v>
      </c>
      <c r="J1623">
        <v>100</v>
      </c>
      <c r="K1623">
        <v>87.5</v>
      </c>
      <c r="L1623">
        <v>0.875</v>
      </c>
      <c r="M1623">
        <v>0.875</v>
      </c>
      <c r="N1623" t="s">
        <v>102</v>
      </c>
      <c r="O1623" t="s">
        <v>4496</v>
      </c>
      <c r="P1623" t="s">
        <v>3526</v>
      </c>
      <c r="Q1623">
        <v>2</v>
      </c>
      <c r="R1623">
        <v>2</v>
      </c>
    </row>
    <row r="1624" spans="1:18" x14ac:dyDescent="0.3">
      <c r="A1624" t="s">
        <v>3523</v>
      </c>
      <c r="B1624" t="s">
        <v>3524</v>
      </c>
      <c r="C1624" t="s">
        <v>61</v>
      </c>
      <c r="D1624" t="s">
        <v>233</v>
      </c>
      <c r="E1624" t="s">
        <v>30</v>
      </c>
      <c r="F1624" s="6">
        <v>45473</v>
      </c>
      <c r="G1624">
        <v>2024</v>
      </c>
      <c r="H1624" t="s">
        <v>44</v>
      </c>
      <c r="I1624" t="s">
        <v>71</v>
      </c>
      <c r="J1624">
        <v>49.54</v>
      </c>
      <c r="K1624">
        <v>67.12</v>
      </c>
      <c r="L1624">
        <v>1.3</v>
      </c>
      <c r="M1624">
        <v>1.354864755752927</v>
      </c>
      <c r="N1624" t="s">
        <v>6307</v>
      </c>
      <c r="O1624" t="s">
        <v>6308</v>
      </c>
      <c r="P1624" t="s">
        <v>3527</v>
      </c>
      <c r="Q1624">
        <v>2</v>
      </c>
      <c r="R1624">
        <v>2</v>
      </c>
    </row>
    <row r="1625" spans="1:18" x14ac:dyDescent="0.3">
      <c r="A1625" t="s">
        <v>3528</v>
      </c>
      <c r="B1625" t="s">
        <v>3529</v>
      </c>
      <c r="C1625" t="s">
        <v>760</v>
      </c>
      <c r="D1625" t="s">
        <v>233</v>
      </c>
      <c r="E1625" t="s">
        <v>30</v>
      </c>
      <c r="F1625" s="6">
        <v>45107</v>
      </c>
      <c r="G1625">
        <v>2023</v>
      </c>
      <c r="H1625" t="s">
        <v>44</v>
      </c>
      <c r="I1625" t="s">
        <v>33</v>
      </c>
      <c r="J1625">
        <v>39</v>
      </c>
      <c r="K1625">
        <v>20</v>
      </c>
      <c r="L1625">
        <v>0.51282051282051277</v>
      </c>
      <c r="M1625">
        <v>0.51282051282051277</v>
      </c>
      <c r="N1625" t="s">
        <v>6197</v>
      </c>
      <c r="O1625" t="s">
        <v>1298</v>
      </c>
      <c r="P1625" t="s">
        <v>3530</v>
      </c>
      <c r="Q1625">
        <v>2</v>
      </c>
      <c r="R1625">
        <v>2</v>
      </c>
    </row>
    <row r="1626" spans="1:18" x14ac:dyDescent="0.3">
      <c r="A1626" t="s">
        <v>3528</v>
      </c>
      <c r="B1626" t="s">
        <v>3529</v>
      </c>
      <c r="C1626" t="s">
        <v>760</v>
      </c>
      <c r="D1626" t="s">
        <v>233</v>
      </c>
      <c r="E1626" t="s">
        <v>30</v>
      </c>
      <c r="F1626" s="6">
        <v>45291</v>
      </c>
      <c r="G1626">
        <v>2023</v>
      </c>
      <c r="H1626" t="s">
        <v>57</v>
      </c>
      <c r="I1626" t="s">
        <v>47</v>
      </c>
      <c r="J1626">
        <v>100</v>
      </c>
      <c r="K1626">
        <v>86.25</v>
      </c>
      <c r="L1626">
        <v>0.86250000000000004</v>
      </c>
      <c r="M1626">
        <v>0.86250000000000004</v>
      </c>
      <c r="N1626" t="s">
        <v>102</v>
      </c>
      <c r="O1626" t="s">
        <v>6309</v>
      </c>
      <c r="P1626" t="s">
        <v>3531</v>
      </c>
      <c r="Q1626">
        <v>2</v>
      </c>
      <c r="R1626">
        <v>2</v>
      </c>
    </row>
    <row r="1627" spans="1:18" x14ac:dyDescent="0.3">
      <c r="A1627" t="s">
        <v>3528</v>
      </c>
      <c r="B1627" t="s">
        <v>3529</v>
      </c>
      <c r="C1627" t="s">
        <v>760</v>
      </c>
      <c r="D1627" t="s">
        <v>233</v>
      </c>
      <c r="E1627" t="s">
        <v>30</v>
      </c>
      <c r="F1627" s="6">
        <v>45473</v>
      </c>
      <c r="G1627">
        <v>2024</v>
      </c>
      <c r="H1627" t="s">
        <v>44</v>
      </c>
      <c r="I1627" t="s">
        <v>71</v>
      </c>
      <c r="J1627">
        <v>89.58</v>
      </c>
      <c r="K1627">
        <v>61</v>
      </c>
      <c r="L1627">
        <v>0.68095557043983035</v>
      </c>
      <c r="M1627">
        <v>0.68095557043983035</v>
      </c>
      <c r="N1627" t="s">
        <v>6310</v>
      </c>
      <c r="O1627" t="s">
        <v>5971</v>
      </c>
      <c r="P1627" t="s">
        <v>3532</v>
      </c>
      <c r="Q1627">
        <v>2</v>
      </c>
      <c r="R1627">
        <v>2</v>
      </c>
    </row>
    <row r="1628" spans="1:18" x14ac:dyDescent="0.3">
      <c r="A1628" t="s">
        <v>3533</v>
      </c>
      <c r="B1628" t="s">
        <v>3534</v>
      </c>
      <c r="C1628" t="s">
        <v>663</v>
      </c>
      <c r="D1628" t="s">
        <v>233</v>
      </c>
      <c r="E1628" t="s">
        <v>30</v>
      </c>
      <c r="F1628" s="6">
        <v>45107</v>
      </c>
      <c r="G1628">
        <v>2023</v>
      </c>
      <c r="H1628" t="s">
        <v>44</v>
      </c>
      <c r="I1628" t="s">
        <v>33</v>
      </c>
      <c r="J1628">
        <v>56</v>
      </c>
      <c r="K1628">
        <v>63</v>
      </c>
      <c r="L1628">
        <v>1.125</v>
      </c>
      <c r="M1628">
        <v>1.125</v>
      </c>
      <c r="N1628" t="s">
        <v>6236</v>
      </c>
      <c r="O1628" t="s">
        <v>4342</v>
      </c>
      <c r="P1628" t="s">
        <v>3535</v>
      </c>
      <c r="Q1628">
        <v>2</v>
      </c>
      <c r="R1628">
        <v>2</v>
      </c>
    </row>
    <row r="1629" spans="1:18" x14ac:dyDescent="0.3">
      <c r="A1629" t="s">
        <v>3533</v>
      </c>
      <c r="B1629" t="s">
        <v>3534</v>
      </c>
      <c r="C1629" t="s">
        <v>663</v>
      </c>
      <c r="D1629" t="s">
        <v>233</v>
      </c>
      <c r="E1629" t="s">
        <v>30</v>
      </c>
      <c r="F1629" s="6">
        <v>45291</v>
      </c>
      <c r="G1629">
        <v>2023</v>
      </c>
      <c r="H1629" t="s">
        <v>57</v>
      </c>
      <c r="I1629" t="s">
        <v>47</v>
      </c>
      <c r="J1629">
        <v>100</v>
      </c>
      <c r="K1629">
        <v>90.95</v>
      </c>
      <c r="L1629">
        <v>0.90949999999999998</v>
      </c>
      <c r="M1629">
        <v>0.90949999999999998</v>
      </c>
      <c r="N1629" t="s">
        <v>102</v>
      </c>
      <c r="O1629" t="s">
        <v>6311</v>
      </c>
      <c r="P1629" t="s">
        <v>3536</v>
      </c>
      <c r="Q1629">
        <v>2</v>
      </c>
      <c r="R1629">
        <v>2</v>
      </c>
    </row>
    <row r="1630" spans="1:18" x14ac:dyDescent="0.3">
      <c r="A1630" t="s">
        <v>3533</v>
      </c>
      <c r="B1630" t="s">
        <v>3534</v>
      </c>
      <c r="C1630" t="s">
        <v>663</v>
      </c>
      <c r="D1630" t="s">
        <v>233</v>
      </c>
      <c r="E1630" t="s">
        <v>30</v>
      </c>
      <c r="F1630" s="6">
        <v>45473</v>
      </c>
      <c r="G1630">
        <v>2024</v>
      </c>
      <c r="H1630" t="s">
        <v>44</v>
      </c>
      <c r="I1630" t="s">
        <v>71</v>
      </c>
      <c r="J1630">
        <v>42.15</v>
      </c>
      <c r="K1630">
        <v>45</v>
      </c>
      <c r="L1630">
        <v>1.067615658362989</v>
      </c>
      <c r="M1630">
        <v>1.067615658362989</v>
      </c>
      <c r="N1630" t="s">
        <v>6279</v>
      </c>
      <c r="O1630" t="s">
        <v>5882</v>
      </c>
      <c r="P1630" t="s">
        <v>3537</v>
      </c>
      <c r="Q1630">
        <v>2</v>
      </c>
      <c r="R1630">
        <v>2</v>
      </c>
    </row>
    <row r="1631" spans="1:18" x14ac:dyDescent="0.3">
      <c r="A1631" t="s">
        <v>3538</v>
      </c>
      <c r="B1631" t="s">
        <v>3539</v>
      </c>
      <c r="C1631" t="s">
        <v>842</v>
      </c>
      <c r="D1631" t="s">
        <v>233</v>
      </c>
      <c r="E1631" t="s">
        <v>30</v>
      </c>
      <c r="F1631" s="6">
        <v>45107</v>
      </c>
      <c r="G1631">
        <v>2023</v>
      </c>
      <c r="H1631" t="s">
        <v>44</v>
      </c>
      <c r="I1631" t="s">
        <v>33</v>
      </c>
      <c r="J1631">
        <v>67</v>
      </c>
      <c r="K1631">
        <v>61</v>
      </c>
      <c r="L1631">
        <v>0.91044776119402981</v>
      </c>
      <c r="M1631">
        <v>0.91044776119402981</v>
      </c>
      <c r="N1631" t="s">
        <v>5418</v>
      </c>
      <c r="O1631" t="s">
        <v>5971</v>
      </c>
      <c r="P1631" t="s">
        <v>3540</v>
      </c>
      <c r="Q1631">
        <v>2</v>
      </c>
      <c r="R1631">
        <v>2</v>
      </c>
    </row>
    <row r="1632" spans="1:18" x14ac:dyDescent="0.3">
      <c r="A1632" t="s">
        <v>3538</v>
      </c>
      <c r="B1632" t="s">
        <v>3539</v>
      </c>
      <c r="C1632" t="s">
        <v>842</v>
      </c>
      <c r="D1632" t="s">
        <v>233</v>
      </c>
      <c r="E1632" t="s">
        <v>30</v>
      </c>
      <c r="F1632" s="6">
        <v>45291</v>
      </c>
      <c r="G1632">
        <v>2023</v>
      </c>
      <c r="H1632" t="s">
        <v>57</v>
      </c>
      <c r="I1632" t="s">
        <v>47</v>
      </c>
      <c r="J1632">
        <v>100</v>
      </c>
      <c r="K1632">
        <v>99.78</v>
      </c>
      <c r="L1632">
        <v>0.99780000000000002</v>
      </c>
      <c r="M1632">
        <v>0.99780000000000002</v>
      </c>
      <c r="N1632" t="s">
        <v>102</v>
      </c>
      <c r="O1632" t="s">
        <v>6312</v>
      </c>
      <c r="P1632" t="s">
        <v>3541</v>
      </c>
      <c r="Q1632">
        <v>2</v>
      </c>
      <c r="R1632">
        <v>2</v>
      </c>
    </row>
    <row r="1633" spans="1:18" x14ac:dyDescent="0.3">
      <c r="A1633" t="s">
        <v>3538</v>
      </c>
      <c r="B1633" t="s">
        <v>3539</v>
      </c>
      <c r="C1633" t="s">
        <v>842</v>
      </c>
      <c r="D1633" t="s">
        <v>233</v>
      </c>
      <c r="E1633" t="s">
        <v>30</v>
      </c>
      <c r="F1633" s="6">
        <v>45473</v>
      </c>
      <c r="G1633">
        <v>2024</v>
      </c>
      <c r="H1633" t="s">
        <v>44</v>
      </c>
      <c r="I1633" t="s">
        <v>71</v>
      </c>
      <c r="J1633">
        <v>51.88</v>
      </c>
      <c r="K1633">
        <v>57</v>
      </c>
      <c r="L1633">
        <v>1.098689282960678</v>
      </c>
      <c r="M1633">
        <v>1.098689282960678</v>
      </c>
      <c r="N1633" t="s">
        <v>6313</v>
      </c>
      <c r="O1633" t="s">
        <v>5368</v>
      </c>
      <c r="P1633" t="s">
        <v>3542</v>
      </c>
      <c r="Q1633">
        <v>2</v>
      </c>
      <c r="R1633">
        <v>2</v>
      </c>
    </row>
    <row r="1634" spans="1:18" x14ac:dyDescent="0.3">
      <c r="A1634" t="s">
        <v>3543</v>
      </c>
      <c r="B1634" t="s">
        <v>3544</v>
      </c>
      <c r="C1634" t="s">
        <v>1997</v>
      </c>
      <c r="D1634" t="s">
        <v>233</v>
      </c>
      <c r="E1634" t="s">
        <v>30</v>
      </c>
      <c r="F1634" s="6">
        <v>45107</v>
      </c>
      <c r="G1634">
        <v>2023</v>
      </c>
      <c r="H1634" t="s">
        <v>44</v>
      </c>
      <c r="I1634" t="s">
        <v>33</v>
      </c>
      <c r="J1634">
        <v>56</v>
      </c>
      <c r="K1634">
        <v>70</v>
      </c>
      <c r="L1634">
        <v>1.25</v>
      </c>
      <c r="M1634">
        <v>1.25</v>
      </c>
      <c r="N1634" t="s">
        <v>6236</v>
      </c>
      <c r="O1634" t="s">
        <v>3922</v>
      </c>
      <c r="P1634" t="s">
        <v>3545</v>
      </c>
      <c r="Q1634">
        <v>2</v>
      </c>
      <c r="R1634">
        <v>2</v>
      </c>
    </row>
    <row r="1635" spans="1:18" x14ac:dyDescent="0.3">
      <c r="A1635" t="s">
        <v>3543</v>
      </c>
      <c r="B1635" t="s">
        <v>3544</v>
      </c>
      <c r="C1635" t="s">
        <v>1997</v>
      </c>
      <c r="D1635" t="s">
        <v>233</v>
      </c>
      <c r="E1635" t="s">
        <v>30</v>
      </c>
      <c r="F1635" s="6">
        <v>45291</v>
      </c>
      <c r="G1635">
        <v>2023</v>
      </c>
      <c r="H1635" t="s">
        <v>57</v>
      </c>
      <c r="I1635" t="s">
        <v>47</v>
      </c>
      <c r="J1635">
        <v>100</v>
      </c>
      <c r="K1635">
        <v>100</v>
      </c>
      <c r="L1635">
        <v>1</v>
      </c>
      <c r="M1635">
        <v>1</v>
      </c>
      <c r="N1635" t="s">
        <v>102</v>
      </c>
      <c r="O1635" t="s">
        <v>102</v>
      </c>
      <c r="P1635" t="s">
        <v>3546</v>
      </c>
      <c r="Q1635">
        <v>2</v>
      </c>
      <c r="R1635">
        <v>2</v>
      </c>
    </row>
    <row r="1636" spans="1:18" x14ac:dyDescent="0.3">
      <c r="A1636" t="s">
        <v>3543</v>
      </c>
      <c r="B1636" t="s">
        <v>3544</v>
      </c>
      <c r="C1636" t="s">
        <v>1997</v>
      </c>
      <c r="D1636" t="s">
        <v>233</v>
      </c>
      <c r="E1636" t="s">
        <v>30</v>
      </c>
      <c r="F1636" s="6">
        <v>45473</v>
      </c>
      <c r="G1636">
        <v>2024</v>
      </c>
      <c r="H1636" t="s">
        <v>44</v>
      </c>
      <c r="I1636" t="s">
        <v>71</v>
      </c>
      <c r="J1636">
        <v>75.790000000000006</v>
      </c>
      <c r="K1636">
        <v>65.5</v>
      </c>
      <c r="L1636">
        <v>0.86423010951312829</v>
      </c>
      <c r="M1636">
        <v>0.86423010951312829</v>
      </c>
      <c r="N1636" t="s">
        <v>6314</v>
      </c>
      <c r="O1636" t="s">
        <v>6315</v>
      </c>
      <c r="P1636" t="s">
        <v>3547</v>
      </c>
      <c r="Q1636">
        <v>2</v>
      </c>
      <c r="R1636">
        <v>2</v>
      </c>
    </row>
    <row r="1637" spans="1:18" x14ac:dyDescent="0.3">
      <c r="A1637" t="s">
        <v>3548</v>
      </c>
      <c r="B1637" t="s">
        <v>3549</v>
      </c>
      <c r="C1637" t="s">
        <v>28</v>
      </c>
      <c r="D1637" t="s">
        <v>233</v>
      </c>
      <c r="E1637" t="s">
        <v>30</v>
      </c>
      <c r="F1637" s="6">
        <v>45107</v>
      </c>
      <c r="G1637">
        <v>2023</v>
      </c>
      <c r="H1637" t="s">
        <v>44</v>
      </c>
      <c r="I1637" t="s">
        <v>33</v>
      </c>
      <c r="J1637">
        <v>56</v>
      </c>
      <c r="K1637">
        <v>66</v>
      </c>
      <c r="L1637">
        <v>1.178571428571429</v>
      </c>
      <c r="M1637">
        <v>1.178571428571429</v>
      </c>
      <c r="N1637" t="s">
        <v>6236</v>
      </c>
      <c r="O1637" t="s">
        <v>5598</v>
      </c>
      <c r="P1637" t="s">
        <v>3550</v>
      </c>
      <c r="Q1637">
        <v>2</v>
      </c>
      <c r="R1637">
        <v>2</v>
      </c>
    </row>
    <row r="1638" spans="1:18" x14ac:dyDescent="0.3">
      <c r="A1638" t="s">
        <v>3548</v>
      </c>
      <c r="B1638" t="s">
        <v>3549</v>
      </c>
      <c r="C1638" t="s">
        <v>28</v>
      </c>
      <c r="D1638" t="s">
        <v>233</v>
      </c>
      <c r="E1638" t="s">
        <v>30</v>
      </c>
      <c r="F1638" s="6">
        <v>45291</v>
      </c>
      <c r="G1638">
        <v>2023</v>
      </c>
      <c r="H1638" t="s">
        <v>57</v>
      </c>
      <c r="I1638" t="s">
        <v>47</v>
      </c>
      <c r="J1638">
        <v>100</v>
      </c>
      <c r="K1638">
        <v>100</v>
      </c>
      <c r="L1638">
        <v>1</v>
      </c>
      <c r="M1638">
        <v>1</v>
      </c>
      <c r="N1638" t="s">
        <v>102</v>
      </c>
      <c r="O1638" t="s">
        <v>102</v>
      </c>
      <c r="P1638" t="s">
        <v>3551</v>
      </c>
      <c r="Q1638">
        <v>2</v>
      </c>
      <c r="R1638">
        <v>2</v>
      </c>
    </row>
    <row r="1639" spans="1:18" x14ac:dyDescent="0.3">
      <c r="A1639" t="s">
        <v>3548</v>
      </c>
      <c r="B1639" t="s">
        <v>3549</v>
      </c>
      <c r="C1639" t="s">
        <v>28</v>
      </c>
      <c r="D1639" t="s">
        <v>233</v>
      </c>
      <c r="E1639" t="s">
        <v>30</v>
      </c>
      <c r="F1639" s="6">
        <v>45473</v>
      </c>
      <c r="G1639">
        <v>2024</v>
      </c>
      <c r="H1639" t="s">
        <v>44</v>
      </c>
      <c r="I1639" t="s">
        <v>71</v>
      </c>
      <c r="J1639">
        <v>19.57</v>
      </c>
      <c r="K1639">
        <v>16.25</v>
      </c>
      <c r="L1639">
        <v>0.83035258048032701</v>
      </c>
      <c r="M1639">
        <v>0.83035258048032701</v>
      </c>
      <c r="N1639" t="s">
        <v>6316</v>
      </c>
      <c r="O1639" t="s">
        <v>6317</v>
      </c>
      <c r="P1639" t="s">
        <v>3552</v>
      </c>
      <c r="Q1639">
        <v>2</v>
      </c>
      <c r="R1639">
        <v>2</v>
      </c>
    </row>
    <row r="1640" spans="1:18" x14ac:dyDescent="0.3">
      <c r="A1640" t="s">
        <v>3553</v>
      </c>
      <c r="B1640" t="s">
        <v>3554</v>
      </c>
      <c r="C1640" t="s">
        <v>3011</v>
      </c>
      <c r="D1640" t="s">
        <v>233</v>
      </c>
      <c r="E1640" t="s">
        <v>30</v>
      </c>
      <c r="F1640" s="6">
        <v>45107</v>
      </c>
      <c r="G1640">
        <v>2023</v>
      </c>
      <c r="H1640" t="s">
        <v>44</v>
      </c>
      <c r="I1640" t="s">
        <v>33</v>
      </c>
      <c r="J1640">
        <v>61</v>
      </c>
      <c r="K1640">
        <v>69</v>
      </c>
      <c r="L1640">
        <v>1.131147540983606</v>
      </c>
      <c r="M1640">
        <v>1.131147540983606</v>
      </c>
      <c r="N1640" t="s">
        <v>5971</v>
      </c>
      <c r="O1640" t="s">
        <v>5599</v>
      </c>
      <c r="P1640" t="s">
        <v>3555</v>
      </c>
      <c r="Q1640">
        <v>2</v>
      </c>
      <c r="R1640">
        <v>2</v>
      </c>
    </row>
    <row r="1641" spans="1:18" x14ac:dyDescent="0.3">
      <c r="A1641" t="s">
        <v>3553</v>
      </c>
      <c r="B1641" t="s">
        <v>3554</v>
      </c>
      <c r="C1641" t="s">
        <v>3011</v>
      </c>
      <c r="D1641" t="s">
        <v>233</v>
      </c>
      <c r="E1641" t="s">
        <v>30</v>
      </c>
      <c r="F1641" s="6">
        <v>45291</v>
      </c>
      <c r="G1641">
        <v>2023</v>
      </c>
      <c r="H1641" t="s">
        <v>57</v>
      </c>
      <c r="I1641" t="s">
        <v>47</v>
      </c>
      <c r="J1641">
        <v>100</v>
      </c>
      <c r="K1641">
        <v>100</v>
      </c>
      <c r="L1641">
        <v>1</v>
      </c>
      <c r="M1641">
        <v>1</v>
      </c>
      <c r="N1641" t="s">
        <v>102</v>
      </c>
      <c r="O1641" t="s">
        <v>102</v>
      </c>
      <c r="P1641" t="s">
        <v>3556</v>
      </c>
      <c r="Q1641">
        <v>2</v>
      </c>
      <c r="R1641">
        <v>2</v>
      </c>
    </row>
    <row r="1642" spans="1:18" x14ac:dyDescent="0.3">
      <c r="A1642" t="s">
        <v>3553</v>
      </c>
      <c r="B1642" t="s">
        <v>3554</v>
      </c>
      <c r="C1642" t="s">
        <v>3011</v>
      </c>
      <c r="D1642" t="s">
        <v>233</v>
      </c>
      <c r="E1642" t="s">
        <v>30</v>
      </c>
      <c r="F1642" s="6">
        <v>45473</v>
      </c>
      <c r="G1642">
        <v>2024</v>
      </c>
      <c r="H1642" t="s">
        <v>44</v>
      </c>
      <c r="I1642" t="s">
        <v>71</v>
      </c>
      <c r="J1642">
        <v>64.13</v>
      </c>
      <c r="K1642">
        <v>67.98</v>
      </c>
      <c r="L1642">
        <v>1.060034305317324</v>
      </c>
      <c r="M1642">
        <v>1.060034305317324</v>
      </c>
      <c r="N1642" t="s">
        <v>6318</v>
      </c>
      <c r="O1642" t="s">
        <v>6319</v>
      </c>
      <c r="P1642" t="s">
        <v>3557</v>
      </c>
      <c r="Q1642">
        <v>2</v>
      </c>
      <c r="R1642">
        <v>2</v>
      </c>
    </row>
    <row r="1643" spans="1:18" x14ac:dyDescent="0.3">
      <c r="A1643" t="s">
        <v>3558</v>
      </c>
      <c r="B1643" t="s">
        <v>3559</v>
      </c>
      <c r="C1643" t="s">
        <v>3011</v>
      </c>
      <c r="D1643" t="s">
        <v>233</v>
      </c>
      <c r="E1643" t="s">
        <v>30</v>
      </c>
      <c r="F1643" s="6">
        <v>45107</v>
      </c>
      <c r="G1643">
        <v>2023</v>
      </c>
      <c r="H1643" t="s">
        <v>44</v>
      </c>
      <c r="I1643" t="s">
        <v>33</v>
      </c>
      <c r="J1643">
        <v>64</v>
      </c>
      <c r="K1643">
        <v>66</v>
      </c>
      <c r="L1643">
        <v>1.03125</v>
      </c>
      <c r="M1643">
        <v>1.03125</v>
      </c>
      <c r="N1643" t="s">
        <v>6297</v>
      </c>
      <c r="O1643" t="s">
        <v>5598</v>
      </c>
      <c r="P1643" t="s">
        <v>3560</v>
      </c>
      <c r="Q1643">
        <v>2</v>
      </c>
      <c r="R1643">
        <v>2</v>
      </c>
    </row>
    <row r="1644" spans="1:18" x14ac:dyDescent="0.3">
      <c r="A1644" t="s">
        <v>3558</v>
      </c>
      <c r="B1644" t="s">
        <v>3559</v>
      </c>
      <c r="C1644" t="s">
        <v>3011</v>
      </c>
      <c r="D1644" t="s">
        <v>233</v>
      </c>
      <c r="E1644" t="s">
        <v>30</v>
      </c>
      <c r="F1644" s="6">
        <v>45291</v>
      </c>
      <c r="G1644">
        <v>2023</v>
      </c>
      <c r="H1644" t="s">
        <v>57</v>
      </c>
      <c r="I1644" t="s">
        <v>47</v>
      </c>
      <c r="J1644">
        <v>100</v>
      </c>
      <c r="K1644">
        <v>97.74</v>
      </c>
      <c r="L1644">
        <v>0.97739999999999994</v>
      </c>
      <c r="M1644">
        <v>0.97739999999999994</v>
      </c>
      <c r="N1644" t="s">
        <v>102</v>
      </c>
      <c r="O1644" t="s">
        <v>5931</v>
      </c>
      <c r="P1644" t="s">
        <v>3561</v>
      </c>
      <c r="Q1644">
        <v>2</v>
      </c>
      <c r="R1644">
        <v>2</v>
      </c>
    </row>
    <row r="1645" spans="1:18" x14ac:dyDescent="0.3">
      <c r="A1645" t="s">
        <v>3558</v>
      </c>
      <c r="B1645" t="s">
        <v>3559</v>
      </c>
      <c r="C1645" t="s">
        <v>3011</v>
      </c>
      <c r="D1645" t="s">
        <v>233</v>
      </c>
      <c r="E1645" t="s">
        <v>30</v>
      </c>
      <c r="F1645" s="6">
        <v>45473</v>
      </c>
      <c r="G1645">
        <v>2024</v>
      </c>
      <c r="H1645" t="s">
        <v>44</v>
      </c>
      <c r="I1645" t="s">
        <v>71</v>
      </c>
      <c r="J1645">
        <v>59.61</v>
      </c>
      <c r="K1645">
        <v>65.25</v>
      </c>
      <c r="L1645">
        <v>1.0946149974836441</v>
      </c>
      <c r="M1645">
        <v>1.0946149974836441</v>
      </c>
      <c r="N1645" t="s">
        <v>6320</v>
      </c>
      <c r="O1645" t="s">
        <v>6321</v>
      </c>
      <c r="P1645" t="s">
        <v>3562</v>
      </c>
      <c r="Q1645">
        <v>2</v>
      </c>
      <c r="R1645">
        <v>2</v>
      </c>
    </row>
    <row r="1646" spans="1:18" x14ac:dyDescent="0.3">
      <c r="A1646" t="s">
        <v>3563</v>
      </c>
      <c r="B1646" t="s">
        <v>3564</v>
      </c>
      <c r="C1646" t="s">
        <v>3011</v>
      </c>
      <c r="D1646" t="s">
        <v>233</v>
      </c>
      <c r="E1646" t="s">
        <v>30</v>
      </c>
      <c r="F1646" s="6">
        <v>45107</v>
      </c>
      <c r="G1646">
        <v>2023</v>
      </c>
      <c r="H1646" t="s">
        <v>44</v>
      </c>
      <c r="I1646" t="s">
        <v>33</v>
      </c>
      <c r="J1646">
        <v>71</v>
      </c>
      <c r="K1646">
        <v>84</v>
      </c>
      <c r="L1646">
        <v>1.183098591549296</v>
      </c>
      <c r="M1646">
        <v>1.183098591549296</v>
      </c>
      <c r="N1646" t="s">
        <v>2018</v>
      </c>
      <c r="O1646" t="s">
        <v>6232</v>
      </c>
      <c r="P1646" t="s">
        <v>3565</v>
      </c>
      <c r="Q1646">
        <v>2</v>
      </c>
      <c r="R1646">
        <v>2</v>
      </c>
    </row>
    <row r="1647" spans="1:18" x14ac:dyDescent="0.3">
      <c r="A1647" t="s">
        <v>3563</v>
      </c>
      <c r="B1647" t="s">
        <v>3564</v>
      </c>
      <c r="C1647" t="s">
        <v>3011</v>
      </c>
      <c r="D1647" t="s">
        <v>233</v>
      </c>
      <c r="E1647" t="s">
        <v>30</v>
      </c>
      <c r="F1647" s="6">
        <v>45291</v>
      </c>
      <c r="G1647">
        <v>2023</v>
      </c>
      <c r="H1647" t="s">
        <v>57</v>
      </c>
      <c r="I1647" t="s">
        <v>47</v>
      </c>
      <c r="J1647">
        <v>100</v>
      </c>
      <c r="K1647">
        <v>100</v>
      </c>
      <c r="L1647">
        <v>1</v>
      </c>
      <c r="M1647">
        <v>1</v>
      </c>
      <c r="N1647" t="s">
        <v>102</v>
      </c>
      <c r="O1647" t="s">
        <v>102</v>
      </c>
      <c r="P1647" t="s">
        <v>3566</v>
      </c>
      <c r="Q1647">
        <v>2</v>
      </c>
      <c r="R1647">
        <v>2</v>
      </c>
    </row>
    <row r="1648" spans="1:18" x14ac:dyDescent="0.3">
      <c r="A1648" t="s">
        <v>3563</v>
      </c>
      <c r="B1648" t="s">
        <v>3564</v>
      </c>
      <c r="C1648" t="s">
        <v>3011</v>
      </c>
      <c r="D1648" t="s">
        <v>233</v>
      </c>
      <c r="E1648" t="s">
        <v>30</v>
      </c>
      <c r="F1648" s="6">
        <v>45473</v>
      </c>
      <c r="G1648">
        <v>2024</v>
      </c>
      <c r="H1648" t="s">
        <v>44</v>
      </c>
      <c r="I1648" t="s">
        <v>71</v>
      </c>
      <c r="J1648">
        <v>46.42</v>
      </c>
      <c r="K1648">
        <v>47.33</v>
      </c>
      <c r="L1648">
        <v>1.0196036191296849</v>
      </c>
      <c r="M1648">
        <v>1.0196036191296849</v>
      </c>
      <c r="N1648" t="s">
        <v>6322</v>
      </c>
      <c r="O1648" t="s">
        <v>6323</v>
      </c>
      <c r="P1648" t="s">
        <v>3567</v>
      </c>
      <c r="Q1648">
        <v>2</v>
      </c>
      <c r="R1648">
        <v>2</v>
      </c>
    </row>
    <row r="1649" spans="1:18" x14ac:dyDescent="0.3">
      <c r="A1649" t="s">
        <v>3568</v>
      </c>
      <c r="B1649" t="s">
        <v>3569</v>
      </c>
      <c r="D1649" t="s">
        <v>233</v>
      </c>
      <c r="E1649" t="s">
        <v>30</v>
      </c>
      <c r="F1649" s="6">
        <v>45107</v>
      </c>
      <c r="G1649">
        <v>2023</v>
      </c>
      <c r="H1649" t="s">
        <v>44</v>
      </c>
      <c r="I1649" t="s">
        <v>33</v>
      </c>
      <c r="J1649">
        <v>100</v>
      </c>
      <c r="K1649">
        <v>108.3</v>
      </c>
      <c r="L1649">
        <v>1.083</v>
      </c>
      <c r="M1649">
        <v>1.083</v>
      </c>
      <c r="N1649" t="s">
        <v>102</v>
      </c>
      <c r="O1649" t="s">
        <v>6324</v>
      </c>
      <c r="P1649" t="s">
        <v>3570</v>
      </c>
      <c r="Q1649">
        <v>2</v>
      </c>
      <c r="R1649">
        <v>2</v>
      </c>
    </row>
    <row r="1650" spans="1:18" x14ac:dyDescent="0.3">
      <c r="A1650" t="s">
        <v>3568</v>
      </c>
      <c r="B1650" t="s">
        <v>3569</v>
      </c>
      <c r="D1650" t="s">
        <v>233</v>
      </c>
      <c r="E1650" t="s">
        <v>30</v>
      </c>
      <c r="F1650" s="6">
        <v>45291</v>
      </c>
      <c r="G1650">
        <v>2023</v>
      </c>
      <c r="H1650" t="s">
        <v>57</v>
      </c>
      <c r="I1650" t="s">
        <v>47</v>
      </c>
      <c r="J1650">
        <v>100</v>
      </c>
      <c r="K1650">
        <v>90.954999999999998</v>
      </c>
      <c r="L1650">
        <v>0.90954999999999997</v>
      </c>
      <c r="M1650">
        <v>0.90954999999999997</v>
      </c>
      <c r="N1650" t="s">
        <v>102</v>
      </c>
      <c r="O1650" t="s">
        <v>6311</v>
      </c>
      <c r="P1650" t="s">
        <v>3572</v>
      </c>
      <c r="Q1650">
        <v>2</v>
      </c>
      <c r="R1650">
        <v>2</v>
      </c>
    </row>
    <row r="1651" spans="1:18" x14ac:dyDescent="0.3">
      <c r="A1651" t="s">
        <v>3573</v>
      </c>
      <c r="B1651" t="s">
        <v>3574</v>
      </c>
      <c r="D1651" t="s">
        <v>233</v>
      </c>
      <c r="E1651" t="s">
        <v>30</v>
      </c>
      <c r="F1651" s="6">
        <v>45107</v>
      </c>
      <c r="G1651">
        <v>2023</v>
      </c>
      <c r="H1651" t="s">
        <v>44</v>
      </c>
      <c r="I1651" t="s">
        <v>33</v>
      </c>
      <c r="J1651">
        <v>100</v>
      </c>
      <c r="K1651">
        <v>112.97</v>
      </c>
      <c r="L1651">
        <v>1.1296999999999999</v>
      </c>
      <c r="M1651">
        <v>1.1296999999999999</v>
      </c>
      <c r="N1651" t="s">
        <v>102</v>
      </c>
      <c r="O1651" t="s">
        <v>6325</v>
      </c>
      <c r="P1651" t="s">
        <v>3575</v>
      </c>
      <c r="Q1651">
        <v>2</v>
      </c>
      <c r="R1651">
        <v>2</v>
      </c>
    </row>
    <row r="1652" spans="1:18" x14ac:dyDescent="0.3">
      <c r="A1652" t="s">
        <v>3573</v>
      </c>
      <c r="B1652" t="s">
        <v>3574</v>
      </c>
      <c r="D1652" t="s">
        <v>233</v>
      </c>
      <c r="E1652" t="s">
        <v>30</v>
      </c>
      <c r="F1652" s="6">
        <v>45291</v>
      </c>
      <c r="G1652">
        <v>2023</v>
      </c>
      <c r="H1652" t="s">
        <v>57</v>
      </c>
      <c r="I1652" t="s">
        <v>47</v>
      </c>
      <c r="J1652">
        <v>100</v>
      </c>
      <c r="K1652">
        <v>97.295000000000002</v>
      </c>
      <c r="L1652">
        <v>0.97294999999999998</v>
      </c>
      <c r="M1652">
        <v>0.97294999999999998</v>
      </c>
      <c r="N1652" t="s">
        <v>102</v>
      </c>
      <c r="O1652" t="s">
        <v>6123</v>
      </c>
      <c r="P1652" t="s">
        <v>3577</v>
      </c>
      <c r="Q1652">
        <v>2</v>
      </c>
      <c r="R1652">
        <v>2</v>
      </c>
    </row>
    <row r="1653" spans="1:18" x14ac:dyDescent="0.3">
      <c r="A1653" t="s">
        <v>3573</v>
      </c>
      <c r="B1653" t="s">
        <v>3574</v>
      </c>
      <c r="C1653" t="s">
        <v>129</v>
      </c>
      <c r="D1653" t="s">
        <v>233</v>
      </c>
      <c r="E1653" t="s">
        <v>30</v>
      </c>
      <c r="F1653" s="6">
        <v>45473</v>
      </c>
      <c r="G1653">
        <v>2024</v>
      </c>
      <c r="H1653" t="s">
        <v>44</v>
      </c>
      <c r="I1653" t="s">
        <v>71</v>
      </c>
      <c r="J1653">
        <v>100</v>
      </c>
      <c r="K1653">
        <v>89.71</v>
      </c>
      <c r="L1653">
        <v>0.8970999999999999</v>
      </c>
      <c r="M1653">
        <v>0.8970999999999999</v>
      </c>
      <c r="N1653" t="s">
        <v>102</v>
      </c>
      <c r="O1653" t="s">
        <v>6326</v>
      </c>
      <c r="P1653" t="s">
        <v>3579</v>
      </c>
      <c r="Q1653">
        <v>2</v>
      </c>
      <c r="R1653">
        <v>2</v>
      </c>
    </row>
    <row r="1654" spans="1:18" x14ac:dyDescent="0.3">
      <c r="A1654" t="s">
        <v>3573</v>
      </c>
      <c r="B1654" t="s">
        <v>3574</v>
      </c>
      <c r="C1654" t="s">
        <v>129</v>
      </c>
      <c r="D1654" t="s">
        <v>233</v>
      </c>
      <c r="E1654" t="s">
        <v>30</v>
      </c>
      <c r="F1654" s="6">
        <v>45657</v>
      </c>
      <c r="G1654">
        <v>2024</v>
      </c>
      <c r="H1654" t="s">
        <v>57</v>
      </c>
      <c r="I1654" t="s">
        <v>78</v>
      </c>
      <c r="J1654">
        <v>100</v>
      </c>
      <c r="K1654">
        <v>51.18</v>
      </c>
      <c r="L1654">
        <v>0.51180000000000003</v>
      </c>
      <c r="M1654">
        <v>0.51180000000000003</v>
      </c>
      <c r="N1654" t="s">
        <v>102</v>
      </c>
      <c r="O1654" t="s">
        <v>6327</v>
      </c>
      <c r="P1654" t="s">
        <v>3581</v>
      </c>
      <c r="Q1654">
        <v>2</v>
      </c>
      <c r="R1654">
        <v>2</v>
      </c>
    </row>
    <row r="1655" spans="1:18" x14ac:dyDescent="0.3">
      <c r="A1655" t="s">
        <v>3573</v>
      </c>
      <c r="B1655" t="s">
        <v>3574</v>
      </c>
      <c r="C1655" t="s">
        <v>129</v>
      </c>
      <c r="D1655" t="s">
        <v>233</v>
      </c>
      <c r="E1655" t="s">
        <v>30</v>
      </c>
      <c r="F1655" s="6">
        <v>45838</v>
      </c>
      <c r="G1655">
        <v>2025</v>
      </c>
      <c r="H1655" t="s">
        <v>44</v>
      </c>
      <c r="I1655" t="s">
        <v>244</v>
      </c>
      <c r="J1655">
        <v>100</v>
      </c>
      <c r="K1655">
        <v>115.36</v>
      </c>
      <c r="L1655">
        <v>1.1536</v>
      </c>
      <c r="M1655">
        <v>1.1536</v>
      </c>
      <c r="N1655" t="s">
        <v>102</v>
      </c>
      <c r="O1655" t="s">
        <v>6328</v>
      </c>
      <c r="P1655" t="s">
        <v>3587</v>
      </c>
      <c r="Q1655">
        <v>2</v>
      </c>
      <c r="R1655">
        <v>2</v>
      </c>
    </row>
    <row r="1656" spans="1:18" x14ac:dyDescent="0.3">
      <c r="A1656" t="s">
        <v>3573</v>
      </c>
      <c r="B1656" t="s">
        <v>3574</v>
      </c>
      <c r="C1656" t="s">
        <v>129</v>
      </c>
      <c r="D1656" t="s">
        <v>233</v>
      </c>
      <c r="E1656" t="s">
        <v>30</v>
      </c>
      <c r="F1656" s="6">
        <v>46022</v>
      </c>
      <c r="G1656">
        <v>2025</v>
      </c>
      <c r="H1656" t="s">
        <v>57</v>
      </c>
      <c r="I1656" t="s">
        <v>103</v>
      </c>
      <c r="J1656">
        <v>100</v>
      </c>
      <c r="L1656">
        <v>0</v>
      </c>
      <c r="M1656">
        <v>0</v>
      </c>
      <c r="N1656" t="s">
        <v>102</v>
      </c>
      <c r="P1656" t="s">
        <v>3588</v>
      </c>
      <c r="Q1656">
        <v>2</v>
      </c>
      <c r="R1656">
        <v>2</v>
      </c>
    </row>
    <row r="1657" spans="1:18" x14ac:dyDescent="0.3">
      <c r="A1657" t="s">
        <v>3589</v>
      </c>
      <c r="B1657" t="s">
        <v>3590</v>
      </c>
      <c r="C1657" t="s">
        <v>309</v>
      </c>
      <c r="D1657" t="s">
        <v>233</v>
      </c>
      <c r="E1657" t="s">
        <v>30</v>
      </c>
      <c r="F1657" s="6">
        <v>45107</v>
      </c>
      <c r="G1657">
        <v>2023</v>
      </c>
      <c r="H1657" t="s">
        <v>44</v>
      </c>
      <c r="I1657" t="s">
        <v>33</v>
      </c>
      <c r="J1657">
        <v>50.8</v>
      </c>
      <c r="K1657">
        <v>47.47</v>
      </c>
      <c r="L1657">
        <v>0.93444881889763787</v>
      </c>
      <c r="M1657">
        <v>0.93444881889763787</v>
      </c>
      <c r="N1657" t="s">
        <v>6329</v>
      </c>
      <c r="O1657" t="s">
        <v>6330</v>
      </c>
      <c r="P1657" t="s">
        <v>3591</v>
      </c>
      <c r="Q1657">
        <v>2</v>
      </c>
      <c r="R1657">
        <v>2</v>
      </c>
    </row>
    <row r="1658" spans="1:18" x14ac:dyDescent="0.3">
      <c r="A1658" t="s">
        <v>3589</v>
      </c>
      <c r="B1658" t="s">
        <v>3590</v>
      </c>
      <c r="C1658" t="s">
        <v>309</v>
      </c>
      <c r="D1658" t="s">
        <v>233</v>
      </c>
      <c r="E1658" t="s">
        <v>30</v>
      </c>
      <c r="F1658" s="6">
        <v>45291</v>
      </c>
      <c r="G1658">
        <v>2023</v>
      </c>
      <c r="H1658" t="s">
        <v>57</v>
      </c>
      <c r="I1658" t="s">
        <v>47</v>
      </c>
      <c r="J1658">
        <v>100</v>
      </c>
      <c r="K1658">
        <v>100</v>
      </c>
      <c r="L1658">
        <v>1</v>
      </c>
      <c r="M1658">
        <v>1</v>
      </c>
      <c r="N1658" t="s">
        <v>102</v>
      </c>
      <c r="O1658" t="s">
        <v>102</v>
      </c>
      <c r="P1658" t="s">
        <v>3592</v>
      </c>
      <c r="Q1658">
        <v>2</v>
      </c>
      <c r="R1658">
        <v>2</v>
      </c>
    </row>
    <row r="1659" spans="1:18" x14ac:dyDescent="0.3">
      <c r="A1659" t="s">
        <v>3589</v>
      </c>
      <c r="B1659" t="s">
        <v>3590</v>
      </c>
      <c r="C1659" t="s">
        <v>309</v>
      </c>
      <c r="D1659" t="s">
        <v>233</v>
      </c>
      <c r="E1659" t="s">
        <v>30</v>
      </c>
      <c r="F1659" s="6">
        <v>45473</v>
      </c>
      <c r="G1659">
        <v>2024</v>
      </c>
      <c r="H1659" t="s">
        <v>44</v>
      </c>
      <c r="I1659" t="s">
        <v>71</v>
      </c>
      <c r="J1659">
        <v>72.38</v>
      </c>
      <c r="K1659">
        <v>70.209999999999994</v>
      </c>
      <c r="L1659">
        <v>0.97001934235976783</v>
      </c>
      <c r="M1659">
        <v>0.97001934235976783</v>
      </c>
      <c r="N1659" t="s">
        <v>6331</v>
      </c>
      <c r="O1659" t="s">
        <v>6136</v>
      </c>
      <c r="P1659" t="s">
        <v>3593</v>
      </c>
      <c r="Q1659">
        <v>2</v>
      </c>
      <c r="R1659">
        <v>2</v>
      </c>
    </row>
    <row r="1660" spans="1:18" x14ac:dyDescent="0.3">
      <c r="A1660" t="s">
        <v>3594</v>
      </c>
      <c r="B1660" t="s">
        <v>3595</v>
      </c>
      <c r="C1660" t="s">
        <v>299</v>
      </c>
      <c r="D1660" t="s">
        <v>233</v>
      </c>
      <c r="E1660" t="s">
        <v>30</v>
      </c>
      <c r="F1660" s="6">
        <v>45107</v>
      </c>
      <c r="G1660">
        <v>2023</v>
      </c>
      <c r="H1660" t="s">
        <v>44</v>
      </c>
      <c r="I1660" t="s">
        <v>33</v>
      </c>
      <c r="J1660">
        <v>31.86</v>
      </c>
      <c r="K1660">
        <v>54</v>
      </c>
      <c r="L1660">
        <v>1.3</v>
      </c>
      <c r="M1660">
        <v>1.6949152542372881</v>
      </c>
      <c r="N1660" t="s">
        <v>6332</v>
      </c>
      <c r="O1660" t="s">
        <v>5881</v>
      </c>
      <c r="P1660" t="s">
        <v>3596</v>
      </c>
      <c r="Q1660">
        <v>2</v>
      </c>
      <c r="R1660">
        <v>2</v>
      </c>
    </row>
    <row r="1661" spans="1:18" x14ac:dyDescent="0.3">
      <c r="A1661" t="s">
        <v>3594</v>
      </c>
      <c r="B1661" t="s">
        <v>3595</v>
      </c>
      <c r="C1661" t="s">
        <v>299</v>
      </c>
      <c r="D1661" t="s">
        <v>233</v>
      </c>
      <c r="E1661" t="s">
        <v>30</v>
      </c>
      <c r="F1661" s="6">
        <v>45291</v>
      </c>
      <c r="G1661">
        <v>2023</v>
      </c>
      <c r="H1661" t="s">
        <v>57</v>
      </c>
      <c r="I1661" t="s">
        <v>47</v>
      </c>
      <c r="J1661">
        <v>100</v>
      </c>
      <c r="K1661">
        <v>100</v>
      </c>
      <c r="L1661">
        <v>1</v>
      </c>
      <c r="M1661">
        <v>1</v>
      </c>
      <c r="N1661" t="s">
        <v>102</v>
      </c>
      <c r="O1661" t="s">
        <v>102</v>
      </c>
      <c r="P1661" t="s">
        <v>3597</v>
      </c>
      <c r="Q1661">
        <v>2</v>
      </c>
      <c r="R1661">
        <v>2</v>
      </c>
    </row>
    <row r="1662" spans="1:18" x14ac:dyDescent="0.3">
      <c r="A1662" t="s">
        <v>3594</v>
      </c>
      <c r="B1662" t="s">
        <v>3595</v>
      </c>
      <c r="C1662" t="s">
        <v>299</v>
      </c>
      <c r="D1662" t="s">
        <v>233</v>
      </c>
      <c r="E1662" t="s">
        <v>30</v>
      </c>
      <c r="F1662" s="6">
        <v>45473</v>
      </c>
      <c r="G1662">
        <v>2024</v>
      </c>
      <c r="H1662" t="s">
        <v>44</v>
      </c>
      <c r="I1662" t="s">
        <v>71</v>
      </c>
      <c r="J1662">
        <v>23.26</v>
      </c>
      <c r="K1662">
        <v>25.92</v>
      </c>
      <c r="L1662">
        <v>1.114359415305245</v>
      </c>
      <c r="M1662">
        <v>1.114359415305245</v>
      </c>
      <c r="N1662" t="s">
        <v>6333</v>
      </c>
      <c r="O1662" t="s">
        <v>6334</v>
      </c>
      <c r="P1662" t="s">
        <v>3598</v>
      </c>
      <c r="Q1662">
        <v>2</v>
      </c>
      <c r="R1662">
        <v>2</v>
      </c>
    </row>
    <row r="1663" spans="1:18" x14ac:dyDescent="0.3">
      <c r="A1663" t="s">
        <v>3599</v>
      </c>
      <c r="B1663" t="s">
        <v>3600</v>
      </c>
      <c r="C1663" t="s">
        <v>2177</v>
      </c>
      <c r="D1663" t="s">
        <v>233</v>
      </c>
      <c r="E1663" t="s">
        <v>30</v>
      </c>
      <c r="F1663" s="6">
        <v>45107</v>
      </c>
      <c r="G1663">
        <v>2023</v>
      </c>
      <c r="H1663" t="s">
        <v>44</v>
      </c>
      <c r="I1663" t="s">
        <v>33</v>
      </c>
      <c r="J1663">
        <v>15.06</v>
      </c>
      <c r="K1663">
        <v>17.3</v>
      </c>
      <c r="L1663">
        <v>1.1487383798140769</v>
      </c>
      <c r="M1663">
        <v>1.1487383798140769</v>
      </c>
      <c r="N1663" t="s">
        <v>6335</v>
      </c>
      <c r="O1663" t="s">
        <v>6336</v>
      </c>
      <c r="P1663" t="s">
        <v>3601</v>
      </c>
      <c r="Q1663">
        <v>2</v>
      </c>
      <c r="R1663">
        <v>2</v>
      </c>
    </row>
    <row r="1664" spans="1:18" x14ac:dyDescent="0.3">
      <c r="A1664" t="s">
        <v>3599</v>
      </c>
      <c r="B1664" t="s">
        <v>3600</v>
      </c>
      <c r="C1664" t="s">
        <v>2177</v>
      </c>
      <c r="D1664" t="s">
        <v>233</v>
      </c>
      <c r="E1664" t="s">
        <v>30</v>
      </c>
      <c r="F1664" s="6">
        <v>45291</v>
      </c>
      <c r="G1664">
        <v>2023</v>
      </c>
      <c r="H1664" t="s">
        <v>57</v>
      </c>
      <c r="I1664" t="s">
        <v>47</v>
      </c>
      <c r="J1664">
        <v>100</v>
      </c>
      <c r="K1664">
        <v>100</v>
      </c>
      <c r="L1664">
        <v>1</v>
      </c>
      <c r="M1664">
        <v>1</v>
      </c>
      <c r="N1664" t="s">
        <v>102</v>
      </c>
      <c r="O1664" t="s">
        <v>102</v>
      </c>
      <c r="P1664" t="s">
        <v>3602</v>
      </c>
      <c r="Q1664">
        <v>2</v>
      </c>
      <c r="R1664">
        <v>2</v>
      </c>
    </row>
    <row r="1665" spans="1:18" x14ac:dyDescent="0.3">
      <c r="A1665" t="s">
        <v>3599</v>
      </c>
      <c r="B1665" t="s">
        <v>3600</v>
      </c>
      <c r="C1665" t="s">
        <v>2177</v>
      </c>
      <c r="D1665" t="s">
        <v>233</v>
      </c>
      <c r="E1665" t="s">
        <v>30</v>
      </c>
      <c r="F1665" s="6">
        <v>45473</v>
      </c>
      <c r="G1665">
        <v>2024</v>
      </c>
      <c r="H1665" t="s">
        <v>44</v>
      </c>
      <c r="I1665" t="s">
        <v>71</v>
      </c>
      <c r="J1665">
        <v>64.03</v>
      </c>
      <c r="K1665">
        <v>66.25</v>
      </c>
      <c r="L1665">
        <v>1.034671247852569</v>
      </c>
      <c r="M1665">
        <v>1.034671247852569</v>
      </c>
      <c r="N1665" t="s">
        <v>6337</v>
      </c>
      <c r="O1665" t="s">
        <v>6338</v>
      </c>
      <c r="P1665" t="s">
        <v>3603</v>
      </c>
      <c r="Q1665">
        <v>2</v>
      </c>
      <c r="R1665">
        <v>2</v>
      </c>
    </row>
    <row r="1666" spans="1:18" x14ac:dyDescent="0.3">
      <c r="A1666" t="s">
        <v>3604</v>
      </c>
      <c r="B1666" t="s">
        <v>3605</v>
      </c>
      <c r="C1666" t="s">
        <v>283</v>
      </c>
      <c r="D1666" t="s">
        <v>233</v>
      </c>
      <c r="E1666" t="s">
        <v>30</v>
      </c>
      <c r="F1666" s="6">
        <v>45107</v>
      </c>
      <c r="G1666">
        <v>2023</v>
      </c>
      <c r="H1666" t="s">
        <v>44</v>
      </c>
      <c r="I1666" t="s">
        <v>33</v>
      </c>
      <c r="J1666">
        <v>57.83</v>
      </c>
      <c r="K1666">
        <v>47.72</v>
      </c>
      <c r="L1666">
        <v>0.82517724364516687</v>
      </c>
      <c r="M1666">
        <v>0.82517724364516687</v>
      </c>
      <c r="N1666" t="s">
        <v>6269</v>
      </c>
      <c r="O1666" t="s">
        <v>6339</v>
      </c>
      <c r="P1666" t="s">
        <v>3606</v>
      </c>
      <c r="Q1666">
        <v>2</v>
      </c>
      <c r="R1666">
        <v>2</v>
      </c>
    </row>
    <row r="1667" spans="1:18" x14ac:dyDescent="0.3">
      <c r="A1667" t="s">
        <v>3604</v>
      </c>
      <c r="B1667" t="s">
        <v>3605</v>
      </c>
      <c r="C1667" t="s">
        <v>283</v>
      </c>
      <c r="D1667" t="s">
        <v>233</v>
      </c>
      <c r="E1667" t="s">
        <v>30</v>
      </c>
      <c r="F1667" s="6">
        <v>45291</v>
      </c>
      <c r="G1667">
        <v>2023</v>
      </c>
      <c r="H1667" t="s">
        <v>57</v>
      </c>
      <c r="I1667" t="s">
        <v>47</v>
      </c>
      <c r="J1667">
        <v>100</v>
      </c>
      <c r="K1667">
        <v>100</v>
      </c>
      <c r="L1667">
        <v>1</v>
      </c>
      <c r="M1667">
        <v>1</v>
      </c>
      <c r="N1667" t="s">
        <v>102</v>
      </c>
      <c r="O1667" t="s">
        <v>102</v>
      </c>
      <c r="P1667" t="s">
        <v>3607</v>
      </c>
      <c r="Q1667">
        <v>2</v>
      </c>
      <c r="R1667">
        <v>2</v>
      </c>
    </row>
    <row r="1668" spans="1:18" x14ac:dyDescent="0.3">
      <c r="A1668" t="s">
        <v>3604</v>
      </c>
      <c r="B1668" t="s">
        <v>3605</v>
      </c>
      <c r="C1668" t="s">
        <v>283</v>
      </c>
      <c r="D1668" t="s">
        <v>233</v>
      </c>
      <c r="E1668" t="s">
        <v>30</v>
      </c>
      <c r="F1668" s="6">
        <v>45473</v>
      </c>
      <c r="G1668">
        <v>2024</v>
      </c>
      <c r="H1668" t="s">
        <v>44</v>
      </c>
      <c r="I1668" t="s">
        <v>71</v>
      </c>
      <c r="J1668">
        <v>58.34</v>
      </c>
      <c r="K1668">
        <v>45.5</v>
      </c>
      <c r="L1668">
        <v>0.77991086732944803</v>
      </c>
      <c r="M1668">
        <v>0.77991086732944803</v>
      </c>
      <c r="N1668" t="s">
        <v>6340</v>
      </c>
      <c r="O1668" t="s">
        <v>6341</v>
      </c>
      <c r="P1668" t="s">
        <v>3608</v>
      </c>
      <c r="Q1668">
        <v>2</v>
      </c>
      <c r="R1668">
        <v>2</v>
      </c>
    </row>
    <row r="1669" spans="1:18" x14ac:dyDescent="0.3">
      <c r="A1669" t="s">
        <v>3609</v>
      </c>
      <c r="B1669" t="s">
        <v>3610</v>
      </c>
      <c r="C1669" t="s">
        <v>129</v>
      </c>
      <c r="D1669" t="s">
        <v>233</v>
      </c>
      <c r="E1669" t="s">
        <v>30</v>
      </c>
      <c r="F1669" s="6">
        <v>45107</v>
      </c>
      <c r="G1669">
        <v>2023</v>
      </c>
      <c r="H1669" t="s">
        <v>44</v>
      </c>
      <c r="I1669" t="s">
        <v>33</v>
      </c>
      <c r="J1669">
        <v>39.369999999999997</v>
      </c>
      <c r="K1669">
        <v>41.15</v>
      </c>
      <c r="L1669">
        <v>1.0452120904241811</v>
      </c>
      <c r="M1669">
        <v>1.0452120904241811</v>
      </c>
      <c r="N1669" t="s">
        <v>6342</v>
      </c>
      <c r="O1669" t="s">
        <v>6343</v>
      </c>
      <c r="P1669" t="s">
        <v>3611</v>
      </c>
      <c r="Q1669">
        <v>2</v>
      </c>
      <c r="R1669">
        <v>2</v>
      </c>
    </row>
    <row r="1670" spans="1:18" x14ac:dyDescent="0.3">
      <c r="A1670" t="s">
        <v>3609</v>
      </c>
      <c r="B1670" t="s">
        <v>3610</v>
      </c>
      <c r="C1670" t="s">
        <v>129</v>
      </c>
      <c r="D1670" t="s">
        <v>233</v>
      </c>
      <c r="E1670" t="s">
        <v>30</v>
      </c>
      <c r="F1670" s="6">
        <v>45291</v>
      </c>
      <c r="G1670">
        <v>2023</v>
      </c>
      <c r="H1670" t="s">
        <v>57</v>
      </c>
      <c r="I1670" t="s">
        <v>47</v>
      </c>
      <c r="J1670">
        <v>100</v>
      </c>
      <c r="K1670">
        <v>100</v>
      </c>
      <c r="L1670">
        <v>1</v>
      </c>
      <c r="M1670">
        <v>1</v>
      </c>
      <c r="N1670" t="s">
        <v>102</v>
      </c>
      <c r="O1670" t="s">
        <v>102</v>
      </c>
      <c r="P1670" t="s">
        <v>3612</v>
      </c>
      <c r="Q1670">
        <v>2</v>
      </c>
      <c r="R1670">
        <v>2</v>
      </c>
    </row>
    <row r="1671" spans="1:18" x14ac:dyDescent="0.3">
      <c r="A1671" t="s">
        <v>3609</v>
      </c>
      <c r="B1671" t="s">
        <v>3610</v>
      </c>
      <c r="C1671" t="s">
        <v>129</v>
      </c>
      <c r="D1671" t="s">
        <v>233</v>
      </c>
      <c r="E1671" t="s">
        <v>30</v>
      </c>
      <c r="F1671" s="6">
        <v>45473</v>
      </c>
      <c r="G1671">
        <v>2024</v>
      </c>
      <c r="H1671" t="s">
        <v>44</v>
      </c>
      <c r="I1671" t="s">
        <v>71</v>
      </c>
      <c r="J1671">
        <v>58.4</v>
      </c>
      <c r="K1671">
        <v>53.96</v>
      </c>
      <c r="L1671">
        <v>0.92397260273972603</v>
      </c>
      <c r="M1671">
        <v>0.92397260273972603</v>
      </c>
      <c r="N1671" t="s">
        <v>6344</v>
      </c>
      <c r="O1671" t="s">
        <v>6345</v>
      </c>
      <c r="P1671" t="s">
        <v>3613</v>
      </c>
      <c r="Q1671">
        <v>2</v>
      </c>
      <c r="R1671">
        <v>2</v>
      </c>
    </row>
    <row r="1672" spans="1:18" x14ac:dyDescent="0.3">
      <c r="A1672" t="s">
        <v>3614</v>
      </c>
      <c r="B1672" t="s">
        <v>3615</v>
      </c>
      <c r="C1672" t="s">
        <v>3616</v>
      </c>
      <c r="D1672" t="s">
        <v>233</v>
      </c>
      <c r="E1672" t="s">
        <v>30</v>
      </c>
      <c r="F1672" s="6">
        <v>45473</v>
      </c>
      <c r="G1672">
        <v>2024</v>
      </c>
      <c r="H1672" t="s">
        <v>44</v>
      </c>
      <c r="I1672" t="s">
        <v>71</v>
      </c>
      <c r="J1672">
        <v>44.68</v>
      </c>
      <c r="K1672">
        <v>25</v>
      </c>
      <c r="L1672">
        <v>0.55953446732318712</v>
      </c>
      <c r="M1672">
        <v>0.55953446732318712</v>
      </c>
      <c r="N1672" t="s">
        <v>6346</v>
      </c>
      <c r="O1672" t="s">
        <v>5588</v>
      </c>
      <c r="P1672" t="s">
        <v>3617</v>
      </c>
      <c r="Q1672">
        <v>2</v>
      </c>
      <c r="R1672">
        <v>2</v>
      </c>
    </row>
    <row r="1673" spans="1:18" x14ac:dyDescent="0.3">
      <c r="A1673" t="s">
        <v>3618</v>
      </c>
      <c r="B1673" t="s">
        <v>3619</v>
      </c>
      <c r="C1673" t="s">
        <v>3437</v>
      </c>
      <c r="D1673" t="s">
        <v>222</v>
      </c>
      <c r="E1673" t="s">
        <v>30</v>
      </c>
      <c r="F1673" s="6">
        <v>45107</v>
      </c>
      <c r="G1673">
        <v>2023</v>
      </c>
      <c r="H1673" t="s">
        <v>44</v>
      </c>
      <c r="I1673" t="s">
        <v>33</v>
      </c>
      <c r="J1673">
        <v>104072</v>
      </c>
      <c r="K1673">
        <v>140002</v>
      </c>
      <c r="L1673">
        <v>1.3</v>
      </c>
      <c r="M1673">
        <v>1.3452417557075871</v>
      </c>
      <c r="N1673" t="s">
        <v>6347</v>
      </c>
      <c r="O1673" t="s">
        <v>6348</v>
      </c>
      <c r="P1673" t="s">
        <v>3620</v>
      </c>
      <c r="Q1673">
        <v>2</v>
      </c>
      <c r="R1673">
        <v>2</v>
      </c>
    </row>
    <row r="1674" spans="1:18" x14ac:dyDescent="0.3">
      <c r="A1674" t="s">
        <v>3618</v>
      </c>
      <c r="B1674" t="s">
        <v>3619</v>
      </c>
      <c r="C1674" t="s">
        <v>3437</v>
      </c>
      <c r="D1674" t="s">
        <v>222</v>
      </c>
      <c r="E1674" t="s">
        <v>30</v>
      </c>
      <c r="F1674" s="6">
        <v>45291</v>
      </c>
      <c r="G1674">
        <v>2023</v>
      </c>
      <c r="H1674" t="s">
        <v>57</v>
      </c>
      <c r="I1674" t="s">
        <v>47</v>
      </c>
      <c r="J1674">
        <v>97200</v>
      </c>
      <c r="K1674">
        <v>136199</v>
      </c>
      <c r="L1674">
        <v>1.3</v>
      </c>
      <c r="M1674">
        <v>1.4012242798353911</v>
      </c>
      <c r="N1674" t="s">
        <v>6349</v>
      </c>
      <c r="O1674" t="s">
        <v>6350</v>
      </c>
      <c r="P1674" t="s">
        <v>3621</v>
      </c>
      <c r="Q1674">
        <v>2</v>
      </c>
      <c r="R1674">
        <v>2</v>
      </c>
    </row>
    <row r="1675" spans="1:18" x14ac:dyDescent="0.3">
      <c r="A1675" t="s">
        <v>3618</v>
      </c>
      <c r="B1675" t="s">
        <v>3619</v>
      </c>
      <c r="C1675" t="s">
        <v>3437</v>
      </c>
      <c r="D1675" t="s">
        <v>222</v>
      </c>
      <c r="E1675" t="s">
        <v>30</v>
      </c>
      <c r="F1675" s="6">
        <v>45473</v>
      </c>
      <c r="G1675">
        <v>2024</v>
      </c>
      <c r="H1675" t="s">
        <v>44</v>
      </c>
      <c r="I1675" t="s">
        <v>71</v>
      </c>
      <c r="J1675">
        <v>147043</v>
      </c>
      <c r="K1675">
        <v>177740</v>
      </c>
      <c r="L1675">
        <v>1.2087620627979569</v>
      </c>
      <c r="M1675">
        <v>1.2087620627979569</v>
      </c>
      <c r="N1675" t="s">
        <v>6351</v>
      </c>
      <c r="O1675" t="s">
        <v>6352</v>
      </c>
      <c r="P1675" t="s">
        <v>3622</v>
      </c>
      <c r="Q1675">
        <v>2</v>
      </c>
      <c r="R1675">
        <v>2</v>
      </c>
    </row>
    <row r="1676" spans="1:18" x14ac:dyDescent="0.3">
      <c r="A1676" t="s">
        <v>3618</v>
      </c>
      <c r="B1676" t="s">
        <v>3619</v>
      </c>
      <c r="C1676" t="s">
        <v>3437</v>
      </c>
      <c r="D1676" t="s">
        <v>222</v>
      </c>
      <c r="E1676" t="s">
        <v>30</v>
      </c>
      <c r="F1676" s="6">
        <v>45657</v>
      </c>
      <c r="G1676">
        <v>2024</v>
      </c>
      <c r="H1676" t="s">
        <v>57</v>
      </c>
      <c r="I1676" t="s">
        <v>78</v>
      </c>
      <c r="J1676">
        <v>100</v>
      </c>
      <c r="K1676">
        <v>121.44</v>
      </c>
      <c r="L1676">
        <v>1.2143999999999999</v>
      </c>
      <c r="M1676">
        <v>1.2143999999999999</v>
      </c>
      <c r="N1676" t="s">
        <v>102</v>
      </c>
      <c r="O1676" t="s">
        <v>6353</v>
      </c>
      <c r="P1676" t="s">
        <v>3623</v>
      </c>
      <c r="Q1676">
        <v>2</v>
      </c>
      <c r="R1676">
        <v>2</v>
      </c>
    </row>
    <row r="1677" spans="1:18" x14ac:dyDescent="0.3">
      <c r="A1677" t="s">
        <v>3624</v>
      </c>
      <c r="B1677" t="s">
        <v>3625</v>
      </c>
      <c r="C1677" t="s">
        <v>3437</v>
      </c>
      <c r="D1677" t="s">
        <v>222</v>
      </c>
      <c r="E1677" t="s">
        <v>30</v>
      </c>
      <c r="F1677" s="6">
        <v>45107</v>
      </c>
      <c r="G1677">
        <v>2023</v>
      </c>
      <c r="H1677" t="s">
        <v>44</v>
      </c>
      <c r="I1677" t="s">
        <v>33</v>
      </c>
      <c r="J1677">
        <v>11.7</v>
      </c>
      <c r="K1677">
        <v>11.97</v>
      </c>
      <c r="L1677">
        <v>1.023076923076923</v>
      </c>
      <c r="M1677">
        <v>1.023076923076923</v>
      </c>
      <c r="N1677" t="s">
        <v>6354</v>
      </c>
      <c r="O1677" t="s">
        <v>6355</v>
      </c>
      <c r="P1677" t="s">
        <v>3626</v>
      </c>
      <c r="Q1677">
        <v>2</v>
      </c>
      <c r="R1677">
        <v>2</v>
      </c>
    </row>
    <row r="1678" spans="1:18" x14ac:dyDescent="0.3">
      <c r="A1678" t="s">
        <v>3624</v>
      </c>
      <c r="B1678" t="s">
        <v>3625</v>
      </c>
      <c r="C1678" t="s">
        <v>3437</v>
      </c>
      <c r="D1678" t="s">
        <v>222</v>
      </c>
      <c r="E1678" t="s">
        <v>30</v>
      </c>
      <c r="F1678" s="6">
        <v>45291</v>
      </c>
      <c r="G1678">
        <v>2023</v>
      </c>
      <c r="H1678" t="s">
        <v>57</v>
      </c>
      <c r="I1678" t="s">
        <v>47</v>
      </c>
      <c r="J1678">
        <v>10.5</v>
      </c>
      <c r="K1678">
        <v>11.04</v>
      </c>
      <c r="L1678">
        <v>1.0514285714285709</v>
      </c>
      <c r="M1678">
        <v>1.0514285714285709</v>
      </c>
      <c r="N1678" t="s">
        <v>6356</v>
      </c>
      <c r="O1678" t="s">
        <v>6357</v>
      </c>
      <c r="P1678" t="s">
        <v>3627</v>
      </c>
      <c r="Q1678">
        <v>2</v>
      </c>
      <c r="R1678">
        <v>2</v>
      </c>
    </row>
    <row r="1679" spans="1:18" x14ac:dyDescent="0.3">
      <c r="A1679" t="s">
        <v>3624</v>
      </c>
      <c r="B1679" t="s">
        <v>3625</v>
      </c>
      <c r="C1679" t="s">
        <v>3437</v>
      </c>
      <c r="D1679" t="s">
        <v>222</v>
      </c>
      <c r="E1679" t="s">
        <v>30</v>
      </c>
      <c r="F1679" s="6">
        <v>45473</v>
      </c>
      <c r="G1679">
        <v>2024</v>
      </c>
      <c r="H1679" t="s">
        <v>44</v>
      </c>
      <c r="I1679" t="s">
        <v>71</v>
      </c>
      <c r="J1679">
        <v>9.25</v>
      </c>
      <c r="K1679">
        <v>8.86</v>
      </c>
      <c r="L1679">
        <v>0.95783783783783782</v>
      </c>
      <c r="M1679">
        <v>0.95783783783783782</v>
      </c>
      <c r="N1679" t="s">
        <v>6358</v>
      </c>
      <c r="O1679" t="s">
        <v>6359</v>
      </c>
      <c r="P1679" t="s">
        <v>3628</v>
      </c>
      <c r="Q1679">
        <v>2</v>
      </c>
      <c r="R1679">
        <v>2</v>
      </c>
    </row>
    <row r="1680" spans="1:18" x14ac:dyDescent="0.3">
      <c r="A1680" t="s">
        <v>3624</v>
      </c>
      <c r="B1680" t="s">
        <v>3625</v>
      </c>
      <c r="C1680" t="s">
        <v>3437</v>
      </c>
      <c r="D1680" t="s">
        <v>222</v>
      </c>
      <c r="E1680" t="s">
        <v>30</v>
      </c>
      <c r="F1680" s="6">
        <v>45657</v>
      </c>
      <c r="G1680">
        <v>2024</v>
      </c>
      <c r="H1680" t="s">
        <v>57</v>
      </c>
      <c r="I1680" t="s">
        <v>78</v>
      </c>
      <c r="J1680">
        <v>8.01</v>
      </c>
      <c r="K1680">
        <v>7.95</v>
      </c>
      <c r="L1680">
        <v>0.99250936329588024</v>
      </c>
      <c r="M1680">
        <v>0.99250936329588024</v>
      </c>
      <c r="N1680" t="s">
        <v>6360</v>
      </c>
      <c r="O1680" t="s">
        <v>6361</v>
      </c>
      <c r="P1680" t="s">
        <v>3629</v>
      </c>
      <c r="Q1680">
        <v>2</v>
      </c>
      <c r="R1680">
        <v>2</v>
      </c>
    </row>
    <row r="1681" spans="1:18" x14ac:dyDescent="0.3">
      <c r="A1681" t="s">
        <v>3624</v>
      </c>
      <c r="B1681" t="s">
        <v>3625</v>
      </c>
      <c r="C1681" t="s">
        <v>3437</v>
      </c>
      <c r="D1681" t="s">
        <v>222</v>
      </c>
      <c r="E1681" t="s">
        <v>30</v>
      </c>
      <c r="F1681" s="6">
        <v>45838</v>
      </c>
      <c r="G1681">
        <v>2025</v>
      </c>
      <c r="H1681" t="s">
        <v>44</v>
      </c>
      <c r="I1681" t="s">
        <v>244</v>
      </c>
      <c r="J1681">
        <v>7.83</v>
      </c>
      <c r="K1681">
        <v>8.1999999999999993</v>
      </c>
      <c r="L1681">
        <v>1.047254150702426</v>
      </c>
      <c r="M1681">
        <v>1.047254150702426</v>
      </c>
      <c r="N1681" t="s">
        <v>3631</v>
      </c>
      <c r="O1681" t="s">
        <v>3632</v>
      </c>
      <c r="P1681" t="s">
        <v>3633</v>
      </c>
      <c r="Q1681">
        <v>2</v>
      </c>
      <c r="R1681">
        <v>2</v>
      </c>
    </row>
    <row r="1682" spans="1:18" x14ac:dyDescent="0.3">
      <c r="A1682" t="s">
        <v>3624</v>
      </c>
      <c r="B1682" t="s">
        <v>3625</v>
      </c>
      <c r="C1682" t="s">
        <v>3437</v>
      </c>
      <c r="D1682" t="s">
        <v>222</v>
      </c>
      <c r="E1682" t="s">
        <v>30</v>
      </c>
      <c r="F1682" s="6">
        <v>46022</v>
      </c>
      <c r="G1682">
        <v>2025</v>
      </c>
      <c r="H1682" t="s">
        <v>57</v>
      </c>
      <c r="I1682" t="s">
        <v>103</v>
      </c>
      <c r="J1682">
        <v>7.68</v>
      </c>
      <c r="K1682">
        <v>7.87</v>
      </c>
      <c r="L1682">
        <v>1.024739583333333</v>
      </c>
      <c r="M1682">
        <v>1.024739583333333</v>
      </c>
      <c r="N1682" t="s">
        <v>3635</v>
      </c>
      <c r="O1682" t="s">
        <v>3636</v>
      </c>
      <c r="P1682" t="s">
        <v>3637</v>
      </c>
      <c r="Q1682">
        <v>2</v>
      </c>
      <c r="R1682">
        <v>2</v>
      </c>
    </row>
    <row r="1683" spans="1:18" x14ac:dyDescent="0.3">
      <c r="A1683" t="s">
        <v>3638</v>
      </c>
      <c r="B1683" t="s">
        <v>3639</v>
      </c>
      <c r="C1683" t="s">
        <v>3437</v>
      </c>
      <c r="D1683" t="s">
        <v>98</v>
      </c>
      <c r="E1683" t="s">
        <v>30</v>
      </c>
      <c r="F1683" s="6">
        <v>44926</v>
      </c>
      <c r="G1683">
        <v>2022</v>
      </c>
      <c r="H1683" t="s">
        <v>57</v>
      </c>
      <c r="I1683" t="s">
        <v>90</v>
      </c>
      <c r="J1683">
        <v>8.8000000000000007</v>
      </c>
      <c r="K1683">
        <v>7.8</v>
      </c>
      <c r="L1683">
        <v>0.88636363636363624</v>
      </c>
      <c r="M1683">
        <v>0.88636363636363624</v>
      </c>
      <c r="N1683" t="s">
        <v>6362</v>
      </c>
      <c r="O1683" t="s">
        <v>6363</v>
      </c>
      <c r="P1683" t="s">
        <v>3640</v>
      </c>
      <c r="Q1683">
        <v>2</v>
      </c>
      <c r="R1683">
        <v>2</v>
      </c>
    </row>
    <row r="1684" spans="1:18" x14ac:dyDescent="0.3">
      <c r="A1684" t="s">
        <v>3638</v>
      </c>
      <c r="B1684" t="s">
        <v>3639</v>
      </c>
      <c r="C1684" t="s">
        <v>3437</v>
      </c>
      <c r="D1684" t="s">
        <v>98</v>
      </c>
      <c r="E1684" t="s">
        <v>30</v>
      </c>
      <c r="F1684" s="6">
        <v>45291</v>
      </c>
      <c r="G1684">
        <v>2023</v>
      </c>
      <c r="H1684" t="s">
        <v>57</v>
      </c>
      <c r="I1684" t="s">
        <v>47</v>
      </c>
      <c r="J1684">
        <v>8.4</v>
      </c>
      <c r="K1684">
        <v>7.9</v>
      </c>
      <c r="L1684">
        <v>0.94047619047619047</v>
      </c>
      <c r="M1684">
        <v>0.94047619047619047</v>
      </c>
      <c r="N1684" t="s">
        <v>6364</v>
      </c>
      <c r="O1684" t="s">
        <v>6365</v>
      </c>
      <c r="P1684" t="s">
        <v>3641</v>
      </c>
      <c r="Q1684">
        <v>2</v>
      </c>
      <c r="R1684">
        <v>2</v>
      </c>
    </row>
    <row r="1685" spans="1:18" x14ac:dyDescent="0.3">
      <c r="A1685" t="s">
        <v>3638</v>
      </c>
      <c r="B1685" t="s">
        <v>3639</v>
      </c>
      <c r="C1685" t="s">
        <v>3437</v>
      </c>
      <c r="D1685" t="s">
        <v>98</v>
      </c>
      <c r="E1685" t="s">
        <v>30</v>
      </c>
      <c r="F1685" s="6">
        <v>45657</v>
      </c>
      <c r="G1685">
        <v>2024</v>
      </c>
      <c r="H1685" t="s">
        <v>57</v>
      </c>
      <c r="I1685" t="s">
        <v>78</v>
      </c>
      <c r="J1685">
        <v>8.3000000000000007</v>
      </c>
      <c r="K1685">
        <v>12.3</v>
      </c>
      <c r="L1685">
        <v>1.3</v>
      </c>
      <c r="M1685">
        <v>1.481927710843373</v>
      </c>
      <c r="N1685" t="s">
        <v>6366</v>
      </c>
      <c r="O1685" t="s">
        <v>3644</v>
      </c>
      <c r="P1685" t="s">
        <v>3642</v>
      </c>
      <c r="Q1685">
        <v>2</v>
      </c>
      <c r="R1685">
        <v>2</v>
      </c>
    </row>
    <row r="1686" spans="1:18" x14ac:dyDescent="0.3">
      <c r="A1686" t="s">
        <v>3638</v>
      </c>
      <c r="B1686" t="s">
        <v>3639</v>
      </c>
      <c r="C1686" t="s">
        <v>3437</v>
      </c>
      <c r="D1686" t="s">
        <v>98</v>
      </c>
      <c r="E1686" t="s">
        <v>30</v>
      </c>
      <c r="F1686" s="6">
        <v>46022</v>
      </c>
      <c r="G1686">
        <v>2025</v>
      </c>
      <c r="H1686" t="s">
        <v>57</v>
      </c>
      <c r="I1686" t="s">
        <v>103</v>
      </c>
      <c r="J1686">
        <v>12.3</v>
      </c>
      <c r="K1686">
        <v>15.1</v>
      </c>
      <c r="L1686">
        <v>1.2276422764227639</v>
      </c>
      <c r="M1686">
        <v>1.2276422764227639</v>
      </c>
      <c r="N1686" t="s">
        <v>3644</v>
      </c>
      <c r="O1686" t="s">
        <v>3645</v>
      </c>
      <c r="P1686" t="s">
        <v>3646</v>
      </c>
      <c r="Q1686">
        <v>2</v>
      </c>
      <c r="R1686">
        <v>2</v>
      </c>
    </row>
    <row r="1687" spans="1:18" x14ac:dyDescent="0.3">
      <c r="A1687" t="s">
        <v>3647</v>
      </c>
      <c r="B1687" t="s">
        <v>3648</v>
      </c>
      <c r="C1687" t="s">
        <v>3437</v>
      </c>
      <c r="D1687" t="s">
        <v>98</v>
      </c>
      <c r="E1687" t="s">
        <v>30</v>
      </c>
      <c r="F1687" s="6">
        <v>44926</v>
      </c>
      <c r="G1687">
        <v>2022</v>
      </c>
      <c r="H1687" t="s">
        <v>57</v>
      </c>
      <c r="I1687" t="s">
        <v>90</v>
      </c>
      <c r="J1687">
        <v>6.5</v>
      </c>
      <c r="K1687">
        <v>5</v>
      </c>
      <c r="L1687">
        <v>0.76923076923076927</v>
      </c>
      <c r="M1687">
        <v>0.76923076923076927</v>
      </c>
      <c r="N1687" t="s">
        <v>5938</v>
      </c>
      <c r="O1687" t="s">
        <v>823</v>
      </c>
      <c r="P1687" t="s">
        <v>3649</v>
      </c>
      <c r="Q1687">
        <v>2</v>
      </c>
      <c r="R1687">
        <v>2</v>
      </c>
    </row>
    <row r="1688" spans="1:18" x14ac:dyDescent="0.3">
      <c r="A1688" t="s">
        <v>3647</v>
      </c>
      <c r="B1688" t="s">
        <v>3648</v>
      </c>
      <c r="C1688" t="s">
        <v>3437</v>
      </c>
      <c r="D1688" t="s">
        <v>98</v>
      </c>
      <c r="E1688" t="s">
        <v>30</v>
      </c>
      <c r="F1688" s="6">
        <v>45291</v>
      </c>
      <c r="G1688">
        <v>2023</v>
      </c>
      <c r="H1688" t="s">
        <v>57</v>
      </c>
      <c r="I1688" t="s">
        <v>47</v>
      </c>
      <c r="J1688">
        <v>6</v>
      </c>
      <c r="K1688">
        <v>6</v>
      </c>
      <c r="L1688">
        <v>1</v>
      </c>
      <c r="M1688">
        <v>1</v>
      </c>
      <c r="N1688" t="s">
        <v>5655</v>
      </c>
      <c r="O1688" t="s">
        <v>5655</v>
      </c>
      <c r="P1688" t="s">
        <v>3650</v>
      </c>
      <c r="Q1688">
        <v>2</v>
      </c>
      <c r="R1688">
        <v>2</v>
      </c>
    </row>
    <row r="1689" spans="1:18" x14ac:dyDescent="0.3">
      <c r="A1689" t="s">
        <v>3647</v>
      </c>
      <c r="B1689" t="s">
        <v>3648</v>
      </c>
      <c r="C1689" t="s">
        <v>3437</v>
      </c>
      <c r="D1689" t="s">
        <v>98</v>
      </c>
      <c r="E1689" t="s">
        <v>30</v>
      </c>
      <c r="F1689" s="6">
        <v>45657</v>
      </c>
      <c r="G1689">
        <v>2024</v>
      </c>
      <c r="H1689" t="s">
        <v>57</v>
      </c>
      <c r="I1689" t="s">
        <v>78</v>
      </c>
      <c r="J1689">
        <v>7</v>
      </c>
      <c r="K1689">
        <v>9</v>
      </c>
      <c r="L1689">
        <v>1.285714285714286</v>
      </c>
      <c r="M1689">
        <v>1.285714285714286</v>
      </c>
      <c r="N1689" t="s">
        <v>5558</v>
      </c>
      <c r="O1689" t="s">
        <v>3653</v>
      </c>
      <c r="P1689" t="s">
        <v>3651</v>
      </c>
      <c r="Q1689">
        <v>2</v>
      </c>
      <c r="R1689">
        <v>2</v>
      </c>
    </row>
    <row r="1690" spans="1:18" x14ac:dyDescent="0.3">
      <c r="A1690" t="s">
        <v>3647</v>
      </c>
      <c r="B1690" t="s">
        <v>3652</v>
      </c>
      <c r="C1690" t="s">
        <v>3437</v>
      </c>
      <c r="D1690" t="s">
        <v>98</v>
      </c>
      <c r="E1690" t="s">
        <v>30</v>
      </c>
      <c r="F1690" s="6">
        <v>46022</v>
      </c>
      <c r="G1690">
        <v>2025</v>
      </c>
      <c r="H1690" t="s">
        <v>57</v>
      </c>
      <c r="I1690" t="s">
        <v>103</v>
      </c>
      <c r="J1690">
        <v>9</v>
      </c>
      <c r="K1690">
        <v>11</v>
      </c>
      <c r="L1690">
        <v>1.2222222222222221</v>
      </c>
      <c r="M1690">
        <v>1.2222222222222221</v>
      </c>
      <c r="N1690" t="s">
        <v>3653</v>
      </c>
      <c r="O1690" t="s">
        <v>3654</v>
      </c>
      <c r="P1690" t="s">
        <v>3655</v>
      </c>
      <c r="Q1690">
        <v>2</v>
      </c>
      <c r="R1690">
        <v>2</v>
      </c>
    </row>
    <row r="1691" spans="1:18" x14ac:dyDescent="0.3">
      <c r="A1691" t="s">
        <v>3656</v>
      </c>
      <c r="B1691" t="s">
        <v>3657</v>
      </c>
      <c r="C1691" t="s">
        <v>2937</v>
      </c>
      <c r="D1691" t="s">
        <v>98</v>
      </c>
      <c r="E1691" t="s">
        <v>30</v>
      </c>
      <c r="F1691" s="6">
        <v>45291</v>
      </c>
      <c r="G1691">
        <v>2023</v>
      </c>
      <c r="H1691" t="s">
        <v>57</v>
      </c>
      <c r="I1691" t="s">
        <v>47</v>
      </c>
      <c r="J1691">
        <v>5500</v>
      </c>
      <c r="K1691">
        <v>5785</v>
      </c>
      <c r="L1691">
        <v>1.051818181818182</v>
      </c>
      <c r="M1691">
        <v>1.051818181818182</v>
      </c>
      <c r="N1691" t="s">
        <v>6367</v>
      </c>
      <c r="O1691" t="s">
        <v>6368</v>
      </c>
      <c r="P1691" t="s">
        <v>3658</v>
      </c>
      <c r="Q1691">
        <v>2</v>
      </c>
      <c r="R1691">
        <v>2</v>
      </c>
    </row>
    <row r="1692" spans="1:18" x14ac:dyDescent="0.3">
      <c r="A1692" t="s">
        <v>3656</v>
      </c>
      <c r="B1692" t="s">
        <v>3657</v>
      </c>
      <c r="C1692" t="s">
        <v>2937</v>
      </c>
      <c r="D1692" t="s">
        <v>222</v>
      </c>
      <c r="E1692" t="s">
        <v>30</v>
      </c>
      <c r="F1692" s="6">
        <v>45473</v>
      </c>
      <c r="G1692">
        <v>2024</v>
      </c>
      <c r="H1692" t="s">
        <v>44</v>
      </c>
      <c r="I1692" t="s">
        <v>71</v>
      </c>
      <c r="J1692">
        <v>100</v>
      </c>
      <c r="K1692">
        <v>60.69</v>
      </c>
      <c r="L1692">
        <v>0.6069</v>
      </c>
      <c r="M1692">
        <v>0.6069</v>
      </c>
      <c r="N1692" t="s">
        <v>102</v>
      </c>
      <c r="O1692" t="s">
        <v>6369</v>
      </c>
      <c r="P1692" t="s">
        <v>3659</v>
      </c>
      <c r="Q1692">
        <v>2</v>
      </c>
      <c r="R1692">
        <v>2</v>
      </c>
    </row>
    <row r="1693" spans="1:18" x14ac:dyDescent="0.3">
      <c r="A1693" t="s">
        <v>3656</v>
      </c>
      <c r="B1693" t="s">
        <v>3657</v>
      </c>
      <c r="C1693" t="s">
        <v>2937</v>
      </c>
      <c r="D1693" t="s">
        <v>222</v>
      </c>
      <c r="E1693" t="s">
        <v>30</v>
      </c>
      <c r="F1693" s="6">
        <v>45657</v>
      </c>
      <c r="G1693">
        <v>2024</v>
      </c>
      <c r="H1693" t="s">
        <v>57</v>
      </c>
      <c r="I1693" t="s">
        <v>78</v>
      </c>
      <c r="J1693">
        <v>100</v>
      </c>
      <c r="K1693">
        <v>164.69</v>
      </c>
      <c r="L1693">
        <v>1.3</v>
      </c>
      <c r="M1693">
        <v>1.6469</v>
      </c>
      <c r="N1693" t="s">
        <v>102</v>
      </c>
      <c r="O1693" t="s">
        <v>6370</v>
      </c>
      <c r="P1693" t="s">
        <v>3660</v>
      </c>
      <c r="Q1693">
        <v>2</v>
      </c>
      <c r="R1693">
        <v>2</v>
      </c>
    </row>
    <row r="1694" spans="1:18" x14ac:dyDescent="0.3">
      <c r="A1694" t="s">
        <v>3661</v>
      </c>
      <c r="B1694" t="s">
        <v>3662</v>
      </c>
      <c r="C1694" t="s">
        <v>165</v>
      </c>
      <c r="D1694" t="s">
        <v>222</v>
      </c>
      <c r="E1694" t="s">
        <v>30</v>
      </c>
      <c r="F1694" s="6">
        <v>45107</v>
      </c>
      <c r="G1694">
        <v>2023</v>
      </c>
      <c r="H1694" t="s">
        <v>44</v>
      </c>
      <c r="I1694" t="s">
        <v>33</v>
      </c>
      <c r="K1694">
        <v>86.98</v>
      </c>
      <c r="L1694">
        <v>0</v>
      </c>
      <c r="M1694">
        <v>0</v>
      </c>
      <c r="O1694" t="s">
        <v>5958</v>
      </c>
      <c r="P1694" t="s">
        <v>3663</v>
      </c>
      <c r="Q1694">
        <v>2</v>
      </c>
      <c r="R1694">
        <v>2</v>
      </c>
    </row>
    <row r="1695" spans="1:18" x14ac:dyDescent="0.3">
      <c r="A1695" t="s">
        <v>3661</v>
      </c>
      <c r="B1695" t="s">
        <v>3662</v>
      </c>
      <c r="C1695" t="s">
        <v>165</v>
      </c>
      <c r="D1695" t="s">
        <v>222</v>
      </c>
      <c r="E1695" t="s">
        <v>30</v>
      </c>
      <c r="F1695" s="6">
        <v>45291</v>
      </c>
      <c r="G1695">
        <v>2023</v>
      </c>
      <c r="H1695" t="s">
        <v>57</v>
      </c>
      <c r="I1695" t="s">
        <v>47</v>
      </c>
      <c r="K1695">
        <v>92.31</v>
      </c>
      <c r="L1695">
        <v>0</v>
      </c>
      <c r="M1695">
        <v>0</v>
      </c>
      <c r="O1695" t="s">
        <v>6371</v>
      </c>
      <c r="P1695" t="s">
        <v>3664</v>
      </c>
      <c r="Q1695">
        <v>2</v>
      </c>
      <c r="R1695">
        <v>2</v>
      </c>
    </row>
    <row r="1696" spans="1:18" x14ac:dyDescent="0.3">
      <c r="A1696" t="s">
        <v>3661</v>
      </c>
      <c r="B1696" t="s">
        <v>3662</v>
      </c>
      <c r="C1696" t="s">
        <v>165</v>
      </c>
      <c r="D1696" t="s">
        <v>222</v>
      </c>
      <c r="E1696" t="s">
        <v>30</v>
      </c>
      <c r="F1696" s="6">
        <v>45473</v>
      </c>
      <c r="G1696">
        <v>2024</v>
      </c>
      <c r="H1696" t="s">
        <v>44</v>
      </c>
      <c r="I1696" t="s">
        <v>71</v>
      </c>
      <c r="J1696">
        <v>90</v>
      </c>
      <c r="K1696">
        <v>67.39</v>
      </c>
      <c r="L1696">
        <v>0.74877777777777776</v>
      </c>
      <c r="M1696">
        <v>0.74877777777777776</v>
      </c>
      <c r="N1696" t="s">
        <v>256</v>
      </c>
      <c r="O1696" t="s">
        <v>6372</v>
      </c>
      <c r="P1696" t="s">
        <v>3665</v>
      </c>
      <c r="Q1696">
        <v>2</v>
      </c>
      <c r="R1696">
        <v>2</v>
      </c>
    </row>
    <row r="1697" spans="1:18" x14ac:dyDescent="0.3">
      <c r="A1697" t="s">
        <v>3661</v>
      </c>
      <c r="B1697" t="s">
        <v>3662</v>
      </c>
      <c r="C1697" t="s">
        <v>165</v>
      </c>
      <c r="D1697" t="s">
        <v>222</v>
      </c>
      <c r="E1697" t="s">
        <v>30</v>
      </c>
      <c r="F1697" s="6">
        <v>45657</v>
      </c>
      <c r="G1697">
        <v>2024</v>
      </c>
      <c r="H1697" t="s">
        <v>57</v>
      </c>
      <c r="I1697" t="s">
        <v>78</v>
      </c>
      <c r="J1697">
        <v>80</v>
      </c>
      <c r="K1697">
        <v>86.72</v>
      </c>
      <c r="L1697">
        <v>1.0840000000000001</v>
      </c>
      <c r="M1697">
        <v>1.0840000000000001</v>
      </c>
      <c r="N1697" t="s">
        <v>193</v>
      </c>
      <c r="O1697" t="s">
        <v>6373</v>
      </c>
      <c r="P1697" t="s">
        <v>3666</v>
      </c>
      <c r="Q1697">
        <v>2</v>
      </c>
      <c r="R1697">
        <v>2</v>
      </c>
    </row>
    <row r="1698" spans="1:18" x14ac:dyDescent="0.3">
      <c r="A1698" t="s">
        <v>3667</v>
      </c>
      <c r="B1698" t="s">
        <v>3668</v>
      </c>
      <c r="C1698" t="s">
        <v>299</v>
      </c>
      <c r="D1698" t="s">
        <v>222</v>
      </c>
      <c r="E1698" t="s">
        <v>108</v>
      </c>
      <c r="F1698" s="6">
        <v>45107</v>
      </c>
      <c r="G1698">
        <v>2023</v>
      </c>
      <c r="H1698" t="s">
        <v>44</v>
      </c>
      <c r="I1698" t="s">
        <v>33</v>
      </c>
      <c r="J1698">
        <v>0.2</v>
      </c>
      <c r="K1698">
        <v>0.14000000000000001</v>
      </c>
      <c r="L1698">
        <v>1.3</v>
      </c>
      <c r="M1698">
        <v>1.428571428571429</v>
      </c>
      <c r="N1698" t="s">
        <v>484</v>
      </c>
      <c r="O1698" t="s">
        <v>3674</v>
      </c>
      <c r="P1698" t="s">
        <v>3669</v>
      </c>
      <c r="Q1698">
        <v>2</v>
      </c>
      <c r="R1698">
        <v>2</v>
      </c>
    </row>
    <row r="1699" spans="1:18" x14ac:dyDescent="0.3">
      <c r="A1699" t="s">
        <v>3667</v>
      </c>
      <c r="B1699" t="s">
        <v>3668</v>
      </c>
      <c r="C1699" t="s">
        <v>299</v>
      </c>
      <c r="D1699" t="s">
        <v>222</v>
      </c>
      <c r="E1699" t="s">
        <v>108</v>
      </c>
      <c r="F1699" s="6">
        <v>45291</v>
      </c>
      <c r="G1699">
        <v>2023</v>
      </c>
      <c r="H1699" t="s">
        <v>57</v>
      </c>
      <c r="I1699" t="s">
        <v>47</v>
      </c>
      <c r="J1699">
        <v>0.2</v>
      </c>
      <c r="K1699">
        <v>0.2</v>
      </c>
      <c r="L1699">
        <v>1</v>
      </c>
      <c r="M1699">
        <v>1</v>
      </c>
      <c r="N1699" t="s">
        <v>484</v>
      </c>
      <c r="O1699" t="s">
        <v>484</v>
      </c>
      <c r="P1699" t="s">
        <v>3670</v>
      </c>
      <c r="Q1699">
        <v>2</v>
      </c>
      <c r="R1699">
        <v>2</v>
      </c>
    </row>
    <row r="1700" spans="1:18" x14ac:dyDescent="0.3">
      <c r="A1700" t="s">
        <v>3667</v>
      </c>
      <c r="B1700" t="s">
        <v>3668</v>
      </c>
      <c r="C1700" t="s">
        <v>299</v>
      </c>
      <c r="D1700" t="s">
        <v>222</v>
      </c>
      <c r="E1700" t="s">
        <v>108</v>
      </c>
      <c r="F1700" s="6">
        <v>45473</v>
      </c>
      <c r="G1700">
        <v>2024</v>
      </c>
      <c r="H1700" t="s">
        <v>44</v>
      </c>
      <c r="I1700" t="s">
        <v>71</v>
      </c>
      <c r="J1700">
        <v>0.2</v>
      </c>
      <c r="K1700">
        <v>0.17</v>
      </c>
      <c r="L1700">
        <v>1.1764705882352939</v>
      </c>
      <c r="M1700">
        <v>1.1764705882352939</v>
      </c>
      <c r="N1700" t="s">
        <v>484</v>
      </c>
      <c r="O1700" t="s">
        <v>3745</v>
      </c>
      <c r="P1700" t="s">
        <v>3671</v>
      </c>
      <c r="Q1700">
        <v>2</v>
      </c>
      <c r="R1700">
        <v>2</v>
      </c>
    </row>
    <row r="1701" spans="1:18" x14ac:dyDescent="0.3">
      <c r="A1701" t="s">
        <v>3667</v>
      </c>
      <c r="B1701" t="s">
        <v>3668</v>
      </c>
      <c r="C1701" t="s">
        <v>299</v>
      </c>
      <c r="D1701" t="s">
        <v>222</v>
      </c>
      <c r="E1701" t="s">
        <v>108</v>
      </c>
      <c r="F1701" s="6">
        <v>45657</v>
      </c>
      <c r="G1701">
        <v>2024</v>
      </c>
      <c r="H1701" t="s">
        <v>57</v>
      </c>
      <c r="I1701" t="s">
        <v>78</v>
      </c>
      <c r="J1701">
        <v>0.2</v>
      </c>
      <c r="K1701">
        <v>0.2</v>
      </c>
      <c r="L1701">
        <v>1</v>
      </c>
      <c r="M1701">
        <v>1</v>
      </c>
      <c r="N1701" t="s">
        <v>484</v>
      </c>
      <c r="O1701" t="s">
        <v>484</v>
      </c>
      <c r="P1701" t="s">
        <v>3672</v>
      </c>
      <c r="Q1701">
        <v>2</v>
      </c>
      <c r="R1701">
        <v>2</v>
      </c>
    </row>
    <row r="1702" spans="1:18" x14ac:dyDescent="0.3">
      <c r="A1702" t="s">
        <v>3667</v>
      </c>
      <c r="B1702" t="s">
        <v>3668</v>
      </c>
      <c r="C1702" t="s">
        <v>299</v>
      </c>
      <c r="D1702" t="s">
        <v>222</v>
      </c>
      <c r="E1702" t="s">
        <v>108</v>
      </c>
      <c r="F1702" s="6">
        <v>45838</v>
      </c>
      <c r="G1702">
        <v>2025</v>
      </c>
      <c r="H1702" t="s">
        <v>44</v>
      </c>
      <c r="I1702" t="s">
        <v>244</v>
      </c>
      <c r="J1702">
        <v>0.2</v>
      </c>
      <c r="K1702">
        <v>0.14000000000000001</v>
      </c>
      <c r="L1702">
        <v>1.3</v>
      </c>
      <c r="M1702">
        <v>1.428571428571429</v>
      </c>
      <c r="N1702" t="s">
        <v>484</v>
      </c>
      <c r="O1702" t="s">
        <v>3674</v>
      </c>
      <c r="P1702" t="s">
        <v>3675</v>
      </c>
      <c r="Q1702">
        <v>2</v>
      </c>
      <c r="R1702">
        <v>2</v>
      </c>
    </row>
    <row r="1703" spans="1:18" x14ac:dyDescent="0.3">
      <c r="A1703" t="s">
        <v>3667</v>
      </c>
      <c r="B1703" t="s">
        <v>3668</v>
      </c>
      <c r="C1703" t="s">
        <v>299</v>
      </c>
      <c r="D1703" t="s">
        <v>222</v>
      </c>
      <c r="E1703" t="s">
        <v>108</v>
      </c>
      <c r="F1703" s="6">
        <v>46022</v>
      </c>
      <c r="G1703">
        <v>2025</v>
      </c>
      <c r="H1703" t="s">
        <v>57</v>
      </c>
      <c r="I1703" t="s">
        <v>103</v>
      </c>
      <c r="J1703">
        <v>0.2</v>
      </c>
      <c r="K1703">
        <v>0.15</v>
      </c>
      <c r="L1703">
        <v>1.3</v>
      </c>
      <c r="M1703">
        <v>1.333333333333333</v>
      </c>
      <c r="N1703" t="s">
        <v>484</v>
      </c>
      <c r="O1703" t="s">
        <v>3677</v>
      </c>
      <c r="P1703" t="s">
        <v>3678</v>
      </c>
      <c r="Q1703">
        <v>2</v>
      </c>
      <c r="R1703">
        <v>2</v>
      </c>
    </row>
    <row r="1704" spans="1:18" x14ac:dyDescent="0.3">
      <c r="A1704" t="s">
        <v>3679</v>
      </c>
      <c r="B1704" t="s">
        <v>3680</v>
      </c>
      <c r="C1704" t="s">
        <v>299</v>
      </c>
      <c r="D1704" t="s">
        <v>222</v>
      </c>
      <c r="E1704" t="s">
        <v>108</v>
      </c>
      <c r="F1704" s="6">
        <v>45107</v>
      </c>
      <c r="G1704">
        <v>2023</v>
      </c>
      <c r="H1704" t="s">
        <v>44</v>
      </c>
      <c r="I1704" t="s">
        <v>33</v>
      </c>
      <c r="J1704">
        <v>20</v>
      </c>
      <c r="K1704">
        <v>17.59</v>
      </c>
      <c r="L1704">
        <v>1.137009664582149</v>
      </c>
      <c r="M1704">
        <v>1.137009664582149</v>
      </c>
      <c r="N1704" t="s">
        <v>1298</v>
      </c>
      <c r="O1704" t="s">
        <v>6374</v>
      </c>
      <c r="P1704" t="s">
        <v>3681</v>
      </c>
      <c r="Q1704">
        <v>2</v>
      </c>
      <c r="R1704">
        <v>2</v>
      </c>
    </row>
    <row r="1705" spans="1:18" x14ac:dyDescent="0.3">
      <c r="A1705" t="s">
        <v>3679</v>
      </c>
      <c r="B1705" t="s">
        <v>3680</v>
      </c>
      <c r="C1705" t="s">
        <v>299</v>
      </c>
      <c r="D1705" t="s">
        <v>222</v>
      </c>
      <c r="E1705" t="s">
        <v>108</v>
      </c>
      <c r="F1705" s="6">
        <v>45291</v>
      </c>
      <c r="G1705">
        <v>2023</v>
      </c>
      <c r="H1705" t="s">
        <v>57</v>
      </c>
      <c r="I1705" t="s">
        <v>47</v>
      </c>
      <c r="J1705">
        <v>20</v>
      </c>
      <c r="K1705">
        <v>18.63</v>
      </c>
      <c r="L1705">
        <v>1.0735373054213631</v>
      </c>
      <c r="M1705">
        <v>1.0735373054213631</v>
      </c>
      <c r="N1705" t="s">
        <v>1298</v>
      </c>
      <c r="O1705" t="s">
        <v>6375</v>
      </c>
      <c r="P1705" t="s">
        <v>3682</v>
      </c>
      <c r="Q1705">
        <v>2</v>
      </c>
      <c r="R1705">
        <v>2</v>
      </c>
    </row>
    <row r="1706" spans="1:18" x14ac:dyDescent="0.3">
      <c r="A1706" t="s">
        <v>3679</v>
      </c>
      <c r="B1706" t="s">
        <v>3680</v>
      </c>
      <c r="C1706" t="s">
        <v>299</v>
      </c>
      <c r="D1706" t="s">
        <v>222</v>
      </c>
      <c r="E1706" t="s">
        <v>108</v>
      </c>
      <c r="F1706" s="6">
        <v>45473</v>
      </c>
      <c r="G1706">
        <v>2024</v>
      </c>
      <c r="H1706" t="s">
        <v>44</v>
      </c>
      <c r="I1706" t="s">
        <v>71</v>
      </c>
      <c r="J1706">
        <v>20</v>
      </c>
      <c r="K1706">
        <v>16.579999999999998</v>
      </c>
      <c r="L1706">
        <v>1.2062726176115799</v>
      </c>
      <c r="M1706">
        <v>1.2062726176115799</v>
      </c>
      <c r="N1706" t="s">
        <v>1298</v>
      </c>
      <c r="O1706" t="s">
        <v>6376</v>
      </c>
      <c r="P1706" t="s">
        <v>3683</v>
      </c>
      <c r="Q1706">
        <v>2</v>
      </c>
      <c r="R1706">
        <v>2</v>
      </c>
    </row>
    <row r="1707" spans="1:18" x14ac:dyDescent="0.3">
      <c r="A1707" t="s">
        <v>3679</v>
      </c>
      <c r="B1707" t="s">
        <v>3680</v>
      </c>
      <c r="C1707" t="s">
        <v>299</v>
      </c>
      <c r="D1707" t="s">
        <v>222</v>
      </c>
      <c r="E1707" t="s">
        <v>108</v>
      </c>
      <c r="F1707" s="6">
        <v>45657</v>
      </c>
      <c r="G1707">
        <v>2024</v>
      </c>
      <c r="H1707" t="s">
        <v>57</v>
      </c>
      <c r="I1707" t="s">
        <v>78</v>
      </c>
      <c r="J1707">
        <v>20</v>
      </c>
      <c r="K1707">
        <v>18.53</v>
      </c>
      <c r="L1707">
        <v>1.0793308148947649</v>
      </c>
      <c r="M1707">
        <v>1.0793308148947649</v>
      </c>
      <c r="N1707" t="s">
        <v>1298</v>
      </c>
      <c r="O1707" t="s">
        <v>6377</v>
      </c>
      <c r="P1707" t="s">
        <v>3684</v>
      </c>
      <c r="Q1707">
        <v>2</v>
      </c>
      <c r="R1707">
        <v>2</v>
      </c>
    </row>
    <row r="1708" spans="1:18" x14ac:dyDescent="0.3">
      <c r="A1708" t="s">
        <v>3679</v>
      </c>
      <c r="B1708" t="s">
        <v>3680</v>
      </c>
      <c r="C1708" t="s">
        <v>299</v>
      </c>
      <c r="D1708" t="s">
        <v>222</v>
      </c>
      <c r="E1708" t="s">
        <v>108</v>
      </c>
      <c r="F1708" s="6">
        <v>45838</v>
      </c>
      <c r="G1708">
        <v>2025</v>
      </c>
      <c r="H1708" t="s">
        <v>44</v>
      </c>
      <c r="I1708" t="s">
        <v>244</v>
      </c>
      <c r="J1708">
        <v>1</v>
      </c>
      <c r="K1708">
        <v>15.12</v>
      </c>
      <c r="L1708">
        <v>6.6137566137566148E-2</v>
      </c>
      <c r="M1708">
        <v>6.6137566137566148E-2</v>
      </c>
      <c r="N1708" t="s">
        <v>617</v>
      </c>
      <c r="O1708" t="s">
        <v>3686</v>
      </c>
      <c r="P1708" t="s">
        <v>3687</v>
      </c>
      <c r="Q1708">
        <v>2</v>
      </c>
      <c r="R1708">
        <v>2</v>
      </c>
    </row>
    <row r="1709" spans="1:18" x14ac:dyDescent="0.3">
      <c r="A1709" t="s">
        <v>3679</v>
      </c>
      <c r="B1709" t="s">
        <v>3680</v>
      </c>
      <c r="C1709" t="s">
        <v>299</v>
      </c>
      <c r="D1709" t="s">
        <v>222</v>
      </c>
      <c r="E1709" t="s">
        <v>108</v>
      </c>
      <c r="F1709" s="6">
        <v>46022</v>
      </c>
      <c r="G1709">
        <v>2025</v>
      </c>
      <c r="H1709" t="s">
        <v>57</v>
      </c>
      <c r="I1709" t="s">
        <v>103</v>
      </c>
      <c r="J1709">
        <v>1</v>
      </c>
      <c r="K1709">
        <v>17.88</v>
      </c>
      <c r="L1709">
        <v>5.5928411633109618E-2</v>
      </c>
      <c r="M1709">
        <v>5.5928411633109618E-2</v>
      </c>
      <c r="N1709" t="s">
        <v>617</v>
      </c>
      <c r="O1709" t="s">
        <v>3689</v>
      </c>
      <c r="P1709" t="s">
        <v>3690</v>
      </c>
      <c r="Q1709">
        <v>2</v>
      </c>
      <c r="R1709">
        <v>2</v>
      </c>
    </row>
    <row r="1710" spans="1:18" x14ac:dyDescent="0.3">
      <c r="A1710" t="s">
        <v>3691</v>
      </c>
      <c r="B1710" t="s">
        <v>3692</v>
      </c>
      <c r="C1710" t="s">
        <v>299</v>
      </c>
      <c r="D1710" t="s">
        <v>222</v>
      </c>
      <c r="E1710" t="s">
        <v>108</v>
      </c>
      <c r="F1710" s="6">
        <v>45107</v>
      </c>
      <c r="G1710">
        <v>2023</v>
      </c>
      <c r="H1710" t="s">
        <v>44</v>
      </c>
      <c r="I1710" t="s">
        <v>33</v>
      </c>
      <c r="J1710">
        <v>0.76</v>
      </c>
      <c r="K1710">
        <v>0.3</v>
      </c>
      <c r="L1710">
        <v>1.3</v>
      </c>
      <c r="M1710">
        <v>2.5333333333333341</v>
      </c>
      <c r="N1710" t="s">
        <v>3698</v>
      </c>
      <c r="O1710" t="s">
        <v>1495</v>
      </c>
      <c r="P1710" t="s">
        <v>3693</v>
      </c>
      <c r="Q1710">
        <v>2</v>
      </c>
      <c r="R1710">
        <v>2</v>
      </c>
    </row>
    <row r="1711" spans="1:18" x14ac:dyDescent="0.3">
      <c r="A1711" t="s">
        <v>3691</v>
      </c>
      <c r="B1711" t="s">
        <v>3692</v>
      </c>
      <c r="C1711" t="s">
        <v>299</v>
      </c>
      <c r="D1711" t="s">
        <v>222</v>
      </c>
      <c r="E1711" t="s">
        <v>108</v>
      </c>
      <c r="F1711" s="6">
        <v>45291</v>
      </c>
      <c r="G1711">
        <v>2023</v>
      </c>
      <c r="H1711" t="s">
        <v>57</v>
      </c>
      <c r="I1711" t="s">
        <v>47</v>
      </c>
      <c r="J1711">
        <v>0.76</v>
      </c>
      <c r="K1711">
        <v>0.76</v>
      </c>
      <c r="L1711">
        <v>1</v>
      </c>
      <c r="M1711">
        <v>1</v>
      </c>
      <c r="N1711" t="s">
        <v>3698</v>
      </c>
      <c r="O1711" t="s">
        <v>3698</v>
      </c>
      <c r="P1711" t="s">
        <v>3694</v>
      </c>
      <c r="Q1711">
        <v>2</v>
      </c>
      <c r="R1711">
        <v>2</v>
      </c>
    </row>
    <row r="1712" spans="1:18" x14ac:dyDescent="0.3">
      <c r="A1712" t="s">
        <v>3691</v>
      </c>
      <c r="B1712" t="s">
        <v>3692</v>
      </c>
      <c r="C1712" t="s">
        <v>299</v>
      </c>
      <c r="D1712" t="s">
        <v>222</v>
      </c>
      <c r="E1712" t="s">
        <v>108</v>
      </c>
      <c r="F1712" s="6">
        <v>45473</v>
      </c>
      <c r="G1712">
        <v>2024</v>
      </c>
      <c r="H1712" t="s">
        <v>44</v>
      </c>
      <c r="I1712" t="s">
        <v>71</v>
      </c>
      <c r="J1712">
        <v>0.76</v>
      </c>
      <c r="K1712">
        <v>0.66</v>
      </c>
      <c r="L1712">
        <v>1.1515151515151509</v>
      </c>
      <c r="M1712">
        <v>1.1515151515151509</v>
      </c>
      <c r="N1712" t="s">
        <v>3698</v>
      </c>
      <c r="O1712" t="s">
        <v>5450</v>
      </c>
      <c r="P1712" t="s">
        <v>3695</v>
      </c>
      <c r="Q1712">
        <v>2</v>
      </c>
      <c r="R1712">
        <v>2</v>
      </c>
    </row>
    <row r="1713" spans="1:18" x14ac:dyDescent="0.3">
      <c r="A1713" t="s">
        <v>3691</v>
      </c>
      <c r="B1713" t="s">
        <v>3692</v>
      </c>
      <c r="C1713" t="s">
        <v>299</v>
      </c>
      <c r="D1713" t="s">
        <v>222</v>
      </c>
      <c r="E1713" t="s">
        <v>108</v>
      </c>
      <c r="F1713" s="6">
        <v>45657</v>
      </c>
      <c r="G1713">
        <v>2024</v>
      </c>
      <c r="H1713" t="s">
        <v>57</v>
      </c>
      <c r="I1713" t="s">
        <v>78</v>
      </c>
      <c r="J1713">
        <v>0.76</v>
      </c>
      <c r="K1713">
        <v>0.67</v>
      </c>
      <c r="L1713">
        <v>1.1343283582089549</v>
      </c>
      <c r="M1713">
        <v>1.1343283582089549</v>
      </c>
      <c r="N1713" t="s">
        <v>3698</v>
      </c>
      <c r="O1713" t="s">
        <v>6378</v>
      </c>
      <c r="P1713" t="s">
        <v>3696</v>
      </c>
      <c r="Q1713">
        <v>2</v>
      </c>
      <c r="R1713">
        <v>2</v>
      </c>
    </row>
    <row r="1714" spans="1:18" x14ac:dyDescent="0.3">
      <c r="A1714" t="s">
        <v>3691</v>
      </c>
      <c r="B1714" t="s">
        <v>3692</v>
      </c>
      <c r="C1714" t="s">
        <v>299</v>
      </c>
      <c r="D1714" t="s">
        <v>222</v>
      </c>
      <c r="E1714" t="s">
        <v>108</v>
      </c>
      <c r="F1714" s="6">
        <v>45838</v>
      </c>
      <c r="G1714">
        <v>2025</v>
      </c>
      <c r="H1714" t="s">
        <v>44</v>
      </c>
      <c r="I1714" t="s">
        <v>244</v>
      </c>
      <c r="J1714">
        <v>0.76</v>
      </c>
      <c r="K1714">
        <v>0.59</v>
      </c>
      <c r="L1714">
        <v>1.2881355932203391</v>
      </c>
      <c r="M1714">
        <v>1.2881355932203391</v>
      </c>
      <c r="N1714" t="s">
        <v>3698</v>
      </c>
      <c r="O1714" t="s">
        <v>3699</v>
      </c>
      <c r="P1714" t="s">
        <v>3700</v>
      </c>
      <c r="Q1714">
        <v>2</v>
      </c>
      <c r="R1714">
        <v>2</v>
      </c>
    </row>
    <row r="1715" spans="1:18" x14ac:dyDescent="0.3">
      <c r="A1715" t="s">
        <v>3691</v>
      </c>
      <c r="B1715" t="s">
        <v>3692</v>
      </c>
      <c r="C1715" t="s">
        <v>299</v>
      </c>
      <c r="D1715" t="s">
        <v>222</v>
      </c>
      <c r="E1715" t="s">
        <v>108</v>
      </c>
      <c r="F1715" s="6">
        <v>46022</v>
      </c>
      <c r="G1715">
        <v>2025</v>
      </c>
      <c r="H1715" t="s">
        <v>57</v>
      </c>
      <c r="I1715" t="s">
        <v>103</v>
      </c>
      <c r="J1715">
        <v>0.76</v>
      </c>
      <c r="L1715">
        <v>0</v>
      </c>
      <c r="M1715">
        <v>0</v>
      </c>
      <c r="N1715" t="s">
        <v>3698</v>
      </c>
      <c r="P1715" t="s">
        <v>3701</v>
      </c>
      <c r="Q1715">
        <v>2</v>
      </c>
      <c r="R1715">
        <v>2</v>
      </c>
    </row>
    <row r="1716" spans="1:18" x14ac:dyDescent="0.3">
      <c r="A1716" t="s">
        <v>3702</v>
      </c>
      <c r="B1716" t="s">
        <v>3703</v>
      </c>
      <c r="C1716" t="s">
        <v>225</v>
      </c>
      <c r="D1716" t="s">
        <v>222</v>
      </c>
      <c r="E1716" t="s">
        <v>30</v>
      </c>
      <c r="F1716" s="6">
        <v>45107</v>
      </c>
      <c r="G1716">
        <v>2023</v>
      </c>
      <c r="H1716" t="s">
        <v>44</v>
      </c>
      <c r="I1716" t="s">
        <v>33</v>
      </c>
      <c r="J1716">
        <v>95</v>
      </c>
      <c r="K1716">
        <v>104.6</v>
      </c>
      <c r="L1716">
        <v>1.1010526315789471</v>
      </c>
      <c r="M1716">
        <v>1.1010526315789471</v>
      </c>
      <c r="N1716" t="s">
        <v>838</v>
      </c>
      <c r="O1716" t="s">
        <v>5985</v>
      </c>
      <c r="P1716" t="s">
        <v>3704</v>
      </c>
      <c r="Q1716">
        <v>2</v>
      </c>
      <c r="R1716">
        <v>2</v>
      </c>
    </row>
    <row r="1717" spans="1:18" x14ac:dyDescent="0.3">
      <c r="A1717" t="s">
        <v>3702</v>
      </c>
      <c r="B1717" t="s">
        <v>3703</v>
      </c>
      <c r="C1717" t="s">
        <v>225</v>
      </c>
      <c r="D1717" t="s">
        <v>222</v>
      </c>
      <c r="E1717" t="s">
        <v>30</v>
      </c>
      <c r="F1717" s="6">
        <v>45291</v>
      </c>
      <c r="G1717">
        <v>2023</v>
      </c>
      <c r="H1717" t="s">
        <v>57</v>
      </c>
      <c r="I1717" t="s">
        <v>47</v>
      </c>
      <c r="J1717">
        <v>95</v>
      </c>
      <c r="K1717">
        <v>101.4</v>
      </c>
      <c r="L1717">
        <v>1.067368421052632</v>
      </c>
      <c r="M1717">
        <v>1.067368421052632</v>
      </c>
      <c r="N1717" t="s">
        <v>838</v>
      </c>
      <c r="O1717" t="s">
        <v>6379</v>
      </c>
      <c r="P1717" t="s">
        <v>3705</v>
      </c>
      <c r="Q1717">
        <v>2</v>
      </c>
      <c r="R1717">
        <v>2</v>
      </c>
    </row>
    <row r="1718" spans="1:18" x14ac:dyDescent="0.3">
      <c r="A1718" t="s">
        <v>3702</v>
      </c>
      <c r="B1718" t="s">
        <v>3703</v>
      </c>
      <c r="C1718" t="s">
        <v>225</v>
      </c>
      <c r="D1718" t="s">
        <v>222</v>
      </c>
      <c r="E1718" t="s">
        <v>30</v>
      </c>
      <c r="F1718" s="6">
        <v>45473</v>
      </c>
      <c r="G1718">
        <v>2024</v>
      </c>
      <c r="H1718" t="s">
        <v>44</v>
      </c>
      <c r="I1718" t="s">
        <v>71</v>
      </c>
      <c r="J1718">
        <v>95</v>
      </c>
      <c r="K1718">
        <v>101.88</v>
      </c>
      <c r="L1718">
        <v>1.0724210526315789</v>
      </c>
      <c r="M1718">
        <v>1.0724210526315789</v>
      </c>
      <c r="N1718" t="s">
        <v>838</v>
      </c>
      <c r="O1718" t="s">
        <v>6380</v>
      </c>
      <c r="P1718" t="s">
        <v>3706</v>
      </c>
      <c r="Q1718">
        <v>2</v>
      </c>
      <c r="R1718">
        <v>2</v>
      </c>
    </row>
    <row r="1719" spans="1:18" x14ac:dyDescent="0.3">
      <c r="A1719" t="s">
        <v>3702</v>
      </c>
      <c r="B1719" t="s">
        <v>3703</v>
      </c>
      <c r="C1719" t="s">
        <v>225</v>
      </c>
      <c r="D1719" t="s">
        <v>222</v>
      </c>
      <c r="E1719" t="s">
        <v>30</v>
      </c>
      <c r="F1719" s="6">
        <v>45657</v>
      </c>
      <c r="G1719">
        <v>2024</v>
      </c>
      <c r="H1719" t="s">
        <v>57</v>
      </c>
      <c r="I1719" t="s">
        <v>78</v>
      </c>
      <c r="J1719">
        <v>95</v>
      </c>
      <c r="K1719">
        <v>102.93749197103701</v>
      </c>
      <c r="L1719">
        <v>1.083552547063547</v>
      </c>
      <c r="M1719">
        <v>1.083552547063547</v>
      </c>
      <c r="N1719" t="s">
        <v>838</v>
      </c>
      <c r="O1719" t="s">
        <v>6381</v>
      </c>
      <c r="P1719" t="s">
        <v>3707</v>
      </c>
      <c r="Q1719">
        <v>2</v>
      </c>
      <c r="R1719">
        <v>2</v>
      </c>
    </row>
    <row r="1720" spans="1:18" x14ac:dyDescent="0.3">
      <c r="A1720" t="s">
        <v>3702</v>
      </c>
      <c r="B1720" t="s">
        <v>3703</v>
      </c>
      <c r="C1720" t="s">
        <v>225</v>
      </c>
      <c r="D1720" t="s">
        <v>222</v>
      </c>
      <c r="E1720" t="s">
        <v>30</v>
      </c>
      <c r="F1720" s="6">
        <v>45838</v>
      </c>
      <c r="G1720">
        <v>2025</v>
      </c>
      <c r="H1720" t="s">
        <v>44</v>
      </c>
      <c r="I1720" t="s">
        <v>244</v>
      </c>
      <c r="J1720">
        <v>95</v>
      </c>
      <c r="K1720">
        <v>110.79</v>
      </c>
      <c r="L1720">
        <v>1.16621052631579</v>
      </c>
      <c r="M1720">
        <v>1.16621052631579</v>
      </c>
      <c r="N1720" t="s">
        <v>838</v>
      </c>
      <c r="O1720" t="s">
        <v>3293</v>
      </c>
      <c r="P1720" t="s">
        <v>3708</v>
      </c>
      <c r="Q1720">
        <v>2</v>
      </c>
      <c r="R1720">
        <v>2</v>
      </c>
    </row>
    <row r="1721" spans="1:18" x14ac:dyDescent="0.3">
      <c r="A1721" t="s">
        <v>3702</v>
      </c>
      <c r="B1721" t="s">
        <v>3703</v>
      </c>
      <c r="C1721" t="s">
        <v>225</v>
      </c>
      <c r="D1721" t="s">
        <v>222</v>
      </c>
      <c r="E1721" t="s">
        <v>30</v>
      </c>
      <c r="F1721" s="6">
        <v>46022</v>
      </c>
      <c r="G1721">
        <v>2025</v>
      </c>
      <c r="H1721" t="s">
        <v>57</v>
      </c>
      <c r="I1721" t="s">
        <v>103</v>
      </c>
      <c r="J1721">
        <v>95</v>
      </c>
      <c r="K1721">
        <v>111.76</v>
      </c>
      <c r="L1721">
        <v>1.176421052631579</v>
      </c>
      <c r="M1721">
        <v>1.176421052631579</v>
      </c>
      <c r="N1721" t="s">
        <v>838</v>
      </c>
      <c r="O1721" t="s">
        <v>3710</v>
      </c>
      <c r="P1721" t="s">
        <v>3711</v>
      </c>
      <c r="Q1721">
        <v>2</v>
      </c>
      <c r="R1721">
        <v>2</v>
      </c>
    </row>
    <row r="1722" spans="1:18" x14ac:dyDescent="0.3">
      <c r="A1722" t="s">
        <v>3712</v>
      </c>
      <c r="B1722" t="s">
        <v>3713</v>
      </c>
      <c r="C1722" t="s">
        <v>97</v>
      </c>
      <c r="D1722" t="s">
        <v>233</v>
      </c>
      <c r="E1722" t="s">
        <v>30</v>
      </c>
      <c r="F1722" s="6">
        <v>45291</v>
      </c>
      <c r="G1722">
        <v>2023</v>
      </c>
      <c r="H1722" t="s">
        <v>57</v>
      </c>
      <c r="I1722" t="s">
        <v>47</v>
      </c>
      <c r="J1722">
        <v>100</v>
      </c>
      <c r="K1722">
        <v>100</v>
      </c>
      <c r="L1722">
        <v>1</v>
      </c>
      <c r="M1722">
        <v>1</v>
      </c>
      <c r="N1722" t="s">
        <v>102</v>
      </c>
      <c r="O1722" t="s">
        <v>102</v>
      </c>
      <c r="P1722" t="s">
        <v>3715</v>
      </c>
      <c r="Q1722">
        <v>2</v>
      </c>
      <c r="R1722">
        <v>2</v>
      </c>
    </row>
    <row r="1723" spans="1:18" x14ac:dyDescent="0.3">
      <c r="A1723" t="s">
        <v>3712</v>
      </c>
      <c r="B1723" t="s">
        <v>3713</v>
      </c>
      <c r="C1723" t="s">
        <v>97</v>
      </c>
      <c r="D1723" t="s">
        <v>233</v>
      </c>
      <c r="E1723" t="s">
        <v>30</v>
      </c>
      <c r="F1723" s="6">
        <v>45473</v>
      </c>
      <c r="G1723">
        <v>2024</v>
      </c>
      <c r="H1723" t="s">
        <v>44</v>
      </c>
      <c r="I1723" t="s">
        <v>71</v>
      </c>
      <c r="J1723">
        <v>100</v>
      </c>
      <c r="K1723">
        <v>100</v>
      </c>
      <c r="L1723">
        <v>1</v>
      </c>
      <c r="M1723">
        <v>1</v>
      </c>
      <c r="N1723" t="s">
        <v>102</v>
      </c>
      <c r="O1723" t="s">
        <v>102</v>
      </c>
      <c r="P1723" t="s">
        <v>3717</v>
      </c>
      <c r="Q1723">
        <v>2</v>
      </c>
      <c r="R1723">
        <v>2</v>
      </c>
    </row>
    <row r="1724" spans="1:18" x14ac:dyDescent="0.3">
      <c r="A1724" t="s">
        <v>3712</v>
      </c>
      <c r="B1724" t="s">
        <v>3713</v>
      </c>
      <c r="C1724" t="s">
        <v>97</v>
      </c>
      <c r="D1724" t="s">
        <v>233</v>
      </c>
      <c r="E1724" t="s">
        <v>30</v>
      </c>
      <c r="F1724" s="6">
        <v>45657</v>
      </c>
      <c r="G1724">
        <v>2024</v>
      </c>
      <c r="H1724" t="s">
        <v>57</v>
      </c>
      <c r="I1724" t="s">
        <v>78</v>
      </c>
      <c r="J1724">
        <v>100</v>
      </c>
      <c r="K1724">
        <v>100</v>
      </c>
      <c r="L1724">
        <v>1</v>
      </c>
      <c r="M1724">
        <v>1</v>
      </c>
      <c r="N1724" t="s">
        <v>102</v>
      </c>
      <c r="O1724" t="s">
        <v>102</v>
      </c>
      <c r="P1724" t="s">
        <v>3719</v>
      </c>
      <c r="Q1724">
        <v>2</v>
      </c>
      <c r="R1724">
        <v>2</v>
      </c>
    </row>
    <row r="1725" spans="1:18" x14ac:dyDescent="0.3">
      <c r="A1725" t="s">
        <v>3712</v>
      </c>
      <c r="B1725" t="s">
        <v>3713</v>
      </c>
      <c r="C1725" t="s">
        <v>97</v>
      </c>
      <c r="D1725" t="s">
        <v>233</v>
      </c>
      <c r="E1725" t="s">
        <v>30</v>
      </c>
      <c r="F1725" s="6">
        <v>45838</v>
      </c>
      <c r="G1725">
        <v>2025</v>
      </c>
      <c r="H1725" t="s">
        <v>44</v>
      </c>
      <c r="I1725" t="s">
        <v>244</v>
      </c>
      <c r="J1725">
        <v>100</v>
      </c>
      <c r="K1725">
        <v>100</v>
      </c>
      <c r="L1725">
        <v>1</v>
      </c>
      <c r="M1725">
        <v>1</v>
      </c>
      <c r="N1725" t="s">
        <v>102</v>
      </c>
      <c r="O1725" t="s">
        <v>102</v>
      </c>
      <c r="P1725" t="s">
        <v>3721</v>
      </c>
      <c r="Q1725">
        <v>2</v>
      </c>
      <c r="R1725">
        <v>2</v>
      </c>
    </row>
    <row r="1726" spans="1:18" x14ac:dyDescent="0.3">
      <c r="A1726" t="s">
        <v>3712</v>
      </c>
      <c r="B1726" t="s">
        <v>3713</v>
      </c>
      <c r="C1726" t="s">
        <v>97</v>
      </c>
      <c r="D1726" t="s">
        <v>233</v>
      </c>
      <c r="E1726" t="s">
        <v>30</v>
      </c>
      <c r="F1726" s="6">
        <v>46022</v>
      </c>
      <c r="G1726">
        <v>2025</v>
      </c>
      <c r="H1726" t="s">
        <v>57</v>
      </c>
      <c r="I1726" t="s">
        <v>103</v>
      </c>
      <c r="J1726">
        <v>100</v>
      </c>
      <c r="K1726">
        <v>100</v>
      </c>
      <c r="L1726">
        <v>1</v>
      </c>
      <c r="M1726">
        <v>1</v>
      </c>
      <c r="N1726" t="s">
        <v>102</v>
      </c>
      <c r="O1726" t="s">
        <v>102</v>
      </c>
      <c r="P1726" t="s">
        <v>3722</v>
      </c>
      <c r="Q1726">
        <v>2</v>
      </c>
      <c r="R1726">
        <v>2</v>
      </c>
    </row>
    <row r="1727" spans="1:18" x14ac:dyDescent="0.3">
      <c r="A1727" t="s">
        <v>3723</v>
      </c>
      <c r="B1727" t="s">
        <v>3724</v>
      </c>
      <c r="C1727" t="s">
        <v>97</v>
      </c>
      <c r="D1727" t="s">
        <v>233</v>
      </c>
      <c r="E1727" t="s">
        <v>30</v>
      </c>
      <c r="F1727" s="6">
        <v>45291</v>
      </c>
      <c r="G1727">
        <v>2023</v>
      </c>
      <c r="H1727" t="s">
        <v>57</v>
      </c>
      <c r="I1727" t="s">
        <v>47</v>
      </c>
      <c r="J1727">
        <v>90</v>
      </c>
      <c r="K1727">
        <v>99.384999999999991</v>
      </c>
      <c r="L1727">
        <v>1.1042777777777779</v>
      </c>
      <c r="M1727">
        <v>1.1042777777777779</v>
      </c>
      <c r="N1727" t="s">
        <v>256</v>
      </c>
      <c r="O1727" t="s">
        <v>4519</v>
      </c>
      <c r="P1727" t="s">
        <v>3726</v>
      </c>
      <c r="Q1727">
        <v>2</v>
      </c>
      <c r="R1727">
        <v>2</v>
      </c>
    </row>
    <row r="1728" spans="1:18" x14ac:dyDescent="0.3">
      <c r="A1728" t="s">
        <v>3723</v>
      </c>
      <c r="B1728" t="s">
        <v>3724</v>
      </c>
      <c r="C1728" t="s">
        <v>97</v>
      </c>
      <c r="D1728" t="s">
        <v>233</v>
      </c>
      <c r="E1728" t="s">
        <v>30</v>
      </c>
      <c r="F1728" s="6">
        <v>45473</v>
      </c>
      <c r="G1728">
        <v>2024</v>
      </c>
      <c r="H1728" t="s">
        <v>44</v>
      </c>
      <c r="I1728" t="s">
        <v>71</v>
      </c>
      <c r="J1728">
        <v>90</v>
      </c>
      <c r="K1728">
        <v>100</v>
      </c>
      <c r="L1728">
        <v>1.1111111111111109</v>
      </c>
      <c r="M1728">
        <v>1.1111111111111109</v>
      </c>
      <c r="N1728" t="s">
        <v>256</v>
      </c>
      <c r="O1728" t="s">
        <v>102</v>
      </c>
      <c r="P1728" t="s">
        <v>3728</v>
      </c>
      <c r="Q1728">
        <v>2</v>
      </c>
      <c r="R1728">
        <v>2</v>
      </c>
    </row>
    <row r="1729" spans="1:18" x14ac:dyDescent="0.3">
      <c r="A1729" t="s">
        <v>3723</v>
      </c>
      <c r="B1729" t="s">
        <v>3724</v>
      </c>
      <c r="C1729" t="s">
        <v>97</v>
      </c>
      <c r="D1729" t="s">
        <v>233</v>
      </c>
      <c r="E1729" t="s">
        <v>30</v>
      </c>
      <c r="F1729" s="6">
        <v>45657</v>
      </c>
      <c r="G1729">
        <v>2024</v>
      </c>
      <c r="H1729" t="s">
        <v>57</v>
      </c>
      <c r="I1729" t="s">
        <v>78</v>
      </c>
      <c r="J1729">
        <v>90</v>
      </c>
      <c r="K1729">
        <v>100</v>
      </c>
      <c r="L1729">
        <v>1.1111111111111109</v>
      </c>
      <c r="M1729">
        <v>1.1111111111111109</v>
      </c>
      <c r="N1729" t="s">
        <v>256</v>
      </c>
      <c r="O1729" t="s">
        <v>102</v>
      </c>
      <c r="P1729" t="s">
        <v>3730</v>
      </c>
      <c r="Q1729">
        <v>2</v>
      </c>
      <c r="R1729">
        <v>2</v>
      </c>
    </row>
    <row r="1730" spans="1:18" x14ac:dyDescent="0.3">
      <c r="A1730" t="s">
        <v>3723</v>
      </c>
      <c r="B1730" t="s">
        <v>3724</v>
      </c>
      <c r="C1730" t="s">
        <v>97</v>
      </c>
      <c r="D1730" t="s">
        <v>233</v>
      </c>
      <c r="E1730" t="s">
        <v>30</v>
      </c>
      <c r="F1730" s="6">
        <v>45838</v>
      </c>
      <c r="G1730">
        <v>2025</v>
      </c>
      <c r="H1730" t="s">
        <v>44</v>
      </c>
      <c r="I1730" t="s">
        <v>244</v>
      </c>
      <c r="J1730">
        <v>90</v>
      </c>
      <c r="K1730">
        <v>100</v>
      </c>
      <c r="L1730">
        <v>1.1111111111111109</v>
      </c>
      <c r="M1730">
        <v>1.1111111111111109</v>
      </c>
      <c r="N1730" t="s">
        <v>256</v>
      </c>
      <c r="O1730" t="s">
        <v>102</v>
      </c>
      <c r="P1730" t="s">
        <v>3732</v>
      </c>
      <c r="Q1730">
        <v>2</v>
      </c>
      <c r="R1730">
        <v>2</v>
      </c>
    </row>
    <row r="1731" spans="1:18" x14ac:dyDescent="0.3">
      <c r="A1731" t="s">
        <v>3723</v>
      </c>
      <c r="B1731" t="s">
        <v>3724</v>
      </c>
      <c r="C1731" t="s">
        <v>97</v>
      </c>
      <c r="D1731" t="s">
        <v>233</v>
      </c>
      <c r="E1731" t="s">
        <v>30</v>
      </c>
      <c r="F1731" s="6">
        <v>46022</v>
      </c>
      <c r="G1731">
        <v>2025</v>
      </c>
      <c r="H1731" t="s">
        <v>57</v>
      </c>
      <c r="I1731" t="s">
        <v>103</v>
      </c>
      <c r="J1731">
        <v>90</v>
      </c>
      <c r="K1731">
        <v>100</v>
      </c>
      <c r="L1731">
        <v>1.1111111111111109</v>
      </c>
      <c r="M1731">
        <v>1.1111111111111109</v>
      </c>
      <c r="N1731" t="s">
        <v>256</v>
      </c>
      <c r="O1731" t="s">
        <v>102</v>
      </c>
      <c r="P1731" t="s">
        <v>3733</v>
      </c>
      <c r="Q1731">
        <v>2</v>
      </c>
      <c r="R1731">
        <v>2</v>
      </c>
    </row>
    <row r="1732" spans="1:18" x14ac:dyDescent="0.3">
      <c r="A1732" t="s">
        <v>3734</v>
      </c>
      <c r="B1732" t="s">
        <v>3735</v>
      </c>
      <c r="C1732" t="s">
        <v>299</v>
      </c>
      <c r="D1732" t="s">
        <v>222</v>
      </c>
      <c r="E1732" t="s">
        <v>108</v>
      </c>
      <c r="F1732" s="6">
        <v>45107</v>
      </c>
      <c r="G1732">
        <v>2023</v>
      </c>
      <c r="H1732" t="s">
        <v>44</v>
      </c>
      <c r="I1732" t="s">
        <v>33</v>
      </c>
      <c r="J1732">
        <v>0.05</v>
      </c>
      <c r="K1732">
        <v>0.02</v>
      </c>
      <c r="L1732">
        <v>1.3</v>
      </c>
      <c r="M1732">
        <v>2.5</v>
      </c>
      <c r="N1732" t="s">
        <v>3741</v>
      </c>
      <c r="O1732" t="s">
        <v>3742</v>
      </c>
      <c r="P1732" t="s">
        <v>3736</v>
      </c>
      <c r="Q1732">
        <v>2</v>
      </c>
      <c r="R1732">
        <v>2</v>
      </c>
    </row>
    <row r="1733" spans="1:18" x14ac:dyDescent="0.3">
      <c r="A1733" t="s">
        <v>3734</v>
      </c>
      <c r="B1733" t="s">
        <v>3735</v>
      </c>
      <c r="C1733" t="s">
        <v>299</v>
      </c>
      <c r="D1733" t="s">
        <v>222</v>
      </c>
      <c r="E1733" t="s">
        <v>108</v>
      </c>
      <c r="F1733" s="6">
        <v>45291</v>
      </c>
      <c r="G1733">
        <v>2023</v>
      </c>
      <c r="H1733" t="s">
        <v>57</v>
      </c>
      <c r="I1733" t="s">
        <v>47</v>
      </c>
      <c r="J1733">
        <v>0.05</v>
      </c>
      <c r="K1733">
        <v>0.06</v>
      </c>
      <c r="L1733">
        <v>0.83333333333333337</v>
      </c>
      <c r="M1733">
        <v>0.83333333333333337</v>
      </c>
      <c r="N1733" t="s">
        <v>3741</v>
      </c>
      <c r="O1733" t="s">
        <v>489</v>
      </c>
      <c r="P1733" t="s">
        <v>3737</v>
      </c>
      <c r="Q1733">
        <v>2</v>
      </c>
      <c r="R1733">
        <v>2</v>
      </c>
    </row>
    <row r="1734" spans="1:18" x14ac:dyDescent="0.3">
      <c r="A1734" t="s">
        <v>3734</v>
      </c>
      <c r="B1734" t="s">
        <v>3735</v>
      </c>
      <c r="C1734" t="s">
        <v>299</v>
      </c>
      <c r="D1734" t="s">
        <v>222</v>
      </c>
      <c r="E1734" t="s">
        <v>108</v>
      </c>
      <c r="F1734" s="6">
        <v>45473</v>
      </c>
      <c r="G1734">
        <v>2024</v>
      </c>
      <c r="H1734" t="s">
        <v>44</v>
      </c>
      <c r="I1734" t="s">
        <v>71</v>
      </c>
      <c r="J1734">
        <v>0.05</v>
      </c>
      <c r="K1734">
        <v>7.0000000000000007E-2</v>
      </c>
      <c r="L1734">
        <v>0.7142857142857143</v>
      </c>
      <c r="M1734">
        <v>0.7142857142857143</v>
      </c>
      <c r="N1734" t="s">
        <v>3741</v>
      </c>
      <c r="O1734" t="s">
        <v>6382</v>
      </c>
      <c r="P1734" t="s">
        <v>3738</v>
      </c>
      <c r="Q1734">
        <v>2</v>
      </c>
      <c r="R1734">
        <v>2</v>
      </c>
    </row>
    <row r="1735" spans="1:18" x14ac:dyDescent="0.3">
      <c r="A1735" t="s">
        <v>3734</v>
      </c>
      <c r="B1735" t="s">
        <v>3735</v>
      </c>
      <c r="C1735" t="s">
        <v>299</v>
      </c>
      <c r="D1735" t="s">
        <v>222</v>
      </c>
      <c r="E1735" t="s">
        <v>108</v>
      </c>
      <c r="F1735" s="6">
        <v>45657</v>
      </c>
      <c r="G1735">
        <v>2024</v>
      </c>
      <c r="H1735" t="s">
        <v>57</v>
      </c>
      <c r="I1735" t="s">
        <v>78</v>
      </c>
      <c r="J1735">
        <v>0.05</v>
      </c>
      <c r="K1735">
        <v>0.14000000000000001</v>
      </c>
      <c r="L1735">
        <v>0.35714285714285721</v>
      </c>
      <c r="M1735">
        <v>0.35714285714285721</v>
      </c>
      <c r="N1735" t="s">
        <v>3741</v>
      </c>
      <c r="O1735" t="s">
        <v>3674</v>
      </c>
      <c r="P1735" t="s">
        <v>3739</v>
      </c>
      <c r="Q1735">
        <v>2</v>
      </c>
      <c r="R1735">
        <v>2</v>
      </c>
    </row>
    <row r="1736" spans="1:18" x14ac:dyDescent="0.3">
      <c r="A1736" t="s">
        <v>3734</v>
      </c>
      <c r="B1736" t="s">
        <v>3735</v>
      </c>
      <c r="C1736" t="s">
        <v>299</v>
      </c>
      <c r="D1736" t="s">
        <v>222</v>
      </c>
      <c r="E1736" t="s">
        <v>108</v>
      </c>
      <c r="F1736" s="6">
        <v>45838</v>
      </c>
      <c r="G1736">
        <v>2025</v>
      </c>
      <c r="H1736" t="s">
        <v>44</v>
      </c>
      <c r="I1736" t="s">
        <v>244</v>
      </c>
      <c r="J1736">
        <v>0.05</v>
      </c>
      <c r="K1736">
        <v>0.02</v>
      </c>
      <c r="L1736">
        <v>1.3</v>
      </c>
      <c r="M1736">
        <v>2.5</v>
      </c>
      <c r="N1736" t="s">
        <v>3741</v>
      </c>
      <c r="O1736" t="s">
        <v>3742</v>
      </c>
      <c r="P1736" t="s">
        <v>3743</v>
      </c>
      <c r="Q1736">
        <v>2</v>
      </c>
      <c r="R1736">
        <v>2</v>
      </c>
    </row>
    <row r="1737" spans="1:18" x14ac:dyDescent="0.3">
      <c r="A1737" t="s">
        <v>3734</v>
      </c>
      <c r="B1737" t="s">
        <v>3735</v>
      </c>
      <c r="C1737" t="s">
        <v>299</v>
      </c>
      <c r="D1737" t="s">
        <v>222</v>
      </c>
      <c r="E1737" t="s">
        <v>108</v>
      </c>
      <c r="F1737" s="6">
        <v>46022</v>
      </c>
      <c r="G1737">
        <v>2025</v>
      </c>
      <c r="H1737" t="s">
        <v>57</v>
      </c>
      <c r="I1737" t="s">
        <v>103</v>
      </c>
      <c r="J1737">
        <v>0.05</v>
      </c>
      <c r="K1737">
        <v>0.17</v>
      </c>
      <c r="L1737">
        <v>0.29411764705882348</v>
      </c>
      <c r="M1737">
        <v>0.29411764705882348</v>
      </c>
      <c r="N1737" t="s">
        <v>3741</v>
      </c>
      <c r="O1737" t="s">
        <v>3745</v>
      </c>
      <c r="P1737" t="s">
        <v>3746</v>
      </c>
      <c r="Q1737">
        <v>2</v>
      </c>
      <c r="R1737">
        <v>2</v>
      </c>
    </row>
    <row r="1738" spans="1:18" x14ac:dyDescent="0.3">
      <c r="A1738" t="s">
        <v>3747</v>
      </c>
      <c r="B1738" t="s">
        <v>3748</v>
      </c>
      <c r="C1738" t="s">
        <v>299</v>
      </c>
      <c r="D1738" t="s">
        <v>29</v>
      </c>
      <c r="E1738" t="s">
        <v>108</v>
      </c>
      <c r="F1738" s="6">
        <v>45291</v>
      </c>
      <c r="G1738">
        <v>2023</v>
      </c>
      <c r="H1738" t="s">
        <v>57</v>
      </c>
      <c r="I1738" t="s">
        <v>47</v>
      </c>
      <c r="J1738">
        <v>800</v>
      </c>
      <c r="K1738">
        <v>830.5</v>
      </c>
      <c r="L1738">
        <v>0.96327513546056598</v>
      </c>
      <c r="M1738">
        <v>0.96327513546056598</v>
      </c>
      <c r="N1738" t="s">
        <v>1144</v>
      </c>
      <c r="O1738" t="s">
        <v>6383</v>
      </c>
      <c r="P1738" t="s">
        <v>3752</v>
      </c>
      <c r="Q1738">
        <v>2</v>
      </c>
      <c r="R1738">
        <v>2</v>
      </c>
    </row>
    <row r="1739" spans="1:18" x14ac:dyDescent="0.3">
      <c r="A1739" t="s">
        <v>3747</v>
      </c>
      <c r="B1739" t="s">
        <v>3748</v>
      </c>
      <c r="C1739" t="s">
        <v>299</v>
      </c>
      <c r="D1739" t="s">
        <v>29</v>
      </c>
      <c r="E1739" t="s">
        <v>108</v>
      </c>
      <c r="F1739" s="6">
        <v>45473</v>
      </c>
      <c r="G1739">
        <v>2024</v>
      </c>
      <c r="H1739" t="s">
        <v>44</v>
      </c>
      <c r="I1739" t="s">
        <v>71</v>
      </c>
      <c r="J1739">
        <v>1200</v>
      </c>
      <c r="K1739">
        <v>3805.01</v>
      </c>
      <c r="L1739">
        <v>0.315373678387179</v>
      </c>
      <c r="M1739">
        <v>0.315373678387179</v>
      </c>
      <c r="N1739" t="s">
        <v>6384</v>
      </c>
      <c r="O1739" t="s">
        <v>6385</v>
      </c>
      <c r="P1739" t="s">
        <v>3758</v>
      </c>
      <c r="Q1739">
        <v>2</v>
      </c>
      <c r="R1739">
        <v>2</v>
      </c>
    </row>
    <row r="1740" spans="1:18" x14ac:dyDescent="0.3">
      <c r="A1740" t="s">
        <v>3747</v>
      </c>
      <c r="B1740" t="s">
        <v>3748</v>
      </c>
      <c r="C1740" t="s">
        <v>299</v>
      </c>
      <c r="D1740" t="s">
        <v>29</v>
      </c>
      <c r="E1740" t="s">
        <v>108</v>
      </c>
      <c r="F1740" s="6">
        <v>45657</v>
      </c>
      <c r="G1740">
        <v>2024</v>
      </c>
      <c r="H1740" t="s">
        <v>57</v>
      </c>
      <c r="I1740" t="s">
        <v>78</v>
      </c>
      <c r="J1740">
        <v>1200</v>
      </c>
      <c r="K1740">
        <v>5993.08</v>
      </c>
      <c r="L1740">
        <v>0.2002309330094042</v>
      </c>
      <c r="M1740">
        <v>0.2002309330094042</v>
      </c>
      <c r="N1740" t="s">
        <v>6384</v>
      </c>
      <c r="O1740" t="s">
        <v>6386</v>
      </c>
      <c r="P1740" t="s">
        <v>3764</v>
      </c>
      <c r="Q1740">
        <v>2</v>
      </c>
      <c r="R1740">
        <v>2</v>
      </c>
    </row>
    <row r="1741" spans="1:18" x14ac:dyDescent="0.3">
      <c r="A1741" t="s">
        <v>3747</v>
      </c>
      <c r="B1741" t="s">
        <v>3748</v>
      </c>
      <c r="C1741" t="s">
        <v>299</v>
      </c>
      <c r="D1741" t="s">
        <v>29</v>
      </c>
      <c r="E1741" t="s">
        <v>108</v>
      </c>
      <c r="F1741" s="6">
        <v>45838</v>
      </c>
      <c r="G1741">
        <v>2025</v>
      </c>
      <c r="H1741" t="s">
        <v>44</v>
      </c>
      <c r="I1741" t="s">
        <v>244</v>
      </c>
      <c r="J1741">
        <v>1200</v>
      </c>
      <c r="K1741">
        <v>2467.3599999999992</v>
      </c>
      <c r="L1741">
        <v>0.48634978276376378</v>
      </c>
      <c r="M1741">
        <v>0.48634978276376378</v>
      </c>
      <c r="N1741" t="s">
        <v>6384</v>
      </c>
      <c r="O1741" t="s">
        <v>6387</v>
      </c>
      <c r="P1741" t="s">
        <v>3782</v>
      </c>
      <c r="Q1741">
        <v>2</v>
      </c>
      <c r="R1741">
        <v>2</v>
      </c>
    </row>
    <row r="1742" spans="1:18" x14ac:dyDescent="0.3">
      <c r="A1742" t="s">
        <v>3747</v>
      </c>
      <c r="B1742" t="s">
        <v>3748</v>
      </c>
      <c r="C1742" t="s">
        <v>299</v>
      </c>
      <c r="D1742" t="s">
        <v>29</v>
      </c>
      <c r="E1742" t="s">
        <v>108</v>
      </c>
      <c r="F1742" s="6">
        <v>46022</v>
      </c>
      <c r="G1742">
        <v>2025</v>
      </c>
      <c r="H1742" t="s">
        <v>57</v>
      </c>
      <c r="I1742" t="s">
        <v>103</v>
      </c>
      <c r="J1742">
        <v>1000</v>
      </c>
      <c r="K1742">
        <v>5206.4699999999993</v>
      </c>
      <c r="L1742">
        <v>0.19206871450330071</v>
      </c>
      <c r="M1742">
        <v>0.19206871450330071</v>
      </c>
      <c r="N1742" t="s">
        <v>6187</v>
      </c>
      <c r="O1742" t="s">
        <v>6388</v>
      </c>
      <c r="P1742" t="s">
        <v>3795</v>
      </c>
      <c r="Q1742">
        <v>2</v>
      </c>
      <c r="R1742">
        <v>2</v>
      </c>
    </row>
    <row r="1743" spans="1:18" x14ac:dyDescent="0.3">
      <c r="A1743" t="s">
        <v>3796</v>
      </c>
      <c r="B1743" t="s">
        <v>3797</v>
      </c>
      <c r="C1743" t="s">
        <v>299</v>
      </c>
      <c r="D1743" t="s">
        <v>222</v>
      </c>
      <c r="E1743" t="s">
        <v>30</v>
      </c>
      <c r="F1743" s="6">
        <v>45473</v>
      </c>
      <c r="G1743">
        <v>2024</v>
      </c>
      <c r="H1743" t="s">
        <v>44</v>
      </c>
      <c r="I1743" t="s">
        <v>71</v>
      </c>
      <c r="J1743">
        <v>100</v>
      </c>
      <c r="K1743">
        <v>-53.341421494287999</v>
      </c>
      <c r="L1743">
        <v>0</v>
      </c>
      <c r="M1743">
        <v>-0.53341421494287999</v>
      </c>
      <c r="N1743" t="s">
        <v>102</v>
      </c>
      <c r="O1743" t="s">
        <v>6389</v>
      </c>
      <c r="P1743" t="s">
        <v>3798</v>
      </c>
      <c r="Q1743">
        <v>2</v>
      </c>
      <c r="R1743">
        <v>2</v>
      </c>
    </row>
    <row r="1744" spans="1:18" x14ac:dyDescent="0.3">
      <c r="A1744" t="s">
        <v>3796</v>
      </c>
      <c r="B1744" t="s">
        <v>3797</v>
      </c>
      <c r="C1744" t="s">
        <v>299</v>
      </c>
      <c r="D1744" t="s">
        <v>222</v>
      </c>
      <c r="E1744" t="s">
        <v>30</v>
      </c>
      <c r="F1744" s="6">
        <v>45657</v>
      </c>
      <c r="G1744">
        <v>2024</v>
      </c>
      <c r="H1744" t="s">
        <v>57</v>
      </c>
      <c r="I1744" t="s">
        <v>78</v>
      </c>
      <c r="J1744">
        <v>100</v>
      </c>
      <c r="K1744">
        <v>71.09</v>
      </c>
      <c r="L1744">
        <v>0.71090000000000009</v>
      </c>
      <c r="M1744">
        <v>0.71090000000000009</v>
      </c>
      <c r="N1744" t="s">
        <v>102</v>
      </c>
      <c r="O1744" t="s">
        <v>6390</v>
      </c>
      <c r="P1744" t="s">
        <v>3799</v>
      </c>
      <c r="Q1744">
        <v>2</v>
      </c>
      <c r="R1744">
        <v>2</v>
      </c>
    </row>
    <row r="1745" spans="1:18" x14ac:dyDescent="0.3">
      <c r="A1745" t="s">
        <v>3796</v>
      </c>
      <c r="B1745" t="s">
        <v>3797</v>
      </c>
      <c r="C1745" t="s">
        <v>299</v>
      </c>
      <c r="D1745" t="s">
        <v>222</v>
      </c>
      <c r="E1745" t="s">
        <v>30</v>
      </c>
      <c r="F1745" s="6">
        <v>45838</v>
      </c>
      <c r="G1745">
        <v>2025</v>
      </c>
      <c r="H1745" t="s">
        <v>44</v>
      </c>
      <c r="I1745" t="s">
        <v>244</v>
      </c>
      <c r="J1745">
        <v>100</v>
      </c>
      <c r="K1745">
        <v>96.09</v>
      </c>
      <c r="L1745">
        <v>0.96090000000000009</v>
      </c>
      <c r="M1745">
        <v>0.96090000000000009</v>
      </c>
      <c r="N1745" t="s">
        <v>102</v>
      </c>
      <c r="O1745" t="s">
        <v>3801</v>
      </c>
      <c r="P1745" t="s">
        <v>3802</v>
      </c>
      <c r="Q1745">
        <v>2</v>
      </c>
      <c r="R1745">
        <v>2</v>
      </c>
    </row>
    <row r="1746" spans="1:18" x14ac:dyDescent="0.3">
      <c r="A1746" t="s">
        <v>3796</v>
      </c>
      <c r="B1746" t="s">
        <v>3797</v>
      </c>
      <c r="C1746" t="s">
        <v>299</v>
      </c>
      <c r="D1746" t="s">
        <v>222</v>
      </c>
      <c r="E1746" t="s">
        <v>30</v>
      </c>
      <c r="F1746" s="6">
        <v>46022</v>
      </c>
      <c r="G1746">
        <v>2025</v>
      </c>
      <c r="H1746" t="s">
        <v>57</v>
      </c>
      <c r="I1746" t="s">
        <v>103</v>
      </c>
      <c r="J1746">
        <v>100</v>
      </c>
      <c r="K1746">
        <v>-732.08</v>
      </c>
      <c r="L1746">
        <v>0</v>
      </c>
      <c r="M1746">
        <v>-7.3208000000000002</v>
      </c>
      <c r="N1746" t="s">
        <v>102</v>
      </c>
      <c r="O1746" t="s">
        <v>3804</v>
      </c>
      <c r="P1746" t="s">
        <v>3805</v>
      </c>
      <c r="Q1746">
        <v>2</v>
      </c>
      <c r="R1746">
        <v>2</v>
      </c>
    </row>
    <row r="1747" spans="1:18" x14ac:dyDescent="0.3">
      <c r="A1747" t="s">
        <v>3806</v>
      </c>
      <c r="B1747" t="s">
        <v>863</v>
      </c>
      <c r="C1747" t="s">
        <v>309</v>
      </c>
      <c r="D1747" t="s">
        <v>29</v>
      </c>
      <c r="E1747" t="s">
        <v>108</v>
      </c>
      <c r="F1747" s="6">
        <v>45291</v>
      </c>
      <c r="G1747">
        <v>2023</v>
      </c>
      <c r="H1747" t="s">
        <v>57</v>
      </c>
      <c r="I1747" t="s">
        <v>47</v>
      </c>
      <c r="J1747">
        <v>126</v>
      </c>
      <c r="K1747">
        <v>66.410000000000011</v>
      </c>
      <c r="L1747">
        <v>1.3</v>
      </c>
      <c r="M1747">
        <v>1.897304622797771</v>
      </c>
      <c r="N1747" t="s">
        <v>5706</v>
      </c>
      <c r="O1747" t="s">
        <v>6391</v>
      </c>
      <c r="P1747" t="s">
        <v>3813</v>
      </c>
      <c r="Q1747">
        <v>2</v>
      </c>
      <c r="R1747">
        <v>2</v>
      </c>
    </row>
    <row r="1748" spans="1:18" x14ac:dyDescent="0.3">
      <c r="A1748" t="s">
        <v>3806</v>
      </c>
      <c r="B1748" t="s">
        <v>863</v>
      </c>
      <c r="C1748" t="s">
        <v>309</v>
      </c>
      <c r="D1748" t="s">
        <v>29</v>
      </c>
      <c r="E1748" t="s">
        <v>108</v>
      </c>
      <c r="F1748" s="6">
        <v>45473</v>
      </c>
      <c r="G1748">
        <v>2024</v>
      </c>
      <c r="H1748" t="s">
        <v>44</v>
      </c>
      <c r="I1748" t="s">
        <v>71</v>
      </c>
      <c r="J1748">
        <v>84</v>
      </c>
      <c r="K1748">
        <v>69.400000000000006</v>
      </c>
      <c r="L1748">
        <v>1.2103746397694519</v>
      </c>
      <c r="M1748">
        <v>1.2103746397694519</v>
      </c>
      <c r="N1748" t="s">
        <v>6232</v>
      </c>
      <c r="O1748" t="s">
        <v>6392</v>
      </c>
      <c r="P1748" t="s">
        <v>3819</v>
      </c>
      <c r="Q1748">
        <v>2</v>
      </c>
      <c r="R1748">
        <v>2</v>
      </c>
    </row>
    <row r="1749" spans="1:18" x14ac:dyDescent="0.3">
      <c r="A1749" t="s">
        <v>3806</v>
      </c>
      <c r="B1749" t="s">
        <v>863</v>
      </c>
      <c r="C1749" t="s">
        <v>309</v>
      </c>
      <c r="D1749" t="s">
        <v>29</v>
      </c>
      <c r="E1749" t="s">
        <v>108</v>
      </c>
      <c r="F1749" s="6">
        <v>45657</v>
      </c>
      <c r="G1749">
        <v>2024</v>
      </c>
      <c r="H1749" t="s">
        <v>57</v>
      </c>
      <c r="I1749" t="s">
        <v>78</v>
      </c>
      <c r="J1749">
        <v>84</v>
      </c>
      <c r="K1749">
        <v>63.37</v>
      </c>
      <c r="L1749">
        <v>1.3</v>
      </c>
      <c r="M1749">
        <v>1.3255483667350481</v>
      </c>
      <c r="N1749" t="s">
        <v>6232</v>
      </c>
      <c r="O1749" t="s">
        <v>6393</v>
      </c>
      <c r="P1749" t="s">
        <v>3825</v>
      </c>
      <c r="Q1749">
        <v>2</v>
      </c>
      <c r="R1749">
        <v>2</v>
      </c>
    </row>
    <row r="1750" spans="1:18" x14ac:dyDescent="0.3">
      <c r="A1750" t="s">
        <v>3806</v>
      </c>
      <c r="B1750" t="s">
        <v>863</v>
      </c>
      <c r="C1750" t="s">
        <v>309</v>
      </c>
      <c r="D1750" t="s">
        <v>29</v>
      </c>
      <c r="E1750" t="s">
        <v>108</v>
      </c>
      <c r="F1750" s="6">
        <v>45838</v>
      </c>
      <c r="G1750">
        <v>2025</v>
      </c>
      <c r="H1750" t="s">
        <v>44</v>
      </c>
      <c r="I1750" t="s">
        <v>244</v>
      </c>
      <c r="J1750">
        <v>84</v>
      </c>
      <c r="K1750">
        <v>51.64</v>
      </c>
      <c r="L1750">
        <v>1.3</v>
      </c>
      <c r="M1750">
        <v>1.626646010844307</v>
      </c>
      <c r="N1750" t="s">
        <v>6232</v>
      </c>
      <c r="O1750" t="s">
        <v>6394</v>
      </c>
      <c r="P1750" t="s">
        <v>3844</v>
      </c>
      <c r="Q1750">
        <v>2</v>
      </c>
      <c r="R1750">
        <v>2</v>
      </c>
    </row>
    <row r="1751" spans="1:18" x14ac:dyDescent="0.3">
      <c r="A1751" t="s">
        <v>3806</v>
      </c>
      <c r="B1751" t="s">
        <v>863</v>
      </c>
      <c r="C1751" t="s">
        <v>309</v>
      </c>
      <c r="D1751" t="s">
        <v>29</v>
      </c>
      <c r="E1751" t="s">
        <v>108</v>
      </c>
      <c r="F1751" s="6">
        <v>46022</v>
      </c>
      <c r="G1751">
        <v>2025</v>
      </c>
      <c r="H1751" t="s">
        <v>57</v>
      </c>
      <c r="I1751" t="s">
        <v>103</v>
      </c>
      <c r="J1751">
        <v>70</v>
      </c>
      <c r="K1751">
        <v>62.959999999999987</v>
      </c>
      <c r="L1751">
        <v>1.1118170266836089</v>
      </c>
      <c r="M1751">
        <v>1.1118170266836089</v>
      </c>
      <c r="N1751" t="s">
        <v>3922</v>
      </c>
      <c r="O1751" t="s">
        <v>5662</v>
      </c>
      <c r="P1751" t="s">
        <v>3857</v>
      </c>
      <c r="Q1751">
        <v>2</v>
      </c>
      <c r="R1751">
        <v>2</v>
      </c>
    </row>
    <row r="1752" spans="1:18" x14ac:dyDescent="0.3">
      <c r="A1752" t="s">
        <v>3806</v>
      </c>
      <c r="B1752" t="s">
        <v>863</v>
      </c>
      <c r="C1752" t="s">
        <v>309</v>
      </c>
      <c r="D1752" t="s">
        <v>29</v>
      </c>
      <c r="E1752" t="s">
        <v>108</v>
      </c>
      <c r="F1752" s="6">
        <v>46203</v>
      </c>
      <c r="G1752">
        <v>2026</v>
      </c>
      <c r="H1752" t="s">
        <v>44</v>
      </c>
      <c r="I1752" t="s">
        <v>408</v>
      </c>
      <c r="J1752">
        <v>14</v>
      </c>
      <c r="L1752">
        <v>0</v>
      </c>
      <c r="M1752">
        <v>0</v>
      </c>
      <c r="N1752" t="s">
        <v>3827</v>
      </c>
      <c r="P1752" t="s">
        <v>6395</v>
      </c>
      <c r="Q1752">
        <v>2</v>
      </c>
      <c r="R1752">
        <v>2</v>
      </c>
    </row>
    <row r="1753" spans="1:18" x14ac:dyDescent="0.3">
      <c r="A1753" t="s">
        <v>3859</v>
      </c>
      <c r="B1753" t="s">
        <v>3861</v>
      </c>
      <c r="C1753" t="s">
        <v>2177</v>
      </c>
      <c r="D1753" t="s">
        <v>98</v>
      </c>
      <c r="E1753" t="s">
        <v>30</v>
      </c>
      <c r="F1753" s="6">
        <v>45291</v>
      </c>
      <c r="G1753">
        <v>2023</v>
      </c>
      <c r="H1753" t="s">
        <v>57</v>
      </c>
      <c r="I1753" t="s">
        <v>47</v>
      </c>
      <c r="J1753">
        <v>80</v>
      </c>
      <c r="K1753">
        <v>96.239806704922998</v>
      </c>
      <c r="L1753">
        <v>1.202997583811537</v>
      </c>
      <c r="M1753">
        <v>1.202997583811537</v>
      </c>
      <c r="N1753" t="s">
        <v>193</v>
      </c>
      <c r="O1753" t="s">
        <v>6396</v>
      </c>
      <c r="P1753" t="s">
        <v>3862</v>
      </c>
      <c r="Q1753">
        <v>2</v>
      </c>
      <c r="R1753">
        <v>2</v>
      </c>
    </row>
    <row r="1754" spans="1:18" x14ac:dyDescent="0.3">
      <c r="A1754" t="s">
        <v>3859</v>
      </c>
      <c r="B1754" t="s">
        <v>3861</v>
      </c>
      <c r="C1754" t="s">
        <v>2177</v>
      </c>
      <c r="D1754" t="s">
        <v>98</v>
      </c>
      <c r="E1754" t="s">
        <v>30</v>
      </c>
      <c r="F1754" s="6">
        <v>45657</v>
      </c>
      <c r="G1754">
        <v>2024</v>
      </c>
      <c r="H1754" t="s">
        <v>57</v>
      </c>
      <c r="I1754" t="s">
        <v>78</v>
      </c>
      <c r="J1754">
        <v>80</v>
      </c>
      <c r="K1754">
        <v>84</v>
      </c>
      <c r="L1754">
        <v>1.05</v>
      </c>
      <c r="M1754">
        <v>1.05</v>
      </c>
      <c r="N1754" t="s">
        <v>193</v>
      </c>
      <c r="O1754" t="s">
        <v>6232</v>
      </c>
      <c r="P1754" t="s">
        <v>3863</v>
      </c>
      <c r="Q1754">
        <v>2</v>
      </c>
      <c r="R1754">
        <v>2</v>
      </c>
    </row>
    <row r="1755" spans="1:18" x14ac:dyDescent="0.3">
      <c r="A1755" t="s">
        <v>3859</v>
      </c>
      <c r="B1755" t="s">
        <v>3861</v>
      </c>
      <c r="C1755" t="s">
        <v>2177</v>
      </c>
      <c r="D1755" t="s">
        <v>98</v>
      </c>
      <c r="E1755" t="s">
        <v>30</v>
      </c>
      <c r="F1755" s="6">
        <v>46022</v>
      </c>
      <c r="G1755">
        <v>2025</v>
      </c>
      <c r="H1755" t="s">
        <v>57</v>
      </c>
      <c r="I1755" t="s">
        <v>103</v>
      </c>
      <c r="J1755">
        <v>80</v>
      </c>
      <c r="K1755">
        <v>99</v>
      </c>
      <c r="L1755">
        <v>1.2375</v>
      </c>
      <c r="M1755">
        <v>1.2375</v>
      </c>
      <c r="N1755" t="s">
        <v>193</v>
      </c>
      <c r="O1755" t="s">
        <v>2577</v>
      </c>
      <c r="P1755" t="s">
        <v>3865</v>
      </c>
      <c r="Q1755">
        <v>2</v>
      </c>
      <c r="R1755">
        <v>2</v>
      </c>
    </row>
    <row r="1756" spans="1:18" x14ac:dyDescent="0.3">
      <c r="A1756" t="s">
        <v>3866</v>
      </c>
      <c r="B1756" t="s">
        <v>3867</v>
      </c>
      <c r="C1756" t="s">
        <v>2688</v>
      </c>
      <c r="D1756" t="s">
        <v>222</v>
      </c>
      <c r="E1756" t="s">
        <v>30</v>
      </c>
      <c r="F1756" s="6">
        <v>45291</v>
      </c>
      <c r="G1756">
        <v>2023</v>
      </c>
      <c r="H1756" t="s">
        <v>57</v>
      </c>
      <c r="I1756" t="s">
        <v>47</v>
      </c>
      <c r="J1756">
        <v>100</v>
      </c>
      <c r="K1756">
        <v>100</v>
      </c>
      <c r="L1756">
        <v>1</v>
      </c>
      <c r="M1756">
        <v>1</v>
      </c>
      <c r="N1756" t="s">
        <v>102</v>
      </c>
      <c r="O1756" t="s">
        <v>102</v>
      </c>
      <c r="P1756" t="s">
        <v>3868</v>
      </c>
      <c r="Q1756">
        <v>2</v>
      </c>
      <c r="R1756">
        <v>2</v>
      </c>
    </row>
    <row r="1757" spans="1:18" x14ac:dyDescent="0.3">
      <c r="A1757" t="s">
        <v>3869</v>
      </c>
      <c r="B1757" t="s">
        <v>3870</v>
      </c>
      <c r="C1757" t="s">
        <v>2688</v>
      </c>
      <c r="D1757" t="s">
        <v>222</v>
      </c>
      <c r="E1757" t="s">
        <v>30</v>
      </c>
      <c r="F1757" s="6">
        <v>45291</v>
      </c>
      <c r="G1757">
        <v>2023</v>
      </c>
      <c r="H1757" t="s">
        <v>57</v>
      </c>
      <c r="I1757" t="s">
        <v>47</v>
      </c>
      <c r="J1757">
        <v>100</v>
      </c>
      <c r="K1757">
        <v>100</v>
      </c>
      <c r="L1757">
        <v>1</v>
      </c>
      <c r="M1757">
        <v>1</v>
      </c>
      <c r="N1757" t="s">
        <v>102</v>
      </c>
      <c r="O1757" t="s">
        <v>102</v>
      </c>
      <c r="P1757" t="s">
        <v>3871</v>
      </c>
      <c r="Q1757">
        <v>2</v>
      </c>
      <c r="R1757">
        <v>2</v>
      </c>
    </row>
    <row r="1758" spans="1:18" x14ac:dyDescent="0.3">
      <c r="A1758" t="s">
        <v>3869</v>
      </c>
      <c r="B1758" t="s">
        <v>3870</v>
      </c>
      <c r="C1758" t="s">
        <v>2688</v>
      </c>
      <c r="D1758" t="s">
        <v>222</v>
      </c>
      <c r="E1758" t="s">
        <v>30</v>
      </c>
      <c r="F1758" s="6">
        <v>45473</v>
      </c>
      <c r="G1758">
        <v>2024</v>
      </c>
      <c r="H1758" t="s">
        <v>44</v>
      </c>
      <c r="I1758" t="s">
        <v>71</v>
      </c>
      <c r="J1758">
        <v>100</v>
      </c>
      <c r="K1758">
        <v>100</v>
      </c>
      <c r="L1758">
        <v>1</v>
      </c>
      <c r="M1758">
        <v>1</v>
      </c>
      <c r="N1758" t="s">
        <v>102</v>
      </c>
      <c r="O1758" t="s">
        <v>102</v>
      </c>
      <c r="P1758" t="s">
        <v>3872</v>
      </c>
      <c r="Q1758">
        <v>2</v>
      </c>
      <c r="R1758">
        <v>2</v>
      </c>
    </row>
    <row r="1759" spans="1:18" x14ac:dyDescent="0.3">
      <c r="A1759" t="s">
        <v>3869</v>
      </c>
      <c r="B1759" t="s">
        <v>3870</v>
      </c>
      <c r="C1759" t="s">
        <v>2688</v>
      </c>
      <c r="D1759" t="s">
        <v>222</v>
      </c>
      <c r="E1759" t="s">
        <v>30</v>
      </c>
      <c r="F1759" s="6">
        <v>45657</v>
      </c>
      <c r="G1759">
        <v>2024</v>
      </c>
      <c r="H1759" t="s">
        <v>57</v>
      </c>
      <c r="I1759" t="s">
        <v>78</v>
      </c>
      <c r="J1759">
        <v>100</v>
      </c>
      <c r="K1759">
        <v>100</v>
      </c>
      <c r="L1759">
        <v>1</v>
      </c>
      <c r="M1759">
        <v>1</v>
      </c>
      <c r="N1759" t="s">
        <v>102</v>
      </c>
      <c r="O1759" t="s">
        <v>102</v>
      </c>
      <c r="P1759" t="s">
        <v>3873</v>
      </c>
      <c r="Q1759">
        <v>2</v>
      </c>
      <c r="R1759">
        <v>2</v>
      </c>
    </row>
    <row r="1760" spans="1:18" x14ac:dyDescent="0.3">
      <c r="A1760" t="s">
        <v>3869</v>
      </c>
      <c r="B1760" t="s">
        <v>3870</v>
      </c>
      <c r="C1760" t="s">
        <v>2688</v>
      </c>
      <c r="D1760" t="s">
        <v>222</v>
      </c>
      <c r="E1760" t="s">
        <v>30</v>
      </c>
      <c r="F1760" s="6">
        <v>45838</v>
      </c>
      <c r="G1760">
        <v>2025</v>
      </c>
      <c r="H1760" t="s">
        <v>44</v>
      </c>
      <c r="I1760" t="s">
        <v>244</v>
      </c>
      <c r="J1760">
        <v>100</v>
      </c>
      <c r="K1760">
        <v>100</v>
      </c>
      <c r="L1760">
        <v>1</v>
      </c>
      <c r="M1760">
        <v>1</v>
      </c>
      <c r="N1760" t="s">
        <v>102</v>
      </c>
      <c r="O1760" t="s">
        <v>102</v>
      </c>
      <c r="P1760" t="s">
        <v>3874</v>
      </c>
      <c r="Q1760">
        <v>2</v>
      </c>
      <c r="R1760">
        <v>2</v>
      </c>
    </row>
    <row r="1761" spans="1:18" x14ac:dyDescent="0.3">
      <c r="A1761" t="s">
        <v>3869</v>
      </c>
      <c r="B1761" t="s">
        <v>3870</v>
      </c>
      <c r="C1761" t="s">
        <v>2688</v>
      </c>
      <c r="D1761" t="s">
        <v>222</v>
      </c>
      <c r="E1761" t="s">
        <v>30</v>
      </c>
      <c r="F1761" s="6">
        <v>46022</v>
      </c>
      <c r="G1761">
        <v>2025</v>
      </c>
      <c r="H1761" t="s">
        <v>57</v>
      </c>
      <c r="I1761" t="s">
        <v>103</v>
      </c>
      <c r="J1761">
        <v>100</v>
      </c>
      <c r="K1761">
        <v>100</v>
      </c>
      <c r="L1761">
        <v>1</v>
      </c>
      <c r="M1761">
        <v>1</v>
      </c>
      <c r="N1761" t="s">
        <v>102</v>
      </c>
      <c r="O1761" t="s">
        <v>102</v>
      </c>
      <c r="P1761" t="s">
        <v>3875</v>
      </c>
      <c r="Q1761">
        <v>2</v>
      </c>
      <c r="R1761">
        <v>2</v>
      </c>
    </row>
    <row r="1762" spans="1:18" x14ac:dyDescent="0.3">
      <c r="A1762" t="s">
        <v>3876</v>
      </c>
      <c r="B1762" t="s">
        <v>3877</v>
      </c>
      <c r="C1762" t="s">
        <v>2688</v>
      </c>
      <c r="D1762" t="s">
        <v>222</v>
      </c>
      <c r="E1762" t="s">
        <v>30</v>
      </c>
      <c r="F1762" s="6">
        <v>45291</v>
      </c>
      <c r="G1762">
        <v>2023</v>
      </c>
      <c r="H1762" t="s">
        <v>57</v>
      </c>
      <c r="I1762" t="s">
        <v>47</v>
      </c>
      <c r="J1762">
        <v>98</v>
      </c>
      <c r="K1762">
        <v>97.75</v>
      </c>
      <c r="L1762">
        <v>0.99744897959183676</v>
      </c>
      <c r="M1762">
        <v>0.99744897959183676</v>
      </c>
      <c r="N1762" t="s">
        <v>312</v>
      </c>
      <c r="O1762" t="s">
        <v>6397</v>
      </c>
      <c r="P1762" t="s">
        <v>3878</v>
      </c>
      <c r="Q1762">
        <v>2</v>
      </c>
      <c r="R1762">
        <v>2</v>
      </c>
    </row>
    <row r="1763" spans="1:18" x14ac:dyDescent="0.3">
      <c r="A1763" t="s">
        <v>3876</v>
      </c>
      <c r="B1763" t="s">
        <v>3877</v>
      </c>
      <c r="C1763" t="s">
        <v>2688</v>
      </c>
      <c r="D1763" t="s">
        <v>222</v>
      </c>
      <c r="E1763" t="s">
        <v>30</v>
      </c>
      <c r="F1763" s="6">
        <v>45473</v>
      </c>
      <c r="G1763">
        <v>2024</v>
      </c>
      <c r="H1763" t="s">
        <v>44</v>
      </c>
      <c r="I1763" t="s">
        <v>71</v>
      </c>
      <c r="J1763">
        <v>98</v>
      </c>
      <c r="K1763">
        <v>99.73</v>
      </c>
      <c r="L1763">
        <v>1.0176530612244901</v>
      </c>
      <c r="M1763">
        <v>1.0176530612244901</v>
      </c>
      <c r="N1763" t="s">
        <v>312</v>
      </c>
      <c r="O1763" t="s">
        <v>6398</v>
      </c>
      <c r="P1763" t="s">
        <v>3879</v>
      </c>
      <c r="Q1763">
        <v>2</v>
      </c>
      <c r="R1763">
        <v>2</v>
      </c>
    </row>
    <row r="1764" spans="1:18" x14ac:dyDescent="0.3">
      <c r="A1764" t="s">
        <v>3876</v>
      </c>
      <c r="B1764" t="s">
        <v>3877</v>
      </c>
      <c r="C1764" t="s">
        <v>2688</v>
      </c>
      <c r="D1764" t="s">
        <v>222</v>
      </c>
      <c r="E1764" t="s">
        <v>30</v>
      </c>
      <c r="F1764" s="6">
        <v>45657</v>
      </c>
      <c r="G1764">
        <v>2024</v>
      </c>
      <c r="H1764" t="s">
        <v>57</v>
      </c>
      <c r="I1764" t="s">
        <v>78</v>
      </c>
      <c r="J1764">
        <v>98</v>
      </c>
      <c r="K1764">
        <v>99.24</v>
      </c>
      <c r="L1764">
        <v>1.0126530612244899</v>
      </c>
      <c r="M1764">
        <v>1.0126530612244899</v>
      </c>
      <c r="N1764" t="s">
        <v>312</v>
      </c>
      <c r="O1764" t="s">
        <v>6399</v>
      </c>
      <c r="P1764" t="s">
        <v>3880</v>
      </c>
      <c r="Q1764">
        <v>2</v>
      </c>
      <c r="R1764">
        <v>2</v>
      </c>
    </row>
    <row r="1765" spans="1:18" x14ac:dyDescent="0.3">
      <c r="A1765" t="s">
        <v>3876</v>
      </c>
      <c r="B1765" t="s">
        <v>3877</v>
      </c>
      <c r="C1765" t="s">
        <v>2688</v>
      </c>
      <c r="D1765" t="s">
        <v>222</v>
      </c>
      <c r="E1765" t="s">
        <v>30</v>
      </c>
      <c r="F1765" s="6">
        <v>45838</v>
      </c>
      <c r="G1765">
        <v>2025</v>
      </c>
      <c r="H1765" t="s">
        <v>44</v>
      </c>
      <c r="I1765" t="s">
        <v>244</v>
      </c>
      <c r="J1765">
        <v>98</v>
      </c>
      <c r="K1765">
        <v>99.77</v>
      </c>
      <c r="L1765">
        <v>1.018061224489796</v>
      </c>
      <c r="M1765">
        <v>1.018061224489796</v>
      </c>
      <c r="N1765" t="s">
        <v>312</v>
      </c>
      <c r="O1765" t="s">
        <v>3882</v>
      </c>
      <c r="P1765" t="s">
        <v>3883</v>
      </c>
      <c r="Q1765">
        <v>2</v>
      </c>
      <c r="R1765">
        <v>2</v>
      </c>
    </row>
    <row r="1766" spans="1:18" x14ac:dyDescent="0.3">
      <c r="A1766" t="s">
        <v>3876</v>
      </c>
      <c r="B1766" t="s">
        <v>3877</v>
      </c>
      <c r="C1766" t="s">
        <v>2688</v>
      </c>
      <c r="D1766" t="s">
        <v>222</v>
      </c>
      <c r="E1766" t="s">
        <v>30</v>
      </c>
      <c r="F1766" s="6">
        <v>46022</v>
      </c>
      <c r="G1766">
        <v>2025</v>
      </c>
      <c r="H1766" t="s">
        <v>57</v>
      </c>
      <c r="I1766" t="s">
        <v>103</v>
      </c>
      <c r="J1766">
        <v>98</v>
      </c>
      <c r="K1766">
        <v>99.74</v>
      </c>
      <c r="L1766">
        <v>1.017755102040816</v>
      </c>
      <c r="M1766">
        <v>1.017755102040816</v>
      </c>
      <c r="N1766" t="s">
        <v>312</v>
      </c>
      <c r="O1766" t="s">
        <v>3885</v>
      </c>
      <c r="P1766" t="s">
        <v>3886</v>
      </c>
      <c r="Q1766">
        <v>2</v>
      </c>
      <c r="R1766">
        <v>2</v>
      </c>
    </row>
    <row r="1767" spans="1:18" x14ac:dyDescent="0.3">
      <c r="A1767" t="s">
        <v>3887</v>
      </c>
      <c r="B1767" t="s">
        <v>3888</v>
      </c>
      <c r="C1767" t="s">
        <v>187</v>
      </c>
      <c r="D1767" t="s">
        <v>29</v>
      </c>
      <c r="E1767" t="s">
        <v>30</v>
      </c>
      <c r="F1767" s="6">
        <v>45473</v>
      </c>
      <c r="G1767">
        <v>2024</v>
      </c>
      <c r="H1767" t="s">
        <v>44</v>
      </c>
      <c r="I1767" t="s">
        <v>71</v>
      </c>
      <c r="J1767">
        <v>90</v>
      </c>
      <c r="K1767">
        <v>94.063212560386319</v>
      </c>
      <c r="L1767">
        <v>1.045146806226515</v>
      </c>
      <c r="M1767">
        <v>1.045146806226515</v>
      </c>
      <c r="N1767" t="s">
        <v>256</v>
      </c>
      <c r="O1767" t="s">
        <v>6400</v>
      </c>
      <c r="P1767" t="s">
        <v>3894</v>
      </c>
      <c r="Q1767">
        <v>2</v>
      </c>
      <c r="R1767">
        <v>2</v>
      </c>
    </row>
    <row r="1768" spans="1:18" x14ac:dyDescent="0.3">
      <c r="A1768" t="s">
        <v>3887</v>
      </c>
      <c r="B1768" t="s">
        <v>3888</v>
      </c>
      <c r="C1768" t="s">
        <v>187</v>
      </c>
      <c r="D1768" t="s">
        <v>29</v>
      </c>
      <c r="E1768" t="s">
        <v>30</v>
      </c>
      <c r="F1768" s="6">
        <v>45657</v>
      </c>
      <c r="G1768">
        <v>2024</v>
      </c>
      <c r="H1768" t="s">
        <v>57</v>
      </c>
      <c r="I1768" t="s">
        <v>78</v>
      </c>
      <c r="J1768">
        <v>90</v>
      </c>
      <c r="K1768">
        <v>96.870842584737304</v>
      </c>
      <c r="L1768">
        <v>1.07634269538597</v>
      </c>
      <c r="M1768">
        <v>1.07634269538597</v>
      </c>
      <c r="N1768" t="s">
        <v>256</v>
      </c>
      <c r="O1768" t="s">
        <v>6401</v>
      </c>
      <c r="P1768" t="s">
        <v>3900</v>
      </c>
      <c r="Q1768">
        <v>2</v>
      </c>
      <c r="R1768">
        <v>2</v>
      </c>
    </row>
    <row r="1769" spans="1:18" x14ac:dyDescent="0.3">
      <c r="A1769" t="s">
        <v>3901</v>
      </c>
      <c r="B1769" t="s">
        <v>3902</v>
      </c>
      <c r="C1769" t="s">
        <v>663</v>
      </c>
      <c r="D1769" t="s">
        <v>222</v>
      </c>
      <c r="E1769" t="s">
        <v>30</v>
      </c>
      <c r="F1769" s="6">
        <v>45473</v>
      </c>
      <c r="G1769">
        <v>2024</v>
      </c>
      <c r="H1769" t="s">
        <v>44</v>
      </c>
      <c r="I1769" t="s">
        <v>71</v>
      </c>
      <c r="J1769">
        <v>100</v>
      </c>
      <c r="K1769">
        <v>80</v>
      </c>
      <c r="L1769">
        <v>0.8</v>
      </c>
      <c r="M1769">
        <v>0.8</v>
      </c>
      <c r="N1769" t="s">
        <v>102</v>
      </c>
      <c r="O1769" t="s">
        <v>193</v>
      </c>
      <c r="P1769" t="s">
        <v>3903</v>
      </c>
      <c r="Q1769">
        <v>2</v>
      </c>
      <c r="R1769">
        <v>2</v>
      </c>
    </row>
    <row r="1770" spans="1:18" x14ac:dyDescent="0.3">
      <c r="A1770" t="s">
        <v>3901</v>
      </c>
      <c r="B1770" t="s">
        <v>3902</v>
      </c>
      <c r="C1770" t="s">
        <v>663</v>
      </c>
      <c r="D1770" t="s">
        <v>222</v>
      </c>
      <c r="E1770" t="s">
        <v>30</v>
      </c>
      <c r="F1770" s="6">
        <v>45657</v>
      </c>
      <c r="G1770">
        <v>2024</v>
      </c>
      <c r="H1770" t="s">
        <v>57</v>
      </c>
      <c r="I1770" t="s">
        <v>78</v>
      </c>
      <c r="J1770">
        <v>100</v>
      </c>
      <c r="K1770">
        <v>145</v>
      </c>
      <c r="L1770">
        <v>1.3</v>
      </c>
      <c r="M1770">
        <v>1.45</v>
      </c>
      <c r="N1770" t="s">
        <v>102</v>
      </c>
      <c r="O1770" t="s">
        <v>5895</v>
      </c>
      <c r="P1770" t="s">
        <v>3904</v>
      </c>
      <c r="Q1770">
        <v>2</v>
      </c>
      <c r="R1770">
        <v>2</v>
      </c>
    </row>
    <row r="1771" spans="1:18" x14ac:dyDescent="0.3">
      <c r="A1771" t="s">
        <v>3905</v>
      </c>
      <c r="B1771" t="s">
        <v>3906</v>
      </c>
      <c r="C1771" t="s">
        <v>663</v>
      </c>
      <c r="D1771" t="s">
        <v>222</v>
      </c>
      <c r="E1771" t="s">
        <v>30</v>
      </c>
      <c r="F1771" s="6">
        <v>45473</v>
      </c>
      <c r="G1771">
        <v>2024</v>
      </c>
      <c r="H1771" t="s">
        <v>44</v>
      </c>
      <c r="I1771" t="s">
        <v>71</v>
      </c>
      <c r="J1771">
        <v>100</v>
      </c>
      <c r="K1771">
        <v>114.33</v>
      </c>
      <c r="L1771">
        <v>1.1433</v>
      </c>
      <c r="M1771">
        <v>1.1433</v>
      </c>
      <c r="N1771" t="s">
        <v>102</v>
      </c>
      <c r="O1771" t="s">
        <v>6402</v>
      </c>
      <c r="P1771" t="s">
        <v>3907</v>
      </c>
      <c r="Q1771">
        <v>2</v>
      </c>
      <c r="R1771">
        <v>2</v>
      </c>
    </row>
    <row r="1772" spans="1:18" x14ac:dyDescent="0.3">
      <c r="A1772" t="s">
        <v>3905</v>
      </c>
      <c r="B1772" t="s">
        <v>3906</v>
      </c>
      <c r="C1772" t="s">
        <v>663</v>
      </c>
      <c r="D1772" t="s">
        <v>222</v>
      </c>
      <c r="E1772" t="s">
        <v>30</v>
      </c>
      <c r="F1772" s="6">
        <v>45657</v>
      </c>
      <c r="G1772">
        <v>2024</v>
      </c>
      <c r="H1772" t="s">
        <v>57</v>
      </c>
      <c r="I1772" t="s">
        <v>78</v>
      </c>
      <c r="J1772">
        <v>100</v>
      </c>
      <c r="K1772">
        <v>209</v>
      </c>
      <c r="L1772">
        <v>1.3</v>
      </c>
      <c r="M1772">
        <v>2.09</v>
      </c>
      <c r="N1772" t="s">
        <v>102</v>
      </c>
      <c r="O1772" t="s">
        <v>6403</v>
      </c>
      <c r="P1772" t="s">
        <v>3908</v>
      </c>
      <c r="Q1772">
        <v>2</v>
      </c>
      <c r="R1772">
        <v>2</v>
      </c>
    </row>
    <row r="1773" spans="1:18" x14ac:dyDescent="0.3">
      <c r="A1773" t="s">
        <v>3909</v>
      </c>
      <c r="B1773" t="s">
        <v>3910</v>
      </c>
      <c r="C1773" t="s">
        <v>150</v>
      </c>
      <c r="D1773" t="s">
        <v>222</v>
      </c>
      <c r="E1773" t="s">
        <v>30</v>
      </c>
      <c r="F1773" s="6">
        <v>45657</v>
      </c>
      <c r="G1773">
        <v>2024</v>
      </c>
      <c r="H1773" t="s">
        <v>57</v>
      </c>
      <c r="I1773" t="s">
        <v>78</v>
      </c>
      <c r="K1773">
        <v>2.1</v>
      </c>
      <c r="L1773">
        <v>0</v>
      </c>
      <c r="M1773">
        <v>0</v>
      </c>
      <c r="O1773" t="s">
        <v>1840</v>
      </c>
      <c r="P1773" t="s">
        <v>3911</v>
      </c>
      <c r="Q1773">
        <v>2</v>
      </c>
      <c r="R1773">
        <v>2</v>
      </c>
    </row>
    <row r="1774" spans="1:18" x14ac:dyDescent="0.3">
      <c r="A1774" t="s">
        <v>3909</v>
      </c>
      <c r="B1774" t="s">
        <v>3910</v>
      </c>
      <c r="C1774" t="s">
        <v>150</v>
      </c>
      <c r="D1774" t="s">
        <v>222</v>
      </c>
      <c r="E1774" t="s">
        <v>108</v>
      </c>
      <c r="F1774" s="6">
        <v>45838</v>
      </c>
      <c r="G1774">
        <v>2025</v>
      </c>
      <c r="H1774" t="s">
        <v>44</v>
      </c>
      <c r="I1774" t="s">
        <v>244</v>
      </c>
      <c r="J1774">
        <v>3</v>
      </c>
      <c r="K1774">
        <v>1.6</v>
      </c>
      <c r="L1774">
        <v>1.3</v>
      </c>
      <c r="M1774">
        <v>1.875</v>
      </c>
      <c r="N1774" t="s">
        <v>1849</v>
      </c>
      <c r="O1774" t="s">
        <v>501</v>
      </c>
      <c r="P1774" t="s">
        <v>3913</v>
      </c>
      <c r="Q1774">
        <v>2</v>
      </c>
      <c r="R1774">
        <v>2</v>
      </c>
    </row>
    <row r="1775" spans="1:18" x14ac:dyDescent="0.3">
      <c r="A1775" t="s">
        <v>3909</v>
      </c>
      <c r="B1775" t="s">
        <v>3910</v>
      </c>
      <c r="C1775" t="s">
        <v>150</v>
      </c>
      <c r="D1775" t="s">
        <v>222</v>
      </c>
      <c r="E1775" t="s">
        <v>108</v>
      </c>
      <c r="F1775" s="6">
        <v>46022</v>
      </c>
      <c r="G1775">
        <v>2025</v>
      </c>
      <c r="H1775" t="s">
        <v>57</v>
      </c>
      <c r="I1775" t="s">
        <v>103</v>
      </c>
      <c r="J1775">
        <v>3</v>
      </c>
      <c r="K1775">
        <v>1.7</v>
      </c>
      <c r="L1775">
        <v>1.3</v>
      </c>
      <c r="M1775">
        <v>1.7647058823529409</v>
      </c>
      <c r="N1775" t="s">
        <v>1849</v>
      </c>
      <c r="O1775" t="s">
        <v>3915</v>
      </c>
      <c r="P1775" t="s">
        <v>3916</v>
      </c>
      <c r="Q1775">
        <v>2</v>
      </c>
      <c r="R1775">
        <v>2</v>
      </c>
    </row>
    <row r="1776" spans="1:18" x14ac:dyDescent="0.3">
      <c r="A1776" t="s">
        <v>3917</v>
      </c>
      <c r="B1776" t="s">
        <v>3918</v>
      </c>
      <c r="C1776" t="s">
        <v>150</v>
      </c>
      <c r="D1776" t="s">
        <v>222</v>
      </c>
      <c r="E1776" t="s">
        <v>30</v>
      </c>
      <c r="F1776" s="6">
        <v>45473</v>
      </c>
      <c r="G1776">
        <v>2024</v>
      </c>
      <c r="H1776" t="s">
        <v>44</v>
      </c>
      <c r="I1776" t="s">
        <v>71</v>
      </c>
      <c r="J1776">
        <v>67.5</v>
      </c>
      <c r="K1776">
        <v>55.2</v>
      </c>
      <c r="L1776">
        <v>0.81777777777777783</v>
      </c>
      <c r="M1776">
        <v>0.81777777777777783</v>
      </c>
      <c r="N1776" t="s">
        <v>5758</v>
      </c>
      <c r="O1776" t="s">
        <v>6404</v>
      </c>
      <c r="P1776" t="s">
        <v>3919</v>
      </c>
      <c r="Q1776">
        <v>2</v>
      </c>
      <c r="R1776">
        <v>2</v>
      </c>
    </row>
    <row r="1777" spans="1:18" x14ac:dyDescent="0.3">
      <c r="A1777" t="s">
        <v>3917</v>
      </c>
      <c r="B1777" t="s">
        <v>3918</v>
      </c>
      <c r="C1777" t="s">
        <v>150</v>
      </c>
      <c r="D1777" t="s">
        <v>222</v>
      </c>
      <c r="E1777" t="s">
        <v>30</v>
      </c>
      <c r="F1777" s="6">
        <v>45657</v>
      </c>
      <c r="G1777">
        <v>2024</v>
      </c>
      <c r="H1777" t="s">
        <v>57</v>
      </c>
      <c r="I1777" t="s">
        <v>78</v>
      </c>
      <c r="J1777">
        <v>67.5</v>
      </c>
      <c r="K1777">
        <v>86.5</v>
      </c>
      <c r="L1777">
        <v>1.281481481481481</v>
      </c>
      <c r="M1777">
        <v>1.281481481481481</v>
      </c>
      <c r="N1777" t="s">
        <v>5758</v>
      </c>
      <c r="O1777" t="s">
        <v>6405</v>
      </c>
      <c r="P1777" t="s">
        <v>3920</v>
      </c>
      <c r="Q1777">
        <v>2</v>
      </c>
      <c r="R1777">
        <v>2</v>
      </c>
    </row>
    <row r="1778" spans="1:18" x14ac:dyDescent="0.3">
      <c r="A1778" t="s">
        <v>3917</v>
      </c>
      <c r="B1778" t="s">
        <v>3918</v>
      </c>
      <c r="C1778" t="s">
        <v>150</v>
      </c>
      <c r="D1778" t="s">
        <v>222</v>
      </c>
      <c r="E1778" t="s">
        <v>30</v>
      </c>
      <c r="F1778" s="6">
        <v>45838</v>
      </c>
      <c r="G1778">
        <v>2025</v>
      </c>
      <c r="H1778" t="s">
        <v>44</v>
      </c>
      <c r="I1778" t="s">
        <v>244</v>
      </c>
      <c r="J1778">
        <v>70</v>
      </c>
      <c r="K1778">
        <v>75.7</v>
      </c>
      <c r="L1778">
        <v>1.081428571428571</v>
      </c>
      <c r="M1778">
        <v>1.081428571428571</v>
      </c>
      <c r="N1778" t="s">
        <v>3922</v>
      </c>
      <c r="O1778" t="s">
        <v>3923</v>
      </c>
      <c r="P1778" t="s">
        <v>3924</v>
      </c>
      <c r="Q1778">
        <v>2</v>
      </c>
      <c r="R1778">
        <v>2</v>
      </c>
    </row>
    <row r="1779" spans="1:18" x14ac:dyDescent="0.3">
      <c r="A1779" t="s">
        <v>3917</v>
      </c>
      <c r="B1779" t="s">
        <v>3918</v>
      </c>
      <c r="C1779" t="s">
        <v>150</v>
      </c>
      <c r="D1779" t="s">
        <v>222</v>
      </c>
      <c r="E1779" t="s">
        <v>30</v>
      </c>
      <c r="F1779" s="6">
        <v>46022</v>
      </c>
      <c r="G1779">
        <v>2025</v>
      </c>
      <c r="H1779" t="s">
        <v>57</v>
      </c>
      <c r="I1779" t="s">
        <v>103</v>
      </c>
      <c r="J1779">
        <v>70</v>
      </c>
      <c r="K1779">
        <v>85.3</v>
      </c>
      <c r="L1779">
        <v>1.2185714285714291</v>
      </c>
      <c r="M1779">
        <v>1.2185714285714291</v>
      </c>
      <c r="N1779" t="s">
        <v>3922</v>
      </c>
      <c r="O1779" t="s">
        <v>3926</v>
      </c>
      <c r="P1779" t="s">
        <v>3927</v>
      </c>
      <c r="Q1779">
        <v>2</v>
      </c>
      <c r="R1779">
        <v>2</v>
      </c>
    </row>
    <row r="1780" spans="1:18" x14ac:dyDescent="0.3">
      <c r="A1780" t="s">
        <v>3928</v>
      </c>
      <c r="B1780" t="s">
        <v>2162</v>
      </c>
      <c r="C1780" t="s">
        <v>672</v>
      </c>
      <c r="D1780" t="s">
        <v>222</v>
      </c>
      <c r="E1780" t="s">
        <v>30</v>
      </c>
      <c r="F1780" s="6">
        <v>45473</v>
      </c>
      <c r="G1780">
        <v>2024</v>
      </c>
      <c r="H1780" t="s">
        <v>44</v>
      </c>
      <c r="I1780" t="s">
        <v>71</v>
      </c>
      <c r="J1780">
        <v>15</v>
      </c>
      <c r="K1780">
        <v>31.04</v>
      </c>
      <c r="L1780">
        <v>1.3</v>
      </c>
      <c r="M1780">
        <v>2.0693333333333328</v>
      </c>
      <c r="N1780" t="s">
        <v>3932</v>
      </c>
      <c r="O1780" t="s">
        <v>6406</v>
      </c>
      <c r="P1780" t="s">
        <v>3929</v>
      </c>
      <c r="Q1780">
        <v>2</v>
      </c>
      <c r="R1780">
        <v>2</v>
      </c>
    </row>
    <row r="1781" spans="1:18" x14ac:dyDescent="0.3">
      <c r="A1781" t="s">
        <v>3928</v>
      </c>
      <c r="B1781" t="s">
        <v>2162</v>
      </c>
      <c r="C1781" t="s">
        <v>672</v>
      </c>
      <c r="D1781" t="s">
        <v>222</v>
      </c>
      <c r="E1781" t="s">
        <v>30</v>
      </c>
      <c r="F1781" s="6">
        <v>45657</v>
      </c>
      <c r="G1781">
        <v>2024</v>
      </c>
      <c r="H1781" t="s">
        <v>57</v>
      </c>
      <c r="I1781" t="s">
        <v>78</v>
      </c>
      <c r="J1781">
        <v>15</v>
      </c>
      <c r="K1781">
        <v>16.16</v>
      </c>
      <c r="L1781">
        <v>1.077333333333333</v>
      </c>
      <c r="M1781">
        <v>1.077333333333333</v>
      </c>
      <c r="N1781" t="s">
        <v>3932</v>
      </c>
      <c r="O1781" t="s">
        <v>6407</v>
      </c>
      <c r="P1781" t="s">
        <v>3930</v>
      </c>
      <c r="Q1781">
        <v>2</v>
      </c>
      <c r="R1781">
        <v>2</v>
      </c>
    </row>
    <row r="1782" spans="1:18" x14ac:dyDescent="0.3">
      <c r="A1782" t="s">
        <v>3928</v>
      </c>
      <c r="B1782" t="s">
        <v>2162</v>
      </c>
      <c r="C1782" t="s">
        <v>672</v>
      </c>
      <c r="D1782" t="s">
        <v>222</v>
      </c>
      <c r="E1782" t="s">
        <v>30</v>
      </c>
      <c r="F1782" s="6">
        <v>45838</v>
      </c>
      <c r="G1782">
        <v>2025</v>
      </c>
      <c r="H1782" t="s">
        <v>44</v>
      </c>
      <c r="I1782" t="s">
        <v>244</v>
      </c>
      <c r="J1782">
        <v>15</v>
      </c>
      <c r="K1782">
        <v>16.54</v>
      </c>
      <c r="L1782">
        <v>1.1026666666666669</v>
      </c>
      <c r="M1782">
        <v>1.1026666666666669</v>
      </c>
      <c r="N1782" t="s">
        <v>3932</v>
      </c>
      <c r="O1782" t="s">
        <v>3933</v>
      </c>
      <c r="P1782" t="s">
        <v>3934</v>
      </c>
      <c r="Q1782">
        <v>2</v>
      </c>
      <c r="R1782">
        <v>2</v>
      </c>
    </row>
    <row r="1783" spans="1:18" x14ac:dyDescent="0.3">
      <c r="A1783" t="s">
        <v>3928</v>
      </c>
      <c r="B1783" t="s">
        <v>2162</v>
      </c>
      <c r="C1783" t="s">
        <v>672</v>
      </c>
      <c r="D1783" t="s">
        <v>222</v>
      </c>
      <c r="E1783" t="s">
        <v>30</v>
      </c>
      <c r="F1783" s="6">
        <v>46022</v>
      </c>
      <c r="G1783">
        <v>2025</v>
      </c>
      <c r="H1783" t="s">
        <v>57</v>
      </c>
      <c r="I1783" t="s">
        <v>103</v>
      </c>
      <c r="J1783">
        <v>15</v>
      </c>
      <c r="K1783">
        <v>15.01</v>
      </c>
      <c r="L1783">
        <v>1.000666666666667</v>
      </c>
      <c r="M1783">
        <v>1.000666666666667</v>
      </c>
      <c r="N1783" t="s">
        <v>3932</v>
      </c>
      <c r="O1783" t="s">
        <v>3936</v>
      </c>
      <c r="P1783" t="s">
        <v>3937</v>
      </c>
      <c r="Q1783">
        <v>2</v>
      </c>
      <c r="R1783">
        <v>2</v>
      </c>
    </row>
    <row r="1784" spans="1:18" x14ac:dyDescent="0.3">
      <c r="A1784" t="s">
        <v>3938</v>
      </c>
      <c r="B1784" t="s">
        <v>3939</v>
      </c>
      <c r="C1784" t="s">
        <v>672</v>
      </c>
      <c r="D1784" t="s">
        <v>222</v>
      </c>
      <c r="E1784" t="s">
        <v>30</v>
      </c>
      <c r="F1784" s="6">
        <v>45473</v>
      </c>
      <c r="G1784">
        <v>2024</v>
      </c>
      <c r="H1784" t="s">
        <v>44</v>
      </c>
      <c r="I1784" t="s">
        <v>71</v>
      </c>
      <c r="J1784">
        <v>9</v>
      </c>
      <c r="K1784">
        <v>18.93</v>
      </c>
      <c r="L1784">
        <v>1.3</v>
      </c>
      <c r="M1784">
        <v>2.1033333333333331</v>
      </c>
      <c r="N1784" t="s">
        <v>3653</v>
      </c>
      <c r="O1784" t="s">
        <v>6408</v>
      </c>
      <c r="P1784" t="s">
        <v>3940</v>
      </c>
      <c r="Q1784">
        <v>2</v>
      </c>
      <c r="R1784">
        <v>2</v>
      </c>
    </row>
    <row r="1785" spans="1:18" x14ac:dyDescent="0.3">
      <c r="A1785" t="s">
        <v>3938</v>
      </c>
      <c r="B1785" t="s">
        <v>3939</v>
      </c>
      <c r="C1785" t="s">
        <v>672</v>
      </c>
      <c r="D1785" t="s">
        <v>222</v>
      </c>
      <c r="E1785" t="s">
        <v>30</v>
      </c>
      <c r="F1785" s="6">
        <v>45657</v>
      </c>
      <c r="G1785">
        <v>2024</v>
      </c>
      <c r="H1785" t="s">
        <v>57</v>
      </c>
      <c r="I1785" t="s">
        <v>78</v>
      </c>
      <c r="J1785">
        <v>9</v>
      </c>
      <c r="K1785">
        <v>9.32</v>
      </c>
      <c r="L1785">
        <v>1.035555555555556</v>
      </c>
      <c r="M1785">
        <v>1.035555555555556</v>
      </c>
      <c r="N1785" t="s">
        <v>3653</v>
      </c>
      <c r="O1785" t="s">
        <v>6409</v>
      </c>
      <c r="P1785" t="s">
        <v>3941</v>
      </c>
      <c r="Q1785">
        <v>2</v>
      </c>
      <c r="R1785">
        <v>2</v>
      </c>
    </row>
    <row r="1786" spans="1:18" x14ac:dyDescent="0.3">
      <c r="A1786" t="s">
        <v>3938</v>
      </c>
      <c r="B1786" t="s">
        <v>3939</v>
      </c>
      <c r="C1786" t="s">
        <v>672</v>
      </c>
      <c r="D1786" t="s">
        <v>222</v>
      </c>
      <c r="E1786" t="s">
        <v>30</v>
      </c>
      <c r="F1786" s="6">
        <v>45838</v>
      </c>
      <c r="G1786">
        <v>2025</v>
      </c>
      <c r="H1786" t="s">
        <v>44</v>
      </c>
      <c r="I1786" t="s">
        <v>244</v>
      </c>
      <c r="J1786">
        <v>17</v>
      </c>
      <c r="K1786">
        <v>39.619999999999997</v>
      </c>
      <c r="L1786">
        <v>1.3</v>
      </c>
      <c r="M1786">
        <v>2.3305882352941181</v>
      </c>
      <c r="N1786" t="s">
        <v>1478</v>
      </c>
      <c r="O1786" t="s">
        <v>3943</v>
      </c>
      <c r="P1786" t="s">
        <v>3944</v>
      </c>
      <c r="Q1786">
        <v>2</v>
      </c>
      <c r="R1786">
        <v>2</v>
      </c>
    </row>
    <row r="1787" spans="1:18" x14ac:dyDescent="0.3">
      <c r="A1787" t="s">
        <v>3938</v>
      </c>
      <c r="B1787" t="s">
        <v>3939</v>
      </c>
      <c r="C1787" t="s">
        <v>672</v>
      </c>
      <c r="D1787" t="s">
        <v>222</v>
      </c>
      <c r="E1787" t="s">
        <v>30</v>
      </c>
      <c r="F1787" s="6">
        <v>46022</v>
      </c>
      <c r="G1787">
        <v>2025</v>
      </c>
      <c r="H1787" t="s">
        <v>57</v>
      </c>
      <c r="I1787" t="s">
        <v>103</v>
      </c>
      <c r="J1787">
        <v>17</v>
      </c>
      <c r="K1787">
        <v>59.36</v>
      </c>
      <c r="L1787">
        <v>1.3</v>
      </c>
      <c r="M1787">
        <v>3.4917647058823529</v>
      </c>
      <c r="N1787" t="s">
        <v>1478</v>
      </c>
      <c r="O1787" t="s">
        <v>3946</v>
      </c>
      <c r="P1787" t="s">
        <v>3947</v>
      </c>
      <c r="Q1787">
        <v>2</v>
      </c>
      <c r="R1787">
        <v>2</v>
      </c>
    </row>
    <row r="1788" spans="1:18" x14ac:dyDescent="0.3">
      <c r="A1788" t="s">
        <v>3948</v>
      </c>
      <c r="B1788" t="s">
        <v>3951</v>
      </c>
      <c r="C1788" t="s">
        <v>2177</v>
      </c>
      <c r="D1788" t="s">
        <v>1794</v>
      </c>
      <c r="E1788" t="s">
        <v>30</v>
      </c>
      <c r="F1788" s="6">
        <v>45473</v>
      </c>
      <c r="G1788">
        <v>2024</v>
      </c>
      <c r="H1788" t="s">
        <v>44</v>
      </c>
      <c r="I1788" t="s">
        <v>71</v>
      </c>
      <c r="J1788">
        <v>20</v>
      </c>
      <c r="K1788">
        <v>51.28</v>
      </c>
      <c r="L1788">
        <v>1.3</v>
      </c>
      <c r="M1788">
        <v>2.5640000000000001</v>
      </c>
      <c r="N1788" t="s">
        <v>1298</v>
      </c>
      <c r="O1788" t="s">
        <v>6410</v>
      </c>
      <c r="P1788" t="s">
        <v>3952</v>
      </c>
      <c r="Q1788">
        <v>2</v>
      </c>
      <c r="R1788">
        <v>2</v>
      </c>
    </row>
    <row r="1789" spans="1:18" x14ac:dyDescent="0.3">
      <c r="A1789" t="s">
        <v>3948</v>
      </c>
      <c r="B1789" t="s">
        <v>3949</v>
      </c>
      <c r="C1789" t="s">
        <v>2177</v>
      </c>
      <c r="D1789" t="s">
        <v>233</v>
      </c>
      <c r="E1789" t="s">
        <v>30</v>
      </c>
      <c r="F1789" s="6">
        <v>45657</v>
      </c>
      <c r="G1789">
        <v>2024</v>
      </c>
      <c r="H1789" t="s">
        <v>57</v>
      </c>
      <c r="I1789" t="s">
        <v>78</v>
      </c>
      <c r="J1789">
        <v>85</v>
      </c>
      <c r="K1789">
        <v>92.307692307692292</v>
      </c>
      <c r="L1789">
        <v>1.0859728506787329</v>
      </c>
      <c r="M1789">
        <v>1.0859728506787329</v>
      </c>
      <c r="N1789" t="s">
        <v>2357</v>
      </c>
      <c r="O1789" t="s">
        <v>6371</v>
      </c>
      <c r="P1789" t="s">
        <v>3954</v>
      </c>
      <c r="Q1789">
        <v>2</v>
      </c>
      <c r="R1789">
        <v>2</v>
      </c>
    </row>
    <row r="1790" spans="1:18" x14ac:dyDescent="0.3">
      <c r="A1790" t="s">
        <v>3955</v>
      </c>
      <c r="B1790" t="s">
        <v>3956</v>
      </c>
      <c r="C1790" t="s">
        <v>2177</v>
      </c>
      <c r="D1790" t="s">
        <v>233</v>
      </c>
      <c r="E1790" t="s">
        <v>108</v>
      </c>
      <c r="F1790" s="6">
        <v>45473</v>
      </c>
      <c r="G1790">
        <v>2024</v>
      </c>
      <c r="H1790" t="s">
        <v>44</v>
      </c>
      <c r="I1790" t="s">
        <v>71</v>
      </c>
      <c r="L1790">
        <v>0</v>
      </c>
      <c r="M1790">
        <v>0</v>
      </c>
      <c r="P1790" t="s">
        <v>3957</v>
      </c>
      <c r="Q1790">
        <v>2</v>
      </c>
      <c r="R1790">
        <v>2</v>
      </c>
    </row>
    <row r="1791" spans="1:18" x14ac:dyDescent="0.3">
      <c r="A1791" t="s">
        <v>3958</v>
      </c>
      <c r="B1791" t="s">
        <v>3959</v>
      </c>
      <c r="C1791" t="s">
        <v>3093</v>
      </c>
      <c r="D1791" t="s">
        <v>222</v>
      </c>
      <c r="E1791" t="s">
        <v>30</v>
      </c>
      <c r="F1791" s="6">
        <v>45473</v>
      </c>
      <c r="G1791">
        <v>2024</v>
      </c>
      <c r="H1791" t="s">
        <v>44</v>
      </c>
      <c r="I1791" t="s">
        <v>71</v>
      </c>
      <c r="J1791">
        <v>0</v>
      </c>
      <c r="K1791">
        <v>34.9</v>
      </c>
      <c r="L1791">
        <v>0</v>
      </c>
      <c r="M1791">
        <v>0</v>
      </c>
      <c r="N1791" t="s">
        <v>122</v>
      </c>
      <c r="O1791" t="s">
        <v>6411</v>
      </c>
      <c r="P1791" t="s">
        <v>3960</v>
      </c>
      <c r="Q1791">
        <v>2</v>
      </c>
      <c r="R1791">
        <v>2</v>
      </c>
    </row>
    <row r="1792" spans="1:18" x14ac:dyDescent="0.3">
      <c r="A1792" t="s">
        <v>3958</v>
      </c>
      <c r="B1792" t="s">
        <v>3959</v>
      </c>
      <c r="C1792" t="s">
        <v>3093</v>
      </c>
      <c r="D1792" t="s">
        <v>222</v>
      </c>
      <c r="E1792" t="s">
        <v>30</v>
      </c>
      <c r="F1792" s="6">
        <v>45657</v>
      </c>
      <c r="G1792">
        <v>2024</v>
      </c>
      <c r="H1792" t="s">
        <v>57</v>
      </c>
      <c r="I1792" t="s">
        <v>78</v>
      </c>
      <c r="J1792">
        <v>0</v>
      </c>
      <c r="K1792">
        <v>42.7</v>
      </c>
      <c r="L1792">
        <v>0</v>
      </c>
      <c r="M1792">
        <v>0</v>
      </c>
      <c r="N1792" t="s">
        <v>122</v>
      </c>
      <c r="O1792" t="s">
        <v>6412</v>
      </c>
      <c r="P1792" t="s">
        <v>3961</v>
      </c>
      <c r="Q1792">
        <v>2</v>
      </c>
      <c r="R1792">
        <v>2</v>
      </c>
    </row>
    <row r="1793" spans="1:18" x14ac:dyDescent="0.3">
      <c r="A1793" t="s">
        <v>3958</v>
      </c>
      <c r="B1793" t="s">
        <v>3962</v>
      </c>
      <c r="C1793" t="s">
        <v>3093</v>
      </c>
      <c r="D1793" t="s">
        <v>222</v>
      </c>
      <c r="E1793" t="s">
        <v>30</v>
      </c>
      <c r="F1793" s="6">
        <v>45838</v>
      </c>
      <c r="G1793">
        <v>2025</v>
      </c>
      <c r="H1793" t="s">
        <v>44</v>
      </c>
      <c r="I1793" t="s">
        <v>244</v>
      </c>
      <c r="J1793">
        <v>100</v>
      </c>
      <c r="K1793">
        <v>119.5</v>
      </c>
      <c r="L1793">
        <v>1.1950000000000001</v>
      </c>
      <c r="M1793">
        <v>1.1950000000000001</v>
      </c>
      <c r="N1793" t="s">
        <v>102</v>
      </c>
      <c r="O1793" t="s">
        <v>3964</v>
      </c>
      <c r="P1793" t="s">
        <v>3965</v>
      </c>
      <c r="Q1793">
        <v>2</v>
      </c>
      <c r="R1793">
        <v>2</v>
      </c>
    </row>
    <row r="1794" spans="1:18" x14ac:dyDescent="0.3">
      <c r="A1794" t="s">
        <v>3958</v>
      </c>
      <c r="B1794" t="s">
        <v>3962</v>
      </c>
      <c r="C1794" t="s">
        <v>3093</v>
      </c>
      <c r="D1794" t="s">
        <v>222</v>
      </c>
      <c r="E1794" t="s">
        <v>30</v>
      </c>
      <c r="F1794" s="6">
        <v>46022</v>
      </c>
      <c r="G1794">
        <v>2025</v>
      </c>
      <c r="H1794" t="s">
        <v>57</v>
      </c>
      <c r="I1794" t="s">
        <v>103</v>
      </c>
      <c r="J1794">
        <v>100</v>
      </c>
      <c r="K1794">
        <v>130.80000000000001</v>
      </c>
      <c r="L1794">
        <v>1.3</v>
      </c>
      <c r="M1794">
        <v>1.3080000000000001</v>
      </c>
      <c r="N1794" t="s">
        <v>102</v>
      </c>
      <c r="O1794" t="s">
        <v>3967</v>
      </c>
      <c r="P1794" t="s">
        <v>3968</v>
      </c>
      <c r="Q1794">
        <v>2</v>
      </c>
      <c r="R1794">
        <v>2</v>
      </c>
    </row>
    <row r="1795" spans="1:18" x14ac:dyDescent="0.3">
      <c r="A1795" t="s">
        <v>3969</v>
      </c>
      <c r="B1795" t="s">
        <v>3970</v>
      </c>
      <c r="C1795" t="s">
        <v>3093</v>
      </c>
      <c r="D1795" t="s">
        <v>222</v>
      </c>
      <c r="E1795" t="s">
        <v>30</v>
      </c>
      <c r="F1795" s="6">
        <v>45473</v>
      </c>
      <c r="G1795">
        <v>2024</v>
      </c>
      <c r="H1795" t="s">
        <v>44</v>
      </c>
      <c r="I1795" t="s">
        <v>71</v>
      </c>
      <c r="L1795">
        <v>0</v>
      </c>
      <c r="M1795">
        <v>0</v>
      </c>
      <c r="P1795" t="s">
        <v>3971</v>
      </c>
      <c r="Q1795">
        <v>2</v>
      </c>
      <c r="R1795">
        <v>2</v>
      </c>
    </row>
    <row r="1796" spans="1:18" x14ac:dyDescent="0.3">
      <c r="A1796" t="s">
        <v>3969</v>
      </c>
      <c r="B1796" t="s">
        <v>3970</v>
      </c>
      <c r="C1796" t="s">
        <v>3093</v>
      </c>
      <c r="D1796" t="s">
        <v>222</v>
      </c>
      <c r="E1796" t="s">
        <v>30</v>
      </c>
      <c r="F1796" s="6">
        <v>45657</v>
      </c>
      <c r="G1796">
        <v>2024</v>
      </c>
      <c r="H1796" t="s">
        <v>57</v>
      </c>
      <c r="I1796" t="s">
        <v>78</v>
      </c>
      <c r="J1796">
        <v>100</v>
      </c>
      <c r="K1796">
        <v>160</v>
      </c>
      <c r="L1796">
        <v>1.3</v>
      </c>
      <c r="M1796">
        <v>1.6</v>
      </c>
      <c r="N1796" t="s">
        <v>102</v>
      </c>
      <c r="O1796" t="s">
        <v>6212</v>
      </c>
      <c r="P1796" t="s">
        <v>3972</v>
      </c>
      <c r="Q1796">
        <v>2</v>
      </c>
      <c r="R1796">
        <v>2</v>
      </c>
    </row>
    <row r="1797" spans="1:18" x14ac:dyDescent="0.3">
      <c r="A1797" t="s">
        <v>3969</v>
      </c>
      <c r="B1797" t="s">
        <v>3970</v>
      </c>
      <c r="C1797" t="s">
        <v>3093</v>
      </c>
      <c r="D1797" t="s">
        <v>222</v>
      </c>
      <c r="E1797" t="s">
        <v>30</v>
      </c>
      <c r="F1797" s="6">
        <v>45838</v>
      </c>
      <c r="G1797">
        <v>2025</v>
      </c>
      <c r="H1797" t="s">
        <v>44</v>
      </c>
      <c r="I1797" t="s">
        <v>244</v>
      </c>
      <c r="J1797">
        <v>100</v>
      </c>
      <c r="L1797">
        <v>0</v>
      </c>
      <c r="M1797">
        <v>0</v>
      </c>
      <c r="N1797" t="s">
        <v>102</v>
      </c>
      <c r="P1797" t="s">
        <v>3973</v>
      </c>
      <c r="Q1797">
        <v>2</v>
      </c>
      <c r="R1797">
        <v>2</v>
      </c>
    </row>
    <row r="1798" spans="1:18" x14ac:dyDescent="0.3">
      <c r="A1798" t="s">
        <v>3969</v>
      </c>
      <c r="B1798" t="s">
        <v>3970</v>
      </c>
      <c r="C1798" t="s">
        <v>3093</v>
      </c>
      <c r="D1798" t="s">
        <v>222</v>
      </c>
      <c r="E1798" t="s">
        <v>30</v>
      </c>
      <c r="F1798" s="6">
        <v>46022</v>
      </c>
      <c r="G1798">
        <v>2025</v>
      </c>
      <c r="H1798" t="s">
        <v>57</v>
      </c>
      <c r="I1798" t="s">
        <v>103</v>
      </c>
      <c r="J1798">
        <v>100</v>
      </c>
      <c r="L1798">
        <v>0</v>
      </c>
      <c r="M1798">
        <v>0</v>
      </c>
      <c r="N1798" t="s">
        <v>102</v>
      </c>
      <c r="P1798" t="s">
        <v>3974</v>
      </c>
      <c r="Q1798">
        <v>2</v>
      </c>
      <c r="R1798">
        <v>2</v>
      </c>
    </row>
    <row r="1799" spans="1:18" x14ac:dyDescent="0.3">
      <c r="A1799" t="s">
        <v>3975</v>
      </c>
      <c r="B1799" t="s">
        <v>3976</v>
      </c>
      <c r="C1799" t="s">
        <v>3126</v>
      </c>
      <c r="D1799" t="s">
        <v>233</v>
      </c>
      <c r="E1799" t="s">
        <v>30</v>
      </c>
      <c r="F1799" s="6">
        <v>45473</v>
      </c>
      <c r="G1799">
        <v>2024</v>
      </c>
      <c r="H1799" t="s">
        <v>44</v>
      </c>
      <c r="I1799" t="s">
        <v>71</v>
      </c>
      <c r="J1799">
        <v>12.5</v>
      </c>
      <c r="K1799">
        <v>43.5</v>
      </c>
      <c r="L1799">
        <v>1.3</v>
      </c>
      <c r="M1799">
        <v>3.48</v>
      </c>
      <c r="N1799" t="s">
        <v>6413</v>
      </c>
      <c r="O1799" t="s">
        <v>6414</v>
      </c>
      <c r="P1799" t="s">
        <v>3978</v>
      </c>
      <c r="Q1799">
        <v>2</v>
      </c>
      <c r="R1799">
        <v>2</v>
      </c>
    </row>
    <row r="1800" spans="1:18" x14ac:dyDescent="0.3">
      <c r="A1800" t="s">
        <v>3975</v>
      </c>
      <c r="B1800" t="s">
        <v>3976</v>
      </c>
      <c r="C1800" t="s">
        <v>3126</v>
      </c>
      <c r="D1800" t="s">
        <v>233</v>
      </c>
      <c r="E1800" t="s">
        <v>30</v>
      </c>
      <c r="F1800" s="6">
        <v>45657</v>
      </c>
      <c r="G1800">
        <v>2024</v>
      </c>
      <c r="H1800" t="s">
        <v>57</v>
      </c>
      <c r="I1800" t="s">
        <v>78</v>
      </c>
      <c r="J1800">
        <v>25</v>
      </c>
      <c r="K1800">
        <v>56</v>
      </c>
      <c r="L1800">
        <v>1.3</v>
      </c>
      <c r="M1800">
        <v>2.2400000000000002</v>
      </c>
      <c r="N1800" t="s">
        <v>5588</v>
      </c>
      <c r="O1800" t="s">
        <v>6236</v>
      </c>
      <c r="P1800" t="s">
        <v>3980</v>
      </c>
      <c r="Q1800">
        <v>2</v>
      </c>
      <c r="R1800">
        <v>2</v>
      </c>
    </row>
    <row r="1801" spans="1:18" x14ac:dyDescent="0.3">
      <c r="A1801" t="s">
        <v>3975</v>
      </c>
      <c r="B1801" t="s">
        <v>3976</v>
      </c>
      <c r="C1801" t="s">
        <v>3126</v>
      </c>
      <c r="D1801" t="s">
        <v>233</v>
      </c>
      <c r="E1801" t="s">
        <v>30</v>
      </c>
      <c r="F1801" s="6">
        <v>45838</v>
      </c>
      <c r="G1801">
        <v>2025</v>
      </c>
      <c r="H1801" t="s">
        <v>44</v>
      </c>
      <c r="I1801" t="s">
        <v>244</v>
      </c>
      <c r="J1801">
        <v>100</v>
      </c>
      <c r="K1801">
        <v>74</v>
      </c>
      <c r="L1801">
        <v>0.74</v>
      </c>
      <c r="M1801">
        <v>0.74</v>
      </c>
      <c r="N1801" t="s">
        <v>102</v>
      </c>
      <c r="O1801" t="s">
        <v>272</v>
      </c>
      <c r="P1801" t="s">
        <v>3984</v>
      </c>
      <c r="Q1801">
        <v>2</v>
      </c>
      <c r="R1801">
        <v>2</v>
      </c>
    </row>
    <row r="1802" spans="1:18" x14ac:dyDescent="0.3">
      <c r="A1802" t="s">
        <v>3975</v>
      </c>
      <c r="B1802" t="s">
        <v>3976</v>
      </c>
      <c r="C1802" t="s">
        <v>3126</v>
      </c>
      <c r="D1802" t="s">
        <v>233</v>
      </c>
      <c r="E1802" t="s">
        <v>30</v>
      </c>
      <c r="F1802" s="6">
        <v>46022</v>
      </c>
      <c r="G1802">
        <v>2025</v>
      </c>
      <c r="H1802" t="s">
        <v>57</v>
      </c>
      <c r="I1802" t="s">
        <v>103</v>
      </c>
      <c r="J1802">
        <v>100</v>
      </c>
      <c r="K1802">
        <v>100</v>
      </c>
      <c r="L1802">
        <v>1</v>
      </c>
      <c r="M1802">
        <v>1</v>
      </c>
      <c r="N1802" t="s">
        <v>102</v>
      </c>
      <c r="O1802" t="s">
        <v>102</v>
      </c>
      <c r="P1802" t="s">
        <v>3985</v>
      </c>
      <c r="Q1802">
        <v>2</v>
      </c>
      <c r="R1802">
        <v>2</v>
      </c>
    </row>
    <row r="1803" spans="1:18" x14ac:dyDescent="0.3">
      <c r="A1803" t="s">
        <v>3986</v>
      </c>
      <c r="B1803" t="s">
        <v>3987</v>
      </c>
      <c r="C1803" t="s">
        <v>3126</v>
      </c>
      <c r="D1803" t="s">
        <v>233</v>
      </c>
      <c r="E1803" t="s">
        <v>30</v>
      </c>
      <c r="F1803" s="6">
        <v>45473</v>
      </c>
      <c r="G1803">
        <v>2024</v>
      </c>
      <c r="H1803" t="s">
        <v>44</v>
      </c>
      <c r="I1803" t="s">
        <v>71</v>
      </c>
      <c r="L1803">
        <v>0</v>
      </c>
      <c r="M1803">
        <v>0</v>
      </c>
      <c r="P1803" t="s">
        <v>3989</v>
      </c>
      <c r="Q1803">
        <v>2</v>
      </c>
      <c r="R1803">
        <v>2</v>
      </c>
    </row>
    <row r="1804" spans="1:18" x14ac:dyDescent="0.3">
      <c r="A1804" t="s">
        <v>3986</v>
      </c>
      <c r="B1804" t="s">
        <v>3987</v>
      </c>
      <c r="C1804" t="s">
        <v>3126</v>
      </c>
      <c r="D1804" t="s">
        <v>233</v>
      </c>
      <c r="E1804" t="s">
        <v>30</v>
      </c>
      <c r="F1804" s="6">
        <v>45657</v>
      </c>
      <c r="G1804">
        <v>2024</v>
      </c>
      <c r="H1804" t="s">
        <v>57</v>
      </c>
      <c r="I1804" t="s">
        <v>78</v>
      </c>
      <c r="J1804">
        <v>0</v>
      </c>
      <c r="K1804">
        <v>88</v>
      </c>
      <c r="L1804">
        <v>0</v>
      </c>
      <c r="M1804">
        <v>0</v>
      </c>
      <c r="N1804" t="s">
        <v>122</v>
      </c>
      <c r="O1804" t="s">
        <v>4404</v>
      </c>
      <c r="P1804" t="s">
        <v>3991</v>
      </c>
      <c r="Q1804">
        <v>2</v>
      </c>
      <c r="R1804">
        <v>2</v>
      </c>
    </row>
    <row r="1805" spans="1:18" x14ac:dyDescent="0.3">
      <c r="A1805" t="s">
        <v>3992</v>
      </c>
      <c r="B1805" t="s">
        <v>3993</v>
      </c>
      <c r="C1805" t="s">
        <v>3126</v>
      </c>
      <c r="D1805" t="s">
        <v>233</v>
      </c>
      <c r="E1805" t="s">
        <v>30</v>
      </c>
      <c r="F1805" s="6">
        <v>45657</v>
      </c>
      <c r="G1805">
        <v>2024</v>
      </c>
      <c r="H1805" t="s">
        <v>57</v>
      </c>
      <c r="I1805" t="s">
        <v>78</v>
      </c>
      <c r="J1805">
        <v>90</v>
      </c>
      <c r="K1805">
        <v>100</v>
      </c>
      <c r="L1805">
        <v>1.1111111111111109</v>
      </c>
      <c r="M1805">
        <v>1.1111111111111109</v>
      </c>
      <c r="N1805" t="s">
        <v>256</v>
      </c>
      <c r="O1805" t="s">
        <v>102</v>
      </c>
      <c r="P1805" t="s">
        <v>3995</v>
      </c>
      <c r="Q1805">
        <v>2</v>
      </c>
      <c r="R1805">
        <v>2</v>
      </c>
    </row>
    <row r="1806" spans="1:18" x14ac:dyDescent="0.3">
      <c r="A1806" t="s">
        <v>3992</v>
      </c>
      <c r="B1806" t="s">
        <v>3993</v>
      </c>
      <c r="C1806" t="s">
        <v>3126</v>
      </c>
      <c r="D1806" t="s">
        <v>233</v>
      </c>
      <c r="E1806" t="s">
        <v>30</v>
      </c>
      <c r="F1806" s="6">
        <v>45838</v>
      </c>
      <c r="G1806">
        <v>2025</v>
      </c>
      <c r="H1806" t="s">
        <v>44</v>
      </c>
      <c r="I1806" t="s">
        <v>244</v>
      </c>
      <c r="J1806">
        <v>100</v>
      </c>
      <c r="K1806">
        <v>100</v>
      </c>
      <c r="L1806">
        <v>1</v>
      </c>
      <c r="M1806">
        <v>1</v>
      </c>
      <c r="N1806" t="s">
        <v>102</v>
      </c>
      <c r="O1806" t="s">
        <v>102</v>
      </c>
      <c r="P1806" t="s">
        <v>3997</v>
      </c>
      <c r="Q1806">
        <v>2</v>
      </c>
      <c r="R1806">
        <v>2</v>
      </c>
    </row>
    <row r="1807" spans="1:18" x14ac:dyDescent="0.3">
      <c r="A1807" t="s">
        <v>3992</v>
      </c>
      <c r="B1807" t="s">
        <v>3993</v>
      </c>
      <c r="C1807" t="s">
        <v>3126</v>
      </c>
      <c r="D1807" t="s">
        <v>233</v>
      </c>
      <c r="E1807" t="s">
        <v>30</v>
      </c>
      <c r="F1807" s="6">
        <v>46022</v>
      </c>
      <c r="G1807">
        <v>2025</v>
      </c>
      <c r="H1807" t="s">
        <v>57</v>
      </c>
      <c r="I1807" t="s">
        <v>103</v>
      </c>
      <c r="J1807">
        <v>100</v>
      </c>
      <c r="K1807">
        <v>100</v>
      </c>
      <c r="L1807">
        <v>1</v>
      </c>
      <c r="M1807">
        <v>1</v>
      </c>
      <c r="N1807" t="s">
        <v>102</v>
      </c>
      <c r="O1807" t="s">
        <v>102</v>
      </c>
      <c r="P1807" t="s">
        <v>3998</v>
      </c>
      <c r="Q1807">
        <v>2</v>
      </c>
      <c r="R1807">
        <v>2</v>
      </c>
    </row>
    <row r="1808" spans="1:18" x14ac:dyDescent="0.3">
      <c r="A1808" t="s">
        <v>3999</v>
      </c>
      <c r="B1808" t="s">
        <v>4000</v>
      </c>
      <c r="C1808" t="s">
        <v>165</v>
      </c>
      <c r="D1808" t="s">
        <v>222</v>
      </c>
      <c r="E1808" t="s">
        <v>30</v>
      </c>
      <c r="F1808" s="6">
        <v>45473</v>
      </c>
      <c r="G1808">
        <v>2024</v>
      </c>
      <c r="H1808" t="s">
        <v>44</v>
      </c>
      <c r="I1808" t="s">
        <v>71</v>
      </c>
      <c r="J1808">
        <v>100</v>
      </c>
      <c r="K1808">
        <v>100</v>
      </c>
      <c r="L1808">
        <v>1</v>
      </c>
      <c r="M1808">
        <v>1</v>
      </c>
      <c r="N1808" t="s">
        <v>102</v>
      </c>
      <c r="O1808" t="s">
        <v>102</v>
      </c>
      <c r="P1808" t="s">
        <v>4001</v>
      </c>
      <c r="Q1808">
        <v>2</v>
      </c>
      <c r="R1808">
        <v>2</v>
      </c>
    </row>
    <row r="1809" spans="1:18" x14ac:dyDescent="0.3">
      <c r="A1809" t="s">
        <v>3999</v>
      </c>
      <c r="B1809" t="s">
        <v>4000</v>
      </c>
      <c r="C1809" t="s">
        <v>165</v>
      </c>
      <c r="D1809" t="s">
        <v>222</v>
      </c>
      <c r="E1809" t="s">
        <v>30</v>
      </c>
      <c r="F1809" s="6">
        <v>45657</v>
      </c>
      <c r="G1809">
        <v>2024</v>
      </c>
      <c r="H1809" t="s">
        <v>57</v>
      </c>
      <c r="I1809" t="s">
        <v>78</v>
      </c>
      <c r="J1809">
        <v>100</v>
      </c>
      <c r="K1809">
        <v>94.69</v>
      </c>
      <c r="L1809">
        <v>0.94689999999999996</v>
      </c>
      <c r="M1809">
        <v>0.94689999999999996</v>
      </c>
      <c r="N1809" t="s">
        <v>102</v>
      </c>
      <c r="O1809" t="s">
        <v>6415</v>
      </c>
      <c r="P1809" t="s">
        <v>4002</v>
      </c>
      <c r="Q1809">
        <v>2</v>
      </c>
      <c r="R1809">
        <v>2</v>
      </c>
    </row>
    <row r="1810" spans="1:18" x14ac:dyDescent="0.3">
      <c r="A1810" t="s">
        <v>3999</v>
      </c>
      <c r="B1810" t="s">
        <v>4000</v>
      </c>
      <c r="C1810" t="s">
        <v>165</v>
      </c>
      <c r="D1810" t="s">
        <v>233</v>
      </c>
      <c r="E1810" t="s">
        <v>30</v>
      </c>
      <c r="F1810" s="6">
        <v>45838</v>
      </c>
      <c r="G1810">
        <v>2025</v>
      </c>
      <c r="H1810" t="s">
        <v>44</v>
      </c>
      <c r="I1810" t="s">
        <v>244</v>
      </c>
      <c r="J1810">
        <v>100</v>
      </c>
      <c r="K1810">
        <v>105.185</v>
      </c>
      <c r="L1810">
        <v>1.05185</v>
      </c>
      <c r="M1810">
        <v>1.05185</v>
      </c>
      <c r="N1810" t="s">
        <v>102</v>
      </c>
      <c r="O1810" t="s">
        <v>6416</v>
      </c>
      <c r="P1810" t="s">
        <v>4008</v>
      </c>
      <c r="Q1810">
        <v>2</v>
      </c>
      <c r="R1810">
        <v>2</v>
      </c>
    </row>
    <row r="1811" spans="1:18" x14ac:dyDescent="0.3">
      <c r="A1811" t="s">
        <v>3999</v>
      </c>
      <c r="B1811" t="s">
        <v>4000</v>
      </c>
      <c r="C1811" t="s">
        <v>165</v>
      </c>
      <c r="D1811" t="s">
        <v>233</v>
      </c>
      <c r="E1811" t="s">
        <v>30</v>
      </c>
      <c r="F1811" s="6">
        <v>46022</v>
      </c>
      <c r="G1811">
        <v>2025</v>
      </c>
      <c r="H1811" t="s">
        <v>57</v>
      </c>
      <c r="I1811" t="s">
        <v>103</v>
      </c>
      <c r="J1811">
        <v>100</v>
      </c>
      <c r="L1811">
        <v>0</v>
      </c>
      <c r="M1811">
        <v>0</v>
      </c>
      <c r="N1811" t="s">
        <v>102</v>
      </c>
      <c r="P1811" t="s">
        <v>4009</v>
      </c>
      <c r="Q1811">
        <v>2</v>
      </c>
      <c r="R1811">
        <v>2</v>
      </c>
    </row>
    <row r="1812" spans="1:18" x14ac:dyDescent="0.3">
      <c r="A1812" t="s">
        <v>4010</v>
      </c>
      <c r="B1812" t="s">
        <v>4011</v>
      </c>
      <c r="C1812" t="s">
        <v>165</v>
      </c>
      <c r="D1812" t="s">
        <v>222</v>
      </c>
      <c r="E1812" t="s">
        <v>30</v>
      </c>
      <c r="F1812" s="6">
        <v>45473</v>
      </c>
      <c r="G1812">
        <v>2024</v>
      </c>
      <c r="H1812" t="s">
        <v>44</v>
      </c>
      <c r="I1812" t="s">
        <v>71</v>
      </c>
      <c r="J1812">
        <v>100</v>
      </c>
      <c r="K1812">
        <v>90</v>
      </c>
      <c r="L1812">
        <v>0.9</v>
      </c>
      <c r="M1812">
        <v>0.9</v>
      </c>
      <c r="N1812" t="s">
        <v>102</v>
      </c>
      <c r="O1812" t="s">
        <v>256</v>
      </c>
      <c r="P1812" t="s">
        <v>4012</v>
      </c>
      <c r="Q1812">
        <v>2</v>
      </c>
      <c r="R1812">
        <v>2</v>
      </c>
    </row>
    <row r="1813" spans="1:18" x14ac:dyDescent="0.3">
      <c r="A1813" t="s">
        <v>4010</v>
      </c>
      <c r="B1813" t="s">
        <v>4011</v>
      </c>
      <c r="C1813" t="s">
        <v>165</v>
      </c>
      <c r="D1813" t="s">
        <v>222</v>
      </c>
      <c r="E1813" t="s">
        <v>30</v>
      </c>
      <c r="F1813" s="6">
        <v>45657</v>
      </c>
      <c r="G1813">
        <v>2024</v>
      </c>
      <c r="H1813" t="s">
        <v>57</v>
      </c>
      <c r="I1813" t="s">
        <v>78</v>
      </c>
      <c r="J1813">
        <v>100</v>
      </c>
      <c r="K1813">
        <v>70</v>
      </c>
      <c r="L1813">
        <v>0.7</v>
      </c>
      <c r="M1813">
        <v>0.7</v>
      </c>
      <c r="N1813" t="s">
        <v>102</v>
      </c>
      <c r="O1813" t="s">
        <v>3922</v>
      </c>
      <c r="P1813" t="s">
        <v>4013</v>
      </c>
      <c r="Q1813">
        <v>2</v>
      </c>
      <c r="R1813">
        <v>2</v>
      </c>
    </row>
    <row r="1814" spans="1:18" x14ac:dyDescent="0.3">
      <c r="A1814" t="s">
        <v>4010</v>
      </c>
      <c r="B1814" t="s">
        <v>4011</v>
      </c>
      <c r="C1814" t="s">
        <v>165</v>
      </c>
      <c r="D1814" t="s">
        <v>233</v>
      </c>
      <c r="E1814" t="s">
        <v>30</v>
      </c>
      <c r="F1814" s="6">
        <v>45838</v>
      </c>
      <c r="G1814">
        <v>2025</v>
      </c>
      <c r="H1814" t="s">
        <v>44</v>
      </c>
      <c r="I1814" t="s">
        <v>244</v>
      </c>
      <c r="J1814">
        <v>100</v>
      </c>
      <c r="K1814">
        <v>141.66499999999999</v>
      </c>
      <c r="L1814">
        <v>1.3</v>
      </c>
      <c r="M1814">
        <v>1.41665</v>
      </c>
      <c r="N1814" t="s">
        <v>102</v>
      </c>
      <c r="O1814" t="s">
        <v>6417</v>
      </c>
      <c r="P1814" t="s">
        <v>4015</v>
      </c>
      <c r="Q1814">
        <v>2</v>
      </c>
      <c r="R1814">
        <v>2</v>
      </c>
    </row>
    <row r="1815" spans="1:18" x14ac:dyDescent="0.3">
      <c r="A1815" t="s">
        <v>4010</v>
      </c>
      <c r="B1815" t="s">
        <v>4011</v>
      </c>
      <c r="C1815" t="s">
        <v>165</v>
      </c>
      <c r="D1815" t="s">
        <v>233</v>
      </c>
      <c r="E1815" t="s">
        <v>30</v>
      </c>
      <c r="F1815" s="6">
        <v>46022</v>
      </c>
      <c r="G1815">
        <v>2025</v>
      </c>
      <c r="H1815" t="s">
        <v>57</v>
      </c>
      <c r="I1815" t="s">
        <v>103</v>
      </c>
      <c r="J1815">
        <v>100</v>
      </c>
      <c r="L1815">
        <v>0</v>
      </c>
      <c r="M1815">
        <v>0</v>
      </c>
      <c r="N1815" t="s">
        <v>102</v>
      </c>
      <c r="P1815" t="s">
        <v>4016</v>
      </c>
      <c r="Q1815">
        <v>2</v>
      </c>
      <c r="R1815">
        <v>2</v>
      </c>
    </row>
    <row r="1816" spans="1:18" x14ac:dyDescent="0.3">
      <c r="A1816" t="s">
        <v>4017</v>
      </c>
      <c r="B1816" t="s">
        <v>4018</v>
      </c>
      <c r="C1816" t="s">
        <v>165</v>
      </c>
      <c r="D1816" t="s">
        <v>222</v>
      </c>
      <c r="E1816" t="s">
        <v>30</v>
      </c>
      <c r="F1816" s="6">
        <v>45473</v>
      </c>
      <c r="G1816">
        <v>2024</v>
      </c>
      <c r="H1816" t="s">
        <v>44</v>
      </c>
      <c r="I1816" t="s">
        <v>71</v>
      </c>
      <c r="K1816">
        <v>4900000</v>
      </c>
      <c r="L1816">
        <v>0</v>
      </c>
      <c r="M1816">
        <v>0</v>
      </c>
      <c r="O1816" t="s">
        <v>6418</v>
      </c>
      <c r="P1816" t="s">
        <v>4019</v>
      </c>
      <c r="Q1816">
        <v>2</v>
      </c>
      <c r="R1816">
        <v>2</v>
      </c>
    </row>
    <row r="1817" spans="1:18" x14ac:dyDescent="0.3">
      <c r="A1817" t="s">
        <v>4020</v>
      </c>
      <c r="B1817" t="s">
        <v>4021</v>
      </c>
      <c r="C1817" t="s">
        <v>3093</v>
      </c>
      <c r="D1817" t="s">
        <v>233</v>
      </c>
      <c r="E1817" t="s">
        <v>30</v>
      </c>
      <c r="F1817" s="6">
        <v>45473</v>
      </c>
      <c r="G1817">
        <v>2024</v>
      </c>
      <c r="H1817" t="s">
        <v>44</v>
      </c>
      <c r="I1817" t="s">
        <v>71</v>
      </c>
      <c r="J1817">
        <v>100</v>
      </c>
      <c r="K1817">
        <v>130.43</v>
      </c>
      <c r="L1817">
        <v>1.3</v>
      </c>
      <c r="M1817">
        <v>1.3043</v>
      </c>
      <c r="N1817" t="s">
        <v>102</v>
      </c>
      <c r="O1817" t="s">
        <v>6419</v>
      </c>
      <c r="P1817" t="s">
        <v>4023</v>
      </c>
      <c r="Q1817">
        <v>2</v>
      </c>
      <c r="R1817">
        <v>2</v>
      </c>
    </row>
    <row r="1818" spans="1:18" x14ac:dyDescent="0.3">
      <c r="A1818" t="s">
        <v>4020</v>
      </c>
      <c r="B1818" t="s">
        <v>4021</v>
      </c>
      <c r="C1818" t="s">
        <v>3093</v>
      </c>
      <c r="D1818" t="s">
        <v>233</v>
      </c>
      <c r="E1818" t="s">
        <v>30</v>
      </c>
      <c r="F1818" s="6">
        <v>45657</v>
      </c>
      <c r="G1818">
        <v>2024</v>
      </c>
      <c r="H1818" t="s">
        <v>57</v>
      </c>
      <c r="I1818" t="s">
        <v>78</v>
      </c>
      <c r="J1818">
        <v>100</v>
      </c>
      <c r="K1818">
        <v>147.83000000000001</v>
      </c>
      <c r="L1818">
        <v>1.3</v>
      </c>
      <c r="M1818">
        <v>1.4782999999999999</v>
      </c>
      <c r="N1818" t="s">
        <v>102</v>
      </c>
      <c r="O1818" t="s">
        <v>6420</v>
      </c>
      <c r="P1818" t="s">
        <v>4025</v>
      </c>
      <c r="Q1818">
        <v>2</v>
      </c>
      <c r="R1818">
        <v>2</v>
      </c>
    </row>
    <row r="1819" spans="1:18" x14ac:dyDescent="0.3">
      <c r="A1819" t="s">
        <v>4026</v>
      </c>
      <c r="B1819" t="s">
        <v>4027</v>
      </c>
      <c r="C1819" t="s">
        <v>262</v>
      </c>
      <c r="D1819" t="s">
        <v>98</v>
      </c>
      <c r="E1819" t="s">
        <v>30</v>
      </c>
      <c r="F1819" s="6">
        <v>45657</v>
      </c>
      <c r="G1819">
        <v>2024</v>
      </c>
      <c r="H1819" t="s">
        <v>57</v>
      </c>
      <c r="I1819" t="s">
        <v>78</v>
      </c>
      <c r="J1819">
        <v>80</v>
      </c>
      <c r="K1819">
        <v>91.44</v>
      </c>
      <c r="L1819">
        <v>1.143</v>
      </c>
      <c r="M1819">
        <v>1.143</v>
      </c>
      <c r="N1819" t="s">
        <v>193</v>
      </c>
      <c r="O1819" t="s">
        <v>6421</v>
      </c>
      <c r="P1819" t="s">
        <v>4028</v>
      </c>
      <c r="Q1819">
        <v>2</v>
      </c>
      <c r="R1819">
        <v>2</v>
      </c>
    </row>
    <row r="1820" spans="1:18" x14ac:dyDescent="0.3">
      <c r="A1820" t="s">
        <v>4026</v>
      </c>
      <c r="B1820" t="s">
        <v>4027</v>
      </c>
      <c r="C1820" t="s">
        <v>262</v>
      </c>
      <c r="D1820" t="s">
        <v>98</v>
      </c>
      <c r="E1820" t="s">
        <v>30</v>
      </c>
      <c r="F1820" s="6">
        <v>46022</v>
      </c>
      <c r="G1820">
        <v>2025</v>
      </c>
      <c r="H1820" t="s">
        <v>57</v>
      </c>
      <c r="I1820" t="s">
        <v>103</v>
      </c>
      <c r="J1820">
        <v>80</v>
      </c>
      <c r="K1820">
        <v>84.18</v>
      </c>
      <c r="L1820">
        <v>1.0522499999999999</v>
      </c>
      <c r="M1820">
        <v>1.0522499999999999</v>
      </c>
      <c r="N1820" t="s">
        <v>193</v>
      </c>
      <c r="O1820" t="s">
        <v>2005</v>
      </c>
      <c r="P1820" t="s">
        <v>4029</v>
      </c>
      <c r="Q1820">
        <v>2</v>
      </c>
      <c r="R1820">
        <v>2</v>
      </c>
    </row>
    <row r="1821" spans="1:18" x14ac:dyDescent="0.3">
      <c r="A1821" t="s">
        <v>4030</v>
      </c>
      <c r="B1821" t="s">
        <v>4031</v>
      </c>
      <c r="C1821" t="s">
        <v>842</v>
      </c>
      <c r="D1821" t="s">
        <v>222</v>
      </c>
      <c r="E1821" t="s">
        <v>30</v>
      </c>
      <c r="F1821" s="6">
        <v>45473</v>
      </c>
      <c r="G1821">
        <v>2024</v>
      </c>
      <c r="H1821" t="s">
        <v>44</v>
      </c>
      <c r="I1821" t="s">
        <v>71</v>
      </c>
      <c r="J1821">
        <v>85</v>
      </c>
      <c r="K1821">
        <v>100</v>
      </c>
      <c r="L1821">
        <v>1.1764705882352939</v>
      </c>
      <c r="M1821">
        <v>1.1764705882352939</v>
      </c>
      <c r="N1821" t="s">
        <v>2357</v>
      </c>
      <c r="O1821" t="s">
        <v>102</v>
      </c>
      <c r="P1821" t="s">
        <v>4032</v>
      </c>
      <c r="Q1821">
        <v>2</v>
      </c>
      <c r="R1821">
        <v>2</v>
      </c>
    </row>
    <row r="1822" spans="1:18" x14ac:dyDescent="0.3">
      <c r="A1822" t="s">
        <v>4030</v>
      </c>
      <c r="B1822" t="s">
        <v>4031</v>
      </c>
      <c r="C1822" t="s">
        <v>842</v>
      </c>
      <c r="D1822" t="s">
        <v>222</v>
      </c>
      <c r="E1822" t="s">
        <v>30</v>
      </c>
      <c r="F1822" s="6">
        <v>45657</v>
      </c>
      <c r="G1822">
        <v>2024</v>
      </c>
      <c r="H1822" t="s">
        <v>57</v>
      </c>
      <c r="I1822" t="s">
        <v>78</v>
      </c>
      <c r="J1822">
        <v>85</v>
      </c>
      <c r="K1822">
        <v>100</v>
      </c>
      <c r="L1822">
        <v>1.1764705882352939</v>
      </c>
      <c r="M1822">
        <v>1.1764705882352939</v>
      </c>
      <c r="N1822" t="s">
        <v>2357</v>
      </c>
      <c r="O1822" t="s">
        <v>102</v>
      </c>
      <c r="P1822" t="s">
        <v>4033</v>
      </c>
      <c r="Q1822">
        <v>2</v>
      </c>
      <c r="R1822">
        <v>2</v>
      </c>
    </row>
    <row r="1823" spans="1:18" x14ac:dyDescent="0.3">
      <c r="A1823" t="s">
        <v>4034</v>
      </c>
      <c r="B1823" t="s">
        <v>4035</v>
      </c>
      <c r="C1823" t="s">
        <v>262</v>
      </c>
      <c r="D1823" t="s">
        <v>222</v>
      </c>
      <c r="E1823" t="s">
        <v>30</v>
      </c>
      <c r="F1823" s="6">
        <v>45473</v>
      </c>
      <c r="G1823">
        <v>2024</v>
      </c>
      <c r="H1823" t="s">
        <v>44</v>
      </c>
      <c r="I1823" t="s">
        <v>71</v>
      </c>
      <c r="J1823">
        <v>100</v>
      </c>
      <c r="K1823">
        <v>95</v>
      </c>
      <c r="L1823">
        <v>0.95</v>
      </c>
      <c r="M1823">
        <v>0.95</v>
      </c>
      <c r="N1823" t="s">
        <v>102</v>
      </c>
      <c r="O1823" t="s">
        <v>838</v>
      </c>
      <c r="P1823" t="s">
        <v>4036</v>
      </c>
      <c r="Q1823">
        <v>2</v>
      </c>
      <c r="R1823">
        <v>2</v>
      </c>
    </row>
    <row r="1824" spans="1:18" x14ac:dyDescent="0.3">
      <c r="A1824" t="s">
        <v>4034</v>
      </c>
      <c r="B1824" t="s">
        <v>4035</v>
      </c>
      <c r="C1824" t="s">
        <v>262</v>
      </c>
      <c r="D1824" t="s">
        <v>222</v>
      </c>
      <c r="E1824" t="s">
        <v>30</v>
      </c>
      <c r="F1824" s="6">
        <v>45657</v>
      </c>
      <c r="G1824">
        <v>2024</v>
      </c>
      <c r="H1824" t="s">
        <v>57</v>
      </c>
      <c r="I1824" t="s">
        <v>78</v>
      </c>
      <c r="J1824">
        <v>100</v>
      </c>
      <c r="K1824">
        <v>100</v>
      </c>
      <c r="L1824">
        <v>1</v>
      </c>
      <c r="M1824">
        <v>1</v>
      </c>
      <c r="N1824" t="s">
        <v>102</v>
      </c>
      <c r="O1824" t="s">
        <v>102</v>
      </c>
      <c r="P1824" t="s">
        <v>4037</v>
      </c>
      <c r="Q1824">
        <v>2</v>
      </c>
      <c r="R1824">
        <v>2</v>
      </c>
    </row>
    <row r="1825" spans="1:18" x14ac:dyDescent="0.3">
      <c r="A1825" t="s">
        <v>4038</v>
      </c>
      <c r="B1825" t="s">
        <v>4039</v>
      </c>
      <c r="C1825" t="s">
        <v>2619</v>
      </c>
      <c r="D1825" t="s">
        <v>222</v>
      </c>
      <c r="E1825" t="s">
        <v>30</v>
      </c>
      <c r="F1825" s="6">
        <v>45473</v>
      </c>
      <c r="G1825">
        <v>2024</v>
      </c>
      <c r="H1825" t="s">
        <v>44</v>
      </c>
      <c r="I1825" t="s">
        <v>71</v>
      </c>
      <c r="J1825">
        <v>75</v>
      </c>
      <c r="K1825">
        <v>57.86</v>
      </c>
      <c r="L1825">
        <v>0.77146666666666663</v>
      </c>
      <c r="M1825">
        <v>0.77146666666666663</v>
      </c>
      <c r="N1825" t="s">
        <v>4302</v>
      </c>
      <c r="O1825" t="s">
        <v>6422</v>
      </c>
      <c r="P1825" t="s">
        <v>4040</v>
      </c>
      <c r="Q1825">
        <v>2</v>
      </c>
      <c r="R1825">
        <v>2</v>
      </c>
    </row>
    <row r="1826" spans="1:18" x14ac:dyDescent="0.3">
      <c r="A1826" t="s">
        <v>4038</v>
      </c>
      <c r="B1826" t="s">
        <v>4039</v>
      </c>
      <c r="C1826" t="s">
        <v>2619</v>
      </c>
      <c r="D1826" t="s">
        <v>222</v>
      </c>
      <c r="E1826" t="s">
        <v>30</v>
      </c>
      <c r="F1826" s="6">
        <v>45657</v>
      </c>
      <c r="G1826">
        <v>2024</v>
      </c>
      <c r="H1826" t="s">
        <v>57</v>
      </c>
      <c r="I1826" t="s">
        <v>78</v>
      </c>
      <c r="J1826">
        <v>100</v>
      </c>
      <c r="K1826">
        <v>56.83</v>
      </c>
      <c r="L1826">
        <v>0.56830000000000003</v>
      </c>
      <c r="M1826">
        <v>0.56830000000000003</v>
      </c>
      <c r="N1826" t="s">
        <v>102</v>
      </c>
      <c r="O1826" t="s">
        <v>6423</v>
      </c>
      <c r="P1826" t="s">
        <v>4041</v>
      </c>
      <c r="Q1826">
        <v>2</v>
      </c>
      <c r="R1826">
        <v>2</v>
      </c>
    </row>
    <row r="1827" spans="1:18" x14ac:dyDescent="0.3">
      <c r="A1827" t="s">
        <v>4042</v>
      </c>
      <c r="B1827" t="s">
        <v>4043</v>
      </c>
      <c r="C1827" t="s">
        <v>1988</v>
      </c>
      <c r="D1827" t="s">
        <v>222</v>
      </c>
      <c r="E1827" t="s">
        <v>30</v>
      </c>
      <c r="F1827" s="6">
        <v>45473</v>
      </c>
      <c r="G1827">
        <v>2024</v>
      </c>
      <c r="H1827" t="s">
        <v>44</v>
      </c>
      <c r="I1827" t="s">
        <v>71</v>
      </c>
      <c r="J1827">
        <v>50</v>
      </c>
      <c r="K1827">
        <v>59.6</v>
      </c>
      <c r="L1827">
        <v>1.1919999999999999</v>
      </c>
      <c r="M1827">
        <v>1.1919999999999999</v>
      </c>
      <c r="N1827" t="s">
        <v>4242</v>
      </c>
      <c r="O1827" t="s">
        <v>6424</v>
      </c>
      <c r="P1827" t="s">
        <v>4044</v>
      </c>
      <c r="Q1827">
        <v>2</v>
      </c>
      <c r="R1827">
        <v>2</v>
      </c>
    </row>
    <row r="1828" spans="1:18" x14ac:dyDescent="0.3">
      <c r="A1828" t="s">
        <v>4042</v>
      </c>
      <c r="B1828" t="s">
        <v>4043</v>
      </c>
      <c r="C1828" t="s">
        <v>1988</v>
      </c>
      <c r="D1828" t="s">
        <v>222</v>
      </c>
      <c r="E1828" t="s">
        <v>30</v>
      </c>
      <c r="F1828" s="6">
        <v>45657</v>
      </c>
      <c r="G1828">
        <v>2024</v>
      </c>
      <c r="H1828" t="s">
        <v>57</v>
      </c>
      <c r="I1828" t="s">
        <v>78</v>
      </c>
      <c r="J1828">
        <v>50</v>
      </c>
      <c r="K1828">
        <v>53.8</v>
      </c>
      <c r="L1828">
        <v>1.0760000000000001</v>
      </c>
      <c r="M1828">
        <v>1.0760000000000001</v>
      </c>
      <c r="N1828" t="s">
        <v>4242</v>
      </c>
      <c r="O1828" t="s">
        <v>6425</v>
      </c>
      <c r="P1828" t="s">
        <v>4045</v>
      </c>
      <c r="Q1828">
        <v>2</v>
      </c>
      <c r="R1828">
        <v>2</v>
      </c>
    </row>
    <row r="1829" spans="1:18" x14ac:dyDescent="0.3">
      <c r="A1829" t="s">
        <v>4042</v>
      </c>
      <c r="B1829" t="s">
        <v>4043</v>
      </c>
      <c r="C1829" t="s">
        <v>1988</v>
      </c>
      <c r="D1829" t="s">
        <v>222</v>
      </c>
      <c r="E1829" t="s">
        <v>30</v>
      </c>
      <c r="F1829" s="6">
        <v>45838</v>
      </c>
      <c r="G1829">
        <v>2025</v>
      </c>
      <c r="H1829" t="s">
        <v>44</v>
      </c>
      <c r="I1829" t="s">
        <v>244</v>
      </c>
      <c r="J1829">
        <v>100</v>
      </c>
      <c r="L1829">
        <v>0</v>
      </c>
      <c r="M1829">
        <v>0</v>
      </c>
      <c r="N1829" t="s">
        <v>102</v>
      </c>
      <c r="P1829" t="s">
        <v>4046</v>
      </c>
      <c r="Q1829">
        <v>2</v>
      </c>
      <c r="R1829">
        <v>2</v>
      </c>
    </row>
    <row r="1830" spans="1:18" x14ac:dyDescent="0.3">
      <c r="A1830" t="s">
        <v>4042</v>
      </c>
      <c r="B1830" t="s">
        <v>4043</v>
      </c>
      <c r="C1830" t="s">
        <v>1988</v>
      </c>
      <c r="D1830" t="s">
        <v>222</v>
      </c>
      <c r="E1830" t="s">
        <v>30</v>
      </c>
      <c r="F1830" s="6">
        <v>46022</v>
      </c>
      <c r="G1830">
        <v>2025</v>
      </c>
      <c r="H1830" t="s">
        <v>57</v>
      </c>
      <c r="I1830" t="s">
        <v>103</v>
      </c>
      <c r="J1830">
        <v>100</v>
      </c>
      <c r="K1830">
        <v>106.55</v>
      </c>
      <c r="L1830">
        <v>1.0654999999999999</v>
      </c>
      <c r="M1830">
        <v>1.0654999999999999</v>
      </c>
      <c r="N1830" t="s">
        <v>102</v>
      </c>
      <c r="O1830" t="s">
        <v>4048</v>
      </c>
      <c r="P1830" t="s">
        <v>4049</v>
      </c>
      <c r="Q1830">
        <v>2</v>
      </c>
      <c r="R1830">
        <v>2</v>
      </c>
    </row>
    <row r="1831" spans="1:18" x14ac:dyDescent="0.3">
      <c r="A1831" t="s">
        <v>4050</v>
      </c>
      <c r="B1831" t="s">
        <v>4051</v>
      </c>
      <c r="C1831" t="s">
        <v>1988</v>
      </c>
      <c r="D1831" t="s">
        <v>222</v>
      </c>
      <c r="E1831" t="s">
        <v>30</v>
      </c>
      <c r="F1831" s="6">
        <v>45473</v>
      </c>
      <c r="G1831">
        <v>2024</v>
      </c>
      <c r="H1831" t="s">
        <v>44</v>
      </c>
      <c r="I1831" t="s">
        <v>71</v>
      </c>
      <c r="J1831">
        <v>60</v>
      </c>
      <c r="K1831">
        <v>72.75</v>
      </c>
      <c r="L1831">
        <v>1.2124999999999999</v>
      </c>
      <c r="M1831">
        <v>1.2124999999999999</v>
      </c>
      <c r="N1831" t="s">
        <v>2640</v>
      </c>
      <c r="O1831" t="s">
        <v>6426</v>
      </c>
      <c r="P1831" t="s">
        <v>4052</v>
      </c>
      <c r="Q1831">
        <v>2</v>
      </c>
      <c r="R1831">
        <v>2</v>
      </c>
    </row>
    <row r="1832" spans="1:18" x14ac:dyDescent="0.3">
      <c r="A1832" t="s">
        <v>4050</v>
      </c>
      <c r="B1832" t="s">
        <v>4051</v>
      </c>
      <c r="C1832" t="s">
        <v>1988</v>
      </c>
      <c r="D1832" t="s">
        <v>222</v>
      </c>
      <c r="E1832" t="s">
        <v>30</v>
      </c>
      <c r="F1832" s="6">
        <v>45657</v>
      </c>
      <c r="G1832">
        <v>2024</v>
      </c>
      <c r="H1832" t="s">
        <v>57</v>
      </c>
      <c r="I1832" t="s">
        <v>78</v>
      </c>
      <c r="J1832">
        <v>60</v>
      </c>
      <c r="K1832">
        <v>73.099999999999994</v>
      </c>
      <c r="L1832">
        <v>1.218333333333333</v>
      </c>
      <c r="M1832">
        <v>1.218333333333333</v>
      </c>
      <c r="N1832" t="s">
        <v>2640</v>
      </c>
      <c r="O1832" t="s">
        <v>6427</v>
      </c>
      <c r="P1832" t="s">
        <v>4053</v>
      </c>
      <c r="Q1832">
        <v>2</v>
      </c>
      <c r="R1832">
        <v>2</v>
      </c>
    </row>
    <row r="1833" spans="1:18" x14ac:dyDescent="0.3">
      <c r="A1833" t="s">
        <v>4050</v>
      </c>
      <c r="B1833" t="s">
        <v>4051</v>
      </c>
      <c r="C1833" t="s">
        <v>1988</v>
      </c>
      <c r="D1833" t="s">
        <v>222</v>
      </c>
      <c r="E1833" t="s">
        <v>30</v>
      </c>
      <c r="F1833" s="6">
        <v>45838</v>
      </c>
      <c r="G1833">
        <v>2025</v>
      </c>
      <c r="H1833" t="s">
        <v>44</v>
      </c>
      <c r="I1833" t="s">
        <v>244</v>
      </c>
      <c r="J1833">
        <v>100</v>
      </c>
      <c r="K1833">
        <v>118</v>
      </c>
      <c r="L1833">
        <v>1.18</v>
      </c>
      <c r="M1833">
        <v>1.18</v>
      </c>
      <c r="N1833" t="s">
        <v>102</v>
      </c>
      <c r="O1833" t="s">
        <v>4054</v>
      </c>
      <c r="P1833" t="s">
        <v>4055</v>
      </c>
      <c r="Q1833">
        <v>2</v>
      </c>
      <c r="R1833">
        <v>2</v>
      </c>
    </row>
    <row r="1834" spans="1:18" x14ac:dyDescent="0.3">
      <c r="A1834" t="s">
        <v>4050</v>
      </c>
      <c r="B1834" t="s">
        <v>4051</v>
      </c>
      <c r="C1834" t="s">
        <v>1988</v>
      </c>
      <c r="D1834" t="s">
        <v>222</v>
      </c>
      <c r="E1834" t="s">
        <v>30</v>
      </c>
      <c r="F1834" s="6">
        <v>46022</v>
      </c>
      <c r="G1834">
        <v>2025</v>
      </c>
      <c r="H1834" t="s">
        <v>57</v>
      </c>
      <c r="I1834" t="s">
        <v>103</v>
      </c>
      <c r="J1834">
        <v>100</v>
      </c>
      <c r="K1834">
        <v>99.5</v>
      </c>
      <c r="L1834">
        <v>0.995</v>
      </c>
      <c r="M1834">
        <v>0.995</v>
      </c>
      <c r="N1834" t="s">
        <v>102</v>
      </c>
      <c r="O1834" t="s">
        <v>4057</v>
      </c>
      <c r="P1834" t="s">
        <v>4058</v>
      </c>
      <c r="Q1834">
        <v>2</v>
      </c>
      <c r="R1834">
        <v>2</v>
      </c>
    </row>
    <row r="1835" spans="1:18" x14ac:dyDescent="0.3">
      <c r="A1835" t="s">
        <v>4059</v>
      </c>
      <c r="B1835" t="s">
        <v>4060</v>
      </c>
      <c r="C1835" t="s">
        <v>1988</v>
      </c>
      <c r="D1835" t="s">
        <v>222</v>
      </c>
      <c r="E1835" t="s">
        <v>108</v>
      </c>
      <c r="F1835" s="6">
        <v>45473</v>
      </c>
      <c r="G1835">
        <v>2024</v>
      </c>
      <c r="H1835" t="s">
        <v>44</v>
      </c>
      <c r="I1835" t="s">
        <v>71</v>
      </c>
      <c r="J1835">
        <v>3</v>
      </c>
      <c r="K1835">
        <v>2.85</v>
      </c>
      <c r="L1835">
        <v>1.0526315789473679</v>
      </c>
      <c r="M1835">
        <v>1.0526315789473679</v>
      </c>
      <c r="N1835" t="s">
        <v>1849</v>
      </c>
      <c r="O1835" t="s">
        <v>6428</v>
      </c>
      <c r="P1835" t="s">
        <v>4061</v>
      </c>
      <c r="Q1835">
        <v>2</v>
      </c>
      <c r="R1835">
        <v>2</v>
      </c>
    </row>
    <row r="1836" spans="1:18" x14ac:dyDescent="0.3">
      <c r="A1836" t="s">
        <v>4059</v>
      </c>
      <c r="B1836" t="s">
        <v>4060</v>
      </c>
      <c r="C1836" t="s">
        <v>1988</v>
      </c>
      <c r="D1836" t="s">
        <v>222</v>
      </c>
      <c r="E1836" t="s">
        <v>108</v>
      </c>
      <c r="F1836" s="6">
        <v>45657</v>
      </c>
      <c r="G1836">
        <v>2024</v>
      </c>
      <c r="H1836" t="s">
        <v>57</v>
      </c>
      <c r="I1836" t="s">
        <v>78</v>
      </c>
      <c r="J1836">
        <v>3</v>
      </c>
      <c r="K1836">
        <v>2.6</v>
      </c>
      <c r="L1836">
        <v>1.153846153846154</v>
      </c>
      <c r="M1836">
        <v>1.153846153846154</v>
      </c>
      <c r="N1836" t="s">
        <v>1849</v>
      </c>
      <c r="O1836" t="s">
        <v>6429</v>
      </c>
      <c r="P1836" t="s">
        <v>4062</v>
      </c>
      <c r="Q1836">
        <v>2</v>
      </c>
      <c r="R1836">
        <v>2</v>
      </c>
    </row>
    <row r="1837" spans="1:18" x14ac:dyDescent="0.3">
      <c r="A1837" t="s">
        <v>4059</v>
      </c>
      <c r="B1837" t="s">
        <v>4060</v>
      </c>
      <c r="C1837" t="s">
        <v>1988</v>
      </c>
      <c r="D1837" t="s">
        <v>222</v>
      </c>
      <c r="E1837" t="s">
        <v>108</v>
      </c>
      <c r="F1837" s="6">
        <v>45838</v>
      </c>
      <c r="G1837">
        <v>2025</v>
      </c>
      <c r="H1837" t="s">
        <v>44</v>
      </c>
      <c r="I1837" t="s">
        <v>244</v>
      </c>
      <c r="J1837">
        <v>2.5</v>
      </c>
      <c r="K1837">
        <v>2.4</v>
      </c>
      <c r="L1837">
        <v>1.041666666666667</v>
      </c>
      <c r="M1837">
        <v>1.041666666666667</v>
      </c>
      <c r="N1837" t="s">
        <v>4064</v>
      </c>
      <c r="O1837" t="s">
        <v>4065</v>
      </c>
      <c r="P1837" t="s">
        <v>4066</v>
      </c>
      <c r="Q1837">
        <v>2</v>
      </c>
      <c r="R1837">
        <v>2</v>
      </c>
    </row>
    <row r="1838" spans="1:18" x14ac:dyDescent="0.3">
      <c r="A1838" t="s">
        <v>4059</v>
      </c>
      <c r="B1838" t="s">
        <v>4060</v>
      </c>
      <c r="C1838" t="s">
        <v>1988</v>
      </c>
      <c r="D1838" t="s">
        <v>222</v>
      </c>
      <c r="E1838" t="s">
        <v>108</v>
      </c>
      <c r="F1838" s="6">
        <v>46022</v>
      </c>
      <c r="G1838">
        <v>2025</v>
      </c>
      <c r="H1838" t="s">
        <v>57</v>
      </c>
      <c r="I1838" t="s">
        <v>103</v>
      </c>
      <c r="J1838">
        <v>2.5</v>
      </c>
      <c r="K1838">
        <v>2.1</v>
      </c>
      <c r="L1838">
        <v>1.19047619047619</v>
      </c>
      <c r="M1838">
        <v>1.19047619047619</v>
      </c>
      <c r="N1838" t="s">
        <v>4064</v>
      </c>
      <c r="O1838" t="s">
        <v>1840</v>
      </c>
      <c r="P1838" t="s">
        <v>4067</v>
      </c>
      <c r="Q1838">
        <v>2</v>
      </c>
      <c r="R1838">
        <v>2</v>
      </c>
    </row>
    <row r="1839" spans="1:18" x14ac:dyDescent="0.3">
      <c r="A1839" t="s">
        <v>4068</v>
      </c>
      <c r="B1839" t="s">
        <v>4069</v>
      </c>
      <c r="C1839" t="s">
        <v>3011</v>
      </c>
      <c r="D1839" t="s">
        <v>233</v>
      </c>
      <c r="E1839" t="s">
        <v>30</v>
      </c>
      <c r="F1839" s="6">
        <v>45107</v>
      </c>
      <c r="G1839">
        <v>2023</v>
      </c>
      <c r="H1839" t="s">
        <v>44</v>
      </c>
      <c r="I1839" t="s">
        <v>33</v>
      </c>
      <c r="J1839">
        <v>53</v>
      </c>
      <c r="K1839">
        <v>33</v>
      </c>
      <c r="L1839">
        <v>0.62264150943396224</v>
      </c>
      <c r="M1839">
        <v>0.62264150943396224</v>
      </c>
      <c r="N1839" t="s">
        <v>6289</v>
      </c>
      <c r="O1839" t="s">
        <v>1613</v>
      </c>
      <c r="P1839" t="s">
        <v>6430</v>
      </c>
      <c r="Q1839">
        <v>2</v>
      </c>
      <c r="R1839">
        <v>2</v>
      </c>
    </row>
    <row r="1840" spans="1:18" x14ac:dyDescent="0.3">
      <c r="A1840" t="s">
        <v>4068</v>
      </c>
      <c r="B1840" t="s">
        <v>4069</v>
      </c>
      <c r="C1840" t="s">
        <v>3011</v>
      </c>
      <c r="D1840" t="s">
        <v>233</v>
      </c>
      <c r="E1840" t="s">
        <v>30</v>
      </c>
      <c r="F1840" s="6">
        <v>45291</v>
      </c>
      <c r="G1840">
        <v>2023</v>
      </c>
      <c r="H1840" t="s">
        <v>57</v>
      </c>
      <c r="I1840" t="s">
        <v>47</v>
      </c>
      <c r="J1840">
        <v>100</v>
      </c>
      <c r="K1840">
        <v>55</v>
      </c>
      <c r="L1840">
        <v>0.55000000000000004</v>
      </c>
      <c r="M1840">
        <v>0.55000000000000004</v>
      </c>
      <c r="N1840" t="s">
        <v>102</v>
      </c>
      <c r="O1840" t="s">
        <v>5775</v>
      </c>
      <c r="P1840" t="s">
        <v>6431</v>
      </c>
      <c r="Q1840">
        <v>2</v>
      </c>
      <c r="R1840">
        <v>2</v>
      </c>
    </row>
    <row r="1841" spans="1:18" x14ac:dyDescent="0.3">
      <c r="A1841" t="s">
        <v>4068</v>
      </c>
      <c r="B1841" t="s">
        <v>3569</v>
      </c>
      <c r="C1841" t="s">
        <v>3331</v>
      </c>
      <c r="D1841" t="s">
        <v>233</v>
      </c>
      <c r="E1841" t="s">
        <v>30</v>
      </c>
      <c r="F1841" s="6">
        <v>45473</v>
      </c>
      <c r="G1841">
        <v>2024</v>
      </c>
      <c r="H1841" t="s">
        <v>44</v>
      </c>
      <c r="I1841" t="s">
        <v>71</v>
      </c>
      <c r="J1841">
        <v>100</v>
      </c>
      <c r="K1841">
        <v>154.69999999999999</v>
      </c>
      <c r="L1841">
        <v>1.3</v>
      </c>
      <c r="M1841">
        <v>1.5469999999999999</v>
      </c>
      <c r="N1841" t="s">
        <v>102</v>
      </c>
      <c r="O1841" t="s">
        <v>6432</v>
      </c>
      <c r="P1841" t="s">
        <v>4073</v>
      </c>
      <c r="Q1841">
        <v>2</v>
      </c>
      <c r="R1841">
        <v>2</v>
      </c>
    </row>
    <row r="1842" spans="1:18" x14ac:dyDescent="0.3">
      <c r="A1842" t="s">
        <v>4068</v>
      </c>
      <c r="B1842" t="s">
        <v>3569</v>
      </c>
      <c r="C1842" t="s">
        <v>129</v>
      </c>
      <c r="D1842" t="s">
        <v>233</v>
      </c>
      <c r="E1842" t="s">
        <v>30</v>
      </c>
      <c r="F1842" s="6">
        <v>45657</v>
      </c>
      <c r="G1842">
        <v>2024</v>
      </c>
      <c r="H1842" t="s">
        <v>57</v>
      </c>
      <c r="I1842" t="s">
        <v>78</v>
      </c>
      <c r="J1842">
        <v>100</v>
      </c>
      <c r="K1842">
        <v>47.43</v>
      </c>
      <c r="L1842">
        <v>0.4743</v>
      </c>
      <c r="M1842">
        <v>0.4743</v>
      </c>
      <c r="N1842" t="s">
        <v>102</v>
      </c>
      <c r="O1842" t="s">
        <v>6433</v>
      </c>
      <c r="P1842" t="s">
        <v>4075</v>
      </c>
      <c r="Q1842">
        <v>2</v>
      </c>
      <c r="R1842">
        <v>2</v>
      </c>
    </row>
    <row r="1843" spans="1:18" x14ac:dyDescent="0.3">
      <c r="A1843" t="s">
        <v>4068</v>
      </c>
      <c r="B1843" t="s">
        <v>3569</v>
      </c>
      <c r="C1843" t="s">
        <v>129</v>
      </c>
      <c r="D1843" t="s">
        <v>233</v>
      </c>
      <c r="E1843" t="s">
        <v>30</v>
      </c>
      <c r="F1843" s="6">
        <v>45838</v>
      </c>
      <c r="G1843">
        <v>2025</v>
      </c>
      <c r="H1843" t="s">
        <v>44</v>
      </c>
      <c r="I1843" t="s">
        <v>244</v>
      </c>
      <c r="J1843">
        <v>100</v>
      </c>
      <c r="K1843">
        <v>110.77500000000001</v>
      </c>
      <c r="L1843">
        <v>1.10775</v>
      </c>
      <c r="M1843">
        <v>1.10775</v>
      </c>
      <c r="N1843" t="s">
        <v>102</v>
      </c>
      <c r="O1843" t="s">
        <v>6434</v>
      </c>
      <c r="P1843" t="s">
        <v>4081</v>
      </c>
      <c r="Q1843">
        <v>2</v>
      </c>
      <c r="R1843">
        <v>2</v>
      </c>
    </row>
    <row r="1844" spans="1:18" x14ac:dyDescent="0.3">
      <c r="A1844" t="s">
        <v>4068</v>
      </c>
      <c r="B1844" t="s">
        <v>3569</v>
      </c>
      <c r="C1844" t="s">
        <v>129</v>
      </c>
      <c r="D1844" t="s">
        <v>233</v>
      </c>
      <c r="E1844" t="s">
        <v>30</v>
      </c>
      <c r="F1844" s="6">
        <v>46022</v>
      </c>
      <c r="G1844">
        <v>2025</v>
      </c>
      <c r="H1844" t="s">
        <v>57</v>
      </c>
      <c r="I1844" t="s">
        <v>103</v>
      </c>
      <c r="J1844">
        <v>100</v>
      </c>
      <c r="L1844">
        <v>0</v>
      </c>
      <c r="M1844">
        <v>0</v>
      </c>
      <c r="N1844" t="s">
        <v>102</v>
      </c>
      <c r="P1844" t="s">
        <v>4082</v>
      </c>
      <c r="Q1844">
        <v>2</v>
      </c>
      <c r="R1844">
        <v>2</v>
      </c>
    </row>
    <row r="1845" spans="1:18" x14ac:dyDescent="0.3">
      <c r="A1845" t="s">
        <v>4083</v>
      </c>
      <c r="B1845" t="s">
        <v>4084</v>
      </c>
      <c r="C1845" t="s">
        <v>2862</v>
      </c>
      <c r="D1845" t="s">
        <v>233</v>
      </c>
      <c r="E1845" t="s">
        <v>30</v>
      </c>
      <c r="F1845" s="6">
        <v>45107</v>
      </c>
      <c r="G1845">
        <v>2023</v>
      </c>
      <c r="H1845" t="s">
        <v>44</v>
      </c>
      <c r="I1845" t="s">
        <v>33</v>
      </c>
      <c r="J1845">
        <v>59</v>
      </c>
      <c r="K1845">
        <v>62</v>
      </c>
      <c r="L1845">
        <v>1.050847457627119</v>
      </c>
      <c r="M1845">
        <v>1.050847457627119</v>
      </c>
      <c r="N1845" t="s">
        <v>6435</v>
      </c>
      <c r="O1845" t="s">
        <v>6211</v>
      </c>
      <c r="P1845" t="s">
        <v>4085</v>
      </c>
      <c r="Q1845">
        <v>2</v>
      </c>
      <c r="R1845">
        <v>2</v>
      </c>
    </row>
    <row r="1846" spans="1:18" x14ac:dyDescent="0.3">
      <c r="A1846" t="s">
        <v>4083</v>
      </c>
      <c r="B1846" t="s">
        <v>4084</v>
      </c>
      <c r="C1846" t="s">
        <v>3331</v>
      </c>
      <c r="D1846" t="s">
        <v>233</v>
      </c>
      <c r="E1846" t="s">
        <v>30</v>
      </c>
      <c r="F1846" s="6">
        <v>45291</v>
      </c>
      <c r="G1846">
        <v>2023</v>
      </c>
      <c r="H1846" t="s">
        <v>57</v>
      </c>
      <c r="I1846" t="s">
        <v>47</v>
      </c>
      <c r="J1846">
        <v>100</v>
      </c>
      <c r="K1846">
        <v>100</v>
      </c>
      <c r="L1846">
        <v>1</v>
      </c>
      <c r="M1846">
        <v>1</v>
      </c>
      <c r="N1846" t="s">
        <v>102</v>
      </c>
      <c r="O1846" t="s">
        <v>102</v>
      </c>
      <c r="P1846" t="s">
        <v>4086</v>
      </c>
      <c r="Q1846">
        <v>2</v>
      </c>
      <c r="R1846">
        <v>2</v>
      </c>
    </row>
    <row r="1847" spans="1:18" x14ac:dyDescent="0.3">
      <c r="A1847" t="s">
        <v>4083</v>
      </c>
      <c r="B1847" t="s">
        <v>4088</v>
      </c>
      <c r="C1847" t="s">
        <v>3331</v>
      </c>
      <c r="D1847" t="s">
        <v>233</v>
      </c>
      <c r="E1847" t="s">
        <v>30</v>
      </c>
      <c r="F1847" s="6">
        <v>45473</v>
      </c>
      <c r="G1847">
        <v>2024</v>
      </c>
      <c r="H1847" t="s">
        <v>44</v>
      </c>
      <c r="I1847" t="s">
        <v>71</v>
      </c>
      <c r="J1847">
        <v>67.289999999999992</v>
      </c>
      <c r="K1847">
        <v>75</v>
      </c>
      <c r="L1847">
        <v>1.1145786892554621</v>
      </c>
      <c r="M1847">
        <v>1.1145786892554621</v>
      </c>
      <c r="N1847" t="s">
        <v>6436</v>
      </c>
      <c r="O1847" t="s">
        <v>4302</v>
      </c>
      <c r="P1847" t="s">
        <v>4087</v>
      </c>
      <c r="Q1847">
        <v>2</v>
      </c>
      <c r="R1847">
        <v>2</v>
      </c>
    </row>
    <row r="1848" spans="1:18" x14ac:dyDescent="0.3">
      <c r="A1848" t="s">
        <v>4090</v>
      </c>
      <c r="B1848" t="s">
        <v>4091</v>
      </c>
      <c r="C1848" t="s">
        <v>3011</v>
      </c>
      <c r="D1848" t="s">
        <v>233</v>
      </c>
      <c r="E1848" t="s">
        <v>30</v>
      </c>
      <c r="F1848" s="6">
        <v>45107</v>
      </c>
      <c r="G1848">
        <v>2023</v>
      </c>
      <c r="H1848" t="s">
        <v>44</v>
      </c>
      <c r="I1848" t="s">
        <v>33</v>
      </c>
      <c r="J1848">
        <v>63</v>
      </c>
      <c r="K1848">
        <v>50</v>
      </c>
      <c r="L1848">
        <v>0.79365079365079361</v>
      </c>
      <c r="M1848">
        <v>0.79365079365079361</v>
      </c>
      <c r="N1848" t="s">
        <v>4342</v>
      </c>
      <c r="O1848" t="s">
        <v>4242</v>
      </c>
      <c r="P1848" t="s">
        <v>4092</v>
      </c>
      <c r="Q1848">
        <v>2</v>
      </c>
      <c r="R1848">
        <v>2</v>
      </c>
    </row>
    <row r="1849" spans="1:18" x14ac:dyDescent="0.3">
      <c r="A1849" t="s">
        <v>4090</v>
      </c>
      <c r="B1849" t="s">
        <v>4091</v>
      </c>
      <c r="C1849" t="s">
        <v>3011</v>
      </c>
      <c r="D1849" t="s">
        <v>233</v>
      </c>
      <c r="E1849" t="s">
        <v>30</v>
      </c>
      <c r="F1849" s="6">
        <v>45291</v>
      </c>
      <c r="G1849">
        <v>2023</v>
      </c>
      <c r="H1849" t="s">
        <v>57</v>
      </c>
      <c r="I1849" t="s">
        <v>47</v>
      </c>
      <c r="J1849">
        <v>100</v>
      </c>
      <c r="K1849">
        <v>83.33</v>
      </c>
      <c r="L1849">
        <v>0.83329999999999993</v>
      </c>
      <c r="M1849">
        <v>0.83329999999999993</v>
      </c>
      <c r="N1849" t="s">
        <v>102</v>
      </c>
      <c r="O1849" t="s">
        <v>902</v>
      </c>
      <c r="P1849" t="s">
        <v>4093</v>
      </c>
      <c r="Q1849">
        <v>2</v>
      </c>
      <c r="R1849">
        <v>2</v>
      </c>
    </row>
    <row r="1850" spans="1:18" x14ac:dyDescent="0.3">
      <c r="A1850" t="s">
        <v>4090</v>
      </c>
      <c r="B1850" t="s">
        <v>4091</v>
      </c>
      <c r="C1850" t="s">
        <v>3011</v>
      </c>
      <c r="D1850" t="s">
        <v>233</v>
      </c>
      <c r="E1850" t="s">
        <v>30</v>
      </c>
      <c r="F1850" s="6">
        <v>45473</v>
      </c>
      <c r="G1850">
        <v>2024</v>
      </c>
      <c r="H1850" t="s">
        <v>44</v>
      </c>
      <c r="I1850" t="s">
        <v>71</v>
      </c>
      <c r="J1850">
        <v>89.9</v>
      </c>
      <c r="K1850">
        <v>82</v>
      </c>
      <c r="L1850">
        <v>0.91212458286985532</v>
      </c>
      <c r="M1850">
        <v>0.91212458286985532</v>
      </c>
      <c r="N1850" t="s">
        <v>2670</v>
      </c>
      <c r="O1850" t="s">
        <v>5879</v>
      </c>
      <c r="P1850" t="s">
        <v>4094</v>
      </c>
      <c r="Q1850">
        <v>2</v>
      </c>
      <c r="R1850">
        <v>2</v>
      </c>
    </row>
    <row r="1851" spans="1:18" x14ac:dyDescent="0.3">
      <c r="A1851" t="s">
        <v>4095</v>
      </c>
      <c r="B1851" t="s">
        <v>4096</v>
      </c>
      <c r="C1851" t="s">
        <v>3011</v>
      </c>
      <c r="D1851" t="s">
        <v>233</v>
      </c>
      <c r="E1851" t="s">
        <v>30</v>
      </c>
      <c r="F1851" s="6">
        <v>45107</v>
      </c>
      <c r="G1851">
        <v>2023</v>
      </c>
      <c r="H1851" t="s">
        <v>44</v>
      </c>
      <c r="I1851" t="s">
        <v>33</v>
      </c>
      <c r="J1851">
        <v>50</v>
      </c>
      <c r="K1851">
        <v>78</v>
      </c>
      <c r="L1851">
        <v>1.3</v>
      </c>
      <c r="M1851">
        <v>1.56</v>
      </c>
      <c r="N1851" t="s">
        <v>4242</v>
      </c>
      <c r="O1851" t="s">
        <v>5377</v>
      </c>
      <c r="P1851" t="s">
        <v>4097</v>
      </c>
      <c r="Q1851">
        <v>2</v>
      </c>
      <c r="R1851">
        <v>2</v>
      </c>
    </row>
    <row r="1852" spans="1:18" x14ac:dyDescent="0.3">
      <c r="A1852" t="s">
        <v>4095</v>
      </c>
      <c r="B1852" t="s">
        <v>4096</v>
      </c>
      <c r="C1852" t="s">
        <v>3011</v>
      </c>
      <c r="D1852" t="s">
        <v>233</v>
      </c>
      <c r="E1852" t="s">
        <v>30</v>
      </c>
      <c r="F1852" s="6">
        <v>45291</v>
      </c>
      <c r="G1852">
        <v>2023</v>
      </c>
      <c r="H1852" t="s">
        <v>57</v>
      </c>
      <c r="I1852" t="s">
        <v>47</v>
      </c>
      <c r="J1852">
        <v>100</v>
      </c>
      <c r="K1852">
        <v>100</v>
      </c>
      <c r="L1852">
        <v>1</v>
      </c>
      <c r="M1852">
        <v>1</v>
      </c>
      <c r="N1852" t="s">
        <v>102</v>
      </c>
      <c r="O1852" t="s">
        <v>102</v>
      </c>
      <c r="P1852" t="s">
        <v>4098</v>
      </c>
      <c r="Q1852">
        <v>2</v>
      </c>
      <c r="R1852">
        <v>2</v>
      </c>
    </row>
    <row r="1853" spans="1:18" x14ac:dyDescent="0.3">
      <c r="A1853" t="s">
        <v>4095</v>
      </c>
      <c r="B1853" t="s">
        <v>4096</v>
      </c>
      <c r="C1853" t="s">
        <v>3011</v>
      </c>
      <c r="D1853" t="s">
        <v>233</v>
      </c>
      <c r="E1853" t="s">
        <v>30</v>
      </c>
      <c r="F1853" s="6">
        <v>45473</v>
      </c>
      <c r="G1853">
        <v>2024</v>
      </c>
      <c r="H1853" t="s">
        <v>44</v>
      </c>
      <c r="I1853" t="s">
        <v>71</v>
      </c>
      <c r="J1853">
        <v>39.950000000000003</v>
      </c>
      <c r="K1853">
        <v>43.61</v>
      </c>
      <c r="L1853">
        <v>1.0916145181476851</v>
      </c>
      <c r="M1853">
        <v>1.0916145181476851</v>
      </c>
      <c r="N1853" t="s">
        <v>6437</v>
      </c>
      <c r="O1853" t="s">
        <v>6438</v>
      </c>
      <c r="P1853" t="s">
        <v>4099</v>
      </c>
      <c r="Q1853">
        <v>2</v>
      </c>
      <c r="R1853">
        <v>2</v>
      </c>
    </row>
    <row r="1854" spans="1:18" x14ac:dyDescent="0.3">
      <c r="A1854" t="s">
        <v>4100</v>
      </c>
      <c r="B1854" t="s">
        <v>4101</v>
      </c>
      <c r="C1854" t="s">
        <v>3011</v>
      </c>
      <c r="D1854" t="s">
        <v>233</v>
      </c>
      <c r="E1854" t="s">
        <v>30</v>
      </c>
      <c r="F1854" s="6">
        <v>45107</v>
      </c>
      <c r="G1854">
        <v>2023</v>
      </c>
      <c r="H1854" t="s">
        <v>44</v>
      </c>
      <c r="I1854" t="s">
        <v>33</v>
      </c>
      <c r="J1854">
        <v>68</v>
      </c>
      <c r="K1854">
        <v>71</v>
      </c>
      <c r="L1854">
        <v>1.044117647058824</v>
      </c>
      <c r="M1854">
        <v>1.044117647058824</v>
      </c>
      <c r="N1854" t="s">
        <v>5361</v>
      </c>
      <c r="O1854" t="s">
        <v>2018</v>
      </c>
      <c r="P1854" t="s">
        <v>4102</v>
      </c>
      <c r="Q1854">
        <v>2</v>
      </c>
      <c r="R1854">
        <v>2</v>
      </c>
    </row>
    <row r="1855" spans="1:18" x14ac:dyDescent="0.3">
      <c r="A1855" t="s">
        <v>4100</v>
      </c>
      <c r="B1855" t="s">
        <v>4101</v>
      </c>
      <c r="C1855" t="s">
        <v>3011</v>
      </c>
      <c r="D1855" t="s">
        <v>233</v>
      </c>
      <c r="E1855" t="s">
        <v>30</v>
      </c>
      <c r="F1855" s="6">
        <v>45291</v>
      </c>
      <c r="G1855">
        <v>2023</v>
      </c>
      <c r="H1855" t="s">
        <v>57</v>
      </c>
      <c r="I1855" t="s">
        <v>47</v>
      </c>
      <c r="J1855">
        <v>100</v>
      </c>
      <c r="K1855">
        <v>100</v>
      </c>
      <c r="L1855">
        <v>1</v>
      </c>
      <c r="M1855">
        <v>1</v>
      </c>
      <c r="N1855" t="s">
        <v>102</v>
      </c>
      <c r="O1855" t="s">
        <v>102</v>
      </c>
      <c r="P1855" t="s">
        <v>4103</v>
      </c>
      <c r="Q1855">
        <v>2</v>
      </c>
      <c r="R1855">
        <v>2</v>
      </c>
    </row>
    <row r="1856" spans="1:18" x14ac:dyDescent="0.3">
      <c r="A1856" t="s">
        <v>4100</v>
      </c>
      <c r="B1856" t="s">
        <v>4101</v>
      </c>
      <c r="C1856" t="s">
        <v>3011</v>
      </c>
      <c r="D1856" t="s">
        <v>233</v>
      </c>
      <c r="E1856" t="s">
        <v>30</v>
      </c>
      <c r="F1856" s="6">
        <v>45473</v>
      </c>
      <c r="G1856">
        <v>2024</v>
      </c>
      <c r="H1856" t="s">
        <v>44</v>
      </c>
      <c r="I1856" t="s">
        <v>71</v>
      </c>
      <c r="J1856">
        <v>29.69</v>
      </c>
      <c r="K1856">
        <v>40.36</v>
      </c>
      <c r="L1856">
        <v>1.3</v>
      </c>
      <c r="M1856">
        <v>1.3593802627147189</v>
      </c>
      <c r="N1856" t="s">
        <v>6439</v>
      </c>
      <c r="O1856" t="s">
        <v>6440</v>
      </c>
      <c r="P1856" t="s">
        <v>4104</v>
      </c>
      <c r="Q1856">
        <v>2</v>
      </c>
      <c r="R1856">
        <v>2</v>
      </c>
    </row>
    <row r="1857" spans="1:18" x14ac:dyDescent="0.3">
      <c r="A1857" t="s">
        <v>4105</v>
      </c>
      <c r="B1857" t="s">
        <v>4106</v>
      </c>
      <c r="C1857" t="s">
        <v>3011</v>
      </c>
      <c r="D1857" t="s">
        <v>233</v>
      </c>
      <c r="E1857" t="s">
        <v>30</v>
      </c>
      <c r="F1857" s="6">
        <v>45107</v>
      </c>
      <c r="G1857">
        <v>2023</v>
      </c>
      <c r="H1857" t="s">
        <v>44</v>
      </c>
      <c r="I1857" t="s">
        <v>33</v>
      </c>
      <c r="J1857">
        <v>53</v>
      </c>
      <c r="K1857">
        <v>63</v>
      </c>
      <c r="L1857">
        <v>1.188679245283019</v>
      </c>
      <c r="M1857">
        <v>1.188679245283019</v>
      </c>
      <c r="N1857" t="s">
        <v>6289</v>
      </c>
      <c r="O1857" t="s">
        <v>4342</v>
      </c>
      <c r="P1857" t="s">
        <v>4107</v>
      </c>
      <c r="Q1857">
        <v>2</v>
      </c>
      <c r="R1857">
        <v>2</v>
      </c>
    </row>
    <row r="1858" spans="1:18" x14ac:dyDescent="0.3">
      <c r="A1858" t="s">
        <v>4105</v>
      </c>
      <c r="B1858" t="s">
        <v>4106</v>
      </c>
      <c r="C1858" t="s">
        <v>3011</v>
      </c>
      <c r="D1858" t="s">
        <v>233</v>
      </c>
      <c r="E1858" t="s">
        <v>30</v>
      </c>
      <c r="F1858" s="6">
        <v>45291</v>
      </c>
      <c r="G1858">
        <v>2023</v>
      </c>
      <c r="H1858" t="s">
        <v>57</v>
      </c>
      <c r="I1858" t="s">
        <v>47</v>
      </c>
      <c r="J1858">
        <v>100</v>
      </c>
      <c r="K1858">
        <v>100</v>
      </c>
      <c r="L1858">
        <v>1</v>
      </c>
      <c r="M1858">
        <v>1</v>
      </c>
      <c r="N1858" t="s">
        <v>102</v>
      </c>
      <c r="O1858" t="s">
        <v>102</v>
      </c>
      <c r="P1858" t="s">
        <v>4108</v>
      </c>
      <c r="Q1858">
        <v>2</v>
      </c>
      <c r="R1858">
        <v>2</v>
      </c>
    </row>
    <row r="1859" spans="1:18" x14ac:dyDescent="0.3">
      <c r="A1859" t="s">
        <v>4105</v>
      </c>
      <c r="B1859" t="s">
        <v>4106</v>
      </c>
      <c r="C1859" t="s">
        <v>3011</v>
      </c>
      <c r="D1859" t="s">
        <v>233</v>
      </c>
      <c r="E1859" t="s">
        <v>30</v>
      </c>
      <c r="F1859" s="6">
        <v>45473</v>
      </c>
      <c r="G1859">
        <v>2024</v>
      </c>
      <c r="H1859" t="s">
        <v>44</v>
      </c>
      <c r="I1859" t="s">
        <v>71</v>
      </c>
      <c r="J1859">
        <v>40.85</v>
      </c>
      <c r="K1859">
        <v>45.75</v>
      </c>
      <c r="L1859">
        <v>1.119951040391677</v>
      </c>
      <c r="M1859">
        <v>1.119951040391677</v>
      </c>
      <c r="N1859" t="s">
        <v>6441</v>
      </c>
      <c r="O1859" t="s">
        <v>6442</v>
      </c>
      <c r="P1859" t="s">
        <v>4109</v>
      </c>
      <c r="Q1859">
        <v>2</v>
      </c>
      <c r="R1859">
        <v>2</v>
      </c>
    </row>
    <row r="1860" spans="1:18" x14ac:dyDescent="0.3">
      <c r="A1860" t="s">
        <v>4110</v>
      </c>
      <c r="B1860" t="s">
        <v>4111</v>
      </c>
      <c r="C1860" t="s">
        <v>3011</v>
      </c>
      <c r="D1860" t="s">
        <v>233</v>
      </c>
      <c r="E1860" t="s">
        <v>30</v>
      </c>
      <c r="F1860" s="6">
        <v>45107</v>
      </c>
      <c r="G1860">
        <v>2023</v>
      </c>
      <c r="H1860" t="s">
        <v>44</v>
      </c>
      <c r="I1860" t="s">
        <v>33</v>
      </c>
      <c r="J1860">
        <v>65</v>
      </c>
      <c r="K1860">
        <v>67</v>
      </c>
      <c r="L1860">
        <v>1.0307692307692311</v>
      </c>
      <c r="M1860">
        <v>1.0307692307692311</v>
      </c>
      <c r="N1860" t="s">
        <v>6229</v>
      </c>
      <c r="O1860" t="s">
        <v>5418</v>
      </c>
      <c r="P1860" t="s">
        <v>4112</v>
      </c>
      <c r="Q1860">
        <v>2</v>
      </c>
      <c r="R1860">
        <v>2</v>
      </c>
    </row>
    <row r="1861" spans="1:18" x14ac:dyDescent="0.3">
      <c r="A1861" t="s">
        <v>4110</v>
      </c>
      <c r="B1861" t="s">
        <v>4111</v>
      </c>
      <c r="C1861" t="s">
        <v>3011</v>
      </c>
      <c r="D1861" t="s">
        <v>233</v>
      </c>
      <c r="E1861" t="s">
        <v>30</v>
      </c>
      <c r="F1861" s="6">
        <v>45291</v>
      </c>
      <c r="G1861">
        <v>2023</v>
      </c>
      <c r="H1861" t="s">
        <v>57</v>
      </c>
      <c r="I1861" t="s">
        <v>47</v>
      </c>
      <c r="J1861">
        <v>100</v>
      </c>
      <c r="K1861">
        <v>100</v>
      </c>
      <c r="L1861">
        <v>1</v>
      </c>
      <c r="M1861">
        <v>1</v>
      </c>
      <c r="N1861" t="s">
        <v>102</v>
      </c>
      <c r="O1861" t="s">
        <v>102</v>
      </c>
      <c r="P1861" t="s">
        <v>4113</v>
      </c>
      <c r="Q1861">
        <v>2</v>
      </c>
      <c r="R1861">
        <v>2</v>
      </c>
    </row>
    <row r="1862" spans="1:18" x14ac:dyDescent="0.3">
      <c r="A1862" t="s">
        <v>4110</v>
      </c>
      <c r="B1862" t="s">
        <v>4111</v>
      </c>
      <c r="C1862" t="s">
        <v>3011</v>
      </c>
      <c r="D1862" t="s">
        <v>233</v>
      </c>
      <c r="E1862" t="s">
        <v>30</v>
      </c>
      <c r="F1862" s="6">
        <v>45473</v>
      </c>
      <c r="G1862">
        <v>2024</v>
      </c>
      <c r="H1862" t="s">
        <v>44</v>
      </c>
      <c r="I1862" t="s">
        <v>71</v>
      </c>
      <c r="J1862">
        <v>57.31</v>
      </c>
      <c r="K1862">
        <v>72.5</v>
      </c>
      <c r="L1862">
        <v>1.2650497295410921</v>
      </c>
      <c r="M1862">
        <v>1.2650497295410921</v>
      </c>
      <c r="N1862" t="s">
        <v>6443</v>
      </c>
      <c r="O1862" t="s">
        <v>6444</v>
      </c>
      <c r="P1862" t="s">
        <v>4114</v>
      </c>
      <c r="Q1862">
        <v>2</v>
      </c>
      <c r="R1862">
        <v>2</v>
      </c>
    </row>
    <row r="1863" spans="1:18" x14ac:dyDescent="0.3">
      <c r="A1863" t="s">
        <v>4115</v>
      </c>
      <c r="B1863" t="s">
        <v>4116</v>
      </c>
      <c r="C1863" t="s">
        <v>3011</v>
      </c>
      <c r="D1863" t="s">
        <v>233</v>
      </c>
      <c r="E1863" t="s">
        <v>30</v>
      </c>
      <c r="F1863" s="6">
        <v>45107</v>
      </c>
      <c r="G1863">
        <v>2023</v>
      </c>
      <c r="H1863" t="s">
        <v>44</v>
      </c>
      <c r="I1863" t="s">
        <v>33</v>
      </c>
      <c r="J1863">
        <v>52</v>
      </c>
      <c r="K1863">
        <v>67</v>
      </c>
      <c r="L1863">
        <v>1.288461538461539</v>
      </c>
      <c r="M1863">
        <v>1.288461538461539</v>
      </c>
      <c r="N1863" t="s">
        <v>6228</v>
      </c>
      <c r="O1863" t="s">
        <v>5418</v>
      </c>
      <c r="P1863" t="s">
        <v>4117</v>
      </c>
      <c r="Q1863">
        <v>2</v>
      </c>
      <c r="R1863">
        <v>2</v>
      </c>
    </row>
    <row r="1864" spans="1:18" x14ac:dyDescent="0.3">
      <c r="A1864" t="s">
        <v>4115</v>
      </c>
      <c r="B1864" t="s">
        <v>4116</v>
      </c>
      <c r="C1864" t="s">
        <v>3011</v>
      </c>
      <c r="D1864" t="s">
        <v>233</v>
      </c>
      <c r="E1864" t="s">
        <v>30</v>
      </c>
      <c r="F1864" s="6">
        <v>45291</v>
      </c>
      <c r="G1864">
        <v>2023</v>
      </c>
      <c r="H1864" t="s">
        <v>57</v>
      </c>
      <c r="I1864" t="s">
        <v>47</v>
      </c>
      <c r="J1864">
        <v>100</v>
      </c>
      <c r="K1864">
        <v>100</v>
      </c>
      <c r="L1864">
        <v>1</v>
      </c>
      <c r="M1864">
        <v>1</v>
      </c>
      <c r="N1864" t="s">
        <v>102</v>
      </c>
      <c r="O1864" t="s">
        <v>102</v>
      </c>
      <c r="P1864" t="s">
        <v>4118</v>
      </c>
      <c r="Q1864">
        <v>2</v>
      </c>
      <c r="R1864">
        <v>2</v>
      </c>
    </row>
    <row r="1865" spans="1:18" x14ac:dyDescent="0.3">
      <c r="A1865" t="s">
        <v>4115</v>
      </c>
      <c r="B1865" t="s">
        <v>4116</v>
      </c>
      <c r="C1865" t="s">
        <v>3011</v>
      </c>
      <c r="D1865" t="s">
        <v>233</v>
      </c>
      <c r="E1865" t="s">
        <v>30</v>
      </c>
      <c r="F1865" s="6">
        <v>45473</v>
      </c>
      <c r="G1865">
        <v>2024</v>
      </c>
      <c r="H1865" t="s">
        <v>44</v>
      </c>
      <c r="I1865" t="s">
        <v>71</v>
      </c>
      <c r="J1865">
        <v>54.94</v>
      </c>
      <c r="K1865">
        <v>68.75</v>
      </c>
      <c r="L1865">
        <v>1.251365125591555</v>
      </c>
      <c r="M1865">
        <v>1.251365125591555</v>
      </c>
      <c r="N1865" t="s">
        <v>6445</v>
      </c>
      <c r="O1865" t="s">
        <v>5702</v>
      </c>
      <c r="P1865" t="s">
        <v>4119</v>
      </c>
      <c r="Q1865">
        <v>2</v>
      </c>
      <c r="R1865">
        <v>2</v>
      </c>
    </row>
    <row r="1866" spans="1:18" x14ac:dyDescent="0.3">
      <c r="A1866" t="s">
        <v>4120</v>
      </c>
      <c r="B1866" t="s">
        <v>4121</v>
      </c>
      <c r="C1866" t="s">
        <v>3011</v>
      </c>
      <c r="D1866" t="s">
        <v>233</v>
      </c>
      <c r="E1866" t="s">
        <v>30</v>
      </c>
      <c r="F1866" s="6">
        <v>45473</v>
      </c>
      <c r="G1866">
        <v>2024</v>
      </c>
      <c r="H1866" t="s">
        <v>44</v>
      </c>
      <c r="I1866" t="s">
        <v>71</v>
      </c>
      <c r="J1866">
        <v>50.46</v>
      </c>
      <c r="K1866">
        <v>50</v>
      </c>
      <c r="L1866">
        <v>0.99088386841062226</v>
      </c>
      <c r="M1866">
        <v>0.99088386841062226</v>
      </c>
      <c r="N1866" t="s">
        <v>6446</v>
      </c>
      <c r="O1866" t="s">
        <v>4242</v>
      </c>
      <c r="P1866" t="s">
        <v>4122</v>
      </c>
      <c r="Q1866">
        <v>2</v>
      </c>
      <c r="R1866">
        <v>2</v>
      </c>
    </row>
    <row r="1867" spans="1:18" x14ac:dyDescent="0.3">
      <c r="A1867" t="s">
        <v>4123</v>
      </c>
      <c r="B1867" t="s">
        <v>4124</v>
      </c>
      <c r="C1867" t="s">
        <v>3011</v>
      </c>
      <c r="D1867" t="s">
        <v>233</v>
      </c>
      <c r="E1867" t="s">
        <v>30</v>
      </c>
      <c r="F1867" s="6">
        <v>45107</v>
      </c>
      <c r="G1867">
        <v>2023</v>
      </c>
      <c r="H1867" t="s">
        <v>44</v>
      </c>
      <c r="I1867" t="s">
        <v>33</v>
      </c>
      <c r="J1867">
        <v>54</v>
      </c>
      <c r="K1867">
        <v>70</v>
      </c>
      <c r="L1867">
        <v>1.2962962962962961</v>
      </c>
      <c r="M1867">
        <v>1.2962962962962961</v>
      </c>
      <c r="N1867" t="s">
        <v>5881</v>
      </c>
      <c r="O1867" t="s">
        <v>3922</v>
      </c>
      <c r="P1867" t="s">
        <v>4125</v>
      </c>
      <c r="Q1867">
        <v>2</v>
      </c>
      <c r="R1867">
        <v>2</v>
      </c>
    </row>
    <row r="1868" spans="1:18" x14ac:dyDescent="0.3">
      <c r="A1868" t="s">
        <v>4123</v>
      </c>
      <c r="B1868" t="s">
        <v>4124</v>
      </c>
      <c r="C1868" t="s">
        <v>3011</v>
      </c>
      <c r="D1868" t="s">
        <v>233</v>
      </c>
      <c r="E1868" t="s">
        <v>30</v>
      </c>
      <c r="F1868" s="6">
        <v>45291</v>
      </c>
      <c r="G1868">
        <v>2023</v>
      </c>
      <c r="H1868" t="s">
        <v>57</v>
      </c>
      <c r="I1868" t="s">
        <v>47</v>
      </c>
      <c r="J1868">
        <v>100</v>
      </c>
      <c r="K1868">
        <v>98.4</v>
      </c>
      <c r="L1868">
        <v>0.9840000000000001</v>
      </c>
      <c r="M1868">
        <v>0.9840000000000001</v>
      </c>
      <c r="N1868" t="s">
        <v>102</v>
      </c>
      <c r="O1868" t="s">
        <v>6447</v>
      </c>
      <c r="P1868" t="s">
        <v>4126</v>
      </c>
      <c r="Q1868">
        <v>2</v>
      </c>
      <c r="R1868">
        <v>2</v>
      </c>
    </row>
    <row r="1869" spans="1:18" x14ac:dyDescent="0.3">
      <c r="A1869" t="s">
        <v>4123</v>
      </c>
      <c r="B1869" t="s">
        <v>4124</v>
      </c>
      <c r="C1869" t="s">
        <v>3331</v>
      </c>
      <c r="D1869" t="s">
        <v>233</v>
      </c>
      <c r="E1869" t="s">
        <v>30</v>
      </c>
      <c r="F1869" s="6">
        <v>45473</v>
      </c>
      <c r="G1869">
        <v>2024</v>
      </c>
      <c r="H1869" t="s">
        <v>44</v>
      </c>
      <c r="I1869" t="s">
        <v>71</v>
      </c>
      <c r="J1869">
        <v>68.98</v>
      </c>
      <c r="K1869">
        <v>68.75</v>
      </c>
      <c r="L1869">
        <v>0.99666570020295731</v>
      </c>
      <c r="M1869">
        <v>0.99666570020295731</v>
      </c>
      <c r="N1869" t="s">
        <v>6448</v>
      </c>
      <c r="O1869" t="s">
        <v>5702</v>
      </c>
      <c r="P1869" t="s">
        <v>4127</v>
      </c>
      <c r="Q1869">
        <v>2</v>
      </c>
      <c r="R1869">
        <v>2</v>
      </c>
    </row>
    <row r="1870" spans="1:18" x14ac:dyDescent="0.3">
      <c r="A1870" t="s">
        <v>4128</v>
      </c>
      <c r="B1870" t="s">
        <v>4129</v>
      </c>
      <c r="C1870" t="s">
        <v>129</v>
      </c>
      <c r="D1870" t="s">
        <v>233</v>
      </c>
      <c r="E1870" t="s">
        <v>30</v>
      </c>
      <c r="F1870" s="6">
        <v>45473</v>
      </c>
      <c r="G1870">
        <v>2024</v>
      </c>
      <c r="H1870" t="s">
        <v>44</v>
      </c>
      <c r="I1870" t="s">
        <v>71</v>
      </c>
      <c r="J1870">
        <v>100</v>
      </c>
      <c r="K1870">
        <v>98.85</v>
      </c>
      <c r="L1870">
        <v>0.98849999999999993</v>
      </c>
      <c r="M1870">
        <v>0.98849999999999993</v>
      </c>
      <c r="N1870" t="s">
        <v>102</v>
      </c>
      <c r="O1870" t="s">
        <v>6449</v>
      </c>
      <c r="P1870" t="s">
        <v>4131</v>
      </c>
      <c r="Q1870">
        <v>2</v>
      </c>
      <c r="R1870">
        <v>2</v>
      </c>
    </row>
    <row r="1871" spans="1:18" x14ac:dyDescent="0.3">
      <c r="A1871" t="s">
        <v>4128</v>
      </c>
      <c r="B1871" t="s">
        <v>4129</v>
      </c>
      <c r="C1871" t="s">
        <v>129</v>
      </c>
      <c r="D1871" t="s">
        <v>233</v>
      </c>
      <c r="E1871" t="s">
        <v>30</v>
      </c>
      <c r="F1871" s="6">
        <v>45657</v>
      </c>
      <c r="G1871">
        <v>2024</v>
      </c>
      <c r="H1871" t="s">
        <v>57</v>
      </c>
      <c r="I1871" t="s">
        <v>78</v>
      </c>
      <c r="J1871">
        <v>100</v>
      </c>
      <c r="K1871">
        <v>52.43</v>
      </c>
      <c r="L1871">
        <v>0.52429999999999999</v>
      </c>
      <c r="M1871">
        <v>0.52429999999999999</v>
      </c>
      <c r="N1871" t="s">
        <v>102</v>
      </c>
      <c r="O1871" t="s">
        <v>6450</v>
      </c>
      <c r="P1871" t="s">
        <v>4133</v>
      </c>
      <c r="Q1871">
        <v>2</v>
      </c>
      <c r="R1871">
        <v>2</v>
      </c>
    </row>
    <row r="1872" spans="1:18" x14ac:dyDescent="0.3">
      <c r="A1872" t="s">
        <v>4128</v>
      </c>
      <c r="B1872" t="s">
        <v>4129</v>
      </c>
      <c r="C1872" t="s">
        <v>129</v>
      </c>
      <c r="D1872" t="s">
        <v>233</v>
      </c>
      <c r="E1872" t="s">
        <v>30</v>
      </c>
      <c r="F1872" s="6">
        <v>45838</v>
      </c>
      <c r="G1872">
        <v>2025</v>
      </c>
      <c r="H1872" t="s">
        <v>44</v>
      </c>
      <c r="I1872" t="s">
        <v>244</v>
      </c>
      <c r="J1872">
        <v>100</v>
      </c>
      <c r="K1872">
        <v>250.595</v>
      </c>
      <c r="L1872">
        <v>1.3</v>
      </c>
      <c r="M1872">
        <v>2.5059499999999999</v>
      </c>
      <c r="N1872" t="s">
        <v>102</v>
      </c>
      <c r="O1872" t="s">
        <v>6451</v>
      </c>
      <c r="P1872" t="s">
        <v>4139</v>
      </c>
      <c r="Q1872">
        <v>2</v>
      </c>
      <c r="R1872">
        <v>2</v>
      </c>
    </row>
    <row r="1873" spans="1:18" x14ac:dyDescent="0.3">
      <c r="A1873" t="s">
        <v>4128</v>
      </c>
      <c r="B1873" t="s">
        <v>4129</v>
      </c>
      <c r="C1873" t="s">
        <v>129</v>
      </c>
      <c r="D1873" t="s">
        <v>233</v>
      </c>
      <c r="E1873" t="s">
        <v>30</v>
      </c>
      <c r="F1873" s="6">
        <v>46022</v>
      </c>
      <c r="G1873">
        <v>2025</v>
      </c>
      <c r="H1873" t="s">
        <v>57</v>
      </c>
      <c r="I1873" t="s">
        <v>103</v>
      </c>
      <c r="J1873">
        <v>100</v>
      </c>
      <c r="L1873">
        <v>0</v>
      </c>
      <c r="M1873">
        <v>0</v>
      </c>
      <c r="N1873" t="s">
        <v>102</v>
      </c>
      <c r="P1873" t="s">
        <v>4140</v>
      </c>
      <c r="Q1873">
        <v>2</v>
      </c>
      <c r="R1873">
        <v>2</v>
      </c>
    </row>
    <row r="1874" spans="1:18" x14ac:dyDescent="0.3">
      <c r="A1874" t="s">
        <v>4141</v>
      </c>
      <c r="B1874" t="s">
        <v>4142</v>
      </c>
      <c r="C1874" t="s">
        <v>672</v>
      </c>
      <c r="D1874" t="s">
        <v>233</v>
      </c>
      <c r="E1874" t="s">
        <v>30</v>
      </c>
      <c r="F1874" s="6">
        <v>45473</v>
      </c>
      <c r="G1874">
        <v>2024</v>
      </c>
      <c r="H1874" t="s">
        <v>44</v>
      </c>
      <c r="I1874" t="s">
        <v>71</v>
      </c>
      <c r="J1874">
        <v>56.79</v>
      </c>
      <c r="K1874">
        <v>60</v>
      </c>
      <c r="L1874">
        <v>1.0565240359218171</v>
      </c>
      <c r="M1874">
        <v>1.0565240359218171</v>
      </c>
      <c r="N1874" t="s">
        <v>6452</v>
      </c>
      <c r="O1874" t="s">
        <v>2640</v>
      </c>
      <c r="P1874" t="s">
        <v>4143</v>
      </c>
      <c r="Q1874">
        <v>2</v>
      </c>
      <c r="R1874">
        <v>2</v>
      </c>
    </row>
    <row r="1875" spans="1:18" x14ac:dyDescent="0.3">
      <c r="A1875" t="s">
        <v>4144</v>
      </c>
      <c r="B1875" t="s">
        <v>4145</v>
      </c>
      <c r="C1875" t="s">
        <v>842</v>
      </c>
      <c r="D1875" t="s">
        <v>233</v>
      </c>
      <c r="E1875" t="s">
        <v>30</v>
      </c>
      <c r="F1875" s="6">
        <v>45473</v>
      </c>
      <c r="G1875">
        <v>2024</v>
      </c>
      <c r="H1875" t="s">
        <v>44</v>
      </c>
      <c r="I1875" t="s">
        <v>71</v>
      </c>
      <c r="J1875">
        <v>67.84</v>
      </c>
      <c r="K1875">
        <v>63.75</v>
      </c>
      <c r="L1875">
        <v>0.93971108490566035</v>
      </c>
      <c r="M1875">
        <v>0.93971108490566035</v>
      </c>
      <c r="N1875" t="s">
        <v>6453</v>
      </c>
      <c r="O1875" t="s">
        <v>6454</v>
      </c>
      <c r="P1875" t="s">
        <v>4146</v>
      </c>
      <c r="Q1875">
        <v>2</v>
      </c>
      <c r="R1875">
        <v>2</v>
      </c>
    </row>
    <row r="1876" spans="1:18" x14ac:dyDescent="0.3">
      <c r="A1876" t="s">
        <v>4147</v>
      </c>
      <c r="B1876" t="s">
        <v>4148</v>
      </c>
      <c r="C1876" t="s">
        <v>133</v>
      </c>
      <c r="D1876" t="s">
        <v>233</v>
      </c>
      <c r="E1876" t="s">
        <v>30</v>
      </c>
      <c r="F1876" s="6">
        <v>45473</v>
      </c>
      <c r="G1876">
        <v>2024</v>
      </c>
      <c r="H1876" t="s">
        <v>44</v>
      </c>
      <c r="I1876" t="s">
        <v>71</v>
      </c>
      <c r="J1876">
        <v>71.58</v>
      </c>
      <c r="K1876">
        <v>80</v>
      </c>
      <c r="L1876">
        <v>1.117630623079072</v>
      </c>
      <c r="M1876">
        <v>1.117630623079072</v>
      </c>
      <c r="N1876" t="s">
        <v>6455</v>
      </c>
      <c r="O1876" t="s">
        <v>193</v>
      </c>
      <c r="P1876" t="s">
        <v>4149</v>
      </c>
      <c r="Q1876">
        <v>2</v>
      </c>
      <c r="R1876">
        <v>2</v>
      </c>
    </row>
    <row r="1877" spans="1:18" x14ac:dyDescent="0.3">
      <c r="A1877" t="s">
        <v>4150</v>
      </c>
      <c r="B1877" t="s">
        <v>4151</v>
      </c>
      <c r="C1877" t="s">
        <v>3093</v>
      </c>
      <c r="D1877" t="s">
        <v>233</v>
      </c>
      <c r="E1877" t="s">
        <v>30</v>
      </c>
      <c r="F1877" s="6">
        <v>45473</v>
      </c>
      <c r="G1877">
        <v>2024</v>
      </c>
      <c r="H1877" t="s">
        <v>44</v>
      </c>
      <c r="I1877" t="s">
        <v>71</v>
      </c>
      <c r="J1877">
        <v>74.19</v>
      </c>
      <c r="K1877">
        <v>90</v>
      </c>
      <c r="L1877">
        <v>1.213101496158512</v>
      </c>
      <c r="M1877">
        <v>1.213101496158512</v>
      </c>
      <c r="N1877" t="s">
        <v>6456</v>
      </c>
      <c r="O1877" t="s">
        <v>256</v>
      </c>
      <c r="P1877" t="s">
        <v>4152</v>
      </c>
      <c r="Q1877">
        <v>2</v>
      </c>
      <c r="R1877">
        <v>2</v>
      </c>
    </row>
    <row r="1878" spans="1:18" x14ac:dyDescent="0.3">
      <c r="A1878" t="s">
        <v>4153</v>
      </c>
      <c r="B1878" t="s">
        <v>4154</v>
      </c>
      <c r="C1878" t="s">
        <v>2437</v>
      </c>
      <c r="D1878" t="s">
        <v>233</v>
      </c>
      <c r="E1878" t="s">
        <v>30</v>
      </c>
      <c r="F1878" s="6">
        <v>45473</v>
      </c>
      <c r="G1878">
        <v>2024</v>
      </c>
      <c r="H1878" t="s">
        <v>44</v>
      </c>
      <c r="I1878" t="s">
        <v>71</v>
      </c>
      <c r="J1878">
        <v>34.85</v>
      </c>
      <c r="K1878">
        <v>55</v>
      </c>
      <c r="L1878">
        <v>1.3</v>
      </c>
      <c r="M1878">
        <v>1.5781922525107599</v>
      </c>
      <c r="N1878" t="s">
        <v>6457</v>
      </c>
      <c r="O1878" t="s">
        <v>5775</v>
      </c>
      <c r="P1878" t="s">
        <v>4155</v>
      </c>
      <c r="Q1878">
        <v>2</v>
      </c>
      <c r="R1878">
        <v>2</v>
      </c>
    </row>
    <row r="1879" spans="1:18" x14ac:dyDescent="0.3">
      <c r="A1879" t="s">
        <v>4156</v>
      </c>
      <c r="B1879" t="s">
        <v>4157</v>
      </c>
      <c r="C1879" t="s">
        <v>262</v>
      </c>
      <c r="D1879" t="s">
        <v>233</v>
      </c>
      <c r="E1879" t="s">
        <v>30</v>
      </c>
      <c r="F1879" s="6">
        <v>45473</v>
      </c>
      <c r="G1879">
        <v>2024</v>
      </c>
      <c r="H1879" t="s">
        <v>44</v>
      </c>
      <c r="I1879" t="s">
        <v>71</v>
      </c>
      <c r="J1879">
        <v>100</v>
      </c>
      <c r="K1879">
        <v>107.02</v>
      </c>
      <c r="L1879">
        <v>1.0702</v>
      </c>
      <c r="M1879">
        <v>1.0702</v>
      </c>
      <c r="N1879" t="s">
        <v>102</v>
      </c>
      <c r="O1879" t="s">
        <v>6458</v>
      </c>
      <c r="P1879" t="s">
        <v>4159</v>
      </c>
      <c r="Q1879">
        <v>2</v>
      </c>
      <c r="R1879">
        <v>2</v>
      </c>
    </row>
    <row r="1880" spans="1:18" x14ac:dyDescent="0.3">
      <c r="A1880" t="s">
        <v>4156</v>
      </c>
      <c r="B1880" t="s">
        <v>4157</v>
      </c>
      <c r="C1880" t="s">
        <v>129</v>
      </c>
      <c r="D1880" t="s">
        <v>233</v>
      </c>
      <c r="E1880" t="s">
        <v>30</v>
      </c>
      <c r="F1880" s="6">
        <v>45657</v>
      </c>
      <c r="G1880">
        <v>2024</v>
      </c>
      <c r="H1880" t="s">
        <v>57</v>
      </c>
      <c r="I1880" t="s">
        <v>78</v>
      </c>
      <c r="J1880">
        <v>100</v>
      </c>
      <c r="K1880">
        <v>45.534999999999997</v>
      </c>
      <c r="L1880">
        <v>0.45534999999999998</v>
      </c>
      <c r="M1880">
        <v>0.45534999999999998</v>
      </c>
      <c r="N1880" t="s">
        <v>102</v>
      </c>
      <c r="O1880" t="s">
        <v>6459</v>
      </c>
      <c r="P1880" t="s">
        <v>4161</v>
      </c>
      <c r="Q1880">
        <v>2</v>
      </c>
      <c r="R1880">
        <v>2</v>
      </c>
    </row>
    <row r="1881" spans="1:18" x14ac:dyDescent="0.3">
      <c r="A1881" t="s">
        <v>4156</v>
      </c>
      <c r="B1881" t="s">
        <v>4157</v>
      </c>
      <c r="C1881" t="s">
        <v>129</v>
      </c>
      <c r="D1881" t="s">
        <v>233</v>
      </c>
      <c r="E1881" t="s">
        <v>30</v>
      </c>
      <c r="F1881" s="6">
        <v>45838</v>
      </c>
      <c r="G1881">
        <v>2025</v>
      </c>
      <c r="H1881" t="s">
        <v>44</v>
      </c>
      <c r="I1881" t="s">
        <v>244</v>
      </c>
      <c r="J1881">
        <v>100</v>
      </c>
      <c r="K1881">
        <v>98.765000000000001</v>
      </c>
      <c r="L1881">
        <v>0.98765000000000003</v>
      </c>
      <c r="M1881">
        <v>0.98765000000000003</v>
      </c>
      <c r="N1881" t="s">
        <v>102</v>
      </c>
      <c r="O1881" t="s">
        <v>6460</v>
      </c>
      <c r="P1881" t="s">
        <v>4167</v>
      </c>
      <c r="Q1881">
        <v>2</v>
      </c>
      <c r="R1881">
        <v>2</v>
      </c>
    </row>
    <row r="1882" spans="1:18" x14ac:dyDescent="0.3">
      <c r="A1882" t="s">
        <v>4156</v>
      </c>
      <c r="B1882" t="s">
        <v>4157</v>
      </c>
      <c r="C1882" t="s">
        <v>129</v>
      </c>
      <c r="D1882" t="s">
        <v>233</v>
      </c>
      <c r="E1882" t="s">
        <v>30</v>
      </c>
      <c r="F1882" s="6">
        <v>46022</v>
      </c>
      <c r="G1882">
        <v>2025</v>
      </c>
      <c r="H1882" t="s">
        <v>57</v>
      </c>
      <c r="I1882" t="s">
        <v>103</v>
      </c>
      <c r="J1882">
        <v>100</v>
      </c>
      <c r="L1882">
        <v>0</v>
      </c>
      <c r="M1882">
        <v>0</v>
      </c>
      <c r="N1882" t="s">
        <v>102</v>
      </c>
      <c r="P1882" t="s">
        <v>4168</v>
      </c>
      <c r="Q1882">
        <v>2</v>
      </c>
      <c r="R1882">
        <v>2</v>
      </c>
    </row>
    <row r="1883" spans="1:18" x14ac:dyDescent="0.3">
      <c r="A1883" t="s">
        <v>4169</v>
      </c>
      <c r="B1883" t="s">
        <v>4170</v>
      </c>
      <c r="C1883" t="s">
        <v>2619</v>
      </c>
      <c r="D1883" t="s">
        <v>222</v>
      </c>
      <c r="E1883" t="s">
        <v>30</v>
      </c>
      <c r="F1883" s="6">
        <v>45473</v>
      </c>
      <c r="G1883">
        <v>2024</v>
      </c>
      <c r="H1883" t="s">
        <v>44</v>
      </c>
      <c r="I1883" t="s">
        <v>71</v>
      </c>
      <c r="J1883">
        <v>100</v>
      </c>
      <c r="K1883">
        <v>82.1</v>
      </c>
      <c r="L1883">
        <v>0.82099999999999995</v>
      </c>
      <c r="M1883">
        <v>0.82099999999999995</v>
      </c>
      <c r="N1883" t="s">
        <v>102</v>
      </c>
      <c r="O1883" t="s">
        <v>6461</v>
      </c>
      <c r="P1883" t="s">
        <v>4171</v>
      </c>
      <c r="Q1883">
        <v>2</v>
      </c>
      <c r="R1883">
        <v>2</v>
      </c>
    </row>
    <row r="1884" spans="1:18" x14ac:dyDescent="0.3">
      <c r="A1884" t="s">
        <v>4169</v>
      </c>
      <c r="B1884" t="s">
        <v>4170</v>
      </c>
      <c r="C1884" t="s">
        <v>2619</v>
      </c>
      <c r="D1884" t="s">
        <v>222</v>
      </c>
      <c r="E1884" t="s">
        <v>30</v>
      </c>
      <c r="F1884" s="6">
        <v>45657</v>
      </c>
      <c r="G1884">
        <v>2024</v>
      </c>
      <c r="H1884" t="s">
        <v>57</v>
      </c>
      <c r="I1884" t="s">
        <v>78</v>
      </c>
      <c r="J1884">
        <v>100</v>
      </c>
      <c r="K1884">
        <v>100</v>
      </c>
      <c r="L1884">
        <v>1</v>
      </c>
      <c r="M1884">
        <v>1</v>
      </c>
      <c r="N1884" t="s">
        <v>102</v>
      </c>
      <c r="O1884" t="s">
        <v>102</v>
      </c>
      <c r="P1884" t="s">
        <v>4172</v>
      </c>
      <c r="Q1884">
        <v>2</v>
      </c>
      <c r="R1884">
        <v>2</v>
      </c>
    </row>
    <row r="1885" spans="1:18" x14ac:dyDescent="0.3">
      <c r="A1885" t="s">
        <v>4173</v>
      </c>
      <c r="B1885" t="s">
        <v>4174</v>
      </c>
      <c r="C1885" t="s">
        <v>28</v>
      </c>
      <c r="D1885" t="s">
        <v>222</v>
      </c>
      <c r="E1885" t="s">
        <v>30</v>
      </c>
      <c r="F1885" s="6">
        <v>45473</v>
      </c>
      <c r="G1885">
        <v>2024</v>
      </c>
      <c r="H1885" t="s">
        <v>44</v>
      </c>
      <c r="I1885" t="s">
        <v>71</v>
      </c>
      <c r="J1885">
        <v>16</v>
      </c>
      <c r="K1885">
        <v>16</v>
      </c>
      <c r="L1885">
        <v>1</v>
      </c>
      <c r="M1885">
        <v>1</v>
      </c>
      <c r="N1885" t="s">
        <v>809</v>
      </c>
      <c r="O1885" t="s">
        <v>809</v>
      </c>
      <c r="P1885" t="s">
        <v>4175</v>
      </c>
      <c r="Q1885">
        <v>2</v>
      </c>
      <c r="R1885">
        <v>2</v>
      </c>
    </row>
    <row r="1886" spans="1:18" x14ac:dyDescent="0.3">
      <c r="A1886" t="s">
        <v>4173</v>
      </c>
      <c r="B1886" t="s">
        <v>4176</v>
      </c>
      <c r="C1886" t="s">
        <v>28</v>
      </c>
      <c r="D1886" t="s">
        <v>222</v>
      </c>
      <c r="E1886" t="s">
        <v>30</v>
      </c>
      <c r="F1886" s="6">
        <v>45657</v>
      </c>
      <c r="G1886">
        <v>2024</v>
      </c>
      <c r="H1886" t="s">
        <v>57</v>
      </c>
      <c r="I1886" t="s">
        <v>78</v>
      </c>
      <c r="J1886">
        <v>17</v>
      </c>
      <c r="K1886">
        <v>17</v>
      </c>
      <c r="L1886">
        <v>1</v>
      </c>
      <c r="M1886">
        <v>1</v>
      </c>
      <c r="N1886" t="s">
        <v>1478</v>
      </c>
      <c r="O1886" t="s">
        <v>1478</v>
      </c>
      <c r="P1886" t="s">
        <v>4177</v>
      </c>
      <c r="Q1886">
        <v>2</v>
      </c>
      <c r="R1886">
        <v>2</v>
      </c>
    </row>
    <row r="1887" spans="1:18" x14ac:dyDescent="0.3">
      <c r="A1887" t="s">
        <v>4173</v>
      </c>
      <c r="B1887" t="s">
        <v>4176</v>
      </c>
      <c r="C1887" t="s">
        <v>28</v>
      </c>
      <c r="D1887" t="s">
        <v>222</v>
      </c>
      <c r="E1887" t="s">
        <v>30</v>
      </c>
      <c r="F1887" s="6">
        <v>45838</v>
      </c>
      <c r="G1887">
        <v>2025</v>
      </c>
      <c r="H1887" t="s">
        <v>44</v>
      </c>
      <c r="I1887" t="s">
        <v>244</v>
      </c>
      <c r="J1887">
        <v>100</v>
      </c>
      <c r="K1887">
        <v>100</v>
      </c>
      <c r="L1887">
        <v>1</v>
      </c>
      <c r="M1887">
        <v>1</v>
      </c>
      <c r="N1887" t="s">
        <v>102</v>
      </c>
      <c r="O1887" t="s">
        <v>102</v>
      </c>
      <c r="P1887" t="s">
        <v>4178</v>
      </c>
      <c r="Q1887">
        <v>2</v>
      </c>
      <c r="R1887">
        <v>2</v>
      </c>
    </row>
    <row r="1888" spans="1:18" x14ac:dyDescent="0.3">
      <c r="A1888" t="s">
        <v>4173</v>
      </c>
      <c r="B1888" t="s">
        <v>4176</v>
      </c>
      <c r="C1888" t="s">
        <v>28</v>
      </c>
      <c r="D1888" t="s">
        <v>222</v>
      </c>
      <c r="E1888" t="s">
        <v>30</v>
      </c>
      <c r="F1888" s="6">
        <v>46022</v>
      </c>
      <c r="G1888">
        <v>2025</v>
      </c>
      <c r="H1888" t="s">
        <v>57</v>
      </c>
      <c r="I1888" t="s">
        <v>103</v>
      </c>
      <c r="J1888">
        <v>100</v>
      </c>
      <c r="L1888">
        <v>0</v>
      </c>
      <c r="M1888">
        <v>0</v>
      </c>
      <c r="N1888" t="s">
        <v>102</v>
      </c>
      <c r="P1888" t="s">
        <v>4179</v>
      </c>
      <c r="Q1888">
        <v>2</v>
      </c>
      <c r="R1888">
        <v>2</v>
      </c>
    </row>
    <row r="1889" spans="1:18" x14ac:dyDescent="0.3">
      <c r="A1889" t="s">
        <v>4180</v>
      </c>
      <c r="B1889" t="s">
        <v>4181</v>
      </c>
      <c r="C1889" t="s">
        <v>2991</v>
      </c>
      <c r="D1889" t="s">
        <v>222</v>
      </c>
      <c r="E1889" t="s">
        <v>30</v>
      </c>
      <c r="F1889" s="6">
        <v>45473</v>
      </c>
      <c r="G1889">
        <v>2024</v>
      </c>
      <c r="H1889" t="s">
        <v>44</v>
      </c>
      <c r="I1889" t="s">
        <v>71</v>
      </c>
      <c r="J1889">
        <v>100</v>
      </c>
      <c r="K1889">
        <v>100</v>
      </c>
      <c r="L1889">
        <v>1</v>
      </c>
      <c r="M1889">
        <v>1</v>
      </c>
      <c r="N1889" t="s">
        <v>102</v>
      </c>
      <c r="O1889" t="s">
        <v>102</v>
      </c>
      <c r="P1889" t="s">
        <v>4182</v>
      </c>
      <c r="Q1889">
        <v>2</v>
      </c>
      <c r="R1889">
        <v>2</v>
      </c>
    </row>
    <row r="1890" spans="1:18" x14ac:dyDescent="0.3">
      <c r="A1890" t="s">
        <v>4180</v>
      </c>
      <c r="B1890" t="s">
        <v>4183</v>
      </c>
      <c r="C1890" t="s">
        <v>2991</v>
      </c>
      <c r="D1890" t="s">
        <v>222</v>
      </c>
      <c r="E1890" t="s">
        <v>30</v>
      </c>
      <c r="F1890" s="6">
        <v>45657</v>
      </c>
      <c r="G1890">
        <v>2024</v>
      </c>
      <c r="H1890" t="s">
        <v>57</v>
      </c>
      <c r="I1890" t="s">
        <v>78</v>
      </c>
      <c r="J1890">
        <v>100</v>
      </c>
      <c r="K1890">
        <v>100</v>
      </c>
      <c r="L1890">
        <v>1</v>
      </c>
      <c r="M1890">
        <v>1</v>
      </c>
      <c r="N1890" t="s">
        <v>102</v>
      </c>
      <c r="O1890" t="s">
        <v>102</v>
      </c>
      <c r="P1890" t="s">
        <v>4184</v>
      </c>
      <c r="Q1890">
        <v>2</v>
      </c>
      <c r="R1890">
        <v>2</v>
      </c>
    </row>
    <row r="1891" spans="1:18" x14ac:dyDescent="0.3">
      <c r="A1891" t="s">
        <v>4180</v>
      </c>
      <c r="B1891" t="s">
        <v>4183</v>
      </c>
      <c r="C1891" t="s">
        <v>2991</v>
      </c>
      <c r="D1891" t="s">
        <v>222</v>
      </c>
      <c r="E1891" t="s">
        <v>30</v>
      </c>
      <c r="F1891" s="6">
        <v>45838</v>
      </c>
      <c r="G1891">
        <v>2025</v>
      </c>
      <c r="H1891" t="s">
        <v>44</v>
      </c>
      <c r="I1891" t="s">
        <v>244</v>
      </c>
      <c r="K1891">
        <v>0</v>
      </c>
      <c r="L1891">
        <v>0</v>
      </c>
      <c r="M1891">
        <v>0</v>
      </c>
      <c r="O1891" t="s">
        <v>122</v>
      </c>
      <c r="P1891" t="s">
        <v>4185</v>
      </c>
      <c r="Q1891">
        <v>2</v>
      </c>
      <c r="R1891">
        <v>2</v>
      </c>
    </row>
    <row r="1892" spans="1:18" x14ac:dyDescent="0.3">
      <c r="A1892" t="s">
        <v>4186</v>
      </c>
      <c r="B1892" t="s">
        <v>4187</v>
      </c>
      <c r="C1892" t="s">
        <v>61</v>
      </c>
      <c r="D1892" t="s">
        <v>222</v>
      </c>
      <c r="E1892" t="s">
        <v>30</v>
      </c>
      <c r="F1892" s="6">
        <v>45473</v>
      </c>
      <c r="G1892">
        <v>2024</v>
      </c>
      <c r="H1892" t="s">
        <v>44</v>
      </c>
      <c r="I1892" t="s">
        <v>71</v>
      </c>
      <c r="L1892">
        <v>0</v>
      </c>
      <c r="M1892">
        <v>0</v>
      </c>
      <c r="P1892" t="s">
        <v>4188</v>
      </c>
      <c r="Q1892">
        <v>2</v>
      </c>
      <c r="R1892">
        <v>2</v>
      </c>
    </row>
    <row r="1893" spans="1:18" x14ac:dyDescent="0.3">
      <c r="A1893" t="s">
        <v>4186</v>
      </c>
      <c r="B1893" t="s">
        <v>4187</v>
      </c>
      <c r="C1893" t="s">
        <v>61</v>
      </c>
      <c r="D1893" t="s">
        <v>222</v>
      </c>
      <c r="E1893" t="s">
        <v>30</v>
      </c>
      <c r="F1893" s="6">
        <v>45657</v>
      </c>
      <c r="G1893">
        <v>2024</v>
      </c>
      <c r="H1893" t="s">
        <v>57</v>
      </c>
      <c r="I1893" t="s">
        <v>78</v>
      </c>
      <c r="J1893">
        <v>100</v>
      </c>
      <c r="K1893">
        <v>100</v>
      </c>
      <c r="L1893">
        <v>1</v>
      </c>
      <c r="M1893">
        <v>1</v>
      </c>
      <c r="N1893" t="s">
        <v>102</v>
      </c>
      <c r="O1893" t="s">
        <v>102</v>
      </c>
      <c r="P1893" t="s">
        <v>4189</v>
      </c>
      <c r="Q1893">
        <v>2</v>
      </c>
      <c r="R1893">
        <v>2</v>
      </c>
    </row>
    <row r="1894" spans="1:18" x14ac:dyDescent="0.3">
      <c r="A1894" t="s">
        <v>4186</v>
      </c>
      <c r="B1894" t="s">
        <v>4187</v>
      </c>
      <c r="C1894" t="s">
        <v>61</v>
      </c>
      <c r="D1894" t="s">
        <v>222</v>
      </c>
      <c r="E1894" t="s">
        <v>30</v>
      </c>
      <c r="F1894" s="6">
        <v>45838</v>
      </c>
      <c r="G1894">
        <v>2025</v>
      </c>
      <c r="H1894" t="s">
        <v>44</v>
      </c>
      <c r="I1894" t="s">
        <v>244</v>
      </c>
      <c r="J1894">
        <v>100</v>
      </c>
      <c r="L1894">
        <v>0</v>
      </c>
      <c r="M1894">
        <v>0</v>
      </c>
      <c r="N1894" t="s">
        <v>102</v>
      </c>
      <c r="P1894" t="s">
        <v>4190</v>
      </c>
      <c r="Q1894">
        <v>2</v>
      </c>
      <c r="R1894">
        <v>2</v>
      </c>
    </row>
    <row r="1895" spans="1:18" x14ac:dyDescent="0.3">
      <c r="A1895" t="s">
        <v>4186</v>
      </c>
      <c r="B1895" t="s">
        <v>4187</v>
      </c>
      <c r="C1895" t="s">
        <v>61</v>
      </c>
      <c r="D1895" t="s">
        <v>222</v>
      </c>
      <c r="E1895" t="s">
        <v>30</v>
      </c>
      <c r="F1895" s="6">
        <v>46022</v>
      </c>
      <c r="G1895">
        <v>2025</v>
      </c>
      <c r="H1895" t="s">
        <v>57</v>
      </c>
      <c r="I1895" t="s">
        <v>103</v>
      </c>
      <c r="J1895">
        <v>100</v>
      </c>
      <c r="K1895">
        <v>100</v>
      </c>
      <c r="L1895">
        <v>1</v>
      </c>
      <c r="M1895">
        <v>1</v>
      </c>
      <c r="N1895" t="s">
        <v>102</v>
      </c>
      <c r="O1895" t="s">
        <v>102</v>
      </c>
      <c r="P1895" t="s">
        <v>4191</v>
      </c>
      <c r="Q1895">
        <v>2</v>
      </c>
      <c r="R1895">
        <v>2</v>
      </c>
    </row>
    <row r="1896" spans="1:18" x14ac:dyDescent="0.3">
      <c r="A1896" t="s">
        <v>4192</v>
      </c>
      <c r="B1896" t="s">
        <v>4193</v>
      </c>
      <c r="C1896" t="s">
        <v>28</v>
      </c>
      <c r="D1896" t="s">
        <v>222</v>
      </c>
      <c r="E1896" t="s">
        <v>30</v>
      </c>
      <c r="F1896" s="6">
        <v>45473</v>
      </c>
      <c r="G1896">
        <v>2024</v>
      </c>
      <c r="H1896" t="s">
        <v>44</v>
      </c>
      <c r="I1896" t="s">
        <v>71</v>
      </c>
      <c r="J1896">
        <v>15</v>
      </c>
      <c r="K1896">
        <v>15</v>
      </c>
      <c r="L1896">
        <v>1</v>
      </c>
      <c r="M1896">
        <v>1</v>
      </c>
      <c r="N1896" t="s">
        <v>3932</v>
      </c>
      <c r="O1896" t="s">
        <v>3932</v>
      </c>
      <c r="P1896" t="s">
        <v>4194</v>
      </c>
      <c r="Q1896">
        <v>2</v>
      </c>
      <c r="R1896">
        <v>2</v>
      </c>
    </row>
    <row r="1897" spans="1:18" x14ac:dyDescent="0.3">
      <c r="A1897" t="s">
        <v>4192</v>
      </c>
      <c r="B1897" t="s">
        <v>4193</v>
      </c>
      <c r="C1897" t="s">
        <v>28</v>
      </c>
      <c r="D1897" t="s">
        <v>222</v>
      </c>
      <c r="E1897" t="s">
        <v>30</v>
      </c>
      <c r="F1897" s="6">
        <v>45657</v>
      </c>
      <c r="G1897">
        <v>2024</v>
      </c>
      <c r="H1897" t="s">
        <v>57</v>
      </c>
      <c r="I1897" t="s">
        <v>78</v>
      </c>
      <c r="J1897">
        <v>15</v>
      </c>
      <c r="K1897">
        <v>15</v>
      </c>
      <c r="L1897">
        <v>1</v>
      </c>
      <c r="M1897">
        <v>1</v>
      </c>
      <c r="N1897" t="s">
        <v>3932</v>
      </c>
      <c r="O1897" t="s">
        <v>3932</v>
      </c>
      <c r="P1897" t="s">
        <v>4195</v>
      </c>
      <c r="Q1897">
        <v>2</v>
      </c>
      <c r="R1897">
        <v>2</v>
      </c>
    </row>
    <row r="1898" spans="1:18" x14ac:dyDescent="0.3">
      <c r="A1898" t="s">
        <v>4192</v>
      </c>
      <c r="B1898" t="s">
        <v>4193</v>
      </c>
      <c r="C1898" t="s">
        <v>28</v>
      </c>
      <c r="D1898" t="s">
        <v>222</v>
      </c>
      <c r="E1898" t="s">
        <v>30</v>
      </c>
      <c r="F1898" s="6">
        <v>45838</v>
      </c>
      <c r="G1898">
        <v>2025</v>
      </c>
      <c r="H1898" t="s">
        <v>44</v>
      </c>
      <c r="I1898" t="s">
        <v>244</v>
      </c>
      <c r="J1898">
        <v>100</v>
      </c>
      <c r="K1898">
        <v>100</v>
      </c>
      <c r="L1898">
        <v>1</v>
      </c>
      <c r="M1898">
        <v>1</v>
      </c>
      <c r="N1898" t="s">
        <v>102</v>
      </c>
      <c r="O1898" t="s">
        <v>102</v>
      </c>
      <c r="P1898" t="s">
        <v>4196</v>
      </c>
      <c r="Q1898">
        <v>2</v>
      </c>
      <c r="R1898">
        <v>2</v>
      </c>
    </row>
    <row r="1899" spans="1:18" x14ac:dyDescent="0.3">
      <c r="A1899" t="s">
        <v>4192</v>
      </c>
      <c r="B1899" t="s">
        <v>4193</v>
      </c>
      <c r="C1899" t="s">
        <v>28</v>
      </c>
      <c r="D1899" t="s">
        <v>222</v>
      </c>
      <c r="E1899" t="s">
        <v>30</v>
      </c>
      <c r="F1899" s="6">
        <v>46022</v>
      </c>
      <c r="G1899">
        <v>2025</v>
      </c>
      <c r="H1899" t="s">
        <v>57</v>
      </c>
      <c r="I1899" t="s">
        <v>103</v>
      </c>
      <c r="J1899">
        <v>100</v>
      </c>
      <c r="K1899">
        <v>100</v>
      </c>
      <c r="L1899">
        <v>1</v>
      </c>
      <c r="M1899">
        <v>1</v>
      </c>
      <c r="N1899" t="s">
        <v>102</v>
      </c>
      <c r="O1899" t="s">
        <v>102</v>
      </c>
      <c r="P1899" t="s">
        <v>4197</v>
      </c>
      <c r="Q1899">
        <v>2</v>
      </c>
      <c r="R1899">
        <v>2</v>
      </c>
    </row>
    <row r="1900" spans="1:18" x14ac:dyDescent="0.3">
      <c r="A1900" t="s">
        <v>4198</v>
      </c>
      <c r="B1900" t="s">
        <v>4199</v>
      </c>
      <c r="C1900" t="s">
        <v>2991</v>
      </c>
      <c r="D1900" t="s">
        <v>222</v>
      </c>
      <c r="E1900" t="s">
        <v>30</v>
      </c>
      <c r="F1900" s="6">
        <v>45473</v>
      </c>
      <c r="G1900">
        <v>2024</v>
      </c>
      <c r="H1900" t="s">
        <v>44</v>
      </c>
      <c r="I1900" t="s">
        <v>71</v>
      </c>
      <c r="J1900">
        <v>100</v>
      </c>
      <c r="K1900">
        <v>100</v>
      </c>
      <c r="L1900">
        <v>1</v>
      </c>
      <c r="M1900">
        <v>1</v>
      </c>
      <c r="N1900" t="s">
        <v>102</v>
      </c>
      <c r="O1900" t="s">
        <v>102</v>
      </c>
      <c r="P1900" t="s">
        <v>4200</v>
      </c>
      <c r="Q1900">
        <v>2</v>
      </c>
      <c r="R1900">
        <v>2</v>
      </c>
    </row>
    <row r="1901" spans="1:18" x14ac:dyDescent="0.3">
      <c r="A1901" t="s">
        <v>4198</v>
      </c>
      <c r="B1901" t="s">
        <v>4199</v>
      </c>
      <c r="C1901" t="s">
        <v>2991</v>
      </c>
      <c r="D1901" t="s">
        <v>222</v>
      </c>
      <c r="E1901" t="s">
        <v>30</v>
      </c>
      <c r="F1901" s="6">
        <v>45657</v>
      </c>
      <c r="G1901">
        <v>2024</v>
      </c>
      <c r="H1901" t="s">
        <v>57</v>
      </c>
      <c r="I1901" t="s">
        <v>78</v>
      </c>
      <c r="J1901">
        <v>100</v>
      </c>
      <c r="K1901">
        <v>100</v>
      </c>
      <c r="L1901">
        <v>1</v>
      </c>
      <c r="M1901">
        <v>1</v>
      </c>
      <c r="N1901" t="s">
        <v>102</v>
      </c>
      <c r="O1901" t="s">
        <v>102</v>
      </c>
      <c r="P1901" t="s">
        <v>4201</v>
      </c>
      <c r="Q1901">
        <v>2</v>
      </c>
      <c r="R1901">
        <v>2</v>
      </c>
    </row>
    <row r="1902" spans="1:18" x14ac:dyDescent="0.3">
      <c r="A1902" t="s">
        <v>4202</v>
      </c>
      <c r="B1902" t="s">
        <v>4203</v>
      </c>
      <c r="C1902" t="s">
        <v>2991</v>
      </c>
      <c r="D1902" t="s">
        <v>222</v>
      </c>
      <c r="E1902" t="s">
        <v>30</v>
      </c>
      <c r="F1902" s="6">
        <v>45473</v>
      </c>
      <c r="G1902">
        <v>2024</v>
      </c>
      <c r="H1902" t="s">
        <v>44</v>
      </c>
      <c r="I1902" t="s">
        <v>71</v>
      </c>
      <c r="J1902">
        <v>100</v>
      </c>
      <c r="L1902">
        <v>0</v>
      </c>
      <c r="M1902">
        <v>0</v>
      </c>
      <c r="N1902" t="s">
        <v>102</v>
      </c>
      <c r="P1902" t="s">
        <v>4204</v>
      </c>
      <c r="Q1902">
        <v>2</v>
      </c>
      <c r="R1902">
        <v>2</v>
      </c>
    </row>
    <row r="1903" spans="1:18" x14ac:dyDescent="0.3">
      <c r="A1903" t="s">
        <v>4202</v>
      </c>
      <c r="B1903" t="s">
        <v>4203</v>
      </c>
      <c r="C1903" t="s">
        <v>2991</v>
      </c>
      <c r="D1903" t="s">
        <v>222</v>
      </c>
      <c r="E1903" t="s">
        <v>30</v>
      </c>
      <c r="F1903" s="6">
        <v>45657</v>
      </c>
      <c r="G1903">
        <v>2024</v>
      </c>
      <c r="H1903" t="s">
        <v>57</v>
      </c>
      <c r="I1903" t="s">
        <v>78</v>
      </c>
      <c r="J1903">
        <v>100</v>
      </c>
      <c r="K1903">
        <v>100</v>
      </c>
      <c r="L1903">
        <v>1</v>
      </c>
      <c r="M1903">
        <v>1</v>
      </c>
      <c r="N1903" t="s">
        <v>102</v>
      </c>
      <c r="O1903" t="s">
        <v>102</v>
      </c>
      <c r="P1903" t="s">
        <v>4205</v>
      </c>
      <c r="Q1903">
        <v>2</v>
      </c>
      <c r="R1903">
        <v>2</v>
      </c>
    </row>
    <row r="1904" spans="1:18" x14ac:dyDescent="0.3">
      <c r="A1904" t="s">
        <v>4202</v>
      </c>
      <c r="B1904" t="s">
        <v>4203</v>
      </c>
      <c r="C1904" t="s">
        <v>2991</v>
      </c>
      <c r="D1904" t="s">
        <v>222</v>
      </c>
      <c r="E1904" t="s">
        <v>30</v>
      </c>
      <c r="F1904" s="6">
        <v>45838</v>
      </c>
      <c r="G1904">
        <v>2025</v>
      </c>
      <c r="H1904" t="s">
        <v>44</v>
      </c>
      <c r="I1904" t="s">
        <v>244</v>
      </c>
      <c r="K1904">
        <v>0</v>
      </c>
      <c r="L1904">
        <v>0</v>
      </c>
      <c r="M1904">
        <v>0</v>
      </c>
      <c r="O1904" t="s">
        <v>122</v>
      </c>
      <c r="P1904" t="s">
        <v>4206</v>
      </c>
      <c r="Q1904">
        <v>2</v>
      </c>
      <c r="R1904">
        <v>2</v>
      </c>
    </row>
    <row r="1905" spans="1:18" x14ac:dyDescent="0.3">
      <c r="A1905" t="s">
        <v>4207</v>
      </c>
      <c r="B1905" t="s">
        <v>4208</v>
      </c>
      <c r="C1905" t="s">
        <v>2991</v>
      </c>
      <c r="D1905" t="s">
        <v>222</v>
      </c>
      <c r="E1905" t="s">
        <v>30</v>
      </c>
      <c r="F1905" s="6">
        <v>45473</v>
      </c>
      <c r="G1905">
        <v>2024</v>
      </c>
      <c r="H1905" t="s">
        <v>44</v>
      </c>
      <c r="I1905" t="s">
        <v>71</v>
      </c>
      <c r="J1905">
        <v>100</v>
      </c>
      <c r="K1905">
        <v>100</v>
      </c>
      <c r="L1905">
        <v>1</v>
      </c>
      <c r="M1905">
        <v>1</v>
      </c>
      <c r="N1905" t="s">
        <v>102</v>
      </c>
      <c r="O1905" t="s">
        <v>102</v>
      </c>
      <c r="P1905" t="s">
        <v>4209</v>
      </c>
      <c r="Q1905">
        <v>2</v>
      </c>
      <c r="R1905">
        <v>2</v>
      </c>
    </row>
    <row r="1906" spans="1:18" x14ac:dyDescent="0.3">
      <c r="A1906" t="s">
        <v>4207</v>
      </c>
      <c r="B1906" t="s">
        <v>4208</v>
      </c>
      <c r="C1906" t="s">
        <v>2991</v>
      </c>
      <c r="D1906" t="s">
        <v>222</v>
      </c>
      <c r="E1906" t="s">
        <v>30</v>
      </c>
      <c r="F1906" s="6">
        <v>45657</v>
      </c>
      <c r="G1906">
        <v>2024</v>
      </c>
      <c r="H1906" t="s">
        <v>57</v>
      </c>
      <c r="I1906" t="s">
        <v>78</v>
      </c>
      <c r="J1906">
        <v>100</v>
      </c>
      <c r="K1906">
        <v>100</v>
      </c>
      <c r="L1906">
        <v>1</v>
      </c>
      <c r="M1906">
        <v>1</v>
      </c>
      <c r="N1906" t="s">
        <v>102</v>
      </c>
      <c r="O1906" t="s">
        <v>102</v>
      </c>
      <c r="P1906" t="s">
        <v>4210</v>
      </c>
      <c r="Q1906">
        <v>2</v>
      </c>
      <c r="R1906">
        <v>2</v>
      </c>
    </row>
    <row r="1907" spans="1:18" x14ac:dyDescent="0.3">
      <c r="A1907" t="s">
        <v>4207</v>
      </c>
      <c r="B1907" t="s">
        <v>4208</v>
      </c>
      <c r="C1907" t="s">
        <v>2991</v>
      </c>
      <c r="D1907" t="s">
        <v>222</v>
      </c>
      <c r="E1907" t="s">
        <v>30</v>
      </c>
      <c r="F1907" s="6">
        <v>45838</v>
      </c>
      <c r="G1907">
        <v>2025</v>
      </c>
      <c r="H1907" t="s">
        <v>44</v>
      </c>
      <c r="I1907" t="s">
        <v>244</v>
      </c>
      <c r="J1907">
        <v>100</v>
      </c>
      <c r="L1907">
        <v>0</v>
      </c>
      <c r="M1907">
        <v>0</v>
      </c>
      <c r="N1907" t="s">
        <v>102</v>
      </c>
      <c r="P1907" t="s">
        <v>4211</v>
      </c>
      <c r="Q1907">
        <v>2</v>
      </c>
      <c r="R1907">
        <v>2</v>
      </c>
    </row>
    <row r="1908" spans="1:18" x14ac:dyDescent="0.3">
      <c r="A1908" t="s">
        <v>4212</v>
      </c>
      <c r="B1908" t="s">
        <v>4213</v>
      </c>
      <c r="C1908" t="s">
        <v>2991</v>
      </c>
      <c r="D1908" t="s">
        <v>222</v>
      </c>
      <c r="E1908" t="s">
        <v>30</v>
      </c>
      <c r="F1908" s="6">
        <v>45473</v>
      </c>
      <c r="G1908">
        <v>2024</v>
      </c>
      <c r="H1908" t="s">
        <v>44</v>
      </c>
      <c r="I1908" t="s">
        <v>71</v>
      </c>
      <c r="J1908">
        <v>100</v>
      </c>
      <c r="K1908">
        <v>100</v>
      </c>
      <c r="L1908">
        <v>1</v>
      </c>
      <c r="M1908">
        <v>1</v>
      </c>
      <c r="N1908" t="s">
        <v>102</v>
      </c>
      <c r="O1908" t="s">
        <v>102</v>
      </c>
      <c r="P1908" t="s">
        <v>4214</v>
      </c>
      <c r="Q1908">
        <v>2</v>
      </c>
      <c r="R1908">
        <v>2</v>
      </c>
    </row>
    <row r="1909" spans="1:18" x14ac:dyDescent="0.3">
      <c r="A1909" t="s">
        <v>4212</v>
      </c>
      <c r="B1909" t="s">
        <v>4213</v>
      </c>
      <c r="C1909" t="s">
        <v>2991</v>
      </c>
      <c r="D1909" t="s">
        <v>222</v>
      </c>
      <c r="E1909" t="s">
        <v>30</v>
      </c>
      <c r="F1909" s="6">
        <v>45657</v>
      </c>
      <c r="G1909">
        <v>2024</v>
      </c>
      <c r="H1909" t="s">
        <v>57</v>
      </c>
      <c r="I1909" t="s">
        <v>78</v>
      </c>
      <c r="J1909">
        <v>100</v>
      </c>
      <c r="K1909">
        <v>100</v>
      </c>
      <c r="L1909">
        <v>1</v>
      </c>
      <c r="M1909">
        <v>1</v>
      </c>
      <c r="N1909" t="s">
        <v>102</v>
      </c>
      <c r="O1909" t="s">
        <v>102</v>
      </c>
      <c r="P1909" t="s">
        <v>4215</v>
      </c>
      <c r="Q1909">
        <v>2</v>
      </c>
      <c r="R1909">
        <v>2</v>
      </c>
    </row>
    <row r="1910" spans="1:18" x14ac:dyDescent="0.3">
      <c r="A1910" t="s">
        <v>4212</v>
      </c>
      <c r="B1910" t="s">
        <v>4213</v>
      </c>
      <c r="C1910" t="s">
        <v>2991</v>
      </c>
      <c r="D1910" t="s">
        <v>222</v>
      </c>
      <c r="E1910" t="s">
        <v>30</v>
      </c>
      <c r="F1910" s="6">
        <v>45838</v>
      </c>
      <c r="G1910">
        <v>2025</v>
      </c>
      <c r="H1910" t="s">
        <v>44</v>
      </c>
      <c r="I1910" t="s">
        <v>244</v>
      </c>
      <c r="J1910">
        <v>100</v>
      </c>
      <c r="L1910">
        <v>0</v>
      </c>
      <c r="M1910">
        <v>0</v>
      </c>
      <c r="N1910" t="s">
        <v>102</v>
      </c>
      <c r="P1910" t="s">
        <v>4216</v>
      </c>
      <c r="Q1910">
        <v>2</v>
      </c>
      <c r="R1910">
        <v>2</v>
      </c>
    </row>
    <row r="1911" spans="1:18" x14ac:dyDescent="0.3">
      <c r="A1911" t="s">
        <v>4217</v>
      </c>
      <c r="B1911" t="s">
        <v>4218</v>
      </c>
      <c r="C1911" t="s">
        <v>28</v>
      </c>
      <c r="D1911" t="s">
        <v>222</v>
      </c>
      <c r="E1911" t="s">
        <v>30</v>
      </c>
      <c r="F1911" s="6">
        <v>45473</v>
      </c>
      <c r="G1911">
        <v>2024</v>
      </c>
      <c r="H1911" t="s">
        <v>44</v>
      </c>
      <c r="I1911" t="s">
        <v>71</v>
      </c>
      <c r="J1911">
        <v>100</v>
      </c>
      <c r="K1911">
        <v>100</v>
      </c>
      <c r="L1911">
        <v>1</v>
      </c>
      <c r="M1911">
        <v>1</v>
      </c>
      <c r="N1911" t="s">
        <v>102</v>
      </c>
      <c r="O1911" t="s">
        <v>102</v>
      </c>
      <c r="P1911" t="s">
        <v>4219</v>
      </c>
      <c r="Q1911">
        <v>2</v>
      </c>
      <c r="R1911">
        <v>2</v>
      </c>
    </row>
    <row r="1912" spans="1:18" x14ac:dyDescent="0.3">
      <c r="A1912" t="s">
        <v>4217</v>
      </c>
      <c r="B1912" t="s">
        <v>4218</v>
      </c>
      <c r="C1912" t="s">
        <v>28</v>
      </c>
      <c r="D1912" t="s">
        <v>222</v>
      </c>
      <c r="E1912" t="s">
        <v>30</v>
      </c>
      <c r="F1912" s="6">
        <v>45657</v>
      </c>
      <c r="G1912">
        <v>2024</v>
      </c>
      <c r="H1912" t="s">
        <v>57</v>
      </c>
      <c r="I1912" t="s">
        <v>78</v>
      </c>
      <c r="L1912">
        <v>0</v>
      </c>
      <c r="M1912">
        <v>0</v>
      </c>
      <c r="P1912" t="s">
        <v>4220</v>
      </c>
      <c r="Q1912">
        <v>2</v>
      </c>
      <c r="R1912">
        <v>2</v>
      </c>
    </row>
    <row r="1913" spans="1:18" x14ac:dyDescent="0.3">
      <c r="A1913" t="s">
        <v>4217</v>
      </c>
      <c r="B1913" t="s">
        <v>4218</v>
      </c>
      <c r="C1913" t="s">
        <v>28</v>
      </c>
      <c r="D1913" t="s">
        <v>222</v>
      </c>
      <c r="E1913" t="s">
        <v>30</v>
      </c>
      <c r="F1913" s="6">
        <v>45838</v>
      </c>
      <c r="G1913">
        <v>2025</v>
      </c>
      <c r="H1913" t="s">
        <v>44</v>
      </c>
      <c r="I1913" t="s">
        <v>244</v>
      </c>
      <c r="J1913">
        <v>100</v>
      </c>
      <c r="K1913">
        <v>100</v>
      </c>
      <c r="L1913">
        <v>1</v>
      </c>
      <c r="M1913">
        <v>1</v>
      </c>
      <c r="N1913" t="s">
        <v>102</v>
      </c>
      <c r="O1913" t="s">
        <v>102</v>
      </c>
      <c r="P1913" t="s">
        <v>4221</v>
      </c>
      <c r="Q1913">
        <v>2</v>
      </c>
      <c r="R1913">
        <v>2</v>
      </c>
    </row>
    <row r="1914" spans="1:18" x14ac:dyDescent="0.3">
      <c r="A1914" t="s">
        <v>4217</v>
      </c>
      <c r="B1914" t="s">
        <v>4218</v>
      </c>
      <c r="C1914" t="s">
        <v>28</v>
      </c>
      <c r="D1914" t="s">
        <v>222</v>
      </c>
      <c r="E1914" t="s">
        <v>30</v>
      </c>
      <c r="F1914" s="6">
        <v>46022</v>
      </c>
      <c r="G1914">
        <v>2025</v>
      </c>
      <c r="H1914" t="s">
        <v>57</v>
      </c>
      <c r="I1914" t="s">
        <v>103</v>
      </c>
      <c r="J1914">
        <v>100</v>
      </c>
      <c r="L1914">
        <v>0</v>
      </c>
      <c r="M1914">
        <v>0</v>
      </c>
      <c r="N1914" t="s">
        <v>102</v>
      </c>
      <c r="P1914" t="s">
        <v>4222</v>
      </c>
      <c r="Q1914">
        <v>2</v>
      </c>
      <c r="R1914">
        <v>2</v>
      </c>
    </row>
    <row r="1915" spans="1:18" x14ac:dyDescent="0.3">
      <c r="A1915" t="s">
        <v>4223</v>
      </c>
      <c r="B1915" t="s">
        <v>4224</v>
      </c>
      <c r="C1915" t="s">
        <v>3071</v>
      </c>
      <c r="D1915" t="s">
        <v>98</v>
      </c>
      <c r="E1915" t="s">
        <v>30</v>
      </c>
      <c r="F1915" s="6">
        <v>45657</v>
      </c>
      <c r="G1915">
        <v>2024</v>
      </c>
      <c r="H1915" t="s">
        <v>57</v>
      </c>
      <c r="I1915" t="s">
        <v>78</v>
      </c>
      <c r="J1915">
        <v>10</v>
      </c>
      <c r="K1915">
        <v>91.65</v>
      </c>
      <c r="L1915">
        <v>1.3</v>
      </c>
      <c r="M1915">
        <v>9.1650000000000009</v>
      </c>
      <c r="N1915" t="s">
        <v>1861</v>
      </c>
      <c r="O1915" t="s">
        <v>6462</v>
      </c>
      <c r="P1915" t="s">
        <v>4225</v>
      </c>
      <c r="Q1915">
        <v>2</v>
      </c>
      <c r="R1915">
        <v>2</v>
      </c>
    </row>
    <row r="1916" spans="1:18" x14ac:dyDescent="0.3">
      <c r="A1916" t="s">
        <v>4226</v>
      </c>
      <c r="B1916" t="s">
        <v>4227</v>
      </c>
      <c r="C1916" t="s">
        <v>97</v>
      </c>
      <c r="D1916" t="s">
        <v>233</v>
      </c>
      <c r="E1916" t="s">
        <v>30</v>
      </c>
      <c r="F1916" s="6">
        <v>45473</v>
      </c>
      <c r="G1916">
        <v>2024</v>
      </c>
      <c r="H1916" t="s">
        <v>44</v>
      </c>
      <c r="I1916" t="s">
        <v>71</v>
      </c>
      <c r="J1916">
        <v>90</v>
      </c>
      <c r="K1916">
        <v>100</v>
      </c>
      <c r="L1916">
        <v>1.1111111111111109</v>
      </c>
      <c r="M1916">
        <v>1.1111111111111109</v>
      </c>
      <c r="N1916" t="s">
        <v>256</v>
      </c>
      <c r="O1916" t="s">
        <v>102</v>
      </c>
      <c r="P1916" t="s">
        <v>4228</v>
      </c>
      <c r="Q1916">
        <v>2</v>
      </c>
      <c r="R1916">
        <v>2</v>
      </c>
    </row>
    <row r="1917" spans="1:18" x14ac:dyDescent="0.3">
      <c r="A1917" t="s">
        <v>4226</v>
      </c>
      <c r="B1917" t="s">
        <v>4227</v>
      </c>
      <c r="C1917" t="s">
        <v>97</v>
      </c>
      <c r="D1917" t="s">
        <v>233</v>
      </c>
      <c r="E1917" t="s">
        <v>30</v>
      </c>
      <c r="F1917" s="6">
        <v>45657</v>
      </c>
      <c r="G1917">
        <v>2024</v>
      </c>
      <c r="H1917" t="s">
        <v>57</v>
      </c>
      <c r="I1917" t="s">
        <v>78</v>
      </c>
      <c r="J1917">
        <v>90</v>
      </c>
      <c r="K1917">
        <v>100</v>
      </c>
      <c r="L1917">
        <v>1.1111111111111109</v>
      </c>
      <c r="M1917">
        <v>1.1111111111111109</v>
      </c>
      <c r="N1917" t="s">
        <v>256</v>
      </c>
      <c r="O1917" t="s">
        <v>102</v>
      </c>
      <c r="P1917" t="s">
        <v>4230</v>
      </c>
      <c r="Q1917">
        <v>2</v>
      </c>
      <c r="R1917">
        <v>2</v>
      </c>
    </row>
    <row r="1918" spans="1:18" x14ac:dyDescent="0.3">
      <c r="A1918" t="s">
        <v>4226</v>
      </c>
      <c r="B1918" t="s">
        <v>4227</v>
      </c>
      <c r="C1918" t="s">
        <v>97</v>
      </c>
      <c r="D1918" t="s">
        <v>233</v>
      </c>
      <c r="E1918" t="s">
        <v>30</v>
      </c>
      <c r="F1918" s="6">
        <v>45838</v>
      </c>
      <c r="G1918">
        <v>2025</v>
      </c>
      <c r="H1918" t="s">
        <v>44</v>
      </c>
      <c r="I1918" t="s">
        <v>244</v>
      </c>
      <c r="J1918">
        <v>90</v>
      </c>
      <c r="K1918">
        <v>100</v>
      </c>
      <c r="L1918">
        <v>1.1111111111111109</v>
      </c>
      <c r="M1918">
        <v>1.1111111111111109</v>
      </c>
      <c r="N1918" t="s">
        <v>256</v>
      </c>
      <c r="O1918" t="s">
        <v>102</v>
      </c>
      <c r="P1918" t="s">
        <v>4232</v>
      </c>
      <c r="Q1918">
        <v>2</v>
      </c>
      <c r="R1918">
        <v>2</v>
      </c>
    </row>
    <row r="1919" spans="1:18" x14ac:dyDescent="0.3">
      <c r="A1919" t="s">
        <v>4226</v>
      </c>
      <c r="B1919" t="s">
        <v>4227</v>
      </c>
      <c r="C1919" t="s">
        <v>97</v>
      </c>
      <c r="D1919" t="s">
        <v>233</v>
      </c>
      <c r="E1919" t="s">
        <v>30</v>
      </c>
      <c r="F1919" s="6">
        <v>46022</v>
      </c>
      <c r="G1919">
        <v>2025</v>
      </c>
      <c r="H1919" t="s">
        <v>57</v>
      </c>
      <c r="I1919" t="s">
        <v>103</v>
      </c>
      <c r="J1919">
        <v>90</v>
      </c>
      <c r="K1919">
        <v>100</v>
      </c>
      <c r="L1919">
        <v>1.1111111111111109</v>
      </c>
      <c r="M1919">
        <v>1.1111111111111109</v>
      </c>
      <c r="N1919" t="s">
        <v>256</v>
      </c>
      <c r="O1919" t="s">
        <v>102</v>
      </c>
      <c r="P1919" t="s">
        <v>4233</v>
      </c>
      <c r="Q1919">
        <v>2</v>
      </c>
      <c r="R1919">
        <v>2</v>
      </c>
    </row>
    <row r="1920" spans="1:18" x14ac:dyDescent="0.3">
      <c r="A1920" t="s">
        <v>4234</v>
      </c>
      <c r="B1920" t="s">
        <v>4235</v>
      </c>
      <c r="C1920" t="s">
        <v>309</v>
      </c>
      <c r="D1920" t="s">
        <v>29</v>
      </c>
      <c r="E1920" t="s">
        <v>30</v>
      </c>
      <c r="F1920" s="6">
        <v>45657</v>
      </c>
      <c r="G1920">
        <v>2024</v>
      </c>
      <c r="H1920" t="s">
        <v>57</v>
      </c>
      <c r="I1920" t="s">
        <v>78</v>
      </c>
      <c r="J1920">
        <v>320</v>
      </c>
      <c r="K1920">
        <v>366.67</v>
      </c>
      <c r="L1920">
        <v>1.14584375</v>
      </c>
      <c r="M1920">
        <v>1.14584375</v>
      </c>
      <c r="N1920" t="s">
        <v>6463</v>
      </c>
      <c r="O1920" t="s">
        <v>6464</v>
      </c>
      <c r="P1920" t="s">
        <v>4239</v>
      </c>
      <c r="Q1920">
        <v>2</v>
      </c>
      <c r="R1920">
        <v>2</v>
      </c>
    </row>
    <row r="1921" spans="1:18" x14ac:dyDescent="0.3">
      <c r="A1921" t="s">
        <v>4234</v>
      </c>
      <c r="B1921" t="s">
        <v>4235</v>
      </c>
      <c r="C1921" t="s">
        <v>309</v>
      </c>
      <c r="D1921" t="s">
        <v>29</v>
      </c>
      <c r="E1921" t="s">
        <v>30</v>
      </c>
      <c r="F1921" s="6">
        <v>45838</v>
      </c>
      <c r="G1921">
        <v>2025</v>
      </c>
      <c r="H1921" t="s">
        <v>44</v>
      </c>
      <c r="I1921" t="s">
        <v>244</v>
      </c>
      <c r="J1921">
        <v>480</v>
      </c>
      <c r="K1921">
        <v>516.66999999999996</v>
      </c>
      <c r="L1921">
        <v>1.076395833333333</v>
      </c>
      <c r="M1921">
        <v>1.076395833333333</v>
      </c>
      <c r="N1921" t="s">
        <v>6465</v>
      </c>
      <c r="O1921" t="s">
        <v>6466</v>
      </c>
      <c r="P1921" t="s">
        <v>4249</v>
      </c>
      <c r="Q1921">
        <v>2</v>
      </c>
      <c r="R1921">
        <v>2</v>
      </c>
    </row>
    <row r="1922" spans="1:18" x14ac:dyDescent="0.3">
      <c r="A1922" t="s">
        <v>4234</v>
      </c>
      <c r="B1922" t="s">
        <v>4235</v>
      </c>
      <c r="C1922" t="s">
        <v>309</v>
      </c>
      <c r="D1922" t="s">
        <v>29</v>
      </c>
      <c r="E1922" t="s">
        <v>30</v>
      </c>
      <c r="F1922" s="6">
        <v>46022</v>
      </c>
      <c r="G1922">
        <v>2025</v>
      </c>
      <c r="H1922" t="s">
        <v>57</v>
      </c>
      <c r="I1922" t="s">
        <v>103</v>
      </c>
      <c r="J1922">
        <v>400</v>
      </c>
      <c r="K1922">
        <v>252.38</v>
      </c>
      <c r="L1922">
        <v>0.63095000000000001</v>
      </c>
      <c r="M1922">
        <v>0.63095000000000001</v>
      </c>
      <c r="N1922" t="s">
        <v>6467</v>
      </c>
      <c r="O1922" t="s">
        <v>6468</v>
      </c>
      <c r="P1922" t="s">
        <v>4256</v>
      </c>
      <c r="Q1922">
        <v>2</v>
      </c>
      <c r="R1922">
        <v>2</v>
      </c>
    </row>
    <row r="1923" spans="1:18" x14ac:dyDescent="0.3">
      <c r="A1923" t="s">
        <v>4257</v>
      </c>
      <c r="B1923" t="s">
        <v>4258</v>
      </c>
      <c r="C1923" t="s">
        <v>165</v>
      </c>
      <c r="D1923" t="s">
        <v>222</v>
      </c>
      <c r="E1923" t="s">
        <v>30</v>
      </c>
      <c r="F1923" s="6">
        <v>45473</v>
      </c>
      <c r="G1923">
        <v>2024</v>
      </c>
      <c r="H1923" t="s">
        <v>44</v>
      </c>
      <c r="I1923" t="s">
        <v>71</v>
      </c>
      <c r="K1923">
        <v>4900000</v>
      </c>
      <c r="L1923">
        <v>0</v>
      </c>
      <c r="M1923">
        <v>0</v>
      </c>
      <c r="O1923" t="s">
        <v>6418</v>
      </c>
      <c r="P1923" t="s">
        <v>4259</v>
      </c>
      <c r="Q1923">
        <v>2</v>
      </c>
      <c r="R1923">
        <v>2</v>
      </c>
    </row>
    <row r="1924" spans="1:18" x14ac:dyDescent="0.3">
      <c r="A1924" t="s">
        <v>4257</v>
      </c>
      <c r="B1924" t="s">
        <v>4258</v>
      </c>
      <c r="C1924" t="s">
        <v>165</v>
      </c>
      <c r="D1924" t="s">
        <v>222</v>
      </c>
      <c r="E1924" t="s">
        <v>30</v>
      </c>
      <c r="F1924" s="6">
        <v>45657</v>
      </c>
      <c r="G1924">
        <v>2024</v>
      </c>
      <c r="H1924" t="s">
        <v>57</v>
      </c>
      <c r="I1924" t="s">
        <v>78</v>
      </c>
      <c r="K1924">
        <v>2700000</v>
      </c>
      <c r="L1924">
        <v>0</v>
      </c>
      <c r="M1924">
        <v>0</v>
      </c>
      <c r="O1924" t="s">
        <v>6469</v>
      </c>
      <c r="P1924" t="s">
        <v>4260</v>
      </c>
      <c r="Q1924">
        <v>2</v>
      </c>
      <c r="R1924">
        <v>2</v>
      </c>
    </row>
    <row r="1925" spans="1:18" x14ac:dyDescent="0.3">
      <c r="A1925" t="s">
        <v>4257</v>
      </c>
      <c r="B1925" t="s">
        <v>4258</v>
      </c>
      <c r="C1925" t="s">
        <v>165</v>
      </c>
      <c r="D1925" t="s">
        <v>222</v>
      </c>
      <c r="E1925" t="s">
        <v>30</v>
      </c>
      <c r="F1925" s="6">
        <v>45838</v>
      </c>
      <c r="G1925">
        <v>2025</v>
      </c>
      <c r="H1925" t="s">
        <v>44</v>
      </c>
      <c r="I1925" t="s">
        <v>244</v>
      </c>
      <c r="K1925">
        <v>2890610</v>
      </c>
      <c r="L1925">
        <v>0</v>
      </c>
      <c r="M1925">
        <v>0</v>
      </c>
      <c r="O1925" t="s">
        <v>4262</v>
      </c>
      <c r="P1925" t="s">
        <v>4263</v>
      </c>
      <c r="Q1925">
        <v>2</v>
      </c>
      <c r="R1925">
        <v>2</v>
      </c>
    </row>
    <row r="1926" spans="1:18" x14ac:dyDescent="0.3">
      <c r="A1926" t="s">
        <v>4264</v>
      </c>
      <c r="B1926" t="s">
        <v>4265</v>
      </c>
      <c r="C1926" t="s">
        <v>133</v>
      </c>
      <c r="D1926" t="s">
        <v>98</v>
      </c>
      <c r="E1926" t="s">
        <v>30</v>
      </c>
      <c r="F1926" s="6">
        <v>45657</v>
      </c>
      <c r="G1926">
        <v>2024</v>
      </c>
      <c r="H1926" t="s">
        <v>57</v>
      </c>
      <c r="I1926" t="s">
        <v>78</v>
      </c>
      <c r="J1926">
        <v>20</v>
      </c>
      <c r="K1926">
        <v>164.17</v>
      </c>
      <c r="L1926">
        <v>1.3</v>
      </c>
      <c r="M1926">
        <v>8.208499999999999</v>
      </c>
      <c r="N1926" t="s">
        <v>1298</v>
      </c>
      <c r="O1926" t="s">
        <v>6470</v>
      </c>
      <c r="P1926" t="s">
        <v>4266</v>
      </c>
      <c r="Q1926">
        <v>2</v>
      </c>
      <c r="R1926">
        <v>2</v>
      </c>
    </row>
    <row r="1927" spans="1:18" x14ac:dyDescent="0.3">
      <c r="A1927" t="s">
        <v>4264</v>
      </c>
      <c r="B1927" t="s">
        <v>4267</v>
      </c>
      <c r="C1927" t="s">
        <v>133</v>
      </c>
      <c r="D1927" t="s">
        <v>98</v>
      </c>
      <c r="E1927" t="s">
        <v>30</v>
      </c>
      <c r="F1927" s="6">
        <v>46022</v>
      </c>
      <c r="G1927">
        <v>2025</v>
      </c>
      <c r="H1927" t="s">
        <v>57</v>
      </c>
      <c r="I1927" t="s">
        <v>103</v>
      </c>
      <c r="J1927">
        <v>20</v>
      </c>
      <c r="K1927">
        <v>58.86</v>
      </c>
      <c r="L1927">
        <v>1.3</v>
      </c>
      <c r="M1927">
        <v>2.9430000000000001</v>
      </c>
      <c r="N1927" t="s">
        <v>1298</v>
      </c>
      <c r="O1927" t="s">
        <v>4269</v>
      </c>
      <c r="P1927" t="s">
        <v>4270</v>
      </c>
      <c r="Q1927">
        <v>2</v>
      </c>
      <c r="R1927">
        <v>2</v>
      </c>
    </row>
    <row r="1928" spans="1:18" x14ac:dyDescent="0.3">
      <c r="A1928" t="s">
        <v>4271</v>
      </c>
      <c r="B1928" t="s">
        <v>4272</v>
      </c>
      <c r="C1928" t="s">
        <v>309</v>
      </c>
      <c r="D1928" t="s">
        <v>29</v>
      </c>
      <c r="E1928" t="s">
        <v>30</v>
      </c>
      <c r="F1928" s="6">
        <v>45657</v>
      </c>
      <c r="G1928">
        <v>2024</v>
      </c>
      <c r="H1928" t="s">
        <v>57</v>
      </c>
      <c r="I1928" t="s">
        <v>78</v>
      </c>
      <c r="J1928">
        <v>255</v>
      </c>
      <c r="K1928">
        <v>278.89</v>
      </c>
      <c r="L1928">
        <v>1.0936862745098039</v>
      </c>
      <c r="M1928">
        <v>1.0936862745098039</v>
      </c>
      <c r="N1928" t="s">
        <v>6471</v>
      </c>
      <c r="O1928" t="s">
        <v>6472</v>
      </c>
      <c r="P1928" t="s">
        <v>4275</v>
      </c>
      <c r="Q1928">
        <v>2</v>
      </c>
      <c r="R1928">
        <v>2</v>
      </c>
    </row>
    <row r="1929" spans="1:18" x14ac:dyDescent="0.3">
      <c r="A1929" t="s">
        <v>4271</v>
      </c>
      <c r="B1929" t="s">
        <v>4272</v>
      </c>
      <c r="C1929" t="s">
        <v>309</v>
      </c>
      <c r="D1929" t="s">
        <v>29</v>
      </c>
      <c r="E1929" t="s">
        <v>30</v>
      </c>
      <c r="F1929" s="6">
        <v>45838</v>
      </c>
      <c r="G1929">
        <v>2025</v>
      </c>
      <c r="H1929" t="s">
        <v>44</v>
      </c>
      <c r="I1929" t="s">
        <v>244</v>
      </c>
      <c r="J1929">
        <v>510</v>
      </c>
      <c r="K1929">
        <v>360.434662840746</v>
      </c>
      <c r="L1929">
        <v>0.70673463302107054</v>
      </c>
      <c r="M1929">
        <v>0.70673463302107054</v>
      </c>
      <c r="N1929" t="s">
        <v>6473</v>
      </c>
      <c r="O1929" t="s">
        <v>6474</v>
      </c>
      <c r="P1929" t="s">
        <v>4291</v>
      </c>
      <c r="Q1929">
        <v>2</v>
      </c>
      <c r="R1929">
        <v>2</v>
      </c>
    </row>
    <row r="1930" spans="1:18" x14ac:dyDescent="0.3">
      <c r="A1930" t="s">
        <v>4271</v>
      </c>
      <c r="B1930" t="s">
        <v>4272</v>
      </c>
      <c r="C1930" t="s">
        <v>309</v>
      </c>
      <c r="D1930" t="s">
        <v>29</v>
      </c>
      <c r="E1930" t="s">
        <v>30</v>
      </c>
      <c r="F1930" s="6">
        <v>46022</v>
      </c>
      <c r="G1930">
        <v>2025</v>
      </c>
      <c r="H1930" t="s">
        <v>57</v>
      </c>
      <c r="I1930" t="s">
        <v>103</v>
      </c>
      <c r="J1930">
        <v>425</v>
      </c>
      <c r="K1930">
        <v>401.88</v>
      </c>
      <c r="L1930">
        <v>0.9456</v>
      </c>
      <c r="M1930">
        <v>0.9456</v>
      </c>
      <c r="N1930" t="s">
        <v>6475</v>
      </c>
      <c r="O1930" t="s">
        <v>6476</v>
      </c>
      <c r="P1930" t="s">
        <v>4306</v>
      </c>
      <c r="Q1930">
        <v>2</v>
      </c>
      <c r="R1930">
        <v>2</v>
      </c>
    </row>
    <row r="1931" spans="1:18" x14ac:dyDescent="0.3">
      <c r="A1931" t="s">
        <v>4271</v>
      </c>
      <c r="B1931" t="s">
        <v>4272</v>
      </c>
      <c r="C1931" t="s">
        <v>309</v>
      </c>
      <c r="D1931" t="s">
        <v>29</v>
      </c>
      <c r="E1931" t="s">
        <v>30</v>
      </c>
      <c r="F1931" s="6">
        <v>46203</v>
      </c>
      <c r="G1931">
        <v>2026</v>
      </c>
      <c r="H1931" t="s">
        <v>44</v>
      </c>
      <c r="I1931" t="s">
        <v>408</v>
      </c>
      <c r="K1931">
        <v>72.16</v>
      </c>
      <c r="L1931">
        <v>0</v>
      </c>
      <c r="M1931">
        <v>0</v>
      </c>
      <c r="O1931" t="s">
        <v>4308</v>
      </c>
      <c r="P1931" t="s">
        <v>6477</v>
      </c>
      <c r="Q1931">
        <v>2</v>
      </c>
      <c r="R1931">
        <v>2</v>
      </c>
    </row>
    <row r="1932" spans="1:18" x14ac:dyDescent="0.3">
      <c r="A1932" t="s">
        <v>4310</v>
      </c>
      <c r="B1932" t="s">
        <v>4311</v>
      </c>
      <c r="C1932" t="s">
        <v>309</v>
      </c>
      <c r="D1932" t="s">
        <v>29</v>
      </c>
      <c r="E1932" t="s">
        <v>30</v>
      </c>
      <c r="F1932" s="6">
        <v>45657</v>
      </c>
      <c r="G1932">
        <v>2024</v>
      </c>
      <c r="H1932" t="s">
        <v>57</v>
      </c>
      <c r="I1932" t="s">
        <v>78</v>
      </c>
      <c r="J1932">
        <v>80</v>
      </c>
      <c r="K1932">
        <v>93.333333333333329</v>
      </c>
      <c r="L1932">
        <v>1.166666666666667</v>
      </c>
      <c r="M1932">
        <v>1.166666666666667</v>
      </c>
      <c r="N1932" t="s">
        <v>193</v>
      </c>
      <c r="O1932" t="s">
        <v>6478</v>
      </c>
      <c r="P1932" t="s">
        <v>4314</v>
      </c>
      <c r="Q1932">
        <v>2</v>
      </c>
      <c r="R1932">
        <v>2</v>
      </c>
    </row>
    <row r="1933" spans="1:18" x14ac:dyDescent="0.3">
      <c r="A1933" t="s">
        <v>4315</v>
      </c>
      <c r="B1933" t="s">
        <v>4316</v>
      </c>
      <c r="C1933" t="s">
        <v>129</v>
      </c>
      <c r="D1933" t="s">
        <v>98</v>
      </c>
      <c r="E1933" t="s">
        <v>30</v>
      </c>
      <c r="F1933" s="6">
        <v>45657</v>
      </c>
      <c r="G1933">
        <v>2024</v>
      </c>
      <c r="H1933" t="s">
        <v>57</v>
      </c>
      <c r="I1933" t="s">
        <v>78</v>
      </c>
      <c r="J1933">
        <v>80</v>
      </c>
      <c r="K1933">
        <v>88</v>
      </c>
      <c r="L1933">
        <v>1.1000000000000001</v>
      </c>
      <c r="M1933">
        <v>1.1000000000000001</v>
      </c>
      <c r="N1933" t="s">
        <v>193</v>
      </c>
      <c r="O1933" t="s">
        <v>4404</v>
      </c>
      <c r="P1933" t="s">
        <v>4317</v>
      </c>
      <c r="Q1933">
        <v>2</v>
      </c>
      <c r="R1933">
        <v>2</v>
      </c>
    </row>
    <row r="1934" spans="1:18" x14ac:dyDescent="0.3">
      <c r="A1934" t="s">
        <v>4315</v>
      </c>
      <c r="B1934" t="s">
        <v>4316</v>
      </c>
      <c r="C1934" t="s">
        <v>129</v>
      </c>
      <c r="D1934" t="s">
        <v>98</v>
      </c>
      <c r="E1934" t="s">
        <v>30</v>
      </c>
      <c r="F1934" s="6">
        <v>46022</v>
      </c>
      <c r="G1934">
        <v>2025</v>
      </c>
      <c r="H1934" t="s">
        <v>57</v>
      </c>
      <c r="I1934" t="s">
        <v>103</v>
      </c>
      <c r="J1934">
        <v>80</v>
      </c>
      <c r="K1934">
        <v>100</v>
      </c>
      <c r="L1934">
        <v>1.25</v>
      </c>
      <c r="M1934">
        <v>1.25</v>
      </c>
      <c r="N1934" t="s">
        <v>193</v>
      </c>
      <c r="O1934" t="s">
        <v>102</v>
      </c>
      <c r="P1934" t="s">
        <v>4318</v>
      </c>
      <c r="Q1934">
        <v>2</v>
      </c>
      <c r="R1934">
        <v>2</v>
      </c>
    </row>
    <row r="1935" spans="1:18" x14ac:dyDescent="0.3">
      <c r="A1935" t="s">
        <v>4319</v>
      </c>
      <c r="B1935" t="s">
        <v>4320</v>
      </c>
      <c r="C1935" t="s">
        <v>187</v>
      </c>
      <c r="D1935" t="s">
        <v>98</v>
      </c>
      <c r="E1935" t="s">
        <v>30</v>
      </c>
      <c r="F1935" s="6">
        <v>45657</v>
      </c>
      <c r="G1935">
        <v>2024</v>
      </c>
      <c r="H1935" t="s">
        <v>57</v>
      </c>
      <c r="I1935" t="s">
        <v>78</v>
      </c>
      <c r="J1935">
        <v>80</v>
      </c>
      <c r="K1935">
        <v>88</v>
      </c>
      <c r="L1935">
        <v>1.1000000000000001</v>
      </c>
      <c r="M1935">
        <v>1.1000000000000001</v>
      </c>
      <c r="N1935" t="s">
        <v>193</v>
      </c>
      <c r="O1935" t="s">
        <v>4404</v>
      </c>
      <c r="P1935" t="s">
        <v>4321</v>
      </c>
      <c r="Q1935">
        <v>2</v>
      </c>
      <c r="R1935">
        <v>2</v>
      </c>
    </row>
    <row r="1936" spans="1:18" x14ac:dyDescent="0.3">
      <c r="A1936" t="s">
        <v>4319</v>
      </c>
      <c r="B1936" t="s">
        <v>4320</v>
      </c>
      <c r="C1936" t="s">
        <v>187</v>
      </c>
      <c r="D1936" t="s">
        <v>98</v>
      </c>
      <c r="E1936" t="s">
        <v>30</v>
      </c>
      <c r="F1936" s="6">
        <v>46022</v>
      </c>
      <c r="G1936">
        <v>2025</v>
      </c>
      <c r="H1936" t="s">
        <v>57</v>
      </c>
      <c r="I1936" t="s">
        <v>103</v>
      </c>
      <c r="J1936">
        <v>80</v>
      </c>
      <c r="K1936">
        <v>100</v>
      </c>
      <c r="L1936">
        <v>1.25</v>
      </c>
      <c r="M1936">
        <v>1.25</v>
      </c>
      <c r="N1936" t="s">
        <v>193</v>
      </c>
      <c r="O1936" t="s">
        <v>102</v>
      </c>
      <c r="P1936" t="s">
        <v>4322</v>
      </c>
      <c r="Q1936">
        <v>2</v>
      </c>
      <c r="R1936">
        <v>2</v>
      </c>
    </row>
    <row r="1937" spans="1:18" x14ac:dyDescent="0.3">
      <c r="A1937" t="s">
        <v>4323</v>
      </c>
      <c r="B1937" t="s">
        <v>4324</v>
      </c>
      <c r="C1937" t="s">
        <v>138</v>
      </c>
      <c r="D1937" t="s">
        <v>98</v>
      </c>
      <c r="E1937" t="s">
        <v>30</v>
      </c>
      <c r="F1937" s="6">
        <v>45657</v>
      </c>
      <c r="G1937">
        <v>2024</v>
      </c>
      <c r="H1937" t="s">
        <v>57</v>
      </c>
      <c r="I1937" t="s">
        <v>78</v>
      </c>
      <c r="J1937">
        <v>80</v>
      </c>
      <c r="K1937">
        <v>83</v>
      </c>
      <c r="L1937">
        <v>1.0375000000000001</v>
      </c>
      <c r="M1937">
        <v>1.0375000000000001</v>
      </c>
      <c r="N1937" t="s">
        <v>193</v>
      </c>
      <c r="O1937" t="s">
        <v>4652</v>
      </c>
      <c r="P1937" t="s">
        <v>4325</v>
      </c>
      <c r="Q1937">
        <v>2</v>
      </c>
      <c r="R1937">
        <v>2</v>
      </c>
    </row>
    <row r="1938" spans="1:18" x14ac:dyDescent="0.3">
      <c r="A1938" t="s">
        <v>4323</v>
      </c>
      <c r="B1938" t="s">
        <v>4324</v>
      </c>
      <c r="C1938" t="s">
        <v>138</v>
      </c>
      <c r="D1938" t="s">
        <v>98</v>
      </c>
      <c r="E1938" t="s">
        <v>30</v>
      </c>
      <c r="F1938" s="6">
        <v>46022</v>
      </c>
      <c r="G1938">
        <v>2025</v>
      </c>
      <c r="H1938" t="s">
        <v>57</v>
      </c>
      <c r="I1938" t="s">
        <v>103</v>
      </c>
      <c r="J1938">
        <v>80</v>
      </c>
      <c r="K1938">
        <v>95</v>
      </c>
      <c r="L1938">
        <v>1.1875</v>
      </c>
      <c r="M1938">
        <v>1.1875</v>
      </c>
      <c r="N1938" t="s">
        <v>193</v>
      </c>
      <c r="O1938" t="s">
        <v>838</v>
      </c>
      <c r="P1938" t="s">
        <v>4326</v>
      </c>
      <c r="Q1938">
        <v>2</v>
      </c>
      <c r="R1938">
        <v>2</v>
      </c>
    </row>
    <row r="1939" spans="1:18" x14ac:dyDescent="0.3">
      <c r="A1939" t="s">
        <v>4327</v>
      </c>
      <c r="B1939" t="s">
        <v>4328</v>
      </c>
      <c r="C1939" t="s">
        <v>184</v>
      </c>
      <c r="D1939" t="s">
        <v>98</v>
      </c>
      <c r="E1939" t="s">
        <v>30</v>
      </c>
      <c r="F1939" s="6">
        <v>45657</v>
      </c>
      <c r="G1939">
        <v>2024</v>
      </c>
      <c r="H1939" t="s">
        <v>57</v>
      </c>
      <c r="I1939" t="s">
        <v>78</v>
      </c>
      <c r="J1939">
        <v>80</v>
      </c>
      <c r="K1939">
        <v>81</v>
      </c>
      <c r="L1939">
        <v>1.0125</v>
      </c>
      <c r="M1939">
        <v>1.0125</v>
      </c>
      <c r="N1939" t="s">
        <v>193</v>
      </c>
      <c r="O1939" t="s">
        <v>1054</v>
      </c>
      <c r="P1939" t="s">
        <v>4329</v>
      </c>
      <c r="Q1939">
        <v>2</v>
      </c>
      <c r="R1939">
        <v>2</v>
      </c>
    </row>
    <row r="1940" spans="1:18" x14ac:dyDescent="0.3">
      <c r="A1940" t="s">
        <v>4327</v>
      </c>
      <c r="B1940" t="s">
        <v>4328</v>
      </c>
      <c r="C1940" t="s">
        <v>184</v>
      </c>
      <c r="D1940" t="s">
        <v>98</v>
      </c>
      <c r="E1940" t="s">
        <v>30</v>
      </c>
      <c r="F1940" s="6">
        <v>46022</v>
      </c>
      <c r="G1940">
        <v>2025</v>
      </c>
      <c r="H1940" t="s">
        <v>57</v>
      </c>
      <c r="I1940" t="s">
        <v>103</v>
      </c>
      <c r="J1940">
        <v>80</v>
      </c>
      <c r="K1940">
        <v>77</v>
      </c>
      <c r="L1940">
        <v>0.96250000000000002</v>
      </c>
      <c r="M1940">
        <v>0.96250000000000002</v>
      </c>
      <c r="N1940" t="s">
        <v>193</v>
      </c>
      <c r="O1940" t="s">
        <v>4331</v>
      </c>
      <c r="P1940" t="s">
        <v>4332</v>
      </c>
      <c r="Q1940">
        <v>2</v>
      </c>
      <c r="R1940">
        <v>2</v>
      </c>
    </row>
    <row r="1941" spans="1:18" x14ac:dyDescent="0.3">
      <c r="A1941" t="s">
        <v>4333</v>
      </c>
      <c r="B1941" t="s">
        <v>4334</v>
      </c>
      <c r="C1941" t="s">
        <v>169</v>
      </c>
      <c r="D1941" t="s">
        <v>98</v>
      </c>
      <c r="E1941" t="s">
        <v>30</v>
      </c>
      <c r="F1941" s="6">
        <v>45657</v>
      </c>
      <c r="G1941">
        <v>2024</v>
      </c>
      <c r="H1941" t="s">
        <v>57</v>
      </c>
      <c r="I1941" t="s">
        <v>78</v>
      </c>
      <c r="J1941">
        <v>80</v>
      </c>
      <c r="K1941">
        <v>89</v>
      </c>
      <c r="L1941">
        <v>1.1125</v>
      </c>
      <c r="M1941">
        <v>1.1125</v>
      </c>
      <c r="N1941" t="s">
        <v>193</v>
      </c>
      <c r="O1941" t="s">
        <v>280</v>
      </c>
      <c r="P1941" t="s">
        <v>4335</v>
      </c>
      <c r="Q1941">
        <v>2</v>
      </c>
      <c r="R1941">
        <v>2</v>
      </c>
    </row>
    <row r="1942" spans="1:18" x14ac:dyDescent="0.3">
      <c r="A1942" t="s">
        <v>4333</v>
      </c>
      <c r="B1942" t="s">
        <v>4334</v>
      </c>
      <c r="C1942" t="s">
        <v>169</v>
      </c>
      <c r="D1942" t="s">
        <v>98</v>
      </c>
      <c r="E1942" t="s">
        <v>30</v>
      </c>
      <c r="F1942" s="6">
        <v>46022</v>
      </c>
      <c r="G1942">
        <v>2025</v>
      </c>
      <c r="H1942" t="s">
        <v>57</v>
      </c>
      <c r="I1942" t="s">
        <v>103</v>
      </c>
      <c r="J1942">
        <v>80</v>
      </c>
      <c r="K1942">
        <v>93</v>
      </c>
      <c r="L1942">
        <v>1.1625000000000001</v>
      </c>
      <c r="M1942">
        <v>1.1625000000000001</v>
      </c>
      <c r="N1942" t="s">
        <v>193</v>
      </c>
      <c r="O1942" t="s">
        <v>971</v>
      </c>
      <c r="P1942" t="s">
        <v>4337</v>
      </c>
      <c r="Q1942">
        <v>2</v>
      </c>
      <c r="R1942">
        <v>2</v>
      </c>
    </row>
    <row r="1943" spans="1:18" x14ac:dyDescent="0.3">
      <c r="A1943" t="s">
        <v>4338</v>
      </c>
      <c r="B1943" t="s">
        <v>4339</v>
      </c>
      <c r="C1943" t="s">
        <v>174</v>
      </c>
      <c r="D1943" t="s">
        <v>98</v>
      </c>
      <c r="E1943" t="s">
        <v>30</v>
      </c>
      <c r="F1943" s="6">
        <v>45657</v>
      </c>
      <c r="G1943">
        <v>2024</v>
      </c>
      <c r="H1943" t="s">
        <v>57</v>
      </c>
      <c r="I1943" t="s">
        <v>78</v>
      </c>
      <c r="J1943">
        <v>80</v>
      </c>
      <c r="K1943">
        <v>92</v>
      </c>
      <c r="L1943">
        <v>1.1499999999999999</v>
      </c>
      <c r="M1943">
        <v>1.1499999999999999</v>
      </c>
      <c r="N1943" t="s">
        <v>193</v>
      </c>
      <c r="O1943" t="s">
        <v>4634</v>
      </c>
      <c r="P1943" t="s">
        <v>4340</v>
      </c>
      <c r="Q1943">
        <v>2</v>
      </c>
      <c r="R1943">
        <v>2</v>
      </c>
    </row>
    <row r="1944" spans="1:18" x14ac:dyDescent="0.3">
      <c r="A1944" t="s">
        <v>4338</v>
      </c>
      <c r="B1944" t="s">
        <v>4339</v>
      </c>
      <c r="C1944" t="s">
        <v>174</v>
      </c>
      <c r="D1944" t="s">
        <v>98</v>
      </c>
      <c r="E1944" t="s">
        <v>30</v>
      </c>
      <c r="F1944" s="6">
        <v>46022</v>
      </c>
      <c r="G1944">
        <v>2025</v>
      </c>
      <c r="H1944" t="s">
        <v>57</v>
      </c>
      <c r="I1944" t="s">
        <v>103</v>
      </c>
      <c r="J1944">
        <v>80</v>
      </c>
      <c r="K1944">
        <v>63</v>
      </c>
      <c r="L1944">
        <v>0.78749999999999998</v>
      </c>
      <c r="M1944">
        <v>0.78749999999999998</v>
      </c>
      <c r="N1944" t="s">
        <v>193</v>
      </c>
      <c r="O1944" t="s">
        <v>4342</v>
      </c>
      <c r="P1944" t="s">
        <v>4343</v>
      </c>
      <c r="Q1944">
        <v>2</v>
      </c>
      <c r="R1944">
        <v>2</v>
      </c>
    </row>
    <row r="1945" spans="1:18" x14ac:dyDescent="0.3">
      <c r="A1945" t="s">
        <v>4344</v>
      </c>
      <c r="B1945" t="s">
        <v>4345</v>
      </c>
      <c r="C1945" t="s">
        <v>225</v>
      </c>
      <c r="D1945" t="s">
        <v>98</v>
      </c>
      <c r="E1945" t="s">
        <v>30</v>
      </c>
      <c r="F1945" s="6">
        <v>45657</v>
      </c>
      <c r="G1945">
        <v>2024</v>
      </c>
      <c r="H1945" t="s">
        <v>57</v>
      </c>
      <c r="I1945" t="s">
        <v>78</v>
      </c>
      <c r="J1945">
        <v>80</v>
      </c>
      <c r="K1945">
        <v>88</v>
      </c>
      <c r="L1945">
        <v>1.1000000000000001</v>
      </c>
      <c r="M1945">
        <v>1.1000000000000001</v>
      </c>
      <c r="N1945" t="s">
        <v>193</v>
      </c>
      <c r="O1945" t="s">
        <v>4404</v>
      </c>
      <c r="P1945" t="s">
        <v>4346</v>
      </c>
      <c r="Q1945">
        <v>2</v>
      </c>
      <c r="R1945">
        <v>2</v>
      </c>
    </row>
    <row r="1946" spans="1:18" x14ac:dyDescent="0.3">
      <c r="A1946" t="s">
        <v>4344</v>
      </c>
      <c r="B1946" t="s">
        <v>4345</v>
      </c>
      <c r="C1946" t="s">
        <v>225</v>
      </c>
      <c r="D1946" t="s">
        <v>98</v>
      </c>
      <c r="E1946" t="s">
        <v>30</v>
      </c>
      <c r="F1946" s="6">
        <v>46022</v>
      </c>
      <c r="G1946">
        <v>2025</v>
      </c>
      <c r="H1946" t="s">
        <v>57</v>
      </c>
      <c r="I1946" t="s">
        <v>103</v>
      </c>
      <c r="J1946">
        <v>80</v>
      </c>
      <c r="K1946">
        <v>100</v>
      </c>
      <c r="L1946">
        <v>1.25</v>
      </c>
      <c r="M1946">
        <v>1.25</v>
      </c>
      <c r="N1946" t="s">
        <v>193</v>
      </c>
      <c r="O1946" t="s">
        <v>102</v>
      </c>
      <c r="P1946" t="s">
        <v>4347</v>
      </c>
      <c r="Q1946">
        <v>2</v>
      </c>
      <c r="R1946">
        <v>2</v>
      </c>
    </row>
    <row r="1947" spans="1:18" x14ac:dyDescent="0.3">
      <c r="A1947" t="s">
        <v>4348</v>
      </c>
      <c r="B1947" t="s">
        <v>4349</v>
      </c>
      <c r="C1947" t="s">
        <v>178</v>
      </c>
      <c r="D1947" t="s">
        <v>98</v>
      </c>
      <c r="E1947" t="s">
        <v>30</v>
      </c>
      <c r="F1947" s="6">
        <v>45657</v>
      </c>
      <c r="G1947">
        <v>2024</v>
      </c>
      <c r="H1947" t="s">
        <v>57</v>
      </c>
      <c r="I1947" t="s">
        <v>78</v>
      </c>
      <c r="J1947">
        <v>80</v>
      </c>
      <c r="K1947">
        <v>83</v>
      </c>
      <c r="L1947">
        <v>1.0375000000000001</v>
      </c>
      <c r="M1947">
        <v>1.0375000000000001</v>
      </c>
      <c r="N1947" t="s">
        <v>193</v>
      </c>
      <c r="O1947" t="s">
        <v>4652</v>
      </c>
      <c r="P1947" t="s">
        <v>4350</v>
      </c>
      <c r="Q1947">
        <v>2</v>
      </c>
      <c r="R1947">
        <v>2</v>
      </c>
    </row>
    <row r="1948" spans="1:18" x14ac:dyDescent="0.3">
      <c r="A1948" t="s">
        <v>4351</v>
      </c>
      <c r="B1948" t="s">
        <v>4352</v>
      </c>
      <c r="C1948" t="s">
        <v>133</v>
      </c>
      <c r="D1948" t="s">
        <v>98</v>
      </c>
      <c r="E1948" t="s">
        <v>30</v>
      </c>
      <c r="F1948" s="6">
        <v>45657</v>
      </c>
      <c r="G1948">
        <v>2024</v>
      </c>
      <c r="H1948" t="s">
        <v>57</v>
      </c>
      <c r="I1948" t="s">
        <v>78</v>
      </c>
      <c r="J1948">
        <v>80</v>
      </c>
      <c r="K1948">
        <v>92</v>
      </c>
      <c r="L1948">
        <v>1.1499999999999999</v>
      </c>
      <c r="M1948">
        <v>1.1499999999999999</v>
      </c>
      <c r="N1948" t="s">
        <v>193</v>
      </c>
      <c r="O1948" t="s">
        <v>4634</v>
      </c>
      <c r="P1948" t="s">
        <v>4353</v>
      </c>
      <c r="Q1948">
        <v>2</v>
      </c>
      <c r="R1948">
        <v>2</v>
      </c>
    </row>
    <row r="1949" spans="1:18" x14ac:dyDescent="0.3">
      <c r="A1949" t="s">
        <v>4351</v>
      </c>
      <c r="B1949" t="s">
        <v>4352</v>
      </c>
      <c r="C1949" t="s">
        <v>133</v>
      </c>
      <c r="D1949" t="s">
        <v>98</v>
      </c>
      <c r="E1949" t="s">
        <v>30</v>
      </c>
      <c r="F1949" s="6">
        <v>46022</v>
      </c>
      <c r="G1949">
        <v>2025</v>
      </c>
      <c r="H1949" t="s">
        <v>57</v>
      </c>
      <c r="I1949" t="s">
        <v>103</v>
      </c>
      <c r="J1949">
        <v>80</v>
      </c>
      <c r="K1949">
        <v>95</v>
      </c>
      <c r="L1949">
        <v>1.1875</v>
      </c>
      <c r="M1949">
        <v>1.1875</v>
      </c>
      <c r="N1949" t="s">
        <v>193</v>
      </c>
      <c r="O1949" t="s">
        <v>838</v>
      </c>
      <c r="P1949" t="s">
        <v>4354</v>
      </c>
      <c r="Q1949">
        <v>2</v>
      </c>
      <c r="R1949">
        <v>2</v>
      </c>
    </row>
    <row r="1950" spans="1:18" x14ac:dyDescent="0.3">
      <c r="A1950" t="s">
        <v>4355</v>
      </c>
      <c r="B1950" t="s">
        <v>4356</v>
      </c>
      <c r="C1950" t="s">
        <v>2619</v>
      </c>
      <c r="D1950" t="s">
        <v>98</v>
      </c>
      <c r="E1950" t="s">
        <v>30</v>
      </c>
      <c r="F1950" s="6">
        <v>45657</v>
      </c>
      <c r="G1950">
        <v>2024</v>
      </c>
      <c r="H1950" t="s">
        <v>57</v>
      </c>
      <c r="I1950" t="s">
        <v>78</v>
      </c>
      <c r="J1950">
        <v>80</v>
      </c>
      <c r="K1950">
        <v>87</v>
      </c>
      <c r="L1950">
        <v>1.0874999999999999</v>
      </c>
      <c r="M1950">
        <v>1.0874999999999999</v>
      </c>
      <c r="N1950" t="s">
        <v>193</v>
      </c>
      <c r="O1950" t="s">
        <v>1045</v>
      </c>
      <c r="P1950" t="s">
        <v>4357</v>
      </c>
      <c r="Q1950">
        <v>2</v>
      </c>
      <c r="R1950">
        <v>2</v>
      </c>
    </row>
    <row r="1951" spans="1:18" x14ac:dyDescent="0.3">
      <c r="A1951" t="s">
        <v>4358</v>
      </c>
      <c r="B1951" t="s">
        <v>4359</v>
      </c>
      <c r="C1951" t="s">
        <v>2678</v>
      </c>
      <c r="D1951" t="s">
        <v>29</v>
      </c>
      <c r="E1951" t="s">
        <v>30</v>
      </c>
      <c r="F1951" s="6">
        <v>45107</v>
      </c>
      <c r="G1951">
        <v>2023</v>
      </c>
      <c r="H1951" t="s">
        <v>44</v>
      </c>
      <c r="I1951" t="s">
        <v>33</v>
      </c>
      <c r="J1951">
        <v>50.5</v>
      </c>
      <c r="K1951">
        <v>52.333333333333343</v>
      </c>
      <c r="L1951">
        <v>1.036303630363036</v>
      </c>
      <c r="M1951">
        <v>1.036303630363036</v>
      </c>
      <c r="N1951" t="s">
        <v>6479</v>
      </c>
      <c r="O1951" t="s">
        <v>6480</v>
      </c>
      <c r="P1951" t="s">
        <v>4365</v>
      </c>
      <c r="Q1951">
        <v>2</v>
      </c>
      <c r="R1951">
        <v>2</v>
      </c>
    </row>
    <row r="1952" spans="1:18" x14ac:dyDescent="0.3">
      <c r="A1952" t="s">
        <v>4358</v>
      </c>
      <c r="B1952" t="s">
        <v>4359</v>
      </c>
      <c r="C1952" t="s">
        <v>2678</v>
      </c>
      <c r="D1952" t="s">
        <v>29</v>
      </c>
      <c r="E1952" t="s">
        <v>30</v>
      </c>
      <c r="F1952" s="6">
        <v>45291</v>
      </c>
      <c r="G1952">
        <v>2023</v>
      </c>
      <c r="H1952" t="s">
        <v>57</v>
      </c>
      <c r="I1952" t="s">
        <v>47</v>
      </c>
      <c r="J1952">
        <v>80</v>
      </c>
      <c r="K1952">
        <v>78.166666666666671</v>
      </c>
      <c r="L1952">
        <v>0.97708333333333341</v>
      </c>
      <c r="M1952">
        <v>0.97708333333333341</v>
      </c>
      <c r="N1952" t="s">
        <v>193</v>
      </c>
      <c r="O1952" t="s">
        <v>6481</v>
      </c>
      <c r="P1952" t="s">
        <v>4371</v>
      </c>
      <c r="Q1952">
        <v>2</v>
      </c>
      <c r="R1952">
        <v>2</v>
      </c>
    </row>
    <row r="1953" spans="1:18" x14ac:dyDescent="0.3">
      <c r="A1953" t="s">
        <v>4358</v>
      </c>
      <c r="B1953" t="s">
        <v>4359</v>
      </c>
      <c r="C1953" t="s">
        <v>2678</v>
      </c>
      <c r="D1953" t="s">
        <v>29</v>
      </c>
      <c r="E1953" t="s">
        <v>30</v>
      </c>
      <c r="F1953" s="6">
        <v>45473</v>
      </c>
      <c r="G1953">
        <v>2024</v>
      </c>
      <c r="H1953" t="s">
        <v>44</v>
      </c>
      <c r="I1953" t="s">
        <v>71</v>
      </c>
      <c r="J1953">
        <v>92</v>
      </c>
      <c r="K1953">
        <v>91</v>
      </c>
      <c r="L1953">
        <v>0.98913043478260865</v>
      </c>
      <c r="M1953">
        <v>0.98913043478260865</v>
      </c>
      <c r="N1953" t="s">
        <v>4634</v>
      </c>
      <c r="O1953" t="s">
        <v>5460</v>
      </c>
      <c r="P1953" t="s">
        <v>4377</v>
      </c>
      <c r="Q1953">
        <v>2</v>
      </c>
      <c r="R1953">
        <v>2</v>
      </c>
    </row>
    <row r="1954" spans="1:18" x14ac:dyDescent="0.3">
      <c r="A1954" t="s">
        <v>4358</v>
      </c>
      <c r="B1954" t="s">
        <v>4359</v>
      </c>
      <c r="C1954" t="s">
        <v>2678</v>
      </c>
      <c r="D1954" t="s">
        <v>29</v>
      </c>
      <c r="E1954" t="s">
        <v>30</v>
      </c>
      <c r="F1954" s="6">
        <v>45657</v>
      </c>
      <c r="G1954">
        <v>2024</v>
      </c>
      <c r="H1954" t="s">
        <v>57</v>
      </c>
      <c r="I1954" t="s">
        <v>78</v>
      </c>
      <c r="J1954">
        <v>100</v>
      </c>
      <c r="K1954">
        <v>99.833333333333329</v>
      </c>
      <c r="L1954">
        <v>0.99833333333333329</v>
      </c>
      <c r="M1954">
        <v>0.99833333333333329</v>
      </c>
      <c r="N1954" t="s">
        <v>102</v>
      </c>
      <c r="O1954" t="s">
        <v>5338</v>
      </c>
      <c r="P1954" t="s">
        <v>4383</v>
      </c>
      <c r="Q1954">
        <v>2</v>
      </c>
      <c r="R1954">
        <v>2</v>
      </c>
    </row>
    <row r="1955" spans="1:18" x14ac:dyDescent="0.3">
      <c r="A1955" t="s">
        <v>4384</v>
      </c>
      <c r="B1955" t="s">
        <v>4385</v>
      </c>
      <c r="C1955" t="s">
        <v>161</v>
      </c>
      <c r="D1955" t="s">
        <v>98</v>
      </c>
      <c r="E1955" t="s">
        <v>30</v>
      </c>
      <c r="F1955" s="6">
        <v>45657</v>
      </c>
      <c r="G1955">
        <v>2024</v>
      </c>
      <c r="H1955" t="s">
        <v>57</v>
      </c>
      <c r="I1955" t="s">
        <v>78</v>
      </c>
      <c r="J1955">
        <v>80</v>
      </c>
      <c r="K1955">
        <v>89</v>
      </c>
      <c r="L1955">
        <v>1.1125</v>
      </c>
      <c r="M1955">
        <v>1.1125</v>
      </c>
      <c r="N1955" t="s">
        <v>193</v>
      </c>
      <c r="O1955" t="s">
        <v>280</v>
      </c>
      <c r="P1955" t="s">
        <v>4386</v>
      </c>
      <c r="Q1955">
        <v>2</v>
      </c>
      <c r="R1955">
        <v>2</v>
      </c>
    </row>
    <row r="1956" spans="1:18" x14ac:dyDescent="0.3">
      <c r="A1956" t="s">
        <v>4384</v>
      </c>
      <c r="B1956" t="s">
        <v>4385</v>
      </c>
      <c r="C1956" t="s">
        <v>161</v>
      </c>
      <c r="D1956" t="s">
        <v>98</v>
      </c>
      <c r="E1956" t="s">
        <v>30</v>
      </c>
      <c r="F1956" s="6">
        <v>46022</v>
      </c>
      <c r="G1956">
        <v>2025</v>
      </c>
      <c r="H1956" t="s">
        <v>57</v>
      </c>
      <c r="I1956" t="s">
        <v>103</v>
      </c>
      <c r="J1956">
        <v>80</v>
      </c>
      <c r="K1956">
        <v>100</v>
      </c>
      <c r="L1956">
        <v>1.25</v>
      </c>
      <c r="M1956">
        <v>1.25</v>
      </c>
      <c r="N1956" t="s">
        <v>193</v>
      </c>
      <c r="O1956" t="s">
        <v>102</v>
      </c>
      <c r="P1956" t="s">
        <v>4387</v>
      </c>
      <c r="Q1956">
        <v>2</v>
      </c>
      <c r="R1956">
        <v>2</v>
      </c>
    </row>
    <row r="1957" spans="1:18" x14ac:dyDescent="0.3">
      <c r="A1957" t="s">
        <v>4388</v>
      </c>
      <c r="B1957" t="s">
        <v>4389</v>
      </c>
      <c r="C1957" t="s">
        <v>28</v>
      </c>
      <c r="D1957" t="s">
        <v>98</v>
      </c>
      <c r="E1957" t="s">
        <v>30</v>
      </c>
      <c r="F1957" s="6">
        <v>45657</v>
      </c>
      <c r="G1957">
        <v>2024</v>
      </c>
      <c r="H1957" t="s">
        <v>57</v>
      </c>
      <c r="I1957" t="s">
        <v>78</v>
      </c>
      <c r="J1957">
        <v>80</v>
      </c>
      <c r="K1957">
        <v>88</v>
      </c>
      <c r="L1957">
        <v>1.1000000000000001</v>
      </c>
      <c r="M1957">
        <v>1.1000000000000001</v>
      </c>
      <c r="N1957" t="s">
        <v>193</v>
      </c>
      <c r="O1957" t="s">
        <v>4404</v>
      </c>
      <c r="P1957" t="s">
        <v>4390</v>
      </c>
      <c r="Q1957">
        <v>2</v>
      </c>
      <c r="R1957">
        <v>2</v>
      </c>
    </row>
    <row r="1958" spans="1:18" x14ac:dyDescent="0.3">
      <c r="A1958" t="s">
        <v>4388</v>
      </c>
      <c r="B1958" t="s">
        <v>4389</v>
      </c>
      <c r="C1958" t="s">
        <v>28</v>
      </c>
      <c r="D1958" t="s">
        <v>98</v>
      </c>
      <c r="E1958" t="s">
        <v>30</v>
      </c>
      <c r="F1958" s="6">
        <v>46022</v>
      </c>
      <c r="G1958">
        <v>2025</v>
      </c>
      <c r="H1958" t="s">
        <v>57</v>
      </c>
      <c r="I1958" t="s">
        <v>103</v>
      </c>
      <c r="J1958">
        <v>80</v>
      </c>
      <c r="K1958">
        <v>100</v>
      </c>
      <c r="L1958">
        <v>1.25</v>
      </c>
      <c r="M1958">
        <v>1.25</v>
      </c>
      <c r="N1958" t="s">
        <v>193</v>
      </c>
      <c r="O1958" t="s">
        <v>102</v>
      </c>
      <c r="P1958" t="s">
        <v>4391</v>
      </c>
      <c r="Q1958">
        <v>2</v>
      </c>
      <c r="R1958">
        <v>2</v>
      </c>
    </row>
    <row r="1959" spans="1:18" x14ac:dyDescent="0.3">
      <c r="A1959" t="s">
        <v>4392</v>
      </c>
      <c r="B1959" t="s">
        <v>4393</v>
      </c>
      <c r="C1959" t="s">
        <v>146</v>
      </c>
      <c r="D1959" t="s">
        <v>98</v>
      </c>
      <c r="E1959" t="s">
        <v>30</v>
      </c>
      <c r="F1959" s="6">
        <v>45657</v>
      </c>
      <c r="G1959">
        <v>2024</v>
      </c>
      <c r="H1959" t="s">
        <v>57</v>
      </c>
      <c r="I1959" t="s">
        <v>78</v>
      </c>
      <c r="J1959">
        <v>80</v>
      </c>
      <c r="K1959">
        <v>90</v>
      </c>
      <c r="L1959">
        <v>1.125</v>
      </c>
      <c r="M1959">
        <v>1.125</v>
      </c>
      <c r="N1959" t="s">
        <v>193</v>
      </c>
      <c r="O1959" t="s">
        <v>256</v>
      </c>
      <c r="P1959" t="s">
        <v>4394</v>
      </c>
      <c r="Q1959">
        <v>2</v>
      </c>
      <c r="R1959">
        <v>2</v>
      </c>
    </row>
    <row r="1960" spans="1:18" x14ac:dyDescent="0.3">
      <c r="A1960" t="s">
        <v>4392</v>
      </c>
      <c r="B1960" t="s">
        <v>4393</v>
      </c>
      <c r="C1960" t="s">
        <v>146</v>
      </c>
      <c r="D1960" t="s">
        <v>98</v>
      </c>
      <c r="E1960" t="s">
        <v>30</v>
      </c>
      <c r="F1960" s="6">
        <v>46022</v>
      </c>
      <c r="G1960">
        <v>2025</v>
      </c>
      <c r="H1960" t="s">
        <v>57</v>
      </c>
      <c r="I1960" t="s">
        <v>103</v>
      </c>
      <c r="J1960">
        <v>80</v>
      </c>
      <c r="K1960">
        <v>97</v>
      </c>
      <c r="L1960">
        <v>1.2124999999999999</v>
      </c>
      <c r="M1960">
        <v>1.2124999999999999</v>
      </c>
      <c r="N1960" t="s">
        <v>193</v>
      </c>
      <c r="O1960" t="s">
        <v>1005</v>
      </c>
      <c r="P1960" t="s">
        <v>4395</v>
      </c>
      <c r="Q1960">
        <v>2</v>
      </c>
      <c r="R1960">
        <v>2</v>
      </c>
    </row>
    <row r="1961" spans="1:18" x14ac:dyDescent="0.3">
      <c r="A1961" t="s">
        <v>4396</v>
      </c>
      <c r="B1961" t="s">
        <v>4397</v>
      </c>
      <c r="C1961" t="s">
        <v>2991</v>
      </c>
      <c r="D1961" t="s">
        <v>98</v>
      </c>
      <c r="E1961" t="s">
        <v>30</v>
      </c>
      <c r="F1961" s="6">
        <v>45657</v>
      </c>
      <c r="G1961">
        <v>2024</v>
      </c>
      <c r="H1961" t="s">
        <v>57</v>
      </c>
      <c r="I1961" t="s">
        <v>78</v>
      </c>
      <c r="J1961">
        <v>80</v>
      </c>
      <c r="K1961">
        <v>86</v>
      </c>
      <c r="L1961">
        <v>1.075</v>
      </c>
      <c r="M1961">
        <v>1.075</v>
      </c>
      <c r="N1961" t="s">
        <v>193</v>
      </c>
      <c r="O1961" t="s">
        <v>4410</v>
      </c>
      <c r="P1961" t="s">
        <v>4398</v>
      </c>
      <c r="Q1961">
        <v>2</v>
      </c>
      <c r="R1961">
        <v>2</v>
      </c>
    </row>
    <row r="1962" spans="1:18" x14ac:dyDescent="0.3">
      <c r="A1962" t="s">
        <v>4396</v>
      </c>
      <c r="B1962" t="s">
        <v>4397</v>
      </c>
      <c r="C1962" t="s">
        <v>2991</v>
      </c>
      <c r="D1962" t="s">
        <v>98</v>
      </c>
      <c r="E1962" t="s">
        <v>30</v>
      </c>
      <c r="F1962" s="6">
        <v>46022</v>
      </c>
      <c r="G1962">
        <v>2025</v>
      </c>
      <c r="H1962" t="s">
        <v>57</v>
      </c>
      <c r="I1962" t="s">
        <v>103</v>
      </c>
      <c r="J1962">
        <v>80</v>
      </c>
      <c r="K1962">
        <v>94</v>
      </c>
      <c r="L1962">
        <v>1.175</v>
      </c>
      <c r="M1962">
        <v>1.175</v>
      </c>
      <c r="N1962" t="s">
        <v>193</v>
      </c>
      <c r="O1962" t="s">
        <v>194</v>
      </c>
      <c r="P1962" t="s">
        <v>4399</v>
      </c>
      <c r="Q1962">
        <v>2</v>
      </c>
      <c r="R1962">
        <v>2</v>
      </c>
    </row>
    <row r="1963" spans="1:18" x14ac:dyDescent="0.3">
      <c r="A1963" t="s">
        <v>4400</v>
      </c>
      <c r="B1963" t="s">
        <v>4401</v>
      </c>
      <c r="C1963" t="s">
        <v>3197</v>
      </c>
      <c r="D1963" t="s">
        <v>98</v>
      </c>
      <c r="E1963" t="s">
        <v>30</v>
      </c>
      <c r="F1963" s="6">
        <v>45657</v>
      </c>
      <c r="G1963">
        <v>2024</v>
      </c>
      <c r="H1963" t="s">
        <v>57</v>
      </c>
      <c r="I1963" t="s">
        <v>78</v>
      </c>
      <c r="J1963">
        <v>80</v>
      </c>
      <c r="K1963">
        <v>88</v>
      </c>
      <c r="L1963">
        <v>1.1000000000000001</v>
      </c>
      <c r="M1963">
        <v>1.1000000000000001</v>
      </c>
      <c r="N1963" t="s">
        <v>193</v>
      </c>
      <c r="O1963" t="s">
        <v>4404</v>
      </c>
      <c r="P1963" t="s">
        <v>4402</v>
      </c>
      <c r="Q1963">
        <v>2</v>
      </c>
      <c r="R1963">
        <v>2</v>
      </c>
    </row>
    <row r="1964" spans="1:18" x14ac:dyDescent="0.3">
      <c r="A1964" t="s">
        <v>4400</v>
      </c>
      <c r="B1964" t="s">
        <v>4401</v>
      </c>
      <c r="C1964" t="s">
        <v>3197</v>
      </c>
      <c r="D1964" t="s">
        <v>98</v>
      </c>
      <c r="E1964" t="s">
        <v>30</v>
      </c>
      <c r="F1964" s="6">
        <v>46022</v>
      </c>
      <c r="G1964">
        <v>2025</v>
      </c>
      <c r="H1964" t="s">
        <v>57</v>
      </c>
      <c r="I1964" t="s">
        <v>103</v>
      </c>
      <c r="J1964">
        <v>80</v>
      </c>
      <c r="K1964">
        <v>88</v>
      </c>
      <c r="L1964">
        <v>1.1000000000000001</v>
      </c>
      <c r="M1964">
        <v>1.1000000000000001</v>
      </c>
      <c r="N1964" t="s">
        <v>193</v>
      </c>
      <c r="O1964" t="s">
        <v>4404</v>
      </c>
      <c r="P1964" t="s">
        <v>4405</v>
      </c>
      <c r="Q1964">
        <v>2</v>
      </c>
      <c r="R1964">
        <v>2</v>
      </c>
    </row>
    <row r="1965" spans="1:18" x14ac:dyDescent="0.3">
      <c r="A1965" t="s">
        <v>4406</v>
      </c>
      <c r="B1965" t="s">
        <v>4407</v>
      </c>
      <c r="C1965" t="s">
        <v>3437</v>
      </c>
      <c r="D1965" t="s">
        <v>98</v>
      </c>
      <c r="E1965" t="s">
        <v>30</v>
      </c>
      <c r="F1965" s="6">
        <v>45657</v>
      </c>
      <c r="G1965">
        <v>2024</v>
      </c>
      <c r="H1965" t="s">
        <v>57</v>
      </c>
      <c r="I1965" t="s">
        <v>78</v>
      </c>
      <c r="J1965">
        <v>80</v>
      </c>
      <c r="K1965">
        <v>85</v>
      </c>
      <c r="L1965">
        <v>1.0625</v>
      </c>
      <c r="M1965">
        <v>1.0625</v>
      </c>
      <c r="N1965" t="s">
        <v>193</v>
      </c>
      <c r="O1965" t="s">
        <v>2357</v>
      </c>
      <c r="P1965" t="s">
        <v>4408</v>
      </c>
      <c r="Q1965">
        <v>2</v>
      </c>
      <c r="R1965">
        <v>2</v>
      </c>
    </row>
    <row r="1966" spans="1:18" x14ac:dyDescent="0.3">
      <c r="A1966" t="s">
        <v>4406</v>
      </c>
      <c r="B1966" t="s">
        <v>4407</v>
      </c>
      <c r="C1966" t="s">
        <v>3437</v>
      </c>
      <c r="D1966" t="s">
        <v>98</v>
      </c>
      <c r="E1966" t="s">
        <v>30</v>
      </c>
      <c r="F1966" s="6">
        <v>46022</v>
      </c>
      <c r="G1966">
        <v>2025</v>
      </c>
      <c r="H1966" t="s">
        <v>57</v>
      </c>
      <c r="I1966" t="s">
        <v>103</v>
      </c>
      <c r="J1966">
        <v>80</v>
      </c>
      <c r="K1966">
        <v>86</v>
      </c>
      <c r="L1966">
        <v>1.075</v>
      </c>
      <c r="M1966">
        <v>1.075</v>
      </c>
      <c r="N1966" t="s">
        <v>193</v>
      </c>
      <c r="O1966" t="s">
        <v>4410</v>
      </c>
      <c r="P1966" t="s">
        <v>4411</v>
      </c>
      <c r="Q1966">
        <v>2</v>
      </c>
      <c r="R1966">
        <v>2</v>
      </c>
    </row>
    <row r="1967" spans="1:18" x14ac:dyDescent="0.3">
      <c r="A1967" t="s">
        <v>4412</v>
      </c>
      <c r="B1967" t="s">
        <v>4413</v>
      </c>
      <c r="C1967" t="s">
        <v>2656</v>
      </c>
      <c r="D1967" t="s">
        <v>98</v>
      </c>
      <c r="E1967" t="s">
        <v>30</v>
      </c>
      <c r="F1967" s="6">
        <v>45657</v>
      </c>
      <c r="G1967">
        <v>2024</v>
      </c>
      <c r="H1967" t="s">
        <v>57</v>
      </c>
      <c r="I1967" t="s">
        <v>78</v>
      </c>
      <c r="J1967">
        <v>80</v>
      </c>
      <c r="K1967">
        <v>67</v>
      </c>
      <c r="L1967">
        <v>0.83750000000000002</v>
      </c>
      <c r="M1967">
        <v>0.83750000000000002</v>
      </c>
      <c r="N1967" t="s">
        <v>193</v>
      </c>
      <c r="O1967" t="s">
        <v>5418</v>
      </c>
      <c r="P1967" t="s">
        <v>4414</v>
      </c>
      <c r="Q1967">
        <v>2</v>
      </c>
      <c r="R1967">
        <v>2</v>
      </c>
    </row>
    <row r="1968" spans="1:18" x14ac:dyDescent="0.3">
      <c r="A1968" t="s">
        <v>4412</v>
      </c>
      <c r="B1968" t="s">
        <v>4413</v>
      </c>
      <c r="C1968" t="s">
        <v>2656</v>
      </c>
      <c r="D1968" t="s">
        <v>222</v>
      </c>
      <c r="E1968" t="s">
        <v>30</v>
      </c>
      <c r="F1968" s="6">
        <v>45838</v>
      </c>
      <c r="G1968">
        <v>2025</v>
      </c>
      <c r="H1968" t="s">
        <v>44</v>
      </c>
      <c r="I1968" t="s">
        <v>244</v>
      </c>
      <c r="J1968">
        <v>80</v>
      </c>
      <c r="K1968">
        <v>95</v>
      </c>
      <c r="L1968">
        <v>1.1875</v>
      </c>
      <c r="M1968">
        <v>1.1875</v>
      </c>
      <c r="N1968" t="s">
        <v>193</v>
      </c>
      <c r="O1968" t="s">
        <v>838</v>
      </c>
      <c r="P1968" t="s">
        <v>4415</v>
      </c>
      <c r="Q1968">
        <v>2</v>
      </c>
      <c r="R1968">
        <v>2</v>
      </c>
    </row>
    <row r="1969" spans="1:18" x14ac:dyDescent="0.3">
      <c r="A1969" t="s">
        <v>4412</v>
      </c>
      <c r="B1969" t="s">
        <v>4413</v>
      </c>
      <c r="C1969" t="s">
        <v>2656</v>
      </c>
      <c r="D1969" t="s">
        <v>222</v>
      </c>
      <c r="E1969" t="s">
        <v>30</v>
      </c>
      <c r="F1969" s="6">
        <v>46022</v>
      </c>
      <c r="G1969">
        <v>2025</v>
      </c>
      <c r="H1969" t="s">
        <v>57</v>
      </c>
      <c r="I1969" t="s">
        <v>103</v>
      </c>
      <c r="J1969">
        <v>80</v>
      </c>
      <c r="K1969">
        <v>92.5</v>
      </c>
      <c r="L1969">
        <v>1.15625</v>
      </c>
      <c r="M1969">
        <v>1.15625</v>
      </c>
      <c r="N1969" t="s">
        <v>193</v>
      </c>
      <c r="O1969" t="s">
        <v>4417</v>
      </c>
      <c r="P1969" t="s">
        <v>4418</v>
      </c>
      <c r="Q1969">
        <v>2</v>
      </c>
      <c r="R1969">
        <v>2</v>
      </c>
    </row>
    <row r="1970" spans="1:18" x14ac:dyDescent="0.3">
      <c r="A1970" t="s">
        <v>4419</v>
      </c>
      <c r="B1970" t="s">
        <v>4420</v>
      </c>
      <c r="C1970" t="s">
        <v>2133</v>
      </c>
      <c r="D1970" t="s">
        <v>98</v>
      </c>
      <c r="E1970" t="s">
        <v>30</v>
      </c>
      <c r="F1970" s="6">
        <v>45657</v>
      </c>
      <c r="G1970">
        <v>2024</v>
      </c>
      <c r="H1970" t="s">
        <v>57</v>
      </c>
      <c r="I1970" t="s">
        <v>78</v>
      </c>
      <c r="J1970">
        <v>80</v>
      </c>
      <c r="K1970">
        <v>77</v>
      </c>
      <c r="L1970">
        <v>0.96250000000000002</v>
      </c>
      <c r="M1970">
        <v>0.96250000000000002</v>
      </c>
      <c r="N1970" t="s">
        <v>193</v>
      </c>
      <c r="O1970" t="s">
        <v>4331</v>
      </c>
      <c r="P1970" t="s">
        <v>4421</v>
      </c>
      <c r="Q1970">
        <v>2</v>
      </c>
      <c r="R1970">
        <v>2</v>
      </c>
    </row>
    <row r="1971" spans="1:18" x14ac:dyDescent="0.3">
      <c r="A1971" t="s">
        <v>4419</v>
      </c>
      <c r="B1971" t="s">
        <v>4420</v>
      </c>
      <c r="C1971" t="s">
        <v>2133</v>
      </c>
      <c r="D1971" t="s">
        <v>222</v>
      </c>
      <c r="E1971" t="s">
        <v>30</v>
      </c>
      <c r="F1971" s="6">
        <v>45838</v>
      </c>
      <c r="G1971">
        <v>2025</v>
      </c>
      <c r="H1971" t="s">
        <v>44</v>
      </c>
      <c r="I1971" t="s">
        <v>244</v>
      </c>
      <c r="J1971">
        <v>80</v>
      </c>
      <c r="K1971">
        <v>98.75</v>
      </c>
      <c r="L1971">
        <v>1.234375</v>
      </c>
      <c r="M1971">
        <v>1.234375</v>
      </c>
      <c r="N1971" t="s">
        <v>193</v>
      </c>
      <c r="O1971" t="s">
        <v>4423</v>
      </c>
      <c r="P1971" t="s">
        <v>4424</v>
      </c>
      <c r="Q1971">
        <v>2</v>
      </c>
      <c r="R1971">
        <v>2</v>
      </c>
    </row>
    <row r="1972" spans="1:18" x14ac:dyDescent="0.3">
      <c r="A1972" t="s">
        <v>4419</v>
      </c>
      <c r="B1972" t="s">
        <v>4420</v>
      </c>
      <c r="C1972" t="s">
        <v>2133</v>
      </c>
      <c r="D1972" t="s">
        <v>222</v>
      </c>
      <c r="E1972" t="s">
        <v>30</v>
      </c>
      <c r="F1972" s="6">
        <v>46022</v>
      </c>
      <c r="G1972">
        <v>2025</v>
      </c>
      <c r="H1972" t="s">
        <v>57</v>
      </c>
      <c r="I1972" t="s">
        <v>103</v>
      </c>
      <c r="J1972">
        <v>80</v>
      </c>
      <c r="K1972">
        <v>99</v>
      </c>
      <c r="L1972">
        <v>1.2375</v>
      </c>
      <c r="M1972">
        <v>1.2375</v>
      </c>
      <c r="N1972" t="s">
        <v>193</v>
      </c>
      <c r="O1972" t="s">
        <v>2577</v>
      </c>
      <c r="P1972" t="s">
        <v>4425</v>
      </c>
      <c r="Q1972">
        <v>2</v>
      </c>
      <c r="R1972">
        <v>2</v>
      </c>
    </row>
    <row r="1973" spans="1:18" x14ac:dyDescent="0.3">
      <c r="A1973" t="s">
        <v>4426</v>
      </c>
      <c r="B1973" t="s">
        <v>4427</v>
      </c>
      <c r="C1973" t="s">
        <v>3126</v>
      </c>
      <c r="D1973" t="s">
        <v>98</v>
      </c>
      <c r="E1973" t="s">
        <v>30</v>
      </c>
      <c r="F1973" s="6">
        <v>45657</v>
      </c>
      <c r="G1973">
        <v>2024</v>
      </c>
      <c r="H1973" t="s">
        <v>57</v>
      </c>
      <c r="I1973" t="s">
        <v>78</v>
      </c>
      <c r="J1973">
        <v>80</v>
      </c>
      <c r="K1973">
        <v>88</v>
      </c>
      <c r="L1973">
        <v>1.1000000000000001</v>
      </c>
      <c r="M1973">
        <v>1.1000000000000001</v>
      </c>
      <c r="N1973" t="s">
        <v>193</v>
      </c>
      <c r="O1973" t="s">
        <v>4404</v>
      </c>
      <c r="P1973" t="s">
        <v>4428</v>
      </c>
      <c r="Q1973">
        <v>2</v>
      </c>
      <c r="R1973">
        <v>2</v>
      </c>
    </row>
    <row r="1974" spans="1:18" x14ac:dyDescent="0.3">
      <c r="A1974" t="s">
        <v>4426</v>
      </c>
      <c r="B1974" t="s">
        <v>4427</v>
      </c>
      <c r="C1974" t="s">
        <v>3126</v>
      </c>
      <c r="D1974" t="s">
        <v>98</v>
      </c>
      <c r="E1974" t="s">
        <v>30</v>
      </c>
      <c r="F1974" s="6">
        <v>46022</v>
      </c>
      <c r="G1974">
        <v>2025</v>
      </c>
      <c r="H1974" t="s">
        <v>57</v>
      </c>
      <c r="I1974" t="s">
        <v>103</v>
      </c>
      <c r="J1974">
        <v>80</v>
      </c>
      <c r="K1974">
        <v>89</v>
      </c>
      <c r="L1974">
        <v>1.1125</v>
      </c>
      <c r="M1974">
        <v>1.1125</v>
      </c>
      <c r="N1974" t="s">
        <v>193</v>
      </c>
      <c r="O1974" t="s">
        <v>280</v>
      </c>
      <c r="P1974" t="s">
        <v>4429</v>
      </c>
      <c r="Q1974">
        <v>2</v>
      </c>
      <c r="R1974">
        <v>2</v>
      </c>
    </row>
    <row r="1975" spans="1:18" x14ac:dyDescent="0.3">
      <c r="A1975" t="s">
        <v>4430</v>
      </c>
      <c r="B1975" t="s">
        <v>4431</v>
      </c>
      <c r="C1975" t="s">
        <v>187</v>
      </c>
      <c r="D1975" t="s">
        <v>29</v>
      </c>
      <c r="E1975" t="s">
        <v>30</v>
      </c>
      <c r="F1975" s="6">
        <v>45838</v>
      </c>
      <c r="G1975">
        <v>2025</v>
      </c>
      <c r="H1975" t="s">
        <v>44</v>
      </c>
      <c r="I1975" t="s">
        <v>244</v>
      </c>
      <c r="J1975">
        <v>90</v>
      </c>
      <c r="K1975">
        <v>100.02</v>
      </c>
      <c r="L1975">
        <v>1.111333333333334</v>
      </c>
      <c r="M1975">
        <v>1.111333333333334</v>
      </c>
      <c r="N1975" t="s">
        <v>256</v>
      </c>
      <c r="O1975" t="s">
        <v>6482</v>
      </c>
      <c r="P1975" t="s">
        <v>4441</v>
      </c>
      <c r="Q1975">
        <v>2</v>
      </c>
      <c r="R1975">
        <v>2</v>
      </c>
    </row>
    <row r="1976" spans="1:18" x14ac:dyDescent="0.3">
      <c r="A1976" t="s">
        <v>4430</v>
      </c>
      <c r="B1976" t="s">
        <v>4431</v>
      </c>
      <c r="C1976" t="s">
        <v>187</v>
      </c>
      <c r="D1976" t="s">
        <v>29</v>
      </c>
      <c r="E1976" t="s">
        <v>30</v>
      </c>
      <c r="F1976" s="6">
        <v>46022</v>
      </c>
      <c r="G1976">
        <v>2025</v>
      </c>
      <c r="H1976" t="s">
        <v>57</v>
      </c>
      <c r="I1976" t="s">
        <v>103</v>
      </c>
      <c r="J1976">
        <v>90</v>
      </c>
      <c r="K1976">
        <v>93.78</v>
      </c>
      <c r="L1976">
        <v>1.042</v>
      </c>
      <c r="M1976">
        <v>1.042</v>
      </c>
      <c r="N1976" t="s">
        <v>256</v>
      </c>
      <c r="O1976" t="s">
        <v>6483</v>
      </c>
      <c r="P1976" t="s">
        <v>6484</v>
      </c>
      <c r="Q1976">
        <v>2</v>
      </c>
      <c r="R1976">
        <v>2</v>
      </c>
    </row>
    <row r="1977" spans="1:18" x14ac:dyDescent="0.3">
      <c r="A1977" t="s">
        <v>4448</v>
      </c>
      <c r="B1977" t="s">
        <v>4449</v>
      </c>
      <c r="C1977" t="s">
        <v>2177</v>
      </c>
      <c r="D1977" t="s">
        <v>233</v>
      </c>
      <c r="E1977" t="s">
        <v>30</v>
      </c>
      <c r="F1977" s="6">
        <v>45838</v>
      </c>
      <c r="G1977">
        <v>2025</v>
      </c>
      <c r="H1977" t="s">
        <v>44</v>
      </c>
      <c r="I1977" t="s">
        <v>244</v>
      </c>
      <c r="K1977">
        <v>0</v>
      </c>
      <c r="L1977">
        <v>0</v>
      </c>
      <c r="M1977">
        <v>0</v>
      </c>
      <c r="O1977" t="s">
        <v>122</v>
      </c>
      <c r="P1977" t="s">
        <v>4451</v>
      </c>
      <c r="Q1977">
        <v>2</v>
      </c>
      <c r="R1977">
        <v>2</v>
      </c>
    </row>
    <row r="1978" spans="1:18" x14ac:dyDescent="0.3">
      <c r="A1978" t="s">
        <v>4448</v>
      </c>
      <c r="B1978" t="s">
        <v>4449</v>
      </c>
      <c r="C1978" t="s">
        <v>2177</v>
      </c>
      <c r="D1978" t="s">
        <v>233</v>
      </c>
      <c r="E1978" t="s">
        <v>30</v>
      </c>
      <c r="F1978" s="6">
        <v>46022</v>
      </c>
      <c r="G1978">
        <v>2025</v>
      </c>
      <c r="H1978" t="s">
        <v>57</v>
      </c>
      <c r="I1978" t="s">
        <v>103</v>
      </c>
      <c r="K1978">
        <v>0</v>
      </c>
      <c r="L1978">
        <v>0</v>
      </c>
      <c r="M1978">
        <v>0</v>
      </c>
      <c r="O1978" t="s">
        <v>122</v>
      </c>
      <c r="P1978" t="s">
        <v>4452</v>
      </c>
      <c r="Q1978">
        <v>2</v>
      </c>
      <c r="R1978">
        <v>2</v>
      </c>
    </row>
    <row r="1979" spans="1:18" x14ac:dyDescent="0.3">
      <c r="A1979" t="s">
        <v>4453</v>
      </c>
      <c r="B1979" t="s">
        <v>4454</v>
      </c>
      <c r="C1979" t="s">
        <v>2177</v>
      </c>
      <c r="D1979" t="s">
        <v>233</v>
      </c>
      <c r="E1979" t="s">
        <v>30</v>
      </c>
      <c r="F1979" s="6">
        <v>45838</v>
      </c>
      <c r="G1979">
        <v>2025</v>
      </c>
      <c r="H1979" t="s">
        <v>44</v>
      </c>
      <c r="I1979" t="s">
        <v>244</v>
      </c>
      <c r="K1979">
        <v>86.36</v>
      </c>
      <c r="L1979">
        <v>0</v>
      </c>
      <c r="M1979">
        <v>0</v>
      </c>
      <c r="O1979" t="s">
        <v>915</v>
      </c>
      <c r="P1979" t="s">
        <v>4456</v>
      </c>
      <c r="Q1979">
        <v>2</v>
      </c>
      <c r="R1979">
        <v>2</v>
      </c>
    </row>
    <row r="1980" spans="1:18" x14ac:dyDescent="0.3">
      <c r="A1980" t="s">
        <v>4453</v>
      </c>
      <c r="B1980" t="s">
        <v>4454</v>
      </c>
      <c r="C1980" t="s">
        <v>2177</v>
      </c>
      <c r="D1980" t="s">
        <v>233</v>
      </c>
      <c r="E1980" t="s">
        <v>30</v>
      </c>
      <c r="F1980" s="6">
        <v>46022</v>
      </c>
      <c r="G1980">
        <v>2025</v>
      </c>
      <c r="H1980" t="s">
        <v>57</v>
      </c>
      <c r="I1980" t="s">
        <v>103</v>
      </c>
      <c r="K1980">
        <v>84.76</v>
      </c>
      <c r="L1980">
        <v>0</v>
      </c>
      <c r="M1980">
        <v>0</v>
      </c>
      <c r="O1980" t="s">
        <v>4458</v>
      </c>
      <c r="P1980" t="s">
        <v>4459</v>
      </c>
      <c r="Q1980">
        <v>2</v>
      </c>
      <c r="R1980">
        <v>2</v>
      </c>
    </row>
    <row r="1981" spans="1:18" x14ac:dyDescent="0.3">
      <c r="A1981" t="s">
        <v>4460</v>
      </c>
      <c r="B1981" t="s">
        <v>4461</v>
      </c>
      <c r="C1981" t="s">
        <v>2177</v>
      </c>
      <c r="D1981" t="s">
        <v>233</v>
      </c>
      <c r="E1981" t="s">
        <v>30</v>
      </c>
      <c r="F1981" s="6">
        <v>45838</v>
      </c>
      <c r="G1981">
        <v>2025</v>
      </c>
      <c r="H1981" t="s">
        <v>44</v>
      </c>
      <c r="I1981" t="s">
        <v>244</v>
      </c>
      <c r="K1981">
        <v>100</v>
      </c>
      <c r="L1981">
        <v>0</v>
      </c>
      <c r="M1981">
        <v>0</v>
      </c>
      <c r="O1981" t="s">
        <v>102</v>
      </c>
      <c r="P1981" t="s">
        <v>4463</v>
      </c>
      <c r="Q1981">
        <v>2</v>
      </c>
      <c r="R1981">
        <v>2</v>
      </c>
    </row>
    <row r="1982" spans="1:18" x14ac:dyDescent="0.3">
      <c r="A1982" t="s">
        <v>4464</v>
      </c>
      <c r="B1982" t="s">
        <v>4465</v>
      </c>
      <c r="C1982" t="s">
        <v>2177</v>
      </c>
      <c r="D1982" t="s">
        <v>222</v>
      </c>
      <c r="E1982" t="s">
        <v>30</v>
      </c>
      <c r="F1982" s="6">
        <v>45838</v>
      </c>
      <c r="G1982">
        <v>2025</v>
      </c>
      <c r="H1982" t="s">
        <v>44</v>
      </c>
      <c r="I1982" t="s">
        <v>244</v>
      </c>
      <c r="J1982">
        <v>70</v>
      </c>
      <c r="K1982">
        <v>91.82</v>
      </c>
      <c r="L1982">
        <v>1.3</v>
      </c>
      <c r="M1982">
        <v>1.3117142857142861</v>
      </c>
      <c r="N1982" t="s">
        <v>3922</v>
      </c>
      <c r="O1982" t="s">
        <v>4467</v>
      </c>
      <c r="P1982" t="s">
        <v>4468</v>
      </c>
      <c r="Q1982">
        <v>2</v>
      </c>
      <c r="R1982">
        <v>2</v>
      </c>
    </row>
    <row r="1983" spans="1:18" x14ac:dyDescent="0.3">
      <c r="A1983" t="s">
        <v>4464</v>
      </c>
      <c r="B1983" t="s">
        <v>4465</v>
      </c>
      <c r="C1983" t="s">
        <v>2177</v>
      </c>
      <c r="D1983" t="s">
        <v>222</v>
      </c>
      <c r="E1983" t="s">
        <v>30</v>
      </c>
      <c r="F1983" s="6">
        <v>46022</v>
      </c>
      <c r="G1983">
        <v>2025</v>
      </c>
      <c r="H1983" t="s">
        <v>57</v>
      </c>
      <c r="I1983" t="s">
        <v>103</v>
      </c>
      <c r="J1983">
        <v>70</v>
      </c>
      <c r="K1983">
        <v>45.96</v>
      </c>
      <c r="L1983">
        <v>0.65657142857142858</v>
      </c>
      <c r="M1983">
        <v>0.65657142857142858</v>
      </c>
      <c r="N1983" t="s">
        <v>3922</v>
      </c>
      <c r="O1983" t="s">
        <v>4470</v>
      </c>
      <c r="P1983" t="s">
        <v>4471</v>
      </c>
      <c r="Q1983">
        <v>2</v>
      </c>
      <c r="R1983">
        <v>2</v>
      </c>
    </row>
    <row r="1984" spans="1:18" x14ac:dyDescent="0.3">
      <c r="A1984" t="s">
        <v>4472</v>
      </c>
      <c r="B1984" t="s">
        <v>4473</v>
      </c>
      <c r="C1984" t="s">
        <v>270</v>
      </c>
      <c r="D1984" t="s">
        <v>222</v>
      </c>
      <c r="E1984" t="s">
        <v>30</v>
      </c>
      <c r="F1984" s="6">
        <v>46022</v>
      </c>
      <c r="G1984">
        <v>2025</v>
      </c>
      <c r="H1984" t="s">
        <v>57</v>
      </c>
      <c r="I1984" t="s">
        <v>103</v>
      </c>
      <c r="J1984">
        <v>97</v>
      </c>
      <c r="K1984">
        <v>66.67</v>
      </c>
      <c r="L1984">
        <v>0.68731958762886602</v>
      </c>
      <c r="M1984">
        <v>0.68731958762886602</v>
      </c>
      <c r="N1984" t="s">
        <v>1005</v>
      </c>
      <c r="O1984" t="s">
        <v>4248</v>
      </c>
      <c r="P1984" t="s">
        <v>4474</v>
      </c>
      <c r="Q1984">
        <v>2</v>
      </c>
      <c r="R1984">
        <v>2</v>
      </c>
    </row>
    <row r="1985" spans="1:18" x14ac:dyDescent="0.3">
      <c r="A1985" t="s">
        <v>4475</v>
      </c>
      <c r="B1985" t="s">
        <v>4476</v>
      </c>
      <c r="C1985" t="s">
        <v>270</v>
      </c>
      <c r="D1985" t="s">
        <v>222</v>
      </c>
      <c r="E1985" t="s">
        <v>30</v>
      </c>
      <c r="F1985" s="6">
        <v>46022</v>
      </c>
      <c r="G1985">
        <v>2025</v>
      </c>
      <c r="H1985" t="s">
        <v>57</v>
      </c>
      <c r="I1985" t="s">
        <v>103</v>
      </c>
      <c r="J1985">
        <v>97</v>
      </c>
      <c r="K1985">
        <v>315.79000000000002</v>
      </c>
      <c r="L1985">
        <v>1.3</v>
      </c>
      <c r="M1985">
        <v>3.255567010309278</v>
      </c>
      <c r="N1985" t="s">
        <v>1005</v>
      </c>
      <c r="O1985" t="s">
        <v>4478</v>
      </c>
      <c r="P1985" t="s">
        <v>4479</v>
      </c>
      <c r="Q1985">
        <v>2</v>
      </c>
      <c r="R1985">
        <v>2</v>
      </c>
    </row>
    <row r="1986" spans="1:18" x14ac:dyDescent="0.3">
      <c r="A1986" t="s">
        <v>4480</v>
      </c>
      <c r="B1986" t="s">
        <v>4481</v>
      </c>
      <c r="C1986" t="s">
        <v>283</v>
      </c>
      <c r="D1986" t="s">
        <v>284</v>
      </c>
      <c r="E1986" t="s">
        <v>30</v>
      </c>
      <c r="F1986" s="6">
        <v>45107</v>
      </c>
      <c r="G1986">
        <v>2023</v>
      </c>
      <c r="H1986" t="s">
        <v>44</v>
      </c>
      <c r="I1986" t="s">
        <v>33</v>
      </c>
      <c r="J1986">
        <v>100</v>
      </c>
      <c r="K1986">
        <v>100</v>
      </c>
      <c r="L1986">
        <v>1</v>
      </c>
      <c r="M1986">
        <v>1</v>
      </c>
      <c r="N1986" t="s">
        <v>102</v>
      </c>
      <c r="O1986" t="s">
        <v>102</v>
      </c>
      <c r="P1986" t="s">
        <v>4483</v>
      </c>
      <c r="Q1986">
        <v>2</v>
      </c>
      <c r="R1986">
        <v>2</v>
      </c>
    </row>
    <row r="1987" spans="1:18" x14ac:dyDescent="0.3">
      <c r="A1987" t="s">
        <v>4480</v>
      </c>
      <c r="B1987" t="s">
        <v>4481</v>
      </c>
      <c r="C1987" t="s">
        <v>283</v>
      </c>
      <c r="D1987" t="s">
        <v>284</v>
      </c>
      <c r="E1987" t="s">
        <v>30</v>
      </c>
      <c r="F1987" s="6">
        <v>45291</v>
      </c>
      <c r="G1987">
        <v>2023</v>
      </c>
      <c r="H1987" t="s">
        <v>57</v>
      </c>
      <c r="I1987" t="s">
        <v>47</v>
      </c>
      <c r="J1987">
        <v>100</v>
      </c>
      <c r="K1987">
        <v>107.40666666666669</v>
      </c>
      <c r="L1987">
        <v>1.0740666666666669</v>
      </c>
      <c r="M1987">
        <v>1.0740666666666669</v>
      </c>
      <c r="N1987" t="s">
        <v>102</v>
      </c>
      <c r="O1987" t="s">
        <v>6485</v>
      </c>
      <c r="P1987" t="s">
        <v>4486</v>
      </c>
      <c r="Q1987">
        <v>2</v>
      </c>
      <c r="R1987">
        <v>2</v>
      </c>
    </row>
    <row r="1988" spans="1:18" x14ac:dyDescent="0.3">
      <c r="A1988" t="s">
        <v>4480</v>
      </c>
      <c r="B1988" t="s">
        <v>4481</v>
      </c>
      <c r="C1988" t="s">
        <v>283</v>
      </c>
      <c r="D1988" t="s">
        <v>284</v>
      </c>
      <c r="E1988" t="s">
        <v>30</v>
      </c>
      <c r="F1988" s="6">
        <v>45473</v>
      </c>
      <c r="G1988">
        <v>2024</v>
      </c>
      <c r="H1988" t="s">
        <v>44</v>
      </c>
      <c r="I1988" t="s">
        <v>71</v>
      </c>
      <c r="J1988">
        <v>100</v>
      </c>
      <c r="K1988">
        <v>90</v>
      </c>
      <c r="L1988">
        <v>0.9</v>
      </c>
      <c r="M1988">
        <v>0.9</v>
      </c>
      <c r="N1988" t="s">
        <v>102</v>
      </c>
      <c r="O1988" t="s">
        <v>256</v>
      </c>
      <c r="P1988" t="s">
        <v>4489</v>
      </c>
      <c r="Q1988">
        <v>2</v>
      </c>
      <c r="R1988">
        <v>2</v>
      </c>
    </row>
    <row r="1989" spans="1:18" x14ac:dyDescent="0.3">
      <c r="A1989" t="s">
        <v>4480</v>
      </c>
      <c r="B1989" t="s">
        <v>4481</v>
      </c>
      <c r="C1989" t="s">
        <v>283</v>
      </c>
      <c r="D1989" t="s">
        <v>284</v>
      </c>
      <c r="E1989" t="s">
        <v>30</v>
      </c>
      <c r="F1989" s="6">
        <v>45657</v>
      </c>
      <c r="G1989">
        <v>2024</v>
      </c>
      <c r="H1989" t="s">
        <v>57</v>
      </c>
      <c r="I1989" t="s">
        <v>78</v>
      </c>
      <c r="J1989">
        <v>100</v>
      </c>
      <c r="K1989">
        <v>104.1666666666667</v>
      </c>
      <c r="L1989">
        <v>1.041666666666667</v>
      </c>
      <c r="M1989">
        <v>1.041666666666667</v>
      </c>
      <c r="N1989" t="s">
        <v>102</v>
      </c>
      <c r="O1989" t="s">
        <v>6486</v>
      </c>
      <c r="P1989" t="s">
        <v>4492</v>
      </c>
      <c r="Q1989">
        <v>2</v>
      </c>
      <c r="R1989">
        <v>2</v>
      </c>
    </row>
    <row r="1990" spans="1:18" x14ac:dyDescent="0.3">
      <c r="A1990" t="s">
        <v>4480</v>
      </c>
      <c r="B1990" t="s">
        <v>4481</v>
      </c>
      <c r="C1990" t="s">
        <v>283</v>
      </c>
      <c r="D1990" t="s">
        <v>233</v>
      </c>
      <c r="E1990" t="s">
        <v>30</v>
      </c>
      <c r="F1990" s="6">
        <v>45838</v>
      </c>
      <c r="G1990">
        <v>2025</v>
      </c>
      <c r="H1990" t="s">
        <v>44</v>
      </c>
      <c r="I1990" t="s">
        <v>244</v>
      </c>
      <c r="J1990">
        <v>100</v>
      </c>
      <c r="K1990">
        <v>85.416666666666501</v>
      </c>
      <c r="L1990">
        <v>0.85416666666666496</v>
      </c>
      <c r="M1990">
        <v>0.85416666666666496</v>
      </c>
      <c r="N1990" t="s">
        <v>102</v>
      </c>
      <c r="O1990" t="s">
        <v>6120</v>
      </c>
      <c r="P1990" t="s">
        <v>4497</v>
      </c>
      <c r="Q1990">
        <v>2</v>
      </c>
      <c r="R1990">
        <v>2</v>
      </c>
    </row>
    <row r="1991" spans="1:18" x14ac:dyDescent="0.3">
      <c r="A1991" t="s">
        <v>4480</v>
      </c>
      <c r="B1991" t="s">
        <v>4481</v>
      </c>
      <c r="C1991" t="s">
        <v>283</v>
      </c>
      <c r="D1991" t="s">
        <v>233</v>
      </c>
      <c r="E1991" t="s">
        <v>30</v>
      </c>
      <c r="F1991" s="6">
        <v>46022</v>
      </c>
      <c r="G1991">
        <v>2025</v>
      </c>
      <c r="H1991" t="s">
        <v>57</v>
      </c>
      <c r="I1991" t="s">
        <v>103</v>
      </c>
      <c r="J1991">
        <v>100</v>
      </c>
      <c r="K1991">
        <v>137.5</v>
      </c>
      <c r="L1991">
        <v>1.3</v>
      </c>
      <c r="M1991">
        <v>1.375</v>
      </c>
      <c r="N1991" t="s">
        <v>102</v>
      </c>
      <c r="O1991" t="s">
        <v>3105</v>
      </c>
      <c r="P1991" t="s">
        <v>4498</v>
      </c>
      <c r="Q1991">
        <v>2</v>
      </c>
      <c r="R1991">
        <v>2</v>
      </c>
    </row>
    <row r="1992" spans="1:18" x14ac:dyDescent="0.3">
      <c r="A1992" t="s">
        <v>4499</v>
      </c>
      <c r="B1992" t="s">
        <v>4500</v>
      </c>
      <c r="C1992" t="s">
        <v>3093</v>
      </c>
      <c r="D1992" t="s">
        <v>222</v>
      </c>
      <c r="E1992" t="s">
        <v>30</v>
      </c>
      <c r="F1992" s="6">
        <v>45838</v>
      </c>
      <c r="G1992">
        <v>2025</v>
      </c>
      <c r="H1992" t="s">
        <v>44</v>
      </c>
      <c r="I1992" t="s">
        <v>244</v>
      </c>
      <c r="J1992">
        <v>100</v>
      </c>
      <c r="K1992">
        <v>431.45</v>
      </c>
      <c r="L1992">
        <v>1.3</v>
      </c>
      <c r="M1992">
        <v>4.3144999999999998</v>
      </c>
      <c r="N1992" t="s">
        <v>102</v>
      </c>
      <c r="O1992" t="s">
        <v>4502</v>
      </c>
      <c r="P1992" t="s">
        <v>4503</v>
      </c>
      <c r="Q1992">
        <v>2</v>
      </c>
      <c r="R1992">
        <v>2</v>
      </c>
    </row>
    <row r="1993" spans="1:18" x14ac:dyDescent="0.3">
      <c r="A1993" t="s">
        <v>4499</v>
      </c>
      <c r="B1993" t="s">
        <v>4500</v>
      </c>
      <c r="C1993" t="s">
        <v>3093</v>
      </c>
      <c r="D1993" t="s">
        <v>222</v>
      </c>
      <c r="E1993" t="s">
        <v>30</v>
      </c>
      <c r="F1993" s="6">
        <v>46022</v>
      </c>
      <c r="G1993">
        <v>2025</v>
      </c>
      <c r="H1993" t="s">
        <v>57</v>
      </c>
      <c r="I1993" t="s">
        <v>103</v>
      </c>
      <c r="J1993">
        <v>100</v>
      </c>
      <c r="K1993">
        <v>131.13</v>
      </c>
      <c r="L1993">
        <v>1.3</v>
      </c>
      <c r="M1993">
        <v>1.3112999999999999</v>
      </c>
      <c r="N1993" t="s">
        <v>102</v>
      </c>
      <c r="O1993" t="s">
        <v>4505</v>
      </c>
      <c r="P1993" t="s">
        <v>4506</v>
      </c>
      <c r="Q1993">
        <v>2</v>
      </c>
      <c r="R1993">
        <v>2</v>
      </c>
    </row>
    <row r="1994" spans="1:18" x14ac:dyDescent="0.3">
      <c r="A1994" t="s">
        <v>4507</v>
      </c>
      <c r="B1994" t="s">
        <v>4508</v>
      </c>
      <c r="C1994" t="s">
        <v>28</v>
      </c>
      <c r="D1994" t="s">
        <v>98</v>
      </c>
      <c r="E1994" t="s">
        <v>30</v>
      </c>
      <c r="F1994" s="6">
        <v>46022</v>
      </c>
      <c r="G1994">
        <v>2025</v>
      </c>
      <c r="H1994" t="s">
        <v>57</v>
      </c>
      <c r="I1994" t="s">
        <v>103</v>
      </c>
      <c r="K1994">
        <v>100</v>
      </c>
      <c r="L1994">
        <v>0</v>
      </c>
      <c r="M1994">
        <v>0</v>
      </c>
      <c r="O1994" t="s">
        <v>102</v>
      </c>
      <c r="P1994" t="s">
        <v>4509</v>
      </c>
      <c r="Q1994">
        <v>2</v>
      </c>
      <c r="R1994">
        <v>2</v>
      </c>
    </row>
    <row r="1995" spans="1:18" x14ac:dyDescent="0.3">
      <c r="A1995" t="s">
        <v>4510</v>
      </c>
      <c r="B1995" t="s">
        <v>2936</v>
      </c>
      <c r="C1995" t="s">
        <v>225</v>
      </c>
      <c r="D1995" t="s">
        <v>222</v>
      </c>
      <c r="E1995" t="s">
        <v>30</v>
      </c>
      <c r="F1995" s="6">
        <v>45838</v>
      </c>
      <c r="G1995">
        <v>2025</v>
      </c>
      <c r="H1995" t="s">
        <v>44</v>
      </c>
      <c r="I1995" t="s">
        <v>244</v>
      </c>
      <c r="J1995">
        <v>95</v>
      </c>
      <c r="K1995">
        <v>125.74</v>
      </c>
      <c r="L1995">
        <v>1.3</v>
      </c>
      <c r="M1995">
        <v>1.323578947368421</v>
      </c>
      <c r="N1995" t="s">
        <v>838</v>
      </c>
      <c r="O1995" t="s">
        <v>4512</v>
      </c>
      <c r="P1995" t="s">
        <v>4513</v>
      </c>
      <c r="Q1995">
        <v>2</v>
      </c>
      <c r="R1995">
        <v>2</v>
      </c>
    </row>
    <row r="1996" spans="1:18" x14ac:dyDescent="0.3">
      <c r="A1996" t="s">
        <v>4510</v>
      </c>
      <c r="B1996" t="s">
        <v>2936</v>
      </c>
      <c r="C1996" t="s">
        <v>225</v>
      </c>
      <c r="D1996" t="s">
        <v>222</v>
      </c>
      <c r="E1996" t="s">
        <v>30</v>
      </c>
      <c r="F1996" s="6">
        <v>46022</v>
      </c>
      <c r="G1996">
        <v>2025</v>
      </c>
      <c r="H1996" t="s">
        <v>57</v>
      </c>
      <c r="I1996" t="s">
        <v>103</v>
      </c>
      <c r="J1996">
        <v>95</v>
      </c>
      <c r="K1996">
        <v>95.82</v>
      </c>
      <c r="L1996">
        <v>1.0086315789473681</v>
      </c>
      <c r="M1996">
        <v>1.0086315789473681</v>
      </c>
      <c r="N1996" t="s">
        <v>838</v>
      </c>
      <c r="O1996" t="s">
        <v>4515</v>
      </c>
      <c r="P1996" t="s">
        <v>4516</v>
      </c>
      <c r="Q1996">
        <v>2</v>
      </c>
      <c r="R1996">
        <v>2</v>
      </c>
    </row>
    <row r="1997" spans="1:18" x14ac:dyDescent="0.3">
      <c r="A1997" t="s">
        <v>4517</v>
      </c>
      <c r="B1997" t="s">
        <v>3619</v>
      </c>
      <c r="C1997" t="s">
        <v>3437</v>
      </c>
      <c r="D1997" t="s">
        <v>222</v>
      </c>
      <c r="E1997" t="s">
        <v>30</v>
      </c>
      <c r="F1997" s="6">
        <v>45838</v>
      </c>
      <c r="G1997">
        <v>2025</v>
      </c>
      <c r="H1997" t="s">
        <v>44</v>
      </c>
      <c r="I1997" t="s">
        <v>244</v>
      </c>
      <c r="J1997">
        <v>100</v>
      </c>
      <c r="K1997">
        <v>99.38</v>
      </c>
      <c r="L1997">
        <v>0.99379999999999991</v>
      </c>
      <c r="M1997">
        <v>0.99379999999999991</v>
      </c>
      <c r="N1997" t="s">
        <v>102</v>
      </c>
      <c r="O1997" t="s">
        <v>4519</v>
      </c>
      <c r="P1997" t="s">
        <v>4520</v>
      </c>
      <c r="Q1997">
        <v>2</v>
      </c>
      <c r="R1997">
        <v>2</v>
      </c>
    </row>
    <row r="1998" spans="1:18" x14ac:dyDescent="0.3">
      <c r="A1998" t="s">
        <v>4517</v>
      </c>
      <c r="B1998" t="s">
        <v>3619</v>
      </c>
      <c r="C1998" t="s">
        <v>3437</v>
      </c>
      <c r="D1998" t="s">
        <v>222</v>
      </c>
      <c r="E1998" t="s">
        <v>30</v>
      </c>
      <c r="F1998" s="6">
        <v>46022</v>
      </c>
      <c r="G1998">
        <v>2025</v>
      </c>
      <c r="H1998" t="s">
        <v>57</v>
      </c>
      <c r="I1998" t="s">
        <v>103</v>
      </c>
      <c r="J1998">
        <v>143.41200000000001</v>
      </c>
      <c r="K1998">
        <v>106.07</v>
      </c>
      <c r="L1998">
        <v>0.73961732630463273</v>
      </c>
      <c r="M1998">
        <v>0.73961732630463273</v>
      </c>
      <c r="N1998" t="s">
        <v>4522</v>
      </c>
      <c r="O1998" t="s">
        <v>4523</v>
      </c>
      <c r="P1998" t="s">
        <v>4524</v>
      </c>
      <c r="Q1998">
        <v>2</v>
      </c>
      <c r="R1998">
        <v>2</v>
      </c>
    </row>
    <row r="1999" spans="1:18" x14ac:dyDescent="0.3">
      <c r="A1999" t="s">
        <v>4525</v>
      </c>
      <c r="B1999" t="s">
        <v>4526</v>
      </c>
      <c r="C1999" t="s">
        <v>2114</v>
      </c>
      <c r="D1999" t="s">
        <v>233</v>
      </c>
      <c r="E1999" t="s">
        <v>30</v>
      </c>
      <c r="F1999" s="6">
        <v>45838</v>
      </c>
      <c r="G1999">
        <v>2025</v>
      </c>
      <c r="H1999" t="s">
        <v>44</v>
      </c>
      <c r="I1999" t="s">
        <v>244</v>
      </c>
      <c r="J1999">
        <v>95</v>
      </c>
      <c r="L1999">
        <v>0</v>
      </c>
      <c r="M1999">
        <v>0</v>
      </c>
      <c r="N1999" t="s">
        <v>838</v>
      </c>
      <c r="P1999" t="s">
        <v>4527</v>
      </c>
      <c r="Q1999">
        <v>2</v>
      </c>
      <c r="R1999">
        <v>2</v>
      </c>
    </row>
    <row r="2000" spans="1:18" x14ac:dyDescent="0.3">
      <c r="A2000" t="s">
        <v>4528</v>
      </c>
      <c r="B2000" t="s">
        <v>4529</v>
      </c>
      <c r="C2000" t="s">
        <v>129</v>
      </c>
      <c r="D2000" t="s">
        <v>98</v>
      </c>
      <c r="E2000" t="s">
        <v>30</v>
      </c>
      <c r="F2000" s="6">
        <v>45838</v>
      </c>
      <c r="G2000">
        <v>2025</v>
      </c>
      <c r="H2000" t="s">
        <v>44</v>
      </c>
      <c r="I2000" t="s">
        <v>244</v>
      </c>
      <c r="J2000">
        <v>100</v>
      </c>
      <c r="K2000">
        <v>173.92055267703</v>
      </c>
      <c r="L2000">
        <v>1.3</v>
      </c>
      <c r="M2000">
        <v>1.7392055267702999</v>
      </c>
      <c r="N2000" t="s">
        <v>102</v>
      </c>
      <c r="O2000" t="s">
        <v>4531</v>
      </c>
      <c r="P2000" t="s">
        <v>4532</v>
      </c>
      <c r="Q2000">
        <v>2</v>
      </c>
      <c r="R2000">
        <v>2</v>
      </c>
    </row>
    <row r="2001" spans="1:18" x14ac:dyDescent="0.3">
      <c r="A2001" t="s">
        <v>4528</v>
      </c>
      <c r="B2001" t="s">
        <v>4529</v>
      </c>
      <c r="C2001" t="s">
        <v>129</v>
      </c>
      <c r="D2001" t="s">
        <v>98</v>
      </c>
      <c r="E2001" t="s">
        <v>30</v>
      </c>
      <c r="F2001" s="6">
        <v>46022</v>
      </c>
      <c r="G2001">
        <v>2025</v>
      </c>
      <c r="H2001" t="s">
        <v>57</v>
      </c>
      <c r="I2001" t="s">
        <v>103</v>
      </c>
      <c r="J2001">
        <v>100</v>
      </c>
      <c r="L2001">
        <v>0</v>
      </c>
      <c r="M2001">
        <v>0</v>
      </c>
      <c r="N2001" t="s">
        <v>102</v>
      </c>
      <c r="P2001" t="s">
        <v>4533</v>
      </c>
      <c r="Q2001">
        <v>2</v>
      </c>
      <c r="R2001">
        <v>2</v>
      </c>
    </row>
    <row r="2002" spans="1:18" x14ac:dyDescent="0.3">
      <c r="A2002" t="s">
        <v>4534</v>
      </c>
      <c r="B2002" t="s">
        <v>4535</v>
      </c>
      <c r="C2002" t="s">
        <v>251</v>
      </c>
      <c r="D2002" t="s">
        <v>233</v>
      </c>
      <c r="E2002" t="s">
        <v>30</v>
      </c>
      <c r="F2002" s="6">
        <v>45838</v>
      </c>
      <c r="G2002">
        <v>2025</v>
      </c>
      <c r="H2002" t="s">
        <v>44</v>
      </c>
      <c r="I2002" t="s">
        <v>244</v>
      </c>
      <c r="L2002">
        <v>0</v>
      </c>
      <c r="M2002">
        <v>0</v>
      </c>
      <c r="P2002" t="s">
        <v>4539</v>
      </c>
      <c r="Q2002">
        <v>2</v>
      </c>
      <c r="R2002">
        <v>2</v>
      </c>
    </row>
    <row r="2003" spans="1:18" x14ac:dyDescent="0.3">
      <c r="A2003" t="s">
        <v>4540</v>
      </c>
      <c r="B2003" t="s">
        <v>4541</v>
      </c>
      <c r="C2003" t="s">
        <v>663</v>
      </c>
      <c r="D2003" t="s">
        <v>222</v>
      </c>
      <c r="E2003" t="s">
        <v>30</v>
      </c>
      <c r="F2003" s="6">
        <v>45838</v>
      </c>
      <c r="G2003">
        <v>2025</v>
      </c>
      <c r="H2003" t="s">
        <v>44</v>
      </c>
      <c r="I2003" t="s">
        <v>244</v>
      </c>
      <c r="J2003">
        <v>100</v>
      </c>
      <c r="K2003">
        <v>133.15</v>
      </c>
      <c r="L2003">
        <v>1.3</v>
      </c>
      <c r="M2003">
        <v>1.3314999999999999</v>
      </c>
      <c r="N2003" t="s">
        <v>102</v>
      </c>
      <c r="O2003" t="s">
        <v>4543</v>
      </c>
      <c r="P2003" t="s">
        <v>4544</v>
      </c>
      <c r="Q2003">
        <v>2</v>
      </c>
      <c r="R2003">
        <v>2</v>
      </c>
    </row>
    <row r="2004" spans="1:18" x14ac:dyDescent="0.3">
      <c r="A2004" t="s">
        <v>4540</v>
      </c>
      <c r="B2004" t="s">
        <v>4541</v>
      </c>
      <c r="C2004" t="s">
        <v>663</v>
      </c>
      <c r="D2004" t="s">
        <v>222</v>
      </c>
      <c r="E2004" t="s">
        <v>30</v>
      </c>
      <c r="F2004" s="6">
        <v>46022</v>
      </c>
      <c r="G2004">
        <v>2025</v>
      </c>
      <c r="H2004" t="s">
        <v>57</v>
      </c>
      <c r="I2004" t="s">
        <v>103</v>
      </c>
      <c r="J2004">
        <v>100</v>
      </c>
      <c r="K2004">
        <v>134.78</v>
      </c>
      <c r="L2004">
        <v>1.3</v>
      </c>
      <c r="M2004">
        <v>1.3478000000000001</v>
      </c>
      <c r="N2004" t="s">
        <v>102</v>
      </c>
      <c r="O2004" t="s">
        <v>4546</v>
      </c>
      <c r="P2004" t="s">
        <v>4547</v>
      </c>
      <c r="Q2004">
        <v>2</v>
      </c>
      <c r="R2004">
        <v>2</v>
      </c>
    </row>
    <row r="2005" spans="1:18" x14ac:dyDescent="0.3">
      <c r="A2005" t="s">
        <v>4548</v>
      </c>
      <c r="B2005" t="s">
        <v>4549</v>
      </c>
      <c r="C2005" t="s">
        <v>663</v>
      </c>
      <c r="D2005" t="s">
        <v>222</v>
      </c>
      <c r="E2005" t="s">
        <v>30</v>
      </c>
      <c r="F2005" s="6">
        <v>45838</v>
      </c>
      <c r="G2005">
        <v>2025</v>
      </c>
      <c r="H2005" t="s">
        <v>44</v>
      </c>
      <c r="I2005" t="s">
        <v>244</v>
      </c>
      <c r="J2005">
        <v>100</v>
      </c>
      <c r="K2005">
        <v>124.89</v>
      </c>
      <c r="L2005">
        <v>1.2488999999999999</v>
      </c>
      <c r="M2005">
        <v>1.2488999999999999</v>
      </c>
      <c r="N2005" t="s">
        <v>102</v>
      </c>
      <c r="O2005" t="s">
        <v>4551</v>
      </c>
      <c r="P2005" t="s">
        <v>4552</v>
      </c>
      <c r="Q2005">
        <v>2</v>
      </c>
      <c r="R2005">
        <v>2</v>
      </c>
    </row>
    <row r="2006" spans="1:18" x14ac:dyDescent="0.3">
      <c r="A2006" t="s">
        <v>4548</v>
      </c>
      <c r="B2006" t="s">
        <v>4549</v>
      </c>
      <c r="C2006" t="s">
        <v>663</v>
      </c>
      <c r="D2006" t="s">
        <v>222</v>
      </c>
      <c r="E2006" t="s">
        <v>30</v>
      </c>
      <c r="F2006" s="6">
        <v>46022</v>
      </c>
      <c r="G2006">
        <v>2025</v>
      </c>
      <c r="H2006" t="s">
        <v>57</v>
      </c>
      <c r="I2006" t="s">
        <v>103</v>
      </c>
      <c r="J2006">
        <v>100</v>
      </c>
      <c r="K2006">
        <v>177.95</v>
      </c>
      <c r="L2006">
        <v>1.3</v>
      </c>
      <c r="M2006">
        <v>1.7795000000000001</v>
      </c>
      <c r="N2006" t="s">
        <v>102</v>
      </c>
      <c r="O2006" t="s">
        <v>4554</v>
      </c>
      <c r="P2006" t="s">
        <v>4555</v>
      </c>
      <c r="Q2006">
        <v>2</v>
      </c>
      <c r="R2006">
        <v>2</v>
      </c>
    </row>
    <row r="2007" spans="1:18" x14ac:dyDescent="0.3">
      <c r="A2007" t="s">
        <v>4556</v>
      </c>
      <c r="B2007" t="s">
        <v>4557</v>
      </c>
      <c r="C2007" t="s">
        <v>663</v>
      </c>
      <c r="D2007" t="s">
        <v>222</v>
      </c>
      <c r="E2007" t="s">
        <v>30</v>
      </c>
      <c r="F2007" s="6">
        <v>45838</v>
      </c>
      <c r="G2007">
        <v>2025</v>
      </c>
      <c r="H2007" t="s">
        <v>44</v>
      </c>
      <c r="I2007" t="s">
        <v>244</v>
      </c>
      <c r="J2007">
        <v>100</v>
      </c>
      <c r="K2007">
        <v>134.09</v>
      </c>
      <c r="L2007">
        <v>1.3</v>
      </c>
      <c r="M2007">
        <v>1.3409</v>
      </c>
      <c r="N2007" t="s">
        <v>102</v>
      </c>
      <c r="O2007" t="s">
        <v>4559</v>
      </c>
      <c r="P2007" t="s">
        <v>4560</v>
      </c>
      <c r="Q2007">
        <v>2</v>
      </c>
      <c r="R2007">
        <v>2</v>
      </c>
    </row>
    <row r="2008" spans="1:18" x14ac:dyDescent="0.3">
      <c r="A2008" t="s">
        <v>4556</v>
      </c>
      <c r="B2008" t="s">
        <v>4557</v>
      </c>
      <c r="C2008" t="s">
        <v>663</v>
      </c>
      <c r="D2008" t="s">
        <v>222</v>
      </c>
      <c r="E2008" t="s">
        <v>30</v>
      </c>
      <c r="F2008" s="6">
        <v>46022</v>
      </c>
      <c r="G2008">
        <v>2025</v>
      </c>
      <c r="H2008" t="s">
        <v>57</v>
      </c>
      <c r="I2008" t="s">
        <v>103</v>
      </c>
      <c r="J2008">
        <v>100</v>
      </c>
      <c r="K2008">
        <v>134.53</v>
      </c>
      <c r="L2008">
        <v>1.3</v>
      </c>
      <c r="M2008">
        <v>1.3452999999999999</v>
      </c>
      <c r="N2008" t="s">
        <v>102</v>
      </c>
      <c r="O2008" t="s">
        <v>4562</v>
      </c>
      <c r="P2008" t="s">
        <v>4563</v>
      </c>
      <c r="Q2008">
        <v>2</v>
      </c>
      <c r="R2008">
        <v>2</v>
      </c>
    </row>
    <row r="2009" spans="1:18" x14ac:dyDescent="0.3">
      <c r="A2009" t="s">
        <v>4564</v>
      </c>
      <c r="B2009" t="s">
        <v>4565</v>
      </c>
      <c r="C2009" t="s">
        <v>663</v>
      </c>
      <c r="D2009" t="s">
        <v>222</v>
      </c>
      <c r="E2009" t="s">
        <v>30</v>
      </c>
      <c r="F2009" s="6">
        <v>45838</v>
      </c>
      <c r="G2009">
        <v>2025</v>
      </c>
      <c r="H2009" t="s">
        <v>44</v>
      </c>
      <c r="I2009" t="s">
        <v>244</v>
      </c>
      <c r="J2009">
        <v>100</v>
      </c>
      <c r="K2009">
        <v>132.66999999999999</v>
      </c>
      <c r="L2009">
        <v>1.3</v>
      </c>
      <c r="M2009">
        <v>1.3267</v>
      </c>
      <c r="N2009" t="s">
        <v>102</v>
      </c>
      <c r="O2009" t="s">
        <v>4567</v>
      </c>
      <c r="P2009" t="s">
        <v>4568</v>
      </c>
      <c r="Q2009">
        <v>2</v>
      </c>
      <c r="R2009">
        <v>2</v>
      </c>
    </row>
    <row r="2010" spans="1:18" x14ac:dyDescent="0.3">
      <c r="A2010" t="s">
        <v>4564</v>
      </c>
      <c r="B2010" t="s">
        <v>4565</v>
      </c>
      <c r="C2010" t="s">
        <v>663</v>
      </c>
      <c r="D2010" t="s">
        <v>222</v>
      </c>
      <c r="E2010" t="s">
        <v>30</v>
      </c>
      <c r="F2010" s="6">
        <v>46022</v>
      </c>
      <c r="G2010">
        <v>2025</v>
      </c>
      <c r="H2010" t="s">
        <v>57</v>
      </c>
      <c r="I2010" t="s">
        <v>103</v>
      </c>
      <c r="J2010">
        <v>100</v>
      </c>
      <c r="K2010">
        <v>209.63</v>
      </c>
      <c r="L2010">
        <v>1.3</v>
      </c>
      <c r="M2010">
        <v>2.0962999999999998</v>
      </c>
      <c r="N2010" t="s">
        <v>102</v>
      </c>
      <c r="O2010" t="s">
        <v>4570</v>
      </c>
      <c r="P2010" t="s">
        <v>4571</v>
      </c>
      <c r="Q2010">
        <v>2</v>
      </c>
      <c r="R2010">
        <v>2</v>
      </c>
    </row>
    <row r="2011" spans="1:18" x14ac:dyDescent="0.3">
      <c r="A2011" t="s">
        <v>4572</v>
      </c>
      <c r="B2011" t="s">
        <v>4573</v>
      </c>
      <c r="C2011" t="s">
        <v>663</v>
      </c>
      <c r="D2011" t="s">
        <v>222</v>
      </c>
      <c r="E2011" t="s">
        <v>30</v>
      </c>
      <c r="F2011" s="6">
        <v>45838</v>
      </c>
      <c r="G2011">
        <v>2025</v>
      </c>
      <c r="H2011" t="s">
        <v>44</v>
      </c>
      <c r="I2011" t="s">
        <v>244</v>
      </c>
      <c r="J2011">
        <v>100</v>
      </c>
      <c r="K2011">
        <v>109.33</v>
      </c>
      <c r="L2011">
        <v>1.0932999999999999</v>
      </c>
      <c r="M2011">
        <v>1.0932999999999999</v>
      </c>
      <c r="N2011" t="s">
        <v>102</v>
      </c>
      <c r="O2011" t="s">
        <v>4575</v>
      </c>
      <c r="P2011" t="s">
        <v>4576</v>
      </c>
      <c r="Q2011">
        <v>2</v>
      </c>
      <c r="R2011">
        <v>2</v>
      </c>
    </row>
    <row r="2012" spans="1:18" x14ac:dyDescent="0.3">
      <c r="A2012" t="s">
        <v>4572</v>
      </c>
      <c r="B2012" t="s">
        <v>4573</v>
      </c>
      <c r="C2012" t="s">
        <v>663</v>
      </c>
      <c r="D2012" t="s">
        <v>222</v>
      </c>
      <c r="E2012" t="s">
        <v>30</v>
      </c>
      <c r="F2012" s="6">
        <v>46022</v>
      </c>
      <c r="G2012">
        <v>2025</v>
      </c>
      <c r="H2012" t="s">
        <v>57</v>
      </c>
      <c r="I2012" t="s">
        <v>103</v>
      </c>
      <c r="J2012">
        <v>100</v>
      </c>
      <c r="K2012">
        <v>260.75</v>
      </c>
      <c r="L2012">
        <v>1.3</v>
      </c>
      <c r="M2012">
        <v>2.6074999999999999</v>
      </c>
      <c r="N2012" t="s">
        <v>102</v>
      </c>
      <c r="O2012" t="s">
        <v>4578</v>
      </c>
      <c r="P2012" t="s">
        <v>4579</v>
      </c>
      <c r="Q2012">
        <v>2</v>
      </c>
      <c r="R2012">
        <v>2</v>
      </c>
    </row>
    <row r="2013" spans="1:18" x14ac:dyDescent="0.3">
      <c r="A2013" t="s">
        <v>4580</v>
      </c>
      <c r="B2013" t="s">
        <v>4581</v>
      </c>
      <c r="C2013" t="s">
        <v>717</v>
      </c>
      <c r="D2013" t="s">
        <v>222</v>
      </c>
      <c r="E2013" t="s">
        <v>30</v>
      </c>
      <c r="F2013" s="6">
        <v>45838</v>
      </c>
      <c r="G2013">
        <v>2025</v>
      </c>
      <c r="H2013" t="s">
        <v>44</v>
      </c>
      <c r="I2013" t="s">
        <v>244</v>
      </c>
      <c r="J2013">
        <v>93</v>
      </c>
      <c r="K2013">
        <v>58.9</v>
      </c>
      <c r="L2013">
        <v>0.6333333333333333</v>
      </c>
      <c r="M2013">
        <v>0.6333333333333333</v>
      </c>
      <c r="N2013" t="s">
        <v>971</v>
      </c>
      <c r="O2013" t="s">
        <v>4583</v>
      </c>
      <c r="P2013" t="s">
        <v>4584</v>
      </c>
      <c r="Q2013">
        <v>2</v>
      </c>
      <c r="R2013">
        <v>2</v>
      </c>
    </row>
    <row r="2014" spans="1:18" x14ac:dyDescent="0.3">
      <c r="A2014" t="s">
        <v>4580</v>
      </c>
      <c r="B2014" t="s">
        <v>4581</v>
      </c>
      <c r="C2014" t="s">
        <v>717</v>
      </c>
      <c r="D2014" t="s">
        <v>222</v>
      </c>
      <c r="E2014" t="s">
        <v>30</v>
      </c>
      <c r="F2014" s="6">
        <v>46022</v>
      </c>
      <c r="G2014">
        <v>2025</v>
      </c>
      <c r="H2014" t="s">
        <v>57</v>
      </c>
      <c r="I2014" t="s">
        <v>103</v>
      </c>
      <c r="J2014">
        <v>94</v>
      </c>
      <c r="K2014">
        <v>64.3</v>
      </c>
      <c r="L2014">
        <v>0.68404255319148932</v>
      </c>
      <c r="M2014">
        <v>0.68404255319148932</v>
      </c>
      <c r="N2014" t="s">
        <v>194</v>
      </c>
      <c r="O2014" t="s">
        <v>4586</v>
      </c>
      <c r="P2014" t="s">
        <v>4587</v>
      </c>
      <c r="Q2014">
        <v>2</v>
      </c>
      <c r="R2014">
        <v>2</v>
      </c>
    </row>
    <row r="2015" spans="1:18" x14ac:dyDescent="0.3">
      <c r="A2015" t="s">
        <v>4588</v>
      </c>
      <c r="B2015" t="s">
        <v>4589</v>
      </c>
      <c r="C2015" t="s">
        <v>150</v>
      </c>
      <c r="D2015" t="s">
        <v>222</v>
      </c>
      <c r="E2015" t="s">
        <v>30</v>
      </c>
      <c r="F2015" s="6">
        <v>46022</v>
      </c>
      <c r="G2015">
        <v>2025</v>
      </c>
      <c r="H2015" t="s">
        <v>57</v>
      </c>
      <c r="I2015" t="s">
        <v>103</v>
      </c>
      <c r="J2015">
        <v>90</v>
      </c>
      <c r="K2015">
        <v>100</v>
      </c>
      <c r="L2015">
        <v>1.1111111111111109</v>
      </c>
      <c r="M2015">
        <v>1.1111111111111109</v>
      </c>
      <c r="N2015" t="s">
        <v>256</v>
      </c>
      <c r="O2015" t="s">
        <v>102</v>
      </c>
      <c r="P2015" t="s">
        <v>4590</v>
      </c>
      <c r="Q2015">
        <v>2</v>
      </c>
      <c r="R2015">
        <v>2</v>
      </c>
    </row>
    <row r="2016" spans="1:18" x14ac:dyDescent="0.3">
      <c r="A2016" t="s">
        <v>4591</v>
      </c>
      <c r="B2016" t="s">
        <v>4592</v>
      </c>
      <c r="C2016" t="s">
        <v>150</v>
      </c>
      <c r="D2016" t="s">
        <v>222</v>
      </c>
      <c r="E2016" t="s">
        <v>108</v>
      </c>
      <c r="F2016" s="6">
        <v>46022</v>
      </c>
      <c r="G2016">
        <v>2025</v>
      </c>
      <c r="H2016" t="s">
        <v>57</v>
      </c>
      <c r="I2016" t="s">
        <v>103</v>
      </c>
      <c r="J2016">
        <v>2.5</v>
      </c>
      <c r="K2016">
        <v>2.5</v>
      </c>
      <c r="L2016">
        <v>1</v>
      </c>
      <c r="M2016">
        <v>1</v>
      </c>
      <c r="N2016" t="s">
        <v>4064</v>
      </c>
      <c r="O2016" t="s">
        <v>4064</v>
      </c>
      <c r="P2016" t="s">
        <v>4594</v>
      </c>
      <c r="Q2016">
        <v>2</v>
      </c>
      <c r="R2016">
        <v>2</v>
      </c>
    </row>
    <row r="2017" spans="1:18" x14ac:dyDescent="0.3">
      <c r="A2017" t="s">
        <v>4595</v>
      </c>
      <c r="B2017" t="s">
        <v>4596</v>
      </c>
      <c r="C2017" t="s">
        <v>2619</v>
      </c>
      <c r="D2017" t="s">
        <v>222</v>
      </c>
      <c r="E2017" t="s">
        <v>30</v>
      </c>
      <c r="F2017" s="6">
        <v>45838</v>
      </c>
      <c r="G2017">
        <v>2025</v>
      </c>
      <c r="H2017" t="s">
        <v>44</v>
      </c>
      <c r="I2017" t="s">
        <v>244</v>
      </c>
      <c r="J2017">
        <v>97</v>
      </c>
      <c r="K2017">
        <v>97.33</v>
      </c>
      <c r="L2017">
        <v>1.00340206185567</v>
      </c>
      <c r="M2017">
        <v>1.00340206185567</v>
      </c>
      <c r="N2017" t="s">
        <v>1005</v>
      </c>
      <c r="O2017" t="s">
        <v>4598</v>
      </c>
      <c r="P2017" t="s">
        <v>4599</v>
      </c>
      <c r="Q2017">
        <v>2</v>
      </c>
      <c r="R2017">
        <v>2</v>
      </c>
    </row>
    <row r="2018" spans="1:18" x14ac:dyDescent="0.3">
      <c r="A2018" t="s">
        <v>4595</v>
      </c>
      <c r="B2018" t="s">
        <v>4596</v>
      </c>
      <c r="C2018" t="s">
        <v>2619</v>
      </c>
      <c r="D2018" t="s">
        <v>222</v>
      </c>
      <c r="E2018" t="s">
        <v>30</v>
      </c>
      <c r="F2018" s="6">
        <v>46022</v>
      </c>
      <c r="G2018">
        <v>2025</v>
      </c>
      <c r="H2018" t="s">
        <v>57</v>
      </c>
      <c r="I2018" t="s">
        <v>103</v>
      </c>
      <c r="J2018">
        <v>97</v>
      </c>
      <c r="K2018">
        <v>97.9</v>
      </c>
      <c r="L2018">
        <v>1.0092783505154641</v>
      </c>
      <c r="M2018">
        <v>1.0092783505154641</v>
      </c>
      <c r="N2018" t="s">
        <v>1005</v>
      </c>
      <c r="O2018" t="s">
        <v>4601</v>
      </c>
      <c r="P2018" t="s">
        <v>4602</v>
      </c>
      <c r="Q2018">
        <v>2</v>
      </c>
      <c r="R2018">
        <v>2</v>
      </c>
    </row>
    <row r="2019" spans="1:18" x14ac:dyDescent="0.3">
      <c r="A2019" t="s">
        <v>4603</v>
      </c>
      <c r="B2019" t="s">
        <v>4604</v>
      </c>
      <c r="C2019" t="s">
        <v>2437</v>
      </c>
      <c r="D2019" t="s">
        <v>98</v>
      </c>
      <c r="E2019" t="s">
        <v>30</v>
      </c>
      <c r="F2019" s="6">
        <v>46022</v>
      </c>
      <c r="G2019">
        <v>2025</v>
      </c>
      <c r="H2019" t="s">
        <v>57</v>
      </c>
      <c r="I2019" t="s">
        <v>103</v>
      </c>
      <c r="J2019">
        <v>4</v>
      </c>
      <c r="K2019">
        <v>6.99</v>
      </c>
      <c r="L2019">
        <v>1.3</v>
      </c>
      <c r="M2019">
        <v>1.7475000000000001</v>
      </c>
      <c r="N2019" t="s">
        <v>778</v>
      </c>
      <c r="O2019" t="s">
        <v>4606</v>
      </c>
      <c r="P2019" t="s">
        <v>4607</v>
      </c>
      <c r="Q2019">
        <v>2</v>
      </c>
      <c r="R2019">
        <v>2</v>
      </c>
    </row>
    <row r="2020" spans="1:18" x14ac:dyDescent="0.3">
      <c r="A2020" t="s">
        <v>4608</v>
      </c>
      <c r="B2020" t="s">
        <v>4609</v>
      </c>
      <c r="C2020" t="s">
        <v>2437</v>
      </c>
      <c r="D2020" t="s">
        <v>98</v>
      </c>
      <c r="E2020" t="s">
        <v>30</v>
      </c>
      <c r="F2020" s="6">
        <v>46022</v>
      </c>
      <c r="G2020">
        <v>2025</v>
      </c>
      <c r="H2020" t="s">
        <v>57</v>
      </c>
      <c r="I2020" t="s">
        <v>103</v>
      </c>
      <c r="K2020">
        <v>81.239999999999995</v>
      </c>
      <c r="L2020">
        <v>0</v>
      </c>
      <c r="M2020">
        <v>0</v>
      </c>
      <c r="O2020" t="s">
        <v>4611</v>
      </c>
      <c r="P2020" t="s">
        <v>4612</v>
      </c>
      <c r="Q2020">
        <v>2</v>
      </c>
      <c r="R2020">
        <v>2</v>
      </c>
    </row>
    <row r="2021" spans="1:18" x14ac:dyDescent="0.3">
      <c r="A2021" t="s">
        <v>4613</v>
      </c>
      <c r="B2021" t="s">
        <v>4614</v>
      </c>
      <c r="C2021" t="s">
        <v>842</v>
      </c>
      <c r="D2021" t="s">
        <v>222</v>
      </c>
      <c r="E2021" t="s">
        <v>30</v>
      </c>
      <c r="F2021" s="6">
        <v>45838</v>
      </c>
      <c r="G2021">
        <v>2025</v>
      </c>
      <c r="H2021" t="s">
        <v>44</v>
      </c>
      <c r="I2021" t="s">
        <v>244</v>
      </c>
      <c r="K2021">
        <v>7.29</v>
      </c>
      <c r="L2021">
        <v>0</v>
      </c>
      <c r="M2021">
        <v>0</v>
      </c>
      <c r="O2021" t="s">
        <v>4616</v>
      </c>
      <c r="P2021" t="s">
        <v>4617</v>
      </c>
      <c r="Q2021">
        <v>2</v>
      </c>
      <c r="R2021">
        <v>2</v>
      </c>
    </row>
    <row r="2022" spans="1:18" x14ac:dyDescent="0.3">
      <c r="A2022" t="s">
        <v>4618</v>
      </c>
      <c r="B2022" t="s">
        <v>4619</v>
      </c>
      <c r="C2022" t="s">
        <v>3197</v>
      </c>
      <c r="D2022" t="s">
        <v>222</v>
      </c>
      <c r="E2022" t="s">
        <v>30</v>
      </c>
      <c r="F2022" s="6">
        <v>45838</v>
      </c>
      <c r="G2022">
        <v>2025</v>
      </c>
      <c r="H2022" t="s">
        <v>44</v>
      </c>
      <c r="I2022" t="s">
        <v>244</v>
      </c>
      <c r="J2022">
        <v>100</v>
      </c>
      <c r="K2022">
        <v>250</v>
      </c>
      <c r="L2022">
        <v>1.3</v>
      </c>
      <c r="M2022">
        <v>2.5</v>
      </c>
      <c r="N2022" t="s">
        <v>102</v>
      </c>
      <c r="O2022" t="s">
        <v>4621</v>
      </c>
      <c r="P2022" t="s">
        <v>4622</v>
      </c>
      <c r="Q2022">
        <v>2</v>
      </c>
      <c r="R2022">
        <v>2</v>
      </c>
    </row>
    <row r="2023" spans="1:18" x14ac:dyDescent="0.3">
      <c r="A2023" t="s">
        <v>4618</v>
      </c>
      <c r="B2023" t="s">
        <v>4619</v>
      </c>
      <c r="C2023" t="s">
        <v>3197</v>
      </c>
      <c r="D2023" t="s">
        <v>222</v>
      </c>
      <c r="E2023" t="s">
        <v>30</v>
      </c>
      <c r="F2023" s="6">
        <v>46022</v>
      </c>
      <c r="G2023">
        <v>2025</v>
      </c>
      <c r="H2023" t="s">
        <v>57</v>
      </c>
      <c r="I2023" t="s">
        <v>103</v>
      </c>
      <c r="J2023">
        <v>100</v>
      </c>
      <c r="K2023">
        <v>162.5</v>
      </c>
      <c r="L2023">
        <v>1.3</v>
      </c>
      <c r="M2023">
        <v>1.625</v>
      </c>
      <c r="N2023" t="s">
        <v>102</v>
      </c>
      <c r="O2023" t="s">
        <v>4624</v>
      </c>
      <c r="P2023" t="s">
        <v>4625</v>
      </c>
      <c r="Q2023">
        <v>2</v>
      </c>
      <c r="R2023">
        <v>2</v>
      </c>
    </row>
    <row r="2024" spans="1:18" x14ac:dyDescent="0.3">
      <c r="A2024" t="s">
        <v>4626</v>
      </c>
      <c r="B2024" t="s">
        <v>4627</v>
      </c>
      <c r="C2024" t="s">
        <v>2437</v>
      </c>
      <c r="D2024" t="s">
        <v>98</v>
      </c>
      <c r="E2024" t="s">
        <v>30</v>
      </c>
      <c r="F2024" s="6">
        <v>46022</v>
      </c>
      <c r="G2024">
        <v>2025</v>
      </c>
      <c r="H2024" t="s">
        <v>57</v>
      </c>
      <c r="I2024" t="s">
        <v>103</v>
      </c>
      <c r="J2024">
        <v>100</v>
      </c>
      <c r="K2024">
        <v>37.79</v>
      </c>
      <c r="L2024">
        <v>0.37790000000000001</v>
      </c>
      <c r="M2024">
        <v>0.37790000000000001</v>
      </c>
      <c r="N2024" t="s">
        <v>102</v>
      </c>
      <c r="O2024" t="s">
        <v>4629</v>
      </c>
      <c r="P2024" t="s">
        <v>4630</v>
      </c>
      <c r="Q2024">
        <v>2</v>
      </c>
      <c r="R2024">
        <v>2</v>
      </c>
    </row>
    <row r="2025" spans="1:18" x14ac:dyDescent="0.3">
      <c r="A2025" t="s">
        <v>4631</v>
      </c>
      <c r="B2025" t="s">
        <v>4632</v>
      </c>
      <c r="C2025" t="s">
        <v>2437</v>
      </c>
      <c r="D2025" t="s">
        <v>98</v>
      </c>
      <c r="E2025" t="s">
        <v>30</v>
      </c>
      <c r="F2025" s="6">
        <v>46022</v>
      </c>
      <c r="G2025">
        <v>2025</v>
      </c>
      <c r="H2025" t="s">
        <v>57</v>
      </c>
      <c r="I2025" t="s">
        <v>103</v>
      </c>
      <c r="K2025">
        <v>92</v>
      </c>
      <c r="L2025">
        <v>0</v>
      </c>
      <c r="M2025">
        <v>0</v>
      </c>
      <c r="O2025" t="s">
        <v>4634</v>
      </c>
      <c r="P2025" t="s">
        <v>4635</v>
      </c>
      <c r="Q2025">
        <v>2</v>
      </c>
      <c r="R2025">
        <v>2</v>
      </c>
    </row>
    <row r="2026" spans="1:18" x14ac:dyDescent="0.3">
      <c r="A2026" t="s">
        <v>4636</v>
      </c>
      <c r="B2026" t="s">
        <v>4637</v>
      </c>
      <c r="C2026" t="s">
        <v>3143</v>
      </c>
      <c r="D2026" t="s">
        <v>222</v>
      </c>
      <c r="E2026" t="s">
        <v>30</v>
      </c>
      <c r="F2026" s="6">
        <v>45838</v>
      </c>
      <c r="G2026">
        <v>2025</v>
      </c>
      <c r="H2026" t="s">
        <v>44</v>
      </c>
      <c r="I2026" t="s">
        <v>244</v>
      </c>
      <c r="J2026">
        <v>100</v>
      </c>
      <c r="K2026">
        <v>95</v>
      </c>
      <c r="L2026">
        <v>0.95</v>
      </c>
      <c r="M2026">
        <v>0.95</v>
      </c>
      <c r="N2026" t="s">
        <v>102</v>
      </c>
      <c r="O2026" t="s">
        <v>838</v>
      </c>
      <c r="P2026" t="s">
        <v>4638</v>
      </c>
      <c r="Q2026">
        <v>2</v>
      </c>
      <c r="R2026">
        <v>2</v>
      </c>
    </row>
    <row r="2027" spans="1:18" x14ac:dyDescent="0.3">
      <c r="A2027" t="s">
        <v>4636</v>
      </c>
      <c r="B2027" t="s">
        <v>4637</v>
      </c>
      <c r="C2027" t="s">
        <v>3143</v>
      </c>
      <c r="D2027" t="s">
        <v>222</v>
      </c>
      <c r="E2027" t="s">
        <v>30</v>
      </c>
      <c r="F2027" s="6">
        <v>46022</v>
      </c>
      <c r="G2027">
        <v>2025</v>
      </c>
      <c r="H2027" t="s">
        <v>57</v>
      </c>
      <c r="I2027" t="s">
        <v>103</v>
      </c>
      <c r="J2027">
        <v>100</v>
      </c>
      <c r="K2027">
        <v>95.5</v>
      </c>
      <c r="L2027">
        <v>0.95499999999999996</v>
      </c>
      <c r="M2027">
        <v>0.95499999999999996</v>
      </c>
      <c r="N2027" t="s">
        <v>102</v>
      </c>
      <c r="O2027" t="s">
        <v>4640</v>
      </c>
      <c r="P2027" t="s">
        <v>4641</v>
      </c>
      <c r="Q2027">
        <v>2</v>
      </c>
      <c r="R2027">
        <v>2</v>
      </c>
    </row>
    <row r="2028" spans="1:18" x14ac:dyDescent="0.3">
      <c r="A2028" t="s">
        <v>4642</v>
      </c>
      <c r="B2028" t="s">
        <v>4643</v>
      </c>
      <c r="C2028" t="s">
        <v>3143</v>
      </c>
      <c r="D2028" t="s">
        <v>222</v>
      </c>
      <c r="E2028" t="s">
        <v>30</v>
      </c>
      <c r="F2028" s="6">
        <v>45838</v>
      </c>
      <c r="G2028">
        <v>2025</v>
      </c>
      <c r="H2028" t="s">
        <v>44</v>
      </c>
      <c r="I2028" t="s">
        <v>244</v>
      </c>
      <c r="J2028">
        <v>80</v>
      </c>
      <c r="K2028">
        <v>5</v>
      </c>
      <c r="L2028">
        <v>6.25E-2</v>
      </c>
      <c r="M2028">
        <v>6.25E-2</v>
      </c>
      <c r="N2028" t="s">
        <v>193</v>
      </c>
      <c r="O2028" t="s">
        <v>823</v>
      </c>
      <c r="P2028" t="s">
        <v>4644</v>
      </c>
      <c r="Q2028">
        <v>2</v>
      </c>
      <c r="R2028">
        <v>2</v>
      </c>
    </row>
    <row r="2029" spans="1:18" x14ac:dyDescent="0.3">
      <c r="A2029" t="s">
        <v>4642</v>
      </c>
      <c r="B2029" t="s">
        <v>4643</v>
      </c>
      <c r="C2029" t="s">
        <v>3143</v>
      </c>
      <c r="D2029" t="s">
        <v>222</v>
      </c>
      <c r="E2029" t="s">
        <v>30</v>
      </c>
      <c r="F2029" s="6">
        <v>46022</v>
      </c>
      <c r="G2029">
        <v>2025</v>
      </c>
      <c r="H2029" t="s">
        <v>57</v>
      </c>
      <c r="I2029" t="s">
        <v>103</v>
      </c>
      <c r="J2029">
        <v>80</v>
      </c>
      <c r="K2029">
        <v>5</v>
      </c>
      <c r="L2029">
        <v>6.25E-2</v>
      </c>
      <c r="M2029">
        <v>6.25E-2</v>
      </c>
      <c r="N2029" t="s">
        <v>193</v>
      </c>
      <c r="O2029" t="s">
        <v>823</v>
      </c>
      <c r="P2029" t="s">
        <v>4645</v>
      </c>
      <c r="Q2029">
        <v>2</v>
      </c>
      <c r="R2029">
        <v>2</v>
      </c>
    </row>
    <row r="2030" spans="1:18" x14ac:dyDescent="0.3">
      <c r="A2030" t="s">
        <v>4646</v>
      </c>
      <c r="B2030" t="s">
        <v>4647</v>
      </c>
      <c r="C2030" t="s">
        <v>2678</v>
      </c>
      <c r="D2030" t="s">
        <v>222</v>
      </c>
      <c r="E2030" t="s">
        <v>30</v>
      </c>
      <c r="F2030" s="6">
        <v>45838</v>
      </c>
      <c r="G2030">
        <v>2025</v>
      </c>
      <c r="H2030" t="s">
        <v>44</v>
      </c>
      <c r="I2030" t="s">
        <v>244</v>
      </c>
      <c r="J2030">
        <v>80</v>
      </c>
      <c r="K2030">
        <v>92</v>
      </c>
      <c r="L2030">
        <v>1.1499999999999999</v>
      </c>
      <c r="M2030">
        <v>1.1499999999999999</v>
      </c>
      <c r="N2030" t="s">
        <v>193</v>
      </c>
      <c r="O2030" t="s">
        <v>4634</v>
      </c>
      <c r="P2030" t="s">
        <v>4648</v>
      </c>
      <c r="Q2030">
        <v>2</v>
      </c>
      <c r="R2030">
        <v>2</v>
      </c>
    </row>
    <row r="2031" spans="1:18" x14ac:dyDescent="0.3">
      <c r="A2031" t="s">
        <v>4649</v>
      </c>
      <c r="B2031" t="s">
        <v>4650</v>
      </c>
      <c r="C2031" t="s">
        <v>2862</v>
      </c>
      <c r="D2031" t="s">
        <v>98</v>
      </c>
      <c r="E2031" t="s">
        <v>30</v>
      </c>
      <c r="F2031" s="6">
        <v>46022</v>
      </c>
      <c r="G2031">
        <v>2025</v>
      </c>
      <c r="H2031" t="s">
        <v>57</v>
      </c>
      <c r="I2031" t="s">
        <v>103</v>
      </c>
      <c r="J2031">
        <v>80</v>
      </c>
      <c r="K2031">
        <v>83</v>
      </c>
      <c r="L2031">
        <v>1.0375000000000001</v>
      </c>
      <c r="M2031">
        <v>1.0375000000000001</v>
      </c>
      <c r="N2031" t="s">
        <v>193</v>
      </c>
      <c r="O2031" t="s">
        <v>4652</v>
      </c>
      <c r="P2031" t="s">
        <v>4653</v>
      </c>
      <c r="Q2031">
        <v>2</v>
      </c>
      <c r="R2031">
        <v>2</v>
      </c>
    </row>
    <row r="2032" spans="1:18" x14ac:dyDescent="0.3">
      <c r="A2032" t="s">
        <v>4654</v>
      </c>
      <c r="B2032" t="s">
        <v>4655</v>
      </c>
      <c r="C2032" t="s">
        <v>730</v>
      </c>
      <c r="D2032" t="s">
        <v>222</v>
      </c>
      <c r="E2032" t="s">
        <v>30</v>
      </c>
      <c r="F2032" s="6">
        <v>46022</v>
      </c>
      <c r="G2032">
        <v>2025</v>
      </c>
      <c r="H2032" t="s">
        <v>57</v>
      </c>
      <c r="I2032" t="s">
        <v>103</v>
      </c>
      <c r="J2032">
        <v>80</v>
      </c>
      <c r="K2032">
        <v>95</v>
      </c>
      <c r="L2032">
        <v>1.1875</v>
      </c>
      <c r="M2032">
        <v>1.1875</v>
      </c>
      <c r="N2032" t="s">
        <v>193</v>
      </c>
      <c r="O2032" t="s">
        <v>838</v>
      </c>
      <c r="P2032" t="s">
        <v>4656</v>
      </c>
      <c r="Q2032">
        <v>2</v>
      </c>
      <c r="R2032">
        <v>2</v>
      </c>
    </row>
    <row r="2033" spans="1:18" x14ac:dyDescent="0.3">
      <c r="A2033" t="s">
        <v>4657</v>
      </c>
      <c r="B2033" t="s">
        <v>4658</v>
      </c>
      <c r="C2033" t="s">
        <v>262</v>
      </c>
      <c r="D2033" t="s">
        <v>98</v>
      </c>
      <c r="E2033" t="s">
        <v>30</v>
      </c>
      <c r="F2033" s="6">
        <v>46022</v>
      </c>
      <c r="G2033">
        <v>2025</v>
      </c>
      <c r="H2033" t="s">
        <v>57</v>
      </c>
      <c r="I2033" t="s">
        <v>103</v>
      </c>
      <c r="J2033">
        <v>70</v>
      </c>
      <c r="K2033">
        <v>113.75</v>
      </c>
      <c r="L2033">
        <v>1.3</v>
      </c>
      <c r="M2033">
        <v>1.625</v>
      </c>
      <c r="N2033" t="s">
        <v>3922</v>
      </c>
      <c r="O2033" t="s">
        <v>4660</v>
      </c>
      <c r="P2033" t="s">
        <v>4661</v>
      </c>
      <c r="Q2033">
        <v>2</v>
      </c>
      <c r="R2033">
        <v>2</v>
      </c>
    </row>
    <row r="2034" spans="1:18" x14ac:dyDescent="0.3">
      <c r="A2034" t="s">
        <v>4662</v>
      </c>
      <c r="B2034" t="s">
        <v>4663</v>
      </c>
      <c r="C2034" t="s">
        <v>266</v>
      </c>
      <c r="D2034" t="s">
        <v>29</v>
      </c>
      <c r="E2034" t="s">
        <v>30</v>
      </c>
      <c r="F2034" s="6">
        <v>45107</v>
      </c>
      <c r="G2034">
        <v>2023</v>
      </c>
      <c r="H2034" t="s">
        <v>44</v>
      </c>
      <c r="I2034" t="s">
        <v>33</v>
      </c>
      <c r="J2034">
        <v>11.33333333333333</v>
      </c>
      <c r="K2034">
        <v>6.666666666666667</v>
      </c>
      <c r="L2034">
        <v>0.58823529411764708</v>
      </c>
      <c r="M2034">
        <v>0.58823529411764708</v>
      </c>
      <c r="N2034" t="s">
        <v>6487</v>
      </c>
      <c r="O2034" t="s">
        <v>6488</v>
      </c>
      <c r="P2034" t="s">
        <v>4666</v>
      </c>
      <c r="Q2034">
        <v>2</v>
      </c>
      <c r="R2034">
        <v>2</v>
      </c>
    </row>
    <row r="2035" spans="1:18" x14ac:dyDescent="0.3">
      <c r="A2035" t="s">
        <v>4662</v>
      </c>
      <c r="B2035" t="s">
        <v>4663</v>
      </c>
      <c r="C2035" t="s">
        <v>266</v>
      </c>
      <c r="D2035" t="s">
        <v>29</v>
      </c>
      <c r="E2035" t="s">
        <v>30</v>
      </c>
      <c r="F2035" s="6">
        <v>45291</v>
      </c>
      <c r="G2035">
        <v>2023</v>
      </c>
      <c r="H2035" t="s">
        <v>57</v>
      </c>
      <c r="I2035" t="s">
        <v>47</v>
      </c>
      <c r="J2035">
        <v>67.833333333333329</v>
      </c>
      <c r="K2035">
        <v>65.333333333333329</v>
      </c>
      <c r="L2035">
        <v>0.96314496314496312</v>
      </c>
      <c r="M2035">
        <v>0.96314496314496312</v>
      </c>
      <c r="N2035" t="s">
        <v>6489</v>
      </c>
      <c r="O2035" t="s">
        <v>6490</v>
      </c>
      <c r="P2035" t="s">
        <v>4672</v>
      </c>
      <c r="Q2035">
        <v>2</v>
      </c>
      <c r="R2035">
        <v>2</v>
      </c>
    </row>
    <row r="2036" spans="1:18" x14ac:dyDescent="0.3">
      <c r="A2036" t="s">
        <v>4662</v>
      </c>
      <c r="B2036" t="s">
        <v>4663</v>
      </c>
      <c r="C2036" t="s">
        <v>266</v>
      </c>
      <c r="D2036" t="s">
        <v>29</v>
      </c>
      <c r="E2036" t="s">
        <v>30</v>
      </c>
      <c r="F2036" s="6">
        <v>45473</v>
      </c>
      <c r="G2036">
        <v>2024</v>
      </c>
      <c r="H2036" t="s">
        <v>44</v>
      </c>
      <c r="I2036" t="s">
        <v>71</v>
      </c>
      <c r="J2036">
        <v>94.833333333333329</v>
      </c>
      <c r="K2036">
        <v>90.166666666666671</v>
      </c>
      <c r="L2036">
        <v>0.95079086115992983</v>
      </c>
      <c r="M2036">
        <v>0.95079086115992983</v>
      </c>
      <c r="N2036" t="s">
        <v>5568</v>
      </c>
      <c r="O2036" t="s">
        <v>6491</v>
      </c>
      <c r="P2036" t="s">
        <v>4678</v>
      </c>
      <c r="Q2036">
        <v>2</v>
      </c>
      <c r="R2036">
        <v>2</v>
      </c>
    </row>
    <row r="2037" spans="1:18" x14ac:dyDescent="0.3">
      <c r="A2037" t="s">
        <v>4662</v>
      </c>
      <c r="B2037" t="s">
        <v>4663</v>
      </c>
      <c r="C2037" t="s">
        <v>266</v>
      </c>
      <c r="D2037" t="s">
        <v>29</v>
      </c>
      <c r="E2037" t="s">
        <v>30</v>
      </c>
      <c r="F2037" s="6">
        <v>45657</v>
      </c>
      <c r="G2037">
        <v>2024</v>
      </c>
      <c r="H2037" t="s">
        <v>57</v>
      </c>
      <c r="I2037" t="s">
        <v>78</v>
      </c>
      <c r="J2037">
        <v>100</v>
      </c>
      <c r="K2037">
        <v>100</v>
      </c>
      <c r="L2037">
        <v>1</v>
      </c>
      <c r="M2037">
        <v>1</v>
      </c>
      <c r="N2037" t="s">
        <v>102</v>
      </c>
      <c r="O2037" t="s">
        <v>102</v>
      </c>
      <c r="P2037" t="s">
        <v>6492</v>
      </c>
      <c r="Q2037">
        <v>2</v>
      </c>
      <c r="R2037">
        <v>2</v>
      </c>
    </row>
    <row r="2038" spans="1:18" x14ac:dyDescent="0.3">
      <c r="A2038" t="s">
        <v>4680</v>
      </c>
      <c r="B2038" t="s">
        <v>4681</v>
      </c>
      <c r="C2038" t="s">
        <v>232</v>
      </c>
      <c r="D2038" t="s">
        <v>222</v>
      </c>
      <c r="E2038" t="s">
        <v>30</v>
      </c>
      <c r="F2038" s="6">
        <v>45107</v>
      </c>
      <c r="G2038">
        <v>2023</v>
      </c>
      <c r="H2038" t="s">
        <v>44</v>
      </c>
      <c r="I2038" t="s">
        <v>33</v>
      </c>
      <c r="J2038">
        <v>80</v>
      </c>
      <c r="K2038">
        <v>91.5</v>
      </c>
      <c r="L2038">
        <v>1.14375</v>
      </c>
      <c r="M2038">
        <v>1.14375</v>
      </c>
      <c r="N2038" t="s">
        <v>193</v>
      </c>
      <c r="O2038" t="s">
        <v>5980</v>
      </c>
      <c r="P2038" t="s">
        <v>4682</v>
      </c>
      <c r="Q2038">
        <v>2</v>
      </c>
      <c r="R2038">
        <v>2</v>
      </c>
    </row>
    <row r="2039" spans="1:18" x14ac:dyDescent="0.3">
      <c r="A2039" t="s">
        <v>4680</v>
      </c>
      <c r="B2039" t="s">
        <v>4681</v>
      </c>
      <c r="C2039" t="s">
        <v>232</v>
      </c>
      <c r="D2039" t="s">
        <v>222</v>
      </c>
      <c r="E2039" t="s">
        <v>30</v>
      </c>
      <c r="F2039" s="6">
        <v>45291</v>
      </c>
      <c r="G2039">
        <v>2023</v>
      </c>
      <c r="H2039" t="s">
        <v>57</v>
      </c>
      <c r="I2039" t="s">
        <v>47</v>
      </c>
      <c r="J2039">
        <v>80</v>
      </c>
      <c r="K2039">
        <v>85</v>
      </c>
      <c r="L2039">
        <v>1.0625</v>
      </c>
      <c r="M2039">
        <v>1.0625</v>
      </c>
      <c r="N2039" t="s">
        <v>193</v>
      </c>
      <c r="O2039" t="s">
        <v>2357</v>
      </c>
      <c r="P2039" t="s">
        <v>4683</v>
      </c>
      <c r="Q2039">
        <v>2</v>
      </c>
      <c r="R2039">
        <v>2</v>
      </c>
    </row>
    <row r="2040" spans="1:18" x14ac:dyDescent="0.3">
      <c r="A2040" t="s">
        <v>4680</v>
      </c>
      <c r="B2040" t="s">
        <v>4681</v>
      </c>
      <c r="C2040" t="s">
        <v>232</v>
      </c>
      <c r="D2040" t="s">
        <v>222</v>
      </c>
      <c r="E2040" t="s">
        <v>30</v>
      </c>
      <c r="F2040" s="6">
        <v>45473</v>
      </c>
      <c r="G2040">
        <v>2024</v>
      </c>
      <c r="H2040" t="s">
        <v>44</v>
      </c>
      <c r="I2040" t="s">
        <v>71</v>
      </c>
      <c r="J2040">
        <v>80</v>
      </c>
      <c r="K2040">
        <v>86</v>
      </c>
      <c r="L2040">
        <v>1.075</v>
      </c>
      <c r="M2040">
        <v>1.075</v>
      </c>
      <c r="N2040" t="s">
        <v>193</v>
      </c>
      <c r="O2040" t="s">
        <v>4410</v>
      </c>
      <c r="P2040" t="s">
        <v>4684</v>
      </c>
      <c r="Q2040">
        <v>2</v>
      </c>
      <c r="R2040">
        <v>2</v>
      </c>
    </row>
    <row r="2041" spans="1:18" x14ac:dyDescent="0.3">
      <c r="A2041" t="s">
        <v>4680</v>
      </c>
      <c r="B2041" t="s">
        <v>4681</v>
      </c>
      <c r="C2041" t="s">
        <v>232</v>
      </c>
      <c r="D2041" t="s">
        <v>222</v>
      </c>
      <c r="E2041" t="s">
        <v>30</v>
      </c>
      <c r="F2041" s="6">
        <v>45657</v>
      </c>
      <c r="G2041">
        <v>2024</v>
      </c>
      <c r="H2041" t="s">
        <v>57</v>
      </c>
      <c r="I2041" t="s">
        <v>78</v>
      </c>
      <c r="J2041">
        <v>80</v>
      </c>
      <c r="K2041">
        <v>87.5</v>
      </c>
      <c r="L2041">
        <v>1.09375</v>
      </c>
      <c r="M2041">
        <v>1.09375</v>
      </c>
      <c r="N2041" t="s">
        <v>193</v>
      </c>
      <c r="O2041" t="s">
        <v>4496</v>
      </c>
      <c r="P2041" t="s">
        <v>4685</v>
      </c>
      <c r="Q2041">
        <v>2</v>
      </c>
      <c r="R2041">
        <v>2</v>
      </c>
    </row>
    <row r="2042" spans="1:18" x14ac:dyDescent="0.3">
      <c r="A2042" t="s">
        <v>4680</v>
      </c>
      <c r="B2042" t="s">
        <v>4681</v>
      </c>
      <c r="C2042" t="s">
        <v>232</v>
      </c>
      <c r="D2042" t="s">
        <v>222</v>
      </c>
      <c r="E2042" t="s">
        <v>30</v>
      </c>
      <c r="F2042" s="6">
        <v>45838</v>
      </c>
      <c r="G2042">
        <v>2025</v>
      </c>
      <c r="H2042" t="s">
        <v>44</v>
      </c>
      <c r="I2042" t="s">
        <v>244</v>
      </c>
      <c r="J2042">
        <v>85</v>
      </c>
      <c r="K2042">
        <v>85.3</v>
      </c>
      <c r="L2042">
        <v>1.003529411764706</v>
      </c>
      <c r="M2042">
        <v>1.003529411764706</v>
      </c>
      <c r="N2042" t="s">
        <v>2357</v>
      </c>
      <c r="O2042" t="s">
        <v>3926</v>
      </c>
      <c r="P2042" t="s">
        <v>4686</v>
      </c>
      <c r="Q2042">
        <v>2</v>
      </c>
      <c r="R2042">
        <v>2</v>
      </c>
    </row>
    <row r="2043" spans="1:18" x14ac:dyDescent="0.3">
      <c r="A2043" t="s">
        <v>4687</v>
      </c>
      <c r="B2043" t="s">
        <v>4688</v>
      </c>
      <c r="C2043" t="s">
        <v>232</v>
      </c>
      <c r="D2043" t="s">
        <v>233</v>
      </c>
      <c r="E2043" t="s">
        <v>30</v>
      </c>
      <c r="F2043" s="6">
        <v>45107</v>
      </c>
      <c r="G2043">
        <v>2023</v>
      </c>
      <c r="H2043" t="s">
        <v>44</v>
      </c>
      <c r="I2043" t="s">
        <v>33</v>
      </c>
      <c r="J2043">
        <v>90</v>
      </c>
      <c r="K2043">
        <v>90.469726806910501</v>
      </c>
      <c r="L2043">
        <v>1.0052191867434499</v>
      </c>
      <c r="M2043">
        <v>1.0052191867434499</v>
      </c>
      <c r="N2043" t="s">
        <v>256</v>
      </c>
      <c r="O2043" t="s">
        <v>6493</v>
      </c>
      <c r="P2043" t="s">
        <v>4690</v>
      </c>
      <c r="Q2043">
        <v>2</v>
      </c>
      <c r="R2043">
        <v>2</v>
      </c>
    </row>
    <row r="2044" spans="1:18" x14ac:dyDescent="0.3">
      <c r="A2044" t="s">
        <v>4687</v>
      </c>
      <c r="B2044" t="s">
        <v>4688</v>
      </c>
      <c r="C2044" t="s">
        <v>232</v>
      </c>
      <c r="D2044" t="s">
        <v>233</v>
      </c>
      <c r="E2044" t="s">
        <v>30</v>
      </c>
      <c r="F2044" s="6">
        <v>45291</v>
      </c>
      <c r="G2044">
        <v>2023</v>
      </c>
      <c r="H2044" t="s">
        <v>57</v>
      </c>
      <c r="I2044" t="s">
        <v>47</v>
      </c>
      <c r="J2044">
        <v>90</v>
      </c>
      <c r="K2044">
        <v>92.84</v>
      </c>
      <c r="L2044">
        <v>1.031555555555556</v>
      </c>
      <c r="M2044">
        <v>1.031555555555556</v>
      </c>
      <c r="N2044" t="s">
        <v>256</v>
      </c>
      <c r="O2044" t="s">
        <v>6494</v>
      </c>
      <c r="P2044" t="s">
        <v>4692</v>
      </c>
      <c r="Q2044">
        <v>2</v>
      </c>
      <c r="R2044">
        <v>2</v>
      </c>
    </row>
    <row r="2045" spans="1:18" x14ac:dyDescent="0.3">
      <c r="A2045" t="s">
        <v>4687</v>
      </c>
      <c r="B2045" t="s">
        <v>4688</v>
      </c>
      <c r="C2045" t="s">
        <v>232</v>
      </c>
      <c r="D2045" t="s">
        <v>233</v>
      </c>
      <c r="E2045" t="s">
        <v>30</v>
      </c>
      <c r="F2045" s="6">
        <v>45473</v>
      </c>
      <c r="G2045">
        <v>2024</v>
      </c>
      <c r="H2045" t="s">
        <v>44</v>
      </c>
      <c r="I2045" t="s">
        <v>71</v>
      </c>
      <c r="J2045">
        <v>90</v>
      </c>
      <c r="K2045">
        <v>91.324999999999989</v>
      </c>
      <c r="L2045">
        <v>1.0147222222222221</v>
      </c>
      <c r="M2045">
        <v>1.0147222222222221</v>
      </c>
      <c r="N2045" t="s">
        <v>256</v>
      </c>
      <c r="O2045" t="s">
        <v>6495</v>
      </c>
      <c r="P2045" t="s">
        <v>4694</v>
      </c>
      <c r="Q2045">
        <v>2</v>
      </c>
      <c r="R2045">
        <v>2</v>
      </c>
    </row>
    <row r="2046" spans="1:18" x14ac:dyDescent="0.3">
      <c r="A2046" t="s">
        <v>4687</v>
      </c>
      <c r="B2046" t="s">
        <v>4688</v>
      </c>
      <c r="C2046" t="s">
        <v>232</v>
      </c>
      <c r="D2046" t="s">
        <v>233</v>
      </c>
      <c r="E2046" t="s">
        <v>30</v>
      </c>
      <c r="F2046" s="6">
        <v>45657</v>
      </c>
      <c r="G2046">
        <v>2024</v>
      </c>
      <c r="H2046" t="s">
        <v>57</v>
      </c>
      <c r="I2046" t="s">
        <v>78</v>
      </c>
      <c r="J2046">
        <v>90</v>
      </c>
      <c r="K2046">
        <v>91.085000000000008</v>
      </c>
      <c r="L2046">
        <v>1.0120555555555559</v>
      </c>
      <c r="M2046">
        <v>1.0120555555555559</v>
      </c>
      <c r="N2046" t="s">
        <v>256</v>
      </c>
      <c r="O2046" t="s">
        <v>6496</v>
      </c>
      <c r="P2046" t="s">
        <v>4696</v>
      </c>
      <c r="Q2046">
        <v>2</v>
      </c>
      <c r="R2046">
        <v>2</v>
      </c>
    </row>
    <row r="2047" spans="1:18" x14ac:dyDescent="0.3">
      <c r="A2047" t="s">
        <v>4687</v>
      </c>
      <c r="B2047" t="s">
        <v>4688</v>
      </c>
      <c r="C2047" t="s">
        <v>232</v>
      </c>
      <c r="D2047" t="s">
        <v>233</v>
      </c>
      <c r="E2047" t="s">
        <v>30</v>
      </c>
      <c r="F2047" s="6">
        <v>45838</v>
      </c>
      <c r="G2047">
        <v>2025</v>
      </c>
      <c r="H2047" t="s">
        <v>44</v>
      </c>
      <c r="I2047" t="s">
        <v>244</v>
      </c>
      <c r="J2047">
        <v>90</v>
      </c>
      <c r="K2047">
        <v>90.765000000000001</v>
      </c>
      <c r="L2047">
        <v>1.0085</v>
      </c>
      <c r="M2047">
        <v>1.0085</v>
      </c>
      <c r="N2047" t="s">
        <v>256</v>
      </c>
      <c r="O2047" t="s">
        <v>6497</v>
      </c>
      <c r="P2047" t="s">
        <v>4702</v>
      </c>
      <c r="Q2047">
        <v>2</v>
      </c>
      <c r="R2047">
        <v>2</v>
      </c>
    </row>
    <row r="2048" spans="1:18" x14ac:dyDescent="0.3">
      <c r="A2048" t="s">
        <v>4687</v>
      </c>
      <c r="B2048" t="s">
        <v>4688</v>
      </c>
      <c r="C2048" t="s">
        <v>232</v>
      </c>
      <c r="D2048" t="s">
        <v>233</v>
      </c>
      <c r="E2048" t="s">
        <v>30</v>
      </c>
      <c r="F2048" s="6">
        <v>46022</v>
      </c>
      <c r="G2048">
        <v>2025</v>
      </c>
      <c r="H2048" t="s">
        <v>57</v>
      </c>
      <c r="I2048" t="s">
        <v>103</v>
      </c>
      <c r="J2048">
        <v>90</v>
      </c>
      <c r="K2048">
        <v>91.52</v>
      </c>
      <c r="L2048">
        <v>1.016888888888889</v>
      </c>
      <c r="M2048">
        <v>1.016888888888889</v>
      </c>
      <c r="N2048" t="s">
        <v>256</v>
      </c>
      <c r="O2048" t="s">
        <v>4446</v>
      </c>
      <c r="P2048" t="s">
        <v>4703</v>
      </c>
      <c r="Q2048">
        <v>2</v>
      </c>
      <c r="R2048">
        <v>2</v>
      </c>
    </row>
    <row r="2049" spans="1:18" x14ac:dyDescent="0.3">
      <c r="A2049" t="s">
        <v>4704</v>
      </c>
      <c r="B2049" t="s">
        <v>4705</v>
      </c>
      <c r="C2049" t="s">
        <v>266</v>
      </c>
      <c r="D2049" t="s">
        <v>29</v>
      </c>
      <c r="E2049" t="s">
        <v>30</v>
      </c>
      <c r="F2049" s="6">
        <v>45107</v>
      </c>
      <c r="G2049">
        <v>2023</v>
      </c>
      <c r="H2049" t="s">
        <v>44</v>
      </c>
      <c r="I2049" t="s">
        <v>33</v>
      </c>
      <c r="J2049">
        <v>61.666666666666657</v>
      </c>
      <c r="K2049">
        <v>54.333333333333343</v>
      </c>
      <c r="L2049">
        <v>0.88108108108108119</v>
      </c>
      <c r="M2049">
        <v>0.88108108108108119</v>
      </c>
      <c r="N2049" t="s">
        <v>5455</v>
      </c>
      <c r="O2049" t="s">
        <v>6155</v>
      </c>
      <c r="P2049" t="s">
        <v>4708</v>
      </c>
      <c r="Q2049">
        <v>2</v>
      </c>
      <c r="R2049">
        <v>2</v>
      </c>
    </row>
    <row r="2050" spans="1:18" x14ac:dyDescent="0.3">
      <c r="A2050" t="s">
        <v>4704</v>
      </c>
      <c r="B2050" t="s">
        <v>4705</v>
      </c>
      <c r="C2050" t="s">
        <v>266</v>
      </c>
      <c r="D2050" t="s">
        <v>29</v>
      </c>
      <c r="E2050" t="s">
        <v>30</v>
      </c>
      <c r="F2050" s="6">
        <v>45291</v>
      </c>
      <c r="G2050">
        <v>2023</v>
      </c>
      <c r="H2050" t="s">
        <v>57</v>
      </c>
      <c r="I2050" t="s">
        <v>47</v>
      </c>
      <c r="J2050">
        <v>85.666666666666671</v>
      </c>
      <c r="K2050">
        <v>75.5</v>
      </c>
      <c r="L2050">
        <v>0.88132295719844356</v>
      </c>
      <c r="M2050">
        <v>0.88132295719844356</v>
      </c>
      <c r="N2050" t="s">
        <v>6498</v>
      </c>
      <c r="O2050" t="s">
        <v>6499</v>
      </c>
      <c r="P2050" t="s">
        <v>4714</v>
      </c>
      <c r="Q2050">
        <v>2</v>
      </c>
      <c r="R2050">
        <v>2</v>
      </c>
    </row>
    <row r="2051" spans="1:18" x14ac:dyDescent="0.3">
      <c r="A2051" t="s">
        <v>4704</v>
      </c>
      <c r="B2051" t="s">
        <v>4705</v>
      </c>
      <c r="C2051" t="s">
        <v>266</v>
      </c>
      <c r="D2051" t="s">
        <v>29</v>
      </c>
      <c r="E2051" t="s">
        <v>30</v>
      </c>
      <c r="F2051" s="6">
        <v>45473</v>
      </c>
      <c r="G2051">
        <v>2024</v>
      </c>
      <c r="H2051" t="s">
        <v>44</v>
      </c>
      <c r="I2051" t="s">
        <v>71</v>
      </c>
      <c r="J2051">
        <v>100</v>
      </c>
      <c r="K2051">
        <v>86</v>
      </c>
      <c r="L2051">
        <v>0.86</v>
      </c>
      <c r="M2051">
        <v>0.86</v>
      </c>
      <c r="N2051" t="s">
        <v>102</v>
      </c>
      <c r="O2051" t="s">
        <v>4410</v>
      </c>
      <c r="P2051" t="s">
        <v>4720</v>
      </c>
      <c r="Q2051">
        <v>2</v>
      </c>
      <c r="R2051">
        <v>2</v>
      </c>
    </row>
    <row r="2052" spans="1:18" x14ac:dyDescent="0.3">
      <c r="A2052" t="s">
        <v>4704</v>
      </c>
      <c r="B2052" t="s">
        <v>4705</v>
      </c>
      <c r="C2052" t="s">
        <v>266</v>
      </c>
      <c r="D2052" t="s">
        <v>29</v>
      </c>
      <c r="E2052" t="s">
        <v>30</v>
      </c>
      <c r="F2052" s="6">
        <v>45657</v>
      </c>
      <c r="G2052">
        <v>2024</v>
      </c>
      <c r="H2052" t="s">
        <v>57</v>
      </c>
      <c r="I2052" t="s">
        <v>78</v>
      </c>
      <c r="J2052">
        <v>100</v>
      </c>
      <c r="K2052">
        <v>96.5</v>
      </c>
      <c r="L2052">
        <v>0.96499999999999997</v>
      </c>
      <c r="M2052">
        <v>0.96499999999999997</v>
      </c>
      <c r="N2052" t="s">
        <v>102</v>
      </c>
      <c r="O2052" t="s">
        <v>6500</v>
      </c>
      <c r="P2052" t="s">
        <v>4726</v>
      </c>
      <c r="Q2052">
        <v>2</v>
      </c>
      <c r="R2052">
        <v>2</v>
      </c>
    </row>
    <row r="2053" spans="1:18" x14ac:dyDescent="0.3">
      <c r="A2053" t="s">
        <v>4727</v>
      </c>
      <c r="B2053" t="s">
        <v>4728</v>
      </c>
      <c r="C2053" t="s">
        <v>262</v>
      </c>
      <c r="D2053" t="s">
        <v>222</v>
      </c>
      <c r="E2053" t="s">
        <v>108</v>
      </c>
      <c r="F2053" s="6">
        <v>45107</v>
      </c>
      <c r="G2053">
        <v>2023</v>
      </c>
      <c r="H2053" t="s">
        <v>44</v>
      </c>
      <c r="I2053" t="s">
        <v>33</v>
      </c>
      <c r="J2053">
        <v>20</v>
      </c>
      <c r="K2053">
        <v>19</v>
      </c>
      <c r="L2053">
        <v>1.0526315789473679</v>
      </c>
      <c r="M2053">
        <v>1.0526315789473679</v>
      </c>
      <c r="N2053" t="s">
        <v>1298</v>
      </c>
      <c r="O2053" t="s">
        <v>4734</v>
      </c>
      <c r="P2053" t="s">
        <v>4729</v>
      </c>
      <c r="Q2053">
        <v>2</v>
      </c>
      <c r="R2053">
        <v>2</v>
      </c>
    </row>
    <row r="2054" spans="1:18" x14ac:dyDescent="0.3">
      <c r="A2054" t="s">
        <v>4727</v>
      </c>
      <c r="B2054" t="s">
        <v>4728</v>
      </c>
      <c r="C2054" t="s">
        <v>262</v>
      </c>
      <c r="D2054" t="s">
        <v>222</v>
      </c>
      <c r="E2054" t="s">
        <v>108</v>
      </c>
      <c r="F2054" s="6">
        <v>45291</v>
      </c>
      <c r="G2054">
        <v>2023</v>
      </c>
      <c r="H2054" t="s">
        <v>57</v>
      </c>
      <c r="I2054" t="s">
        <v>47</v>
      </c>
      <c r="J2054">
        <v>20</v>
      </c>
      <c r="K2054">
        <v>17</v>
      </c>
      <c r="L2054">
        <v>1.1764705882352939</v>
      </c>
      <c r="M2054">
        <v>1.1764705882352939</v>
      </c>
      <c r="N2054" t="s">
        <v>1298</v>
      </c>
      <c r="O2054" t="s">
        <v>1478</v>
      </c>
      <c r="P2054" t="s">
        <v>4730</v>
      </c>
      <c r="Q2054">
        <v>2</v>
      </c>
      <c r="R2054">
        <v>2</v>
      </c>
    </row>
    <row r="2055" spans="1:18" x14ac:dyDescent="0.3">
      <c r="A2055" t="s">
        <v>4727</v>
      </c>
      <c r="B2055" t="s">
        <v>4728</v>
      </c>
      <c r="C2055" t="s">
        <v>262</v>
      </c>
      <c r="D2055" t="s">
        <v>222</v>
      </c>
      <c r="E2055" t="s">
        <v>108</v>
      </c>
      <c r="F2055" s="6">
        <v>45473</v>
      </c>
      <c r="G2055">
        <v>2024</v>
      </c>
      <c r="H2055" t="s">
        <v>44</v>
      </c>
      <c r="I2055" t="s">
        <v>71</v>
      </c>
      <c r="J2055">
        <v>20</v>
      </c>
      <c r="K2055">
        <v>20</v>
      </c>
      <c r="L2055">
        <v>1</v>
      </c>
      <c r="M2055">
        <v>1</v>
      </c>
      <c r="N2055" t="s">
        <v>1298</v>
      </c>
      <c r="O2055" t="s">
        <v>1298</v>
      </c>
      <c r="P2055" t="s">
        <v>4731</v>
      </c>
      <c r="Q2055">
        <v>2</v>
      </c>
      <c r="R2055">
        <v>2</v>
      </c>
    </row>
    <row r="2056" spans="1:18" x14ac:dyDescent="0.3">
      <c r="A2056" t="s">
        <v>4727</v>
      </c>
      <c r="B2056" t="s">
        <v>4728</v>
      </c>
      <c r="C2056" t="s">
        <v>262</v>
      </c>
      <c r="D2056" t="s">
        <v>222</v>
      </c>
      <c r="E2056" t="s">
        <v>108</v>
      </c>
      <c r="F2056" s="6">
        <v>45657</v>
      </c>
      <c r="G2056">
        <v>2024</v>
      </c>
      <c r="H2056" t="s">
        <v>57</v>
      </c>
      <c r="I2056" t="s">
        <v>78</v>
      </c>
      <c r="J2056">
        <v>20</v>
      </c>
      <c r="K2056">
        <v>17</v>
      </c>
      <c r="L2056">
        <v>1.1764705882352939</v>
      </c>
      <c r="M2056">
        <v>1.1764705882352939</v>
      </c>
      <c r="N2056" t="s">
        <v>1298</v>
      </c>
      <c r="O2056" t="s">
        <v>1478</v>
      </c>
      <c r="P2056" t="s">
        <v>4732</v>
      </c>
      <c r="Q2056">
        <v>2</v>
      </c>
      <c r="R2056">
        <v>2</v>
      </c>
    </row>
    <row r="2057" spans="1:18" x14ac:dyDescent="0.3">
      <c r="A2057" t="s">
        <v>4727</v>
      </c>
      <c r="B2057" t="s">
        <v>4728</v>
      </c>
      <c r="C2057" t="s">
        <v>262</v>
      </c>
      <c r="D2057" t="s">
        <v>222</v>
      </c>
      <c r="E2057" t="s">
        <v>108</v>
      </c>
      <c r="F2057" s="6">
        <v>45838</v>
      </c>
      <c r="G2057">
        <v>2025</v>
      </c>
      <c r="H2057" t="s">
        <v>44</v>
      </c>
      <c r="I2057" t="s">
        <v>244</v>
      </c>
      <c r="J2057">
        <v>20</v>
      </c>
      <c r="K2057">
        <v>19</v>
      </c>
      <c r="L2057">
        <v>1.0526315789473679</v>
      </c>
      <c r="M2057">
        <v>1.0526315789473679</v>
      </c>
      <c r="N2057" t="s">
        <v>1298</v>
      </c>
      <c r="O2057" t="s">
        <v>4734</v>
      </c>
      <c r="P2057" t="s">
        <v>4735</v>
      </c>
      <c r="Q2057">
        <v>2</v>
      </c>
      <c r="R2057">
        <v>2</v>
      </c>
    </row>
    <row r="2058" spans="1:18" x14ac:dyDescent="0.3">
      <c r="A2058" t="s">
        <v>4727</v>
      </c>
      <c r="B2058" t="s">
        <v>4728</v>
      </c>
      <c r="C2058" t="s">
        <v>262</v>
      </c>
      <c r="D2058" t="s">
        <v>222</v>
      </c>
      <c r="E2058" t="s">
        <v>108</v>
      </c>
      <c r="F2058" s="6">
        <v>46022</v>
      </c>
      <c r="G2058">
        <v>2025</v>
      </c>
      <c r="H2058" t="s">
        <v>57</v>
      </c>
      <c r="I2058" t="s">
        <v>103</v>
      </c>
      <c r="J2058">
        <v>20</v>
      </c>
      <c r="K2058">
        <v>20</v>
      </c>
      <c r="L2058">
        <v>1</v>
      </c>
      <c r="M2058">
        <v>1</v>
      </c>
      <c r="N2058" t="s">
        <v>1298</v>
      </c>
      <c r="O2058" t="s">
        <v>1298</v>
      </c>
      <c r="P2058" t="s">
        <v>4736</v>
      </c>
      <c r="Q2058">
        <v>2</v>
      </c>
      <c r="R2058">
        <v>2</v>
      </c>
    </row>
    <row r="2059" spans="1:18" x14ac:dyDescent="0.3">
      <c r="A2059" t="s">
        <v>271</v>
      </c>
      <c r="B2059" t="s">
        <v>4737</v>
      </c>
      <c r="C2059" t="s">
        <v>262</v>
      </c>
      <c r="D2059" t="s">
        <v>222</v>
      </c>
      <c r="E2059" t="s">
        <v>30</v>
      </c>
      <c r="F2059" s="6">
        <v>45107</v>
      </c>
      <c r="G2059">
        <v>2023</v>
      </c>
      <c r="H2059" t="s">
        <v>44</v>
      </c>
      <c r="I2059" t="s">
        <v>33</v>
      </c>
      <c r="J2059">
        <v>80</v>
      </c>
      <c r="K2059">
        <v>87.179487179486998</v>
      </c>
      <c r="L2059">
        <v>1.089743589743587</v>
      </c>
      <c r="M2059">
        <v>1.089743589743587</v>
      </c>
      <c r="N2059" t="s">
        <v>193</v>
      </c>
      <c r="O2059" t="s">
        <v>6501</v>
      </c>
      <c r="P2059" t="s">
        <v>4738</v>
      </c>
      <c r="Q2059">
        <v>2</v>
      </c>
      <c r="R2059">
        <v>2</v>
      </c>
    </row>
    <row r="2060" spans="1:18" x14ac:dyDescent="0.3">
      <c r="A2060" t="s">
        <v>271</v>
      </c>
      <c r="B2060" t="s">
        <v>4737</v>
      </c>
      <c r="C2060" t="s">
        <v>262</v>
      </c>
      <c r="D2060" t="s">
        <v>222</v>
      </c>
      <c r="E2060" t="s">
        <v>30</v>
      </c>
      <c r="F2060" s="6">
        <v>45291</v>
      </c>
      <c r="G2060">
        <v>2023</v>
      </c>
      <c r="H2060" t="s">
        <v>57</v>
      </c>
      <c r="I2060" t="s">
        <v>47</v>
      </c>
      <c r="J2060">
        <v>80</v>
      </c>
      <c r="K2060">
        <v>94.64</v>
      </c>
      <c r="L2060">
        <v>1.1830000000000001</v>
      </c>
      <c r="M2060">
        <v>1.1830000000000001</v>
      </c>
      <c r="N2060" t="s">
        <v>193</v>
      </c>
      <c r="O2060" t="s">
        <v>6502</v>
      </c>
      <c r="P2060" t="s">
        <v>4739</v>
      </c>
      <c r="Q2060">
        <v>2</v>
      </c>
      <c r="R2060">
        <v>2</v>
      </c>
    </row>
    <row r="2061" spans="1:18" x14ac:dyDescent="0.3">
      <c r="A2061" t="s">
        <v>271</v>
      </c>
      <c r="B2061" t="s">
        <v>4737</v>
      </c>
      <c r="C2061" t="s">
        <v>262</v>
      </c>
      <c r="D2061" t="s">
        <v>222</v>
      </c>
      <c r="E2061" t="s">
        <v>30</v>
      </c>
      <c r="F2061" s="6">
        <v>45473</v>
      </c>
      <c r="G2061">
        <v>2024</v>
      </c>
      <c r="H2061" t="s">
        <v>44</v>
      </c>
      <c r="I2061" t="s">
        <v>71</v>
      </c>
      <c r="J2061">
        <v>80</v>
      </c>
      <c r="K2061">
        <v>91.53</v>
      </c>
      <c r="L2061">
        <v>1.1441250000000001</v>
      </c>
      <c r="M2061">
        <v>1.1441250000000001</v>
      </c>
      <c r="N2061" t="s">
        <v>193</v>
      </c>
      <c r="O2061" t="s">
        <v>6503</v>
      </c>
      <c r="P2061" t="s">
        <v>4740</v>
      </c>
      <c r="Q2061">
        <v>2</v>
      </c>
      <c r="R2061">
        <v>2</v>
      </c>
    </row>
    <row r="2062" spans="1:18" x14ac:dyDescent="0.3">
      <c r="A2062" t="s">
        <v>271</v>
      </c>
      <c r="B2062" t="s">
        <v>4737</v>
      </c>
      <c r="C2062" t="s">
        <v>262</v>
      </c>
      <c r="D2062" t="s">
        <v>222</v>
      </c>
      <c r="E2062" t="s">
        <v>30</v>
      </c>
      <c r="F2062" s="6">
        <v>45657</v>
      </c>
      <c r="G2062">
        <v>2024</v>
      </c>
      <c r="H2062" t="s">
        <v>57</v>
      </c>
      <c r="I2062" t="s">
        <v>78</v>
      </c>
      <c r="J2062">
        <v>80</v>
      </c>
      <c r="K2062">
        <v>95.45</v>
      </c>
      <c r="L2062">
        <v>1.193125</v>
      </c>
      <c r="M2062">
        <v>1.193125</v>
      </c>
      <c r="N2062" t="s">
        <v>193</v>
      </c>
      <c r="O2062" t="s">
        <v>5720</v>
      </c>
      <c r="P2062" t="s">
        <v>4741</v>
      </c>
      <c r="Q2062">
        <v>2</v>
      </c>
      <c r="R2062">
        <v>2</v>
      </c>
    </row>
    <row r="2063" spans="1:18" x14ac:dyDescent="0.3">
      <c r="A2063" t="s">
        <v>271</v>
      </c>
      <c r="B2063" t="s">
        <v>4737</v>
      </c>
      <c r="C2063" t="s">
        <v>262</v>
      </c>
      <c r="D2063" t="s">
        <v>222</v>
      </c>
      <c r="E2063" t="s">
        <v>30</v>
      </c>
      <c r="F2063" s="6">
        <v>45838</v>
      </c>
      <c r="G2063">
        <v>2025</v>
      </c>
      <c r="H2063" t="s">
        <v>44</v>
      </c>
      <c r="I2063" t="s">
        <v>244</v>
      </c>
      <c r="J2063">
        <v>80</v>
      </c>
      <c r="K2063">
        <v>91.49</v>
      </c>
      <c r="L2063">
        <v>1.1436249999999999</v>
      </c>
      <c r="M2063">
        <v>1.1436249999999999</v>
      </c>
      <c r="N2063" t="s">
        <v>193</v>
      </c>
      <c r="O2063" t="s">
        <v>4743</v>
      </c>
      <c r="P2063" t="s">
        <v>4744</v>
      </c>
      <c r="Q2063">
        <v>2</v>
      </c>
      <c r="R2063">
        <v>2</v>
      </c>
    </row>
    <row r="2064" spans="1:18" x14ac:dyDescent="0.3">
      <c r="A2064" t="s">
        <v>271</v>
      </c>
      <c r="B2064" t="s">
        <v>4737</v>
      </c>
      <c r="C2064" t="s">
        <v>262</v>
      </c>
      <c r="D2064" t="s">
        <v>222</v>
      </c>
      <c r="E2064" t="s">
        <v>30</v>
      </c>
      <c r="F2064" s="6">
        <v>46022</v>
      </c>
      <c r="G2064">
        <v>2025</v>
      </c>
      <c r="H2064" t="s">
        <v>57</v>
      </c>
      <c r="I2064" t="s">
        <v>103</v>
      </c>
      <c r="J2064">
        <v>80</v>
      </c>
      <c r="K2064">
        <v>90.32</v>
      </c>
      <c r="L2064">
        <v>1.129</v>
      </c>
      <c r="M2064">
        <v>1.129</v>
      </c>
      <c r="N2064" t="s">
        <v>193</v>
      </c>
      <c r="O2064" t="s">
        <v>2252</v>
      </c>
      <c r="P2064" t="s">
        <v>4745</v>
      </c>
      <c r="Q2064">
        <v>2</v>
      </c>
      <c r="R2064">
        <v>2</v>
      </c>
    </row>
    <row r="2065" spans="1:18" x14ac:dyDescent="0.3">
      <c r="A2065" t="s">
        <v>4330</v>
      </c>
      <c r="B2065" t="s">
        <v>4746</v>
      </c>
      <c r="C2065" t="s">
        <v>270</v>
      </c>
      <c r="D2065" t="s">
        <v>29</v>
      </c>
      <c r="E2065" t="s">
        <v>30</v>
      </c>
      <c r="F2065" s="6">
        <v>44742</v>
      </c>
      <c r="G2065">
        <v>2022</v>
      </c>
      <c r="H2065" t="s">
        <v>44</v>
      </c>
      <c r="I2065" t="s">
        <v>88</v>
      </c>
      <c r="J2065">
        <v>97</v>
      </c>
      <c r="K2065">
        <v>97.683333333333323</v>
      </c>
      <c r="L2065">
        <v>1.0070446735395191</v>
      </c>
      <c r="M2065">
        <v>1.0070446735395191</v>
      </c>
      <c r="N2065" t="s">
        <v>1005</v>
      </c>
      <c r="O2065" t="s">
        <v>5747</v>
      </c>
      <c r="P2065" t="s">
        <v>4752</v>
      </c>
      <c r="Q2065">
        <v>2</v>
      </c>
      <c r="R2065">
        <v>2</v>
      </c>
    </row>
    <row r="2066" spans="1:18" x14ac:dyDescent="0.3">
      <c r="A2066" t="s">
        <v>4330</v>
      </c>
      <c r="B2066" t="s">
        <v>4746</v>
      </c>
      <c r="C2066" t="s">
        <v>270</v>
      </c>
      <c r="D2066" t="s">
        <v>29</v>
      </c>
      <c r="E2066" t="s">
        <v>30</v>
      </c>
      <c r="F2066" s="6">
        <v>44926</v>
      </c>
      <c r="G2066">
        <v>2022</v>
      </c>
      <c r="H2066" t="s">
        <v>57</v>
      </c>
      <c r="I2066" t="s">
        <v>90</v>
      </c>
      <c r="J2066">
        <v>97</v>
      </c>
      <c r="K2066">
        <v>98.116666666666674</v>
      </c>
      <c r="L2066">
        <v>1.0115120274914089</v>
      </c>
      <c r="M2066">
        <v>1.0115120274914089</v>
      </c>
      <c r="N2066" t="s">
        <v>1005</v>
      </c>
      <c r="O2066" t="s">
        <v>6504</v>
      </c>
      <c r="P2066" t="s">
        <v>4758</v>
      </c>
      <c r="Q2066">
        <v>2</v>
      </c>
      <c r="R2066">
        <v>2</v>
      </c>
    </row>
    <row r="2067" spans="1:18" x14ac:dyDescent="0.3">
      <c r="A2067" t="s">
        <v>4330</v>
      </c>
      <c r="B2067" t="s">
        <v>4746</v>
      </c>
      <c r="C2067" t="s">
        <v>266</v>
      </c>
      <c r="D2067" t="s">
        <v>29</v>
      </c>
      <c r="E2067" t="s">
        <v>30</v>
      </c>
      <c r="F2067" s="6">
        <v>45107</v>
      </c>
      <c r="G2067">
        <v>2023</v>
      </c>
      <c r="H2067" t="s">
        <v>44</v>
      </c>
      <c r="I2067" t="s">
        <v>33</v>
      </c>
      <c r="J2067">
        <v>97</v>
      </c>
      <c r="K2067">
        <v>97.683333333333337</v>
      </c>
      <c r="L2067">
        <v>1.0070446735395191</v>
      </c>
      <c r="M2067">
        <v>1.0070446735395191</v>
      </c>
      <c r="N2067" t="s">
        <v>1005</v>
      </c>
      <c r="O2067" t="s">
        <v>5747</v>
      </c>
      <c r="P2067" t="s">
        <v>4764</v>
      </c>
      <c r="Q2067">
        <v>2</v>
      </c>
      <c r="R2067">
        <v>2</v>
      </c>
    </row>
    <row r="2068" spans="1:18" x14ac:dyDescent="0.3">
      <c r="A2068" t="s">
        <v>4330</v>
      </c>
      <c r="B2068" t="s">
        <v>4746</v>
      </c>
      <c r="C2068" t="s">
        <v>266</v>
      </c>
      <c r="D2068" t="s">
        <v>29</v>
      </c>
      <c r="E2068" t="s">
        <v>30</v>
      </c>
      <c r="F2068" s="6">
        <v>45291</v>
      </c>
      <c r="G2068">
        <v>2023</v>
      </c>
      <c r="H2068" t="s">
        <v>57</v>
      </c>
      <c r="I2068" t="s">
        <v>47</v>
      </c>
      <c r="J2068">
        <v>97</v>
      </c>
      <c r="K2068">
        <v>97.583333333333329</v>
      </c>
      <c r="L2068">
        <v>1.0060137457044671</v>
      </c>
      <c r="M2068">
        <v>1.0060137457044671</v>
      </c>
      <c r="N2068" t="s">
        <v>1005</v>
      </c>
      <c r="O2068" t="s">
        <v>6505</v>
      </c>
      <c r="P2068" t="s">
        <v>4770</v>
      </c>
      <c r="Q2068">
        <v>2</v>
      </c>
      <c r="R2068">
        <v>2</v>
      </c>
    </row>
    <row r="2069" spans="1:18" x14ac:dyDescent="0.3">
      <c r="A2069" t="s">
        <v>4330</v>
      </c>
      <c r="B2069" t="s">
        <v>4746</v>
      </c>
      <c r="C2069" t="s">
        <v>266</v>
      </c>
      <c r="D2069" t="s">
        <v>29</v>
      </c>
      <c r="E2069" t="s">
        <v>30</v>
      </c>
      <c r="F2069" s="6">
        <v>45473</v>
      </c>
      <c r="G2069">
        <v>2024</v>
      </c>
      <c r="H2069" t="s">
        <v>44</v>
      </c>
      <c r="I2069" t="s">
        <v>71</v>
      </c>
      <c r="J2069">
        <v>97</v>
      </c>
      <c r="K2069">
        <v>98.331666666666663</v>
      </c>
      <c r="L2069">
        <v>1.01372852233677</v>
      </c>
      <c r="M2069">
        <v>1.01372852233677</v>
      </c>
      <c r="N2069" t="s">
        <v>1005</v>
      </c>
      <c r="O2069" t="s">
        <v>6506</v>
      </c>
      <c r="P2069" t="s">
        <v>4776</v>
      </c>
      <c r="Q2069">
        <v>2</v>
      </c>
      <c r="R2069">
        <v>2</v>
      </c>
    </row>
    <row r="2070" spans="1:18" x14ac:dyDescent="0.3">
      <c r="A2070" t="s">
        <v>4330</v>
      </c>
      <c r="B2070" t="s">
        <v>4746</v>
      </c>
      <c r="C2070" t="s">
        <v>266</v>
      </c>
      <c r="D2070" t="s">
        <v>29</v>
      </c>
      <c r="E2070" t="s">
        <v>30</v>
      </c>
      <c r="F2070" s="6">
        <v>45657</v>
      </c>
      <c r="G2070">
        <v>2024</v>
      </c>
      <c r="H2070" t="s">
        <v>57</v>
      </c>
      <c r="I2070" t="s">
        <v>78</v>
      </c>
      <c r="J2070">
        <v>97</v>
      </c>
      <c r="K2070">
        <v>96.533333333333346</v>
      </c>
      <c r="L2070">
        <v>0.99518900343642624</v>
      </c>
      <c r="M2070">
        <v>0.99518900343642624</v>
      </c>
      <c r="N2070" t="s">
        <v>1005</v>
      </c>
      <c r="O2070" t="s">
        <v>6507</v>
      </c>
      <c r="P2070" t="s">
        <v>4782</v>
      </c>
      <c r="Q2070">
        <v>2</v>
      </c>
      <c r="R2070">
        <v>2</v>
      </c>
    </row>
    <row r="2071" spans="1:18" x14ac:dyDescent="0.3">
      <c r="A2071" t="s">
        <v>4330</v>
      </c>
      <c r="B2071" t="s">
        <v>4746</v>
      </c>
      <c r="C2071" t="s">
        <v>270</v>
      </c>
      <c r="D2071" t="s">
        <v>29</v>
      </c>
      <c r="E2071" t="s">
        <v>30</v>
      </c>
      <c r="F2071" s="6">
        <v>45838</v>
      </c>
      <c r="G2071">
        <v>2025</v>
      </c>
      <c r="H2071" t="s">
        <v>44</v>
      </c>
      <c r="I2071" t="s">
        <v>244</v>
      </c>
      <c r="J2071">
        <v>97</v>
      </c>
      <c r="K2071">
        <v>94.649999999999991</v>
      </c>
      <c r="L2071">
        <v>0.97577319587628852</v>
      </c>
      <c r="M2071">
        <v>0.97577319587628852</v>
      </c>
      <c r="N2071" t="s">
        <v>1005</v>
      </c>
      <c r="O2071" t="s">
        <v>6508</v>
      </c>
      <c r="P2071" t="s">
        <v>4792</v>
      </c>
      <c r="Q2071">
        <v>2</v>
      </c>
      <c r="R2071">
        <v>2</v>
      </c>
    </row>
    <row r="2072" spans="1:18" x14ac:dyDescent="0.3">
      <c r="A2072" t="s">
        <v>4330</v>
      </c>
      <c r="B2072" t="s">
        <v>4746</v>
      </c>
      <c r="C2072" t="s">
        <v>270</v>
      </c>
      <c r="D2072" t="s">
        <v>29</v>
      </c>
      <c r="E2072" t="s">
        <v>30</v>
      </c>
      <c r="F2072" s="6">
        <v>46022</v>
      </c>
      <c r="G2072">
        <v>2025</v>
      </c>
      <c r="H2072" t="s">
        <v>57</v>
      </c>
      <c r="I2072" t="s">
        <v>103</v>
      </c>
      <c r="J2072">
        <v>97</v>
      </c>
      <c r="K2072">
        <v>96.46</v>
      </c>
      <c r="L2072">
        <v>0.99443298969072158</v>
      </c>
      <c r="M2072">
        <v>0.99443298969072158</v>
      </c>
      <c r="N2072" t="s">
        <v>1005</v>
      </c>
      <c r="O2072" t="s">
        <v>6509</v>
      </c>
      <c r="P2072" t="s">
        <v>4807</v>
      </c>
      <c r="Q2072">
        <v>2</v>
      </c>
      <c r="R2072">
        <v>2</v>
      </c>
    </row>
    <row r="2073" spans="1:18" x14ac:dyDescent="0.3">
      <c r="A2073" t="s">
        <v>4330</v>
      </c>
      <c r="B2073" t="s">
        <v>4746</v>
      </c>
      <c r="C2073" t="s">
        <v>270</v>
      </c>
      <c r="D2073" t="s">
        <v>29</v>
      </c>
      <c r="E2073" t="s">
        <v>30</v>
      </c>
      <c r="F2073" s="6">
        <v>46203</v>
      </c>
      <c r="G2073">
        <v>2026</v>
      </c>
      <c r="H2073" t="s">
        <v>44</v>
      </c>
      <c r="I2073" t="s">
        <v>408</v>
      </c>
      <c r="J2073">
        <v>97</v>
      </c>
      <c r="K2073">
        <v>94.9</v>
      </c>
      <c r="L2073">
        <v>0.9783505154639176</v>
      </c>
      <c r="M2073">
        <v>0.9783505154639176</v>
      </c>
      <c r="N2073" t="s">
        <v>1005</v>
      </c>
      <c r="O2073" t="s">
        <v>4809</v>
      </c>
      <c r="P2073" t="s">
        <v>6510</v>
      </c>
      <c r="Q2073">
        <v>2</v>
      </c>
      <c r="R2073">
        <v>2</v>
      </c>
    </row>
    <row r="2074" spans="1:18" x14ac:dyDescent="0.3">
      <c r="A2074" t="s">
        <v>4811</v>
      </c>
      <c r="B2074" t="s">
        <v>4481</v>
      </c>
      <c r="C2074" t="s">
        <v>283</v>
      </c>
      <c r="D2074" t="s">
        <v>284</v>
      </c>
      <c r="E2074" t="s">
        <v>30</v>
      </c>
      <c r="F2074" s="6">
        <v>45107</v>
      </c>
      <c r="G2074">
        <v>2023</v>
      </c>
      <c r="H2074" t="s">
        <v>44</v>
      </c>
      <c r="I2074" t="s">
        <v>33</v>
      </c>
      <c r="J2074">
        <v>100</v>
      </c>
      <c r="K2074">
        <v>100</v>
      </c>
      <c r="L2074">
        <v>1</v>
      </c>
      <c r="M2074">
        <v>1</v>
      </c>
      <c r="N2074" t="s">
        <v>102</v>
      </c>
      <c r="O2074" t="s">
        <v>102</v>
      </c>
      <c r="P2074" t="s">
        <v>4813</v>
      </c>
      <c r="Q2074">
        <v>2</v>
      </c>
      <c r="R2074">
        <v>2</v>
      </c>
    </row>
    <row r="2075" spans="1:18" x14ac:dyDescent="0.3">
      <c r="A2075" t="s">
        <v>4811</v>
      </c>
      <c r="B2075" t="s">
        <v>4481</v>
      </c>
      <c r="C2075" t="s">
        <v>283</v>
      </c>
      <c r="D2075" t="s">
        <v>284</v>
      </c>
      <c r="E2075" t="s">
        <v>30</v>
      </c>
      <c r="F2075" s="6">
        <v>45291</v>
      </c>
      <c r="G2075">
        <v>2023</v>
      </c>
      <c r="H2075" t="s">
        <v>57</v>
      </c>
      <c r="I2075" t="s">
        <v>47</v>
      </c>
      <c r="J2075">
        <v>100</v>
      </c>
      <c r="K2075">
        <v>107.40666666666669</v>
      </c>
      <c r="L2075">
        <v>1.0740666666666669</v>
      </c>
      <c r="M2075">
        <v>1.0740666666666669</v>
      </c>
      <c r="N2075" t="s">
        <v>102</v>
      </c>
      <c r="O2075" t="s">
        <v>6485</v>
      </c>
      <c r="P2075" t="s">
        <v>4816</v>
      </c>
      <c r="Q2075">
        <v>2</v>
      </c>
      <c r="R2075">
        <v>2</v>
      </c>
    </row>
    <row r="2076" spans="1:18" x14ac:dyDescent="0.3">
      <c r="A2076" t="s">
        <v>4811</v>
      </c>
      <c r="B2076" t="s">
        <v>4481</v>
      </c>
      <c r="C2076" t="s">
        <v>283</v>
      </c>
      <c r="D2076" t="s">
        <v>284</v>
      </c>
      <c r="E2076" t="s">
        <v>30</v>
      </c>
      <c r="F2076" s="6">
        <v>45473</v>
      </c>
      <c r="G2076">
        <v>2024</v>
      </c>
      <c r="H2076" t="s">
        <v>44</v>
      </c>
      <c r="I2076" t="s">
        <v>71</v>
      </c>
      <c r="J2076">
        <v>100</v>
      </c>
      <c r="K2076">
        <v>90</v>
      </c>
      <c r="L2076">
        <v>0.9</v>
      </c>
      <c r="M2076">
        <v>0.9</v>
      </c>
      <c r="N2076" t="s">
        <v>102</v>
      </c>
      <c r="O2076" t="s">
        <v>256</v>
      </c>
      <c r="P2076" t="s">
        <v>4819</v>
      </c>
      <c r="Q2076">
        <v>2</v>
      </c>
      <c r="R2076">
        <v>2</v>
      </c>
    </row>
    <row r="2077" spans="1:18" x14ac:dyDescent="0.3">
      <c r="A2077" t="s">
        <v>4811</v>
      </c>
      <c r="B2077" t="s">
        <v>4481</v>
      </c>
      <c r="C2077" t="s">
        <v>283</v>
      </c>
      <c r="D2077" t="s">
        <v>284</v>
      </c>
      <c r="E2077" t="s">
        <v>30</v>
      </c>
      <c r="F2077" s="6">
        <v>45657</v>
      </c>
      <c r="G2077">
        <v>2024</v>
      </c>
      <c r="H2077" t="s">
        <v>57</v>
      </c>
      <c r="I2077" t="s">
        <v>78</v>
      </c>
      <c r="J2077">
        <v>100</v>
      </c>
      <c r="K2077">
        <v>104.1666666666667</v>
      </c>
      <c r="L2077">
        <v>1.041666666666667</v>
      </c>
      <c r="M2077">
        <v>1.041666666666667</v>
      </c>
      <c r="N2077" t="s">
        <v>102</v>
      </c>
      <c r="O2077" t="s">
        <v>6486</v>
      </c>
      <c r="P2077" t="s">
        <v>4822</v>
      </c>
      <c r="Q2077">
        <v>2</v>
      </c>
      <c r="R2077">
        <v>2</v>
      </c>
    </row>
    <row r="2078" spans="1:18" x14ac:dyDescent="0.3">
      <c r="A2078" t="s">
        <v>4823</v>
      </c>
      <c r="B2078" t="s">
        <v>4824</v>
      </c>
      <c r="C2078" t="s">
        <v>283</v>
      </c>
      <c r="D2078" t="s">
        <v>284</v>
      </c>
      <c r="E2078" t="s">
        <v>30</v>
      </c>
      <c r="F2078" s="6">
        <v>45107</v>
      </c>
      <c r="G2078">
        <v>2023</v>
      </c>
      <c r="H2078" t="s">
        <v>44</v>
      </c>
      <c r="I2078" t="s">
        <v>33</v>
      </c>
      <c r="J2078">
        <v>85</v>
      </c>
      <c r="K2078">
        <v>100</v>
      </c>
      <c r="L2078">
        <v>1.1764705882352939</v>
      </c>
      <c r="M2078">
        <v>1.1764705882352939</v>
      </c>
      <c r="N2078" t="s">
        <v>2357</v>
      </c>
      <c r="O2078" t="s">
        <v>102</v>
      </c>
      <c r="P2078" t="s">
        <v>4827</v>
      </c>
      <c r="Q2078">
        <v>2</v>
      </c>
      <c r="R2078">
        <v>2</v>
      </c>
    </row>
    <row r="2079" spans="1:18" x14ac:dyDescent="0.3">
      <c r="A2079" t="s">
        <v>4823</v>
      </c>
      <c r="B2079" t="s">
        <v>4824</v>
      </c>
      <c r="C2079" t="s">
        <v>283</v>
      </c>
      <c r="D2079" t="s">
        <v>284</v>
      </c>
      <c r="E2079" t="s">
        <v>30</v>
      </c>
      <c r="F2079" s="6">
        <v>45291</v>
      </c>
      <c r="G2079">
        <v>2023</v>
      </c>
      <c r="H2079" t="s">
        <v>57</v>
      </c>
      <c r="I2079" t="s">
        <v>47</v>
      </c>
      <c r="J2079">
        <v>85</v>
      </c>
      <c r="K2079">
        <v>98.483333333333334</v>
      </c>
      <c r="L2079">
        <v>1.158627450980392</v>
      </c>
      <c r="M2079">
        <v>1.158627450980392</v>
      </c>
      <c r="N2079" t="s">
        <v>2357</v>
      </c>
      <c r="O2079" t="s">
        <v>6511</v>
      </c>
      <c r="P2079" t="s">
        <v>4830</v>
      </c>
      <c r="Q2079">
        <v>2</v>
      </c>
      <c r="R2079">
        <v>2</v>
      </c>
    </row>
    <row r="2080" spans="1:18" x14ac:dyDescent="0.3">
      <c r="A2080" t="s">
        <v>4831</v>
      </c>
      <c r="B2080" t="s">
        <v>4832</v>
      </c>
      <c r="C2080" t="s">
        <v>28</v>
      </c>
      <c r="D2080" t="s">
        <v>29</v>
      </c>
      <c r="E2080" t="s">
        <v>30</v>
      </c>
      <c r="F2080" s="6">
        <v>45107</v>
      </c>
      <c r="G2080">
        <v>2023</v>
      </c>
      <c r="H2080" t="s">
        <v>44</v>
      </c>
      <c r="I2080" t="s">
        <v>33</v>
      </c>
      <c r="J2080">
        <v>42.666666666666657</v>
      </c>
      <c r="K2080">
        <v>43.333333333333343</v>
      </c>
      <c r="L2080">
        <v>1.015625</v>
      </c>
      <c r="M2080">
        <v>1.015625</v>
      </c>
      <c r="N2080" t="s">
        <v>6512</v>
      </c>
      <c r="O2080" t="s">
        <v>6513</v>
      </c>
      <c r="P2080" t="s">
        <v>4838</v>
      </c>
      <c r="Q2080">
        <v>2</v>
      </c>
      <c r="R2080">
        <v>2</v>
      </c>
    </row>
    <row r="2081" spans="1:18" x14ac:dyDescent="0.3">
      <c r="A2081" t="s">
        <v>4831</v>
      </c>
      <c r="B2081" t="s">
        <v>4832</v>
      </c>
      <c r="C2081" t="s">
        <v>28</v>
      </c>
      <c r="D2081" t="s">
        <v>29</v>
      </c>
      <c r="E2081" t="s">
        <v>30</v>
      </c>
      <c r="F2081" s="6">
        <v>45291</v>
      </c>
      <c r="G2081">
        <v>2023</v>
      </c>
      <c r="H2081" t="s">
        <v>57</v>
      </c>
      <c r="I2081" t="s">
        <v>47</v>
      </c>
      <c r="J2081">
        <v>88.666666666666671</v>
      </c>
      <c r="K2081">
        <v>87</v>
      </c>
      <c r="L2081">
        <v>0.98120300751879697</v>
      </c>
      <c r="M2081">
        <v>0.98120300751879697</v>
      </c>
      <c r="N2081" t="s">
        <v>6514</v>
      </c>
      <c r="O2081" t="s">
        <v>1045</v>
      </c>
      <c r="P2081" t="s">
        <v>4844</v>
      </c>
      <c r="Q2081">
        <v>2</v>
      </c>
      <c r="R2081">
        <v>2</v>
      </c>
    </row>
    <row r="2082" spans="1:18" x14ac:dyDescent="0.3">
      <c r="A2082" t="s">
        <v>4845</v>
      </c>
      <c r="B2082" t="s">
        <v>4846</v>
      </c>
      <c r="C2082" t="s">
        <v>97</v>
      </c>
      <c r="D2082" t="s">
        <v>98</v>
      </c>
      <c r="E2082" t="s">
        <v>30</v>
      </c>
      <c r="F2082" s="6">
        <v>45291</v>
      </c>
      <c r="G2082">
        <v>2023</v>
      </c>
      <c r="H2082" t="s">
        <v>57</v>
      </c>
      <c r="I2082" t="s">
        <v>47</v>
      </c>
      <c r="J2082">
        <v>100</v>
      </c>
      <c r="K2082">
        <v>100</v>
      </c>
      <c r="L2082">
        <v>1</v>
      </c>
      <c r="M2082">
        <v>1</v>
      </c>
      <c r="N2082" t="s">
        <v>102</v>
      </c>
      <c r="O2082" t="s">
        <v>102</v>
      </c>
      <c r="P2082" t="s">
        <v>4847</v>
      </c>
      <c r="Q2082">
        <v>2</v>
      </c>
      <c r="R2082">
        <v>2</v>
      </c>
    </row>
    <row r="2083" spans="1:18" x14ac:dyDescent="0.3">
      <c r="A2083" t="s">
        <v>4845</v>
      </c>
      <c r="B2083" t="s">
        <v>4846</v>
      </c>
      <c r="C2083" t="s">
        <v>97</v>
      </c>
      <c r="D2083" t="s">
        <v>98</v>
      </c>
      <c r="E2083" t="s">
        <v>30</v>
      </c>
      <c r="F2083" s="6">
        <v>45657</v>
      </c>
      <c r="G2083">
        <v>2024</v>
      </c>
      <c r="H2083" t="s">
        <v>57</v>
      </c>
      <c r="I2083" t="s">
        <v>78</v>
      </c>
      <c r="J2083">
        <v>100</v>
      </c>
      <c r="K2083">
        <v>100</v>
      </c>
      <c r="L2083">
        <v>1</v>
      </c>
      <c r="M2083">
        <v>1</v>
      </c>
      <c r="N2083" t="s">
        <v>102</v>
      </c>
      <c r="O2083" t="s">
        <v>102</v>
      </c>
      <c r="P2083" t="s">
        <v>4848</v>
      </c>
      <c r="Q2083">
        <v>2</v>
      </c>
      <c r="R2083">
        <v>2</v>
      </c>
    </row>
    <row r="2084" spans="1:18" x14ac:dyDescent="0.3">
      <c r="A2084" t="s">
        <v>4845</v>
      </c>
      <c r="B2084" t="s">
        <v>4846</v>
      </c>
      <c r="C2084" t="s">
        <v>97</v>
      </c>
      <c r="D2084" t="s">
        <v>98</v>
      </c>
      <c r="E2084" t="s">
        <v>30</v>
      </c>
      <c r="F2084" s="6">
        <v>46022</v>
      </c>
      <c r="G2084">
        <v>2025</v>
      </c>
      <c r="H2084" t="s">
        <v>57</v>
      </c>
      <c r="I2084" t="s">
        <v>103</v>
      </c>
      <c r="J2084">
        <v>100</v>
      </c>
      <c r="K2084">
        <v>100</v>
      </c>
      <c r="L2084">
        <v>1</v>
      </c>
      <c r="M2084">
        <v>1</v>
      </c>
      <c r="N2084" t="s">
        <v>102</v>
      </c>
      <c r="O2084" t="s">
        <v>102</v>
      </c>
      <c r="P2084" t="s">
        <v>4849</v>
      </c>
      <c r="Q2084">
        <v>2</v>
      </c>
      <c r="R2084">
        <v>2</v>
      </c>
    </row>
    <row r="2085" spans="1:18" x14ac:dyDescent="0.3">
      <c r="A2085" t="s">
        <v>4850</v>
      </c>
      <c r="B2085" t="s">
        <v>4851</v>
      </c>
      <c r="C2085" t="s">
        <v>97</v>
      </c>
      <c r="D2085" t="s">
        <v>98</v>
      </c>
      <c r="E2085" t="s">
        <v>30</v>
      </c>
      <c r="F2085" s="6">
        <v>45291</v>
      </c>
      <c r="G2085">
        <v>2023</v>
      </c>
      <c r="H2085" t="s">
        <v>57</v>
      </c>
      <c r="I2085" t="s">
        <v>47</v>
      </c>
      <c r="J2085">
        <v>100</v>
      </c>
      <c r="K2085">
        <v>100</v>
      </c>
      <c r="L2085">
        <v>1</v>
      </c>
      <c r="M2085">
        <v>1</v>
      </c>
      <c r="N2085" t="s">
        <v>102</v>
      </c>
      <c r="O2085" t="s">
        <v>102</v>
      </c>
      <c r="P2085" t="s">
        <v>4852</v>
      </c>
      <c r="Q2085">
        <v>2</v>
      </c>
      <c r="R2085">
        <v>2</v>
      </c>
    </row>
    <row r="2086" spans="1:18" x14ac:dyDescent="0.3">
      <c r="A2086" t="s">
        <v>4850</v>
      </c>
      <c r="B2086" t="s">
        <v>4851</v>
      </c>
      <c r="C2086" t="s">
        <v>97</v>
      </c>
      <c r="D2086" t="s">
        <v>98</v>
      </c>
      <c r="E2086" t="s">
        <v>30</v>
      </c>
      <c r="F2086" s="6">
        <v>45657</v>
      </c>
      <c r="G2086">
        <v>2024</v>
      </c>
      <c r="H2086" t="s">
        <v>57</v>
      </c>
      <c r="I2086" t="s">
        <v>78</v>
      </c>
      <c r="J2086">
        <v>100</v>
      </c>
      <c r="K2086">
        <v>100</v>
      </c>
      <c r="L2086">
        <v>1</v>
      </c>
      <c r="M2086">
        <v>1</v>
      </c>
      <c r="N2086" t="s">
        <v>102</v>
      </c>
      <c r="O2086" t="s">
        <v>102</v>
      </c>
      <c r="P2086" t="s">
        <v>4853</v>
      </c>
      <c r="Q2086">
        <v>2</v>
      </c>
      <c r="R2086">
        <v>2</v>
      </c>
    </row>
    <row r="2087" spans="1:18" x14ac:dyDescent="0.3">
      <c r="A2087" t="s">
        <v>4850</v>
      </c>
      <c r="B2087" t="s">
        <v>4851</v>
      </c>
      <c r="C2087" t="s">
        <v>97</v>
      </c>
      <c r="D2087" t="s">
        <v>98</v>
      </c>
      <c r="E2087" t="s">
        <v>30</v>
      </c>
      <c r="F2087" s="6">
        <v>46022</v>
      </c>
      <c r="G2087">
        <v>2025</v>
      </c>
      <c r="H2087" t="s">
        <v>57</v>
      </c>
      <c r="I2087" t="s">
        <v>103</v>
      </c>
      <c r="J2087">
        <v>100</v>
      </c>
      <c r="K2087">
        <v>100</v>
      </c>
      <c r="L2087">
        <v>1</v>
      </c>
      <c r="M2087">
        <v>1</v>
      </c>
      <c r="N2087" t="s">
        <v>102</v>
      </c>
      <c r="O2087" t="s">
        <v>102</v>
      </c>
      <c r="P2087" t="s">
        <v>4854</v>
      </c>
      <c r="Q2087">
        <v>2</v>
      </c>
      <c r="R2087">
        <v>2</v>
      </c>
    </row>
    <row r="2088" spans="1:18" x14ac:dyDescent="0.3">
      <c r="A2088" t="s">
        <v>4409</v>
      </c>
      <c r="B2088" t="s">
        <v>4855</v>
      </c>
      <c r="C2088" t="s">
        <v>97</v>
      </c>
      <c r="D2088" t="s">
        <v>222</v>
      </c>
      <c r="E2088" t="s">
        <v>30</v>
      </c>
      <c r="F2088" s="6">
        <v>45107</v>
      </c>
      <c r="G2088">
        <v>2023</v>
      </c>
      <c r="H2088" t="s">
        <v>44</v>
      </c>
      <c r="I2088" t="s">
        <v>33</v>
      </c>
      <c r="J2088">
        <v>100</v>
      </c>
      <c r="K2088">
        <v>100</v>
      </c>
      <c r="L2088">
        <v>1</v>
      </c>
      <c r="M2088">
        <v>1</v>
      </c>
      <c r="N2088" t="s">
        <v>102</v>
      </c>
      <c r="O2088" t="s">
        <v>102</v>
      </c>
      <c r="P2088" t="s">
        <v>4856</v>
      </c>
      <c r="Q2088">
        <v>2</v>
      </c>
      <c r="R2088">
        <v>2</v>
      </c>
    </row>
    <row r="2089" spans="1:18" x14ac:dyDescent="0.3">
      <c r="A2089" t="s">
        <v>4409</v>
      </c>
      <c r="B2089" t="s">
        <v>4855</v>
      </c>
      <c r="C2089" t="s">
        <v>97</v>
      </c>
      <c r="D2089" t="s">
        <v>222</v>
      </c>
      <c r="E2089" t="s">
        <v>30</v>
      </c>
      <c r="F2089" s="6">
        <v>45291</v>
      </c>
      <c r="G2089">
        <v>2023</v>
      </c>
      <c r="H2089" t="s">
        <v>57</v>
      </c>
      <c r="I2089" t="s">
        <v>47</v>
      </c>
      <c r="J2089">
        <v>100</v>
      </c>
      <c r="K2089">
        <v>100</v>
      </c>
      <c r="L2089">
        <v>1</v>
      </c>
      <c r="M2089">
        <v>1</v>
      </c>
      <c r="N2089" t="s">
        <v>102</v>
      </c>
      <c r="O2089" t="s">
        <v>102</v>
      </c>
      <c r="P2089" t="s">
        <v>4857</v>
      </c>
      <c r="Q2089">
        <v>2</v>
      </c>
      <c r="R2089">
        <v>2</v>
      </c>
    </row>
    <row r="2090" spans="1:18" x14ac:dyDescent="0.3">
      <c r="A2090" t="s">
        <v>4409</v>
      </c>
      <c r="B2090" t="s">
        <v>4855</v>
      </c>
      <c r="C2090" t="s">
        <v>97</v>
      </c>
      <c r="D2090" t="s">
        <v>222</v>
      </c>
      <c r="E2090" t="s">
        <v>30</v>
      </c>
      <c r="F2090" s="6">
        <v>45473</v>
      </c>
      <c r="G2090">
        <v>2024</v>
      </c>
      <c r="H2090" t="s">
        <v>44</v>
      </c>
      <c r="I2090" t="s">
        <v>71</v>
      </c>
      <c r="J2090">
        <v>100</v>
      </c>
      <c r="K2090">
        <v>100</v>
      </c>
      <c r="L2090">
        <v>1</v>
      </c>
      <c r="M2090">
        <v>1</v>
      </c>
      <c r="N2090" t="s">
        <v>102</v>
      </c>
      <c r="O2090" t="s">
        <v>102</v>
      </c>
      <c r="P2090" t="s">
        <v>4858</v>
      </c>
      <c r="Q2090">
        <v>2</v>
      </c>
      <c r="R2090">
        <v>2</v>
      </c>
    </row>
    <row r="2091" spans="1:18" x14ac:dyDescent="0.3">
      <c r="A2091" t="s">
        <v>4409</v>
      </c>
      <c r="B2091" t="s">
        <v>4855</v>
      </c>
      <c r="C2091" t="s">
        <v>97</v>
      </c>
      <c r="D2091" t="s">
        <v>222</v>
      </c>
      <c r="E2091" t="s">
        <v>30</v>
      </c>
      <c r="F2091" s="6">
        <v>45657</v>
      </c>
      <c r="G2091">
        <v>2024</v>
      </c>
      <c r="H2091" t="s">
        <v>57</v>
      </c>
      <c r="I2091" t="s">
        <v>78</v>
      </c>
      <c r="J2091">
        <v>100</v>
      </c>
      <c r="K2091">
        <v>100</v>
      </c>
      <c r="L2091">
        <v>1</v>
      </c>
      <c r="M2091">
        <v>1</v>
      </c>
      <c r="N2091" t="s">
        <v>102</v>
      </c>
      <c r="O2091" t="s">
        <v>102</v>
      </c>
      <c r="P2091" t="s">
        <v>4859</v>
      </c>
      <c r="Q2091">
        <v>2</v>
      </c>
      <c r="R2091">
        <v>2</v>
      </c>
    </row>
    <row r="2092" spans="1:18" x14ac:dyDescent="0.3">
      <c r="A2092" t="s">
        <v>4409</v>
      </c>
      <c r="B2092" t="s">
        <v>4855</v>
      </c>
      <c r="C2092" t="s">
        <v>97</v>
      </c>
      <c r="D2092" t="s">
        <v>222</v>
      </c>
      <c r="E2092" t="s">
        <v>30</v>
      </c>
      <c r="F2092" s="6">
        <v>45838</v>
      </c>
      <c r="G2092">
        <v>2025</v>
      </c>
      <c r="H2092" t="s">
        <v>44</v>
      </c>
      <c r="I2092" t="s">
        <v>244</v>
      </c>
      <c r="J2092">
        <v>100</v>
      </c>
      <c r="K2092">
        <v>100</v>
      </c>
      <c r="L2092">
        <v>1</v>
      </c>
      <c r="M2092">
        <v>1</v>
      </c>
      <c r="N2092" t="s">
        <v>102</v>
      </c>
      <c r="O2092" t="s">
        <v>102</v>
      </c>
      <c r="P2092" t="s">
        <v>4860</v>
      </c>
      <c r="Q2092">
        <v>2</v>
      </c>
      <c r="R2092">
        <v>2</v>
      </c>
    </row>
    <row r="2093" spans="1:18" x14ac:dyDescent="0.3">
      <c r="A2093" t="s">
        <v>4409</v>
      </c>
      <c r="B2093" t="s">
        <v>4855</v>
      </c>
      <c r="C2093" t="s">
        <v>97</v>
      </c>
      <c r="D2093" t="s">
        <v>222</v>
      </c>
      <c r="E2093" t="s">
        <v>30</v>
      </c>
      <c r="F2093" s="6">
        <v>46022</v>
      </c>
      <c r="G2093">
        <v>2025</v>
      </c>
      <c r="H2093" t="s">
        <v>57</v>
      </c>
      <c r="I2093" t="s">
        <v>103</v>
      </c>
      <c r="J2093">
        <v>100</v>
      </c>
      <c r="K2093">
        <v>100</v>
      </c>
      <c r="L2093">
        <v>1</v>
      </c>
      <c r="M2093">
        <v>1</v>
      </c>
      <c r="N2093" t="s">
        <v>102</v>
      </c>
      <c r="O2093" t="s">
        <v>102</v>
      </c>
      <c r="P2093" t="s">
        <v>4861</v>
      </c>
      <c r="Q2093">
        <v>2</v>
      </c>
      <c r="R2093">
        <v>2</v>
      </c>
    </row>
    <row r="2094" spans="1:18" x14ac:dyDescent="0.3">
      <c r="A2094" t="s">
        <v>4862</v>
      </c>
      <c r="B2094" t="s">
        <v>4863</v>
      </c>
      <c r="C2094" t="s">
        <v>97</v>
      </c>
      <c r="D2094" t="s">
        <v>98</v>
      </c>
      <c r="E2094" t="s">
        <v>30</v>
      </c>
      <c r="F2094" s="6">
        <v>45291</v>
      </c>
      <c r="G2094">
        <v>2023</v>
      </c>
      <c r="H2094" t="s">
        <v>57</v>
      </c>
      <c r="I2094" t="s">
        <v>47</v>
      </c>
      <c r="J2094">
        <v>90</v>
      </c>
      <c r="K2094">
        <v>100</v>
      </c>
      <c r="L2094">
        <v>1.1111111111111109</v>
      </c>
      <c r="M2094">
        <v>1.1111111111111109</v>
      </c>
      <c r="N2094" t="s">
        <v>256</v>
      </c>
      <c r="O2094" t="s">
        <v>102</v>
      </c>
      <c r="P2094" t="s">
        <v>4864</v>
      </c>
      <c r="Q2094">
        <v>2</v>
      </c>
      <c r="R2094">
        <v>2</v>
      </c>
    </row>
    <row r="2095" spans="1:18" x14ac:dyDescent="0.3">
      <c r="A2095" t="s">
        <v>4862</v>
      </c>
      <c r="B2095" t="s">
        <v>4863</v>
      </c>
      <c r="C2095" t="s">
        <v>97</v>
      </c>
      <c r="D2095" t="s">
        <v>98</v>
      </c>
      <c r="E2095" t="s">
        <v>30</v>
      </c>
      <c r="F2095" s="6">
        <v>45657</v>
      </c>
      <c r="G2095">
        <v>2024</v>
      </c>
      <c r="H2095" t="s">
        <v>57</v>
      </c>
      <c r="I2095" t="s">
        <v>78</v>
      </c>
      <c r="J2095">
        <v>90</v>
      </c>
      <c r="L2095">
        <v>0</v>
      </c>
      <c r="M2095">
        <v>0</v>
      </c>
      <c r="N2095" t="s">
        <v>256</v>
      </c>
      <c r="P2095" t="s">
        <v>4865</v>
      </c>
      <c r="Q2095">
        <v>2</v>
      </c>
      <c r="R2095">
        <v>2</v>
      </c>
    </row>
    <row r="2096" spans="1:18" x14ac:dyDescent="0.3">
      <c r="A2096" t="s">
        <v>4862</v>
      </c>
      <c r="B2096" t="s">
        <v>4863</v>
      </c>
      <c r="C2096" t="s">
        <v>97</v>
      </c>
      <c r="D2096" t="s">
        <v>98</v>
      </c>
      <c r="E2096" t="s">
        <v>30</v>
      </c>
      <c r="F2096" s="6">
        <v>46022</v>
      </c>
      <c r="G2096">
        <v>2025</v>
      </c>
      <c r="H2096" t="s">
        <v>57</v>
      </c>
      <c r="I2096" t="s">
        <v>103</v>
      </c>
      <c r="J2096">
        <v>80</v>
      </c>
      <c r="K2096">
        <v>100</v>
      </c>
      <c r="L2096">
        <v>1.25</v>
      </c>
      <c r="M2096">
        <v>1.25</v>
      </c>
      <c r="N2096" t="s">
        <v>193</v>
      </c>
      <c r="O2096" t="s">
        <v>102</v>
      </c>
      <c r="P2096" t="s">
        <v>4866</v>
      </c>
      <c r="Q2096">
        <v>2</v>
      </c>
      <c r="R2096">
        <v>2</v>
      </c>
    </row>
    <row r="2097" spans="1:18" x14ac:dyDescent="0.3">
      <c r="A2097" t="s">
        <v>4403</v>
      </c>
      <c r="B2097" t="s">
        <v>4867</v>
      </c>
      <c r="C2097" t="s">
        <v>97</v>
      </c>
      <c r="D2097" t="s">
        <v>98</v>
      </c>
      <c r="E2097" t="s">
        <v>30</v>
      </c>
      <c r="F2097" s="6">
        <v>45291</v>
      </c>
      <c r="G2097">
        <v>2023</v>
      </c>
      <c r="H2097" t="s">
        <v>57</v>
      </c>
      <c r="I2097" t="s">
        <v>47</v>
      </c>
      <c r="J2097">
        <v>100</v>
      </c>
      <c r="K2097">
        <v>100</v>
      </c>
      <c r="L2097">
        <v>1</v>
      </c>
      <c r="M2097">
        <v>1</v>
      </c>
      <c r="N2097" t="s">
        <v>102</v>
      </c>
      <c r="O2097" t="s">
        <v>102</v>
      </c>
      <c r="P2097" t="s">
        <v>4868</v>
      </c>
      <c r="Q2097">
        <v>2</v>
      </c>
      <c r="R2097">
        <v>2</v>
      </c>
    </row>
    <row r="2098" spans="1:18" x14ac:dyDescent="0.3">
      <c r="A2098" t="s">
        <v>4403</v>
      </c>
      <c r="B2098" t="s">
        <v>4867</v>
      </c>
      <c r="C2098" t="s">
        <v>97</v>
      </c>
      <c r="D2098" t="s">
        <v>98</v>
      </c>
      <c r="E2098" t="s">
        <v>30</v>
      </c>
      <c r="F2098" s="6">
        <v>45657</v>
      </c>
      <c r="G2098">
        <v>2024</v>
      </c>
      <c r="H2098" t="s">
        <v>57</v>
      </c>
      <c r="I2098" t="s">
        <v>78</v>
      </c>
      <c r="J2098">
        <v>100</v>
      </c>
      <c r="K2098">
        <v>100</v>
      </c>
      <c r="L2098">
        <v>1</v>
      </c>
      <c r="M2098">
        <v>1</v>
      </c>
      <c r="N2098" t="s">
        <v>102</v>
      </c>
      <c r="O2098" t="s">
        <v>102</v>
      </c>
      <c r="P2098" t="s">
        <v>4869</v>
      </c>
      <c r="Q2098">
        <v>2</v>
      </c>
      <c r="R2098">
        <v>2</v>
      </c>
    </row>
    <row r="2099" spans="1:18" x14ac:dyDescent="0.3">
      <c r="A2099" t="s">
        <v>4403</v>
      </c>
      <c r="B2099" t="s">
        <v>4867</v>
      </c>
      <c r="C2099" t="s">
        <v>97</v>
      </c>
      <c r="D2099" t="s">
        <v>98</v>
      </c>
      <c r="E2099" t="s">
        <v>30</v>
      </c>
      <c r="F2099" s="6">
        <v>46022</v>
      </c>
      <c r="G2099">
        <v>2025</v>
      </c>
      <c r="H2099" t="s">
        <v>57</v>
      </c>
      <c r="I2099" t="s">
        <v>103</v>
      </c>
      <c r="J2099">
        <v>100</v>
      </c>
      <c r="K2099">
        <v>100</v>
      </c>
      <c r="L2099">
        <v>1</v>
      </c>
      <c r="M2099">
        <v>1</v>
      </c>
      <c r="N2099" t="s">
        <v>102</v>
      </c>
      <c r="O2099" t="s">
        <v>102</v>
      </c>
      <c r="P2099" t="s">
        <v>4870</v>
      </c>
      <c r="Q2099">
        <v>2</v>
      </c>
      <c r="R2099">
        <v>2</v>
      </c>
    </row>
    <row r="2100" spans="1:18" x14ac:dyDescent="0.3">
      <c r="A2100" t="s">
        <v>279</v>
      </c>
      <c r="B2100" t="s">
        <v>4871</v>
      </c>
      <c r="C2100" t="s">
        <v>97</v>
      </c>
      <c r="D2100" t="s">
        <v>98</v>
      </c>
      <c r="E2100" t="s">
        <v>30</v>
      </c>
      <c r="F2100" s="6">
        <v>45291</v>
      </c>
      <c r="G2100">
        <v>2023</v>
      </c>
      <c r="H2100" t="s">
        <v>57</v>
      </c>
      <c r="I2100" t="s">
        <v>47</v>
      </c>
      <c r="J2100">
        <v>100</v>
      </c>
      <c r="K2100">
        <v>100</v>
      </c>
      <c r="L2100">
        <v>1</v>
      </c>
      <c r="M2100">
        <v>1</v>
      </c>
      <c r="N2100" t="s">
        <v>102</v>
      </c>
      <c r="O2100" t="s">
        <v>102</v>
      </c>
      <c r="P2100" t="s">
        <v>4872</v>
      </c>
      <c r="Q2100">
        <v>2</v>
      </c>
      <c r="R2100">
        <v>2</v>
      </c>
    </row>
    <row r="2101" spans="1:18" x14ac:dyDescent="0.3">
      <c r="A2101" t="s">
        <v>279</v>
      </c>
      <c r="B2101" t="s">
        <v>4871</v>
      </c>
      <c r="C2101" t="s">
        <v>97</v>
      </c>
      <c r="D2101" t="s">
        <v>98</v>
      </c>
      <c r="E2101" t="s">
        <v>30</v>
      </c>
      <c r="F2101" s="6">
        <v>45657</v>
      </c>
      <c r="G2101">
        <v>2024</v>
      </c>
      <c r="H2101" t="s">
        <v>57</v>
      </c>
      <c r="I2101" t="s">
        <v>78</v>
      </c>
      <c r="J2101">
        <v>100</v>
      </c>
      <c r="K2101">
        <v>100</v>
      </c>
      <c r="L2101">
        <v>1</v>
      </c>
      <c r="M2101">
        <v>1</v>
      </c>
      <c r="N2101" t="s">
        <v>102</v>
      </c>
      <c r="O2101" t="s">
        <v>102</v>
      </c>
      <c r="P2101" t="s">
        <v>4873</v>
      </c>
      <c r="Q2101">
        <v>2</v>
      </c>
      <c r="R2101">
        <v>2</v>
      </c>
    </row>
    <row r="2102" spans="1:18" x14ac:dyDescent="0.3">
      <c r="A2102" t="s">
        <v>279</v>
      </c>
      <c r="B2102" t="s">
        <v>4871</v>
      </c>
      <c r="C2102" t="s">
        <v>97</v>
      </c>
      <c r="D2102" t="s">
        <v>98</v>
      </c>
      <c r="E2102" t="s">
        <v>30</v>
      </c>
      <c r="F2102" s="6">
        <v>46022</v>
      </c>
      <c r="G2102">
        <v>2025</v>
      </c>
      <c r="H2102" t="s">
        <v>57</v>
      </c>
      <c r="I2102" t="s">
        <v>103</v>
      </c>
      <c r="J2102">
        <v>100</v>
      </c>
      <c r="K2102">
        <v>100</v>
      </c>
      <c r="L2102">
        <v>1</v>
      </c>
      <c r="M2102">
        <v>1</v>
      </c>
      <c r="N2102" t="s">
        <v>102</v>
      </c>
      <c r="O2102" t="s">
        <v>102</v>
      </c>
      <c r="P2102" t="s">
        <v>4874</v>
      </c>
      <c r="Q2102">
        <v>2</v>
      </c>
      <c r="R2102">
        <v>2</v>
      </c>
    </row>
    <row r="2103" spans="1:18" x14ac:dyDescent="0.3">
      <c r="A2103" t="s">
        <v>4875</v>
      </c>
      <c r="B2103" t="s">
        <v>4876</v>
      </c>
      <c r="C2103" t="s">
        <v>266</v>
      </c>
      <c r="D2103" t="s">
        <v>29</v>
      </c>
      <c r="E2103" t="s">
        <v>30</v>
      </c>
      <c r="F2103" s="6">
        <v>45107</v>
      </c>
      <c r="G2103">
        <v>2023</v>
      </c>
      <c r="H2103" t="s">
        <v>44</v>
      </c>
      <c r="I2103" t="s">
        <v>33</v>
      </c>
      <c r="J2103">
        <v>32.666666666666657</v>
      </c>
      <c r="K2103">
        <v>22</v>
      </c>
      <c r="L2103">
        <v>0.67346938775510212</v>
      </c>
      <c r="M2103">
        <v>0.67346938775510212</v>
      </c>
      <c r="N2103" t="s">
        <v>6515</v>
      </c>
      <c r="O2103" t="s">
        <v>1460</v>
      </c>
      <c r="P2103" t="s">
        <v>4879</v>
      </c>
      <c r="Q2103">
        <v>2</v>
      </c>
      <c r="R2103">
        <v>2</v>
      </c>
    </row>
    <row r="2104" spans="1:18" x14ac:dyDescent="0.3">
      <c r="A2104" t="s">
        <v>4875</v>
      </c>
      <c r="B2104" t="s">
        <v>4876</v>
      </c>
      <c r="C2104" t="s">
        <v>266</v>
      </c>
      <c r="D2104" t="s">
        <v>29</v>
      </c>
      <c r="E2104" t="s">
        <v>30</v>
      </c>
      <c r="F2104" s="6">
        <v>45291</v>
      </c>
      <c r="G2104">
        <v>2023</v>
      </c>
      <c r="H2104" t="s">
        <v>57</v>
      </c>
      <c r="I2104" t="s">
        <v>47</v>
      </c>
      <c r="J2104">
        <v>79.833333333333329</v>
      </c>
      <c r="K2104">
        <v>75.166666666666671</v>
      </c>
      <c r="L2104">
        <v>0.94154488517745316</v>
      </c>
      <c r="M2104">
        <v>0.94154488517745316</v>
      </c>
      <c r="N2104" t="s">
        <v>6516</v>
      </c>
      <c r="O2104" t="s">
        <v>6517</v>
      </c>
      <c r="P2104" t="s">
        <v>4885</v>
      </c>
      <c r="Q2104">
        <v>2</v>
      </c>
      <c r="R2104">
        <v>2</v>
      </c>
    </row>
    <row r="2105" spans="1:18" x14ac:dyDescent="0.3">
      <c r="A2105" t="s">
        <v>4875</v>
      </c>
      <c r="B2105" t="s">
        <v>4876</v>
      </c>
      <c r="C2105" t="s">
        <v>266</v>
      </c>
      <c r="D2105" t="s">
        <v>29</v>
      </c>
      <c r="E2105" t="s">
        <v>30</v>
      </c>
      <c r="F2105" s="6">
        <v>45473</v>
      </c>
      <c r="G2105">
        <v>2024</v>
      </c>
      <c r="H2105" t="s">
        <v>44</v>
      </c>
      <c r="I2105" t="s">
        <v>71</v>
      </c>
      <c r="J2105">
        <v>99.333333333333329</v>
      </c>
      <c r="K2105">
        <v>98.166666666666671</v>
      </c>
      <c r="L2105">
        <v>0.98825503355704702</v>
      </c>
      <c r="M2105">
        <v>0.98825503355704702</v>
      </c>
      <c r="N2105" t="s">
        <v>6518</v>
      </c>
      <c r="O2105" t="s">
        <v>6519</v>
      </c>
      <c r="P2105" t="s">
        <v>4891</v>
      </c>
      <c r="Q2105">
        <v>2</v>
      </c>
      <c r="R2105">
        <v>2</v>
      </c>
    </row>
    <row r="2106" spans="1:18" x14ac:dyDescent="0.3">
      <c r="A2106" t="s">
        <v>255</v>
      </c>
      <c r="B2106" t="s">
        <v>4892</v>
      </c>
      <c r="C2106" t="s">
        <v>97</v>
      </c>
      <c r="D2106" t="s">
        <v>98</v>
      </c>
      <c r="E2106" t="s">
        <v>30</v>
      </c>
      <c r="F2106" s="6">
        <v>45291</v>
      </c>
      <c r="G2106">
        <v>2023</v>
      </c>
      <c r="H2106" t="s">
        <v>57</v>
      </c>
      <c r="I2106" t="s">
        <v>47</v>
      </c>
      <c r="J2106">
        <v>100</v>
      </c>
      <c r="K2106">
        <v>100</v>
      </c>
      <c r="L2106">
        <v>1</v>
      </c>
      <c r="M2106">
        <v>1</v>
      </c>
      <c r="N2106" t="s">
        <v>102</v>
      </c>
      <c r="O2106" t="s">
        <v>102</v>
      </c>
      <c r="P2106" t="s">
        <v>4893</v>
      </c>
      <c r="Q2106">
        <v>2</v>
      </c>
      <c r="R2106">
        <v>2</v>
      </c>
    </row>
    <row r="2107" spans="1:18" x14ac:dyDescent="0.3">
      <c r="A2107" t="s">
        <v>255</v>
      </c>
      <c r="B2107" t="s">
        <v>4892</v>
      </c>
      <c r="C2107" t="s">
        <v>97</v>
      </c>
      <c r="D2107" t="s">
        <v>98</v>
      </c>
      <c r="E2107" t="s">
        <v>30</v>
      </c>
      <c r="F2107" s="6">
        <v>45657</v>
      </c>
      <c r="G2107">
        <v>2024</v>
      </c>
      <c r="H2107" t="s">
        <v>57</v>
      </c>
      <c r="I2107" t="s">
        <v>78</v>
      </c>
      <c r="J2107">
        <v>100</v>
      </c>
      <c r="K2107">
        <v>100</v>
      </c>
      <c r="L2107">
        <v>1</v>
      </c>
      <c r="M2107">
        <v>1</v>
      </c>
      <c r="N2107" t="s">
        <v>102</v>
      </c>
      <c r="O2107" t="s">
        <v>102</v>
      </c>
      <c r="P2107" t="s">
        <v>4894</v>
      </c>
      <c r="Q2107">
        <v>2</v>
      </c>
      <c r="R2107">
        <v>2</v>
      </c>
    </row>
    <row r="2108" spans="1:18" x14ac:dyDescent="0.3">
      <c r="A2108" t="s">
        <v>255</v>
      </c>
      <c r="B2108" t="s">
        <v>4892</v>
      </c>
      <c r="C2108" t="s">
        <v>97</v>
      </c>
      <c r="D2108" t="s">
        <v>98</v>
      </c>
      <c r="E2108" t="s">
        <v>30</v>
      </c>
      <c r="F2108" s="6">
        <v>46022</v>
      </c>
      <c r="G2108">
        <v>2025</v>
      </c>
      <c r="H2108" t="s">
        <v>57</v>
      </c>
      <c r="I2108" t="s">
        <v>103</v>
      </c>
      <c r="J2108">
        <v>100</v>
      </c>
      <c r="K2108">
        <v>100</v>
      </c>
      <c r="L2108">
        <v>1</v>
      </c>
      <c r="M2108">
        <v>1</v>
      </c>
      <c r="N2108" t="s">
        <v>102</v>
      </c>
      <c r="O2108" t="s">
        <v>102</v>
      </c>
      <c r="P2108" t="s">
        <v>4895</v>
      </c>
      <c r="Q2108">
        <v>2</v>
      </c>
      <c r="R2108">
        <v>2</v>
      </c>
    </row>
    <row r="2109" spans="1:18" x14ac:dyDescent="0.3">
      <c r="A2109" t="s">
        <v>4896</v>
      </c>
      <c r="B2109" t="s">
        <v>4897</v>
      </c>
      <c r="C2109" t="s">
        <v>1988</v>
      </c>
      <c r="D2109" t="s">
        <v>29</v>
      </c>
      <c r="E2109" t="s">
        <v>30</v>
      </c>
      <c r="F2109" s="6">
        <v>45473</v>
      </c>
      <c r="G2109">
        <v>2024</v>
      </c>
      <c r="H2109" t="s">
        <v>44</v>
      </c>
      <c r="I2109" t="s">
        <v>71</v>
      </c>
      <c r="J2109">
        <v>83.666666666666671</v>
      </c>
      <c r="K2109">
        <v>78.5</v>
      </c>
      <c r="L2109">
        <v>0.93824701195219118</v>
      </c>
      <c r="M2109">
        <v>0.93824701195219118</v>
      </c>
      <c r="N2109" t="s">
        <v>6520</v>
      </c>
      <c r="O2109" t="s">
        <v>6521</v>
      </c>
      <c r="P2109" t="s">
        <v>4903</v>
      </c>
      <c r="Q2109">
        <v>2</v>
      </c>
      <c r="R2109">
        <v>2</v>
      </c>
    </row>
    <row r="2110" spans="1:18" x14ac:dyDescent="0.3">
      <c r="A2110" t="s">
        <v>4896</v>
      </c>
      <c r="B2110" t="s">
        <v>4897</v>
      </c>
      <c r="C2110" t="s">
        <v>1988</v>
      </c>
      <c r="D2110" t="s">
        <v>29</v>
      </c>
      <c r="E2110" t="s">
        <v>30</v>
      </c>
      <c r="F2110" s="6">
        <v>45657</v>
      </c>
      <c r="G2110">
        <v>2024</v>
      </c>
      <c r="H2110" t="s">
        <v>57</v>
      </c>
      <c r="I2110" t="s">
        <v>78</v>
      </c>
      <c r="J2110">
        <v>100</v>
      </c>
      <c r="K2110">
        <v>99.166666666666671</v>
      </c>
      <c r="L2110">
        <v>0.9916666666666667</v>
      </c>
      <c r="M2110">
        <v>0.9916666666666667</v>
      </c>
      <c r="N2110" t="s">
        <v>102</v>
      </c>
      <c r="O2110" t="s">
        <v>6522</v>
      </c>
      <c r="P2110" t="s">
        <v>4909</v>
      </c>
      <c r="Q2110">
        <v>2</v>
      </c>
      <c r="R2110">
        <v>2</v>
      </c>
    </row>
    <row r="2111" spans="1:18" x14ac:dyDescent="0.3">
      <c r="A2111" t="s">
        <v>4910</v>
      </c>
      <c r="B2111" t="s">
        <v>4911</v>
      </c>
      <c r="C2111" t="s">
        <v>3011</v>
      </c>
      <c r="D2111" t="s">
        <v>29</v>
      </c>
      <c r="E2111" t="s">
        <v>30</v>
      </c>
      <c r="F2111" s="6">
        <v>45473</v>
      </c>
      <c r="G2111">
        <v>2024</v>
      </c>
      <c r="H2111" t="s">
        <v>44</v>
      </c>
      <c r="I2111" t="s">
        <v>71</v>
      </c>
      <c r="J2111">
        <v>34.666666666666657</v>
      </c>
      <c r="K2111">
        <v>32.5</v>
      </c>
      <c r="L2111">
        <v>0.93750000000000011</v>
      </c>
      <c r="M2111">
        <v>0.93750000000000011</v>
      </c>
      <c r="N2111" t="s">
        <v>6523</v>
      </c>
      <c r="O2111" t="s">
        <v>6524</v>
      </c>
      <c r="P2111" t="s">
        <v>4917</v>
      </c>
      <c r="Q2111">
        <v>2</v>
      </c>
      <c r="R2111">
        <v>2</v>
      </c>
    </row>
    <row r="2112" spans="1:18" x14ac:dyDescent="0.3">
      <c r="A2112" t="s">
        <v>4910</v>
      </c>
      <c r="B2112" t="s">
        <v>4911</v>
      </c>
      <c r="C2112" t="s">
        <v>3011</v>
      </c>
      <c r="D2112" t="s">
        <v>29</v>
      </c>
      <c r="E2112" t="s">
        <v>30</v>
      </c>
      <c r="F2112" s="6">
        <v>45657</v>
      </c>
      <c r="G2112">
        <v>2024</v>
      </c>
      <c r="H2112" t="s">
        <v>57</v>
      </c>
      <c r="I2112" t="s">
        <v>78</v>
      </c>
      <c r="J2112">
        <v>77.2</v>
      </c>
      <c r="K2112">
        <v>73.2</v>
      </c>
      <c r="L2112">
        <v>0.94818652849740936</v>
      </c>
      <c r="M2112">
        <v>0.94818652849740936</v>
      </c>
      <c r="N2112" t="s">
        <v>6525</v>
      </c>
      <c r="O2112" t="s">
        <v>6526</v>
      </c>
      <c r="P2112" t="s">
        <v>4923</v>
      </c>
      <c r="Q2112">
        <v>2</v>
      </c>
      <c r="R2112">
        <v>2</v>
      </c>
    </row>
    <row r="2113" spans="1:18" x14ac:dyDescent="0.3">
      <c r="A2113" t="s">
        <v>4924</v>
      </c>
      <c r="B2113" t="s">
        <v>4925</v>
      </c>
      <c r="C2113" t="s">
        <v>672</v>
      </c>
      <c r="D2113" t="s">
        <v>29</v>
      </c>
      <c r="E2113" t="s">
        <v>30</v>
      </c>
      <c r="F2113" s="6">
        <v>45473</v>
      </c>
      <c r="G2113">
        <v>2024</v>
      </c>
      <c r="H2113" t="s">
        <v>44</v>
      </c>
      <c r="I2113" t="s">
        <v>71</v>
      </c>
      <c r="J2113">
        <v>51.666666666666657</v>
      </c>
      <c r="K2113">
        <v>51.333333333333343</v>
      </c>
      <c r="L2113">
        <v>0.99354838709677429</v>
      </c>
      <c r="M2113">
        <v>0.99354838709677429</v>
      </c>
      <c r="N2113" t="s">
        <v>6527</v>
      </c>
      <c r="O2113" t="s">
        <v>5344</v>
      </c>
      <c r="P2113" t="s">
        <v>4931</v>
      </c>
      <c r="Q2113">
        <v>2</v>
      </c>
      <c r="R2113">
        <v>2</v>
      </c>
    </row>
    <row r="2114" spans="1:18" x14ac:dyDescent="0.3">
      <c r="A2114" t="s">
        <v>4924</v>
      </c>
      <c r="B2114" t="s">
        <v>4925</v>
      </c>
      <c r="C2114" t="s">
        <v>672</v>
      </c>
      <c r="D2114" t="s">
        <v>29</v>
      </c>
      <c r="E2114" t="s">
        <v>30</v>
      </c>
      <c r="F2114" s="6">
        <v>45657</v>
      </c>
      <c r="G2114">
        <v>2024</v>
      </c>
      <c r="H2114" t="s">
        <v>57</v>
      </c>
      <c r="I2114" t="s">
        <v>78</v>
      </c>
      <c r="J2114">
        <v>88.833333333333329</v>
      </c>
      <c r="K2114">
        <v>91</v>
      </c>
      <c r="L2114">
        <v>1.024390243902439</v>
      </c>
      <c r="M2114">
        <v>1.024390243902439</v>
      </c>
      <c r="N2114" t="s">
        <v>6528</v>
      </c>
      <c r="O2114" t="s">
        <v>5460</v>
      </c>
      <c r="P2114" t="s">
        <v>4937</v>
      </c>
      <c r="Q2114">
        <v>2</v>
      </c>
      <c r="R2114">
        <v>2</v>
      </c>
    </row>
    <row r="2115" spans="1:18" x14ac:dyDescent="0.3">
      <c r="A2115" t="s">
        <v>4938</v>
      </c>
      <c r="B2115" t="s">
        <v>4939</v>
      </c>
      <c r="C2115" t="s">
        <v>251</v>
      </c>
      <c r="D2115" t="s">
        <v>29</v>
      </c>
      <c r="E2115" t="s">
        <v>30</v>
      </c>
      <c r="F2115" s="6">
        <v>45473</v>
      </c>
      <c r="G2115">
        <v>2024</v>
      </c>
      <c r="H2115" t="s">
        <v>44</v>
      </c>
      <c r="I2115" t="s">
        <v>71</v>
      </c>
      <c r="J2115">
        <v>31.5</v>
      </c>
      <c r="K2115">
        <v>32.333333333333343</v>
      </c>
      <c r="L2115">
        <v>1.026455026455027</v>
      </c>
      <c r="M2115">
        <v>1.026455026455027</v>
      </c>
      <c r="N2115" t="s">
        <v>6529</v>
      </c>
      <c r="O2115" t="s">
        <v>6530</v>
      </c>
      <c r="P2115" t="s">
        <v>4945</v>
      </c>
      <c r="Q2115">
        <v>2</v>
      </c>
      <c r="R2115">
        <v>2</v>
      </c>
    </row>
    <row r="2116" spans="1:18" x14ac:dyDescent="0.3">
      <c r="A2116" t="s">
        <v>4938</v>
      </c>
      <c r="B2116" t="s">
        <v>4939</v>
      </c>
      <c r="C2116" t="s">
        <v>251</v>
      </c>
      <c r="D2116" t="s">
        <v>29</v>
      </c>
      <c r="E2116" t="s">
        <v>30</v>
      </c>
      <c r="F2116" s="6">
        <v>45657</v>
      </c>
      <c r="G2116">
        <v>2024</v>
      </c>
      <c r="H2116" t="s">
        <v>57</v>
      </c>
      <c r="I2116" t="s">
        <v>78</v>
      </c>
      <c r="J2116">
        <v>46</v>
      </c>
      <c r="K2116">
        <v>46</v>
      </c>
      <c r="L2116">
        <v>1</v>
      </c>
      <c r="M2116">
        <v>1</v>
      </c>
      <c r="N2116" t="s">
        <v>6306</v>
      </c>
      <c r="O2116" t="s">
        <v>6306</v>
      </c>
      <c r="P2116" t="s">
        <v>4951</v>
      </c>
      <c r="Q2116">
        <v>2</v>
      </c>
      <c r="R2116">
        <v>2</v>
      </c>
    </row>
    <row r="2117" spans="1:18" x14ac:dyDescent="0.3">
      <c r="A2117" t="s">
        <v>4952</v>
      </c>
      <c r="B2117" t="s">
        <v>4953</v>
      </c>
      <c r="C2117" t="s">
        <v>2437</v>
      </c>
      <c r="D2117" t="s">
        <v>29</v>
      </c>
      <c r="E2117" t="s">
        <v>30</v>
      </c>
      <c r="F2117" s="6">
        <v>45473</v>
      </c>
      <c r="G2117">
        <v>2024</v>
      </c>
      <c r="H2117" t="s">
        <v>44</v>
      </c>
      <c r="I2117" t="s">
        <v>71</v>
      </c>
      <c r="J2117">
        <v>39.166666666666657</v>
      </c>
      <c r="K2117">
        <v>43.166666666666657</v>
      </c>
      <c r="L2117">
        <v>1.102127659574468</v>
      </c>
      <c r="M2117">
        <v>1.102127659574468</v>
      </c>
      <c r="N2117" t="s">
        <v>6531</v>
      </c>
      <c r="O2117" t="s">
        <v>6532</v>
      </c>
      <c r="P2117" t="s">
        <v>4959</v>
      </c>
      <c r="Q2117">
        <v>2</v>
      </c>
      <c r="R2117">
        <v>2</v>
      </c>
    </row>
    <row r="2118" spans="1:18" x14ac:dyDescent="0.3">
      <c r="A2118" t="s">
        <v>4952</v>
      </c>
      <c r="B2118" t="s">
        <v>4953</v>
      </c>
      <c r="C2118" t="s">
        <v>2437</v>
      </c>
      <c r="D2118" t="s">
        <v>29</v>
      </c>
      <c r="E2118" t="s">
        <v>30</v>
      </c>
      <c r="F2118" s="6">
        <v>45657</v>
      </c>
      <c r="G2118">
        <v>2024</v>
      </c>
      <c r="H2118" t="s">
        <v>57</v>
      </c>
      <c r="I2118" t="s">
        <v>78</v>
      </c>
      <c r="J2118">
        <v>87.5</v>
      </c>
      <c r="K2118">
        <v>89.166666666666671</v>
      </c>
      <c r="L2118">
        <v>1.019047619047619</v>
      </c>
      <c r="M2118">
        <v>1.019047619047619</v>
      </c>
      <c r="N2118" t="s">
        <v>4496</v>
      </c>
      <c r="O2118" t="s">
        <v>5556</v>
      </c>
      <c r="P2118" t="s">
        <v>4965</v>
      </c>
      <c r="Q2118">
        <v>2</v>
      </c>
      <c r="R2118">
        <v>2</v>
      </c>
    </row>
    <row r="2119" spans="1:18" x14ac:dyDescent="0.3">
      <c r="A2119" t="s">
        <v>4966</v>
      </c>
      <c r="B2119" t="s">
        <v>4967</v>
      </c>
      <c r="C2119" t="s">
        <v>3011</v>
      </c>
      <c r="D2119" t="s">
        <v>29</v>
      </c>
      <c r="E2119" t="s">
        <v>30</v>
      </c>
      <c r="F2119" s="6">
        <v>45473</v>
      </c>
      <c r="G2119">
        <v>2024</v>
      </c>
      <c r="H2119" t="s">
        <v>44</v>
      </c>
      <c r="I2119" t="s">
        <v>71</v>
      </c>
      <c r="J2119">
        <v>61</v>
      </c>
      <c r="K2119">
        <v>56.833333333333343</v>
      </c>
      <c r="L2119">
        <v>0.93169398907103829</v>
      </c>
      <c r="M2119">
        <v>0.93169398907103829</v>
      </c>
      <c r="N2119" t="s">
        <v>5971</v>
      </c>
      <c r="O2119" t="s">
        <v>6423</v>
      </c>
      <c r="P2119" t="s">
        <v>4973</v>
      </c>
      <c r="Q2119">
        <v>2</v>
      </c>
      <c r="R2119">
        <v>2</v>
      </c>
    </row>
    <row r="2120" spans="1:18" x14ac:dyDescent="0.3">
      <c r="A2120" t="s">
        <v>4966</v>
      </c>
      <c r="B2120" t="s">
        <v>4967</v>
      </c>
      <c r="C2120" t="s">
        <v>3011</v>
      </c>
      <c r="D2120" t="s">
        <v>29</v>
      </c>
      <c r="E2120" t="s">
        <v>30</v>
      </c>
      <c r="F2120" s="6">
        <v>45657</v>
      </c>
      <c r="G2120">
        <v>2024</v>
      </c>
      <c r="H2120" t="s">
        <v>57</v>
      </c>
      <c r="I2120" t="s">
        <v>78</v>
      </c>
      <c r="J2120">
        <v>87.166666666666671</v>
      </c>
      <c r="K2120">
        <v>85.333333333333329</v>
      </c>
      <c r="L2120">
        <v>0.97896749521988513</v>
      </c>
      <c r="M2120">
        <v>0.97896749521988513</v>
      </c>
      <c r="N2120" t="s">
        <v>5601</v>
      </c>
      <c r="O2120" t="s">
        <v>6533</v>
      </c>
      <c r="P2120" t="s">
        <v>4979</v>
      </c>
      <c r="Q2120">
        <v>2</v>
      </c>
      <c r="R2120">
        <v>2</v>
      </c>
    </row>
    <row r="2121" spans="1:18" x14ac:dyDescent="0.3">
      <c r="A2121" t="s">
        <v>4980</v>
      </c>
      <c r="B2121" t="s">
        <v>4981</v>
      </c>
      <c r="C2121" t="s">
        <v>3011</v>
      </c>
      <c r="D2121" t="s">
        <v>29</v>
      </c>
      <c r="E2121" t="s">
        <v>30</v>
      </c>
      <c r="F2121" s="6">
        <v>45473</v>
      </c>
      <c r="G2121">
        <v>2024</v>
      </c>
      <c r="H2121" t="s">
        <v>44</v>
      </c>
      <c r="I2121" t="s">
        <v>71</v>
      </c>
      <c r="J2121">
        <v>52</v>
      </c>
      <c r="K2121">
        <v>41.333333333333343</v>
      </c>
      <c r="L2121">
        <v>0.79487179487179493</v>
      </c>
      <c r="M2121">
        <v>0.79487179487179493</v>
      </c>
      <c r="N2121" t="s">
        <v>6228</v>
      </c>
      <c r="O2121" t="s">
        <v>6534</v>
      </c>
      <c r="P2121" t="s">
        <v>4987</v>
      </c>
      <c r="Q2121">
        <v>2</v>
      </c>
      <c r="R2121">
        <v>2</v>
      </c>
    </row>
    <row r="2122" spans="1:18" x14ac:dyDescent="0.3">
      <c r="A2122" t="s">
        <v>4980</v>
      </c>
      <c r="B2122" t="s">
        <v>4981</v>
      </c>
      <c r="C2122" t="s">
        <v>3011</v>
      </c>
      <c r="D2122" t="s">
        <v>29</v>
      </c>
      <c r="E2122" t="s">
        <v>30</v>
      </c>
      <c r="F2122" s="6">
        <v>45657</v>
      </c>
      <c r="G2122">
        <v>2024</v>
      </c>
      <c r="H2122" t="s">
        <v>57</v>
      </c>
      <c r="I2122" t="s">
        <v>78</v>
      </c>
      <c r="J2122">
        <v>91.333333333333329</v>
      </c>
      <c r="K2122">
        <v>85</v>
      </c>
      <c r="L2122">
        <v>0.93065693430656937</v>
      </c>
      <c r="M2122">
        <v>0.93065693430656937</v>
      </c>
      <c r="N2122" t="s">
        <v>6535</v>
      </c>
      <c r="O2122" t="s">
        <v>2357</v>
      </c>
      <c r="P2122" t="s">
        <v>4993</v>
      </c>
      <c r="Q2122">
        <v>2</v>
      </c>
      <c r="R2122">
        <v>2</v>
      </c>
    </row>
    <row r="2123" spans="1:18" x14ac:dyDescent="0.3">
      <c r="A2123" t="s">
        <v>4994</v>
      </c>
      <c r="B2123" t="s">
        <v>4995</v>
      </c>
      <c r="C2123" t="s">
        <v>3011</v>
      </c>
      <c r="D2123" t="s">
        <v>29</v>
      </c>
      <c r="E2123" t="s">
        <v>30</v>
      </c>
      <c r="F2123" s="6">
        <v>45473</v>
      </c>
      <c r="G2123">
        <v>2024</v>
      </c>
      <c r="H2123" t="s">
        <v>44</v>
      </c>
      <c r="I2123" t="s">
        <v>71</v>
      </c>
      <c r="J2123">
        <v>12</v>
      </c>
      <c r="K2123">
        <v>29.666666666666671</v>
      </c>
      <c r="L2123">
        <v>1.3</v>
      </c>
      <c r="M2123">
        <v>2.4722222222222219</v>
      </c>
      <c r="N2123" t="s">
        <v>3089</v>
      </c>
      <c r="O2123" t="s">
        <v>6536</v>
      </c>
      <c r="P2123" t="s">
        <v>4998</v>
      </c>
      <c r="Q2123">
        <v>2</v>
      </c>
      <c r="R2123">
        <v>2</v>
      </c>
    </row>
    <row r="2124" spans="1:18" x14ac:dyDescent="0.3">
      <c r="A2124" t="s">
        <v>4994</v>
      </c>
      <c r="B2124" t="s">
        <v>4995</v>
      </c>
      <c r="C2124" t="s">
        <v>3011</v>
      </c>
      <c r="D2124" t="s">
        <v>29</v>
      </c>
      <c r="E2124" t="s">
        <v>30</v>
      </c>
      <c r="F2124" s="6">
        <v>45657</v>
      </c>
      <c r="G2124">
        <v>2024</v>
      </c>
      <c r="H2124" t="s">
        <v>57</v>
      </c>
      <c r="I2124" t="s">
        <v>78</v>
      </c>
      <c r="J2124">
        <v>80.2</v>
      </c>
      <c r="K2124">
        <v>78</v>
      </c>
      <c r="L2124">
        <v>0.97256857855361589</v>
      </c>
      <c r="M2124">
        <v>0.97256857855361589</v>
      </c>
      <c r="N2124" t="s">
        <v>6537</v>
      </c>
      <c r="O2124" t="s">
        <v>5377</v>
      </c>
      <c r="P2124" t="s">
        <v>5003</v>
      </c>
      <c r="Q2124">
        <v>2</v>
      </c>
      <c r="R2124">
        <v>2</v>
      </c>
    </row>
    <row r="2125" spans="1:18" x14ac:dyDescent="0.3">
      <c r="A2125" t="s">
        <v>5004</v>
      </c>
      <c r="B2125" t="s">
        <v>5005</v>
      </c>
      <c r="C2125" t="s">
        <v>3437</v>
      </c>
      <c r="D2125" t="s">
        <v>29</v>
      </c>
      <c r="E2125" t="s">
        <v>30</v>
      </c>
      <c r="F2125" s="6">
        <v>45473</v>
      </c>
      <c r="G2125">
        <v>2024</v>
      </c>
      <c r="H2125" t="s">
        <v>44</v>
      </c>
      <c r="I2125" t="s">
        <v>71</v>
      </c>
      <c r="J2125">
        <v>20</v>
      </c>
      <c r="K2125">
        <v>20</v>
      </c>
      <c r="L2125">
        <v>1</v>
      </c>
      <c r="M2125">
        <v>1</v>
      </c>
      <c r="N2125" t="s">
        <v>1298</v>
      </c>
      <c r="O2125" t="s">
        <v>1298</v>
      </c>
      <c r="P2125" t="s">
        <v>5006</v>
      </c>
      <c r="Q2125">
        <v>2</v>
      </c>
      <c r="R2125">
        <v>2</v>
      </c>
    </row>
    <row r="2126" spans="1:18" x14ac:dyDescent="0.3">
      <c r="A2126" t="s">
        <v>5004</v>
      </c>
      <c r="B2126" t="s">
        <v>5005</v>
      </c>
      <c r="C2126" t="s">
        <v>3437</v>
      </c>
      <c r="D2126" t="s">
        <v>29</v>
      </c>
      <c r="E2126" t="s">
        <v>30</v>
      </c>
      <c r="F2126" s="6">
        <v>45657</v>
      </c>
      <c r="G2126">
        <v>2024</v>
      </c>
      <c r="H2126" t="s">
        <v>57</v>
      </c>
      <c r="I2126" t="s">
        <v>78</v>
      </c>
      <c r="J2126">
        <v>78.5</v>
      </c>
      <c r="K2126">
        <v>77</v>
      </c>
      <c r="L2126">
        <v>0.98089171974522293</v>
      </c>
      <c r="M2126">
        <v>0.98089171974522293</v>
      </c>
      <c r="N2126" t="s">
        <v>6521</v>
      </c>
      <c r="O2126" t="s">
        <v>4331</v>
      </c>
      <c r="P2126" t="s">
        <v>5012</v>
      </c>
      <c r="Q2126">
        <v>2</v>
      </c>
      <c r="R2126">
        <v>2</v>
      </c>
    </row>
    <row r="2127" spans="1:18" x14ac:dyDescent="0.3">
      <c r="A2127" t="s">
        <v>5013</v>
      </c>
      <c r="B2127" t="s">
        <v>5014</v>
      </c>
      <c r="C2127" t="s">
        <v>97</v>
      </c>
      <c r="D2127" t="s">
        <v>98</v>
      </c>
      <c r="E2127" t="s">
        <v>30</v>
      </c>
      <c r="F2127" s="6">
        <v>45291</v>
      </c>
      <c r="G2127">
        <v>2023</v>
      </c>
      <c r="H2127" t="s">
        <v>57</v>
      </c>
      <c r="I2127" t="s">
        <v>47</v>
      </c>
      <c r="J2127">
        <v>100</v>
      </c>
      <c r="K2127">
        <v>100</v>
      </c>
      <c r="L2127">
        <v>1</v>
      </c>
      <c r="M2127">
        <v>1</v>
      </c>
      <c r="N2127" t="s">
        <v>102</v>
      </c>
      <c r="O2127" t="s">
        <v>102</v>
      </c>
      <c r="P2127" t="s">
        <v>5015</v>
      </c>
      <c r="Q2127">
        <v>2</v>
      </c>
      <c r="R2127">
        <v>2</v>
      </c>
    </row>
    <row r="2128" spans="1:18" x14ac:dyDescent="0.3">
      <c r="A2128" t="s">
        <v>5013</v>
      </c>
      <c r="B2128" t="s">
        <v>5014</v>
      </c>
      <c r="C2128" t="s">
        <v>97</v>
      </c>
      <c r="D2128" t="s">
        <v>98</v>
      </c>
      <c r="E2128" t="s">
        <v>30</v>
      </c>
      <c r="F2128" s="6">
        <v>45657</v>
      </c>
      <c r="G2128">
        <v>2024</v>
      </c>
      <c r="H2128" t="s">
        <v>57</v>
      </c>
      <c r="I2128" t="s">
        <v>78</v>
      </c>
      <c r="J2128">
        <v>100</v>
      </c>
      <c r="K2128">
        <v>100</v>
      </c>
      <c r="L2128">
        <v>1</v>
      </c>
      <c r="M2128">
        <v>1</v>
      </c>
      <c r="N2128" t="s">
        <v>102</v>
      </c>
      <c r="O2128" t="s">
        <v>102</v>
      </c>
      <c r="P2128" t="s">
        <v>5016</v>
      </c>
      <c r="Q2128">
        <v>2</v>
      </c>
      <c r="R2128">
        <v>2</v>
      </c>
    </row>
    <row r="2129" spans="1:18" x14ac:dyDescent="0.3">
      <c r="A2129" t="s">
        <v>5013</v>
      </c>
      <c r="B2129" t="s">
        <v>5014</v>
      </c>
      <c r="C2129" t="s">
        <v>97</v>
      </c>
      <c r="D2129" t="s">
        <v>98</v>
      </c>
      <c r="E2129" t="s">
        <v>30</v>
      </c>
      <c r="F2129" s="6">
        <v>46022</v>
      </c>
      <c r="G2129">
        <v>2025</v>
      </c>
      <c r="H2129" t="s">
        <v>57</v>
      </c>
      <c r="I2129" t="s">
        <v>103</v>
      </c>
      <c r="J2129">
        <v>100</v>
      </c>
      <c r="K2129">
        <v>100</v>
      </c>
      <c r="L2129">
        <v>1</v>
      </c>
      <c r="M2129">
        <v>1</v>
      </c>
      <c r="N2129" t="s">
        <v>102</v>
      </c>
      <c r="O2129" t="s">
        <v>102</v>
      </c>
      <c r="P2129" t="s">
        <v>5017</v>
      </c>
      <c r="Q2129">
        <v>2</v>
      </c>
      <c r="R2129">
        <v>2</v>
      </c>
    </row>
    <row r="2130" spans="1:18" x14ac:dyDescent="0.3">
      <c r="A2130" t="s">
        <v>4633</v>
      </c>
      <c r="B2130" t="s">
        <v>5018</v>
      </c>
      <c r="C2130" t="s">
        <v>97</v>
      </c>
      <c r="D2130" t="s">
        <v>98</v>
      </c>
      <c r="E2130" t="s">
        <v>30</v>
      </c>
      <c r="F2130" s="6">
        <v>45291</v>
      </c>
      <c r="G2130">
        <v>2023</v>
      </c>
      <c r="H2130" t="s">
        <v>57</v>
      </c>
      <c r="I2130" t="s">
        <v>47</v>
      </c>
      <c r="J2130">
        <v>100</v>
      </c>
      <c r="K2130">
        <v>100</v>
      </c>
      <c r="L2130">
        <v>1</v>
      </c>
      <c r="M2130">
        <v>1</v>
      </c>
      <c r="N2130" t="s">
        <v>102</v>
      </c>
      <c r="O2130" t="s">
        <v>102</v>
      </c>
      <c r="P2130" t="s">
        <v>5019</v>
      </c>
      <c r="Q2130">
        <v>2</v>
      </c>
      <c r="R2130">
        <v>2</v>
      </c>
    </row>
    <row r="2131" spans="1:18" x14ac:dyDescent="0.3">
      <c r="A2131" t="s">
        <v>4633</v>
      </c>
      <c r="B2131" t="s">
        <v>5018</v>
      </c>
      <c r="C2131" t="s">
        <v>97</v>
      </c>
      <c r="D2131" t="s">
        <v>98</v>
      </c>
      <c r="E2131" t="s">
        <v>30</v>
      </c>
      <c r="F2131" s="6">
        <v>45657</v>
      </c>
      <c r="G2131">
        <v>2024</v>
      </c>
      <c r="H2131" t="s">
        <v>57</v>
      </c>
      <c r="I2131" t="s">
        <v>78</v>
      </c>
      <c r="J2131">
        <v>98</v>
      </c>
      <c r="K2131">
        <v>100</v>
      </c>
      <c r="L2131">
        <v>1.0204081632653059</v>
      </c>
      <c r="M2131">
        <v>1.0204081632653059</v>
      </c>
      <c r="N2131" t="s">
        <v>312</v>
      </c>
      <c r="O2131" t="s">
        <v>102</v>
      </c>
      <c r="P2131" t="s">
        <v>5020</v>
      </c>
      <c r="Q2131">
        <v>2</v>
      </c>
      <c r="R2131">
        <v>2</v>
      </c>
    </row>
    <row r="2132" spans="1:18" x14ac:dyDescent="0.3">
      <c r="A2132" t="s">
        <v>4633</v>
      </c>
      <c r="B2132" t="s">
        <v>5018</v>
      </c>
      <c r="C2132" t="s">
        <v>97</v>
      </c>
      <c r="D2132" t="s">
        <v>98</v>
      </c>
      <c r="E2132" t="s">
        <v>30</v>
      </c>
      <c r="F2132" s="6">
        <v>46022</v>
      </c>
      <c r="G2132">
        <v>2025</v>
      </c>
      <c r="H2132" t="s">
        <v>57</v>
      </c>
      <c r="I2132" t="s">
        <v>103</v>
      </c>
      <c r="J2132">
        <v>98</v>
      </c>
      <c r="K2132">
        <v>100</v>
      </c>
      <c r="L2132">
        <v>1.0204081632653059</v>
      </c>
      <c r="M2132">
        <v>1.0204081632653059</v>
      </c>
      <c r="N2132" t="s">
        <v>312</v>
      </c>
      <c r="O2132" t="s">
        <v>102</v>
      </c>
      <c r="P2132" t="s">
        <v>5021</v>
      </c>
      <c r="Q2132">
        <v>2</v>
      </c>
      <c r="R2132">
        <v>2</v>
      </c>
    </row>
    <row r="2133" spans="1:18" x14ac:dyDescent="0.3">
      <c r="A2133" t="s">
        <v>192</v>
      </c>
      <c r="B2133" t="s">
        <v>5022</v>
      </c>
      <c r="C2133" t="s">
        <v>97</v>
      </c>
      <c r="D2133" t="s">
        <v>98</v>
      </c>
      <c r="E2133" t="s">
        <v>30</v>
      </c>
      <c r="F2133" s="6">
        <v>45291</v>
      </c>
      <c r="G2133">
        <v>2023</v>
      </c>
      <c r="H2133" t="s">
        <v>57</v>
      </c>
      <c r="I2133" t="s">
        <v>47</v>
      </c>
      <c r="J2133">
        <v>100</v>
      </c>
      <c r="K2133">
        <v>100</v>
      </c>
      <c r="L2133">
        <v>1</v>
      </c>
      <c r="M2133">
        <v>1</v>
      </c>
      <c r="N2133" t="s">
        <v>102</v>
      </c>
      <c r="O2133" t="s">
        <v>102</v>
      </c>
      <c r="P2133" t="s">
        <v>5023</v>
      </c>
      <c r="Q2133">
        <v>2</v>
      </c>
      <c r="R2133">
        <v>2</v>
      </c>
    </row>
    <row r="2134" spans="1:18" x14ac:dyDescent="0.3">
      <c r="A2134" t="s">
        <v>192</v>
      </c>
      <c r="B2134" t="s">
        <v>5022</v>
      </c>
      <c r="C2134" t="s">
        <v>97</v>
      </c>
      <c r="D2134" t="s">
        <v>98</v>
      </c>
      <c r="E2134" t="s">
        <v>30</v>
      </c>
      <c r="F2134" s="6">
        <v>45657</v>
      </c>
      <c r="G2134">
        <v>2024</v>
      </c>
      <c r="H2134" t="s">
        <v>57</v>
      </c>
      <c r="I2134" t="s">
        <v>78</v>
      </c>
      <c r="J2134">
        <v>100</v>
      </c>
      <c r="K2134">
        <v>100</v>
      </c>
      <c r="L2134">
        <v>1</v>
      </c>
      <c r="M2134">
        <v>1</v>
      </c>
      <c r="N2134" t="s">
        <v>102</v>
      </c>
      <c r="O2134" t="s">
        <v>102</v>
      </c>
      <c r="P2134" t="s">
        <v>5024</v>
      </c>
      <c r="Q2134">
        <v>2</v>
      </c>
      <c r="R2134">
        <v>2</v>
      </c>
    </row>
    <row r="2135" spans="1:18" x14ac:dyDescent="0.3">
      <c r="A2135" t="s">
        <v>192</v>
      </c>
      <c r="B2135" t="s">
        <v>5022</v>
      </c>
      <c r="C2135" t="s">
        <v>97</v>
      </c>
      <c r="D2135" t="s">
        <v>98</v>
      </c>
      <c r="E2135" t="s">
        <v>30</v>
      </c>
      <c r="F2135" s="6">
        <v>46022</v>
      </c>
      <c r="G2135">
        <v>2025</v>
      </c>
      <c r="H2135" t="s">
        <v>57</v>
      </c>
      <c r="I2135" t="s">
        <v>103</v>
      </c>
      <c r="J2135">
        <v>100</v>
      </c>
      <c r="K2135">
        <v>100</v>
      </c>
      <c r="L2135">
        <v>1</v>
      </c>
      <c r="M2135">
        <v>1</v>
      </c>
      <c r="N2135" t="s">
        <v>102</v>
      </c>
      <c r="O2135" t="s">
        <v>102</v>
      </c>
      <c r="P2135" t="s">
        <v>5025</v>
      </c>
      <c r="Q2135">
        <v>2</v>
      </c>
      <c r="R2135">
        <v>2</v>
      </c>
    </row>
    <row r="2136" spans="1:18" x14ac:dyDescent="0.3">
      <c r="A2136" t="s">
        <v>837</v>
      </c>
      <c r="B2136" t="s">
        <v>5026</v>
      </c>
      <c r="C2136" t="s">
        <v>97</v>
      </c>
      <c r="D2136" t="s">
        <v>222</v>
      </c>
      <c r="E2136" t="s">
        <v>30</v>
      </c>
      <c r="F2136" s="6">
        <v>45107</v>
      </c>
      <c r="G2136">
        <v>2023</v>
      </c>
      <c r="H2136" t="s">
        <v>44</v>
      </c>
      <c r="I2136" t="s">
        <v>33</v>
      </c>
      <c r="J2136">
        <v>100</v>
      </c>
      <c r="K2136">
        <v>100</v>
      </c>
      <c r="L2136">
        <v>1</v>
      </c>
      <c r="M2136">
        <v>1</v>
      </c>
      <c r="N2136" t="s">
        <v>102</v>
      </c>
      <c r="O2136" t="s">
        <v>102</v>
      </c>
      <c r="P2136" t="s">
        <v>5027</v>
      </c>
      <c r="Q2136">
        <v>2</v>
      </c>
      <c r="R2136">
        <v>2</v>
      </c>
    </row>
    <row r="2137" spans="1:18" x14ac:dyDescent="0.3">
      <c r="A2137" t="s">
        <v>837</v>
      </c>
      <c r="B2137" t="s">
        <v>5026</v>
      </c>
      <c r="C2137" t="s">
        <v>97</v>
      </c>
      <c r="D2137" t="s">
        <v>222</v>
      </c>
      <c r="E2137" t="s">
        <v>30</v>
      </c>
      <c r="F2137" s="6">
        <v>45291</v>
      </c>
      <c r="G2137">
        <v>2023</v>
      </c>
      <c r="H2137" t="s">
        <v>57</v>
      </c>
      <c r="I2137" t="s">
        <v>47</v>
      </c>
      <c r="J2137">
        <v>100</v>
      </c>
      <c r="K2137">
        <v>100</v>
      </c>
      <c r="L2137">
        <v>1</v>
      </c>
      <c r="M2137">
        <v>1</v>
      </c>
      <c r="N2137" t="s">
        <v>102</v>
      </c>
      <c r="O2137" t="s">
        <v>102</v>
      </c>
      <c r="P2137" t="s">
        <v>5028</v>
      </c>
      <c r="Q2137">
        <v>2</v>
      </c>
      <c r="R2137">
        <v>2</v>
      </c>
    </row>
    <row r="2138" spans="1:18" x14ac:dyDescent="0.3">
      <c r="A2138" t="s">
        <v>837</v>
      </c>
      <c r="B2138" t="s">
        <v>5026</v>
      </c>
      <c r="C2138" t="s">
        <v>97</v>
      </c>
      <c r="D2138" t="s">
        <v>222</v>
      </c>
      <c r="E2138" t="s">
        <v>30</v>
      </c>
      <c r="F2138" s="6">
        <v>45473</v>
      </c>
      <c r="G2138">
        <v>2024</v>
      </c>
      <c r="H2138" t="s">
        <v>44</v>
      </c>
      <c r="I2138" t="s">
        <v>71</v>
      </c>
      <c r="J2138">
        <v>100</v>
      </c>
      <c r="K2138">
        <v>100</v>
      </c>
      <c r="L2138">
        <v>1</v>
      </c>
      <c r="M2138">
        <v>1</v>
      </c>
      <c r="N2138" t="s">
        <v>102</v>
      </c>
      <c r="O2138" t="s">
        <v>102</v>
      </c>
      <c r="P2138" t="s">
        <v>5029</v>
      </c>
      <c r="Q2138">
        <v>2</v>
      </c>
      <c r="R2138">
        <v>2</v>
      </c>
    </row>
    <row r="2139" spans="1:18" x14ac:dyDescent="0.3">
      <c r="A2139" t="s">
        <v>837</v>
      </c>
      <c r="B2139" t="s">
        <v>5026</v>
      </c>
      <c r="C2139" t="s">
        <v>97</v>
      </c>
      <c r="D2139" t="s">
        <v>222</v>
      </c>
      <c r="E2139" t="s">
        <v>30</v>
      </c>
      <c r="F2139" s="6">
        <v>45657</v>
      </c>
      <c r="G2139">
        <v>2024</v>
      </c>
      <c r="H2139" t="s">
        <v>57</v>
      </c>
      <c r="I2139" t="s">
        <v>78</v>
      </c>
      <c r="J2139">
        <v>100</v>
      </c>
      <c r="K2139">
        <v>100</v>
      </c>
      <c r="L2139">
        <v>1</v>
      </c>
      <c r="M2139">
        <v>1</v>
      </c>
      <c r="N2139" t="s">
        <v>102</v>
      </c>
      <c r="O2139" t="s">
        <v>102</v>
      </c>
      <c r="P2139" t="s">
        <v>5030</v>
      </c>
      <c r="Q2139">
        <v>2</v>
      </c>
      <c r="R2139">
        <v>2</v>
      </c>
    </row>
    <row r="2140" spans="1:18" x14ac:dyDescent="0.3">
      <c r="A2140" t="s">
        <v>837</v>
      </c>
      <c r="B2140" t="s">
        <v>5026</v>
      </c>
      <c r="C2140" t="s">
        <v>97</v>
      </c>
      <c r="D2140" t="s">
        <v>222</v>
      </c>
      <c r="E2140" t="s">
        <v>30</v>
      </c>
      <c r="F2140" s="6">
        <v>45838</v>
      </c>
      <c r="G2140">
        <v>2025</v>
      </c>
      <c r="H2140" t="s">
        <v>44</v>
      </c>
      <c r="I2140" t="s">
        <v>244</v>
      </c>
      <c r="J2140">
        <v>100</v>
      </c>
      <c r="K2140">
        <v>100</v>
      </c>
      <c r="L2140">
        <v>1</v>
      </c>
      <c r="M2140">
        <v>1</v>
      </c>
      <c r="N2140" t="s">
        <v>102</v>
      </c>
      <c r="O2140" t="s">
        <v>102</v>
      </c>
      <c r="P2140" t="s">
        <v>5031</v>
      </c>
      <c r="Q2140">
        <v>2</v>
      </c>
      <c r="R2140">
        <v>2</v>
      </c>
    </row>
    <row r="2141" spans="1:18" x14ac:dyDescent="0.3">
      <c r="A2141" t="s">
        <v>837</v>
      </c>
      <c r="B2141" t="s">
        <v>5026</v>
      </c>
      <c r="C2141" t="s">
        <v>97</v>
      </c>
      <c r="D2141" t="s">
        <v>222</v>
      </c>
      <c r="E2141" t="s">
        <v>30</v>
      </c>
      <c r="F2141" s="6">
        <v>46022</v>
      </c>
      <c r="G2141">
        <v>2025</v>
      </c>
      <c r="H2141" t="s">
        <v>57</v>
      </c>
      <c r="I2141" t="s">
        <v>103</v>
      </c>
      <c r="J2141">
        <v>100</v>
      </c>
      <c r="K2141">
        <v>100</v>
      </c>
      <c r="L2141">
        <v>1</v>
      </c>
      <c r="M2141">
        <v>1</v>
      </c>
      <c r="N2141" t="s">
        <v>102</v>
      </c>
      <c r="O2141" t="s">
        <v>102</v>
      </c>
      <c r="P2141" t="s">
        <v>5032</v>
      </c>
      <c r="Q2141">
        <v>2</v>
      </c>
      <c r="R2141">
        <v>2</v>
      </c>
    </row>
    <row r="2142" spans="1:18" x14ac:dyDescent="0.3">
      <c r="A2142" t="s">
        <v>667</v>
      </c>
      <c r="B2142" t="s">
        <v>5033</v>
      </c>
      <c r="C2142" t="s">
        <v>760</v>
      </c>
      <c r="D2142" t="s">
        <v>222</v>
      </c>
      <c r="E2142" t="s">
        <v>30</v>
      </c>
      <c r="F2142" s="6">
        <v>44926</v>
      </c>
      <c r="G2142">
        <v>2022</v>
      </c>
      <c r="H2142" t="s">
        <v>57</v>
      </c>
      <c r="I2142" t="s">
        <v>90</v>
      </c>
      <c r="J2142">
        <v>509</v>
      </c>
      <c r="K2142">
        <v>566</v>
      </c>
      <c r="L2142">
        <v>1.111984282907662</v>
      </c>
      <c r="M2142">
        <v>1.111984282907662</v>
      </c>
      <c r="N2142" t="s">
        <v>6538</v>
      </c>
      <c r="O2142" t="s">
        <v>6539</v>
      </c>
      <c r="P2142" t="s">
        <v>5034</v>
      </c>
      <c r="Q2142">
        <v>2</v>
      </c>
      <c r="R2142">
        <v>2</v>
      </c>
    </row>
    <row r="2143" spans="1:18" x14ac:dyDescent="0.3">
      <c r="A2143" t="s">
        <v>667</v>
      </c>
      <c r="B2143" t="s">
        <v>5033</v>
      </c>
      <c r="C2143" t="s">
        <v>760</v>
      </c>
      <c r="D2143" t="s">
        <v>222</v>
      </c>
      <c r="E2143" t="s">
        <v>30</v>
      </c>
      <c r="F2143" s="6">
        <v>45107</v>
      </c>
      <c r="G2143">
        <v>2023</v>
      </c>
      <c r="H2143" t="s">
        <v>44</v>
      </c>
      <c r="I2143" t="s">
        <v>33</v>
      </c>
      <c r="J2143">
        <v>305</v>
      </c>
      <c r="K2143">
        <v>209</v>
      </c>
      <c r="L2143">
        <v>0.68524590163934429</v>
      </c>
      <c r="M2143">
        <v>0.68524590163934429</v>
      </c>
      <c r="N2143" t="s">
        <v>6540</v>
      </c>
      <c r="O2143" t="s">
        <v>6403</v>
      </c>
      <c r="P2143" t="s">
        <v>5035</v>
      </c>
      <c r="Q2143">
        <v>2</v>
      </c>
      <c r="R2143">
        <v>2</v>
      </c>
    </row>
    <row r="2144" spans="1:18" x14ac:dyDescent="0.3">
      <c r="A2144" t="s">
        <v>667</v>
      </c>
      <c r="B2144" t="s">
        <v>5033</v>
      </c>
      <c r="C2144" t="s">
        <v>760</v>
      </c>
      <c r="D2144" t="s">
        <v>222</v>
      </c>
      <c r="E2144" t="s">
        <v>30</v>
      </c>
      <c r="F2144" s="6">
        <v>45291</v>
      </c>
      <c r="G2144">
        <v>2023</v>
      </c>
      <c r="H2144" t="s">
        <v>57</v>
      </c>
      <c r="I2144" t="s">
        <v>47</v>
      </c>
      <c r="J2144">
        <v>306</v>
      </c>
      <c r="K2144">
        <v>496</v>
      </c>
      <c r="L2144">
        <v>1.3</v>
      </c>
      <c r="M2144">
        <v>1.620915032679739</v>
      </c>
      <c r="N2144" t="s">
        <v>6068</v>
      </c>
      <c r="O2144" t="s">
        <v>6541</v>
      </c>
      <c r="P2144" t="s">
        <v>5036</v>
      </c>
      <c r="Q2144">
        <v>2</v>
      </c>
      <c r="R2144">
        <v>2</v>
      </c>
    </row>
    <row r="2145" spans="1:18" x14ac:dyDescent="0.3">
      <c r="A2145" t="s">
        <v>667</v>
      </c>
      <c r="B2145" t="s">
        <v>5033</v>
      </c>
      <c r="C2145" t="s">
        <v>760</v>
      </c>
      <c r="D2145" t="s">
        <v>222</v>
      </c>
      <c r="E2145" t="s">
        <v>30</v>
      </c>
      <c r="F2145" s="6">
        <v>45473</v>
      </c>
      <c r="G2145">
        <v>2024</v>
      </c>
      <c r="H2145" t="s">
        <v>44</v>
      </c>
      <c r="I2145" t="s">
        <v>71</v>
      </c>
      <c r="J2145">
        <v>336</v>
      </c>
      <c r="K2145">
        <v>143</v>
      </c>
      <c r="L2145">
        <v>0.42559523809523808</v>
      </c>
      <c r="M2145">
        <v>0.42559523809523808</v>
      </c>
      <c r="N2145" t="s">
        <v>6542</v>
      </c>
      <c r="O2145" t="s">
        <v>5709</v>
      </c>
      <c r="P2145" t="s">
        <v>5037</v>
      </c>
      <c r="Q2145">
        <v>2</v>
      </c>
      <c r="R2145">
        <v>2</v>
      </c>
    </row>
    <row r="2146" spans="1:18" x14ac:dyDescent="0.3">
      <c r="A2146" t="s">
        <v>667</v>
      </c>
      <c r="B2146" t="s">
        <v>5033</v>
      </c>
      <c r="C2146" t="s">
        <v>760</v>
      </c>
      <c r="D2146" t="s">
        <v>222</v>
      </c>
      <c r="E2146" t="s">
        <v>30</v>
      </c>
      <c r="F2146" s="6">
        <v>45657</v>
      </c>
      <c r="G2146">
        <v>2024</v>
      </c>
      <c r="H2146" t="s">
        <v>57</v>
      </c>
      <c r="I2146" t="s">
        <v>78</v>
      </c>
      <c r="J2146">
        <v>336</v>
      </c>
      <c r="K2146">
        <v>272</v>
      </c>
      <c r="L2146">
        <v>0.80952380952380953</v>
      </c>
      <c r="M2146">
        <v>0.80952380952380953</v>
      </c>
      <c r="N2146" t="s">
        <v>6542</v>
      </c>
      <c r="O2146" t="s">
        <v>6543</v>
      </c>
      <c r="P2146" t="s">
        <v>5038</v>
      </c>
      <c r="Q2146">
        <v>2</v>
      </c>
      <c r="R2146">
        <v>2</v>
      </c>
    </row>
    <row r="2147" spans="1:18" x14ac:dyDescent="0.3">
      <c r="A2147" t="s">
        <v>667</v>
      </c>
      <c r="B2147" t="s">
        <v>5033</v>
      </c>
      <c r="C2147" t="s">
        <v>760</v>
      </c>
      <c r="D2147" t="s">
        <v>222</v>
      </c>
      <c r="E2147" t="s">
        <v>30</v>
      </c>
      <c r="F2147" s="6">
        <v>45838</v>
      </c>
      <c r="G2147">
        <v>2025</v>
      </c>
      <c r="H2147" t="s">
        <v>44</v>
      </c>
      <c r="I2147" t="s">
        <v>244</v>
      </c>
      <c r="J2147">
        <v>369</v>
      </c>
      <c r="K2147">
        <v>103</v>
      </c>
      <c r="L2147">
        <v>0.2791327913279133</v>
      </c>
      <c r="M2147">
        <v>0.2791327913279133</v>
      </c>
      <c r="N2147" t="s">
        <v>6544</v>
      </c>
      <c r="O2147" t="s">
        <v>6545</v>
      </c>
      <c r="P2147" t="s">
        <v>5039</v>
      </c>
      <c r="Q2147">
        <v>2</v>
      </c>
      <c r="R2147">
        <v>2</v>
      </c>
    </row>
    <row r="2148" spans="1:18" x14ac:dyDescent="0.3">
      <c r="A2148" t="s">
        <v>2782</v>
      </c>
      <c r="B2148" t="s">
        <v>2410</v>
      </c>
      <c r="C2148" t="s">
        <v>3437</v>
      </c>
      <c r="D2148" t="s">
        <v>222</v>
      </c>
      <c r="E2148" t="s">
        <v>30</v>
      </c>
      <c r="F2148" s="6">
        <v>44742</v>
      </c>
      <c r="G2148">
        <v>2022</v>
      </c>
      <c r="H2148" t="s">
        <v>44</v>
      </c>
      <c r="I2148" t="s">
        <v>88</v>
      </c>
      <c r="J2148">
        <v>2</v>
      </c>
      <c r="K2148">
        <v>2</v>
      </c>
      <c r="L2148">
        <v>1</v>
      </c>
      <c r="M2148">
        <v>1</v>
      </c>
      <c r="N2148" t="s">
        <v>569</v>
      </c>
      <c r="O2148" t="s">
        <v>569</v>
      </c>
      <c r="P2148" t="s">
        <v>5040</v>
      </c>
      <c r="Q2148">
        <v>2</v>
      </c>
      <c r="R2148">
        <v>2</v>
      </c>
    </row>
    <row r="2149" spans="1:18" x14ac:dyDescent="0.3">
      <c r="A2149" t="s">
        <v>2782</v>
      </c>
      <c r="B2149" t="s">
        <v>2410</v>
      </c>
      <c r="C2149" t="s">
        <v>3437</v>
      </c>
      <c r="D2149" t="s">
        <v>222</v>
      </c>
      <c r="E2149" t="s">
        <v>30</v>
      </c>
      <c r="F2149" s="6">
        <v>44926</v>
      </c>
      <c r="G2149">
        <v>2022</v>
      </c>
      <c r="H2149" t="s">
        <v>57</v>
      </c>
      <c r="I2149" t="s">
        <v>90</v>
      </c>
      <c r="J2149">
        <v>1</v>
      </c>
      <c r="K2149">
        <v>1</v>
      </c>
      <c r="L2149">
        <v>1</v>
      </c>
      <c r="M2149">
        <v>1</v>
      </c>
      <c r="N2149" t="s">
        <v>617</v>
      </c>
      <c r="O2149" t="s">
        <v>617</v>
      </c>
      <c r="P2149" t="s">
        <v>5041</v>
      </c>
      <c r="Q2149">
        <v>2</v>
      </c>
      <c r="R2149">
        <v>2</v>
      </c>
    </row>
    <row r="2150" spans="1:18" x14ac:dyDescent="0.3">
      <c r="A2150" t="s">
        <v>2782</v>
      </c>
      <c r="B2150" t="s">
        <v>2410</v>
      </c>
      <c r="C2150" t="s">
        <v>3437</v>
      </c>
      <c r="D2150" t="s">
        <v>222</v>
      </c>
      <c r="E2150" t="s">
        <v>30</v>
      </c>
      <c r="F2150" s="6">
        <v>45107</v>
      </c>
      <c r="G2150">
        <v>2023</v>
      </c>
      <c r="H2150" t="s">
        <v>44</v>
      </c>
      <c r="I2150" t="s">
        <v>33</v>
      </c>
      <c r="J2150">
        <v>0</v>
      </c>
      <c r="K2150">
        <v>0</v>
      </c>
      <c r="L2150">
        <v>0</v>
      </c>
      <c r="M2150">
        <v>0</v>
      </c>
      <c r="N2150" t="s">
        <v>122</v>
      </c>
      <c r="O2150" t="s">
        <v>122</v>
      </c>
      <c r="P2150" t="s">
        <v>5042</v>
      </c>
      <c r="Q2150">
        <v>2</v>
      </c>
      <c r="R2150">
        <v>2</v>
      </c>
    </row>
    <row r="2151" spans="1:18" x14ac:dyDescent="0.3">
      <c r="A2151" t="s">
        <v>2782</v>
      </c>
      <c r="B2151" t="s">
        <v>2410</v>
      </c>
      <c r="C2151" t="s">
        <v>3437</v>
      </c>
      <c r="D2151" t="s">
        <v>222</v>
      </c>
      <c r="E2151" t="s">
        <v>30</v>
      </c>
      <c r="F2151" s="6">
        <v>45291</v>
      </c>
      <c r="G2151">
        <v>2023</v>
      </c>
      <c r="H2151" t="s">
        <v>57</v>
      </c>
      <c r="I2151" t="s">
        <v>47</v>
      </c>
      <c r="J2151">
        <v>0.5</v>
      </c>
      <c r="K2151">
        <v>0.5</v>
      </c>
      <c r="L2151">
        <v>1</v>
      </c>
      <c r="M2151">
        <v>1</v>
      </c>
      <c r="N2151" t="s">
        <v>6546</v>
      </c>
      <c r="O2151" t="s">
        <v>6546</v>
      </c>
      <c r="P2151" t="s">
        <v>5043</v>
      </c>
      <c r="Q2151">
        <v>2</v>
      </c>
      <c r="R2151">
        <v>2</v>
      </c>
    </row>
    <row r="2152" spans="1:18" x14ac:dyDescent="0.3">
      <c r="A2152" t="s">
        <v>311</v>
      </c>
      <c r="B2152" t="s">
        <v>2415</v>
      </c>
      <c r="C2152" t="s">
        <v>3437</v>
      </c>
      <c r="D2152" t="s">
        <v>222</v>
      </c>
      <c r="E2152" t="s">
        <v>30</v>
      </c>
      <c r="F2152" s="6">
        <v>44742</v>
      </c>
      <c r="G2152">
        <v>2022</v>
      </c>
      <c r="H2152" t="s">
        <v>44</v>
      </c>
      <c r="I2152" t="s">
        <v>88</v>
      </c>
      <c r="J2152">
        <v>2</v>
      </c>
      <c r="K2152">
        <v>2</v>
      </c>
      <c r="L2152">
        <v>1</v>
      </c>
      <c r="M2152">
        <v>1</v>
      </c>
      <c r="N2152" t="s">
        <v>569</v>
      </c>
      <c r="O2152" t="s">
        <v>569</v>
      </c>
      <c r="P2152" t="s">
        <v>5046</v>
      </c>
      <c r="Q2152">
        <v>2</v>
      </c>
      <c r="R2152">
        <v>2</v>
      </c>
    </row>
    <row r="2153" spans="1:18" x14ac:dyDescent="0.3">
      <c r="A2153" t="s">
        <v>311</v>
      </c>
      <c r="B2153" t="s">
        <v>2415</v>
      </c>
      <c r="C2153" t="s">
        <v>3437</v>
      </c>
      <c r="D2153" t="s">
        <v>222</v>
      </c>
      <c r="E2153" t="s">
        <v>30</v>
      </c>
      <c r="F2153" s="6">
        <v>44926</v>
      </c>
      <c r="G2153">
        <v>2022</v>
      </c>
      <c r="H2153" t="s">
        <v>57</v>
      </c>
      <c r="I2153" t="s">
        <v>90</v>
      </c>
      <c r="J2153">
        <v>2</v>
      </c>
      <c r="K2153">
        <v>2</v>
      </c>
      <c r="L2153">
        <v>1</v>
      </c>
      <c r="M2153">
        <v>1</v>
      </c>
      <c r="N2153" t="s">
        <v>569</v>
      </c>
      <c r="O2153" t="s">
        <v>569</v>
      </c>
      <c r="P2153" t="s">
        <v>5047</v>
      </c>
      <c r="Q2153">
        <v>2</v>
      </c>
      <c r="R2153">
        <v>2</v>
      </c>
    </row>
    <row r="2154" spans="1:18" x14ac:dyDescent="0.3">
      <c r="A2154" t="s">
        <v>311</v>
      </c>
      <c r="B2154" t="s">
        <v>2415</v>
      </c>
      <c r="C2154" t="s">
        <v>3437</v>
      </c>
      <c r="D2154" t="s">
        <v>222</v>
      </c>
      <c r="E2154" t="s">
        <v>30</v>
      </c>
      <c r="F2154" s="6">
        <v>45107</v>
      </c>
      <c r="G2154">
        <v>2023</v>
      </c>
      <c r="H2154" t="s">
        <v>44</v>
      </c>
      <c r="I2154" t="s">
        <v>33</v>
      </c>
      <c r="J2154">
        <v>0</v>
      </c>
      <c r="K2154">
        <v>0</v>
      </c>
      <c r="L2154">
        <v>0</v>
      </c>
      <c r="M2154">
        <v>0</v>
      </c>
      <c r="N2154" t="s">
        <v>122</v>
      </c>
      <c r="O2154" t="s">
        <v>122</v>
      </c>
      <c r="P2154" t="s">
        <v>5048</v>
      </c>
      <c r="Q2154">
        <v>2</v>
      </c>
      <c r="R2154">
        <v>2</v>
      </c>
    </row>
    <row r="2155" spans="1:18" x14ac:dyDescent="0.3">
      <c r="A2155" t="s">
        <v>311</v>
      </c>
      <c r="B2155" t="s">
        <v>2415</v>
      </c>
      <c r="C2155" t="s">
        <v>3437</v>
      </c>
      <c r="D2155" t="s">
        <v>222</v>
      </c>
      <c r="E2155" t="s">
        <v>30</v>
      </c>
      <c r="F2155" s="6">
        <v>45291</v>
      </c>
      <c r="G2155">
        <v>2023</v>
      </c>
      <c r="H2155" t="s">
        <v>57</v>
      </c>
      <c r="I2155" t="s">
        <v>47</v>
      </c>
      <c r="J2155">
        <v>1</v>
      </c>
      <c r="K2155">
        <v>1</v>
      </c>
      <c r="L2155">
        <v>1</v>
      </c>
      <c r="M2155">
        <v>1</v>
      </c>
      <c r="N2155" t="s">
        <v>617</v>
      </c>
      <c r="O2155" t="s">
        <v>617</v>
      </c>
      <c r="P2155" t="s">
        <v>5049</v>
      </c>
      <c r="Q2155">
        <v>2</v>
      </c>
      <c r="R2155">
        <v>2</v>
      </c>
    </row>
    <row r="2156" spans="1:18" x14ac:dyDescent="0.3">
      <c r="A2156" t="s">
        <v>311</v>
      </c>
      <c r="B2156" t="s">
        <v>2415</v>
      </c>
      <c r="C2156" t="s">
        <v>3437</v>
      </c>
      <c r="D2156" t="s">
        <v>222</v>
      </c>
      <c r="E2156" t="s">
        <v>30</v>
      </c>
      <c r="F2156" s="6">
        <v>45473</v>
      </c>
      <c r="G2156">
        <v>2024</v>
      </c>
      <c r="H2156" t="s">
        <v>44</v>
      </c>
      <c r="I2156" t="s">
        <v>71</v>
      </c>
      <c r="J2156">
        <v>0</v>
      </c>
      <c r="K2156">
        <v>0</v>
      </c>
      <c r="L2156">
        <v>0</v>
      </c>
      <c r="M2156">
        <v>0</v>
      </c>
      <c r="N2156" t="s">
        <v>122</v>
      </c>
      <c r="O2156" t="s">
        <v>122</v>
      </c>
      <c r="P2156" t="s">
        <v>5050</v>
      </c>
      <c r="Q2156">
        <v>2</v>
      </c>
      <c r="R2156">
        <v>2</v>
      </c>
    </row>
    <row r="2157" spans="1:18" x14ac:dyDescent="0.3">
      <c r="A2157" t="s">
        <v>311</v>
      </c>
      <c r="B2157" t="s">
        <v>2415</v>
      </c>
      <c r="C2157" t="s">
        <v>3437</v>
      </c>
      <c r="D2157" t="s">
        <v>222</v>
      </c>
      <c r="E2157" t="s">
        <v>30</v>
      </c>
      <c r="F2157" s="6">
        <v>45657</v>
      </c>
      <c r="G2157">
        <v>2024</v>
      </c>
      <c r="H2157" t="s">
        <v>57</v>
      </c>
      <c r="I2157" t="s">
        <v>78</v>
      </c>
      <c r="J2157">
        <v>5</v>
      </c>
      <c r="K2157">
        <v>5</v>
      </c>
      <c r="L2157">
        <v>1</v>
      </c>
      <c r="M2157">
        <v>1</v>
      </c>
      <c r="N2157" t="s">
        <v>823</v>
      </c>
      <c r="O2157" t="s">
        <v>823</v>
      </c>
      <c r="P2157" t="s">
        <v>5051</v>
      </c>
      <c r="Q2157">
        <v>2</v>
      </c>
      <c r="R2157">
        <v>2</v>
      </c>
    </row>
    <row r="2158" spans="1:18" x14ac:dyDescent="0.3">
      <c r="A2158" t="s">
        <v>5052</v>
      </c>
      <c r="B2158" t="s">
        <v>5053</v>
      </c>
      <c r="C2158" t="s">
        <v>3331</v>
      </c>
      <c r="D2158" t="s">
        <v>222</v>
      </c>
      <c r="E2158" t="s">
        <v>30</v>
      </c>
      <c r="F2158" s="6">
        <v>45107</v>
      </c>
      <c r="G2158">
        <v>2023</v>
      </c>
      <c r="H2158" t="s">
        <v>44</v>
      </c>
      <c r="I2158" t="s">
        <v>33</v>
      </c>
      <c r="J2158">
        <v>2558</v>
      </c>
      <c r="K2158">
        <v>2500</v>
      </c>
      <c r="L2158">
        <v>0.97732603596559808</v>
      </c>
      <c r="M2158">
        <v>0.97732603596559808</v>
      </c>
      <c r="N2158" t="s">
        <v>6547</v>
      </c>
      <c r="O2158" t="s">
        <v>6548</v>
      </c>
      <c r="P2158" t="s">
        <v>5054</v>
      </c>
      <c r="Q2158">
        <v>2</v>
      </c>
      <c r="R2158">
        <v>2</v>
      </c>
    </row>
    <row r="2159" spans="1:18" x14ac:dyDescent="0.3">
      <c r="A2159" t="s">
        <v>5052</v>
      </c>
      <c r="B2159" t="s">
        <v>5053</v>
      </c>
      <c r="C2159" t="s">
        <v>3331</v>
      </c>
      <c r="D2159" t="s">
        <v>222</v>
      </c>
      <c r="E2159" t="s">
        <v>30</v>
      </c>
      <c r="F2159" s="6">
        <v>45291</v>
      </c>
      <c r="G2159">
        <v>2023</v>
      </c>
      <c r="H2159" t="s">
        <v>57</v>
      </c>
      <c r="I2159" t="s">
        <v>47</v>
      </c>
      <c r="J2159">
        <v>5099</v>
      </c>
      <c r="K2159">
        <v>4977</v>
      </c>
      <c r="L2159">
        <v>0.97607373994900959</v>
      </c>
      <c r="M2159">
        <v>0.97607373994900959</v>
      </c>
      <c r="N2159" t="s">
        <v>6549</v>
      </c>
      <c r="O2159" t="s">
        <v>6550</v>
      </c>
      <c r="P2159" t="s">
        <v>5055</v>
      </c>
      <c r="Q2159">
        <v>2</v>
      </c>
      <c r="R2159">
        <v>2</v>
      </c>
    </row>
    <row r="2160" spans="1:18" x14ac:dyDescent="0.3">
      <c r="A2160" t="s">
        <v>5052</v>
      </c>
      <c r="B2160" t="s">
        <v>5053</v>
      </c>
      <c r="C2160" t="s">
        <v>3331</v>
      </c>
      <c r="D2160" t="s">
        <v>222</v>
      </c>
      <c r="E2160" t="s">
        <v>30</v>
      </c>
      <c r="F2160" s="6">
        <v>45473</v>
      </c>
      <c r="G2160">
        <v>2024</v>
      </c>
      <c r="H2160" t="s">
        <v>44</v>
      </c>
      <c r="I2160" t="s">
        <v>71</v>
      </c>
      <c r="J2160">
        <v>2575</v>
      </c>
      <c r="K2160">
        <v>2624</v>
      </c>
      <c r="L2160">
        <v>1.019029126213592</v>
      </c>
      <c r="M2160">
        <v>1.019029126213592</v>
      </c>
      <c r="N2160" t="s">
        <v>6551</v>
      </c>
      <c r="O2160" t="s">
        <v>6552</v>
      </c>
      <c r="P2160" t="s">
        <v>5056</v>
      </c>
      <c r="Q2160">
        <v>2</v>
      </c>
      <c r="R2160">
        <v>2</v>
      </c>
    </row>
    <row r="2161" spans="1:18" x14ac:dyDescent="0.3">
      <c r="A2161" t="s">
        <v>5052</v>
      </c>
      <c r="B2161" t="s">
        <v>5053</v>
      </c>
      <c r="C2161" t="s">
        <v>3331</v>
      </c>
      <c r="D2161" t="s">
        <v>222</v>
      </c>
      <c r="E2161" t="s">
        <v>30</v>
      </c>
      <c r="F2161" s="6">
        <v>45838</v>
      </c>
      <c r="G2161">
        <v>2025</v>
      </c>
      <c r="H2161" t="s">
        <v>44</v>
      </c>
      <c r="I2161" t="s">
        <v>244</v>
      </c>
      <c r="J2161">
        <v>2677</v>
      </c>
      <c r="K2161">
        <v>2764</v>
      </c>
      <c r="L2161">
        <v>1.0324990661187901</v>
      </c>
      <c r="M2161">
        <v>1.0324990661187901</v>
      </c>
      <c r="N2161" t="s">
        <v>6553</v>
      </c>
      <c r="O2161" t="s">
        <v>6554</v>
      </c>
      <c r="P2161" t="s">
        <v>5057</v>
      </c>
      <c r="Q2161">
        <v>2</v>
      </c>
      <c r="R2161">
        <v>2</v>
      </c>
    </row>
    <row r="2162" spans="1:18" x14ac:dyDescent="0.3">
      <c r="A2162" t="s">
        <v>5058</v>
      </c>
      <c r="B2162" t="s">
        <v>5059</v>
      </c>
      <c r="C2162" t="s">
        <v>3331</v>
      </c>
      <c r="D2162" t="s">
        <v>222</v>
      </c>
      <c r="E2162" t="s">
        <v>30</v>
      </c>
      <c r="F2162" s="6">
        <v>45107</v>
      </c>
      <c r="G2162">
        <v>2023</v>
      </c>
      <c r="H2162" t="s">
        <v>44</v>
      </c>
      <c r="I2162" t="s">
        <v>33</v>
      </c>
      <c r="J2162">
        <v>542</v>
      </c>
      <c r="K2162">
        <v>548</v>
      </c>
      <c r="L2162">
        <v>1.0110701107011071</v>
      </c>
      <c r="M2162">
        <v>1.0110701107011071</v>
      </c>
      <c r="N2162" t="s">
        <v>6555</v>
      </c>
      <c r="O2162" t="s">
        <v>6556</v>
      </c>
      <c r="P2162" t="s">
        <v>5060</v>
      </c>
      <c r="Q2162">
        <v>2</v>
      </c>
      <c r="R2162">
        <v>2</v>
      </c>
    </row>
    <row r="2163" spans="1:18" x14ac:dyDescent="0.3">
      <c r="A2163" t="s">
        <v>5058</v>
      </c>
      <c r="B2163" t="s">
        <v>5059</v>
      </c>
      <c r="C2163" t="s">
        <v>3331</v>
      </c>
      <c r="D2163" t="s">
        <v>222</v>
      </c>
      <c r="E2163" t="s">
        <v>30</v>
      </c>
      <c r="F2163" s="6">
        <v>45291</v>
      </c>
      <c r="G2163">
        <v>2023</v>
      </c>
      <c r="H2163" t="s">
        <v>57</v>
      </c>
      <c r="I2163" t="s">
        <v>47</v>
      </c>
      <c r="J2163">
        <v>1013</v>
      </c>
      <c r="K2163">
        <v>1000</v>
      </c>
      <c r="L2163">
        <v>0.98716683119447191</v>
      </c>
      <c r="M2163">
        <v>0.98716683119447191</v>
      </c>
      <c r="N2163" t="s">
        <v>5826</v>
      </c>
      <c r="O2163" t="s">
        <v>6187</v>
      </c>
      <c r="P2163" t="s">
        <v>5061</v>
      </c>
      <c r="Q2163">
        <v>2</v>
      </c>
      <c r="R2163">
        <v>2</v>
      </c>
    </row>
    <row r="2164" spans="1:18" x14ac:dyDescent="0.3">
      <c r="A2164" t="s">
        <v>5058</v>
      </c>
      <c r="B2164" t="s">
        <v>5059</v>
      </c>
      <c r="C2164" t="s">
        <v>3331</v>
      </c>
      <c r="D2164" t="s">
        <v>222</v>
      </c>
      <c r="E2164" t="s">
        <v>30</v>
      </c>
      <c r="F2164" s="6">
        <v>45473</v>
      </c>
      <c r="G2164">
        <v>2024</v>
      </c>
      <c r="H2164" t="s">
        <v>44</v>
      </c>
      <c r="I2164" t="s">
        <v>71</v>
      </c>
      <c r="J2164">
        <v>582</v>
      </c>
      <c r="K2164">
        <v>562</v>
      </c>
      <c r="L2164">
        <v>0.96563573883161513</v>
      </c>
      <c r="M2164">
        <v>0.96563573883161513</v>
      </c>
      <c r="N2164" t="s">
        <v>6557</v>
      </c>
      <c r="O2164" t="s">
        <v>6558</v>
      </c>
      <c r="P2164" t="s">
        <v>5062</v>
      </c>
      <c r="Q2164">
        <v>2</v>
      </c>
      <c r="R2164">
        <v>2</v>
      </c>
    </row>
    <row r="2165" spans="1:18" x14ac:dyDescent="0.3">
      <c r="A2165" t="s">
        <v>5063</v>
      </c>
      <c r="B2165" t="s">
        <v>5064</v>
      </c>
      <c r="C2165" t="s">
        <v>3331</v>
      </c>
      <c r="D2165" t="s">
        <v>222</v>
      </c>
      <c r="E2165" t="s">
        <v>30</v>
      </c>
      <c r="F2165" s="6">
        <v>45107</v>
      </c>
      <c r="G2165">
        <v>2023</v>
      </c>
      <c r="H2165" t="s">
        <v>44</v>
      </c>
      <c r="I2165" t="s">
        <v>33</v>
      </c>
      <c r="J2165">
        <v>15</v>
      </c>
      <c r="K2165">
        <v>21</v>
      </c>
      <c r="L2165">
        <v>1.3</v>
      </c>
      <c r="M2165">
        <v>1.4</v>
      </c>
      <c r="N2165" t="s">
        <v>3932</v>
      </c>
      <c r="O2165" t="s">
        <v>1465</v>
      </c>
      <c r="P2165" t="s">
        <v>5065</v>
      </c>
      <c r="Q2165">
        <v>2</v>
      </c>
      <c r="R2165">
        <v>2</v>
      </c>
    </row>
    <row r="2166" spans="1:18" x14ac:dyDescent="0.3">
      <c r="A2166" t="s">
        <v>5063</v>
      </c>
      <c r="B2166" t="s">
        <v>5064</v>
      </c>
      <c r="C2166" t="s">
        <v>3331</v>
      </c>
      <c r="D2166" t="s">
        <v>222</v>
      </c>
      <c r="E2166" t="s">
        <v>30</v>
      </c>
      <c r="F2166" s="6">
        <v>45291</v>
      </c>
      <c r="G2166">
        <v>2023</v>
      </c>
      <c r="H2166" t="s">
        <v>57</v>
      </c>
      <c r="I2166" t="s">
        <v>47</v>
      </c>
      <c r="J2166">
        <v>30</v>
      </c>
      <c r="K2166">
        <v>20</v>
      </c>
      <c r="L2166">
        <v>0.66666666666666663</v>
      </c>
      <c r="M2166">
        <v>0.66666666666666663</v>
      </c>
      <c r="N2166" t="s">
        <v>2505</v>
      </c>
      <c r="O2166" t="s">
        <v>1298</v>
      </c>
      <c r="P2166" t="s">
        <v>5066</v>
      </c>
      <c r="Q2166">
        <v>2</v>
      </c>
      <c r="R2166">
        <v>2</v>
      </c>
    </row>
    <row r="2167" spans="1:18" x14ac:dyDescent="0.3">
      <c r="A2167" t="s">
        <v>5063</v>
      </c>
      <c r="B2167" t="s">
        <v>5064</v>
      </c>
      <c r="C2167" t="s">
        <v>3331</v>
      </c>
      <c r="D2167" t="s">
        <v>222</v>
      </c>
      <c r="E2167" t="s">
        <v>30</v>
      </c>
      <c r="F2167" s="6">
        <v>45473</v>
      </c>
      <c r="G2167">
        <v>2024</v>
      </c>
      <c r="H2167" t="s">
        <v>44</v>
      </c>
      <c r="I2167" t="s">
        <v>71</v>
      </c>
      <c r="J2167">
        <v>0</v>
      </c>
      <c r="K2167">
        <v>0</v>
      </c>
      <c r="L2167">
        <v>0</v>
      </c>
      <c r="M2167">
        <v>0</v>
      </c>
      <c r="N2167" t="s">
        <v>122</v>
      </c>
      <c r="O2167" t="s">
        <v>122</v>
      </c>
      <c r="P2167" t="s">
        <v>5067</v>
      </c>
      <c r="Q2167">
        <v>2</v>
      </c>
      <c r="R2167">
        <v>2</v>
      </c>
    </row>
    <row r="2168" spans="1:18" x14ac:dyDescent="0.3">
      <c r="A2168" t="s">
        <v>5068</v>
      </c>
      <c r="B2168" t="s">
        <v>5069</v>
      </c>
      <c r="C2168" t="s">
        <v>3331</v>
      </c>
      <c r="D2168" t="s">
        <v>222</v>
      </c>
      <c r="E2168" t="s">
        <v>30</v>
      </c>
      <c r="F2168" s="6">
        <v>45107</v>
      </c>
      <c r="G2168">
        <v>2023</v>
      </c>
      <c r="H2168" t="s">
        <v>44</v>
      </c>
      <c r="I2168" t="s">
        <v>33</v>
      </c>
      <c r="J2168">
        <v>557</v>
      </c>
      <c r="K2168">
        <v>569</v>
      </c>
      <c r="L2168">
        <v>1.0215439856373429</v>
      </c>
      <c r="M2168">
        <v>1.0215439856373429</v>
      </c>
      <c r="N2168" t="s">
        <v>6559</v>
      </c>
      <c r="O2168" t="s">
        <v>6560</v>
      </c>
      <c r="P2168" t="s">
        <v>5070</v>
      </c>
      <c r="Q2168">
        <v>2</v>
      </c>
      <c r="R2168">
        <v>2</v>
      </c>
    </row>
    <row r="2169" spans="1:18" x14ac:dyDescent="0.3">
      <c r="A2169" t="s">
        <v>5068</v>
      </c>
      <c r="B2169" t="s">
        <v>5069</v>
      </c>
      <c r="C2169" t="s">
        <v>3331</v>
      </c>
      <c r="D2169" t="s">
        <v>222</v>
      </c>
      <c r="E2169" t="s">
        <v>30</v>
      </c>
      <c r="F2169" s="6">
        <v>45291</v>
      </c>
      <c r="G2169">
        <v>2023</v>
      </c>
      <c r="H2169" t="s">
        <v>57</v>
      </c>
      <c r="I2169" t="s">
        <v>47</v>
      </c>
      <c r="J2169">
        <v>1043</v>
      </c>
      <c r="K2169">
        <v>1020</v>
      </c>
      <c r="L2169">
        <v>0.97794822627037392</v>
      </c>
      <c r="M2169">
        <v>0.97794822627037392</v>
      </c>
      <c r="N2169" t="s">
        <v>6561</v>
      </c>
      <c r="O2169" t="s">
        <v>6562</v>
      </c>
      <c r="P2169" t="s">
        <v>5071</v>
      </c>
      <c r="Q2169">
        <v>2</v>
      </c>
      <c r="R2169">
        <v>2</v>
      </c>
    </row>
    <row r="2170" spans="1:18" x14ac:dyDescent="0.3">
      <c r="A2170" t="s">
        <v>5068</v>
      </c>
      <c r="B2170" t="s">
        <v>5069</v>
      </c>
      <c r="C2170" t="s">
        <v>3331</v>
      </c>
      <c r="D2170" t="s">
        <v>222</v>
      </c>
      <c r="E2170" t="s">
        <v>30</v>
      </c>
      <c r="F2170" s="6">
        <v>45473</v>
      </c>
      <c r="G2170">
        <v>2024</v>
      </c>
      <c r="H2170" t="s">
        <v>44</v>
      </c>
      <c r="I2170" t="s">
        <v>71</v>
      </c>
      <c r="J2170">
        <v>582</v>
      </c>
      <c r="K2170">
        <v>562</v>
      </c>
      <c r="L2170">
        <v>0.96563573883161513</v>
      </c>
      <c r="M2170">
        <v>0.96563573883161513</v>
      </c>
      <c r="N2170" t="s">
        <v>6557</v>
      </c>
      <c r="O2170" t="s">
        <v>6558</v>
      </c>
      <c r="P2170" t="s">
        <v>5072</v>
      </c>
      <c r="Q2170">
        <v>2</v>
      </c>
      <c r="R2170">
        <v>2</v>
      </c>
    </row>
    <row r="2171" spans="1:18" x14ac:dyDescent="0.3">
      <c r="A2171" t="s">
        <v>5068</v>
      </c>
      <c r="B2171" t="s">
        <v>5069</v>
      </c>
      <c r="C2171" t="s">
        <v>3331</v>
      </c>
      <c r="D2171" t="s">
        <v>222</v>
      </c>
      <c r="E2171" t="s">
        <v>30</v>
      </c>
      <c r="F2171" s="6">
        <v>45838</v>
      </c>
      <c r="G2171">
        <v>2025</v>
      </c>
      <c r="H2171" t="s">
        <v>44</v>
      </c>
      <c r="I2171" t="s">
        <v>244</v>
      </c>
      <c r="J2171">
        <v>582</v>
      </c>
      <c r="K2171">
        <v>562</v>
      </c>
      <c r="L2171">
        <v>0.96563573883161513</v>
      </c>
      <c r="M2171">
        <v>0.96563573883161513</v>
      </c>
      <c r="N2171" t="s">
        <v>6557</v>
      </c>
      <c r="O2171" t="s">
        <v>6558</v>
      </c>
      <c r="P2171" t="s">
        <v>5073</v>
      </c>
      <c r="Q2171">
        <v>2</v>
      </c>
      <c r="R2171">
        <v>2</v>
      </c>
    </row>
    <row r="2172" spans="1:18" x14ac:dyDescent="0.3">
      <c r="A2172" t="s">
        <v>5074</v>
      </c>
      <c r="B2172" t="s">
        <v>5075</v>
      </c>
      <c r="C2172" t="s">
        <v>3331</v>
      </c>
      <c r="D2172" t="s">
        <v>222</v>
      </c>
      <c r="E2172" t="s">
        <v>30</v>
      </c>
      <c r="F2172" s="6">
        <v>45107</v>
      </c>
      <c r="G2172">
        <v>2023</v>
      </c>
      <c r="H2172" t="s">
        <v>44</v>
      </c>
      <c r="I2172" t="s">
        <v>33</v>
      </c>
      <c r="J2172">
        <v>1987</v>
      </c>
      <c r="K2172">
        <v>1895</v>
      </c>
      <c r="L2172">
        <v>0.95369904378459991</v>
      </c>
      <c r="M2172">
        <v>0.95369904378459991</v>
      </c>
      <c r="N2172" t="s">
        <v>6563</v>
      </c>
      <c r="O2172" t="s">
        <v>6564</v>
      </c>
      <c r="P2172" t="s">
        <v>5076</v>
      </c>
      <c r="Q2172">
        <v>2</v>
      </c>
      <c r="R2172">
        <v>2</v>
      </c>
    </row>
    <row r="2173" spans="1:18" x14ac:dyDescent="0.3">
      <c r="A2173" t="s">
        <v>5074</v>
      </c>
      <c r="B2173" t="s">
        <v>5075</v>
      </c>
      <c r="C2173" t="s">
        <v>3331</v>
      </c>
      <c r="D2173" t="s">
        <v>222</v>
      </c>
      <c r="E2173" t="s">
        <v>30</v>
      </c>
      <c r="F2173" s="6">
        <v>45291</v>
      </c>
      <c r="G2173">
        <v>2023</v>
      </c>
      <c r="H2173" t="s">
        <v>57</v>
      </c>
      <c r="I2173" t="s">
        <v>47</v>
      </c>
      <c r="J2173">
        <v>4056</v>
      </c>
      <c r="K2173">
        <v>3957</v>
      </c>
      <c r="L2173">
        <v>0.97559171597633132</v>
      </c>
      <c r="M2173">
        <v>0.97559171597633132</v>
      </c>
      <c r="N2173" t="s">
        <v>6565</v>
      </c>
      <c r="O2173" t="s">
        <v>6566</v>
      </c>
      <c r="P2173" t="s">
        <v>5077</v>
      </c>
      <c r="Q2173">
        <v>2</v>
      </c>
      <c r="R2173">
        <v>2</v>
      </c>
    </row>
    <row r="2174" spans="1:18" x14ac:dyDescent="0.3">
      <c r="A2174" t="s">
        <v>5074</v>
      </c>
      <c r="B2174" t="s">
        <v>5075</v>
      </c>
      <c r="C2174" t="s">
        <v>3331</v>
      </c>
      <c r="D2174" t="s">
        <v>222</v>
      </c>
      <c r="E2174" t="s">
        <v>30</v>
      </c>
      <c r="F2174" s="6">
        <v>45473</v>
      </c>
      <c r="G2174">
        <v>2024</v>
      </c>
      <c r="H2174" t="s">
        <v>44</v>
      </c>
      <c r="I2174" t="s">
        <v>71</v>
      </c>
      <c r="J2174">
        <v>1992.779485500268</v>
      </c>
      <c r="K2174">
        <v>2062</v>
      </c>
      <c r="L2174">
        <v>1.03473566192516</v>
      </c>
      <c r="M2174">
        <v>1.03473566192516</v>
      </c>
      <c r="N2174" t="s">
        <v>6567</v>
      </c>
      <c r="O2174" t="s">
        <v>6568</v>
      </c>
      <c r="P2174" t="s">
        <v>5078</v>
      </c>
      <c r="Q2174">
        <v>2</v>
      </c>
      <c r="R2174">
        <v>2</v>
      </c>
    </row>
    <row r="2175" spans="1:18" x14ac:dyDescent="0.3">
      <c r="A2175" t="s">
        <v>5074</v>
      </c>
      <c r="B2175" t="s">
        <v>5079</v>
      </c>
      <c r="C2175" t="s">
        <v>3331</v>
      </c>
      <c r="D2175" t="s">
        <v>222</v>
      </c>
      <c r="E2175" t="s">
        <v>30</v>
      </c>
      <c r="F2175" s="6">
        <v>45838</v>
      </c>
      <c r="G2175">
        <v>2025</v>
      </c>
      <c r="H2175" t="s">
        <v>44</v>
      </c>
      <c r="I2175" t="s">
        <v>244</v>
      </c>
      <c r="J2175">
        <v>2107</v>
      </c>
      <c r="K2175">
        <v>2219</v>
      </c>
      <c r="L2175">
        <v>1.0531561461794019</v>
      </c>
      <c r="M2175">
        <v>1.0531561461794019</v>
      </c>
      <c r="N2175" t="s">
        <v>6569</v>
      </c>
      <c r="O2175" t="s">
        <v>6570</v>
      </c>
      <c r="P2175" t="s">
        <v>5080</v>
      </c>
      <c r="Q2175">
        <v>2</v>
      </c>
      <c r="R2175">
        <v>2</v>
      </c>
    </row>
    <row r="2176" spans="1:18" x14ac:dyDescent="0.3">
      <c r="A2176" t="s">
        <v>5081</v>
      </c>
      <c r="B2176" t="s">
        <v>5082</v>
      </c>
      <c r="C2176" t="s">
        <v>3331</v>
      </c>
      <c r="D2176" t="s">
        <v>222</v>
      </c>
      <c r="E2176" t="s">
        <v>30</v>
      </c>
      <c r="F2176" s="6">
        <v>45107</v>
      </c>
      <c r="G2176">
        <v>2023</v>
      </c>
      <c r="H2176" t="s">
        <v>44</v>
      </c>
      <c r="I2176" t="s">
        <v>33</v>
      </c>
      <c r="J2176">
        <v>7464800310</v>
      </c>
      <c r="K2176">
        <v>6799687380</v>
      </c>
      <c r="L2176">
        <v>0.91090010417170819</v>
      </c>
      <c r="M2176">
        <v>0.91090010417170819</v>
      </c>
      <c r="N2176" t="s">
        <v>6571</v>
      </c>
      <c r="O2176" t="s">
        <v>6572</v>
      </c>
      <c r="P2176" t="s">
        <v>5083</v>
      </c>
      <c r="Q2176">
        <v>2</v>
      </c>
      <c r="R2176">
        <v>2</v>
      </c>
    </row>
    <row r="2177" spans="1:18" x14ac:dyDescent="0.3">
      <c r="A2177" t="s">
        <v>5081</v>
      </c>
      <c r="B2177" t="s">
        <v>5082</v>
      </c>
      <c r="C2177" t="s">
        <v>3331</v>
      </c>
      <c r="D2177" t="s">
        <v>222</v>
      </c>
      <c r="E2177" t="s">
        <v>30</v>
      </c>
      <c r="F2177" s="6">
        <v>45291</v>
      </c>
      <c r="G2177">
        <v>2023</v>
      </c>
      <c r="H2177" t="s">
        <v>57</v>
      </c>
      <c r="I2177" t="s">
        <v>47</v>
      </c>
      <c r="J2177">
        <v>16525</v>
      </c>
      <c r="K2177">
        <v>17050</v>
      </c>
      <c r="L2177">
        <v>1.031770045385779</v>
      </c>
      <c r="M2177">
        <v>1.031770045385779</v>
      </c>
      <c r="N2177" t="s">
        <v>6573</v>
      </c>
      <c r="O2177" t="s">
        <v>6574</v>
      </c>
      <c r="P2177" t="s">
        <v>5084</v>
      </c>
      <c r="Q2177">
        <v>2</v>
      </c>
      <c r="R2177">
        <v>2</v>
      </c>
    </row>
    <row r="2178" spans="1:18" x14ac:dyDescent="0.3">
      <c r="A2178" t="s">
        <v>5081</v>
      </c>
      <c r="B2178" t="s">
        <v>5082</v>
      </c>
      <c r="C2178" t="s">
        <v>3331</v>
      </c>
      <c r="D2178" t="s">
        <v>222</v>
      </c>
      <c r="E2178" t="s">
        <v>30</v>
      </c>
      <c r="F2178" s="6">
        <v>45473</v>
      </c>
      <c r="G2178">
        <v>2024</v>
      </c>
      <c r="H2178" t="s">
        <v>44</v>
      </c>
      <c r="I2178" t="s">
        <v>71</v>
      </c>
      <c r="J2178">
        <v>8924.4965414416911</v>
      </c>
      <c r="K2178">
        <v>10555.383198</v>
      </c>
      <c r="L2178">
        <v>1.1827427069958669</v>
      </c>
      <c r="M2178">
        <v>1.1827427069958669</v>
      </c>
      <c r="N2178" t="s">
        <v>6575</v>
      </c>
      <c r="O2178" t="s">
        <v>6576</v>
      </c>
      <c r="P2178" t="s">
        <v>5085</v>
      </c>
      <c r="Q2178">
        <v>2</v>
      </c>
      <c r="R2178">
        <v>2</v>
      </c>
    </row>
    <row r="2179" spans="1:18" x14ac:dyDescent="0.3">
      <c r="A2179" t="s">
        <v>5081</v>
      </c>
      <c r="B2179" t="s">
        <v>5082</v>
      </c>
      <c r="C2179" t="s">
        <v>3331</v>
      </c>
      <c r="D2179" t="s">
        <v>222</v>
      </c>
      <c r="E2179" t="s">
        <v>30</v>
      </c>
      <c r="F2179" s="6">
        <v>45838</v>
      </c>
      <c r="G2179">
        <v>2025</v>
      </c>
      <c r="H2179" t="s">
        <v>44</v>
      </c>
      <c r="I2179" t="s">
        <v>244</v>
      </c>
      <c r="J2179">
        <v>100</v>
      </c>
      <c r="K2179">
        <v>107.61</v>
      </c>
      <c r="L2179">
        <v>1.0761000000000001</v>
      </c>
      <c r="M2179">
        <v>1.0761000000000001</v>
      </c>
      <c r="N2179" t="s">
        <v>102</v>
      </c>
      <c r="O2179" t="s">
        <v>6577</v>
      </c>
      <c r="P2179" t="s">
        <v>5086</v>
      </c>
      <c r="Q2179">
        <v>2</v>
      </c>
      <c r="R2179">
        <v>2</v>
      </c>
    </row>
    <row r="2180" spans="1:18" x14ac:dyDescent="0.3">
      <c r="A2180" t="s">
        <v>5087</v>
      </c>
      <c r="B2180" t="s">
        <v>5088</v>
      </c>
      <c r="C2180" t="s">
        <v>3331</v>
      </c>
      <c r="D2180" t="s">
        <v>222</v>
      </c>
      <c r="E2180" t="s">
        <v>30</v>
      </c>
      <c r="F2180" s="6">
        <v>45107</v>
      </c>
      <c r="G2180">
        <v>2023</v>
      </c>
      <c r="H2180" t="s">
        <v>44</v>
      </c>
      <c r="I2180" t="s">
        <v>33</v>
      </c>
      <c r="J2180">
        <v>310095319</v>
      </c>
      <c r="K2180">
        <v>306819161</v>
      </c>
      <c r="L2180">
        <v>0.98943499692105963</v>
      </c>
      <c r="M2180">
        <v>0.98943499692105963</v>
      </c>
      <c r="N2180" t="s">
        <v>6578</v>
      </c>
      <c r="O2180" t="s">
        <v>6579</v>
      </c>
      <c r="P2180" t="s">
        <v>5089</v>
      </c>
      <c r="Q2180">
        <v>2</v>
      </c>
      <c r="R2180">
        <v>2</v>
      </c>
    </row>
    <row r="2181" spans="1:18" x14ac:dyDescent="0.3">
      <c r="A2181" t="s">
        <v>5087</v>
      </c>
      <c r="B2181" t="s">
        <v>5088</v>
      </c>
      <c r="C2181" t="s">
        <v>3331</v>
      </c>
      <c r="D2181" t="s">
        <v>222</v>
      </c>
      <c r="E2181" t="s">
        <v>30</v>
      </c>
      <c r="F2181" s="6">
        <v>45291</v>
      </c>
      <c r="G2181">
        <v>2023</v>
      </c>
      <c r="H2181" t="s">
        <v>57</v>
      </c>
      <c r="I2181" t="s">
        <v>47</v>
      </c>
      <c r="J2181">
        <v>758</v>
      </c>
      <c r="K2181">
        <v>306</v>
      </c>
      <c r="L2181">
        <v>0.40369393139841692</v>
      </c>
      <c r="M2181">
        <v>0.40369393139841692</v>
      </c>
      <c r="N2181" t="s">
        <v>6580</v>
      </c>
      <c r="O2181" t="s">
        <v>6068</v>
      </c>
      <c r="P2181" t="s">
        <v>5090</v>
      </c>
      <c r="Q2181">
        <v>2</v>
      </c>
      <c r="R2181">
        <v>2</v>
      </c>
    </row>
    <row r="2182" spans="1:18" x14ac:dyDescent="0.3">
      <c r="A2182" t="s">
        <v>5087</v>
      </c>
      <c r="B2182" t="s">
        <v>5088</v>
      </c>
      <c r="C2182" t="s">
        <v>3331</v>
      </c>
      <c r="D2182" t="s">
        <v>222</v>
      </c>
      <c r="E2182" t="s">
        <v>30</v>
      </c>
      <c r="F2182" s="6">
        <v>45473</v>
      </c>
      <c r="G2182">
        <v>2024</v>
      </c>
      <c r="H2182" t="s">
        <v>44</v>
      </c>
      <c r="I2182" t="s">
        <v>71</v>
      </c>
      <c r="J2182">
        <v>1028.02888967371</v>
      </c>
      <c r="K2182">
        <v>1782.0250679999999</v>
      </c>
      <c r="L2182">
        <v>1.3</v>
      </c>
      <c r="M2182">
        <v>1.7334387057601111</v>
      </c>
      <c r="N2182" t="s">
        <v>6581</v>
      </c>
      <c r="O2182" t="s">
        <v>6582</v>
      </c>
      <c r="P2182" t="s">
        <v>5091</v>
      </c>
      <c r="Q2182">
        <v>2</v>
      </c>
      <c r="R2182">
        <v>2</v>
      </c>
    </row>
    <row r="2183" spans="1:18" x14ac:dyDescent="0.3">
      <c r="A2183" t="s">
        <v>5087</v>
      </c>
      <c r="B2183" t="s">
        <v>5088</v>
      </c>
      <c r="C2183" t="s">
        <v>3331</v>
      </c>
      <c r="D2183" t="s">
        <v>222</v>
      </c>
      <c r="E2183" t="s">
        <v>30</v>
      </c>
      <c r="F2183" s="6">
        <v>45838</v>
      </c>
      <c r="G2183">
        <v>2025</v>
      </c>
      <c r="H2183" t="s">
        <v>44</v>
      </c>
      <c r="I2183" t="s">
        <v>244</v>
      </c>
      <c r="J2183">
        <v>100</v>
      </c>
      <c r="K2183">
        <v>143.04</v>
      </c>
      <c r="L2183">
        <v>1.3</v>
      </c>
      <c r="M2183">
        <v>1.4303999999999999</v>
      </c>
      <c r="N2183" t="s">
        <v>102</v>
      </c>
      <c r="O2183" t="s">
        <v>6583</v>
      </c>
      <c r="P2183" t="s">
        <v>5092</v>
      </c>
      <c r="Q2183">
        <v>2</v>
      </c>
      <c r="R2183">
        <v>2</v>
      </c>
    </row>
    <row r="2184" spans="1:18" x14ac:dyDescent="0.3">
      <c r="A2184" t="s">
        <v>5093</v>
      </c>
      <c r="B2184" t="s">
        <v>5094</v>
      </c>
      <c r="C2184" t="s">
        <v>3331</v>
      </c>
      <c r="D2184" t="s">
        <v>222</v>
      </c>
      <c r="E2184" t="s">
        <v>30</v>
      </c>
      <c r="F2184" s="6">
        <v>45107</v>
      </c>
      <c r="G2184">
        <v>2023</v>
      </c>
      <c r="H2184" t="s">
        <v>44</v>
      </c>
      <c r="I2184" t="s">
        <v>33</v>
      </c>
      <c r="J2184">
        <v>8320861622</v>
      </c>
      <c r="K2184">
        <v>7224513910</v>
      </c>
      <c r="L2184">
        <v>0.86824108345927731</v>
      </c>
      <c r="M2184">
        <v>0.86824108345927731</v>
      </c>
      <c r="N2184" t="s">
        <v>6584</v>
      </c>
      <c r="O2184" t="s">
        <v>6585</v>
      </c>
      <c r="P2184" t="s">
        <v>5095</v>
      </c>
      <c r="Q2184">
        <v>2</v>
      </c>
      <c r="R2184">
        <v>2</v>
      </c>
    </row>
    <row r="2185" spans="1:18" x14ac:dyDescent="0.3">
      <c r="A2185" t="s">
        <v>5096</v>
      </c>
      <c r="B2185" t="s">
        <v>5097</v>
      </c>
      <c r="C2185" t="s">
        <v>3331</v>
      </c>
      <c r="D2185" t="s">
        <v>222</v>
      </c>
      <c r="E2185" t="s">
        <v>30</v>
      </c>
      <c r="F2185" s="6">
        <v>45107</v>
      </c>
      <c r="G2185">
        <v>2023</v>
      </c>
      <c r="H2185" t="s">
        <v>44</v>
      </c>
      <c r="I2185" t="s">
        <v>33</v>
      </c>
      <c r="J2185">
        <v>95</v>
      </c>
      <c r="K2185">
        <v>93</v>
      </c>
      <c r="L2185">
        <v>0.97894736842105268</v>
      </c>
      <c r="M2185">
        <v>0.97894736842105268</v>
      </c>
      <c r="N2185" t="s">
        <v>838</v>
      </c>
      <c r="O2185" t="s">
        <v>971</v>
      </c>
      <c r="P2185" t="s">
        <v>5098</v>
      </c>
      <c r="Q2185">
        <v>2</v>
      </c>
      <c r="R2185">
        <v>2</v>
      </c>
    </row>
    <row r="2186" spans="1:18" x14ac:dyDescent="0.3">
      <c r="A2186" t="s">
        <v>5096</v>
      </c>
      <c r="B2186" t="s">
        <v>5097</v>
      </c>
      <c r="C2186" t="s">
        <v>3331</v>
      </c>
      <c r="D2186" t="s">
        <v>222</v>
      </c>
      <c r="E2186" t="s">
        <v>30</v>
      </c>
      <c r="F2186" s="6">
        <v>45291</v>
      </c>
      <c r="G2186">
        <v>2023</v>
      </c>
      <c r="H2186" t="s">
        <v>57</v>
      </c>
      <c r="I2186" t="s">
        <v>47</v>
      </c>
      <c r="J2186">
        <v>100</v>
      </c>
      <c r="K2186">
        <v>100</v>
      </c>
      <c r="L2186">
        <v>1</v>
      </c>
      <c r="M2186">
        <v>1</v>
      </c>
      <c r="N2186" t="s">
        <v>102</v>
      </c>
      <c r="O2186" t="s">
        <v>102</v>
      </c>
      <c r="P2186" t="s">
        <v>5099</v>
      </c>
      <c r="Q2186">
        <v>2</v>
      </c>
      <c r="R2186">
        <v>2</v>
      </c>
    </row>
    <row r="2187" spans="1:18" x14ac:dyDescent="0.3">
      <c r="A2187" t="s">
        <v>5100</v>
      </c>
      <c r="B2187" t="s">
        <v>5101</v>
      </c>
      <c r="C2187" t="s">
        <v>3331</v>
      </c>
      <c r="D2187" t="s">
        <v>222</v>
      </c>
      <c r="E2187" t="s">
        <v>30</v>
      </c>
      <c r="F2187" s="6">
        <v>45107</v>
      </c>
      <c r="G2187">
        <v>2023</v>
      </c>
      <c r="H2187" t="s">
        <v>44</v>
      </c>
      <c r="I2187" t="s">
        <v>33</v>
      </c>
      <c r="J2187">
        <v>60</v>
      </c>
      <c r="K2187">
        <v>66</v>
      </c>
      <c r="L2187">
        <v>1.1000000000000001</v>
      </c>
      <c r="M2187">
        <v>1.1000000000000001</v>
      </c>
      <c r="N2187" t="s">
        <v>2640</v>
      </c>
      <c r="O2187" t="s">
        <v>5598</v>
      </c>
      <c r="P2187" t="s">
        <v>5102</v>
      </c>
      <c r="Q2187">
        <v>2</v>
      </c>
      <c r="R2187">
        <v>2</v>
      </c>
    </row>
    <row r="2188" spans="1:18" x14ac:dyDescent="0.3">
      <c r="A2188" t="s">
        <v>5100</v>
      </c>
      <c r="B2188" t="s">
        <v>5101</v>
      </c>
      <c r="C2188" t="s">
        <v>3331</v>
      </c>
      <c r="D2188" t="s">
        <v>222</v>
      </c>
      <c r="E2188" t="s">
        <v>30</v>
      </c>
      <c r="F2188" s="6">
        <v>45291</v>
      </c>
      <c r="G2188">
        <v>2023</v>
      </c>
      <c r="H2188" t="s">
        <v>57</v>
      </c>
      <c r="I2188" t="s">
        <v>47</v>
      </c>
      <c r="J2188">
        <v>100</v>
      </c>
      <c r="K2188">
        <v>86</v>
      </c>
      <c r="L2188">
        <v>0.86</v>
      </c>
      <c r="M2188">
        <v>0.86</v>
      </c>
      <c r="N2188" t="s">
        <v>102</v>
      </c>
      <c r="O2188" t="s">
        <v>4410</v>
      </c>
      <c r="P2188" t="s">
        <v>5103</v>
      </c>
      <c r="Q2188">
        <v>2</v>
      </c>
      <c r="R2188">
        <v>2</v>
      </c>
    </row>
    <row r="2189" spans="1:18" x14ac:dyDescent="0.3">
      <c r="A2189" t="s">
        <v>5100</v>
      </c>
      <c r="B2189" t="s">
        <v>5101</v>
      </c>
      <c r="C2189" t="s">
        <v>3331</v>
      </c>
      <c r="D2189" t="s">
        <v>222</v>
      </c>
      <c r="E2189" t="s">
        <v>30</v>
      </c>
      <c r="F2189" s="6">
        <v>45473</v>
      </c>
      <c r="G2189">
        <v>2024</v>
      </c>
      <c r="H2189" t="s">
        <v>44</v>
      </c>
      <c r="I2189" t="s">
        <v>71</v>
      </c>
      <c r="J2189">
        <v>65.95</v>
      </c>
      <c r="K2189">
        <v>62.83</v>
      </c>
      <c r="L2189">
        <v>0.95269143290371483</v>
      </c>
      <c r="M2189">
        <v>0.95269143290371483</v>
      </c>
      <c r="N2189" t="s">
        <v>6241</v>
      </c>
      <c r="O2189" t="s">
        <v>6242</v>
      </c>
      <c r="P2189" t="s">
        <v>5104</v>
      </c>
      <c r="Q2189">
        <v>2</v>
      </c>
      <c r="R2189">
        <v>2</v>
      </c>
    </row>
    <row r="2190" spans="1:18" x14ac:dyDescent="0.3">
      <c r="A2190" t="s">
        <v>5100</v>
      </c>
      <c r="B2190" t="s">
        <v>5101</v>
      </c>
      <c r="C2190" t="s">
        <v>3331</v>
      </c>
      <c r="D2190" t="s">
        <v>222</v>
      </c>
      <c r="E2190" t="s">
        <v>30</v>
      </c>
      <c r="F2190" s="6">
        <v>45838</v>
      </c>
      <c r="G2190">
        <v>2025</v>
      </c>
      <c r="H2190" t="s">
        <v>44</v>
      </c>
      <c r="I2190" t="s">
        <v>244</v>
      </c>
      <c r="J2190">
        <v>69</v>
      </c>
      <c r="K2190">
        <v>47</v>
      </c>
      <c r="L2190">
        <v>0.6811594202898551</v>
      </c>
      <c r="M2190">
        <v>0.6811594202898551</v>
      </c>
      <c r="N2190" t="s">
        <v>5599</v>
      </c>
      <c r="O2190" t="s">
        <v>5369</v>
      </c>
      <c r="P2190" t="s">
        <v>5105</v>
      </c>
      <c r="Q2190">
        <v>2</v>
      </c>
      <c r="R2190">
        <v>2</v>
      </c>
    </row>
    <row r="2191" spans="1:18" x14ac:dyDescent="0.3">
      <c r="A2191" t="s">
        <v>5106</v>
      </c>
      <c r="B2191" t="s">
        <v>5107</v>
      </c>
      <c r="C2191" t="s">
        <v>3331</v>
      </c>
      <c r="D2191" t="s">
        <v>222</v>
      </c>
      <c r="E2191" t="s">
        <v>30</v>
      </c>
      <c r="F2191" s="6">
        <v>45107</v>
      </c>
      <c r="G2191">
        <v>2023</v>
      </c>
      <c r="H2191" t="s">
        <v>44</v>
      </c>
      <c r="I2191" t="s">
        <v>33</v>
      </c>
      <c r="J2191">
        <v>2</v>
      </c>
      <c r="K2191">
        <v>2</v>
      </c>
      <c r="L2191">
        <v>1</v>
      </c>
      <c r="M2191">
        <v>1</v>
      </c>
      <c r="N2191" t="s">
        <v>569</v>
      </c>
      <c r="O2191" t="s">
        <v>569</v>
      </c>
      <c r="P2191" t="s">
        <v>5108</v>
      </c>
      <c r="Q2191">
        <v>2</v>
      </c>
      <c r="R2191">
        <v>2</v>
      </c>
    </row>
    <row r="2192" spans="1:18" x14ac:dyDescent="0.3">
      <c r="A2192" t="s">
        <v>5106</v>
      </c>
      <c r="B2192" t="s">
        <v>5107</v>
      </c>
      <c r="C2192" t="s">
        <v>3331</v>
      </c>
      <c r="D2192" t="s">
        <v>222</v>
      </c>
      <c r="E2192" t="s">
        <v>30</v>
      </c>
      <c r="F2192" s="6">
        <v>45291</v>
      </c>
      <c r="G2192">
        <v>2023</v>
      </c>
      <c r="H2192" t="s">
        <v>57</v>
      </c>
      <c r="I2192" t="s">
        <v>47</v>
      </c>
      <c r="J2192">
        <v>2</v>
      </c>
      <c r="K2192">
        <v>2</v>
      </c>
      <c r="L2192">
        <v>1</v>
      </c>
      <c r="M2192">
        <v>1</v>
      </c>
      <c r="N2192" t="s">
        <v>569</v>
      </c>
      <c r="O2192" t="s">
        <v>569</v>
      </c>
      <c r="P2192" t="s">
        <v>5109</v>
      </c>
      <c r="Q2192">
        <v>2</v>
      </c>
      <c r="R2192">
        <v>2</v>
      </c>
    </row>
    <row r="2193" spans="1:18" x14ac:dyDescent="0.3">
      <c r="A2193" t="s">
        <v>5110</v>
      </c>
      <c r="B2193" t="s">
        <v>5111</v>
      </c>
      <c r="C2193" t="s">
        <v>3331</v>
      </c>
      <c r="D2193" t="s">
        <v>222</v>
      </c>
      <c r="E2193" t="s">
        <v>30</v>
      </c>
      <c r="F2193" s="6">
        <v>45107</v>
      </c>
      <c r="G2193">
        <v>2023</v>
      </c>
      <c r="H2193" t="s">
        <v>44</v>
      </c>
      <c r="I2193" t="s">
        <v>33</v>
      </c>
      <c r="J2193">
        <v>66.5</v>
      </c>
      <c r="K2193">
        <v>63.1</v>
      </c>
      <c r="L2193">
        <v>0.94887218045112787</v>
      </c>
      <c r="M2193">
        <v>0.94887218045112787</v>
      </c>
      <c r="N2193" t="s">
        <v>6586</v>
      </c>
      <c r="O2193" t="s">
        <v>6587</v>
      </c>
      <c r="P2193" t="s">
        <v>5112</v>
      </c>
      <c r="Q2193">
        <v>2</v>
      </c>
      <c r="R2193">
        <v>2</v>
      </c>
    </row>
    <row r="2194" spans="1:18" x14ac:dyDescent="0.3">
      <c r="A2194" t="s">
        <v>5110</v>
      </c>
      <c r="B2194" t="s">
        <v>5111</v>
      </c>
      <c r="C2194" t="s">
        <v>3331</v>
      </c>
      <c r="D2194" t="s">
        <v>222</v>
      </c>
      <c r="E2194" t="s">
        <v>30</v>
      </c>
      <c r="F2194" s="6">
        <v>45291</v>
      </c>
      <c r="G2194">
        <v>2023</v>
      </c>
      <c r="H2194" t="s">
        <v>57</v>
      </c>
      <c r="I2194" t="s">
        <v>47</v>
      </c>
      <c r="J2194">
        <v>67</v>
      </c>
      <c r="K2194">
        <v>63</v>
      </c>
      <c r="L2194">
        <v>0.94029850746268662</v>
      </c>
      <c r="M2194">
        <v>0.94029850746268662</v>
      </c>
      <c r="N2194" t="s">
        <v>5418</v>
      </c>
      <c r="O2194" t="s">
        <v>4342</v>
      </c>
      <c r="P2194" t="s">
        <v>5113</v>
      </c>
      <c r="Q2194">
        <v>2</v>
      </c>
      <c r="R2194">
        <v>2</v>
      </c>
    </row>
    <row r="2195" spans="1:18" x14ac:dyDescent="0.3">
      <c r="A2195" t="s">
        <v>5114</v>
      </c>
      <c r="B2195" t="s">
        <v>5115</v>
      </c>
      <c r="C2195" t="s">
        <v>3331</v>
      </c>
      <c r="D2195" t="s">
        <v>222</v>
      </c>
      <c r="E2195" t="s">
        <v>30</v>
      </c>
      <c r="F2195" s="6">
        <v>45107</v>
      </c>
      <c r="G2195">
        <v>2023</v>
      </c>
      <c r="H2195" t="s">
        <v>44</v>
      </c>
      <c r="I2195" t="s">
        <v>33</v>
      </c>
      <c r="J2195">
        <v>2527</v>
      </c>
      <c r="K2195">
        <v>2464</v>
      </c>
      <c r="L2195">
        <v>0.97506925207756234</v>
      </c>
      <c r="M2195">
        <v>0.97506925207756234</v>
      </c>
      <c r="N2195" t="s">
        <v>6588</v>
      </c>
      <c r="O2195" t="s">
        <v>6589</v>
      </c>
      <c r="P2195" t="s">
        <v>5116</v>
      </c>
      <c r="Q2195">
        <v>2</v>
      </c>
      <c r="R2195">
        <v>2</v>
      </c>
    </row>
    <row r="2196" spans="1:18" x14ac:dyDescent="0.3">
      <c r="A2196" t="s">
        <v>5114</v>
      </c>
      <c r="B2196" t="s">
        <v>5115</v>
      </c>
      <c r="C2196" t="s">
        <v>3331</v>
      </c>
      <c r="D2196" t="s">
        <v>222</v>
      </c>
      <c r="E2196" t="s">
        <v>30</v>
      </c>
      <c r="F2196" s="6">
        <v>45291</v>
      </c>
      <c r="G2196">
        <v>2023</v>
      </c>
      <c r="H2196" t="s">
        <v>57</v>
      </c>
      <c r="I2196" t="s">
        <v>47</v>
      </c>
      <c r="J2196">
        <v>5039</v>
      </c>
      <c r="K2196">
        <v>4921</v>
      </c>
      <c r="L2196">
        <v>0.97658265528874777</v>
      </c>
      <c r="M2196">
        <v>0.97658265528874777</v>
      </c>
      <c r="N2196" t="s">
        <v>6590</v>
      </c>
      <c r="O2196" t="s">
        <v>6591</v>
      </c>
      <c r="P2196" t="s">
        <v>5117</v>
      </c>
      <c r="Q2196">
        <v>2</v>
      </c>
      <c r="R2196">
        <v>2</v>
      </c>
    </row>
    <row r="2197" spans="1:18" x14ac:dyDescent="0.3">
      <c r="A2197" t="s">
        <v>5118</v>
      </c>
      <c r="B2197" t="s">
        <v>5119</v>
      </c>
      <c r="C2197" t="s">
        <v>3331</v>
      </c>
      <c r="D2197" t="s">
        <v>222</v>
      </c>
      <c r="E2197" t="s">
        <v>30</v>
      </c>
      <c r="F2197" s="6">
        <v>45107</v>
      </c>
      <c r="G2197">
        <v>2023</v>
      </c>
      <c r="H2197" t="s">
        <v>44</v>
      </c>
      <c r="I2197" t="s">
        <v>33</v>
      </c>
      <c r="J2197">
        <v>1702</v>
      </c>
      <c r="K2197">
        <v>1784</v>
      </c>
      <c r="L2197">
        <v>1.0481786133960049</v>
      </c>
      <c r="M2197">
        <v>1.0481786133960049</v>
      </c>
      <c r="N2197" t="s">
        <v>6592</v>
      </c>
      <c r="O2197" t="s">
        <v>6593</v>
      </c>
      <c r="P2197" t="s">
        <v>5120</v>
      </c>
      <c r="Q2197">
        <v>2</v>
      </c>
      <c r="R2197">
        <v>2</v>
      </c>
    </row>
    <row r="2198" spans="1:18" x14ac:dyDescent="0.3">
      <c r="A2198" t="s">
        <v>5118</v>
      </c>
      <c r="B2198" t="s">
        <v>5119</v>
      </c>
      <c r="C2198" t="s">
        <v>3331</v>
      </c>
      <c r="D2198" t="s">
        <v>222</v>
      </c>
      <c r="E2198" t="s">
        <v>30</v>
      </c>
      <c r="F2198" s="6">
        <v>45291</v>
      </c>
      <c r="G2198">
        <v>2023</v>
      </c>
      <c r="H2198" t="s">
        <v>57</v>
      </c>
      <c r="I2198" t="s">
        <v>47</v>
      </c>
      <c r="J2198">
        <v>3052</v>
      </c>
      <c r="K2198">
        <v>3218</v>
      </c>
      <c r="L2198">
        <v>1.054390563564876</v>
      </c>
      <c r="M2198">
        <v>1.054390563564876</v>
      </c>
      <c r="N2198" t="s">
        <v>6594</v>
      </c>
      <c r="O2198" t="s">
        <v>6595</v>
      </c>
      <c r="P2198" t="s">
        <v>5121</v>
      </c>
      <c r="Q2198">
        <v>2</v>
      </c>
      <c r="R2198">
        <v>2</v>
      </c>
    </row>
    <row r="2199" spans="1:18" x14ac:dyDescent="0.3">
      <c r="A2199" t="s">
        <v>5122</v>
      </c>
      <c r="B2199" t="s">
        <v>5123</v>
      </c>
      <c r="C2199" t="s">
        <v>3331</v>
      </c>
      <c r="D2199" t="s">
        <v>222</v>
      </c>
      <c r="E2199" t="s">
        <v>30</v>
      </c>
      <c r="F2199" s="6">
        <v>45107</v>
      </c>
      <c r="G2199">
        <v>2023</v>
      </c>
      <c r="H2199" t="s">
        <v>44</v>
      </c>
      <c r="I2199" t="s">
        <v>33</v>
      </c>
      <c r="J2199">
        <v>4934</v>
      </c>
      <c r="K2199">
        <v>4702</v>
      </c>
      <c r="L2199">
        <v>0.95297932711795708</v>
      </c>
      <c r="M2199">
        <v>0.95297932711795708</v>
      </c>
      <c r="N2199" t="s">
        <v>6596</v>
      </c>
      <c r="O2199" t="s">
        <v>6597</v>
      </c>
      <c r="P2199" t="s">
        <v>5124</v>
      </c>
      <c r="Q2199">
        <v>2</v>
      </c>
      <c r="R2199">
        <v>2</v>
      </c>
    </row>
    <row r="2200" spans="1:18" x14ac:dyDescent="0.3">
      <c r="A2200" t="s">
        <v>5122</v>
      </c>
      <c r="B2200" t="s">
        <v>5123</v>
      </c>
      <c r="C2200" t="s">
        <v>3331</v>
      </c>
      <c r="D2200" t="s">
        <v>222</v>
      </c>
      <c r="E2200" t="s">
        <v>30</v>
      </c>
      <c r="F2200" s="6">
        <v>45291</v>
      </c>
      <c r="G2200">
        <v>2023</v>
      </c>
      <c r="H2200" t="s">
        <v>57</v>
      </c>
      <c r="I2200" t="s">
        <v>47</v>
      </c>
      <c r="J2200">
        <v>10723</v>
      </c>
      <c r="K2200">
        <v>10070</v>
      </c>
      <c r="L2200">
        <v>0.93910286300475609</v>
      </c>
      <c r="M2200">
        <v>0.93910286300475609</v>
      </c>
      <c r="N2200" t="s">
        <v>6598</v>
      </c>
      <c r="O2200" t="s">
        <v>6599</v>
      </c>
      <c r="P2200" t="s">
        <v>5125</v>
      </c>
      <c r="Q2200">
        <v>2</v>
      </c>
      <c r="R2200">
        <v>2</v>
      </c>
    </row>
    <row r="2201" spans="1:18" x14ac:dyDescent="0.3">
      <c r="A2201" t="s">
        <v>5126</v>
      </c>
      <c r="B2201" t="s">
        <v>5127</v>
      </c>
      <c r="C2201" t="s">
        <v>3331</v>
      </c>
      <c r="D2201" t="s">
        <v>222</v>
      </c>
      <c r="E2201" t="s">
        <v>30</v>
      </c>
      <c r="F2201" s="6">
        <v>45107</v>
      </c>
      <c r="G2201">
        <v>2023</v>
      </c>
      <c r="H2201" t="s">
        <v>44</v>
      </c>
      <c r="I2201" t="s">
        <v>33</v>
      </c>
      <c r="J2201">
        <v>16</v>
      </c>
      <c r="K2201">
        <v>15</v>
      </c>
      <c r="L2201">
        <v>0.9375</v>
      </c>
      <c r="M2201">
        <v>0.9375</v>
      </c>
      <c r="N2201" t="s">
        <v>809</v>
      </c>
      <c r="O2201" t="s">
        <v>3932</v>
      </c>
      <c r="P2201" t="s">
        <v>5128</v>
      </c>
      <c r="Q2201">
        <v>2</v>
      </c>
      <c r="R2201">
        <v>2</v>
      </c>
    </row>
    <row r="2202" spans="1:18" x14ac:dyDescent="0.3">
      <c r="A2202" t="s">
        <v>5126</v>
      </c>
      <c r="B2202" t="s">
        <v>5127</v>
      </c>
      <c r="C2202" t="s">
        <v>3331</v>
      </c>
      <c r="D2202" t="s">
        <v>222</v>
      </c>
      <c r="E2202" t="s">
        <v>30</v>
      </c>
      <c r="F2202" s="6">
        <v>45291</v>
      </c>
      <c r="G2202">
        <v>2023</v>
      </c>
      <c r="H2202" t="s">
        <v>57</v>
      </c>
      <c r="I2202" t="s">
        <v>47</v>
      </c>
      <c r="J2202">
        <v>432</v>
      </c>
      <c r="K2202">
        <v>292</v>
      </c>
      <c r="L2202">
        <v>0.67592592592592593</v>
      </c>
      <c r="M2202">
        <v>0.67592592592592593</v>
      </c>
      <c r="N2202" t="s">
        <v>6600</v>
      </c>
      <c r="O2202" t="s">
        <v>6601</v>
      </c>
      <c r="P2202" t="s">
        <v>5129</v>
      </c>
      <c r="Q2202">
        <v>2</v>
      </c>
      <c r="R2202">
        <v>2</v>
      </c>
    </row>
    <row r="2203" spans="1:18" x14ac:dyDescent="0.3">
      <c r="A2203" t="s">
        <v>5130</v>
      </c>
      <c r="B2203" t="s">
        <v>5131</v>
      </c>
      <c r="C2203" t="s">
        <v>3331</v>
      </c>
      <c r="D2203" t="s">
        <v>222</v>
      </c>
      <c r="E2203" t="s">
        <v>30</v>
      </c>
      <c r="F2203" s="6">
        <v>45107</v>
      </c>
      <c r="G2203">
        <v>2023</v>
      </c>
      <c r="H2203" t="s">
        <v>44</v>
      </c>
      <c r="I2203" t="s">
        <v>33</v>
      </c>
      <c r="J2203">
        <v>31</v>
      </c>
      <c r="K2203">
        <v>36</v>
      </c>
      <c r="L2203">
        <v>1.161290322580645</v>
      </c>
      <c r="M2203">
        <v>1.161290322580645</v>
      </c>
      <c r="N2203" t="s">
        <v>5708</v>
      </c>
      <c r="O2203" t="s">
        <v>5705</v>
      </c>
      <c r="P2203" t="s">
        <v>5132</v>
      </c>
      <c r="Q2203">
        <v>2</v>
      </c>
      <c r="R2203">
        <v>2</v>
      </c>
    </row>
    <row r="2204" spans="1:18" x14ac:dyDescent="0.3">
      <c r="A2204" t="s">
        <v>5130</v>
      </c>
      <c r="B2204" t="s">
        <v>5131</v>
      </c>
      <c r="C2204" t="s">
        <v>3331</v>
      </c>
      <c r="D2204" t="s">
        <v>222</v>
      </c>
      <c r="E2204" t="s">
        <v>30</v>
      </c>
      <c r="F2204" s="6">
        <v>45291</v>
      </c>
      <c r="G2204">
        <v>2023</v>
      </c>
      <c r="H2204" t="s">
        <v>57</v>
      </c>
      <c r="I2204" t="s">
        <v>47</v>
      </c>
      <c r="J2204">
        <v>60</v>
      </c>
      <c r="K2204">
        <v>56</v>
      </c>
      <c r="L2204">
        <v>0.93333333333333335</v>
      </c>
      <c r="M2204">
        <v>0.93333333333333335</v>
      </c>
      <c r="N2204" t="s">
        <v>2640</v>
      </c>
      <c r="O2204" t="s">
        <v>6236</v>
      </c>
      <c r="P2204" t="s">
        <v>5133</v>
      </c>
      <c r="Q2204">
        <v>2</v>
      </c>
      <c r="R2204">
        <v>2</v>
      </c>
    </row>
    <row r="2205" spans="1:18" x14ac:dyDescent="0.3">
      <c r="A2205" t="s">
        <v>5134</v>
      </c>
      <c r="B2205" t="s">
        <v>5135</v>
      </c>
      <c r="C2205" t="s">
        <v>3331</v>
      </c>
      <c r="D2205" t="s">
        <v>222</v>
      </c>
      <c r="E2205" t="s">
        <v>30</v>
      </c>
      <c r="F2205" s="6">
        <v>45107</v>
      </c>
      <c r="G2205">
        <v>2023</v>
      </c>
      <c r="H2205" t="s">
        <v>44</v>
      </c>
      <c r="I2205" t="s">
        <v>33</v>
      </c>
      <c r="J2205">
        <v>162</v>
      </c>
      <c r="K2205">
        <v>218</v>
      </c>
      <c r="L2205">
        <v>1.3</v>
      </c>
      <c r="M2205">
        <v>1.345679012345679</v>
      </c>
      <c r="N2205" t="s">
        <v>6602</v>
      </c>
      <c r="O2205" t="s">
        <v>6074</v>
      </c>
      <c r="P2205" t="s">
        <v>5136</v>
      </c>
      <c r="Q2205">
        <v>2</v>
      </c>
      <c r="R2205">
        <v>2</v>
      </c>
    </row>
    <row r="2206" spans="1:18" x14ac:dyDescent="0.3">
      <c r="A2206" t="s">
        <v>5134</v>
      </c>
      <c r="B2206" t="s">
        <v>5135</v>
      </c>
      <c r="C2206" t="s">
        <v>3331</v>
      </c>
      <c r="D2206" t="s">
        <v>222</v>
      </c>
      <c r="E2206" t="s">
        <v>30</v>
      </c>
      <c r="F2206" s="6">
        <v>45291</v>
      </c>
      <c r="G2206">
        <v>2023</v>
      </c>
      <c r="H2206" t="s">
        <v>57</v>
      </c>
      <c r="I2206" t="s">
        <v>47</v>
      </c>
      <c r="J2206">
        <v>3052</v>
      </c>
      <c r="K2206">
        <v>3218</v>
      </c>
      <c r="L2206">
        <v>1.054390563564876</v>
      </c>
      <c r="M2206">
        <v>1.054390563564876</v>
      </c>
      <c r="N2206" t="s">
        <v>6594</v>
      </c>
      <c r="O2206" t="s">
        <v>6595</v>
      </c>
      <c r="P2206" t="s">
        <v>5137</v>
      </c>
      <c r="Q2206">
        <v>2</v>
      </c>
      <c r="R2206">
        <v>2</v>
      </c>
    </row>
    <row r="2207" spans="1:18" x14ac:dyDescent="0.3">
      <c r="A2207" t="s">
        <v>5138</v>
      </c>
      <c r="B2207" t="s">
        <v>5139</v>
      </c>
      <c r="C2207" t="s">
        <v>3331</v>
      </c>
      <c r="D2207" t="s">
        <v>222</v>
      </c>
      <c r="E2207" t="s">
        <v>30</v>
      </c>
      <c r="F2207" s="6">
        <v>45107</v>
      </c>
      <c r="G2207">
        <v>2023</v>
      </c>
      <c r="H2207" t="s">
        <v>44</v>
      </c>
      <c r="I2207" t="s">
        <v>33</v>
      </c>
      <c r="J2207">
        <v>212</v>
      </c>
      <c r="K2207">
        <v>129</v>
      </c>
      <c r="L2207">
        <v>0.60849056603773588</v>
      </c>
      <c r="M2207">
        <v>0.60849056603773588</v>
      </c>
      <c r="N2207" t="s">
        <v>6603</v>
      </c>
      <c r="O2207" t="s">
        <v>6604</v>
      </c>
      <c r="P2207" t="s">
        <v>5140</v>
      </c>
      <c r="Q2207">
        <v>2</v>
      </c>
      <c r="R2207">
        <v>2</v>
      </c>
    </row>
    <row r="2208" spans="1:18" x14ac:dyDescent="0.3">
      <c r="A2208" t="s">
        <v>5138</v>
      </c>
      <c r="B2208" t="s">
        <v>5139</v>
      </c>
      <c r="C2208" t="s">
        <v>3331</v>
      </c>
      <c r="D2208" t="s">
        <v>222</v>
      </c>
      <c r="E2208" t="s">
        <v>30</v>
      </c>
      <c r="F2208" s="6">
        <v>45291</v>
      </c>
      <c r="G2208">
        <v>2023</v>
      </c>
      <c r="H2208" t="s">
        <v>57</v>
      </c>
      <c r="I2208" t="s">
        <v>47</v>
      </c>
      <c r="J2208">
        <v>432</v>
      </c>
      <c r="K2208">
        <v>292</v>
      </c>
      <c r="L2208">
        <v>0.67592592592592593</v>
      </c>
      <c r="M2208">
        <v>0.67592592592592593</v>
      </c>
      <c r="N2208" t="s">
        <v>6600</v>
      </c>
      <c r="O2208" t="s">
        <v>6601</v>
      </c>
      <c r="P2208" t="s">
        <v>5141</v>
      </c>
      <c r="Q2208">
        <v>2</v>
      </c>
      <c r="R2208">
        <v>2</v>
      </c>
    </row>
    <row r="2209" spans="1:18" x14ac:dyDescent="0.3">
      <c r="A2209" t="s">
        <v>5142</v>
      </c>
      <c r="B2209" t="s">
        <v>5143</v>
      </c>
      <c r="C2209" t="s">
        <v>3331</v>
      </c>
      <c r="D2209" t="s">
        <v>222</v>
      </c>
      <c r="E2209" t="s">
        <v>30</v>
      </c>
      <c r="F2209" s="6">
        <v>45107</v>
      </c>
      <c r="G2209">
        <v>2023</v>
      </c>
      <c r="H2209" t="s">
        <v>44</v>
      </c>
      <c r="I2209" t="s">
        <v>33</v>
      </c>
      <c r="J2209">
        <v>5146</v>
      </c>
      <c r="K2209">
        <v>4831</v>
      </c>
      <c r="L2209">
        <v>0.93878740769529734</v>
      </c>
      <c r="M2209">
        <v>0.93878740769529734</v>
      </c>
      <c r="N2209" t="s">
        <v>6605</v>
      </c>
      <c r="O2209" t="s">
        <v>6606</v>
      </c>
      <c r="P2209" t="s">
        <v>5144</v>
      </c>
      <c r="Q2209">
        <v>2</v>
      </c>
      <c r="R2209">
        <v>2</v>
      </c>
    </row>
    <row r="2210" spans="1:18" x14ac:dyDescent="0.3">
      <c r="A2210" t="s">
        <v>5142</v>
      </c>
      <c r="B2210" t="s">
        <v>5143</v>
      </c>
      <c r="C2210" t="s">
        <v>3331</v>
      </c>
      <c r="D2210" t="s">
        <v>222</v>
      </c>
      <c r="E2210" t="s">
        <v>30</v>
      </c>
      <c r="F2210" s="6">
        <v>45291</v>
      </c>
      <c r="G2210">
        <v>2023</v>
      </c>
      <c r="H2210" t="s">
        <v>57</v>
      </c>
      <c r="I2210" t="s">
        <v>47</v>
      </c>
      <c r="J2210">
        <v>11155</v>
      </c>
      <c r="K2210">
        <v>10362</v>
      </c>
      <c r="L2210">
        <v>0.92891080233079337</v>
      </c>
      <c r="M2210">
        <v>0.92891080233079337</v>
      </c>
      <c r="N2210" t="s">
        <v>6607</v>
      </c>
      <c r="O2210" t="s">
        <v>6608</v>
      </c>
      <c r="P2210" t="s">
        <v>5145</v>
      </c>
      <c r="Q2210">
        <v>2</v>
      </c>
      <c r="R2210">
        <v>2</v>
      </c>
    </row>
    <row r="2211" spans="1:18" x14ac:dyDescent="0.3">
      <c r="A2211" t="s">
        <v>5146</v>
      </c>
      <c r="B2211" t="s">
        <v>5147</v>
      </c>
      <c r="C2211" t="s">
        <v>3331</v>
      </c>
      <c r="D2211" t="s">
        <v>222</v>
      </c>
      <c r="E2211" t="s">
        <v>30</v>
      </c>
      <c r="F2211" s="6">
        <v>45107</v>
      </c>
      <c r="G2211">
        <v>2023</v>
      </c>
      <c r="H2211" t="s">
        <v>44</v>
      </c>
      <c r="I2211" t="s">
        <v>33</v>
      </c>
      <c r="J2211">
        <v>1037307448</v>
      </c>
      <c r="K2211">
        <v>695692471</v>
      </c>
      <c r="L2211">
        <v>0.67067143144623409</v>
      </c>
      <c r="M2211">
        <v>0.67067143144623409</v>
      </c>
      <c r="N2211" t="s">
        <v>6609</v>
      </c>
      <c r="O2211" t="s">
        <v>6610</v>
      </c>
      <c r="P2211" t="s">
        <v>5148</v>
      </c>
      <c r="Q2211">
        <v>2</v>
      </c>
      <c r="R2211">
        <v>2</v>
      </c>
    </row>
    <row r="2212" spans="1:18" x14ac:dyDescent="0.3">
      <c r="A2212" t="s">
        <v>5146</v>
      </c>
      <c r="B2212" t="s">
        <v>5147</v>
      </c>
      <c r="C2212" t="s">
        <v>3331</v>
      </c>
      <c r="D2212" t="s">
        <v>222</v>
      </c>
      <c r="E2212" t="s">
        <v>30</v>
      </c>
      <c r="F2212" s="6">
        <v>45291</v>
      </c>
      <c r="G2212">
        <v>2023</v>
      </c>
      <c r="H2212" t="s">
        <v>57</v>
      </c>
      <c r="I2212" t="s">
        <v>47</v>
      </c>
      <c r="J2212">
        <v>2243</v>
      </c>
      <c r="K2212">
        <v>2101</v>
      </c>
      <c r="L2212">
        <v>0.93669193045028976</v>
      </c>
      <c r="M2212">
        <v>0.93669193045028976</v>
      </c>
      <c r="N2212" t="s">
        <v>6611</v>
      </c>
      <c r="O2212" t="s">
        <v>6612</v>
      </c>
      <c r="P2212" t="s">
        <v>5149</v>
      </c>
      <c r="Q2212">
        <v>2</v>
      </c>
      <c r="R2212">
        <v>2</v>
      </c>
    </row>
    <row r="2213" spans="1:18" x14ac:dyDescent="0.3">
      <c r="A2213" t="s">
        <v>5146</v>
      </c>
      <c r="B2213" t="s">
        <v>5147</v>
      </c>
      <c r="C2213" t="s">
        <v>3331</v>
      </c>
      <c r="D2213" t="s">
        <v>222</v>
      </c>
      <c r="E2213" t="s">
        <v>30</v>
      </c>
      <c r="F2213" s="6">
        <v>45473</v>
      </c>
      <c r="G2213">
        <v>2024</v>
      </c>
      <c r="H2213" t="s">
        <v>44</v>
      </c>
      <c r="I2213" t="s">
        <v>71</v>
      </c>
      <c r="J2213">
        <v>1151.7570028791099</v>
      </c>
      <c r="K2213">
        <v>1979.0634379999999</v>
      </c>
      <c r="L2213">
        <v>1.3</v>
      </c>
      <c r="M2213">
        <v>1.718299461651049</v>
      </c>
      <c r="N2213" t="s">
        <v>6613</v>
      </c>
      <c r="O2213" t="s">
        <v>6614</v>
      </c>
      <c r="P2213" t="s">
        <v>5150</v>
      </c>
      <c r="Q2213">
        <v>2</v>
      </c>
      <c r="R2213">
        <v>2</v>
      </c>
    </row>
    <row r="2214" spans="1:18" x14ac:dyDescent="0.3">
      <c r="A2214" t="s">
        <v>5151</v>
      </c>
      <c r="B2214" t="s">
        <v>5152</v>
      </c>
      <c r="C2214" t="s">
        <v>3331</v>
      </c>
      <c r="D2214" t="s">
        <v>222</v>
      </c>
      <c r="E2214" t="s">
        <v>30</v>
      </c>
      <c r="F2214" s="6">
        <v>45107</v>
      </c>
      <c r="G2214">
        <v>2023</v>
      </c>
      <c r="H2214" t="s">
        <v>44</v>
      </c>
      <c r="I2214" t="s">
        <v>33</v>
      </c>
      <c r="J2214">
        <v>42</v>
      </c>
      <c r="K2214">
        <v>36.54</v>
      </c>
      <c r="L2214">
        <v>0.87</v>
      </c>
      <c r="M2214">
        <v>0.87</v>
      </c>
      <c r="N2214" t="s">
        <v>1617</v>
      </c>
      <c r="O2214" t="s">
        <v>6615</v>
      </c>
      <c r="P2214" t="s">
        <v>5153</v>
      </c>
      <c r="Q2214">
        <v>2</v>
      </c>
      <c r="R2214">
        <v>2</v>
      </c>
    </row>
    <row r="2215" spans="1:18" x14ac:dyDescent="0.3">
      <c r="A2215" t="s">
        <v>5151</v>
      </c>
      <c r="B2215" t="s">
        <v>5152</v>
      </c>
      <c r="C2215" t="s">
        <v>3331</v>
      </c>
      <c r="D2215" t="s">
        <v>222</v>
      </c>
      <c r="E2215" t="s">
        <v>30</v>
      </c>
      <c r="F2215" s="6">
        <v>45291</v>
      </c>
      <c r="G2215">
        <v>2023</v>
      </c>
      <c r="H2215" t="s">
        <v>57</v>
      </c>
      <c r="I2215" t="s">
        <v>47</v>
      </c>
      <c r="J2215">
        <v>42</v>
      </c>
      <c r="K2215">
        <v>53</v>
      </c>
      <c r="L2215">
        <v>1.2619047619047621</v>
      </c>
      <c r="M2215">
        <v>1.2619047619047621</v>
      </c>
      <c r="N2215" t="s">
        <v>1617</v>
      </c>
      <c r="O2215" t="s">
        <v>6289</v>
      </c>
      <c r="P2215" t="s">
        <v>5154</v>
      </c>
      <c r="Q2215">
        <v>2</v>
      </c>
      <c r="R2215">
        <v>2</v>
      </c>
    </row>
    <row r="2216" spans="1:18" x14ac:dyDescent="0.3">
      <c r="A2216" t="s">
        <v>5151</v>
      </c>
      <c r="B2216" t="s">
        <v>5152</v>
      </c>
      <c r="C2216" t="s">
        <v>3331</v>
      </c>
      <c r="D2216" t="s">
        <v>222</v>
      </c>
      <c r="E2216" t="s">
        <v>30</v>
      </c>
      <c r="F2216" s="6">
        <v>45473</v>
      </c>
      <c r="G2216">
        <v>2024</v>
      </c>
      <c r="H2216" t="s">
        <v>44</v>
      </c>
      <c r="I2216" t="s">
        <v>71</v>
      </c>
      <c r="J2216">
        <v>50</v>
      </c>
      <c r="K2216">
        <v>59.59</v>
      </c>
      <c r="L2216">
        <v>1.1918</v>
      </c>
      <c r="M2216">
        <v>1.1918</v>
      </c>
      <c r="N2216" t="s">
        <v>4242</v>
      </c>
      <c r="O2216" t="s">
        <v>5591</v>
      </c>
      <c r="P2216" t="s">
        <v>5155</v>
      </c>
      <c r="Q2216">
        <v>2</v>
      </c>
      <c r="R2216">
        <v>2</v>
      </c>
    </row>
    <row r="2217" spans="1:18" x14ac:dyDescent="0.3">
      <c r="A2217" t="s">
        <v>5156</v>
      </c>
      <c r="B2217" t="s">
        <v>5157</v>
      </c>
      <c r="C2217" t="s">
        <v>3331</v>
      </c>
      <c r="D2217" t="s">
        <v>222</v>
      </c>
      <c r="E2217" t="s">
        <v>30</v>
      </c>
      <c r="F2217" s="6">
        <v>45107</v>
      </c>
      <c r="G2217">
        <v>2023</v>
      </c>
      <c r="H2217" t="s">
        <v>44</v>
      </c>
      <c r="I2217" t="s">
        <v>33</v>
      </c>
      <c r="J2217">
        <v>87.5</v>
      </c>
      <c r="K2217">
        <v>88.8</v>
      </c>
      <c r="L2217">
        <v>1.0148571428571429</v>
      </c>
      <c r="M2217">
        <v>1.0148571428571429</v>
      </c>
      <c r="N2217" t="s">
        <v>4496</v>
      </c>
      <c r="O2217" t="s">
        <v>6616</v>
      </c>
      <c r="P2217" t="s">
        <v>5158</v>
      </c>
      <c r="Q2217">
        <v>2</v>
      </c>
      <c r="R2217">
        <v>2</v>
      </c>
    </row>
    <row r="2218" spans="1:18" x14ac:dyDescent="0.3">
      <c r="A2218" t="s">
        <v>5156</v>
      </c>
      <c r="B2218" t="s">
        <v>5157</v>
      </c>
      <c r="C2218" t="s">
        <v>3331</v>
      </c>
      <c r="D2218" t="s">
        <v>222</v>
      </c>
      <c r="E2218" t="s">
        <v>30</v>
      </c>
      <c r="F2218" s="6">
        <v>45291</v>
      </c>
      <c r="G2218">
        <v>2023</v>
      </c>
      <c r="H2218" t="s">
        <v>57</v>
      </c>
      <c r="I2218" t="s">
        <v>47</v>
      </c>
      <c r="J2218">
        <v>87.3</v>
      </c>
      <c r="K2218">
        <v>89.6</v>
      </c>
      <c r="L2218">
        <v>1.0263459335624281</v>
      </c>
      <c r="M2218">
        <v>1.0263459335624281</v>
      </c>
      <c r="N2218" t="s">
        <v>6617</v>
      </c>
      <c r="O2218" t="s">
        <v>5384</v>
      </c>
      <c r="P2218" t="s">
        <v>5159</v>
      </c>
      <c r="Q2218">
        <v>2</v>
      </c>
      <c r="R2218">
        <v>2</v>
      </c>
    </row>
    <row r="2219" spans="1:18" x14ac:dyDescent="0.3">
      <c r="A2219" t="s">
        <v>5156</v>
      </c>
      <c r="B2219" t="s">
        <v>5157</v>
      </c>
      <c r="C2219" t="s">
        <v>3331</v>
      </c>
      <c r="D2219" t="s">
        <v>222</v>
      </c>
      <c r="E2219" t="s">
        <v>30</v>
      </c>
      <c r="F2219" s="6">
        <v>45473</v>
      </c>
      <c r="G2219">
        <v>2024</v>
      </c>
      <c r="H2219" t="s">
        <v>44</v>
      </c>
      <c r="I2219" t="s">
        <v>71</v>
      </c>
      <c r="J2219">
        <v>85</v>
      </c>
      <c r="K2219">
        <v>90.1</v>
      </c>
      <c r="L2219">
        <v>1.06</v>
      </c>
      <c r="M2219">
        <v>1.06</v>
      </c>
      <c r="N2219" t="s">
        <v>2357</v>
      </c>
      <c r="O2219" t="s">
        <v>1732</v>
      </c>
      <c r="P2219" t="s">
        <v>5160</v>
      </c>
      <c r="Q2219">
        <v>2</v>
      </c>
      <c r="R2219">
        <v>2</v>
      </c>
    </row>
    <row r="2220" spans="1:18" x14ac:dyDescent="0.3">
      <c r="A2220" t="s">
        <v>5161</v>
      </c>
      <c r="B2220" t="s">
        <v>5162</v>
      </c>
      <c r="C2220" t="s">
        <v>3331</v>
      </c>
      <c r="D2220" t="s">
        <v>222</v>
      </c>
      <c r="E2220" t="s">
        <v>30</v>
      </c>
      <c r="F2220" s="6">
        <v>45107</v>
      </c>
      <c r="G2220">
        <v>2023</v>
      </c>
      <c r="H2220" t="s">
        <v>44</v>
      </c>
      <c r="I2220" t="s">
        <v>33</v>
      </c>
      <c r="J2220">
        <v>80</v>
      </c>
      <c r="K2220">
        <v>79.180000000000007</v>
      </c>
      <c r="L2220">
        <v>0.98975000000000013</v>
      </c>
      <c r="M2220">
        <v>0.98975000000000013</v>
      </c>
      <c r="N2220" t="s">
        <v>193</v>
      </c>
      <c r="O2220" t="s">
        <v>5586</v>
      </c>
      <c r="P2220" t="s">
        <v>5163</v>
      </c>
      <c r="Q2220">
        <v>2</v>
      </c>
      <c r="R2220">
        <v>2</v>
      </c>
    </row>
    <row r="2221" spans="1:18" x14ac:dyDescent="0.3">
      <c r="A2221" t="s">
        <v>5161</v>
      </c>
      <c r="B2221" t="s">
        <v>5162</v>
      </c>
      <c r="C2221" t="s">
        <v>3331</v>
      </c>
      <c r="D2221" t="s">
        <v>222</v>
      </c>
      <c r="E2221" t="s">
        <v>30</v>
      </c>
      <c r="F2221" s="6">
        <v>45291</v>
      </c>
      <c r="G2221">
        <v>2023</v>
      </c>
      <c r="H2221" t="s">
        <v>57</v>
      </c>
      <c r="I2221" t="s">
        <v>47</v>
      </c>
      <c r="J2221">
        <v>97.13</v>
      </c>
      <c r="K2221">
        <v>79.180000000000007</v>
      </c>
      <c r="L2221">
        <v>0.81519612889941329</v>
      </c>
      <c r="M2221">
        <v>0.81519612889941329</v>
      </c>
      <c r="N2221" t="s">
        <v>5785</v>
      </c>
      <c r="O2221" t="s">
        <v>5586</v>
      </c>
      <c r="P2221" t="s">
        <v>5164</v>
      </c>
      <c r="Q2221">
        <v>2</v>
      </c>
      <c r="R2221">
        <v>2</v>
      </c>
    </row>
    <row r="2222" spans="1:18" x14ac:dyDescent="0.3">
      <c r="A2222" t="s">
        <v>5161</v>
      </c>
      <c r="B2222" t="s">
        <v>5162</v>
      </c>
      <c r="C2222" t="s">
        <v>3331</v>
      </c>
      <c r="D2222" t="s">
        <v>222</v>
      </c>
      <c r="E2222" t="s">
        <v>30</v>
      </c>
      <c r="F2222" s="6">
        <v>45473</v>
      </c>
      <c r="G2222">
        <v>2024</v>
      </c>
      <c r="H2222" t="s">
        <v>44</v>
      </c>
      <c r="I2222" t="s">
        <v>71</v>
      </c>
      <c r="J2222">
        <v>81</v>
      </c>
      <c r="K2222">
        <v>83.01</v>
      </c>
      <c r="L2222">
        <v>1.0248148148148151</v>
      </c>
      <c r="M2222">
        <v>1.0248148148148151</v>
      </c>
      <c r="N2222" t="s">
        <v>1054</v>
      </c>
      <c r="O2222" t="s">
        <v>5439</v>
      </c>
      <c r="P2222" t="s">
        <v>5165</v>
      </c>
      <c r="Q2222">
        <v>2</v>
      </c>
      <c r="R2222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S1731"/>
  <sheetViews>
    <sheetView workbookViewId="0">
      <selection activeCell="O54" sqref="O54"/>
    </sheetView>
  </sheetViews>
  <sheetFormatPr baseColWidth="10" defaultColWidth="8.88671875" defaultRowHeight="14.4" x14ac:dyDescent="0.3"/>
  <sheetData>
    <row r="1" spans="1:19" x14ac:dyDescent="0.3">
      <c r="A1" s="5" t="s">
        <v>7</v>
      </c>
      <c r="B1" s="5" t="s">
        <v>8</v>
      </c>
      <c r="C1" s="5" t="s">
        <v>6618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18</v>
      </c>
      <c r="I1" s="5" t="s">
        <v>19</v>
      </c>
      <c r="J1" s="5" t="s">
        <v>5166</v>
      </c>
      <c r="K1" s="5" t="s">
        <v>13</v>
      </c>
      <c r="L1" s="5" t="s">
        <v>14</v>
      </c>
      <c r="M1" s="5" t="s">
        <v>6</v>
      </c>
      <c r="N1" s="5" t="s">
        <v>15</v>
      </c>
      <c r="O1" s="5" t="s">
        <v>16</v>
      </c>
      <c r="P1" s="5" t="s">
        <v>17</v>
      </c>
      <c r="Q1" s="5" t="s">
        <v>6619</v>
      </c>
      <c r="R1" s="5" t="s">
        <v>6620</v>
      </c>
      <c r="S1" s="5" t="s">
        <v>6621</v>
      </c>
    </row>
    <row r="2" spans="1:19" hidden="1" x14ac:dyDescent="0.3">
      <c r="A2">
        <v>1</v>
      </c>
      <c r="B2" t="s">
        <v>27</v>
      </c>
      <c r="C2" t="s">
        <v>6622</v>
      </c>
      <c r="D2" t="s">
        <v>28</v>
      </c>
      <c r="E2" t="s">
        <v>29</v>
      </c>
      <c r="F2" t="s">
        <v>30</v>
      </c>
      <c r="G2" s="6">
        <v>46023</v>
      </c>
      <c r="H2" t="s">
        <v>6623</v>
      </c>
      <c r="I2" t="s">
        <v>6623</v>
      </c>
      <c r="J2" t="s">
        <v>6623</v>
      </c>
      <c r="K2">
        <v>100</v>
      </c>
      <c r="L2">
        <v>100</v>
      </c>
      <c r="M2">
        <v>1</v>
      </c>
      <c r="N2">
        <v>1</v>
      </c>
      <c r="O2" t="s">
        <v>31</v>
      </c>
      <c r="P2" t="s">
        <v>31</v>
      </c>
      <c r="Q2" t="s">
        <v>6624</v>
      </c>
      <c r="R2">
        <v>0</v>
      </c>
      <c r="S2">
        <v>0</v>
      </c>
    </row>
    <row r="3" spans="1:19" hidden="1" x14ac:dyDescent="0.3">
      <c r="A3">
        <v>2</v>
      </c>
      <c r="B3" t="s">
        <v>1024</v>
      </c>
      <c r="C3" t="s">
        <v>6622</v>
      </c>
      <c r="D3" t="s">
        <v>187</v>
      </c>
      <c r="E3" t="s">
        <v>29</v>
      </c>
      <c r="F3" t="s">
        <v>30</v>
      </c>
      <c r="G3" s="6">
        <v>46023</v>
      </c>
      <c r="H3" t="s">
        <v>6623</v>
      </c>
      <c r="I3" t="s">
        <v>6623</v>
      </c>
      <c r="J3" t="s">
        <v>6623</v>
      </c>
      <c r="K3">
        <v>100</v>
      </c>
      <c r="L3">
        <v>100</v>
      </c>
      <c r="M3">
        <v>1</v>
      </c>
      <c r="N3">
        <v>1</v>
      </c>
      <c r="O3" t="s">
        <v>31</v>
      </c>
      <c r="P3" t="s">
        <v>31</v>
      </c>
      <c r="Q3" t="s">
        <v>6625</v>
      </c>
      <c r="R3">
        <v>0</v>
      </c>
      <c r="S3">
        <v>0</v>
      </c>
    </row>
    <row r="4" spans="1:19" hidden="1" x14ac:dyDescent="0.3">
      <c r="A4">
        <v>3</v>
      </c>
      <c r="B4" t="s">
        <v>2191</v>
      </c>
      <c r="C4" t="s">
        <v>6622</v>
      </c>
      <c r="D4" t="s">
        <v>309</v>
      </c>
      <c r="E4" t="s">
        <v>29</v>
      </c>
      <c r="F4" t="s">
        <v>30</v>
      </c>
      <c r="G4" s="6">
        <v>46023</v>
      </c>
      <c r="H4" t="s">
        <v>6623</v>
      </c>
      <c r="I4" t="s">
        <v>6623</v>
      </c>
      <c r="J4" t="s">
        <v>6623</v>
      </c>
      <c r="K4">
        <v>100</v>
      </c>
      <c r="L4">
        <v>100</v>
      </c>
      <c r="M4">
        <v>1</v>
      </c>
      <c r="N4">
        <v>1</v>
      </c>
      <c r="O4" t="s">
        <v>31</v>
      </c>
      <c r="P4" t="s">
        <v>31</v>
      </c>
      <c r="Q4" t="s">
        <v>6626</v>
      </c>
      <c r="R4">
        <v>0</v>
      </c>
      <c r="S4">
        <v>0</v>
      </c>
    </row>
    <row r="5" spans="1:19" hidden="1" x14ac:dyDescent="0.3">
      <c r="A5">
        <v>4</v>
      </c>
      <c r="B5" t="s">
        <v>3168</v>
      </c>
      <c r="C5" t="s">
        <v>6622</v>
      </c>
      <c r="D5" t="s">
        <v>3170</v>
      </c>
      <c r="E5" t="s">
        <v>29</v>
      </c>
      <c r="F5" t="s">
        <v>30</v>
      </c>
      <c r="G5" s="6">
        <v>46023</v>
      </c>
      <c r="H5" t="s">
        <v>6623</v>
      </c>
      <c r="I5" t="s">
        <v>6623</v>
      </c>
      <c r="J5" t="s">
        <v>6623</v>
      </c>
      <c r="K5">
        <v>100</v>
      </c>
      <c r="L5">
        <v>100</v>
      </c>
      <c r="M5">
        <v>1</v>
      </c>
      <c r="N5">
        <v>1</v>
      </c>
      <c r="O5" t="s">
        <v>31</v>
      </c>
      <c r="P5" t="s">
        <v>31</v>
      </c>
      <c r="Q5" t="s">
        <v>6627</v>
      </c>
      <c r="R5">
        <v>0</v>
      </c>
      <c r="S5">
        <v>0</v>
      </c>
    </row>
    <row r="6" spans="1:19" hidden="1" x14ac:dyDescent="0.3">
      <c r="A6">
        <v>5</v>
      </c>
      <c r="B6" t="s">
        <v>4359</v>
      </c>
      <c r="C6" t="s">
        <v>6622</v>
      </c>
      <c r="D6" t="s">
        <v>2678</v>
      </c>
      <c r="E6" t="s">
        <v>29</v>
      </c>
      <c r="F6" t="s">
        <v>30</v>
      </c>
      <c r="G6" s="6">
        <v>46023</v>
      </c>
      <c r="H6" t="s">
        <v>6623</v>
      </c>
      <c r="I6" t="s">
        <v>6623</v>
      </c>
      <c r="J6" t="s">
        <v>6623</v>
      </c>
      <c r="K6">
        <v>100</v>
      </c>
      <c r="L6">
        <v>100</v>
      </c>
      <c r="M6">
        <v>1</v>
      </c>
      <c r="N6">
        <v>1</v>
      </c>
      <c r="O6" t="s">
        <v>31</v>
      </c>
      <c r="P6" t="s">
        <v>31</v>
      </c>
      <c r="Q6" t="s">
        <v>6628</v>
      </c>
      <c r="R6">
        <v>0</v>
      </c>
      <c r="S6">
        <v>0</v>
      </c>
    </row>
    <row r="7" spans="1:19" hidden="1" x14ac:dyDescent="0.3">
      <c r="A7">
        <v>6</v>
      </c>
      <c r="B7" t="s">
        <v>4663</v>
      </c>
      <c r="C7" t="s">
        <v>6622</v>
      </c>
      <c r="D7" t="s">
        <v>266</v>
      </c>
      <c r="E7" t="s">
        <v>29</v>
      </c>
      <c r="F7" t="s">
        <v>30</v>
      </c>
      <c r="G7" s="6">
        <v>46023</v>
      </c>
      <c r="H7" t="s">
        <v>6623</v>
      </c>
      <c r="I7" t="s">
        <v>6623</v>
      </c>
      <c r="J7" t="s">
        <v>6623</v>
      </c>
      <c r="K7">
        <v>100</v>
      </c>
      <c r="L7">
        <v>100</v>
      </c>
      <c r="M7">
        <v>1</v>
      </c>
      <c r="N7">
        <v>1</v>
      </c>
      <c r="O7" t="s">
        <v>31</v>
      </c>
      <c r="P7" t="s">
        <v>31</v>
      </c>
      <c r="Q7" t="s">
        <v>6629</v>
      </c>
      <c r="R7">
        <v>0</v>
      </c>
      <c r="S7">
        <v>0</v>
      </c>
    </row>
    <row r="8" spans="1:19" hidden="1" x14ac:dyDescent="0.3">
      <c r="A8">
        <v>7</v>
      </c>
      <c r="B8" t="s">
        <v>4705</v>
      </c>
      <c r="C8" t="s">
        <v>6622</v>
      </c>
      <c r="D8" t="s">
        <v>266</v>
      </c>
      <c r="E8" t="s">
        <v>29</v>
      </c>
      <c r="F8" t="s">
        <v>30</v>
      </c>
      <c r="G8" s="6">
        <v>46023</v>
      </c>
      <c r="H8" t="s">
        <v>6623</v>
      </c>
      <c r="I8" t="s">
        <v>6623</v>
      </c>
      <c r="J8" t="s">
        <v>6623</v>
      </c>
      <c r="K8">
        <v>100</v>
      </c>
      <c r="L8">
        <v>100</v>
      </c>
      <c r="M8">
        <v>1</v>
      </c>
      <c r="N8">
        <v>1</v>
      </c>
      <c r="O8" t="s">
        <v>31</v>
      </c>
      <c r="P8" t="s">
        <v>31</v>
      </c>
      <c r="Q8" t="s">
        <v>6630</v>
      </c>
      <c r="R8">
        <v>0</v>
      </c>
      <c r="S8">
        <v>0</v>
      </c>
    </row>
    <row r="9" spans="1:19" hidden="1" x14ac:dyDescent="0.3">
      <c r="A9">
        <v>8</v>
      </c>
      <c r="B9" t="s">
        <v>4832</v>
      </c>
      <c r="C9" t="s">
        <v>6622</v>
      </c>
      <c r="D9" t="s">
        <v>28</v>
      </c>
      <c r="E9" t="s">
        <v>29</v>
      </c>
      <c r="F9" t="s">
        <v>30</v>
      </c>
      <c r="G9" s="6">
        <v>46023</v>
      </c>
      <c r="H9" t="s">
        <v>6623</v>
      </c>
      <c r="I9" t="s">
        <v>6623</v>
      </c>
      <c r="J9" t="s">
        <v>6623</v>
      </c>
      <c r="K9">
        <v>100</v>
      </c>
      <c r="L9">
        <v>100</v>
      </c>
      <c r="M9">
        <v>1</v>
      </c>
      <c r="N9">
        <v>1</v>
      </c>
      <c r="O9" t="s">
        <v>31</v>
      </c>
      <c r="P9" t="s">
        <v>31</v>
      </c>
      <c r="Q9" t="s">
        <v>6631</v>
      </c>
      <c r="R9">
        <v>0</v>
      </c>
      <c r="S9">
        <v>0</v>
      </c>
    </row>
    <row r="10" spans="1:19" hidden="1" x14ac:dyDescent="0.3">
      <c r="A10">
        <v>9</v>
      </c>
      <c r="B10" t="s">
        <v>4876</v>
      </c>
      <c r="C10" t="s">
        <v>6622</v>
      </c>
      <c r="D10" t="s">
        <v>266</v>
      </c>
      <c r="E10" t="s">
        <v>29</v>
      </c>
      <c r="F10" t="s">
        <v>30</v>
      </c>
      <c r="G10" s="6">
        <v>45473</v>
      </c>
      <c r="H10">
        <v>2024</v>
      </c>
      <c r="I10" t="s">
        <v>44</v>
      </c>
      <c r="J10" t="s">
        <v>71</v>
      </c>
      <c r="K10">
        <v>100</v>
      </c>
      <c r="L10">
        <v>100</v>
      </c>
      <c r="M10">
        <v>1</v>
      </c>
      <c r="N10">
        <v>1</v>
      </c>
      <c r="O10" t="s">
        <v>31</v>
      </c>
      <c r="P10" t="s">
        <v>31</v>
      </c>
      <c r="Q10" t="s">
        <v>4891</v>
      </c>
      <c r="R10">
        <v>0</v>
      </c>
      <c r="S10">
        <v>0</v>
      </c>
    </row>
    <row r="11" spans="1:19" hidden="1" x14ac:dyDescent="0.3">
      <c r="A11">
        <v>9</v>
      </c>
      <c r="B11" t="s">
        <v>6632</v>
      </c>
      <c r="C11" t="s">
        <v>6622</v>
      </c>
      <c r="D11" t="s">
        <v>266</v>
      </c>
      <c r="E11" t="s">
        <v>29</v>
      </c>
      <c r="F11" t="s">
        <v>30</v>
      </c>
      <c r="G11" s="6">
        <v>46023</v>
      </c>
      <c r="H11" t="s">
        <v>6623</v>
      </c>
      <c r="I11" t="s">
        <v>6623</v>
      </c>
      <c r="J11" t="s">
        <v>6623</v>
      </c>
      <c r="K11">
        <v>100</v>
      </c>
      <c r="L11">
        <v>100</v>
      </c>
      <c r="M11">
        <v>1</v>
      </c>
      <c r="N11">
        <v>1</v>
      </c>
      <c r="O11" t="s">
        <v>31</v>
      </c>
      <c r="P11" t="s">
        <v>31</v>
      </c>
      <c r="Q11" t="s">
        <v>6633</v>
      </c>
      <c r="R11">
        <v>0</v>
      </c>
      <c r="S11">
        <v>0</v>
      </c>
    </row>
    <row r="12" spans="1:19" hidden="1" x14ac:dyDescent="0.3">
      <c r="A12">
        <v>10</v>
      </c>
      <c r="B12" t="s">
        <v>6634</v>
      </c>
      <c r="C12" t="s">
        <v>6622</v>
      </c>
      <c r="D12" t="s">
        <v>61</v>
      </c>
      <c r="E12" t="s">
        <v>29</v>
      </c>
      <c r="F12" t="s">
        <v>30</v>
      </c>
      <c r="G12" s="6">
        <v>46023</v>
      </c>
      <c r="H12" t="s">
        <v>6623</v>
      </c>
      <c r="I12" t="s">
        <v>6623</v>
      </c>
      <c r="J12" t="s">
        <v>6623</v>
      </c>
      <c r="K12">
        <v>100</v>
      </c>
      <c r="L12">
        <v>100</v>
      </c>
      <c r="M12">
        <v>1</v>
      </c>
      <c r="N12">
        <v>1</v>
      </c>
      <c r="O12" t="s">
        <v>31</v>
      </c>
      <c r="P12" t="s">
        <v>31</v>
      </c>
      <c r="Q12" t="s">
        <v>6635</v>
      </c>
      <c r="R12">
        <v>0</v>
      </c>
      <c r="S12">
        <v>0</v>
      </c>
    </row>
    <row r="13" spans="1:19" hidden="1" x14ac:dyDescent="0.3">
      <c r="A13">
        <v>11</v>
      </c>
      <c r="B13" t="s">
        <v>6636</v>
      </c>
      <c r="C13" t="s">
        <v>6622</v>
      </c>
      <c r="D13" t="s">
        <v>184</v>
      </c>
      <c r="E13" t="s">
        <v>29</v>
      </c>
      <c r="F13" t="s">
        <v>30</v>
      </c>
      <c r="G13" s="6">
        <v>46023</v>
      </c>
      <c r="H13" t="s">
        <v>6623</v>
      </c>
      <c r="I13" t="s">
        <v>6623</v>
      </c>
      <c r="J13" t="s">
        <v>6623</v>
      </c>
      <c r="O13" t="s">
        <v>31</v>
      </c>
      <c r="P13" t="s">
        <v>31</v>
      </c>
      <c r="Q13" t="s">
        <v>6637</v>
      </c>
      <c r="R13">
        <v>0</v>
      </c>
      <c r="S13">
        <v>0</v>
      </c>
    </row>
    <row r="14" spans="1:19" hidden="1" x14ac:dyDescent="0.3">
      <c r="A14">
        <v>12</v>
      </c>
      <c r="B14" t="s">
        <v>6638</v>
      </c>
      <c r="C14" t="s">
        <v>6622</v>
      </c>
      <c r="D14" t="s">
        <v>184</v>
      </c>
      <c r="E14" t="s">
        <v>29</v>
      </c>
      <c r="F14" t="s">
        <v>30</v>
      </c>
      <c r="G14" s="6">
        <v>46022</v>
      </c>
      <c r="H14">
        <v>2025</v>
      </c>
      <c r="I14" t="s">
        <v>57</v>
      </c>
      <c r="J14" t="s">
        <v>103</v>
      </c>
      <c r="O14" t="s">
        <v>6639</v>
      </c>
      <c r="P14" t="s">
        <v>6639</v>
      </c>
      <c r="Q14" t="s">
        <v>6640</v>
      </c>
      <c r="R14">
        <v>0</v>
      </c>
      <c r="S14">
        <v>0</v>
      </c>
    </row>
    <row r="15" spans="1:19" hidden="1" x14ac:dyDescent="0.3">
      <c r="A15">
        <v>12</v>
      </c>
      <c r="B15" t="s">
        <v>6641</v>
      </c>
      <c r="C15" t="s">
        <v>6622</v>
      </c>
      <c r="D15" t="s">
        <v>184</v>
      </c>
      <c r="E15" t="s">
        <v>29</v>
      </c>
      <c r="F15" t="s">
        <v>30</v>
      </c>
      <c r="G15" s="6">
        <v>46023</v>
      </c>
      <c r="H15" t="s">
        <v>6623</v>
      </c>
      <c r="I15" t="s">
        <v>6623</v>
      </c>
      <c r="J15" t="s">
        <v>6623</v>
      </c>
      <c r="O15" t="s">
        <v>31</v>
      </c>
      <c r="P15" t="s">
        <v>31</v>
      </c>
      <c r="Q15" t="s">
        <v>6642</v>
      </c>
      <c r="R15">
        <v>0</v>
      </c>
      <c r="S15">
        <v>0</v>
      </c>
    </row>
    <row r="16" spans="1:19" hidden="1" x14ac:dyDescent="0.3">
      <c r="A16">
        <v>13</v>
      </c>
      <c r="B16" t="s">
        <v>648</v>
      </c>
      <c r="C16" t="s">
        <v>6622</v>
      </c>
      <c r="D16" t="s">
        <v>649</v>
      </c>
      <c r="E16" t="s">
        <v>29</v>
      </c>
      <c r="F16" t="s">
        <v>30</v>
      </c>
      <c r="G16" s="6">
        <v>46023</v>
      </c>
      <c r="H16" t="s">
        <v>6623</v>
      </c>
      <c r="I16" t="s">
        <v>6623</v>
      </c>
      <c r="J16" t="s">
        <v>6623</v>
      </c>
      <c r="K16">
        <v>100</v>
      </c>
      <c r="L16">
        <v>100</v>
      </c>
      <c r="M16">
        <v>1</v>
      </c>
      <c r="N16">
        <v>1</v>
      </c>
      <c r="O16" t="s">
        <v>31</v>
      </c>
      <c r="P16" t="s">
        <v>31</v>
      </c>
      <c r="Q16" t="s">
        <v>6643</v>
      </c>
      <c r="R16">
        <v>0</v>
      </c>
      <c r="S16">
        <v>0</v>
      </c>
    </row>
    <row r="17" spans="1:19" hidden="1" x14ac:dyDescent="0.3">
      <c r="A17">
        <v>14</v>
      </c>
      <c r="B17" t="s">
        <v>716</v>
      </c>
      <c r="C17" t="s">
        <v>6622</v>
      </c>
      <c r="D17" t="s">
        <v>730</v>
      </c>
      <c r="E17" t="s">
        <v>222</v>
      </c>
      <c r="F17" t="s">
        <v>30</v>
      </c>
      <c r="G17" s="6">
        <v>46022</v>
      </c>
      <c r="H17">
        <v>2025</v>
      </c>
      <c r="I17" t="s">
        <v>57</v>
      </c>
      <c r="J17" t="s">
        <v>103</v>
      </c>
      <c r="K17">
        <v>55756</v>
      </c>
      <c r="L17">
        <v>56807</v>
      </c>
      <c r="M17">
        <v>1.0188499892388261</v>
      </c>
      <c r="N17">
        <v>1.0188499892388261</v>
      </c>
      <c r="O17" t="s">
        <v>118</v>
      </c>
      <c r="P17" t="s">
        <v>118</v>
      </c>
      <c r="Q17" t="s">
        <v>5168</v>
      </c>
      <c r="R17">
        <v>0</v>
      </c>
      <c r="S17">
        <v>0</v>
      </c>
    </row>
    <row r="18" spans="1:19" hidden="1" x14ac:dyDescent="0.3">
      <c r="A18">
        <v>14</v>
      </c>
      <c r="B18" t="s">
        <v>716</v>
      </c>
      <c r="C18" t="s">
        <v>6622</v>
      </c>
      <c r="D18" t="s">
        <v>730</v>
      </c>
      <c r="E18" t="s">
        <v>222</v>
      </c>
      <c r="F18" t="s">
        <v>30</v>
      </c>
      <c r="G18" s="6">
        <v>46023</v>
      </c>
      <c r="H18" t="s">
        <v>6623</v>
      </c>
      <c r="I18" t="s">
        <v>6623</v>
      </c>
      <c r="J18" t="s">
        <v>6623</v>
      </c>
      <c r="K18">
        <v>55756</v>
      </c>
      <c r="L18">
        <v>56807</v>
      </c>
      <c r="M18">
        <v>1.0188499892388261</v>
      </c>
      <c r="N18">
        <v>1.0188499892388261</v>
      </c>
      <c r="O18" t="s">
        <v>118</v>
      </c>
      <c r="P18" t="s">
        <v>118</v>
      </c>
      <c r="Q18" t="s">
        <v>6644</v>
      </c>
      <c r="R18">
        <v>0</v>
      </c>
      <c r="S18">
        <v>0</v>
      </c>
    </row>
    <row r="19" spans="1:19" hidden="1" x14ac:dyDescent="0.3">
      <c r="A19">
        <v>15</v>
      </c>
      <c r="B19" t="s">
        <v>3010</v>
      </c>
      <c r="C19" t="s">
        <v>6622</v>
      </c>
      <c r="D19" t="s">
        <v>3011</v>
      </c>
      <c r="E19" t="s">
        <v>233</v>
      </c>
      <c r="F19" t="s">
        <v>30</v>
      </c>
      <c r="G19" s="6">
        <v>45838</v>
      </c>
      <c r="H19">
        <v>2025</v>
      </c>
      <c r="I19" t="s">
        <v>44</v>
      </c>
      <c r="J19" t="s">
        <v>244</v>
      </c>
      <c r="K19">
        <v>46</v>
      </c>
      <c r="L19">
        <v>44</v>
      </c>
      <c r="M19">
        <v>0.95652173913043481</v>
      </c>
      <c r="N19">
        <v>0.95652173913043481</v>
      </c>
      <c r="O19" t="s">
        <v>31</v>
      </c>
      <c r="P19" t="s">
        <v>31</v>
      </c>
      <c r="Q19" t="s">
        <v>6645</v>
      </c>
      <c r="R19">
        <v>0</v>
      </c>
      <c r="S19">
        <v>0</v>
      </c>
    </row>
    <row r="20" spans="1:19" hidden="1" x14ac:dyDescent="0.3">
      <c r="A20">
        <v>16</v>
      </c>
      <c r="B20" t="s">
        <v>3030</v>
      </c>
      <c r="C20" t="s">
        <v>6622</v>
      </c>
      <c r="D20" t="s">
        <v>3011</v>
      </c>
      <c r="E20" t="s">
        <v>233</v>
      </c>
      <c r="F20" t="s">
        <v>30</v>
      </c>
      <c r="G20" s="6">
        <v>45838</v>
      </c>
      <c r="H20">
        <v>2025</v>
      </c>
      <c r="I20" t="s">
        <v>44</v>
      </c>
      <c r="J20" t="s">
        <v>244</v>
      </c>
      <c r="K20">
        <v>51</v>
      </c>
      <c r="L20">
        <v>47</v>
      </c>
      <c r="M20">
        <v>0.92156862745098034</v>
      </c>
      <c r="N20">
        <v>0.92156862745098034</v>
      </c>
      <c r="O20" t="s">
        <v>31</v>
      </c>
      <c r="P20" t="s">
        <v>31</v>
      </c>
      <c r="Q20" t="s">
        <v>6646</v>
      </c>
      <c r="R20">
        <v>0</v>
      </c>
      <c r="S20">
        <v>0</v>
      </c>
    </row>
    <row r="21" spans="1:19" hidden="1" x14ac:dyDescent="0.3">
      <c r="A21">
        <v>17</v>
      </c>
      <c r="B21" t="s">
        <v>3035</v>
      </c>
      <c r="C21" t="s">
        <v>6622</v>
      </c>
      <c r="D21" t="s">
        <v>3011</v>
      </c>
      <c r="E21" t="s">
        <v>233</v>
      </c>
      <c r="F21" t="s">
        <v>30</v>
      </c>
      <c r="G21" s="6">
        <v>45838</v>
      </c>
      <c r="H21">
        <v>2025</v>
      </c>
      <c r="I21" t="s">
        <v>44</v>
      </c>
      <c r="J21" t="s">
        <v>244</v>
      </c>
      <c r="K21">
        <v>50</v>
      </c>
      <c r="L21">
        <v>51</v>
      </c>
      <c r="M21">
        <v>1</v>
      </c>
      <c r="N21">
        <v>1</v>
      </c>
      <c r="O21" t="s">
        <v>31</v>
      </c>
      <c r="P21" t="s">
        <v>31</v>
      </c>
      <c r="Q21" t="s">
        <v>6647</v>
      </c>
      <c r="R21">
        <v>0</v>
      </c>
      <c r="S21">
        <v>0</v>
      </c>
    </row>
    <row r="22" spans="1:19" hidden="1" x14ac:dyDescent="0.3">
      <c r="A22">
        <v>18</v>
      </c>
      <c r="B22" t="s">
        <v>3040</v>
      </c>
      <c r="C22" t="s">
        <v>6622</v>
      </c>
      <c r="D22" t="s">
        <v>3011</v>
      </c>
      <c r="E22" t="s">
        <v>233</v>
      </c>
      <c r="F22" t="s">
        <v>30</v>
      </c>
      <c r="G22" s="6">
        <v>45838</v>
      </c>
      <c r="H22">
        <v>2025</v>
      </c>
      <c r="I22" t="s">
        <v>44</v>
      </c>
      <c r="J22" t="s">
        <v>244</v>
      </c>
      <c r="K22">
        <v>46</v>
      </c>
      <c r="L22">
        <v>44</v>
      </c>
      <c r="M22">
        <v>0.95652173913043481</v>
      </c>
      <c r="N22">
        <v>0.95652173913043481</v>
      </c>
      <c r="O22" t="s">
        <v>31</v>
      </c>
      <c r="P22" t="s">
        <v>31</v>
      </c>
      <c r="Q22" t="s">
        <v>6648</v>
      </c>
      <c r="R22">
        <v>0</v>
      </c>
      <c r="S22">
        <v>0</v>
      </c>
    </row>
    <row r="23" spans="1:19" hidden="1" x14ac:dyDescent="0.3">
      <c r="A23">
        <v>19</v>
      </c>
      <c r="B23" t="s">
        <v>3045</v>
      </c>
      <c r="C23" t="s">
        <v>6622</v>
      </c>
      <c r="D23" t="s">
        <v>3011</v>
      </c>
      <c r="E23" t="s">
        <v>233</v>
      </c>
      <c r="F23" t="s">
        <v>30</v>
      </c>
      <c r="G23" s="6">
        <v>45838</v>
      </c>
      <c r="H23">
        <v>2025</v>
      </c>
      <c r="I23" t="s">
        <v>44</v>
      </c>
      <c r="J23" t="s">
        <v>244</v>
      </c>
      <c r="K23">
        <v>49</v>
      </c>
      <c r="L23">
        <v>63</v>
      </c>
      <c r="M23">
        <v>1</v>
      </c>
      <c r="N23">
        <v>1</v>
      </c>
      <c r="O23" t="s">
        <v>31</v>
      </c>
      <c r="P23" t="s">
        <v>31</v>
      </c>
      <c r="Q23" t="s">
        <v>6649</v>
      </c>
      <c r="R23">
        <v>0</v>
      </c>
      <c r="S23">
        <v>0</v>
      </c>
    </row>
    <row r="24" spans="1:19" hidden="1" x14ac:dyDescent="0.3">
      <c r="A24">
        <v>20</v>
      </c>
      <c r="B24" t="s">
        <v>3050</v>
      </c>
      <c r="C24" t="s">
        <v>6622</v>
      </c>
      <c r="D24" t="s">
        <v>3011</v>
      </c>
      <c r="E24" t="s">
        <v>233</v>
      </c>
      <c r="F24" t="s">
        <v>30</v>
      </c>
      <c r="G24" s="6">
        <v>45838</v>
      </c>
      <c r="H24">
        <v>2025</v>
      </c>
      <c r="I24" t="s">
        <v>44</v>
      </c>
      <c r="J24" t="s">
        <v>244</v>
      </c>
      <c r="K24">
        <v>60</v>
      </c>
      <c r="L24">
        <v>68</v>
      </c>
      <c r="M24">
        <v>1</v>
      </c>
      <c r="N24">
        <v>1</v>
      </c>
      <c r="O24" t="s">
        <v>31</v>
      </c>
      <c r="P24" t="s">
        <v>31</v>
      </c>
      <c r="Q24" t="s">
        <v>6650</v>
      </c>
      <c r="R24">
        <v>0</v>
      </c>
      <c r="S24">
        <v>0</v>
      </c>
    </row>
    <row r="25" spans="1:19" hidden="1" x14ac:dyDescent="0.3">
      <c r="A25">
        <v>21</v>
      </c>
      <c r="B25" t="s">
        <v>3055</v>
      </c>
      <c r="C25" t="s">
        <v>6622</v>
      </c>
      <c r="D25" t="s">
        <v>3011</v>
      </c>
      <c r="E25" t="s">
        <v>233</v>
      </c>
      <c r="F25" t="s">
        <v>30</v>
      </c>
      <c r="G25" s="6">
        <v>45838</v>
      </c>
      <c r="H25">
        <v>2025</v>
      </c>
      <c r="I25" t="s">
        <v>44</v>
      </c>
      <c r="J25" t="s">
        <v>244</v>
      </c>
      <c r="K25">
        <v>55</v>
      </c>
      <c r="L25">
        <v>74</v>
      </c>
      <c r="M25">
        <v>1</v>
      </c>
      <c r="N25">
        <v>1</v>
      </c>
      <c r="O25" t="s">
        <v>31</v>
      </c>
      <c r="P25" t="s">
        <v>31</v>
      </c>
      <c r="Q25" t="s">
        <v>6651</v>
      </c>
      <c r="R25">
        <v>0</v>
      </c>
      <c r="S25">
        <v>0</v>
      </c>
    </row>
    <row r="26" spans="1:19" hidden="1" x14ac:dyDescent="0.3">
      <c r="A26">
        <v>22</v>
      </c>
      <c r="B26" t="s">
        <v>3060</v>
      </c>
      <c r="C26" t="s">
        <v>6622</v>
      </c>
      <c r="D26" t="s">
        <v>3011</v>
      </c>
      <c r="E26" t="s">
        <v>233</v>
      </c>
      <c r="F26" t="s">
        <v>30</v>
      </c>
      <c r="G26" s="6">
        <v>45838</v>
      </c>
      <c r="H26">
        <v>2025</v>
      </c>
      <c r="I26" t="s">
        <v>44</v>
      </c>
      <c r="J26" t="s">
        <v>244</v>
      </c>
      <c r="K26">
        <v>54</v>
      </c>
      <c r="L26">
        <v>50</v>
      </c>
      <c r="M26">
        <v>0.92592592592592593</v>
      </c>
      <c r="N26">
        <v>0.92592592592592593</v>
      </c>
      <c r="O26" t="s">
        <v>31</v>
      </c>
      <c r="P26" t="s">
        <v>31</v>
      </c>
      <c r="Q26" t="s">
        <v>6652</v>
      </c>
      <c r="R26">
        <v>0</v>
      </c>
      <c r="S26">
        <v>0</v>
      </c>
    </row>
    <row r="27" spans="1:19" hidden="1" x14ac:dyDescent="0.3">
      <c r="A27">
        <v>23</v>
      </c>
      <c r="B27" t="s">
        <v>3065</v>
      </c>
      <c r="C27" t="s">
        <v>6622</v>
      </c>
      <c r="D27" t="s">
        <v>3011</v>
      </c>
      <c r="E27" t="s">
        <v>233</v>
      </c>
      <c r="F27" t="s">
        <v>30</v>
      </c>
      <c r="G27" s="6">
        <v>45838</v>
      </c>
      <c r="H27">
        <v>2025</v>
      </c>
      <c r="I27" t="s">
        <v>44</v>
      </c>
      <c r="J27" t="s">
        <v>244</v>
      </c>
      <c r="K27">
        <v>54</v>
      </c>
      <c r="L27">
        <v>52</v>
      </c>
      <c r="M27">
        <v>0.96296296296296291</v>
      </c>
      <c r="N27">
        <v>0.96296296296296291</v>
      </c>
      <c r="O27" t="s">
        <v>31</v>
      </c>
      <c r="P27" t="s">
        <v>31</v>
      </c>
      <c r="Q27" t="s">
        <v>6653</v>
      </c>
      <c r="R27">
        <v>0</v>
      </c>
      <c r="S27">
        <v>0</v>
      </c>
    </row>
    <row r="28" spans="1:19" hidden="1" x14ac:dyDescent="0.3">
      <c r="A28">
        <v>24</v>
      </c>
      <c r="B28" t="s">
        <v>3013</v>
      </c>
      <c r="C28" t="s">
        <v>6622</v>
      </c>
      <c r="D28" t="s">
        <v>3011</v>
      </c>
      <c r="E28" t="s">
        <v>233</v>
      </c>
      <c r="F28" t="s">
        <v>30</v>
      </c>
      <c r="G28" s="6">
        <v>45838</v>
      </c>
      <c r="H28">
        <v>2025</v>
      </c>
      <c r="I28" t="s">
        <v>44</v>
      </c>
      <c r="J28" t="s">
        <v>244</v>
      </c>
      <c r="K28">
        <v>54</v>
      </c>
      <c r="L28">
        <v>58</v>
      </c>
      <c r="M28">
        <v>1</v>
      </c>
      <c r="N28">
        <v>1</v>
      </c>
      <c r="O28" t="s">
        <v>31</v>
      </c>
      <c r="P28" t="s">
        <v>31</v>
      </c>
      <c r="Q28" t="s">
        <v>6654</v>
      </c>
      <c r="R28">
        <v>0</v>
      </c>
      <c r="S28">
        <v>0</v>
      </c>
    </row>
    <row r="29" spans="1:19" hidden="1" x14ac:dyDescent="0.3">
      <c r="A29">
        <v>25</v>
      </c>
      <c r="B29" t="s">
        <v>3020</v>
      </c>
      <c r="C29" t="s">
        <v>6622</v>
      </c>
      <c r="D29" t="s">
        <v>3011</v>
      </c>
      <c r="E29" t="s">
        <v>233</v>
      </c>
      <c r="F29" t="s">
        <v>30</v>
      </c>
      <c r="G29" s="6">
        <v>45838</v>
      </c>
      <c r="H29">
        <v>2025</v>
      </c>
      <c r="I29" t="s">
        <v>44</v>
      </c>
      <c r="J29" t="s">
        <v>244</v>
      </c>
      <c r="K29">
        <v>50</v>
      </c>
      <c r="L29">
        <v>54</v>
      </c>
      <c r="M29">
        <v>1</v>
      </c>
      <c r="N29">
        <v>1</v>
      </c>
      <c r="O29" t="s">
        <v>31</v>
      </c>
      <c r="P29" t="s">
        <v>31</v>
      </c>
      <c r="Q29" t="s">
        <v>6655</v>
      </c>
      <c r="R29">
        <v>0</v>
      </c>
      <c r="S29">
        <v>0</v>
      </c>
    </row>
    <row r="30" spans="1:19" hidden="1" x14ac:dyDescent="0.3">
      <c r="A30">
        <v>26</v>
      </c>
      <c r="B30" t="s">
        <v>3025</v>
      </c>
      <c r="C30" t="s">
        <v>6622</v>
      </c>
      <c r="D30" t="s">
        <v>3011</v>
      </c>
      <c r="E30" t="s">
        <v>233</v>
      </c>
      <c r="F30" t="s">
        <v>30</v>
      </c>
      <c r="G30" s="6">
        <v>45838</v>
      </c>
      <c r="H30">
        <v>2025</v>
      </c>
      <c r="I30" t="s">
        <v>44</v>
      </c>
      <c r="J30" t="s">
        <v>244</v>
      </c>
      <c r="K30">
        <v>49.5</v>
      </c>
      <c r="L30">
        <v>53.92</v>
      </c>
      <c r="M30">
        <v>1</v>
      </c>
      <c r="N30">
        <v>1</v>
      </c>
      <c r="O30" t="s">
        <v>31</v>
      </c>
      <c r="P30" t="s">
        <v>31</v>
      </c>
      <c r="Q30" t="s">
        <v>6656</v>
      </c>
      <c r="R30">
        <v>0</v>
      </c>
      <c r="S30">
        <v>0</v>
      </c>
    </row>
    <row r="31" spans="1:19" hidden="1" x14ac:dyDescent="0.3">
      <c r="A31">
        <v>27</v>
      </c>
      <c r="B31" t="s">
        <v>3300</v>
      </c>
      <c r="C31" t="s">
        <v>6622</v>
      </c>
      <c r="D31" t="s">
        <v>3011</v>
      </c>
      <c r="E31" t="s">
        <v>233</v>
      </c>
      <c r="F31" t="s">
        <v>30</v>
      </c>
      <c r="G31" s="6">
        <v>45838</v>
      </c>
      <c r="H31">
        <v>2025</v>
      </c>
      <c r="I31" t="s">
        <v>44</v>
      </c>
      <c r="J31" t="s">
        <v>244</v>
      </c>
      <c r="K31">
        <v>86.64</v>
      </c>
      <c r="L31">
        <v>68.3</v>
      </c>
      <c r="M31">
        <v>0.78831948291782084</v>
      </c>
      <c r="N31">
        <v>0.78831948291782084</v>
      </c>
      <c r="O31" t="s">
        <v>31</v>
      </c>
      <c r="P31" t="s">
        <v>31</v>
      </c>
      <c r="Q31" t="s">
        <v>6657</v>
      </c>
      <c r="R31">
        <v>0</v>
      </c>
      <c r="S31">
        <v>0</v>
      </c>
    </row>
    <row r="32" spans="1:19" hidden="1" x14ac:dyDescent="0.3">
      <c r="A32">
        <v>28</v>
      </c>
      <c r="B32" t="s">
        <v>3305</v>
      </c>
      <c r="C32" t="s">
        <v>6622</v>
      </c>
      <c r="D32" t="s">
        <v>3011</v>
      </c>
      <c r="E32" t="s">
        <v>233</v>
      </c>
      <c r="F32" t="s">
        <v>30</v>
      </c>
      <c r="G32" s="6">
        <v>45838</v>
      </c>
      <c r="H32">
        <v>2025</v>
      </c>
      <c r="I32" t="s">
        <v>44</v>
      </c>
      <c r="J32" t="s">
        <v>244</v>
      </c>
      <c r="K32">
        <v>83</v>
      </c>
      <c r="L32">
        <v>69</v>
      </c>
      <c r="M32">
        <v>0.83132530120481929</v>
      </c>
      <c r="N32">
        <v>0.83132530120481929</v>
      </c>
      <c r="O32" t="s">
        <v>31</v>
      </c>
      <c r="P32" t="s">
        <v>31</v>
      </c>
      <c r="Q32" t="s">
        <v>6658</v>
      </c>
      <c r="R32">
        <v>0</v>
      </c>
      <c r="S32">
        <v>0</v>
      </c>
    </row>
    <row r="33" spans="1:19" hidden="1" x14ac:dyDescent="0.3">
      <c r="A33">
        <v>29</v>
      </c>
      <c r="B33" t="s">
        <v>3310</v>
      </c>
      <c r="C33" t="s">
        <v>6622</v>
      </c>
      <c r="D33" t="s">
        <v>3011</v>
      </c>
      <c r="E33" t="s">
        <v>233</v>
      </c>
      <c r="F33" t="s">
        <v>30</v>
      </c>
      <c r="G33" s="6">
        <v>45838</v>
      </c>
      <c r="H33">
        <v>2025</v>
      </c>
      <c r="I33" t="s">
        <v>44</v>
      </c>
      <c r="J33" t="s">
        <v>244</v>
      </c>
      <c r="K33">
        <v>73</v>
      </c>
      <c r="L33">
        <v>64</v>
      </c>
      <c r="M33">
        <v>0.87671232876712324</v>
      </c>
      <c r="N33">
        <v>0.87671232876712324</v>
      </c>
      <c r="O33" t="s">
        <v>31</v>
      </c>
      <c r="P33" t="s">
        <v>31</v>
      </c>
      <c r="Q33" t="s">
        <v>6659</v>
      </c>
      <c r="R33">
        <v>0</v>
      </c>
      <c r="S33">
        <v>0</v>
      </c>
    </row>
    <row r="34" spans="1:19" hidden="1" x14ac:dyDescent="0.3">
      <c r="A34">
        <v>30</v>
      </c>
      <c r="B34" t="s">
        <v>3315</v>
      </c>
      <c r="C34" t="s">
        <v>6622</v>
      </c>
      <c r="D34" t="s">
        <v>3011</v>
      </c>
      <c r="E34" t="s">
        <v>233</v>
      </c>
      <c r="F34" t="s">
        <v>30</v>
      </c>
      <c r="G34" s="6">
        <v>45838</v>
      </c>
      <c r="H34">
        <v>2025</v>
      </c>
      <c r="I34" t="s">
        <v>44</v>
      </c>
      <c r="J34" t="s">
        <v>244</v>
      </c>
      <c r="K34">
        <v>55</v>
      </c>
      <c r="L34">
        <v>64</v>
      </c>
      <c r="M34">
        <v>1</v>
      </c>
      <c r="N34">
        <v>1</v>
      </c>
      <c r="O34" t="s">
        <v>31</v>
      </c>
      <c r="P34" t="s">
        <v>31</v>
      </c>
      <c r="Q34" t="s">
        <v>6660</v>
      </c>
      <c r="R34">
        <v>0</v>
      </c>
      <c r="S34">
        <v>0</v>
      </c>
    </row>
    <row r="35" spans="1:19" hidden="1" x14ac:dyDescent="0.3">
      <c r="A35">
        <v>31</v>
      </c>
      <c r="B35" t="s">
        <v>3320</v>
      </c>
      <c r="C35" t="s">
        <v>6622</v>
      </c>
      <c r="E35" t="s">
        <v>233</v>
      </c>
      <c r="F35" t="s">
        <v>30</v>
      </c>
      <c r="G35" s="6">
        <v>45838</v>
      </c>
      <c r="H35">
        <v>2025</v>
      </c>
      <c r="I35" t="s">
        <v>44</v>
      </c>
      <c r="J35" t="s">
        <v>244</v>
      </c>
      <c r="K35">
        <v>46</v>
      </c>
      <c r="L35">
        <v>51</v>
      </c>
      <c r="M35">
        <v>1</v>
      </c>
      <c r="N35">
        <v>1</v>
      </c>
      <c r="O35" t="s">
        <v>31</v>
      </c>
      <c r="P35" t="s">
        <v>31</v>
      </c>
      <c r="Q35" t="s">
        <v>6661</v>
      </c>
      <c r="R35">
        <v>0</v>
      </c>
      <c r="S35">
        <v>0</v>
      </c>
    </row>
    <row r="36" spans="1:19" hidden="1" x14ac:dyDescent="0.3">
      <c r="A36">
        <v>32</v>
      </c>
      <c r="B36" t="s">
        <v>3325</v>
      </c>
      <c r="C36" t="s">
        <v>6622</v>
      </c>
      <c r="D36" t="s">
        <v>6662</v>
      </c>
      <c r="E36" t="s">
        <v>233</v>
      </c>
      <c r="F36" t="s">
        <v>30</v>
      </c>
      <c r="G36" s="6">
        <v>45838</v>
      </c>
      <c r="H36">
        <v>2025</v>
      </c>
      <c r="I36" t="s">
        <v>44</v>
      </c>
      <c r="J36" t="s">
        <v>244</v>
      </c>
      <c r="K36">
        <v>31</v>
      </c>
      <c r="L36">
        <v>31</v>
      </c>
      <c r="M36">
        <v>1</v>
      </c>
      <c r="N36">
        <v>1</v>
      </c>
      <c r="O36" t="s">
        <v>31</v>
      </c>
      <c r="P36" t="s">
        <v>31</v>
      </c>
      <c r="Q36" t="s">
        <v>6663</v>
      </c>
      <c r="R36">
        <v>0</v>
      </c>
      <c r="S36">
        <v>0</v>
      </c>
    </row>
    <row r="37" spans="1:19" hidden="1" x14ac:dyDescent="0.3">
      <c r="A37">
        <v>33</v>
      </c>
      <c r="B37" t="s">
        <v>3330</v>
      </c>
      <c r="C37" t="s">
        <v>6622</v>
      </c>
      <c r="E37" t="s">
        <v>233</v>
      </c>
      <c r="F37" t="s">
        <v>30</v>
      </c>
      <c r="G37" s="6">
        <v>45838</v>
      </c>
      <c r="H37">
        <v>2025</v>
      </c>
      <c r="I37" t="s">
        <v>44</v>
      </c>
      <c r="J37" t="s">
        <v>244</v>
      </c>
      <c r="K37">
        <v>69</v>
      </c>
      <c r="L37">
        <v>47</v>
      </c>
      <c r="M37">
        <v>0.6811594202898551</v>
      </c>
      <c r="N37">
        <v>0.6811594202898551</v>
      </c>
      <c r="O37" t="s">
        <v>31</v>
      </c>
      <c r="P37" t="s">
        <v>31</v>
      </c>
      <c r="Q37" t="s">
        <v>6664</v>
      </c>
      <c r="R37">
        <v>0</v>
      </c>
      <c r="S37">
        <v>0</v>
      </c>
    </row>
    <row r="38" spans="1:19" hidden="1" x14ac:dyDescent="0.3">
      <c r="A38">
        <v>34</v>
      </c>
      <c r="B38" t="s">
        <v>3336</v>
      </c>
      <c r="C38" t="s">
        <v>6622</v>
      </c>
      <c r="D38" t="s">
        <v>184</v>
      </c>
      <c r="E38" t="s">
        <v>233</v>
      </c>
      <c r="F38" t="s">
        <v>30</v>
      </c>
      <c r="G38" s="6">
        <v>45838</v>
      </c>
      <c r="H38">
        <v>2025</v>
      </c>
      <c r="I38" t="s">
        <v>44</v>
      </c>
      <c r="J38" t="s">
        <v>244</v>
      </c>
      <c r="K38">
        <v>24</v>
      </c>
      <c r="L38">
        <v>55</v>
      </c>
      <c r="M38">
        <v>1</v>
      </c>
      <c r="N38">
        <v>1</v>
      </c>
      <c r="O38" t="s">
        <v>31</v>
      </c>
      <c r="P38" t="s">
        <v>31</v>
      </c>
      <c r="Q38" t="s">
        <v>6665</v>
      </c>
      <c r="R38">
        <v>0</v>
      </c>
      <c r="S38">
        <v>0</v>
      </c>
    </row>
    <row r="39" spans="1:19" hidden="1" x14ac:dyDescent="0.3">
      <c r="A39">
        <v>44</v>
      </c>
      <c r="B39" t="s">
        <v>3478</v>
      </c>
      <c r="C39" t="s">
        <v>6622</v>
      </c>
      <c r="D39" t="s">
        <v>174</v>
      </c>
      <c r="E39" t="s">
        <v>233</v>
      </c>
      <c r="F39" t="s">
        <v>30</v>
      </c>
      <c r="G39" s="6">
        <v>45838</v>
      </c>
      <c r="H39">
        <v>2025</v>
      </c>
      <c r="I39" t="s">
        <v>44</v>
      </c>
      <c r="J39" t="s">
        <v>244</v>
      </c>
      <c r="O39" t="s">
        <v>31</v>
      </c>
      <c r="P39" t="s">
        <v>31</v>
      </c>
      <c r="Q39" t="s">
        <v>6666</v>
      </c>
      <c r="R39">
        <v>0</v>
      </c>
      <c r="S39">
        <v>0</v>
      </c>
    </row>
    <row r="40" spans="1:19" hidden="1" x14ac:dyDescent="0.3">
      <c r="A40">
        <v>45</v>
      </c>
      <c r="B40" t="s">
        <v>3483</v>
      </c>
      <c r="C40" t="s">
        <v>6622</v>
      </c>
      <c r="D40" t="s">
        <v>251</v>
      </c>
      <c r="E40" t="s">
        <v>233</v>
      </c>
      <c r="F40" t="s">
        <v>30</v>
      </c>
      <c r="G40" s="6">
        <v>45838</v>
      </c>
      <c r="H40">
        <v>2025</v>
      </c>
      <c r="I40" t="s">
        <v>44</v>
      </c>
      <c r="J40" t="s">
        <v>244</v>
      </c>
      <c r="O40" t="s">
        <v>31</v>
      </c>
      <c r="P40" t="s">
        <v>31</v>
      </c>
      <c r="Q40" t="s">
        <v>6667</v>
      </c>
      <c r="R40">
        <v>0</v>
      </c>
      <c r="S40">
        <v>0</v>
      </c>
    </row>
    <row r="41" spans="1:19" hidden="1" x14ac:dyDescent="0.3">
      <c r="A41">
        <v>46</v>
      </c>
      <c r="B41" t="s">
        <v>3488</v>
      </c>
      <c r="C41" t="s">
        <v>6622</v>
      </c>
      <c r="D41" t="s">
        <v>225</v>
      </c>
      <c r="E41" t="s">
        <v>233</v>
      </c>
      <c r="F41" t="s">
        <v>30</v>
      </c>
      <c r="G41" s="6">
        <v>45838</v>
      </c>
      <c r="H41">
        <v>2025</v>
      </c>
      <c r="I41" t="s">
        <v>44</v>
      </c>
      <c r="J41" t="s">
        <v>244</v>
      </c>
      <c r="O41" t="s">
        <v>31</v>
      </c>
      <c r="P41" t="s">
        <v>31</v>
      </c>
      <c r="Q41" t="s">
        <v>6668</v>
      </c>
      <c r="R41">
        <v>0</v>
      </c>
      <c r="S41">
        <v>0</v>
      </c>
    </row>
    <row r="42" spans="1:19" hidden="1" x14ac:dyDescent="0.3">
      <c r="A42">
        <v>47</v>
      </c>
      <c r="B42" t="s">
        <v>3503</v>
      </c>
      <c r="C42" t="s">
        <v>6622</v>
      </c>
      <c r="E42" t="s">
        <v>233</v>
      </c>
      <c r="F42" t="s">
        <v>30</v>
      </c>
      <c r="G42" s="6">
        <v>45838</v>
      </c>
      <c r="H42">
        <v>2025</v>
      </c>
      <c r="I42" t="s">
        <v>44</v>
      </c>
      <c r="J42" t="s">
        <v>244</v>
      </c>
      <c r="O42" t="s">
        <v>31</v>
      </c>
      <c r="P42" t="s">
        <v>31</v>
      </c>
      <c r="Q42" t="s">
        <v>6669</v>
      </c>
      <c r="R42">
        <v>0</v>
      </c>
      <c r="S42">
        <v>0</v>
      </c>
    </row>
    <row r="43" spans="1:19" hidden="1" x14ac:dyDescent="0.3">
      <c r="A43">
        <v>48</v>
      </c>
      <c r="B43" t="s">
        <v>5237</v>
      </c>
      <c r="C43" t="s">
        <v>6622</v>
      </c>
      <c r="D43" t="s">
        <v>169</v>
      </c>
      <c r="E43" t="s">
        <v>233</v>
      </c>
      <c r="F43" t="s">
        <v>30</v>
      </c>
      <c r="G43" s="6">
        <v>45838</v>
      </c>
      <c r="H43">
        <v>2025</v>
      </c>
      <c r="I43" t="s">
        <v>44</v>
      </c>
      <c r="J43" t="s">
        <v>244</v>
      </c>
      <c r="O43" t="s">
        <v>31</v>
      </c>
      <c r="P43" t="s">
        <v>31</v>
      </c>
      <c r="Q43" t="s">
        <v>6670</v>
      </c>
      <c r="R43">
        <v>0</v>
      </c>
      <c r="S43">
        <v>0</v>
      </c>
    </row>
    <row r="44" spans="1:19" hidden="1" x14ac:dyDescent="0.3">
      <c r="A44">
        <v>49</v>
      </c>
      <c r="B44" t="s">
        <v>5240</v>
      </c>
      <c r="C44" t="s">
        <v>6622</v>
      </c>
      <c r="D44" t="s">
        <v>232</v>
      </c>
      <c r="E44" t="s">
        <v>233</v>
      </c>
      <c r="F44" t="s">
        <v>30</v>
      </c>
      <c r="G44" s="6">
        <v>45838</v>
      </c>
      <c r="H44">
        <v>2025</v>
      </c>
      <c r="I44" t="s">
        <v>44</v>
      </c>
      <c r="J44" t="s">
        <v>244</v>
      </c>
      <c r="O44" t="s">
        <v>31</v>
      </c>
      <c r="P44" t="s">
        <v>31</v>
      </c>
      <c r="Q44" t="s">
        <v>6671</v>
      </c>
      <c r="R44">
        <v>0</v>
      </c>
      <c r="S44">
        <v>0</v>
      </c>
    </row>
    <row r="45" spans="1:19" hidden="1" x14ac:dyDescent="0.3">
      <c r="A45">
        <v>59</v>
      </c>
      <c r="B45" t="s">
        <v>5261</v>
      </c>
      <c r="C45" t="s">
        <v>6622</v>
      </c>
      <c r="D45" t="s">
        <v>3011</v>
      </c>
      <c r="E45" t="s">
        <v>233</v>
      </c>
      <c r="F45" t="s">
        <v>30</v>
      </c>
      <c r="G45" s="6">
        <v>45838</v>
      </c>
      <c r="H45">
        <v>2025</v>
      </c>
      <c r="I45" t="s">
        <v>44</v>
      </c>
      <c r="J45" t="s">
        <v>244</v>
      </c>
      <c r="O45" t="s">
        <v>31</v>
      </c>
      <c r="P45" t="s">
        <v>31</v>
      </c>
      <c r="Q45" t="s">
        <v>6672</v>
      </c>
      <c r="R45">
        <v>0</v>
      </c>
      <c r="S45">
        <v>0</v>
      </c>
    </row>
    <row r="46" spans="1:19" hidden="1" x14ac:dyDescent="0.3">
      <c r="A46">
        <v>60</v>
      </c>
      <c r="B46" t="s">
        <v>4069</v>
      </c>
      <c r="C46" t="s">
        <v>6622</v>
      </c>
      <c r="D46" t="s">
        <v>3011</v>
      </c>
      <c r="E46" t="s">
        <v>233</v>
      </c>
      <c r="F46" t="s">
        <v>30</v>
      </c>
      <c r="G46" s="6">
        <v>45838</v>
      </c>
      <c r="H46">
        <v>2025</v>
      </c>
      <c r="I46" t="s">
        <v>44</v>
      </c>
      <c r="J46" t="s">
        <v>244</v>
      </c>
      <c r="O46" t="s">
        <v>31</v>
      </c>
      <c r="P46" t="s">
        <v>31</v>
      </c>
      <c r="Q46" t="s">
        <v>6673</v>
      </c>
      <c r="R46">
        <v>0</v>
      </c>
      <c r="S46">
        <v>0</v>
      </c>
    </row>
    <row r="47" spans="1:19" hidden="1" x14ac:dyDescent="0.3">
      <c r="A47">
        <v>61</v>
      </c>
      <c r="B47" t="s">
        <v>4091</v>
      </c>
      <c r="C47" t="s">
        <v>6622</v>
      </c>
      <c r="D47" t="s">
        <v>3011</v>
      </c>
      <c r="E47" t="s">
        <v>233</v>
      </c>
      <c r="F47" t="s">
        <v>30</v>
      </c>
      <c r="G47" s="6">
        <v>45838</v>
      </c>
      <c r="H47">
        <v>2025</v>
      </c>
      <c r="I47" t="s">
        <v>44</v>
      </c>
      <c r="J47" t="s">
        <v>244</v>
      </c>
      <c r="O47" t="s">
        <v>31</v>
      </c>
      <c r="P47" t="s">
        <v>31</v>
      </c>
      <c r="Q47" t="s">
        <v>6674</v>
      </c>
      <c r="R47">
        <v>0</v>
      </c>
      <c r="S47">
        <v>0</v>
      </c>
    </row>
    <row r="48" spans="1:19" hidden="1" x14ac:dyDescent="0.3">
      <c r="A48">
        <v>62</v>
      </c>
      <c r="B48" t="s">
        <v>5268</v>
      </c>
      <c r="C48" t="s">
        <v>6622</v>
      </c>
      <c r="D48" t="s">
        <v>3011</v>
      </c>
      <c r="E48" t="s">
        <v>233</v>
      </c>
      <c r="F48" t="s">
        <v>30</v>
      </c>
      <c r="G48" s="6">
        <v>45838</v>
      </c>
      <c r="H48">
        <v>2025</v>
      </c>
      <c r="I48" t="s">
        <v>44</v>
      </c>
      <c r="J48" t="s">
        <v>244</v>
      </c>
      <c r="O48" t="s">
        <v>31</v>
      </c>
      <c r="P48" t="s">
        <v>31</v>
      </c>
      <c r="Q48" t="s">
        <v>6675</v>
      </c>
      <c r="R48">
        <v>0</v>
      </c>
      <c r="S48">
        <v>0</v>
      </c>
    </row>
    <row r="49" spans="1:19" hidden="1" x14ac:dyDescent="0.3">
      <c r="A49">
        <v>63</v>
      </c>
      <c r="B49" t="s">
        <v>4101</v>
      </c>
      <c r="C49" t="s">
        <v>6622</v>
      </c>
      <c r="D49" t="s">
        <v>3011</v>
      </c>
      <c r="E49" t="s">
        <v>233</v>
      </c>
      <c r="F49" t="s">
        <v>30</v>
      </c>
      <c r="G49" s="6">
        <v>45838</v>
      </c>
      <c r="H49">
        <v>2025</v>
      </c>
      <c r="I49" t="s">
        <v>44</v>
      </c>
      <c r="J49" t="s">
        <v>244</v>
      </c>
      <c r="O49" t="s">
        <v>31</v>
      </c>
      <c r="P49" t="s">
        <v>31</v>
      </c>
      <c r="Q49" t="s">
        <v>6676</v>
      </c>
      <c r="R49">
        <v>0</v>
      </c>
      <c r="S49">
        <v>0</v>
      </c>
    </row>
    <row r="50" spans="1:19" hidden="1" x14ac:dyDescent="0.3">
      <c r="A50">
        <v>64</v>
      </c>
      <c r="B50" t="s">
        <v>4106</v>
      </c>
      <c r="C50" t="s">
        <v>6622</v>
      </c>
      <c r="D50" t="s">
        <v>3011</v>
      </c>
      <c r="E50" t="s">
        <v>233</v>
      </c>
      <c r="F50" t="s">
        <v>30</v>
      </c>
      <c r="G50" s="6">
        <v>45838</v>
      </c>
      <c r="H50">
        <v>2025</v>
      </c>
      <c r="I50" t="s">
        <v>44</v>
      </c>
      <c r="J50" t="s">
        <v>244</v>
      </c>
      <c r="O50" t="s">
        <v>31</v>
      </c>
      <c r="P50" t="s">
        <v>31</v>
      </c>
      <c r="Q50" t="s">
        <v>6677</v>
      </c>
      <c r="R50">
        <v>0</v>
      </c>
      <c r="S50">
        <v>0</v>
      </c>
    </row>
    <row r="51" spans="1:19" hidden="1" x14ac:dyDescent="0.3">
      <c r="A51">
        <v>65</v>
      </c>
      <c r="B51" t="s">
        <v>4111</v>
      </c>
      <c r="C51" t="s">
        <v>6622</v>
      </c>
      <c r="D51" t="s">
        <v>3011</v>
      </c>
      <c r="E51" t="s">
        <v>233</v>
      </c>
      <c r="F51" t="s">
        <v>30</v>
      </c>
      <c r="G51" s="6">
        <v>45838</v>
      </c>
      <c r="H51">
        <v>2025</v>
      </c>
      <c r="I51" t="s">
        <v>44</v>
      </c>
      <c r="J51" t="s">
        <v>244</v>
      </c>
      <c r="O51" t="s">
        <v>31</v>
      </c>
      <c r="P51" t="s">
        <v>31</v>
      </c>
      <c r="Q51" t="s">
        <v>6678</v>
      </c>
      <c r="R51">
        <v>0</v>
      </c>
      <c r="S51">
        <v>0</v>
      </c>
    </row>
    <row r="52" spans="1:19" hidden="1" x14ac:dyDescent="0.3">
      <c r="A52">
        <v>66</v>
      </c>
      <c r="B52" t="s">
        <v>4116</v>
      </c>
      <c r="C52" t="s">
        <v>6622</v>
      </c>
      <c r="D52" t="s">
        <v>3011</v>
      </c>
      <c r="E52" t="s">
        <v>233</v>
      </c>
      <c r="F52" t="s">
        <v>30</v>
      </c>
      <c r="G52" s="6">
        <v>45838</v>
      </c>
      <c r="H52">
        <v>2025</v>
      </c>
      <c r="I52" t="s">
        <v>44</v>
      </c>
      <c r="J52" t="s">
        <v>244</v>
      </c>
      <c r="O52" t="s">
        <v>31</v>
      </c>
      <c r="P52" t="s">
        <v>31</v>
      </c>
      <c r="Q52" t="s">
        <v>6679</v>
      </c>
      <c r="R52">
        <v>0</v>
      </c>
      <c r="S52">
        <v>0</v>
      </c>
    </row>
    <row r="53" spans="1:19" hidden="1" x14ac:dyDescent="0.3">
      <c r="A53">
        <v>67</v>
      </c>
      <c r="B53" t="s">
        <v>4084</v>
      </c>
      <c r="C53" t="s">
        <v>6622</v>
      </c>
      <c r="D53" t="s">
        <v>2862</v>
      </c>
      <c r="E53" t="s">
        <v>233</v>
      </c>
      <c r="F53" t="s">
        <v>30</v>
      </c>
      <c r="G53" s="6">
        <v>45838</v>
      </c>
      <c r="H53">
        <v>2025</v>
      </c>
      <c r="I53" t="s">
        <v>44</v>
      </c>
      <c r="J53" t="s">
        <v>244</v>
      </c>
      <c r="O53" t="s">
        <v>31</v>
      </c>
      <c r="P53" t="s">
        <v>31</v>
      </c>
      <c r="Q53" t="s">
        <v>6680</v>
      </c>
      <c r="R53">
        <v>0</v>
      </c>
      <c r="S53">
        <v>0</v>
      </c>
    </row>
    <row r="54" spans="1:19" x14ac:dyDescent="0.3">
      <c r="A54" t="s">
        <v>4680</v>
      </c>
      <c r="B54" t="s">
        <v>4681</v>
      </c>
      <c r="C54" t="s">
        <v>6681</v>
      </c>
      <c r="D54" t="s">
        <v>232</v>
      </c>
      <c r="E54" t="s">
        <v>222</v>
      </c>
      <c r="F54" t="s">
        <v>30</v>
      </c>
      <c r="G54" s="6">
        <v>45838</v>
      </c>
      <c r="H54">
        <v>2025</v>
      </c>
      <c r="I54" t="s">
        <v>44</v>
      </c>
      <c r="J54" t="s">
        <v>244</v>
      </c>
      <c r="K54">
        <v>85</v>
      </c>
      <c r="L54">
        <v>85.3</v>
      </c>
      <c r="M54">
        <v>1.003529411764706</v>
      </c>
      <c r="N54">
        <v>1.003529411764706</v>
      </c>
      <c r="O54" t="s">
        <v>31</v>
      </c>
      <c r="P54" t="s">
        <v>31</v>
      </c>
      <c r="Q54" t="s">
        <v>4686</v>
      </c>
      <c r="R54">
        <v>0</v>
      </c>
      <c r="S54">
        <v>1</v>
      </c>
    </row>
    <row r="55" spans="1:19" hidden="1" x14ac:dyDescent="0.3">
      <c r="A55">
        <v>69</v>
      </c>
      <c r="B55" t="s">
        <v>4688</v>
      </c>
      <c r="C55" t="s">
        <v>6681</v>
      </c>
      <c r="D55" t="s">
        <v>232</v>
      </c>
      <c r="E55" t="s">
        <v>233</v>
      </c>
      <c r="F55" t="s">
        <v>30</v>
      </c>
      <c r="G55" s="6">
        <v>45838</v>
      </c>
      <c r="H55">
        <v>2025</v>
      </c>
      <c r="I55" t="s">
        <v>44</v>
      </c>
      <c r="J55" t="s">
        <v>244</v>
      </c>
      <c r="K55">
        <v>90</v>
      </c>
      <c r="L55">
        <v>90.78</v>
      </c>
      <c r="M55">
        <v>1.008666666666667</v>
      </c>
      <c r="N55">
        <v>1.008666666666667</v>
      </c>
      <c r="O55" t="s">
        <v>31</v>
      </c>
      <c r="P55" t="s">
        <v>31</v>
      </c>
      <c r="Q55" t="s">
        <v>4702</v>
      </c>
      <c r="R55">
        <v>0</v>
      </c>
      <c r="S55">
        <v>1</v>
      </c>
    </row>
    <row r="56" spans="1:19" hidden="1" x14ac:dyDescent="0.3">
      <c r="A56">
        <v>73</v>
      </c>
      <c r="B56" t="s">
        <v>4728</v>
      </c>
      <c r="C56" t="s">
        <v>6681</v>
      </c>
      <c r="D56" t="s">
        <v>262</v>
      </c>
      <c r="E56" t="s">
        <v>222</v>
      </c>
      <c r="F56" t="s">
        <v>108</v>
      </c>
      <c r="G56" s="6">
        <v>45838</v>
      </c>
      <c r="H56">
        <v>2025</v>
      </c>
      <c r="I56" t="s">
        <v>44</v>
      </c>
      <c r="J56" t="s">
        <v>244</v>
      </c>
      <c r="K56">
        <v>20</v>
      </c>
      <c r="L56">
        <v>19</v>
      </c>
      <c r="M56">
        <v>1.0526315789473679</v>
      </c>
      <c r="N56">
        <v>1.0526315789473679</v>
      </c>
      <c r="O56" t="s">
        <v>3807</v>
      </c>
      <c r="P56" t="s">
        <v>3807</v>
      </c>
      <c r="Q56" t="s">
        <v>4735</v>
      </c>
      <c r="R56">
        <v>0</v>
      </c>
      <c r="S56">
        <v>0</v>
      </c>
    </row>
    <row r="57" spans="1:19" hidden="1" x14ac:dyDescent="0.3">
      <c r="A57">
        <v>74</v>
      </c>
      <c r="B57" t="s">
        <v>4737</v>
      </c>
      <c r="C57" t="s">
        <v>6681</v>
      </c>
      <c r="D57" t="s">
        <v>262</v>
      </c>
      <c r="E57" t="s">
        <v>222</v>
      </c>
      <c r="F57" t="s">
        <v>30</v>
      </c>
      <c r="G57" s="6">
        <v>45838</v>
      </c>
      <c r="H57">
        <v>2025</v>
      </c>
      <c r="I57" t="s">
        <v>44</v>
      </c>
      <c r="J57" t="s">
        <v>244</v>
      </c>
      <c r="K57">
        <v>80</v>
      </c>
      <c r="L57">
        <v>91.49</v>
      </c>
      <c r="M57">
        <v>1.1436249999999999</v>
      </c>
      <c r="N57">
        <v>1.1436249999999999</v>
      </c>
      <c r="O57" t="s">
        <v>31</v>
      </c>
      <c r="P57" t="s">
        <v>31</v>
      </c>
      <c r="Q57" t="s">
        <v>4744</v>
      </c>
      <c r="R57">
        <v>0</v>
      </c>
      <c r="S57">
        <v>0</v>
      </c>
    </row>
    <row r="58" spans="1:19" hidden="1" x14ac:dyDescent="0.3">
      <c r="A58">
        <v>75</v>
      </c>
      <c r="B58" t="s">
        <v>3454</v>
      </c>
      <c r="C58" t="s">
        <v>6622</v>
      </c>
      <c r="D58" t="s">
        <v>2937</v>
      </c>
      <c r="E58" t="s">
        <v>233</v>
      </c>
      <c r="F58" t="s">
        <v>30</v>
      </c>
      <c r="G58" s="6">
        <v>45838</v>
      </c>
      <c r="H58">
        <v>2025</v>
      </c>
      <c r="I58" t="s">
        <v>44</v>
      </c>
      <c r="J58" t="s">
        <v>244</v>
      </c>
      <c r="O58" t="s">
        <v>31</v>
      </c>
      <c r="P58" t="s">
        <v>31</v>
      </c>
      <c r="Q58" t="s">
        <v>6682</v>
      </c>
      <c r="R58">
        <v>0</v>
      </c>
      <c r="S58">
        <v>0</v>
      </c>
    </row>
    <row r="59" spans="1:19" hidden="1" x14ac:dyDescent="0.3">
      <c r="A59">
        <v>76</v>
      </c>
      <c r="B59" t="s">
        <v>3458</v>
      </c>
      <c r="C59" t="s">
        <v>6622</v>
      </c>
      <c r="D59" t="s">
        <v>717</v>
      </c>
      <c r="E59" t="s">
        <v>233</v>
      </c>
      <c r="F59" t="s">
        <v>30</v>
      </c>
      <c r="G59" s="6">
        <v>45838</v>
      </c>
      <c r="H59">
        <v>2025</v>
      </c>
      <c r="I59" t="s">
        <v>44</v>
      </c>
      <c r="J59" t="s">
        <v>244</v>
      </c>
      <c r="O59" t="s">
        <v>31</v>
      </c>
      <c r="P59" t="s">
        <v>31</v>
      </c>
      <c r="Q59" t="s">
        <v>6683</v>
      </c>
      <c r="R59">
        <v>0</v>
      </c>
      <c r="S59">
        <v>0</v>
      </c>
    </row>
    <row r="60" spans="1:19" hidden="1" x14ac:dyDescent="0.3">
      <c r="A60">
        <v>77</v>
      </c>
      <c r="B60" t="s">
        <v>4746</v>
      </c>
      <c r="C60" t="s">
        <v>6622</v>
      </c>
      <c r="D60" t="s">
        <v>270</v>
      </c>
      <c r="E60" t="s">
        <v>29</v>
      </c>
      <c r="F60" t="s">
        <v>30</v>
      </c>
      <c r="G60" s="6">
        <v>46023</v>
      </c>
      <c r="H60" t="s">
        <v>6623</v>
      </c>
      <c r="I60" t="s">
        <v>6623</v>
      </c>
      <c r="J60" t="s">
        <v>6623</v>
      </c>
      <c r="K60">
        <v>97</v>
      </c>
      <c r="L60">
        <v>97.66</v>
      </c>
      <c r="M60">
        <v>1.0068041237113401</v>
      </c>
      <c r="N60">
        <v>1.0068041237113401</v>
      </c>
      <c r="O60" t="s">
        <v>31</v>
      </c>
      <c r="P60" t="s">
        <v>31</v>
      </c>
      <c r="Q60" t="s">
        <v>6684</v>
      </c>
      <c r="R60">
        <v>0</v>
      </c>
      <c r="S60">
        <v>1</v>
      </c>
    </row>
    <row r="61" spans="1:19" hidden="1" x14ac:dyDescent="0.3">
      <c r="A61">
        <v>86</v>
      </c>
      <c r="B61" t="s">
        <v>4855</v>
      </c>
      <c r="C61" t="s">
        <v>6622</v>
      </c>
      <c r="D61" t="s">
        <v>97</v>
      </c>
      <c r="E61" t="s">
        <v>222</v>
      </c>
      <c r="F61" t="s">
        <v>30</v>
      </c>
      <c r="G61" s="6">
        <v>45838</v>
      </c>
      <c r="H61">
        <v>2025</v>
      </c>
      <c r="I61" t="s">
        <v>44</v>
      </c>
      <c r="J61" t="s">
        <v>244</v>
      </c>
      <c r="K61">
        <v>100</v>
      </c>
      <c r="L61">
        <v>100</v>
      </c>
      <c r="M61">
        <v>1</v>
      </c>
      <c r="N61">
        <v>1</v>
      </c>
      <c r="O61" t="s">
        <v>31</v>
      </c>
      <c r="P61" t="s">
        <v>31</v>
      </c>
      <c r="Q61" t="s">
        <v>4860</v>
      </c>
      <c r="R61">
        <v>0</v>
      </c>
      <c r="S61">
        <v>0</v>
      </c>
    </row>
    <row r="62" spans="1:19" hidden="1" x14ac:dyDescent="0.3">
      <c r="A62">
        <v>95</v>
      </c>
      <c r="B62" t="s">
        <v>5026</v>
      </c>
      <c r="C62" t="s">
        <v>6681</v>
      </c>
      <c r="D62" t="s">
        <v>97</v>
      </c>
      <c r="E62" t="s">
        <v>222</v>
      </c>
      <c r="F62" t="s">
        <v>30</v>
      </c>
      <c r="G62" s="6">
        <v>45838</v>
      </c>
      <c r="H62">
        <v>2025</v>
      </c>
      <c r="I62" t="s">
        <v>44</v>
      </c>
      <c r="J62" t="s">
        <v>244</v>
      </c>
      <c r="K62">
        <v>100</v>
      </c>
      <c r="L62">
        <v>100</v>
      </c>
      <c r="M62">
        <v>1</v>
      </c>
      <c r="N62">
        <v>1</v>
      </c>
      <c r="O62" t="s">
        <v>31</v>
      </c>
      <c r="P62" t="s">
        <v>31</v>
      </c>
      <c r="Q62" t="s">
        <v>5031</v>
      </c>
      <c r="R62">
        <v>0</v>
      </c>
      <c r="S62">
        <v>0</v>
      </c>
    </row>
    <row r="63" spans="1:19" hidden="1" x14ac:dyDescent="0.3">
      <c r="A63">
        <v>96</v>
      </c>
      <c r="B63" t="s">
        <v>5033</v>
      </c>
      <c r="C63" t="s">
        <v>6622</v>
      </c>
      <c r="D63" t="s">
        <v>760</v>
      </c>
      <c r="E63" t="s">
        <v>222</v>
      </c>
      <c r="F63" t="s">
        <v>30</v>
      </c>
      <c r="G63" s="6">
        <v>46023</v>
      </c>
      <c r="H63" t="s">
        <v>6623</v>
      </c>
      <c r="I63" t="s">
        <v>6623</v>
      </c>
      <c r="J63" t="s">
        <v>6623</v>
      </c>
      <c r="K63">
        <v>2531</v>
      </c>
      <c r="L63">
        <v>2383</v>
      </c>
      <c r="M63">
        <v>0.94152508889766895</v>
      </c>
      <c r="N63">
        <v>0.94152508889766895</v>
      </c>
      <c r="O63" t="s">
        <v>118</v>
      </c>
      <c r="P63" t="s">
        <v>118</v>
      </c>
      <c r="Q63" t="s">
        <v>6685</v>
      </c>
      <c r="R63">
        <v>0</v>
      </c>
      <c r="S63">
        <v>0</v>
      </c>
    </row>
    <row r="64" spans="1:19" hidden="1" x14ac:dyDescent="0.3">
      <c r="A64">
        <v>97</v>
      </c>
      <c r="B64" t="s">
        <v>2410</v>
      </c>
      <c r="C64" t="s">
        <v>6622</v>
      </c>
      <c r="D64" t="s">
        <v>3437</v>
      </c>
      <c r="E64" t="s">
        <v>222</v>
      </c>
      <c r="F64" t="s">
        <v>30</v>
      </c>
      <c r="G64" s="6">
        <v>45838</v>
      </c>
      <c r="H64">
        <v>2025</v>
      </c>
      <c r="I64" t="s">
        <v>44</v>
      </c>
      <c r="J64" t="s">
        <v>244</v>
      </c>
      <c r="K64">
        <v>0</v>
      </c>
      <c r="L64">
        <v>0</v>
      </c>
      <c r="O64" t="s">
        <v>118</v>
      </c>
      <c r="P64" t="s">
        <v>118</v>
      </c>
      <c r="Q64" t="s">
        <v>5296</v>
      </c>
      <c r="R64">
        <v>0</v>
      </c>
      <c r="S64">
        <v>0</v>
      </c>
    </row>
    <row r="65" spans="1:19" hidden="1" x14ac:dyDescent="0.3">
      <c r="A65">
        <v>97</v>
      </c>
      <c r="B65" t="s">
        <v>2410</v>
      </c>
      <c r="C65" t="s">
        <v>6622</v>
      </c>
      <c r="D65" t="s">
        <v>3437</v>
      </c>
      <c r="E65" t="s">
        <v>222</v>
      </c>
      <c r="F65" t="s">
        <v>30</v>
      </c>
      <c r="G65" s="6">
        <v>46023</v>
      </c>
      <c r="H65" t="s">
        <v>6623</v>
      </c>
      <c r="I65" t="s">
        <v>6623</v>
      </c>
      <c r="J65" t="s">
        <v>6623</v>
      </c>
      <c r="K65">
        <v>3</v>
      </c>
      <c r="L65">
        <v>3</v>
      </c>
      <c r="M65">
        <v>1</v>
      </c>
      <c r="N65">
        <v>1</v>
      </c>
      <c r="O65" t="s">
        <v>118</v>
      </c>
      <c r="P65" t="s">
        <v>118</v>
      </c>
      <c r="Q65" t="s">
        <v>6686</v>
      </c>
      <c r="R65">
        <v>0</v>
      </c>
      <c r="S65">
        <v>0</v>
      </c>
    </row>
    <row r="66" spans="1:19" hidden="1" x14ac:dyDescent="0.3">
      <c r="A66">
        <v>98</v>
      </c>
      <c r="B66" t="s">
        <v>2415</v>
      </c>
      <c r="C66" t="s">
        <v>6622</v>
      </c>
      <c r="D66" t="s">
        <v>3437</v>
      </c>
      <c r="E66" t="s">
        <v>222</v>
      </c>
      <c r="F66" t="s">
        <v>30</v>
      </c>
      <c r="G66" s="6">
        <v>46022</v>
      </c>
      <c r="H66">
        <v>2025</v>
      </c>
      <c r="I66" t="s">
        <v>57</v>
      </c>
      <c r="J66" t="s">
        <v>103</v>
      </c>
      <c r="K66">
        <v>15</v>
      </c>
      <c r="L66">
        <v>15</v>
      </c>
      <c r="M66">
        <v>1</v>
      </c>
      <c r="N66">
        <v>1</v>
      </c>
      <c r="O66" t="s">
        <v>118</v>
      </c>
      <c r="P66" t="s">
        <v>118</v>
      </c>
      <c r="Q66" t="s">
        <v>5299</v>
      </c>
      <c r="R66">
        <v>0</v>
      </c>
      <c r="S66">
        <v>0</v>
      </c>
    </row>
    <row r="67" spans="1:19" hidden="1" x14ac:dyDescent="0.3">
      <c r="A67">
        <v>98</v>
      </c>
      <c r="B67" t="s">
        <v>2415</v>
      </c>
      <c r="C67" t="s">
        <v>6622</v>
      </c>
      <c r="D67" t="s">
        <v>3437</v>
      </c>
      <c r="E67" t="s">
        <v>222</v>
      </c>
      <c r="F67" t="s">
        <v>30</v>
      </c>
      <c r="G67" s="6">
        <v>46023</v>
      </c>
      <c r="H67" t="s">
        <v>6623</v>
      </c>
      <c r="I67" t="s">
        <v>6623</v>
      </c>
      <c r="J67" t="s">
        <v>6623</v>
      </c>
      <c r="K67">
        <v>23</v>
      </c>
      <c r="L67">
        <v>23</v>
      </c>
      <c r="M67">
        <v>1</v>
      </c>
      <c r="N67">
        <v>1</v>
      </c>
      <c r="O67" t="s">
        <v>118</v>
      </c>
      <c r="P67" t="s">
        <v>118</v>
      </c>
      <c r="Q67" t="s">
        <v>6687</v>
      </c>
      <c r="R67">
        <v>0</v>
      </c>
      <c r="S67">
        <v>0</v>
      </c>
    </row>
    <row r="68" spans="1:19" hidden="1" x14ac:dyDescent="0.3">
      <c r="A68">
        <v>109</v>
      </c>
      <c r="B68" t="s">
        <v>6688</v>
      </c>
      <c r="C68" t="s">
        <v>6681</v>
      </c>
      <c r="D68" t="s">
        <v>165</v>
      </c>
      <c r="E68" t="s">
        <v>98</v>
      </c>
      <c r="F68" t="s">
        <v>30</v>
      </c>
      <c r="G68" s="6">
        <v>45291</v>
      </c>
      <c r="H68">
        <v>2023</v>
      </c>
      <c r="I68" t="s">
        <v>57</v>
      </c>
      <c r="J68" t="s">
        <v>47</v>
      </c>
      <c r="K68">
        <v>80</v>
      </c>
      <c r="L68">
        <v>87.392767703668298</v>
      </c>
      <c r="M68">
        <v>1.092409596295854</v>
      </c>
      <c r="N68">
        <v>1.092409596295854</v>
      </c>
      <c r="O68" t="s">
        <v>31</v>
      </c>
      <c r="P68" t="s">
        <v>31</v>
      </c>
      <c r="Q68" t="s">
        <v>5302</v>
      </c>
      <c r="R68">
        <v>0</v>
      </c>
      <c r="S68">
        <v>0</v>
      </c>
    </row>
    <row r="69" spans="1:19" hidden="1" x14ac:dyDescent="0.3">
      <c r="A69">
        <v>109</v>
      </c>
      <c r="B69" t="s">
        <v>6688</v>
      </c>
      <c r="C69" t="s">
        <v>6681</v>
      </c>
      <c r="D69" t="s">
        <v>165</v>
      </c>
      <c r="E69" t="s">
        <v>98</v>
      </c>
      <c r="F69" t="s">
        <v>30</v>
      </c>
      <c r="G69" s="6">
        <v>46023</v>
      </c>
      <c r="H69" t="s">
        <v>6623</v>
      </c>
      <c r="I69" t="s">
        <v>6623</v>
      </c>
      <c r="J69" t="s">
        <v>6623</v>
      </c>
      <c r="K69">
        <v>80</v>
      </c>
      <c r="L69">
        <v>85</v>
      </c>
      <c r="M69">
        <v>1.0625</v>
      </c>
      <c r="N69">
        <v>1.0625</v>
      </c>
      <c r="O69" t="s">
        <v>31</v>
      </c>
      <c r="P69" t="s">
        <v>31</v>
      </c>
      <c r="Q69" t="s">
        <v>6689</v>
      </c>
      <c r="R69">
        <v>0</v>
      </c>
      <c r="S69">
        <v>0</v>
      </c>
    </row>
    <row r="70" spans="1:19" hidden="1" x14ac:dyDescent="0.3">
      <c r="A70">
        <v>110</v>
      </c>
      <c r="B70" t="s">
        <v>125</v>
      </c>
      <c r="C70" t="s">
        <v>6681</v>
      </c>
      <c r="D70" t="s">
        <v>225</v>
      </c>
      <c r="E70" t="s">
        <v>98</v>
      </c>
      <c r="F70" t="s">
        <v>30</v>
      </c>
      <c r="G70" s="6">
        <v>44865</v>
      </c>
      <c r="H70">
        <v>2022</v>
      </c>
      <c r="I70" t="s">
        <v>53</v>
      </c>
      <c r="J70" t="s">
        <v>90</v>
      </c>
      <c r="K70">
        <v>80</v>
      </c>
      <c r="L70">
        <v>73.401915113871596</v>
      </c>
      <c r="M70">
        <v>0.9175239389233949</v>
      </c>
      <c r="N70">
        <v>0.9175239389233949</v>
      </c>
      <c r="O70" t="s">
        <v>31</v>
      </c>
      <c r="P70" t="s">
        <v>31</v>
      </c>
      <c r="Q70" t="s">
        <v>226</v>
      </c>
      <c r="R70">
        <v>0</v>
      </c>
      <c r="S70">
        <v>0</v>
      </c>
    </row>
    <row r="71" spans="1:19" hidden="1" x14ac:dyDescent="0.3">
      <c r="A71">
        <v>111</v>
      </c>
      <c r="B71" t="s">
        <v>125</v>
      </c>
      <c r="C71" t="s">
        <v>6681</v>
      </c>
      <c r="D71" t="s">
        <v>232</v>
      </c>
      <c r="E71" t="s">
        <v>233</v>
      </c>
      <c r="F71" t="s">
        <v>30</v>
      </c>
      <c r="G71" s="6">
        <v>45838</v>
      </c>
      <c r="H71">
        <v>2025</v>
      </c>
      <c r="I71" t="s">
        <v>44</v>
      </c>
      <c r="J71" t="s">
        <v>244</v>
      </c>
      <c r="K71">
        <v>80</v>
      </c>
      <c r="L71">
        <v>96.35</v>
      </c>
      <c r="M71">
        <v>1.204375</v>
      </c>
      <c r="N71">
        <v>1.204375</v>
      </c>
      <c r="O71" t="s">
        <v>31</v>
      </c>
      <c r="P71" t="s">
        <v>31</v>
      </c>
      <c r="Q71" t="s">
        <v>246</v>
      </c>
      <c r="R71">
        <v>0</v>
      </c>
      <c r="S71">
        <v>0</v>
      </c>
    </row>
    <row r="72" spans="1:19" hidden="1" x14ac:dyDescent="0.3">
      <c r="A72">
        <v>112</v>
      </c>
      <c r="B72" t="s">
        <v>125</v>
      </c>
      <c r="C72" t="s">
        <v>6681</v>
      </c>
      <c r="D72" t="s">
        <v>251</v>
      </c>
      <c r="E72" t="s">
        <v>98</v>
      </c>
      <c r="F72" t="s">
        <v>30</v>
      </c>
      <c r="G72" s="6">
        <v>44865</v>
      </c>
      <c r="H72">
        <v>2022</v>
      </c>
      <c r="I72" t="s">
        <v>53</v>
      </c>
      <c r="J72" t="s">
        <v>90</v>
      </c>
      <c r="K72">
        <v>80</v>
      </c>
      <c r="L72">
        <v>74.166215125198292</v>
      </c>
      <c r="M72">
        <v>0.92707768906497867</v>
      </c>
      <c r="N72">
        <v>0.92707768906497867</v>
      </c>
      <c r="O72" t="s">
        <v>31</v>
      </c>
      <c r="P72" t="s">
        <v>31</v>
      </c>
      <c r="Q72" t="s">
        <v>252</v>
      </c>
      <c r="R72">
        <v>0</v>
      </c>
      <c r="S72">
        <v>0</v>
      </c>
    </row>
    <row r="73" spans="1:19" hidden="1" x14ac:dyDescent="0.3">
      <c r="A73">
        <v>112</v>
      </c>
      <c r="B73" t="s">
        <v>125</v>
      </c>
      <c r="C73" t="s">
        <v>6681</v>
      </c>
      <c r="D73" t="s">
        <v>251</v>
      </c>
      <c r="E73" t="s">
        <v>98</v>
      </c>
      <c r="F73" t="s">
        <v>30</v>
      </c>
      <c r="G73" s="6">
        <v>45230</v>
      </c>
      <c r="H73">
        <v>2023</v>
      </c>
      <c r="I73" t="s">
        <v>53</v>
      </c>
      <c r="J73" t="s">
        <v>47</v>
      </c>
      <c r="K73">
        <v>80</v>
      </c>
      <c r="L73">
        <v>89.603847284377991</v>
      </c>
      <c r="M73">
        <v>1</v>
      </c>
      <c r="N73">
        <v>1.120048091054725</v>
      </c>
      <c r="O73" t="s">
        <v>31</v>
      </c>
      <c r="P73" t="s">
        <v>31</v>
      </c>
      <c r="Q73" t="s">
        <v>253</v>
      </c>
      <c r="R73">
        <v>0</v>
      </c>
      <c r="S73">
        <v>0</v>
      </c>
    </row>
    <row r="74" spans="1:19" hidden="1" x14ac:dyDescent="0.3">
      <c r="A74">
        <v>112</v>
      </c>
      <c r="B74" t="s">
        <v>125</v>
      </c>
      <c r="C74" t="s">
        <v>6622</v>
      </c>
      <c r="D74" t="s">
        <v>251</v>
      </c>
      <c r="E74" t="s">
        <v>98</v>
      </c>
      <c r="F74" t="s">
        <v>30</v>
      </c>
      <c r="G74" s="6">
        <v>45596</v>
      </c>
      <c r="H74">
        <v>2024</v>
      </c>
      <c r="I74" t="s">
        <v>53</v>
      </c>
      <c r="J74" t="s">
        <v>78</v>
      </c>
      <c r="K74">
        <v>80</v>
      </c>
      <c r="L74">
        <v>90</v>
      </c>
      <c r="M74">
        <v>1.125</v>
      </c>
      <c r="N74">
        <v>1.125</v>
      </c>
      <c r="O74" t="s">
        <v>31</v>
      </c>
      <c r="P74" t="s">
        <v>31</v>
      </c>
      <c r="Q74" t="s">
        <v>254</v>
      </c>
      <c r="R74">
        <v>0</v>
      </c>
      <c r="S74">
        <v>0</v>
      </c>
    </row>
    <row r="75" spans="1:19" hidden="1" x14ac:dyDescent="0.3">
      <c r="A75">
        <v>113</v>
      </c>
      <c r="B75" t="s">
        <v>125</v>
      </c>
      <c r="C75" t="s">
        <v>6681</v>
      </c>
      <c r="D75" t="s">
        <v>259</v>
      </c>
      <c r="E75" t="s">
        <v>98</v>
      </c>
      <c r="F75" t="s">
        <v>30</v>
      </c>
      <c r="G75" s="6">
        <v>44865</v>
      </c>
      <c r="H75">
        <v>2022</v>
      </c>
      <c r="I75" t="s">
        <v>53</v>
      </c>
      <c r="J75" t="s">
        <v>90</v>
      </c>
      <c r="K75">
        <v>80</v>
      </c>
      <c r="L75">
        <v>76.616718813056906</v>
      </c>
      <c r="M75">
        <v>0.95770898516321135</v>
      </c>
      <c r="N75">
        <v>0.95770898516321135</v>
      </c>
      <c r="O75" t="s">
        <v>31</v>
      </c>
      <c r="P75" t="s">
        <v>31</v>
      </c>
      <c r="Q75" t="s">
        <v>260</v>
      </c>
      <c r="R75">
        <v>0</v>
      </c>
      <c r="S75">
        <v>0</v>
      </c>
    </row>
    <row r="76" spans="1:19" hidden="1" x14ac:dyDescent="0.3">
      <c r="A76">
        <v>113</v>
      </c>
      <c r="B76" t="s">
        <v>125</v>
      </c>
      <c r="C76" t="s">
        <v>6681</v>
      </c>
      <c r="D76" t="s">
        <v>259</v>
      </c>
      <c r="E76" t="s">
        <v>98</v>
      </c>
      <c r="F76" t="s">
        <v>30</v>
      </c>
      <c r="G76" s="6">
        <v>45230</v>
      </c>
      <c r="H76">
        <v>2023</v>
      </c>
      <c r="I76" t="s">
        <v>53</v>
      </c>
      <c r="J76" t="s">
        <v>47</v>
      </c>
      <c r="K76">
        <v>80</v>
      </c>
      <c r="L76">
        <v>88.101513502306503</v>
      </c>
      <c r="M76">
        <v>1.1012689187788309</v>
      </c>
      <c r="N76">
        <v>1.1012689187788309</v>
      </c>
      <c r="O76" t="s">
        <v>31</v>
      </c>
      <c r="P76" t="s">
        <v>31</v>
      </c>
      <c r="Q76" t="s">
        <v>261</v>
      </c>
      <c r="R76">
        <v>0</v>
      </c>
      <c r="S76">
        <v>0</v>
      </c>
    </row>
    <row r="77" spans="1:19" hidden="1" x14ac:dyDescent="0.3">
      <c r="A77">
        <v>113</v>
      </c>
      <c r="B77" t="s">
        <v>125</v>
      </c>
      <c r="C77" t="s">
        <v>6681</v>
      </c>
      <c r="D77" t="s">
        <v>259</v>
      </c>
      <c r="E77" t="s">
        <v>98</v>
      </c>
      <c r="F77" t="s">
        <v>30</v>
      </c>
      <c r="G77" s="6">
        <v>45596</v>
      </c>
      <c r="H77">
        <v>2024</v>
      </c>
      <c r="I77" t="s">
        <v>53</v>
      </c>
      <c r="J77" t="s">
        <v>78</v>
      </c>
      <c r="K77">
        <v>80</v>
      </c>
      <c r="L77">
        <v>88</v>
      </c>
      <c r="M77">
        <v>1.1000000000000001</v>
      </c>
      <c r="N77">
        <v>1.1000000000000001</v>
      </c>
      <c r="O77" t="s">
        <v>31</v>
      </c>
      <c r="P77" t="s">
        <v>31</v>
      </c>
      <c r="Q77" t="s">
        <v>263</v>
      </c>
      <c r="R77">
        <v>0</v>
      </c>
      <c r="S77">
        <v>0</v>
      </c>
    </row>
    <row r="78" spans="1:19" hidden="1" x14ac:dyDescent="0.3">
      <c r="A78">
        <v>114</v>
      </c>
      <c r="B78" t="s">
        <v>125</v>
      </c>
      <c r="C78" t="s">
        <v>6622</v>
      </c>
      <c r="D78" t="s">
        <v>266</v>
      </c>
      <c r="E78" t="s">
        <v>98</v>
      </c>
      <c r="F78" t="s">
        <v>30</v>
      </c>
      <c r="G78" s="6">
        <v>44865</v>
      </c>
      <c r="H78">
        <v>2022</v>
      </c>
      <c r="I78" t="s">
        <v>53</v>
      </c>
      <c r="J78" t="s">
        <v>90</v>
      </c>
      <c r="K78">
        <v>80</v>
      </c>
      <c r="L78">
        <v>79.427055947965997</v>
      </c>
      <c r="M78">
        <v>0.99283819934957496</v>
      </c>
      <c r="N78">
        <v>0.99283819934957496</v>
      </c>
      <c r="O78" t="s">
        <v>31</v>
      </c>
      <c r="P78" t="s">
        <v>31</v>
      </c>
      <c r="Q78" t="s">
        <v>267</v>
      </c>
      <c r="R78">
        <v>0</v>
      </c>
      <c r="S78">
        <v>0</v>
      </c>
    </row>
    <row r="79" spans="1:19" hidden="1" x14ac:dyDescent="0.3">
      <c r="A79">
        <v>114</v>
      </c>
      <c r="B79" t="s">
        <v>125</v>
      </c>
      <c r="C79" t="s">
        <v>6622</v>
      </c>
      <c r="D79" t="s">
        <v>266</v>
      </c>
      <c r="E79" t="s">
        <v>98</v>
      </c>
      <c r="F79" t="s">
        <v>30</v>
      </c>
      <c r="G79" s="6">
        <v>45230</v>
      </c>
      <c r="H79">
        <v>2023</v>
      </c>
      <c r="I79" t="s">
        <v>53</v>
      </c>
      <c r="J79" t="s">
        <v>47</v>
      </c>
      <c r="K79">
        <v>80</v>
      </c>
      <c r="L79">
        <v>86.20923251499039</v>
      </c>
      <c r="M79">
        <v>1.07761540643738</v>
      </c>
      <c r="N79">
        <v>1.07761540643738</v>
      </c>
      <c r="O79" t="s">
        <v>31</v>
      </c>
      <c r="P79" t="s">
        <v>31</v>
      </c>
      <c r="Q79" t="s">
        <v>268</v>
      </c>
      <c r="R79">
        <v>0</v>
      </c>
      <c r="S79">
        <v>0</v>
      </c>
    </row>
    <row r="80" spans="1:19" hidden="1" x14ac:dyDescent="0.3">
      <c r="A80">
        <v>114</v>
      </c>
      <c r="B80" t="s">
        <v>125</v>
      </c>
      <c r="C80" t="s">
        <v>6622</v>
      </c>
      <c r="D80" t="s">
        <v>270</v>
      </c>
      <c r="E80" t="s">
        <v>98</v>
      </c>
      <c r="F80" t="s">
        <v>30</v>
      </c>
      <c r="G80" s="6">
        <v>45596</v>
      </c>
      <c r="H80">
        <v>2024</v>
      </c>
      <c r="I80" t="s">
        <v>53</v>
      </c>
      <c r="J80" t="s">
        <v>78</v>
      </c>
      <c r="K80">
        <v>80</v>
      </c>
      <c r="L80">
        <v>81</v>
      </c>
      <c r="M80">
        <v>1.0125</v>
      </c>
      <c r="N80">
        <v>1.0125</v>
      </c>
      <c r="O80" t="s">
        <v>31</v>
      </c>
      <c r="P80" t="s">
        <v>31</v>
      </c>
      <c r="Q80" t="s">
        <v>269</v>
      </c>
      <c r="R80">
        <v>0</v>
      </c>
      <c r="S80">
        <v>0</v>
      </c>
    </row>
    <row r="81" spans="1:19" hidden="1" x14ac:dyDescent="0.3">
      <c r="A81">
        <v>115</v>
      </c>
      <c r="B81" t="s">
        <v>125</v>
      </c>
      <c r="C81" t="s">
        <v>6622</v>
      </c>
      <c r="D81" t="s">
        <v>97</v>
      </c>
      <c r="E81" t="s">
        <v>98</v>
      </c>
      <c r="F81" t="s">
        <v>30</v>
      </c>
      <c r="G81" s="6">
        <v>45230</v>
      </c>
      <c r="H81">
        <v>2023</v>
      </c>
      <c r="I81" t="s">
        <v>53</v>
      </c>
      <c r="J81" t="s">
        <v>47</v>
      </c>
      <c r="K81">
        <v>80</v>
      </c>
      <c r="L81">
        <v>90.789405483854196</v>
      </c>
      <c r="M81">
        <v>1.1348675685481771</v>
      </c>
      <c r="N81">
        <v>1.1348675685481771</v>
      </c>
      <c r="O81" t="s">
        <v>31</v>
      </c>
      <c r="P81" t="s">
        <v>31</v>
      </c>
      <c r="Q81" t="s">
        <v>276</v>
      </c>
      <c r="R81">
        <v>0</v>
      </c>
      <c r="S81">
        <v>0</v>
      </c>
    </row>
    <row r="82" spans="1:19" hidden="1" x14ac:dyDescent="0.3">
      <c r="A82">
        <v>115</v>
      </c>
      <c r="B82" t="s">
        <v>125</v>
      </c>
      <c r="C82" t="s">
        <v>6622</v>
      </c>
      <c r="D82" t="s">
        <v>97</v>
      </c>
      <c r="E82" t="s">
        <v>98</v>
      </c>
      <c r="F82" t="s">
        <v>30</v>
      </c>
      <c r="G82" s="6">
        <v>45596</v>
      </c>
      <c r="H82">
        <v>2024</v>
      </c>
      <c r="I82" t="s">
        <v>53</v>
      </c>
      <c r="J82" t="s">
        <v>78</v>
      </c>
      <c r="K82">
        <v>80</v>
      </c>
      <c r="L82">
        <v>90</v>
      </c>
      <c r="M82">
        <v>1.125</v>
      </c>
      <c r="N82">
        <v>1.125</v>
      </c>
      <c r="O82" t="s">
        <v>31</v>
      </c>
      <c r="P82" t="s">
        <v>31</v>
      </c>
      <c r="Q82" t="s">
        <v>6690</v>
      </c>
      <c r="R82">
        <v>0</v>
      </c>
      <c r="S82">
        <v>0</v>
      </c>
    </row>
    <row r="83" spans="1:19" hidden="1" x14ac:dyDescent="0.3">
      <c r="A83">
        <v>117</v>
      </c>
      <c r="B83" t="s">
        <v>125</v>
      </c>
      <c r="C83" t="s">
        <v>6681</v>
      </c>
      <c r="D83" t="s">
        <v>299</v>
      </c>
      <c r="E83" t="s">
        <v>98</v>
      </c>
      <c r="F83" t="s">
        <v>30</v>
      </c>
      <c r="G83" s="6">
        <v>44865</v>
      </c>
      <c r="H83">
        <v>2022</v>
      </c>
      <c r="I83" t="s">
        <v>53</v>
      </c>
      <c r="J83" t="s">
        <v>90</v>
      </c>
      <c r="K83">
        <v>80</v>
      </c>
      <c r="L83">
        <v>86.602201544730292</v>
      </c>
      <c r="M83">
        <v>1.082527519309129</v>
      </c>
      <c r="N83">
        <v>1.082527519309129</v>
      </c>
      <c r="O83" t="s">
        <v>31</v>
      </c>
      <c r="P83" t="s">
        <v>31</v>
      </c>
      <c r="Q83" t="s">
        <v>300</v>
      </c>
      <c r="R83">
        <v>0</v>
      </c>
      <c r="S83">
        <v>0</v>
      </c>
    </row>
    <row r="84" spans="1:19" hidden="1" x14ac:dyDescent="0.3">
      <c r="A84">
        <v>117</v>
      </c>
      <c r="B84" t="s">
        <v>125</v>
      </c>
      <c r="C84" t="s">
        <v>6681</v>
      </c>
      <c r="D84" t="s">
        <v>299</v>
      </c>
      <c r="E84" t="s">
        <v>98</v>
      </c>
      <c r="F84" t="s">
        <v>30</v>
      </c>
      <c r="G84" s="6">
        <v>45230</v>
      </c>
      <c r="H84">
        <v>2023</v>
      </c>
      <c r="I84" t="s">
        <v>53</v>
      </c>
      <c r="J84" t="s">
        <v>47</v>
      </c>
      <c r="K84">
        <v>80</v>
      </c>
      <c r="L84">
        <v>90.107415856608498</v>
      </c>
      <c r="M84">
        <v>1.1263426982076059</v>
      </c>
      <c r="N84">
        <v>1.1263426982076059</v>
      </c>
      <c r="O84" t="s">
        <v>31</v>
      </c>
      <c r="P84" t="s">
        <v>31</v>
      </c>
      <c r="Q84" t="s">
        <v>301</v>
      </c>
      <c r="R84">
        <v>0</v>
      </c>
      <c r="S84">
        <v>0</v>
      </c>
    </row>
    <row r="85" spans="1:19" hidden="1" x14ac:dyDescent="0.3">
      <c r="A85">
        <v>117</v>
      </c>
      <c r="B85" t="s">
        <v>125</v>
      </c>
      <c r="C85" t="s">
        <v>6622</v>
      </c>
      <c r="D85" t="s">
        <v>299</v>
      </c>
      <c r="E85" t="s">
        <v>98</v>
      </c>
      <c r="F85" t="s">
        <v>30</v>
      </c>
      <c r="G85" s="6">
        <v>45596</v>
      </c>
      <c r="H85">
        <v>2024</v>
      </c>
      <c r="I85" t="s">
        <v>53</v>
      </c>
      <c r="J85" t="s">
        <v>78</v>
      </c>
      <c r="K85">
        <v>80</v>
      </c>
      <c r="L85">
        <v>89</v>
      </c>
      <c r="M85">
        <v>1.1125</v>
      </c>
      <c r="N85">
        <v>1.1125</v>
      </c>
      <c r="O85" t="s">
        <v>31</v>
      </c>
      <c r="P85" t="s">
        <v>31</v>
      </c>
      <c r="Q85" t="s">
        <v>302</v>
      </c>
      <c r="R85">
        <v>0</v>
      </c>
      <c r="S85">
        <v>0</v>
      </c>
    </row>
    <row r="86" spans="1:19" hidden="1" x14ac:dyDescent="0.3">
      <c r="A86">
        <v>118</v>
      </c>
      <c r="B86" t="s">
        <v>308</v>
      </c>
      <c r="C86" t="s">
        <v>6681</v>
      </c>
      <c r="D86" t="s">
        <v>305</v>
      </c>
      <c r="E86" t="s">
        <v>98</v>
      </c>
      <c r="F86" t="s">
        <v>30</v>
      </c>
      <c r="G86" s="6">
        <v>44865</v>
      </c>
      <c r="H86">
        <v>2022</v>
      </c>
      <c r="I86" t="s">
        <v>53</v>
      </c>
      <c r="J86" t="s">
        <v>90</v>
      </c>
      <c r="K86">
        <v>80</v>
      </c>
      <c r="L86">
        <v>88.120620620620599</v>
      </c>
      <c r="M86">
        <v>1.101507757757757</v>
      </c>
      <c r="N86">
        <v>1.101507757757757</v>
      </c>
      <c r="O86" t="s">
        <v>31</v>
      </c>
      <c r="P86" t="s">
        <v>31</v>
      </c>
      <c r="Q86" t="s">
        <v>306</v>
      </c>
      <c r="R86">
        <v>0</v>
      </c>
      <c r="S86">
        <v>0</v>
      </c>
    </row>
    <row r="87" spans="1:19" hidden="1" x14ac:dyDescent="0.3">
      <c r="A87">
        <v>121</v>
      </c>
      <c r="B87" t="s">
        <v>334</v>
      </c>
      <c r="C87" t="s">
        <v>6681</v>
      </c>
      <c r="D87" t="s">
        <v>262</v>
      </c>
      <c r="E87" t="s">
        <v>29</v>
      </c>
      <c r="F87" t="s">
        <v>108</v>
      </c>
      <c r="G87" s="6">
        <v>45869</v>
      </c>
      <c r="H87">
        <v>2025</v>
      </c>
      <c r="I87" t="s">
        <v>46</v>
      </c>
      <c r="J87" t="s">
        <v>103</v>
      </c>
      <c r="K87">
        <v>77148281</v>
      </c>
      <c r="L87">
        <v>86591186</v>
      </c>
      <c r="M87">
        <v>0.89094842747620984</v>
      </c>
      <c r="N87">
        <v>0.89094842747620984</v>
      </c>
      <c r="O87" t="s">
        <v>335</v>
      </c>
      <c r="P87" t="s">
        <v>335</v>
      </c>
      <c r="Q87" t="s">
        <v>393</v>
      </c>
      <c r="R87">
        <v>0</v>
      </c>
      <c r="S87">
        <v>0</v>
      </c>
    </row>
    <row r="88" spans="1:19" hidden="1" x14ac:dyDescent="0.3">
      <c r="A88">
        <v>122</v>
      </c>
      <c r="B88" t="s">
        <v>411</v>
      </c>
      <c r="C88" t="s">
        <v>6681</v>
      </c>
      <c r="D88" t="s">
        <v>309</v>
      </c>
      <c r="E88" t="s">
        <v>29</v>
      </c>
      <c r="F88" t="s">
        <v>30</v>
      </c>
      <c r="G88" s="6">
        <v>45900</v>
      </c>
      <c r="H88">
        <v>2025</v>
      </c>
      <c r="I88" t="s">
        <v>49</v>
      </c>
      <c r="J88" t="s">
        <v>103</v>
      </c>
      <c r="K88">
        <v>90</v>
      </c>
      <c r="L88">
        <v>75.930000000000007</v>
      </c>
      <c r="M88">
        <v>0.84366666666666679</v>
      </c>
      <c r="N88">
        <v>0.84366666666666679</v>
      </c>
      <c r="O88" t="s">
        <v>31</v>
      </c>
      <c r="P88" t="s">
        <v>31</v>
      </c>
      <c r="Q88" t="s">
        <v>438</v>
      </c>
      <c r="R88">
        <v>0</v>
      </c>
      <c r="S88">
        <v>0</v>
      </c>
    </row>
    <row r="89" spans="1:19" hidden="1" x14ac:dyDescent="0.3">
      <c r="A89">
        <v>124</v>
      </c>
      <c r="B89" t="s">
        <v>446</v>
      </c>
      <c r="C89" t="s">
        <v>6681</v>
      </c>
      <c r="D89" t="s">
        <v>97</v>
      </c>
      <c r="E89" t="s">
        <v>29</v>
      </c>
      <c r="F89" t="s">
        <v>108</v>
      </c>
      <c r="G89" s="6">
        <v>45869</v>
      </c>
      <c r="H89">
        <v>2025</v>
      </c>
      <c r="I89" t="s">
        <v>46</v>
      </c>
      <c r="J89" t="s">
        <v>103</v>
      </c>
      <c r="K89">
        <v>0.2</v>
      </c>
      <c r="L89">
        <v>4.1593957546555531E-2</v>
      </c>
      <c r="M89">
        <v>1</v>
      </c>
      <c r="N89">
        <v>1</v>
      </c>
      <c r="O89" t="s">
        <v>109</v>
      </c>
      <c r="P89" t="s">
        <v>109</v>
      </c>
      <c r="Q89" t="s">
        <v>496</v>
      </c>
      <c r="R89">
        <v>1</v>
      </c>
      <c r="S89">
        <v>2</v>
      </c>
    </row>
    <row r="90" spans="1:19" hidden="1" x14ac:dyDescent="0.3">
      <c r="A90">
        <v>125</v>
      </c>
      <c r="B90" t="s">
        <v>504</v>
      </c>
      <c r="C90" t="s">
        <v>6681</v>
      </c>
      <c r="D90" t="s">
        <v>97</v>
      </c>
      <c r="E90" t="s">
        <v>29</v>
      </c>
      <c r="F90" t="s">
        <v>108</v>
      </c>
      <c r="G90" s="6">
        <v>45869</v>
      </c>
      <c r="H90">
        <v>2025</v>
      </c>
      <c r="I90" t="s">
        <v>46</v>
      </c>
      <c r="J90" t="s">
        <v>103</v>
      </c>
      <c r="K90">
        <v>4.7</v>
      </c>
      <c r="L90">
        <v>0.1733533012110951</v>
      </c>
      <c r="M90">
        <v>1</v>
      </c>
      <c r="N90">
        <v>1</v>
      </c>
      <c r="O90" t="s">
        <v>109</v>
      </c>
      <c r="P90" t="s">
        <v>109</v>
      </c>
      <c r="Q90" t="s">
        <v>556</v>
      </c>
      <c r="R90">
        <v>1</v>
      </c>
      <c r="S90">
        <v>2</v>
      </c>
    </row>
    <row r="91" spans="1:19" hidden="1" x14ac:dyDescent="0.3">
      <c r="A91">
        <v>128</v>
      </c>
      <c r="B91" t="s">
        <v>579</v>
      </c>
      <c r="C91" t="s">
        <v>6681</v>
      </c>
      <c r="D91" t="s">
        <v>97</v>
      </c>
      <c r="E91" t="s">
        <v>29</v>
      </c>
      <c r="F91" t="s">
        <v>108</v>
      </c>
      <c r="G91" s="6">
        <v>45869</v>
      </c>
      <c r="H91">
        <v>2025</v>
      </c>
      <c r="I91" t="s">
        <v>46</v>
      </c>
      <c r="J91" t="s">
        <v>103</v>
      </c>
      <c r="K91">
        <v>1</v>
      </c>
      <c r="L91">
        <v>0.94</v>
      </c>
      <c r="M91">
        <v>1</v>
      </c>
      <c r="N91">
        <v>1</v>
      </c>
      <c r="O91" t="s">
        <v>118</v>
      </c>
      <c r="P91" t="s">
        <v>109</v>
      </c>
      <c r="Q91" t="s">
        <v>637</v>
      </c>
      <c r="R91">
        <v>0</v>
      </c>
      <c r="S91">
        <v>2</v>
      </c>
    </row>
    <row r="92" spans="1:19" hidden="1" x14ac:dyDescent="0.3">
      <c r="A92">
        <v>133</v>
      </c>
      <c r="B92" t="s">
        <v>125</v>
      </c>
      <c r="C92" t="s">
        <v>6681</v>
      </c>
      <c r="D92" t="s">
        <v>663</v>
      </c>
      <c r="E92" t="s">
        <v>98</v>
      </c>
      <c r="F92" t="s">
        <v>30</v>
      </c>
      <c r="G92" s="6">
        <v>44865</v>
      </c>
      <c r="H92">
        <v>2022</v>
      </c>
      <c r="I92" t="s">
        <v>53</v>
      </c>
      <c r="J92" t="s">
        <v>90</v>
      </c>
      <c r="K92">
        <v>80</v>
      </c>
      <c r="L92">
        <v>84.895356277709197</v>
      </c>
      <c r="M92">
        <v>1.061191953471365</v>
      </c>
      <c r="N92">
        <v>1.061191953471365</v>
      </c>
      <c r="O92" t="s">
        <v>31</v>
      </c>
      <c r="P92" t="s">
        <v>31</v>
      </c>
      <c r="Q92" t="s">
        <v>664</v>
      </c>
      <c r="R92">
        <v>0</v>
      </c>
      <c r="S92">
        <v>0</v>
      </c>
    </row>
    <row r="93" spans="1:19" hidden="1" x14ac:dyDescent="0.3">
      <c r="A93">
        <v>136</v>
      </c>
      <c r="B93" t="s">
        <v>671</v>
      </c>
      <c r="C93" t="s">
        <v>6681</v>
      </c>
      <c r="D93" t="s">
        <v>672</v>
      </c>
      <c r="E93" t="s">
        <v>222</v>
      </c>
      <c r="F93" t="s">
        <v>30</v>
      </c>
      <c r="G93" s="6">
        <v>45473</v>
      </c>
      <c r="H93">
        <v>2024</v>
      </c>
      <c r="I93" t="s">
        <v>44</v>
      </c>
      <c r="J93" t="s">
        <v>71</v>
      </c>
      <c r="K93">
        <v>90</v>
      </c>
      <c r="L93">
        <v>95.24</v>
      </c>
      <c r="M93">
        <v>1.058222222222222</v>
      </c>
      <c r="N93">
        <v>1.058222222222222</v>
      </c>
      <c r="O93" t="s">
        <v>31</v>
      </c>
      <c r="P93" t="s">
        <v>31</v>
      </c>
      <c r="Q93" t="s">
        <v>675</v>
      </c>
      <c r="R93">
        <v>0</v>
      </c>
      <c r="S93">
        <v>0</v>
      </c>
    </row>
    <row r="94" spans="1:19" hidden="1" x14ac:dyDescent="0.3">
      <c r="A94">
        <v>137</v>
      </c>
      <c r="B94" t="s">
        <v>677</v>
      </c>
      <c r="C94" t="s">
        <v>6681</v>
      </c>
      <c r="D94" t="s">
        <v>672</v>
      </c>
      <c r="E94" t="s">
        <v>233</v>
      </c>
      <c r="F94" t="s">
        <v>30</v>
      </c>
      <c r="G94" s="6">
        <v>45473</v>
      </c>
      <c r="H94">
        <v>2024</v>
      </c>
      <c r="I94" t="s">
        <v>44</v>
      </c>
      <c r="J94" t="s">
        <v>71</v>
      </c>
      <c r="K94">
        <v>90</v>
      </c>
      <c r="L94">
        <v>100</v>
      </c>
      <c r="M94">
        <v>1.1111111111111109</v>
      </c>
      <c r="N94">
        <v>1.1111111111111109</v>
      </c>
      <c r="O94" t="s">
        <v>118</v>
      </c>
      <c r="P94" t="s">
        <v>118</v>
      </c>
      <c r="Q94" t="s">
        <v>682</v>
      </c>
      <c r="R94">
        <v>0</v>
      </c>
      <c r="S94">
        <v>0</v>
      </c>
    </row>
    <row r="95" spans="1:19" hidden="1" x14ac:dyDescent="0.3">
      <c r="A95">
        <v>139</v>
      </c>
      <c r="B95" t="s">
        <v>684</v>
      </c>
      <c r="C95" t="s">
        <v>6681</v>
      </c>
      <c r="D95" t="s">
        <v>672</v>
      </c>
      <c r="E95" t="s">
        <v>29</v>
      </c>
      <c r="F95" t="s">
        <v>108</v>
      </c>
      <c r="G95" s="6">
        <v>45504</v>
      </c>
      <c r="H95">
        <v>2024</v>
      </c>
      <c r="I95" t="s">
        <v>46</v>
      </c>
      <c r="J95" t="s">
        <v>78</v>
      </c>
      <c r="K95">
        <v>1338.6143959999999</v>
      </c>
      <c r="L95">
        <v>1214.7518809999999</v>
      </c>
      <c r="M95">
        <v>1.101965279442938</v>
      </c>
      <c r="N95">
        <v>1.101965279442938</v>
      </c>
      <c r="O95" t="s">
        <v>335</v>
      </c>
      <c r="P95" t="s">
        <v>335</v>
      </c>
      <c r="Q95" t="s">
        <v>703</v>
      </c>
      <c r="R95">
        <v>0</v>
      </c>
      <c r="S95">
        <v>0</v>
      </c>
    </row>
    <row r="96" spans="1:19" hidden="1" x14ac:dyDescent="0.3">
      <c r="A96">
        <v>139</v>
      </c>
      <c r="B96" t="s">
        <v>684</v>
      </c>
      <c r="C96" t="s">
        <v>6681</v>
      </c>
      <c r="D96" t="s">
        <v>672</v>
      </c>
      <c r="E96" t="s">
        <v>29</v>
      </c>
      <c r="F96" t="s">
        <v>108</v>
      </c>
      <c r="G96" s="6">
        <v>45838</v>
      </c>
      <c r="H96">
        <v>2025</v>
      </c>
      <c r="I96" t="s">
        <v>44</v>
      </c>
      <c r="J96" t="s">
        <v>244</v>
      </c>
      <c r="K96">
        <v>588.27781200000004</v>
      </c>
      <c r="L96">
        <v>423.52072099999998</v>
      </c>
      <c r="M96">
        <v>1.3</v>
      </c>
      <c r="N96">
        <v>1.3890177807852759</v>
      </c>
      <c r="O96" t="s">
        <v>335</v>
      </c>
      <c r="P96" t="s">
        <v>335</v>
      </c>
      <c r="Q96" t="s">
        <v>714</v>
      </c>
      <c r="R96">
        <v>0</v>
      </c>
      <c r="S96">
        <v>0</v>
      </c>
    </row>
    <row r="97" spans="1:19" hidden="1" x14ac:dyDescent="0.3">
      <c r="A97">
        <v>143</v>
      </c>
      <c r="B97" t="s">
        <v>766</v>
      </c>
      <c r="C97" t="s">
        <v>6681</v>
      </c>
      <c r="D97" t="s">
        <v>760</v>
      </c>
      <c r="E97" t="s">
        <v>222</v>
      </c>
      <c r="F97" t="s">
        <v>30</v>
      </c>
      <c r="G97" s="6">
        <v>45838</v>
      </c>
      <c r="H97">
        <v>2025</v>
      </c>
      <c r="I97" t="s">
        <v>44</v>
      </c>
      <c r="J97" t="s">
        <v>244</v>
      </c>
      <c r="L97">
        <v>159</v>
      </c>
      <c r="O97" t="s">
        <v>761</v>
      </c>
      <c r="Q97" t="s">
        <v>769</v>
      </c>
      <c r="R97">
        <v>0</v>
      </c>
      <c r="S97">
        <v>0</v>
      </c>
    </row>
    <row r="98" spans="1:19" hidden="1" x14ac:dyDescent="0.3">
      <c r="A98">
        <v>145</v>
      </c>
      <c r="B98" t="s">
        <v>782</v>
      </c>
      <c r="C98" t="s">
        <v>6681</v>
      </c>
      <c r="D98" t="s">
        <v>146</v>
      </c>
      <c r="E98" t="s">
        <v>222</v>
      </c>
      <c r="F98" t="s">
        <v>30</v>
      </c>
      <c r="G98" s="6">
        <v>45473</v>
      </c>
      <c r="H98">
        <v>2024</v>
      </c>
      <c r="I98" t="s">
        <v>44</v>
      </c>
      <c r="J98" t="s">
        <v>71</v>
      </c>
      <c r="K98">
        <v>1</v>
      </c>
      <c r="L98">
        <v>1.97</v>
      </c>
      <c r="M98">
        <v>1.3</v>
      </c>
      <c r="N98">
        <v>1.97</v>
      </c>
      <c r="O98" t="s">
        <v>118</v>
      </c>
      <c r="P98" t="s">
        <v>109</v>
      </c>
      <c r="Q98" t="s">
        <v>785</v>
      </c>
      <c r="R98">
        <v>0</v>
      </c>
      <c r="S98">
        <v>2</v>
      </c>
    </row>
    <row r="99" spans="1:19" hidden="1" x14ac:dyDescent="0.3">
      <c r="A99">
        <v>145</v>
      </c>
      <c r="B99" t="s">
        <v>782</v>
      </c>
      <c r="C99" t="s">
        <v>6622</v>
      </c>
      <c r="D99" t="s">
        <v>146</v>
      </c>
      <c r="E99" t="s">
        <v>222</v>
      </c>
      <c r="F99" t="s">
        <v>30</v>
      </c>
      <c r="G99" s="6">
        <v>45838</v>
      </c>
      <c r="H99">
        <v>2025</v>
      </c>
      <c r="I99" t="s">
        <v>44</v>
      </c>
      <c r="J99" t="s">
        <v>244</v>
      </c>
      <c r="K99">
        <v>1</v>
      </c>
      <c r="L99">
        <v>1.74</v>
      </c>
      <c r="M99">
        <v>1.3</v>
      </c>
      <c r="N99">
        <v>1.74</v>
      </c>
      <c r="O99" t="s">
        <v>118</v>
      </c>
      <c r="P99" t="s">
        <v>109</v>
      </c>
      <c r="Q99" t="s">
        <v>789</v>
      </c>
      <c r="R99">
        <v>0</v>
      </c>
      <c r="S99">
        <v>2</v>
      </c>
    </row>
    <row r="100" spans="1:19" hidden="1" x14ac:dyDescent="0.3">
      <c r="A100">
        <v>146</v>
      </c>
      <c r="B100" t="s">
        <v>794</v>
      </c>
      <c r="C100" t="s">
        <v>6681</v>
      </c>
      <c r="D100" t="s">
        <v>760</v>
      </c>
      <c r="E100" t="s">
        <v>222</v>
      </c>
      <c r="F100" t="s">
        <v>30</v>
      </c>
      <c r="G100" s="6">
        <v>45473</v>
      </c>
      <c r="H100">
        <v>2024</v>
      </c>
      <c r="I100" t="s">
        <v>44</v>
      </c>
      <c r="J100" t="s">
        <v>71</v>
      </c>
      <c r="K100">
        <v>294</v>
      </c>
      <c r="L100">
        <v>334</v>
      </c>
      <c r="M100">
        <v>1.136054421768707</v>
      </c>
      <c r="N100">
        <v>1.136054421768707</v>
      </c>
      <c r="O100" t="s">
        <v>118</v>
      </c>
      <c r="P100" t="s">
        <v>118</v>
      </c>
      <c r="Q100" t="s">
        <v>797</v>
      </c>
      <c r="R100">
        <v>0</v>
      </c>
      <c r="S100">
        <v>0</v>
      </c>
    </row>
    <row r="101" spans="1:19" hidden="1" x14ac:dyDescent="0.3">
      <c r="A101">
        <v>146</v>
      </c>
      <c r="B101" t="s">
        <v>794</v>
      </c>
      <c r="C101" t="s">
        <v>6622</v>
      </c>
      <c r="D101" t="s">
        <v>760</v>
      </c>
      <c r="E101" t="s">
        <v>222</v>
      </c>
      <c r="F101" t="s">
        <v>30</v>
      </c>
      <c r="G101" s="6">
        <v>45838</v>
      </c>
      <c r="H101">
        <v>2025</v>
      </c>
      <c r="I101" t="s">
        <v>44</v>
      </c>
      <c r="J101" t="s">
        <v>244</v>
      </c>
      <c r="K101">
        <v>300</v>
      </c>
      <c r="L101">
        <v>321</v>
      </c>
      <c r="M101">
        <v>1.07</v>
      </c>
      <c r="N101">
        <v>1.07</v>
      </c>
      <c r="O101" t="s">
        <v>118</v>
      </c>
      <c r="P101" t="s">
        <v>118</v>
      </c>
      <c r="Q101" t="s">
        <v>801</v>
      </c>
      <c r="R101">
        <v>0</v>
      </c>
      <c r="S101">
        <v>0</v>
      </c>
    </row>
    <row r="102" spans="1:19" hidden="1" x14ac:dyDescent="0.3">
      <c r="A102">
        <v>148</v>
      </c>
      <c r="B102" t="s">
        <v>817</v>
      </c>
      <c r="C102" t="s">
        <v>6681</v>
      </c>
      <c r="D102" t="s">
        <v>146</v>
      </c>
      <c r="E102" t="s">
        <v>222</v>
      </c>
      <c r="F102" t="s">
        <v>30</v>
      </c>
      <c r="G102" s="6">
        <v>46023</v>
      </c>
      <c r="H102" t="s">
        <v>6623</v>
      </c>
      <c r="I102" t="s">
        <v>6623</v>
      </c>
      <c r="J102" t="s">
        <v>6623</v>
      </c>
      <c r="K102">
        <v>5</v>
      </c>
      <c r="L102">
        <v>6.78</v>
      </c>
      <c r="M102">
        <v>1.3</v>
      </c>
      <c r="N102">
        <v>1.3560000000000001</v>
      </c>
      <c r="O102" t="s">
        <v>31</v>
      </c>
      <c r="P102" t="s">
        <v>31</v>
      </c>
      <c r="Q102" t="s">
        <v>6691</v>
      </c>
      <c r="R102">
        <v>0</v>
      </c>
      <c r="S102">
        <v>1</v>
      </c>
    </row>
    <row r="103" spans="1:19" hidden="1" x14ac:dyDescent="0.3">
      <c r="A103">
        <v>150</v>
      </c>
      <c r="B103" t="s">
        <v>125</v>
      </c>
      <c r="C103" t="s">
        <v>6681</v>
      </c>
      <c r="D103" t="s">
        <v>760</v>
      </c>
      <c r="E103" t="s">
        <v>98</v>
      </c>
      <c r="F103" t="s">
        <v>30</v>
      </c>
      <c r="G103" s="6">
        <v>44865</v>
      </c>
      <c r="H103">
        <v>2022</v>
      </c>
      <c r="I103" t="s">
        <v>53</v>
      </c>
      <c r="J103" t="s">
        <v>90</v>
      </c>
      <c r="K103">
        <v>80</v>
      </c>
      <c r="L103">
        <v>73.639994105511391</v>
      </c>
      <c r="M103">
        <v>0.92049992631889244</v>
      </c>
      <c r="N103">
        <v>0.92049992631889244</v>
      </c>
      <c r="O103" t="s">
        <v>31</v>
      </c>
      <c r="P103" t="s">
        <v>31</v>
      </c>
      <c r="Q103" t="s">
        <v>828</v>
      </c>
      <c r="R103">
        <v>0</v>
      </c>
      <c r="S103">
        <v>0</v>
      </c>
    </row>
    <row r="104" spans="1:19" hidden="1" x14ac:dyDescent="0.3">
      <c r="A104">
        <v>159</v>
      </c>
      <c r="B104" t="s">
        <v>125</v>
      </c>
      <c r="C104" t="s">
        <v>6622</v>
      </c>
      <c r="D104" t="s">
        <v>842</v>
      </c>
      <c r="E104" t="s">
        <v>222</v>
      </c>
      <c r="F104" t="s">
        <v>30</v>
      </c>
      <c r="G104" s="6">
        <v>45838</v>
      </c>
      <c r="H104">
        <v>2025</v>
      </c>
      <c r="I104" t="s">
        <v>44</v>
      </c>
      <c r="J104" t="s">
        <v>244</v>
      </c>
      <c r="K104">
        <v>80</v>
      </c>
      <c r="L104">
        <v>100</v>
      </c>
      <c r="M104">
        <v>1.25</v>
      </c>
      <c r="N104">
        <v>1.25</v>
      </c>
      <c r="O104" t="s">
        <v>31</v>
      </c>
      <c r="P104" t="s">
        <v>31</v>
      </c>
      <c r="Q104" t="s">
        <v>850</v>
      </c>
      <c r="R104">
        <v>0</v>
      </c>
      <c r="S104">
        <v>0</v>
      </c>
    </row>
    <row r="105" spans="1:19" hidden="1" x14ac:dyDescent="0.3">
      <c r="A105">
        <v>167</v>
      </c>
      <c r="B105" t="s">
        <v>853</v>
      </c>
      <c r="C105" t="s">
        <v>6681</v>
      </c>
      <c r="D105" t="s">
        <v>262</v>
      </c>
      <c r="E105" t="s">
        <v>222</v>
      </c>
      <c r="F105" t="s">
        <v>30</v>
      </c>
      <c r="G105" s="6">
        <v>45838</v>
      </c>
      <c r="H105">
        <v>2025</v>
      </c>
      <c r="I105" t="s">
        <v>44</v>
      </c>
      <c r="J105" t="s">
        <v>244</v>
      </c>
      <c r="K105">
        <v>90</v>
      </c>
      <c r="L105">
        <v>93.63</v>
      </c>
      <c r="M105">
        <v>1.0403333333333331</v>
      </c>
      <c r="N105">
        <v>1.0403333333333331</v>
      </c>
      <c r="O105" t="s">
        <v>31</v>
      </c>
      <c r="P105" t="s">
        <v>31</v>
      </c>
      <c r="Q105" t="s">
        <v>860</v>
      </c>
      <c r="R105">
        <v>0</v>
      </c>
      <c r="S105">
        <v>1</v>
      </c>
    </row>
    <row r="106" spans="1:19" hidden="1" x14ac:dyDescent="0.3">
      <c r="A106">
        <v>171</v>
      </c>
      <c r="B106" t="s">
        <v>863</v>
      </c>
      <c r="C106" t="s">
        <v>6681</v>
      </c>
      <c r="D106" t="s">
        <v>309</v>
      </c>
      <c r="E106" t="s">
        <v>284</v>
      </c>
      <c r="F106" t="s">
        <v>108</v>
      </c>
      <c r="G106" s="6">
        <v>45107</v>
      </c>
      <c r="H106">
        <v>2023</v>
      </c>
      <c r="I106" t="s">
        <v>44</v>
      </c>
      <c r="J106" t="s">
        <v>33</v>
      </c>
      <c r="K106">
        <v>15</v>
      </c>
      <c r="L106">
        <v>6.21</v>
      </c>
      <c r="M106">
        <v>1.3</v>
      </c>
      <c r="N106">
        <v>2.4154589371980681</v>
      </c>
      <c r="O106" t="s">
        <v>118</v>
      </c>
      <c r="P106" t="s">
        <v>109</v>
      </c>
      <c r="Q106" t="s">
        <v>866</v>
      </c>
      <c r="R106">
        <v>1</v>
      </c>
      <c r="S106">
        <v>1</v>
      </c>
    </row>
    <row r="107" spans="1:19" hidden="1" x14ac:dyDescent="0.3">
      <c r="A107">
        <v>172</v>
      </c>
      <c r="B107" t="s">
        <v>868</v>
      </c>
      <c r="C107" t="s">
        <v>6681</v>
      </c>
      <c r="D107" t="s">
        <v>309</v>
      </c>
      <c r="E107" t="s">
        <v>29</v>
      </c>
      <c r="F107" t="s">
        <v>30</v>
      </c>
      <c r="G107" s="6">
        <v>45869</v>
      </c>
      <c r="H107">
        <v>2025</v>
      </c>
      <c r="I107" t="s">
        <v>46</v>
      </c>
      <c r="J107" t="s">
        <v>103</v>
      </c>
      <c r="K107">
        <v>95</v>
      </c>
      <c r="L107">
        <v>91.43</v>
      </c>
      <c r="M107">
        <v>0.96242105263157907</v>
      </c>
      <c r="N107">
        <v>0.96242105263157907</v>
      </c>
      <c r="O107" t="s">
        <v>31</v>
      </c>
      <c r="P107" t="s">
        <v>31</v>
      </c>
      <c r="Q107" t="s">
        <v>913</v>
      </c>
      <c r="R107">
        <v>0</v>
      </c>
      <c r="S107">
        <v>0</v>
      </c>
    </row>
    <row r="108" spans="1:19" hidden="1" x14ac:dyDescent="0.3">
      <c r="A108">
        <v>174</v>
      </c>
      <c r="B108" t="s">
        <v>929</v>
      </c>
      <c r="C108" t="s">
        <v>6681</v>
      </c>
      <c r="D108" t="s">
        <v>309</v>
      </c>
      <c r="E108" t="s">
        <v>222</v>
      </c>
      <c r="F108" t="s">
        <v>30</v>
      </c>
      <c r="G108" s="6">
        <v>45473</v>
      </c>
      <c r="H108">
        <v>2024</v>
      </c>
      <c r="I108" t="s">
        <v>44</v>
      </c>
      <c r="J108" t="s">
        <v>71</v>
      </c>
      <c r="O108" t="s">
        <v>31</v>
      </c>
      <c r="P108" t="s">
        <v>31</v>
      </c>
      <c r="Q108" t="s">
        <v>932</v>
      </c>
      <c r="R108">
        <v>0</v>
      </c>
      <c r="S108">
        <v>0</v>
      </c>
    </row>
    <row r="109" spans="1:19" hidden="1" x14ac:dyDescent="0.3">
      <c r="A109">
        <v>193</v>
      </c>
      <c r="B109" t="s">
        <v>6692</v>
      </c>
      <c r="C109" t="s">
        <v>6622</v>
      </c>
      <c r="D109" t="s">
        <v>717</v>
      </c>
      <c r="E109" t="s">
        <v>222</v>
      </c>
      <c r="F109" t="s">
        <v>30</v>
      </c>
      <c r="G109" s="6">
        <v>46023</v>
      </c>
      <c r="H109" t="s">
        <v>6623</v>
      </c>
      <c r="I109" t="s">
        <v>6623</v>
      </c>
      <c r="J109" t="s">
        <v>6623</v>
      </c>
      <c r="K109">
        <v>94</v>
      </c>
      <c r="L109">
        <v>95</v>
      </c>
      <c r="M109">
        <v>1.0106382978723401</v>
      </c>
      <c r="N109">
        <v>1.0106382978723401</v>
      </c>
      <c r="O109" t="s">
        <v>31</v>
      </c>
      <c r="P109" t="s">
        <v>31</v>
      </c>
      <c r="Q109" t="s">
        <v>6693</v>
      </c>
      <c r="R109">
        <v>1</v>
      </c>
      <c r="S109">
        <v>1</v>
      </c>
    </row>
    <row r="110" spans="1:19" hidden="1" x14ac:dyDescent="0.3">
      <c r="A110">
        <v>194</v>
      </c>
      <c r="B110" t="s">
        <v>976</v>
      </c>
      <c r="C110" t="s">
        <v>6622</v>
      </c>
      <c r="D110" t="s">
        <v>717</v>
      </c>
      <c r="E110" t="s">
        <v>222</v>
      </c>
      <c r="F110" t="s">
        <v>30</v>
      </c>
      <c r="G110" s="6">
        <v>46023</v>
      </c>
      <c r="H110" t="s">
        <v>6623</v>
      </c>
      <c r="I110" t="s">
        <v>6623</v>
      </c>
      <c r="J110" t="s">
        <v>6623</v>
      </c>
      <c r="K110">
        <v>85</v>
      </c>
      <c r="L110">
        <v>89.9</v>
      </c>
      <c r="M110">
        <v>1.0576470588235289</v>
      </c>
      <c r="N110">
        <v>1.0576470588235289</v>
      </c>
      <c r="O110" t="s">
        <v>31</v>
      </c>
      <c r="P110" t="s">
        <v>31</v>
      </c>
      <c r="Q110" t="s">
        <v>6694</v>
      </c>
      <c r="R110">
        <v>0</v>
      </c>
      <c r="S110">
        <v>0</v>
      </c>
    </row>
    <row r="111" spans="1:19" hidden="1" x14ac:dyDescent="0.3">
      <c r="A111">
        <v>197</v>
      </c>
      <c r="B111" t="s">
        <v>996</v>
      </c>
      <c r="C111" t="s">
        <v>6622</v>
      </c>
      <c r="D111" t="s">
        <v>251</v>
      </c>
      <c r="E111" t="s">
        <v>233</v>
      </c>
      <c r="F111" t="s">
        <v>30</v>
      </c>
      <c r="G111" s="6">
        <v>45838</v>
      </c>
      <c r="H111">
        <v>2025</v>
      </c>
      <c r="I111" t="s">
        <v>44</v>
      </c>
      <c r="J111" t="s">
        <v>244</v>
      </c>
      <c r="K111">
        <v>97</v>
      </c>
      <c r="L111">
        <v>94.19</v>
      </c>
      <c r="M111">
        <v>0.97103092783505152</v>
      </c>
      <c r="N111">
        <v>0.97103092783505152</v>
      </c>
      <c r="O111" t="s">
        <v>31</v>
      </c>
      <c r="P111" t="s">
        <v>31</v>
      </c>
      <c r="Q111" t="s">
        <v>1009</v>
      </c>
      <c r="R111">
        <v>0</v>
      </c>
      <c r="S111">
        <v>0</v>
      </c>
    </row>
    <row r="112" spans="1:19" hidden="1" x14ac:dyDescent="0.3">
      <c r="A112">
        <v>199</v>
      </c>
      <c r="B112" t="s">
        <v>1012</v>
      </c>
      <c r="C112" t="s">
        <v>6681</v>
      </c>
      <c r="D112" t="s">
        <v>262</v>
      </c>
      <c r="E112" t="s">
        <v>222</v>
      </c>
      <c r="F112" t="s">
        <v>30</v>
      </c>
      <c r="G112" s="6">
        <v>45838</v>
      </c>
      <c r="H112">
        <v>2025</v>
      </c>
      <c r="I112" t="s">
        <v>44</v>
      </c>
      <c r="J112" t="s">
        <v>244</v>
      </c>
      <c r="K112">
        <v>80</v>
      </c>
      <c r="L112">
        <v>92.1</v>
      </c>
      <c r="M112">
        <v>1.1512500000000001</v>
      </c>
      <c r="N112">
        <v>1.1512500000000001</v>
      </c>
      <c r="O112" t="s">
        <v>31</v>
      </c>
      <c r="P112" t="s">
        <v>31</v>
      </c>
      <c r="Q112" t="s">
        <v>1019</v>
      </c>
      <c r="R112">
        <v>0</v>
      </c>
      <c r="S112">
        <v>0</v>
      </c>
    </row>
    <row r="113" spans="1:19" hidden="1" x14ac:dyDescent="0.3">
      <c r="A113">
        <v>200</v>
      </c>
      <c r="B113" t="s">
        <v>1040</v>
      </c>
      <c r="C113" t="s">
        <v>6622</v>
      </c>
      <c r="D113" t="s">
        <v>262</v>
      </c>
      <c r="E113" t="s">
        <v>98</v>
      </c>
      <c r="F113" t="s">
        <v>30</v>
      </c>
      <c r="G113" s="6">
        <v>46023</v>
      </c>
      <c r="H113" t="s">
        <v>6623</v>
      </c>
      <c r="I113" t="s">
        <v>6623</v>
      </c>
      <c r="J113" t="s">
        <v>6623</v>
      </c>
      <c r="K113">
        <v>87</v>
      </c>
      <c r="L113">
        <v>90.85</v>
      </c>
      <c r="M113">
        <v>1.0442528735632179</v>
      </c>
      <c r="N113">
        <v>1.0442528735632179</v>
      </c>
      <c r="O113" t="s">
        <v>31</v>
      </c>
      <c r="P113" t="s">
        <v>31</v>
      </c>
      <c r="Q113" t="s">
        <v>6695</v>
      </c>
      <c r="R113">
        <v>0</v>
      </c>
      <c r="S113">
        <v>1</v>
      </c>
    </row>
    <row r="114" spans="1:19" hidden="1" x14ac:dyDescent="0.3">
      <c r="A114">
        <v>202</v>
      </c>
      <c r="B114" t="s">
        <v>1049</v>
      </c>
      <c r="C114" t="s">
        <v>6622</v>
      </c>
      <c r="D114" t="s">
        <v>262</v>
      </c>
      <c r="E114" t="s">
        <v>98</v>
      </c>
      <c r="F114" t="s">
        <v>30</v>
      </c>
      <c r="G114" s="6">
        <v>46023</v>
      </c>
      <c r="H114" t="s">
        <v>6623</v>
      </c>
      <c r="I114" t="s">
        <v>6623</v>
      </c>
      <c r="J114" t="s">
        <v>6623</v>
      </c>
      <c r="K114">
        <v>68.7</v>
      </c>
      <c r="L114">
        <v>81</v>
      </c>
      <c r="M114">
        <v>1.179039301310044</v>
      </c>
      <c r="N114">
        <v>1.179039301310044</v>
      </c>
      <c r="O114" t="s">
        <v>109</v>
      </c>
      <c r="P114" t="s">
        <v>109</v>
      </c>
      <c r="Q114" t="s">
        <v>6696</v>
      </c>
      <c r="R114">
        <v>1</v>
      </c>
      <c r="S114">
        <v>0</v>
      </c>
    </row>
    <row r="115" spans="1:19" hidden="1" x14ac:dyDescent="0.3">
      <c r="A115">
        <v>203</v>
      </c>
      <c r="B115" t="s">
        <v>1057</v>
      </c>
      <c r="C115" t="s">
        <v>6622</v>
      </c>
      <c r="D115" t="s">
        <v>225</v>
      </c>
      <c r="E115" t="s">
        <v>222</v>
      </c>
      <c r="F115" t="s">
        <v>30</v>
      </c>
      <c r="G115" s="6">
        <v>46023</v>
      </c>
      <c r="H115" t="s">
        <v>6623</v>
      </c>
      <c r="I115" t="s">
        <v>6623</v>
      </c>
      <c r="J115" t="s">
        <v>6623</v>
      </c>
      <c r="K115">
        <v>1088227.5892360001</v>
      </c>
      <c r="L115">
        <v>1157792.5697009999</v>
      </c>
      <c r="M115">
        <v>1.0639250292430451</v>
      </c>
      <c r="N115">
        <v>1.0639250292430451</v>
      </c>
      <c r="O115" t="s">
        <v>335</v>
      </c>
      <c r="P115" t="s">
        <v>335</v>
      </c>
      <c r="Q115" t="s">
        <v>6697</v>
      </c>
      <c r="R115">
        <v>0</v>
      </c>
      <c r="S115">
        <v>0</v>
      </c>
    </row>
    <row r="116" spans="1:19" hidden="1" x14ac:dyDescent="0.3">
      <c r="A116">
        <v>204</v>
      </c>
      <c r="B116" t="s">
        <v>1071</v>
      </c>
      <c r="C116" t="s">
        <v>6622</v>
      </c>
      <c r="D116" t="s">
        <v>225</v>
      </c>
      <c r="E116" t="s">
        <v>222</v>
      </c>
      <c r="F116" t="s">
        <v>30</v>
      </c>
      <c r="G116" s="6">
        <v>44925</v>
      </c>
      <c r="H116">
        <v>2022</v>
      </c>
      <c r="I116" t="s">
        <v>57</v>
      </c>
      <c r="J116" t="s">
        <v>90</v>
      </c>
      <c r="K116">
        <v>82987</v>
      </c>
      <c r="L116">
        <v>18386</v>
      </c>
      <c r="M116">
        <v>0.22155277332594259</v>
      </c>
      <c r="N116">
        <v>0.22155277332594259</v>
      </c>
      <c r="O116" t="s">
        <v>335</v>
      </c>
      <c r="P116" t="s">
        <v>335</v>
      </c>
      <c r="Q116" t="s">
        <v>1073</v>
      </c>
      <c r="R116">
        <v>0</v>
      </c>
      <c r="S116">
        <v>0</v>
      </c>
    </row>
    <row r="117" spans="1:19" hidden="1" x14ac:dyDescent="0.3">
      <c r="A117">
        <v>204</v>
      </c>
      <c r="B117" t="s">
        <v>1071</v>
      </c>
      <c r="C117" t="s">
        <v>6622</v>
      </c>
      <c r="D117" t="s">
        <v>225</v>
      </c>
      <c r="E117" t="s">
        <v>222</v>
      </c>
      <c r="F117" t="s">
        <v>30</v>
      </c>
      <c r="G117" s="6">
        <v>46023</v>
      </c>
      <c r="H117" t="s">
        <v>6623</v>
      </c>
      <c r="I117" t="s">
        <v>6623</v>
      </c>
      <c r="J117" t="s">
        <v>6623</v>
      </c>
      <c r="K117">
        <v>128448.131182</v>
      </c>
      <c r="L117">
        <v>195548.38737499999</v>
      </c>
      <c r="M117">
        <v>1.3</v>
      </c>
      <c r="N117">
        <v>1.522391844673276</v>
      </c>
      <c r="O117" t="s">
        <v>335</v>
      </c>
      <c r="P117" t="s">
        <v>335</v>
      </c>
      <c r="Q117" t="s">
        <v>6698</v>
      </c>
      <c r="R117">
        <v>0</v>
      </c>
      <c r="S117">
        <v>0</v>
      </c>
    </row>
    <row r="118" spans="1:19" hidden="1" x14ac:dyDescent="0.3">
      <c r="A118">
        <v>205</v>
      </c>
      <c r="B118" t="s">
        <v>1085</v>
      </c>
      <c r="C118" t="s">
        <v>6622</v>
      </c>
      <c r="D118" t="s">
        <v>225</v>
      </c>
      <c r="E118" t="s">
        <v>222</v>
      </c>
      <c r="F118" t="s">
        <v>30</v>
      </c>
      <c r="G118" s="6">
        <v>46023</v>
      </c>
      <c r="H118" t="s">
        <v>6623</v>
      </c>
      <c r="I118" t="s">
        <v>6623</v>
      </c>
      <c r="J118" t="s">
        <v>6623</v>
      </c>
      <c r="K118">
        <v>12114.161722000001</v>
      </c>
      <c r="L118">
        <v>22218.416439000001</v>
      </c>
      <c r="M118">
        <v>1.3</v>
      </c>
      <c r="N118">
        <v>1.834086166990003</v>
      </c>
      <c r="O118" t="s">
        <v>335</v>
      </c>
      <c r="P118" t="s">
        <v>335</v>
      </c>
      <c r="Q118" t="s">
        <v>6699</v>
      </c>
      <c r="R118">
        <v>0</v>
      </c>
      <c r="S118">
        <v>0</v>
      </c>
    </row>
    <row r="119" spans="1:19" hidden="1" x14ac:dyDescent="0.3">
      <c r="A119">
        <v>206</v>
      </c>
      <c r="B119" t="s">
        <v>6700</v>
      </c>
      <c r="C119" t="s">
        <v>6622</v>
      </c>
      <c r="D119" t="s">
        <v>225</v>
      </c>
      <c r="E119" t="s">
        <v>222</v>
      </c>
      <c r="F119" t="s">
        <v>30</v>
      </c>
      <c r="G119" s="6">
        <v>46023</v>
      </c>
      <c r="H119" t="s">
        <v>6623</v>
      </c>
      <c r="I119" t="s">
        <v>6623</v>
      </c>
      <c r="J119" t="s">
        <v>6623</v>
      </c>
      <c r="K119">
        <v>1</v>
      </c>
      <c r="L119">
        <v>1.37</v>
      </c>
      <c r="M119">
        <v>1.3</v>
      </c>
      <c r="N119">
        <v>1.37</v>
      </c>
      <c r="O119" t="s">
        <v>31</v>
      </c>
      <c r="P119" t="s">
        <v>31</v>
      </c>
      <c r="Q119" t="s">
        <v>6701</v>
      </c>
      <c r="R119">
        <v>0</v>
      </c>
      <c r="S119">
        <v>2</v>
      </c>
    </row>
    <row r="120" spans="1:19" hidden="1" x14ac:dyDescent="0.3">
      <c r="A120">
        <v>207</v>
      </c>
      <c r="B120" t="s">
        <v>1105</v>
      </c>
      <c r="C120" t="s">
        <v>6622</v>
      </c>
      <c r="D120" t="s">
        <v>225</v>
      </c>
      <c r="E120" t="s">
        <v>222</v>
      </c>
      <c r="F120" t="s">
        <v>108</v>
      </c>
      <c r="G120" s="6">
        <v>46023</v>
      </c>
      <c r="H120" t="s">
        <v>6623</v>
      </c>
      <c r="I120" t="s">
        <v>6623</v>
      </c>
      <c r="J120" t="s">
        <v>6623</v>
      </c>
      <c r="K120">
        <v>277178.213544</v>
      </c>
      <c r="L120">
        <v>306600.93945599999</v>
      </c>
      <c r="M120">
        <v>1.1061509327728221</v>
      </c>
      <c r="N120">
        <v>1.1061509327728221</v>
      </c>
      <c r="O120" t="s">
        <v>335</v>
      </c>
      <c r="P120" t="s">
        <v>335</v>
      </c>
      <c r="Q120" t="s">
        <v>6702</v>
      </c>
      <c r="R120">
        <v>0</v>
      </c>
      <c r="S120">
        <v>0</v>
      </c>
    </row>
    <row r="121" spans="1:19" hidden="1" x14ac:dyDescent="0.3">
      <c r="A121">
        <v>208</v>
      </c>
      <c r="B121" t="s">
        <v>1117</v>
      </c>
      <c r="C121" t="s">
        <v>6681</v>
      </c>
      <c r="D121" t="s">
        <v>299</v>
      </c>
      <c r="E121" t="s">
        <v>29</v>
      </c>
      <c r="F121" t="s">
        <v>108</v>
      </c>
      <c r="G121" s="6">
        <v>44926</v>
      </c>
      <c r="H121">
        <v>2022</v>
      </c>
      <c r="I121" t="s">
        <v>57</v>
      </c>
      <c r="J121" t="s">
        <v>90</v>
      </c>
      <c r="L121">
        <v>14698</v>
      </c>
      <c r="M121">
        <v>0</v>
      </c>
      <c r="N121">
        <v>0</v>
      </c>
      <c r="O121" t="s">
        <v>1041</v>
      </c>
      <c r="P121" t="s">
        <v>1118</v>
      </c>
      <c r="Q121" t="s">
        <v>6703</v>
      </c>
      <c r="R121">
        <v>0</v>
      </c>
      <c r="S121">
        <v>0</v>
      </c>
    </row>
    <row r="122" spans="1:19" hidden="1" x14ac:dyDescent="0.3">
      <c r="A122">
        <v>208</v>
      </c>
      <c r="B122" t="s">
        <v>1117</v>
      </c>
      <c r="C122" t="s">
        <v>6681</v>
      </c>
      <c r="D122" t="s">
        <v>299</v>
      </c>
      <c r="E122" t="s">
        <v>29</v>
      </c>
      <c r="F122" t="s">
        <v>108</v>
      </c>
      <c r="G122" s="6">
        <v>45838</v>
      </c>
      <c r="H122">
        <v>2025</v>
      </c>
      <c r="I122" t="s">
        <v>44</v>
      </c>
      <c r="J122" t="s">
        <v>244</v>
      </c>
      <c r="K122">
        <v>10200</v>
      </c>
      <c r="L122">
        <v>7350.5</v>
      </c>
      <c r="M122">
        <v>0.72063725490196073</v>
      </c>
      <c r="N122">
        <v>0.72063725490196073</v>
      </c>
      <c r="O122" t="s">
        <v>1118</v>
      </c>
      <c r="P122" t="s">
        <v>1118</v>
      </c>
      <c r="Q122" t="s">
        <v>1160</v>
      </c>
      <c r="R122">
        <v>0</v>
      </c>
      <c r="S122">
        <v>0</v>
      </c>
    </row>
    <row r="123" spans="1:19" hidden="1" x14ac:dyDescent="0.3">
      <c r="A123">
        <v>213</v>
      </c>
      <c r="B123" t="s">
        <v>1181</v>
      </c>
      <c r="C123" t="s">
        <v>6622</v>
      </c>
      <c r="D123" t="s">
        <v>299</v>
      </c>
      <c r="E123" t="s">
        <v>233</v>
      </c>
      <c r="F123" t="s">
        <v>30</v>
      </c>
      <c r="G123" s="6">
        <v>45838</v>
      </c>
      <c r="H123">
        <v>2025</v>
      </c>
      <c r="I123" t="s">
        <v>44</v>
      </c>
      <c r="J123" t="s">
        <v>244</v>
      </c>
      <c r="K123">
        <v>90</v>
      </c>
      <c r="L123">
        <v>0</v>
      </c>
      <c r="M123">
        <v>0</v>
      </c>
      <c r="N123">
        <v>0</v>
      </c>
      <c r="O123" t="s">
        <v>31</v>
      </c>
      <c r="P123" t="s">
        <v>31</v>
      </c>
      <c r="Q123" t="s">
        <v>1193</v>
      </c>
      <c r="R123">
        <v>0</v>
      </c>
      <c r="S123">
        <v>0</v>
      </c>
    </row>
    <row r="124" spans="1:19" hidden="1" x14ac:dyDescent="0.3">
      <c r="A124">
        <v>214</v>
      </c>
      <c r="B124" t="s">
        <v>1196</v>
      </c>
      <c r="C124" t="s">
        <v>6681</v>
      </c>
      <c r="D124" t="s">
        <v>299</v>
      </c>
      <c r="E124" t="s">
        <v>29</v>
      </c>
      <c r="F124" t="s">
        <v>108</v>
      </c>
      <c r="G124" s="6">
        <v>45838</v>
      </c>
      <c r="H124">
        <v>2025</v>
      </c>
      <c r="I124" t="s">
        <v>44</v>
      </c>
      <c r="J124" t="s">
        <v>244</v>
      </c>
      <c r="K124">
        <v>45000</v>
      </c>
      <c r="L124">
        <v>27789</v>
      </c>
      <c r="M124">
        <v>1</v>
      </c>
      <c r="N124">
        <v>1</v>
      </c>
      <c r="O124" t="s">
        <v>1197</v>
      </c>
      <c r="P124" t="s">
        <v>1197</v>
      </c>
      <c r="Q124" t="s">
        <v>1240</v>
      </c>
      <c r="R124">
        <v>0</v>
      </c>
      <c r="S124">
        <v>0</v>
      </c>
    </row>
    <row r="125" spans="1:19" hidden="1" x14ac:dyDescent="0.3">
      <c r="A125">
        <v>215</v>
      </c>
      <c r="B125" t="s">
        <v>1258</v>
      </c>
      <c r="C125" t="s">
        <v>6681</v>
      </c>
      <c r="D125" t="s">
        <v>299</v>
      </c>
      <c r="E125" t="s">
        <v>222</v>
      </c>
      <c r="F125" t="s">
        <v>30</v>
      </c>
      <c r="G125" s="6">
        <v>45838</v>
      </c>
      <c r="H125">
        <v>2025</v>
      </c>
      <c r="I125" t="s">
        <v>44</v>
      </c>
      <c r="J125" t="s">
        <v>244</v>
      </c>
      <c r="K125">
        <v>1</v>
      </c>
      <c r="L125">
        <v>-114.55</v>
      </c>
      <c r="M125">
        <v>0</v>
      </c>
      <c r="N125">
        <v>0</v>
      </c>
      <c r="O125" t="s">
        <v>31</v>
      </c>
      <c r="P125" t="s">
        <v>31</v>
      </c>
      <c r="Q125" t="s">
        <v>1265</v>
      </c>
      <c r="R125">
        <v>2</v>
      </c>
      <c r="S125">
        <v>2</v>
      </c>
    </row>
    <row r="126" spans="1:19" hidden="1" x14ac:dyDescent="0.3">
      <c r="A126">
        <v>217</v>
      </c>
      <c r="B126" t="s">
        <v>1272</v>
      </c>
      <c r="C126" t="s">
        <v>6622</v>
      </c>
      <c r="D126" t="s">
        <v>299</v>
      </c>
      <c r="E126" t="s">
        <v>29</v>
      </c>
      <c r="F126" t="s">
        <v>30</v>
      </c>
      <c r="G126" s="6">
        <v>45838</v>
      </c>
      <c r="H126">
        <v>2025</v>
      </c>
      <c r="I126" t="s">
        <v>44</v>
      </c>
      <c r="J126" t="s">
        <v>244</v>
      </c>
      <c r="K126">
        <v>20</v>
      </c>
      <c r="L126">
        <v>26.11</v>
      </c>
      <c r="M126">
        <v>1</v>
      </c>
      <c r="N126">
        <v>1.3055000000000001</v>
      </c>
      <c r="O126" t="s">
        <v>31</v>
      </c>
      <c r="P126" t="s">
        <v>31</v>
      </c>
      <c r="Q126" t="s">
        <v>1315</v>
      </c>
      <c r="R126">
        <v>0</v>
      </c>
      <c r="S126">
        <v>0</v>
      </c>
    </row>
    <row r="127" spans="1:19" hidden="1" x14ac:dyDescent="0.3">
      <c r="A127">
        <v>218</v>
      </c>
      <c r="B127" t="s">
        <v>1328</v>
      </c>
      <c r="C127" t="s">
        <v>6681</v>
      </c>
      <c r="D127" t="s">
        <v>299</v>
      </c>
      <c r="E127" t="s">
        <v>29</v>
      </c>
      <c r="F127" t="s">
        <v>108</v>
      </c>
      <c r="G127" s="6">
        <v>45838</v>
      </c>
      <c r="H127">
        <v>2025</v>
      </c>
      <c r="I127" t="s">
        <v>44</v>
      </c>
      <c r="J127" t="s">
        <v>244</v>
      </c>
      <c r="K127">
        <v>1032000</v>
      </c>
      <c r="L127">
        <v>811072</v>
      </c>
      <c r="M127">
        <v>1</v>
      </c>
      <c r="N127">
        <v>1.2723901207291091</v>
      </c>
      <c r="O127" t="s">
        <v>1329</v>
      </c>
      <c r="P127" t="s">
        <v>1329</v>
      </c>
      <c r="Q127" t="s">
        <v>1372</v>
      </c>
      <c r="R127">
        <v>0</v>
      </c>
      <c r="S127">
        <v>0</v>
      </c>
    </row>
    <row r="128" spans="1:19" hidden="1" x14ac:dyDescent="0.3">
      <c r="A128">
        <v>219</v>
      </c>
      <c r="B128" t="s">
        <v>1390</v>
      </c>
      <c r="C128" t="s">
        <v>6681</v>
      </c>
      <c r="D128" t="s">
        <v>299</v>
      </c>
      <c r="E128" t="s">
        <v>222</v>
      </c>
      <c r="F128" t="s">
        <v>30</v>
      </c>
      <c r="G128" s="6">
        <v>45838</v>
      </c>
      <c r="H128">
        <v>2025</v>
      </c>
      <c r="I128" t="s">
        <v>44</v>
      </c>
      <c r="J128" t="s">
        <v>244</v>
      </c>
      <c r="K128">
        <v>1</v>
      </c>
      <c r="L128">
        <v>18.43</v>
      </c>
      <c r="M128">
        <v>1</v>
      </c>
      <c r="N128">
        <v>1</v>
      </c>
      <c r="O128" t="s">
        <v>31</v>
      </c>
      <c r="P128" t="s">
        <v>31</v>
      </c>
      <c r="Q128" t="s">
        <v>1397</v>
      </c>
      <c r="R128">
        <v>0</v>
      </c>
      <c r="S128">
        <v>0</v>
      </c>
    </row>
    <row r="129" spans="1:19" hidden="1" x14ac:dyDescent="0.3">
      <c r="A129">
        <v>220</v>
      </c>
      <c r="B129" t="s">
        <v>1402</v>
      </c>
      <c r="C129" t="s">
        <v>6681</v>
      </c>
      <c r="D129" t="s">
        <v>299</v>
      </c>
      <c r="E129" t="s">
        <v>222</v>
      </c>
      <c r="F129" t="s">
        <v>30</v>
      </c>
      <c r="G129" s="6">
        <v>45838</v>
      </c>
      <c r="H129">
        <v>2025</v>
      </c>
      <c r="I129" t="s">
        <v>44</v>
      </c>
      <c r="J129" t="s">
        <v>244</v>
      </c>
      <c r="K129">
        <v>1</v>
      </c>
      <c r="L129">
        <v>33.979999999999997</v>
      </c>
      <c r="M129">
        <v>1</v>
      </c>
      <c r="N129">
        <v>1</v>
      </c>
      <c r="O129" t="s">
        <v>31</v>
      </c>
      <c r="P129" t="s">
        <v>31</v>
      </c>
      <c r="Q129" t="s">
        <v>1409</v>
      </c>
      <c r="R129">
        <v>0</v>
      </c>
      <c r="S129">
        <v>0</v>
      </c>
    </row>
    <row r="130" spans="1:19" hidden="1" x14ac:dyDescent="0.3">
      <c r="A130">
        <v>225</v>
      </c>
      <c r="B130" t="s">
        <v>1434</v>
      </c>
      <c r="C130" t="s">
        <v>6681</v>
      </c>
      <c r="D130" t="s">
        <v>299</v>
      </c>
      <c r="E130" t="s">
        <v>29</v>
      </c>
      <c r="F130" t="s">
        <v>30</v>
      </c>
      <c r="G130" s="6">
        <v>45900</v>
      </c>
      <c r="H130">
        <v>2025</v>
      </c>
      <c r="I130" t="s">
        <v>49</v>
      </c>
      <c r="J130" t="s">
        <v>103</v>
      </c>
      <c r="K130">
        <v>100</v>
      </c>
      <c r="L130">
        <v>100</v>
      </c>
      <c r="M130">
        <v>1</v>
      </c>
      <c r="N130">
        <v>1</v>
      </c>
      <c r="O130" t="s">
        <v>31</v>
      </c>
      <c r="P130" t="s">
        <v>31</v>
      </c>
      <c r="Q130" t="s">
        <v>1479</v>
      </c>
      <c r="R130">
        <v>0</v>
      </c>
      <c r="S130">
        <v>0</v>
      </c>
    </row>
    <row r="131" spans="1:19" hidden="1" x14ac:dyDescent="0.3">
      <c r="A131">
        <v>230</v>
      </c>
      <c r="B131" t="s">
        <v>1504</v>
      </c>
      <c r="C131" t="s">
        <v>6681</v>
      </c>
      <c r="D131" t="s">
        <v>299</v>
      </c>
      <c r="E131" t="s">
        <v>222</v>
      </c>
      <c r="F131" t="s">
        <v>30</v>
      </c>
      <c r="G131" s="6">
        <v>45838</v>
      </c>
      <c r="H131">
        <v>2025</v>
      </c>
      <c r="I131" t="s">
        <v>44</v>
      </c>
      <c r="J131" t="s">
        <v>244</v>
      </c>
      <c r="K131">
        <v>90</v>
      </c>
      <c r="L131">
        <v>100</v>
      </c>
      <c r="M131">
        <v>1</v>
      </c>
      <c r="N131">
        <v>1.1111111111111109</v>
      </c>
      <c r="O131" t="s">
        <v>31</v>
      </c>
      <c r="P131" t="s">
        <v>31</v>
      </c>
      <c r="Q131" t="s">
        <v>1509</v>
      </c>
      <c r="R131">
        <v>0</v>
      </c>
      <c r="S131">
        <v>0</v>
      </c>
    </row>
    <row r="132" spans="1:19" hidden="1" x14ac:dyDescent="0.3">
      <c r="A132">
        <v>238</v>
      </c>
      <c r="B132" t="s">
        <v>1569</v>
      </c>
      <c r="C132" t="s">
        <v>6622</v>
      </c>
      <c r="D132" t="s">
        <v>299</v>
      </c>
      <c r="E132" t="s">
        <v>233</v>
      </c>
      <c r="F132" t="s">
        <v>30</v>
      </c>
      <c r="G132" s="6">
        <v>45473</v>
      </c>
      <c r="H132">
        <v>2024</v>
      </c>
      <c r="I132" t="s">
        <v>44</v>
      </c>
      <c r="J132" t="s">
        <v>71</v>
      </c>
      <c r="O132" t="s">
        <v>1574</v>
      </c>
      <c r="P132" t="s">
        <v>1574</v>
      </c>
      <c r="Q132" t="s">
        <v>1576</v>
      </c>
      <c r="R132">
        <v>0</v>
      </c>
      <c r="S132">
        <v>0</v>
      </c>
    </row>
    <row r="133" spans="1:19" hidden="1" x14ac:dyDescent="0.3">
      <c r="A133">
        <v>239</v>
      </c>
      <c r="B133" t="s">
        <v>1611</v>
      </c>
      <c r="C133" t="s">
        <v>6681</v>
      </c>
      <c r="D133" t="s">
        <v>187</v>
      </c>
      <c r="E133" t="s">
        <v>29</v>
      </c>
      <c r="F133" t="s">
        <v>30</v>
      </c>
      <c r="G133" s="6">
        <v>45838</v>
      </c>
      <c r="H133">
        <v>2025</v>
      </c>
      <c r="I133" t="s">
        <v>44</v>
      </c>
      <c r="J133" t="s">
        <v>244</v>
      </c>
      <c r="L133">
        <v>41</v>
      </c>
      <c r="O133" t="s">
        <v>761</v>
      </c>
      <c r="P133" t="s">
        <v>118</v>
      </c>
      <c r="Q133" t="s">
        <v>1625</v>
      </c>
      <c r="R133">
        <v>0</v>
      </c>
      <c r="S133">
        <v>0</v>
      </c>
    </row>
    <row r="134" spans="1:19" hidden="1" x14ac:dyDescent="0.3">
      <c r="A134">
        <v>240</v>
      </c>
      <c r="B134" t="s">
        <v>1632</v>
      </c>
      <c r="C134" t="s">
        <v>6681</v>
      </c>
      <c r="D134" t="s">
        <v>187</v>
      </c>
      <c r="E134" t="s">
        <v>233</v>
      </c>
      <c r="F134" t="s">
        <v>30</v>
      </c>
      <c r="G134" s="6">
        <v>45838</v>
      </c>
      <c r="H134">
        <v>2025</v>
      </c>
      <c r="I134" t="s">
        <v>44</v>
      </c>
      <c r="J134" t="s">
        <v>244</v>
      </c>
      <c r="K134">
        <v>100</v>
      </c>
      <c r="L134">
        <v>100</v>
      </c>
      <c r="M134">
        <v>1</v>
      </c>
      <c r="N134">
        <v>1</v>
      </c>
      <c r="O134" t="s">
        <v>31</v>
      </c>
      <c r="P134" t="s">
        <v>31</v>
      </c>
      <c r="Q134" t="s">
        <v>1642</v>
      </c>
      <c r="R134">
        <v>0</v>
      </c>
      <c r="S134">
        <v>0</v>
      </c>
    </row>
    <row r="135" spans="1:19" hidden="1" x14ac:dyDescent="0.3">
      <c r="A135">
        <v>243</v>
      </c>
      <c r="B135" t="s">
        <v>1692</v>
      </c>
      <c r="C135" t="s">
        <v>6681</v>
      </c>
      <c r="D135" t="s">
        <v>187</v>
      </c>
      <c r="E135" t="s">
        <v>29</v>
      </c>
      <c r="F135" t="s">
        <v>108</v>
      </c>
      <c r="G135" s="6">
        <v>45503</v>
      </c>
      <c r="H135">
        <v>2024</v>
      </c>
      <c r="I135" t="s">
        <v>46</v>
      </c>
      <c r="J135" t="s">
        <v>78</v>
      </c>
      <c r="K135">
        <v>20</v>
      </c>
      <c r="L135">
        <v>7.28</v>
      </c>
      <c r="M135">
        <v>0.36399999999999999</v>
      </c>
      <c r="N135">
        <v>0.36399999999999999</v>
      </c>
      <c r="O135" t="s">
        <v>31</v>
      </c>
      <c r="P135" t="s">
        <v>31</v>
      </c>
      <c r="Q135" t="s">
        <v>6704</v>
      </c>
      <c r="R135">
        <v>0</v>
      </c>
      <c r="S135">
        <v>0</v>
      </c>
    </row>
    <row r="136" spans="1:19" hidden="1" x14ac:dyDescent="0.3">
      <c r="A136">
        <v>244</v>
      </c>
      <c r="B136" t="s">
        <v>1707</v>
      </c>
      <c r="C136" t="s">
        <v>6622</v>
      </c>
      <c r="D136" t="s">
        <v>299</v>
      </c>
      <c r="E136" t="s">
        <v>98</v>
      </c>
      <c r="F136" t="s">
        <v>108</v>
      </c>
      <c r="G136" s="6">
        <v>44926</v>
      </c>
      <c r="H136">
        <v>2022</v>
      </c>
      <c r="I136" t="s">
        <v>57</v>
      </c>
      <c r="J136" t="s">
        <v>90</v>
      </c>
      <c r="K136">
        <v>27</v>
      </c>
      <c r="L136">
        <v>27</v>
      </c>
      <c r="M136">
        <v>1</v>
      </c>
      <c r="N136">
        <v>1</v>
      </c>
      <c r="O136" t="s">
        <v>118</v>
      </c>
      <c r="P136" t="s">
        <v>118</v>
      </c>
      <c r="Q136" t="s">
        <v>6705</v>
      </c>
      <c r="R136">
        <v>0</v>
      </c>
      <c r="S136">
        <v>0</v>
      </c>
    </row>
    <row r="137" spans="1:19" hidden="1" x14ac:dyDescent="0.3">
      <c r="A137">
        <v>244</v>
      </c>
      <c r="B137" t="s">
        <v>1707</v>
      </c>
      <c r="C137" t="s">
        <v>6622</v>
      </c>
      <c r="D137" t="s">
        <v>299</v>
      </c>
      <c r="E137" t="s">
        <v>98</v>
      </c>
      <c r="F137" t="s">
        <v>108</v>
      </c>
      <c r="G137" s="6">
        <v>46022</v>
      </c>
      <c r="H137">
        <v>2025</v>
      </c>
      <c r="I137" t="s">
        <v>57</v>
      </c>
      <c r="J137" t="s">
        <v>103</v>
      </c>
      <c r="K137">
        <v>25</v>
      </c>
      <c r="L137">
        <v>13</v>
      </c>
      <c r="M137">
        <v>1.3</v>
      </c>
      <c r="N137">
        <v>1.9230769230769229</v>
      </c>
      <c r="O137" t="s">
        <v>118</v>
      </c>
      <c r="P137" t="s">
        <v>118</v>
      </c>
      <c r="Q137" t="s">
        <v>6706</v>
      </c>
      <c r="R137">
        <v>0</v>
      </c>
      <c r="S137">
        <v>0</v>
      </c>
    </row>
    <row r="138" spans="1:19" hidden="1" x14ac:dyDescent="0.3">
      <c r="A138">
        <v>244</v>
      </c>
      <c r="B138" t="s">
        <v>1707</v>
      </c>
      <c r="C138" t="s">
        <v>6622</v>
      </c>
      <c r="D138" t="s">
        <v>299</v>
      </c>
      <c r="E138" t="s">
        <v>98</v>
      </c>
      <c r="F138" t="s">
        <v>108</v>
      </c>
      <c r="G138" s="6">
        <v>46023</v>
      </c>
      <c r="H138" t="s">
        <v>6623</v>
      </c>
      <c r="I138" t="s">
        <v>6623</v>
      </c>
      <c r="J138" t="s">
        <v>6623</v>
      </c>
      <c r="K138">
        <v>25</v>
      </c>
      <c r="L138">
        <v>13</v>
      </c>
      <c r="M138">
        <v>1.3</v>
      </c>
      <c r="N138">
        <v>1.9230769230769229</v>
      </c>
      <c r="O138" t="s">
        <v>118</v>
      </c>
      <c r="P138" t="s">
        <v>118</v>
      </c>
      <c r="Q138" t="s">
        <v>6707</v>
      </c>
      <c r="R138">
        <v>0</v>
      </c>
      <c r="S138">
        <v>0</v>
      </c>
    </row>
    <row r="139" spans="1:19" hidden="1" x14ac:dyDescent="0.3">
      <c r="A139">
        <v>245</v>
      </c>
      <c r="B139" t="s">
        <v>1711</v>
      </c>
      <c r="C139" t="s">
        <v>6622</v>
      </c>
      <c r="D139" t="s">
        <v>730</v>
      </c>
      <c r="E139" t="s">
        <v>222</v>
      </c>
      <c r="F139" t="s">
        <v>30</v>
      </c>
      <c r="G139" s="6">
        <v>46023</v>
      </c>
      <c r="H139" t="s">
        <v>6623</v>
      </c>
      <c r="I139" t="s">
        <v>6623</v>
      </c>
      <c r="J139" t="s">
        <v>6623</v>
      </c>
      <c r="K139">
        <v>86.1</v>
      </c>
      <c r="L139">
        <v>86.2</v>
      </c>
      <c r="M139">
        <v>1.00116144018583</v>
      </c>
      <c r="N139">
        <v>1.00116144018583</v>
      </c>
      <c r="O139" t="s">
        <v>31</v>
      </c>
      <c r="P139" t="s">
        <v>31</v>
      </c>
      <c r="Q139" t="s">
        <v>6708</v>
      </c>
      <c r="R139">
        <v>1</v>
      </c>
      <c r="S139">
        <v>1</v>
      </c>
    </row>
    <row r="140" spans="1:19" hidden="1" x14ac:dyDescent="0.3">
      <c r="A140">
        <v>246</v>
      </c>
      <c r="B140" t="s">
        <v>1728</v>
      </c>
      <c r="C140" t="s">
        <v>6622</v>
      </c>
      <c r="D140" t="s">
        <v>150</v>
      </c>
      <c r="E140" t="s">
        <v>222</v>
      </c>
      <c r="F140" t="s">
        <v>30</v>
      </c>
      <c r="G140" s="6">
        <v>45473</v>
      </c>
      <c r="H140">
        <v>2024</v>
      </c>
      <c r="I140" t="s">
        <v>44</v>
      </c>
      <c r="J140" t="s">
        <v>71</v>
      </c>
      <c r="K140">
        <v>67.5</v>
      </c>
      <c r="L140">
        <v>92.5</v>
      </c>
      <c r="M140">
        <v>1.3</v>
      </c>
      <c r="N140">
        <v>1.37037037037037</v>
      </c>
      <c r="O140" t="s">
        <v>31</v>
      </c>
      <c r="P140" t="s">
        <v>31</v>
      </c>
      <c r="Q140" t="s">
        <v>1729</v>
      </c>
      <c r="R140">
        <v>0</v>
      </c>
      <c r="S140">
        <v>0</v>
      </c>
    </row>
    <row r="141" spans="1:19" hidden="1" x14ac:dyDescent="0.3">
      <c r="A141">
        <v>246</v>
      </c>
      <c r="B141" t="s">
        <v>1728</v>
      </c>
      <c r="C141" t="s">
        <v>6622</v>
      </c>
      <c r="D141" t="s">
        <v>150</v>
      </c>
      <c r="E141" t="s">
        <v>222</v>
      </c>
      <c r="F141" t="s">
        <v>30</v>
      </c>
      <c r="G141" s="6">
        <v>45838</v>
      </c>
      <c r="H141">
        <v>2025</v>
      </c>
      <c r="I141" t="s">
        <v>44</v>
      </c>
      <c r="J141" t="s">
        <v>244</v>
      </c>
      <c r="K141">
        <v>90</v>
      </c>
      <c r="L141">
        <v>90.1</v>
      </c>
      <c r="M141">
        <v>1.0011111111111111</v>
      </c>
      <c r="N141">
        <v>1.0011111111111111</v>
      </c>
      <c r="O141" t="s">
        <v>31</v>
      </c>
      <c r="P141" t="s">
        <v>31</v>
      </c>
      <c r="Q141" t="s">
        <v>1733</v>
      </c>
      <c r="R141">
        <v>0</v>
      </c>
      <c r="S141">
        <v>0</v>
      </c>
    </row>
    <row r="142" spans="1:19" hidden="1" x14ac:dyDescent="0.3">
      <c r="A142">
        <v>248</v>
      </c>
      <c r="B142" t="s">
        <v>1750</v>
      </c>
      <c r="C142" t="s">
        <v>6622</v>
      </c>
      <c r="D142" t="s">
        <v>28</v>
      </c>
      <c r="E142" t="s">
        <v>222</v>
      </c>
      <c r="F142" t="s">
        <v>30</v>
      </c>
      <c r="G142" s="6">
        <v>46023</v>
      </c>
      <c r="H142" t="s">
        <v>6623</v>
      </c>
      <c r="I142" t="s">
        <v>6623</v>
      </c>
      <c r="J142" t="s">
        <v>6623</v>
      </c>
      <c r="K142">
        <v>44</v>
      </c>
      <c r="L142">
        <v>44</v>
      </c>
      <c r="M142">
        <v>1</v>
      </c>
      <c r="N142">
        <v>1</v>
      </c>
      <c r="O142" t="s">
        <v>118</v>
      </c>
      <c r="P142" t="s">
        <v>118</v>
      </c>
      <c r="Q142" t="s">
        <v>6709</v>
      </c>
      <c r="R142">
        <v>0</v>
      </c>
      <c r="S142">
        <v>0</v>
      </c>
    </row>
    <row r="143" spans="1:19" hidden="1" x14ac:dyDescent="0.3">
      <c r="A143">
        <v>249</v>
      </c>
      <c r="B143" t="s">
        <v>1754</v>
      </c>
      <c r="C143" t="s">
        <v>6622</v>
      </c>
      <c r="D143" t="s">
        <v>28</v>
      </c>
      <c r="E143" t="s">
        <v>222</v>
      </c>
      <c r="F143" t="s">
        <v>30</v>
      </c>
      <c r="G143" s="6">
        <v>46023</v>
      </c>
      <c r="H143" t="s">
        <v>6623</v>
      </c>
      <c r="I143" t="s">
        <v>6623</v>
      </c>
      <c r="J143" t="s">
        <v>6623</v>
      </c>
      <c r="K143">
        <v>98</v>
      </c>
      <c r="L143">
        <v>98</v>
      </c>
      <c r="M143">
        <v>1</v>
      </c>
      <c r="N143">
        <v>1</v>
      </c>
      <c r="O143" t="s">
        <v>118</v>
      </c>
      <c r="P143" t="s">
        <v>118</v>
      </c>
      <c r="Q143" t="s">
        <v>6710</v>
      </c>
      <c r="R143">
        <v>0</v>
      </c>
      <c r="S143">
        <v>0</v>
      </c>
    </row>
    <row r="144" spans="1:19" hidden="1" x14ac:dyDescent="0.3">
      <c r="A144">
        <v>251</v>
      </c>
      <c r="B144" t="s">
        <v>1758</v>
      </c>
      <c r="C144" t="s">
        <v>6622</v>
      </c>
      <c r="D144" t="s">
        <v>138</v>
      </c>
      <c r="E144" t="s">
        <v>233</v>
      </c>
      <c r="F144" t="s">
        <v>30</v>
      </c>
      <c r="G144" s="6">
        <v>45473</v>
      </c>
      <c r="H144">
        <v>2024</v>
      </c>
      <c r="I144" t="s">
        <v>44</v>
      </c>
      <c r="J144" t="s">
        <v>71</v>
      </c>
      <c r="K144">
        <v>100</v>
      </c>
      <c r="L144">
        <v>92.45</v>
      </c>
      <c r="M144">
        <v>0.92449999999999999</v>
      </c>
      <c r="N144">
        <v>0.92449999999999999</v>
      </c>
      <c r="O144" t="s">
        <v>31</v>
      </c>
      <c r="P144" t="s">
        <v>31</v>
      </c>
      <c r="Q144" t="s">
        <v>1762</v>
      </c>
      <c r="R144">
        <v>0</v>
      </c>
      <c r="S144">
        <v>0</v>
      </c>
    </row>
    <row r="145" spans="1:19" hidden="1" x14ac:dyDescent="0.3">
      <c r="A145">
        <v>251</v>
      </c>
      <c r="B145" t="s">
        <v>1765</v>
      </c>
      <c r="C145" t="s">
        <v>6622</v>
      </c>
      <c r="D145" t="s">
        <v>138</v>
      </c>
      <c r="E145" t="s">
        <v>233</v>
      </c>
      <c r="F145" t="s">
        <v>30</v>
      </c>
      <c r="G145" s="6">
        <v>45838</v>
      </c>
      <c r="H145">
        <v>2025</v>
      </c>
      <c r="I145" t="s">
        <v>44</v>
      </c>
      <c r="J145" t="s">
        <v>244</v>
      </c>
      <c r="K145">
        <v>100</v>
      </c>
      <c r="L145">
        <v>82.35</v>
      </c>
      <c r="M145">
        <v>0.8234999999999999</v>
      </c>
      <c r="N145">
        <v>0.8234999999999999</v>
      </c>
      <c r="O145" t="s">
        <v>31</v>
      </c>
      <c r="P145" t="s">
        <v>31</v>
      </c>
      <c r="Q145" t="s">
        <v>1769</v>
      </c>
      <c r="R145">
        <v>0</v>
      </c>
      <c r="S145">
        <v>0</v>
      </c>
    </row>
    <row r="146" spans="1:19" hidden="1" x14ac:dyDescent="0.3">
      <c r="A146">
        <v>252</v>
      </c>
      <c r="B146" t="s">
        <v>1777</v>
      </c>
      <c r="C146" t="s">
        <v>6622</v>
      </c>
      <c r="D146" t="s">
        <v>730</v>
      </c>
      <c r="E146" t="s">
        <v>222</v>
      </c>
      <c r="F146" t="s">
        <v>30</v>
      </c>
      <c r="G146" s="6">
        <v>45838</v>
      </c>
      <c r="H146">
        <v>2025</v>
      </c>
      <c r="I146" t="s">
        <v>44</v>
      </c>
      <c r="J146" t="s">
        <v>244</v>
      </c>
      <c r="K146">
        <v>71.599999999999994</v>
      </c>
      <c r="L146">
        <v>71.3</v>
      </c>
      <c r="M146">
        <v>0.99581005586592186</v>
      </c>
      <c r="N146">
        <v>0.99581005586592186</v>
      </c>
      <c r="O146" t="s">
        <v>31</v>
      </c>
      <c r="P146" t="s">
        <v>31</v>
      </c>
      <c r="Q146" t="s">
        <v>1780</v>
      </c>
      <c r="R146">
        <v>1</v>
      </c>
      <c r="S146">
        <v>1</v>
      </c>
    </row>
    <row r="147" spans="1:19" hidden="1" x14ac:dyDescent="0.3">
      <c r="A147">
        <v>254</v>
      </c>
      <c r="B147" t="s">
        <v>1793</v>
      </c>
      <c r="C147" t="s">
        <v>6622</v>
      </c>
      <c r="D147" t="s">
        <v>129</v>
      </c>
      <c r="E147" t="s">
        <v>233</v>
      </c>
      <c r="F147" t="s">
        <v>30</v>
      </c>
      <c r="G147" s="6">
        <v>45838</v>
      </c>
      <c r="H147">
        <v>2025</v>
      </c>
      <c r="I147" t="s">
        <v>44</v>
      </c>
      <c r="J147" t="s">
        <v>244</v>
      </c>
      <c r="K147">
        <v>84</v>
      </c>
      <c r="L147">
        <v>84</v>
      </c>
      <c r="M147">
        <v>1</v>
      </c>
      <c r="N147">
        <v>1</v>
      </c>
      <c r="O147" t="s">
        <v>118</v>
      </c>
      <c r="P147" t="s">
        <v>118</v>
      </c>
      <c r="Q147" t="s">
        <v>1803</v>
      </c>
      <c r="R147">
        <v>0</v>
      </c>
      <c r="S147">
        <v>0</v>
      </c>
    </row>
    <row r="148" spans="1:19" hidden="1" x14ac:dyDescent="0.3">
      <c r="A148">
        <v>256</v>
      </c>
      <c r="B148" t="s">
        <v>1811</v>
      </c>
      <c r="C148" t="s">
        <v>6622</v>
      </c>
      <c r="D148" t="s">
        <v>842</v>
      </c>
      <c r="E148" t="s">
        <v>222</v>
      </c>
      <c r="F148" t="s">
        <v>30</v>
      </c>
      <c r="G148" s="6">
        <v>45838</v>
      </c>
      <c r="H148">
        <v>2025</v>
      </c>
      <c r="I148" t="s">
        <v>44</v>
      </c>
      <c r="J148" t="s">
        <v>244</v>
      </c>
      <c r="K148">
        <v>17</v>
      </c>
      <c r="L148">
        <v>17</v>
      </c>
      <c r="M148">
        <v>1</v>
      </c>
      <c r="N148">
        <v>1</v>
      </c>
      <c r="O148" t="s">
        <v>118</v>
      </c>
      <c r="P148" t="s">
        <v>118</v>
      </c>
      <c r="Q148" t="s">
        <v>1816</v>
      </c>
      <c r="R148">
        <v>0</v>
      </c>
      <c r="S148">
        <v>0</v>
      </c>
    </row>
    <row r="149" spans="1:19" hidden="1" x14ac:dyDescent="0.3">
      <c r="A149">
        <v>259</v>
      </c>
      <c r="B149" t="s">
        <v>1822</v>
      </c>
      <c r="C149" t="s">
        <v>6681</v>
      </c>
      <c r="D149" t="s">
        <v>138</v>
      </c>
      <c r="E149" t="s">
        <v>233</v>
      </c>
      <c r="F149" t="s">
        <v>30</v>
      </c>
      <c r="G149" s="6">
        <v>45473</v>
      </c>
      <c r="H149">
        <v>2024</v>
      </c>
      <c r="I149" t="s">
        <v>44</v>
      </c>
      <c r="J149" t="s">
        <v>71</v>
      </c>
      <c r="K149">
        <v>90</v>
      </c>
      <c r="L149">
        <v>34.69</v>
      </c>
      <c r="M149">
        <v>0.38544444444444442</v>
      </c>
      <c r="N149">
        <v>0.38544444444444442</v>
      </c>
      <c r="O149" t="s">
        <v>31</v>
      </c>
      <c r="P149" t="s">
        <v>31</v>
      </c>
      <c r="Q149" t="s">
        <v>1827</v>
      </c>
      <c r="R149">
        <v>0</v>
      </c>
      <c r="S149">
        <v>0</v>
      </c>
    </row>
    <row r="150" spans="1:19" hidden="1" x14ac:dyDescent="0.3">
      <c r="A150">
        <v>260</v>
      </c>
      <c r="B150" t="s">
        <v>1831</v>
      </c>
      <c r="C150" t="s">
        <v>6622</v>
      </c>
      <c r="D150" t="s">
        <v>1832</v>
      </c>
      <c r="E150" t="s">
        <v>222</v>
      </c>
      <c r="F150" t="s">
        <v>108</v>
      </c>
      <c r="G150" s="6">
        <v>45473</v>
      </c>
      <c r="H150">
        <v>2024</v>
      </c>
      <c r="I150" t="s">
        <v>44</v>
      </c>
      <c r="J150" t="s">
        <v>71</v>
      </c>
      <c r="K150">
        <v>2.8</v>
      </c>
      <c r="L150">
        <v>2.5099999999999998</v>
      </c>
      <c r="M150">
        <v>1.115537848605578</v>
      </c>
      <c r="N150">
        <v>1.115537848605578</v>
      </c>
      <c r="O150" t="s">
        <v>109</v>
      </c>
      <c r="P150" t="s">
        <v>109</v>
      </c>
      <c r="Q150" t="s">
        <v>1835</v>
      </c>
      <c r="R150">
        <v>1</v>
      </c>
      <c r="S150">
        <v>1</v>
      </c>
    </row>
    <row r="151" spans="1:19" hidden="1" x14ac:dyDescent="0.3">
      <c r="A151">
        <v>260</v>
      </c>
      <c r="B151" t="s">
        <v>1831</v>
      </c>
      <c r="C151" t="s">
        <v>6622</v>
      </c>
      <c r="D151" t="s">
        <v>1832</v>
      </c>
      <c r="E151" t="s">
        <v>222</v>
      </c>
      <c r="F151" t="s">
        <v>108</v>
      </c>
      <c r="G151" s="6">
        <v>45838</v>
      </c>
      <c r="H151">
        <v>2025</v>
      </c>
      <c r="I151" t="s">
        <v>44</v>
      </c>
      <c r="J151" t="s">
        <v>244</v>
      </c>
      <c r="K151">
        <v>2.2000000000000002</v>
      </c>
      <c r="L151">
        <v>1.9</v>
      </c>
      <c r="M151">
        <v>1.1578947368421051</v>
      </c>
      <c r="N151">
        <v>1.1578947368421051</v>
      </c>
      <c r="O151" t="s">
        <v>109</v>
      </c>
      <c r="P151" t="s">
        <v>109</v>
      </c>
      <c r="Q151" t="s">
        <v>1839</v>
      </c>
      <c r="R151">
        <v>1</v>
      </c>
      <c r="S151">
        <v>1</v>
      </c>
    </row>
    <row r="152" spans="1:19" hidden="1" x14ac:dyDescent="0.3">
      <c r="A152">
        <v>261</v>
      </c>
      <c r="B152" t="s">
        <v>1843</v>
      </c>
      <c r="C152" t="s">
        <v>6622</v>
      </c>
      <c r="D152" t="s">
        <v>717</v>
      </c>
      <c r="E152" t="s">
        <v>222</v>
      </c>
      <c r="F152" t="s">
        <v>108</v>
      </c>
      <c r="G152" s="6">
        <v>45473</v>
      </c>
      <c r="H152">
        <v>2024</v>
      </c>
      <c r="I152" t="s">
        <v>44</v>
      </c>
      <c r="J152" t="s">
        <v>71</v>
      </c>
      <c r="K152">
        <v>3</v>
      </c>
      <c r="L152">
        <v>2.2000000000000002</v>
      </c>
      <c r="M152">
        <v>1.3</v>
      </c>
      <c r="N152">
        <v>1.363636363636364</v>
      </c>
      <c r="O152" t="s">
        <v>118</v>
      </c>
      <c r="P152" t="s">
        <v>109</v>
      </c>
      <c r="Q152" t="s">
        <v>1846</v>
      </c>
      <c r="R152">
        <v>1</v>
      </c>
      <c r="S152">
        <v>1</v>
      </c>
    </row>
    <row r="153" spans="1:19" hidden="1" x14ac:dyDescent="0.3">
      <c r="A153">
        <v>261</v>
      </c>
      <c r="B153" t="s">
        <v>1843</v>
      </c>
      <c r="C153" t="s">
        <v>6622</v>
      </c>
      <c r="D153" t="s">
        <v>717</v>
      </c>
      <c r="E153" t="s">
        <v>222</v>
      </c>
      <c r="F153" t="s">
        <v>108</v>
      </c>
      <c r="G153" s="6">
        <v>45838</v>
      </c>
      <c r="H153">
        <v>2025</v>
      </c>
      <c r="I153" t="s">
        <v>44</v>
      </c>
      <c r="J153" t="s">
        <v>244</v>
      </c>
      <c r="K153">
        <v>2.2000000000000002</v>
      </c>
      <c r="L153">
        <v>2.2999999999999998</v>
      </c>
      <c r="M153">
        <v>0.95652173913043492</v>
      </c>
      <c r="N153">
        <v>0.95652173913043492</v>
      </c>
      <c r="O153" t="s">
        <v>118</v>
      </c>
      <c r="P153" t="s">
        <v>109</v>
      </c>
      <c r="Q153" t="s">
        <v>1851</v>
      </c>
      <c r="R153">
        <v>1</v>
      </c>
      <c r="S153">
        <v>1</v>
      </c>
    </row>
    <row r="154" spans="1:19" hidden="1" x14ac:dyDescent="0.3">
      <c r="A154">
        <v>262</v>
      </c>
      <c r="B154" t="s">
        <v>1858</v>
      </c>
      <c r="C154" t="s">
        <v>6622</v>
      </c>
      <c r="D154" t="s">
        <v>184</v>
      </c>
      <c r="E154" t="s">
        <v>222</v>
      </c>
      <c r="F154" t="s">
        <v>108</v>
      </c>
      <c r="G154" s="6">
        <v>45473</v>
      </c>
      <c r="H154">
        <v>2024</v>
      </c>
      <c r="I154" t="s">
        <v>44</v>
      </c>
      <c r="J154" t="s">
        <v>71</v>
      </c>
      <c r="K154">
        <v>20</v>
      </c>
      <c r="L154">
        <v>0</v>
      </c>
      <c r="M154">
        <v>1</v>
      </c>
      <c r="N154">
        <v>1</v>
      </c>
      <c r="O154" t="s">
        <v>31</v>
      </c>
      <c r="P154" t="s">
        <v>31</v>
      </c>
      <c r="Q154" t="s">
        <v>1859</v>
      </c>
      <c r="R154">
        <v>0</v>
      </c>
      <c r="S154">
        <v>0</v>
      </c>
    </row>
    <row r="155" spans="1:19" hidden="1" x14ac:dyDescent="0.3">
      <c r="A155">
        <v>262</v>
      </c>
      <c r="B155" t="s">
        <v>1858</v>
      </c>
      <c r="C155" t="s">
        <v>6622</v>
      </c>
      <c r="D155" t="s">
        <v>184</v>
      </c>
      <c r="E155" t="s">
        <v>222</v>
      </c>
      <c r="F155" t="s">
        <v>108</v>
      </c>
      <c r="G155" s="6">
        <v>45838</v>
      </c>
      <c r="H155">
        <v>2025</v>
      </c>
      <c r="I155" t="s">
        <v>44</v>
      </c>
      <c r="J155" t="s">
        <v>244</v>
      </c>
      <c r="K155">
        <v>10</v>
      </c>
      <c r="L155">
        <v>0</v>
      </c>
      <c r="M155">
        <v>1</v>
      </c>
      <c r="N155">
        <v>1</v>
      </c>
      <c r="O155" t="s">
        <v>31</v>
      </c>
      <c r="P155" t="s">
        <v>31</v>
      </c>
      <c r="Q155" t="s">
        <v>1862</v>
      </c>
      <c r="R155">
        <v>0</v>
      </c>
      <c r="S155">
        <v>0</v>
      </c>
    </row>
    <row r="156" spans="1:19" hidden="1" x14ac:dyDescent="0.3">
      <c r="A156">
        <v>263</v>
      </c>
      <c r="B156" t="s">
        <v>1865</v>
      </c>
      <c r="C156" t="s">
        <v>6622</v>
      </c>
      <c r="D156" t="s">
        <v>184</v>
      </c>
      <c r="E156" t="s">
        <v>233</v>
      </c>
      <c r="F156" t="s">
        <v>30</v>
      </c>
      <c r="G156" s="6">
        <v>45473</v>
      </c>
      <c r="H156">
        <v>2024</v>
      </c>
      <c r="I156" t="s">
        <v>44</v>
      </c>
      <c r="J156" t="s">
        <v>71</v>
      </c>
      <c r="K156">
        <v>100</v>
      </c>
      <c r="L156">
        <v>100</v>
      </c>
      <c r="M156">
        <v>1</v>
      </c>
      <c r="N156">
        <v>1</v>
      </c>
      <c r="O156" t="s">
        <v>31</v>
      </c>
      <c r="P156" t="s">
        <v>31</v>
      </c>
      <c r="Q156" t="s">
        <v>1871</v>
      </c>
      <c r="R156">
        <v>0</v>
      </c>
      <c r="S156">
        <v>0</v>
      </c>
    </row>
    <row r="157" spans="1:19" hidden="1" x14ac:dyDescent="0.3">
      <c r="A157">
        <v>263</v>
      </c>
      <c r="B157" t="s">
        <v>1865</v>
      </c>
      <c r="C157" t="s">
        <v>6622</v>
      </c>
      <c r="D157" t="s">
        <v>184</v>
      </c>
      <c r="E157" t="s">
        <v>233</v>
      </c>
      <c r="F157" t="s">
        <v>30</v>
      </c>
      <c r="G157" s="6">
        <v>45838</v>
      </c>
      <c r="H157">
        <v>2025</v>
      </c>
      <c r="I157" t="s">
        <v>44</v>
      </c>
      <c r="J157" t="s">
        <v>244</v>
      </c>
      <c r="K157">
        <v>100</v>
      </c>
      <c r="L157">
        <v>100</v>
      </c>
      <c r="M157">
        <v>1</v>
      </c>
      <c r="N157">
        <v>1</v>
      </c>
      <c r="O157" t="s">
        <v>31</v>
      </c>
      <c r="P157" t="s">
        <v>31</v>
      </c>
      <c r="Q157" t="s">
        <v>1875</v>
      </c>
      <c r="R157">
        <v>0</v>
      </c>
      <c r="S157">
        <v>0</v>
      </c>
    </row>
    <row r="158" spans="1:19" hidden="1" x14ac:dyDescent="0.3">
      <c r="A158">
        <v>264</v>
      </c>
      <c r="B158" t="s">
        <v>1881</v>
      </c>
      <c r="C158" t="s">
        <v>6622</v>
      </c>
      <c r="D158" t="s">
        <v>184</v>
      </c>
      <c r="E158" t="s">
        <v>222</v>
      </c>
      <c r="F158" t="s">
        <v>30</v>
      </c>
      <c r="G158" s="6">
        <v>45473</v>
      </c>
      <c r="H158">
        <v>2024</v>
      </c>
      <c r="I158" t="s">
        <v>44</v>
      </c>
      <c r="J158" t="s">
        <v>71</v>
      </c>
      <c r="K158">
        <v>100</v>
      </c>
      <c r="L158">
        <v>100</v>
      </c>
      <c r="M158">
        <v>1</v>
      </c>
      <c r="N158">
        <v>1</v>
      </c>
      <c r="O158" t="s">
        <v>31</v>
      </c>
      <c r="P158" t="s">
        <v>31</v>
      </c>
      <c r="Q158" t="s">
        <v>1882</v>
      </c>
      <c r="R158">
        <v>0</v>
      </c>
      <c r="S158">
        <v>0</v>
      </c>
    </row>
    <row r="159" spans="1:19" hidden="1" x14ac:dyDescent="0.3">
      <c r="A159">
        <v>265</v>
      </c>
      <c r="B159" t="s">
        <v>1888</v>
      </c>
      <c r="C159" t="s">
        <v>6622</v>
      </c>
      <c r="D159" t="s">
        <v>184</v>
      </c>
      <c r="E159" t="s">
        <v>222</v>
      </c>
      <c r="F159" t="s">
        <v>30</v>
      </c>
      <c r="G159" s="6">
        <v>45473</v>
      </c>
      <c r="H159">
        <v>2024</v>
      </c>
      <c r="I159" t="s">
        <v>44</v>
      </c>
      <c r="J159" t="s">
        <v>71</v>
      </c>
      <c r="K159">
        <v>95</v>
      </c>
      <c r="L159">
        <v>100</v>
      </c>
      <c r="M159">
        <v>1.0526315789473679</v>
      </c>
      <c r="N159">
        <v>1.0526315789473679</v>
      </c>
      <c r="O159" t="s">
        <v>31</v>
      </c>
      <c r="P159" t="s">
        <v>31</v>
      </c>
      <c r="Q159" t="s">
        <v>1889</v>
      </c>
      <c r="R159">
        <v>0</v>
      </c>
      <c r="S159">
        <v>0</v>
      </c>
    </row>
    <row r="160" spans="1:19" hidden="1" x14ac:dyDescent="0.3">
      <c r="A160">
        <v>265</v>
      </c>
      <c r="B160" t="s">
        <v>1888</v>
      </c>
      <c r="C160" t="s">
        <v>6622</v>
      </c>
      <c r="D160" t="s">
        <v>184</v>
      </c>
      <c r="E160" t="s">
        <v>233</v>
      </c>
      <c r="F160" t="s">
        <v>30</v>
      </c>
      <c r="G160" s="6">
        <v>45838</v>
      </c>
      <c r="H160">
        <v>2025</v>
      </c>
      <c r="I160" t="s">
        <v>44</v>
      </c>
      <c r="J160" t="s">
        <v>244</v>
      </c>
      <c r="K160">
        <v>95</v>
      </c>
      <c r="L160">
        <v>100</v>
      </c>
      <c r="M160">
        <v>1.0526315789473679</v>
      </c>
      <c r="N160">
        <v>1.0526315789473679</v>
      </c>
      <c r="O160" t="s">
        <v>31</v>
      </c>
      <c r="P160" t="s">
        <v>31</v>
      </c>
      <c r="Q160" t="s">
        <v>1892</v>
      </c>
      <c r="R160">
        <v>0</v>
      </c>
      <c r="S160">
        <v>0</v>
      </c>
    </row>
    <row r="161" spans="1:19" hidden="1" x14ac:dyDescent="0.3">
      <c r="A161">
        <v>266</v>
      </c>
      <c r="B161" t="s">
        <v>1894</v>
      </c>
      <c r="C161" t="s">
        <v>6622</v>
      </c>
      <c r="D161" t="s">
        <v>184</v>
      </c>
      <c r="E161" t="s">
        <v>222</v>
      </c>
      <c r="F161" t="s">
        <v>30</v>
      </c>
      <c r="G161" s="6">
        <v>45473</v>
      </c>
      <c r="H161">
        <v>2024</v>
      </c>
      <c r="I161" t="s">
        <v>44</v>
      </c>
      <c r="J161" t="s">
        <v>71</v>
      </c>
      <c r="K161">
        <v>95</v>
      </c>
      <c r="L161">
        <v>95.02</v>
      </c>
      <c r="M161">
        <v>1.000210526315789</v>
      </c>
      <c r="N161">
        <v>1.000210526315789</v>
      </c>
      <c r="O161" t="s">
        <v>31</v>
      </c>
      <c r="P161" t="s">
        <v>31</v>
      </c>
      <c r="Q161" t="s">
        <v>1897</v>
      </c>
      <c r="R161">
        <v>0</v>
      </c>
      <c r="S161">
        <v>0</v>
      </c>
    </row>
    <row r="162" spans="1:19" hidden="1" x14ac:dyDescent="0.3">
      <c r="A162">
        <v>266</v>
      </c>
      <c r="B162" t="s">
        <v>1894</v>
      </c>
      <c r="C162" t="s">
        <v>6622</v>
      </c>
      <c r="D162" t="s">
        <v>184</v>
      </c>
      <c r="E162" t="s">
        <v>233</v>
      </c>
      <c r="F162" t="s">
        <v>30</v>
      </c>
      <c r="G162" s="6">
        <v>45838</v>
      </c>
      <c r="H162">
        <v>2025</v>
      </c>
      <c r="I162" t="s">
        <v>44</v>
      </c>
      <c r="J162" t="s">
        <v>244</v>
      </c>
      <c r="K162">
        <v>95</v>
      </c>
      <c r="L162">
        <v>53.15</v>
      </c>
      <c r="M162">
        <v>0.55947368421052635</v>
      </c>
      <c r="N162">
        <v>0.55947368421052635</v>
      </c>
      <c r="O162" t="s">
        <v>31</v>
      </c>
      <c r="P162" t="s">
        <v>31</v>
      </c>
      <c r="Q162" t="s">
        <v>1902</v>
      </c>
      <c r="R162">
        <v>0</v>
      </c>
      <c r="S162">
        <v>0</v>
      </c>
    </row>
    <row r="163" spans="1:19" hidden="1" x14ac:dyDescent="0.3">
      <c r="A163">
        <v>268</v>
      </c>
      <c r="B163" t="s">
        <v>1907</v>
      </c>
      <c r="C163" t="s">
        <v>6622</v>
      </c>
      <c r="D163" t="s">
        <v>133</v>
      </c>
      <c r="E163" t="s">
        <v>222</v>
      </c>
      <c r="F163" t="s">
        <v>30</v>
      </c>
      <c r="G163" s="6">
        <v>45473</v>
      </c>
      <c r="H163">
        <v>2024</v>
      </c>
      <c r="I163" t="s">
        <v>44</v>
      </c>
      <c r="J163" t="s">
        <v>71</v>
      </c>
      <c r="K163">
        <v>0</v>
      </c>
      <c r="L163">
        <v>760</v>
      </c>
      <c r="O163">
        <v>0</v>
      </c>
      <c r="P163" t="s">
        <v>118</v>
      </c>
      <c r="Q163" t="s">
        <v>1910</v>
      </c>
      <c r="R163">
        <v>0</v>
      </c>
      <c r="S163">
        <v>0</v>
      </c>
    </row>
    <row r="164" spans="1:19" hidden="1" x14ac:dyDescent="0.3">
      <c r="A164">
        <v>268</v>
      </c>
      <c r="B164" t="s">
        <v>1907</v>
      </c>
      <c r="C164" t="s">
        <v>6622</v>
      </c>
      <c r="D164" t="s">
        <v>133</v>
      </c>
      <c r="E164" t="s">
        <v>222</v>
      </c>
      <c r="F164" t="s">
        <v>30</v>
      </c>
      <c r="G164" s="6">
        <v>45838</v>
      </c>
      <c r="H164">
        <v>2025</v>
      </c>
      <c r="I164" t="s">
        <v>44</v>
      </c>
      <c r="J164" t="s">
        <v>244</v>
      </c>
      <c r="L164">
        <v>765</v>
      </c>
      <c r="O164" t="s">
        <v>31</v>
      </c>
      <c r="P164" t="s">
        <v>118</v>
      </c>
      <c r="Q164" t="s">
        <v>1915</v>
      </c>
      <c r="R164">
        <v>0</v>
      </c>
      <c r="S164">
        <v>0</v>
      </c>
    </row>
    <row r="165" spans="1:19" hidden="1" x14ac:dyDescent="0.3">
      <c r="A165">
        <v>269</v>
      </c>
      <c r="B165" t="s">
        <v>1920</v>
      </c>
      <c r="C165" t="s">
        <v>6681</v>
      </c>
      <c r="D165" t="s">
        <v>133</v>
      </c>
      <c r="E165" t="s">
        <v>222</v>
      </c>
      <c r="F165" t="s">
        <v>30</v>
      </c>
      <c r="G165" s="6">
        <v>45473</v>
      </c>
      <c r="H165">
        <v>2024</v>
      </c>
      <c r="I165" t="s">
        <v>44</v>
      </c>
      <c r="J165" t="s">
        <v>71</v>
      </c>
      <c r="K165">
        <v>0</v>
      </c>
      <c r="L165">
        <v>3</v>
      </c>
      <c r="O165" t="s">
        <v>109</v>
      </c>
      <c r="P165" t="s">
        <v>109</v>
      </c>
      <c r="Q165" t="s">
        <v>1923</v>
      </c>
      <c r="R165">
        <v>2</v>
      </c>
      <c r="S165">
        <v>2</v>
      </c>
    </row>
    <row r="166" spans="1:19" hidden="1" x14ac:dyDescent="0.3">
      <c r="A166">
        <v>270</v>
      </c>
      <c r="B166" t="s">
        <v>1933</v>
      </c>
      <c r="C166" t="s">
        <v>6681</v>
      </c>
      <c r="D166" t="s">
        <v>133</v>
      </c>
      <c r="E166" t="s">
        <v>222</v>
      </c>
      <c r="F166" t="s">
        <v>30</v>
      </c>
      <c r="G166" s="6">
        <v>45473</v>
      </c>
      <c r="H166">
        <v>2024</v>
      </c>
      <c r="I166" t="s">
        <v>44</v>
      </c>
      <c r="J166" t="s">
        <v>71</v>
      </c>
      <c r="K166">
        <v>0</v>
      </c>
      <c r="L166">
        <v>4.88</v>
      </c>
      <c r="O166">
        <v>0</v>
      </c>
      <c r="P166" t="s">
        <v>118</v>
      </c>
      <c r="Q166" t="s">
        <v>1936</v>
      </c>
      <c r="R166">
        <v>1</v>
      </c>
      <c r="S166">
        <v>1</v>
      </c>
    </row>
    <row r="167" spans="1:19" hidden="1" x14ac:dyDescent="0.3">
      <c r="A167">
        <v>270</v>
      </c>
      <c r="B167" t="s">
        <v>1933</v>
      </c>
      <c r="C167" t="s">
        <v>6681</v>
      </c>
      <c r="D167" t="s">
        <v>133</v>
      </c>
      <c r="E167" t="s">
        <v>222</v>
      </c>
      <c r="F167" t="s">
        <v>30</v>
      </c>
      <c r="G167" s="6">
        <v>45838</v>
      </c>
      <c r="H167">
        <v>2025</v>
      </c>
      <c r="I167" t="s">
        <v>44</v>
      </c>
      <c r="J167" t="s">
        <v>244</v>
      </c>
      <c r="L167">
        <v>4.17</v>
      </c>
      <c r="O167" t="s">
        <v>109</v>
      </c>
      <c r="P167" t="s">
        <v>118</v>
      </c>
      <c r="Q167" t="s">
        <v>1941</v>
      </c>
      <c r="R167">
        <v>0</v>
      </c>
      <c r="S167">
        <v>0</v>
      </c>
    </row>
    <row r="168" spans="1:19" hidden="1" x14ac:dyDescent="0.3">
      <c r="A168">
        <v>271</v>
      </c>
      <c r="B168" t="s">
        <v>1946</v>
      </c>
      <c r="C168" t="s">
        <v>6681</v>
      </c>
      <c r="D168" t="s">
        <v>133</v>
      </c>
      <c r="E168" t="s">
        <v>222</v>
      </c>
      <c r="F168" t="s">
        <v>30</v>
      </c>
      <c r="G168" s="6">
        <v>45473</v>
      </c>
      <c r="H168">
        <v>2024</v>
      </c>
      <c r="I168" t="s">
        <v>44</v>
      </c>
      <c r="J168" t="s">
        <v>71</v>
      </c>
      <c r="K168">
        <v>0</v>
      </c>
      <c r="L168">
        <v>19.39</v>
      </c>
      <c r="O168">
        <v>0</v>
      </c>
      <c r="P168" t="s">
        <v>118</v>
      </c>
      <c r="Q168" t="s">
        <v>1949</v>
      </c>
      <c r="R168">
        <v>1</v>
      </c>
      <c r="S168">
        <v>1</v>
      </c>
    </row>
    <row r="169" spans="1:19" hidden="1" x14ac:dyDescent="0.3">
      <c r="A169">
        <v>271</v>
      </c>
      <c r="B169" t="s">
        <v>1946</v>
      </c>
      <c r="C169" t="s">
        <v>6681</v>
      </c>
      <c r="D169" t="s">
        <v>133</v>
      </c>
      <c r="E169" t="s">
        <v>222</v>
      </c>
      <c r="F169" t="s">
        <v>30</v>
      </c>
      <c r="G169" s="6">
        <v>45838</v>
      </c>
      <c r="H169">
        <v>2025</v>
      </c>
      <c r="I169" t="s">
        <v>44</v>
      </c>
      <c r="J169" t="s">
        <v>244</v>
      </c>
      <c r="L169">
        <v>23.85</v>
      </c>
      <c r="O169">
        <v>0</v>
      </c>
      <c r="P169" t="s">
        <v>118</v>
      </c>
      <c r="Q169" t="s">
        <v>1954</v>
      </c>
      <c r="R169">
        <v>0</v>
      </c>
      <c r="S169">
        <v>0</v>
      </c>
    </row>
    <row r="170" spans="1:19" hidden="1" x14ac:dyDescent="0.3">
      <c r="A170">
        <v>273</v>
      </c>
      <c r="B170" t="s">
        <v>1964</v>
      </c>
      <c r="C170" t="s">
        <v>6622</v>
      </c>
      <c r="D170" t="s">
        <v>87</v>
      </c>
      <c r="E170" t="s">
        <v>222</v>
      </c>
      <c r="F170" t="s">
        <v>30</v>
      </c>
      <c r="G170" s="6">
        <v>45838</v>
      </c>
      <c r="H170">
        <v>2025</v>
      </c>
      <c r="I170" t="s">
        <v>44</v>
      </c>
      <c r="J170" t="s">
        <v>244</v>
      </c>
      <c r="K170">
        <v>2</v>
      </c>
      <c r="L170">
        <v>3</v>
      </c>
      <c r="M170">
        <v>1.3</v>
      </c>
      <c r="N170">
        <v>1.5</v>
      </c>
      <c r="O170" t="s">
        <v>118</v>
      </c>
      <c r="P170" t="s">
        <v>118</v>
      </c>
      <c r="Q170" t="s">
        <v>1970</v>
      </c>
      <c r="R170">
        <v>0</v>
      </c>
      <c r="S170">
        <v>0</v>
      </c>
    </row>
    <row r="171" spans="1:19" hidden="1" x14ac:dyDescent="0.3">
      <c r="A171">
        <v>274</v>
      </c>
      <c r="B171" t="s">
        <v>1973</v>
      </c>
      <c r="C171" t="s">
        <v>6622</v>
      </c>
      <c r="D171" t="s">
        <v>1832</v>
      </c>
      <c r="E171" t="s">
        <v>222</v>
      </c>
      <c r="F171" t="s">
        <v>30</v>
      </c>
      <c r="G171" s="6">
        <v>46023</v>
      </c>
      <c r="H171" t="s">
        <v>6623</v>
      </c>
      <c r="I171" t="s">
        <v>6623</v>
      </c>
      <c r="J171" t="s">
        <v>6623</v>
      </c>
      <c r="K171">
        <v>44737</v>
      </c>
      <c r="L171">
        <v>45583</v>
      </c>
      <c r="M171">
        <v>1.0189105214922769</v>
      </c>
      <c r="N171">
        <v>1.0189105214922769</v>
      </c>
      <c r="O171" t="s">
        <v>118</v>
      </c>
      <c r="P171" t="s">
        <v>118</v>
      </c>
      <c r="Q171" t="s">
        <v>6711</v>
      </c>
      <c r="R171">
        <v>0</v>
      </c>
      <c r="S171">
        <v>0</v>
      </c>
    </row>
    <row r="172" spans="1:19" hidden="1" x14ac:dyDescent="0.3">
      <c r="A172">
        <v>275</v>
      </c>
      <c r="B172" t="s">
        <v>1987</v>
      </c>
      <c r="C172" t="s">
        <v>6622</v>
      </c>
      <c r="D172" t="s">
        <v>1988</v>
      </c>
      <c r="E172" t="s">
        <v>222</v>
      </c>
      <c r="F172" t="s">
        <v>30</v>
      </c>
      <c r="G172" s="6">
        <v>45473</v>
      </c>
      <c r="H172">
        <v>2024</v>
      </c>
      <c r="I172" t="s">
        <v>44</v>
      </c>
      <c r="J172" t="s">
        <v>71</v>
      </c>
      <c r="K172">
        <v>80</v>
      </c>
      <c r="L172">
        <v>83</v>
      </c>
      <c r="M172">
        <v>1.0375000000000001</v>
      </c>
      <c r="N172">
        <v>1.0375000000000001</v>
      </c>
      <c r="O172" t="s">
        <v>31</v>
      </c>
      <c r="P172" t="s">
        <v>31</v>
      </c>
      <c r="Q172" t="s">
        <v>1989</v>
      </c>
      <c r="R172">
        <v>0</v>
      </c>
      <c r="S172">
        <v>0</v>
      </c>
    </row>
    <row r="173" spans="1:19" hidden="1" x14ac:dyDescent="0.3">
      <c r="A173">
        <v>275</v>
      </c>
      <c r="B173" t="s">
        <v>1987</v>
      </c>
      <c r="C173" t="s">
        <v>6622</v>
      </c>
      <c r="D173" t="s">
        <v>1988</v>
      </c>
      <c r="E173" t="s">
        <v>222</v>
      </c>
      <c r="F173" t="s">
        <v>30</v>
      </c>
      <c r="G173" s="6">
        <v>45838</v>
      </c>
      <c r="H173">
        <v>2025</v>
      </c>
      <c r="I173" t="s">
        <v>44</v>
      </c>
      <c r="J173" t="s">
        <v>244</v>
      </c>
      <c r="K173">
        <v>80</v>
      </c>
      <c r="L173">
        <v>90</v>
      </c>
      <c r="M173">
        <v>1.125</v>
      </c>
      <c r="N173">
        <v>1.125</v>
      </c>
      <c r="O173" t="s">
        <v>31</v>
      </c>
      <c r="P173" t="s">
        <v>31</v>
      </c>
      <c r="Q173" t="s">
        <v>1991</v>
      </c>
      <c r="R173">
        <v>0</v>
      </c>
      <c r="S173">
        <v>0</v>
      </c>
    </row>
    <row r="174" spans="1:19" hidden="1" x14ac:dyDescent="0.3">
      <c r="A174">
        <v>276</v>
      </c>
      <c r="B174" t="s">
        <v>1996</v>
      </c>
      <c r="C174" t="s">
        <v>6622</v>
      </c>
      <c r="D174" t="s">
        <v>1997</v>
      </c>
      <c r="E174" t="s">
        <v>222</v>
      </c>
      <c r="F174" t="s">
        <v>108</v>
      </c>
      <c r="G174" s="6">
        <v>46023</v>
      </c>
      <c r="H174" t="s">
        <v>6623</v>
      </c>
      <c r="I174" t="s">
        <v>6623</v>
      </c>
      <c r="J174" t="s">
        <v>6623</v>
      </c>
      <c r="K174">
        <v>81</v>
      </c>
      <c r="L174">
        <v>82.81</v>
      </c>
      <c r="M174">
        <v>0.97814273638449456</v>
      </c>
      <c r="N174">
        <v>0.97814273638449456</v>
      </c>
      <c r="O174" t="s">
        <v>118</v>
      </c>
      <c r="P174" t="s">
        <v>109</v>
      </c>
      <c r="Q174" t="s">
        <v>6712</v>
      </c>
      <c r="R174">
        <v>0</v>
      </c>
      <c r="S174">
        <v>1</v>
      </c>
    </row>
    <row r="175" spans="1:19" hidden="1" x14ac:dyDescent="0.3">
      <c r="A175">
        <v>278</v>
      </c>
      <c r="B175" t="s">
        <v>2030</v>
      </c>
      <c r="C175" t="s">
        <v>6681</v>
      </c>
      <c r="D175" t="s">
        <v>1997</v>
      </c>
      <c r="E175" t="s">
        <v>222</v>
      </c>
      <c r="F175" t="s">
        <v>30</v>
      </c>
      <c r="G175" s="6">
        <v>45838</v>
      </c>
      <c r="H175">
        <v>2025</v>
      </c>
      <c r="I175" t="s">
        <v>44</v>
      </c>
      <c r="J175" t="s">
        <v>244</v>
      </c>
      <c r="L175">
        <v>1099</v>
      </c>
      <c r="O175" t="s">
        <v>761</v>
      </c>
      <c r="P175" t="s">
        <v>761</v>
      </c>
      <c r="Q175" t="s">
        <v>2033</v>
      </c>
      <c r="R175">
        <v>0</v>
      </c>
      <c r="S175">
        <v>0</v>
      </c>
    </row>
    <row r="176" spans="1:19" hidden="1" x14ac:dyDescent="0.3">
      <c r="A176">
        <v>282</v>
      </c>
      <c r="B176" t="s">
        <v>2050</v>
      </c>
      <c r="C176" t="s">
        <v>6681</v>
      </c>
      <c r="D176" t="s">
        <v>1997</v>
      </c>
      <c r="E176" t="s">
        <v>222</v>
      </c>
      <c r="F176" t="s">
        <v>30</v>
      </c>
      <c r="G176" s="6">
        <v>45838</v>
      </c>
      <c r="H176">
        <v>2025</v>
      </c>
      <c r="I176" t="s">
        <v>44</v>
      </c>
      <c r="J176" t="s">
        <v>244</v>
      </c>
      <c r="K176">
        <v>97</v>
      </c>
      <c r="L176">
        <v>97.41</v>
      </c>
      <c r="M176">
        <v>1.004226804123711</v>
      </c>
      <c r="N176">
        <v>1.004226804123711</v>
      </c>
      <c r="O176" t="s">
        <v>31</v>
      </c>
      <c r="P176" t="s">
        <v>31</v>
      </c>
      <c r="Q176" t="s">
        <v>2057</v>
      </c>
      <c r="R176">
        <v>0</v>
      </c>
      <c r="S176">
        <v>0</v>
      </c>
    </row>
    <row r="177" spans="1:19" hidden="1" x14ac:dyDescent="0.3">
      <c r="A177">
        <v>283</v>
      </c>
      <c r="B177" t="s">
        <v>2062</v>
      </c>
      <c r="C177" t="s">
        <v>6681</v>
      </c>
      <c r="D177" t="s">
        <v>1997</v>
      </c>
      <c r="E177" t="s">
        <v>222</v>
      </c>
      <c r="F177" t="s">
        <v>30</v>
      </c>
      <c r="G177" s="6">
        <v>45838</v>
      </c>
      <c r="H177">
        <v>2025</v>
      </c>
      <c r="I177" t="s">
        <v>44</v>
      </c>
      <c r="J177" t="s">
        <v>244</v>
      </c>
      <c r="K177">
        <v>4.5999999999999996</v>
      </c>
      <c r="L177">
        <v>4.66</v>
      </c>
      <c r="M177">
        <v>1.0130434782608699</v>
      </c>
      <c r="N177">
        <v>1.0130434782608699</v>
      </c>
      <c r="O177" t="s">
        <v>109</v>
      </c>
      <c r="P177" t="s">
        <v>109</v>
      </c>
      <c r="Q177" t="s">
        <v>2070</v>
      </c>
      <c r="R177">
        <v>1</v>
      </c>
      <c r="S177">
        <v>2</v>
      </c>
    </row>
    <row r="178" spans="1:19" hidden="1" x14ac:dyDescent="0.3">
      <c r="A178">
        <v>285</v>
      </c>
      <c r="B178" t="s">
        <v>2079</v>
      </c>
      <c r="C178" t="s">
        <v>6681</v>
      </c>
      <c r="D178" t="s">
        <v>1997</v>
      </c>
      <c r="E178" t="s">
        <v>222</v>
      </c>
      <c r="F178" t="s">
        <v>30</v>
      </c>
      <c r="G178" s="6">
        <v>45838</v>
      </c>
      <c r="H178">
        <v>2025</v>
      </c>
      <c r="I178" t="s">
        <v>44</v>
      </c>
      <c r="J178" t="s">
        <v>244</v>
      </c>
      <c r="K178">
        <v>100</v>
      </c>
      <c r="L178">
        <v>100</v>
      </c>
      <c r="M178">
        <v>1</v>
      </c>
      <c r="N178">
        <v>1</v>
      </c>
      <c r="O178" t="s">
        <v>31</v>
      </c>
      <c r="P178" t="s">
        <v>31</v>
      </c>
      <c r="Q178" t="s">
        <v>2084</v>
      </c>
      <c r="R178">
        <v>0</v>
      </c>
      <c r="S178">
        <v>0</v>
      </c>
    </row>
    <row r="179" spans="1:19" hidden="1" x14ac:dyDescent="0.3">
      <c r="A179">
        <v>286</v>
      </c>
      <c r="B179" t="s">
        <v>2087</v>
      </c>
      <c r="C179" t="s">
        <v>6681</v>
      </c>
      <c r="D179" t="s">
        <v>1997</v>
      </c>
      <c r="E179" t="s">
        <v>222</v>
      </c>
      <c r="F179" t="s">
        <v>30</v>
      </c>
      <c r="G179" s="6">
        <v>45838</v>
      </c>
      <c r="H179">
        <v>2025</v>
      </c>
      <c r="I179" t="s">
        <v>44</v>
      </c>
      <c r="J179" t="s">
        <v>244</v>
      </c>
      <c r="L179">
        <v>1099</v>
      </c>
      <c r="O179" t="s">
        <v>761</v>
      </c>
      <c r="P179" t="s">
        <v>761</v>
      </c>
      <c r="Q179" t="s">
        <v>2093</v>
      </c>
      <c r="R179">
        <v>0</v>
      </c>
      <c r="S179">
        <v>0</v>
      </c>
    </row>
    <row r="180" spans="1:19" hidden="1" x14ac:dyDescent="0.3">
      <c r="A180">
        <v>288</v>
      </c>
      <c r="B180" t="s">
        <v>2096</v>
      </c>
      <c r="C180" t="s">
        <v>6681</v>
      </c>
      <c r="D180" t="s">
        <v>1997</v>
      </c>
      <c r="E180" t="s">
        <v>98</v>
      </c>
      <c r="F180" t="s">
        <v>30</v>
      </c>
      <c r="G180" s="6">
        <v>45838</v>
      </c>
      <c r="H180">
        <v>2025</v>
      </c>
      <c r="I180" t="s">
        <v>44</v>
      </c>
      <c r="J180" t="s">
        <v>244</v>
      </c>
      <c r="K180">
        <v>17</v>
      </c>
      <c r="L180">
        <v>17</v>
      </c>
      <c r="M180">
        <v>1</v>
      </c>
      <c r="N180">
        <v>1</v>
      </c>
      <c r="O180" t="s">
        <v>118</v>
      </c>
      <c r="P180" t="s">
        <v>118</v>
      </c>
      <c r="Q180" t="s">
        <v>2101</v>
      </c>
      <c r="R180">
        <v>0</v>
      </c>
      <c r="S180">
        <v>0</v>
      </c>
    </row>
    <row r="181" spans="1:19" hidden="1" x14ac:dyDescent="0.3">
      <c r="A181">
        <v>289</v>
      </c>
      <c r="B181" t="s">
        <v>2103</v>
      </c>
      <c r="C181" t="s">
        <v>6681</v>
      </c>
      <c r="D181" t="s">
        <v>309</v>
      </c>
      <c r="E181" t="s">
        <v>233</v>
      </c>
      <c r="F181" t="s">
        <v>30</v>
      </c>
      <c r="G181" s="6">
        <v>45473</v>
      </c>
      <c r="H181">
        <v>2024</v>
      </c>
      <c r="I181" t="s">
        <v>44</v>
      </c>
      <c r="J181" t="s">
        <v>71</v>
      </c>
      <c r="K181">
        <v>95</v>
      </c>
      <c r="L181">
        <v>100</v>
      </c>
      <c r="M181">
        <v>1.0526315789473679</v>
      </c>
      <c r="N181">
        <v>1.0526315789473679</v>
      </c>
      <c r="O181" t="s">
        <v>31</v>
      </c>
      <c r="P181" t="s">
        <v>31</v>
      </c>
      <c r="Q181" t="s">
        <v>2109</v>
      </c>
      <c r="R181">
        <v>0</v>
      </c>
      <c r="S181">
        <v>0</v>
      </c>
    </row>
    <row r="182" spans="1:19" hidden="1" x14ac:dyDescent="0.3">
      <c r="A182">
        <v>290</v>
      </c>
      <c r="B182" t="s">
        <v>2113</v>
      </c>
      <c r="C182" t="s">
        <v>6622</v>
      </c>
      <c r="D182" t="s">
        <v>2114</v>
      </c>
      <c r="E182" t="s">
        <v>284</v>
      </c>
      <c r="F182" t="s">
        <v>30</v>
      </c>
      <c r="G182" s="6">
        <v>45535</v>
      </c>
      <c r="H182">
        <v>2024</v>
      </c>
      <c r="I182" t="s">
        <v>49</v>
      </c>
      <c r="J182" t="s">
        <v>78</v>
      </c>
      <c r="K182">
        <v>90</v>
      </c>
      <c r="L182">
        <v>100</v>
      </c>
      <c r="M182">
        <v>1</v>
      </c>
      <c r="N182">
        <v>1.1111111111111109</v>
      </c>
      <c r="O182" t="s">
        <v>31</v>
      </c>
      <c r="P182" t="s">
        <v>31</v>
      </c>
      <c r="Q182" t="s">
        <v>2122</v>
      </c>
      <c r="R182">
        <v>0</v>
      </c>
      <c r="S182">
        <v>0</v>
      </c>
    </row>
    <row r="183" spans="1:19" hidden="1" x14ac:dyDescent="0.3">
      <c r="A183">
        <v>290</v>
      </c>
      <c r="B183" t="s">
        <v>2113</v>
      </c>
      <c r="C183" t="s">
        <v>6622</v>
      </c>
      <c r="D183" t="s">
        <v>2114</v>
      </c>
      <c r="E183" t="s">
        <v>284</v>
      </c>
      <c r="F183" t="s">
        <v>30</v>
      </c>
      <c r="G183" s="6">
        <v>45838</v>
      </c>
      <c r="H183">
        <v>2025</v>
      </c>
      <c r="I183" t="s">
        <v>44</v>
      </c>
      <c r="J183" t="s">
        <v>244</v>
      </c>
      <c r="K183">
        <v>90</v>
      </c>
      <c r="L183">
        <v>93.33</v>
      </c>
      <c r="M183">
        <v>1.0369999999999999</v>
      </c>
      <c r="N183">
        <v>1.0369999999999999</v>
      </c>
      <c r="O183" t="s">
        <v>31</v>
      </c>
      <c r="P183" t="s">
        <v>31</v>
      </c>
      <c r="Q183" t="s">
        <v>2127</v>
      </c>
      <c r="R183">
        <v>0</v>
      </c>
      <c r="S183">
        <v>0</v>
      </c>
    </row>
    <row r="184" spans="1:19" hidden="1" x14ac:dyDescent="0.3">
      <c r="A184">
        <v>292</v>
      </c>
      <c r="B184" t="s">
        <v>2139</v>
      </c>
      <c r="C184" t="s">
        <v>6681</v>
      </c>
      <c r="D184" t="s">
        <v>2133</v>
      </c>
      <c r="E184" t="s">
        <v>222</v>
      </c>
      <c r="F184" t="s">
        <v>30</v>
      </c>
      <c r="G184" s="6">
        <v>45838</v>
      </c>
      <c r="H184">
        <v>2025</v>
      </c>
      <c r="I184" t="s">
        <v>44</v>
      </c>
      <c r="J184" t="s">
        <v>244</v>
      </c>
      <c r="K184">
        <v>8</v>
      </c>
      <c r="L184">
        <v>9.7899999999999991</v>
      </c>
      <c r="M184">
        <v>1.2237499999999999</v>
      </c>
      <c r="N184">
        <v>1.2237499999999999</v>
      </c>
      <c r="O184" t="s">
        <v>31</v>
      </c>
      <c r="P184" t="s">
        <v>31</v>
      </c>
      <c r="Q184" t="s">
        <v>2147</v>
      </c>
      <c r="R184">
        <v>0</v>
      </c>
      <c r="S184">
        <v>0</v>
      </c>
    </row>
    <row r="185" spans="1:19" hidden="1" x14ac:dyDescent="0.3">
      <c r="A185">
        <v>294</v>
      </c>
      <c r="B185" t="s">
        <v>2162</v>
      </c>
      <c r="C185" t="s">
        <v>6681</v>
      </c>
      <c r="D185" t="s">
        <v>2133</v>
      </c>
      <c r="E185" t="s">
        <v>222</v>
      </c>
      <c r="F185" t="s">
        <v>30</v>
      </c>
      <c r="G185" s="6">
        <v>45838</v>
      </c>
      <c r="H185">
        <v>2025</v>
      </c>
      <c r="I185" t="s">
        <v>44</v>
      </c>
      <c r="J185" t="s">
        <v>244</v>
      </c>
      <c r="K185">
        <v>8</v>
      </c>
      <c r="L185">
        <v>-9.19</v>
      </c>
      <c r="M185">
        <v>0</v>
      </c>
      <c r="N185">
        <v>0</v>
      </c>
      <c r="O185" t="s">
        <v>31</v>
      </c>
      <c r="P185" t="s">
        <v>31</v>
      </c>
      <c r="Q185" t="s">
        <v>2166</v>
      </c>
      <c r="R185">
        <v>0</v>
      </c>
      <c r="S185">
        <v>0</v>
      </c>
    </row>
    <row r="186" spans="1:19" hidden="1" x14ac:dyDescent="0.3">
      <c r="A186">
        <v>295</v>
      </c>
      <c r="B186" t="s">
        <v>2171</v>
      </c>
      <c r="C186" t="s">
        <v>6681</v>
      </c>
      <c r="D186" t="s">
        <v>283</v>
      </c>
      <c r="E186" t="s">
        <v>222</v>
      </c>
      <c r="F186" t="s">
        <v>30</v>
      </c>
      <c r="G186" s="6">
        <v>45473</v>
      </c>
      <c r="H186">
        <v>2024</v>
      </c>
      <c r="I186" t="s">
        <v>44</v>
      </c>
      <c r="J186" t="s">
        <v>71</v>
      </c>
      <c r="K186">
        <v>60</v>
      </c>
      <c r="L186">
        <v>52.38</v>
      </c>
      <c r="M186">
        <v>0.873</v>
      </c>
      <c r="N186">
        <v>0.873</v>
      </c>
      <c r="O186" t="s">
        <v>118</v>
      </c>
      <c r="P186" t="s">
        <v>118</v>
      </c>
      <c r="Q186" t="s">
        <v>2174</v>
      </c>
      <c r="R186">
        <v>0</v>
      </c>
      <c r="S186">
        <v>0</v>
      </c>
    </row>
    <row r="187" spans="1:19" hidden="1" x14ac:dyDescent="0.3">
      <c r="A187">
        <v>300</v>
      </c>
      <c r="B187" t="s">
        <v>2207</v>
      </c>
      <c r="C187" t="s">
        <v>6681</v>
      </c>
      <c r="D187" t="s">
        <v>169</v>
      </c>
      <c r="E187" t="s">
        <v>233</v>
      </c>
      <c r="F187" t="s">
        <v>30</v>
      </c>
      <c r="G187" s="6">
        <v>45473</v>
      </c>
      <c r="H187">
        <v>2024</v>
      </c>
      <c r="I187" t="s">
        <v>44</v>
      </c>
      <c r="J187" t="s">
        <v>71</v>
      </c>
      <c r="K187">
        <v>100</v>
      </c>
      <c r="L187">
        <v>100</v>
      </c>
      <c r="M187">
        <v>1</v>
      </c>
      <c r="N187">
        <v>1</v>
      </c>
      <c r="O187" t="s">
        <v>31</v>
      </c>
      <c r="P187" t="s">
        <v>31</v>
      </c>
      <c r="Q187" t="s">
        <v>2213</v>
      </c>
      <c r="R187">
        <v>0</v>
      </c>
      <c r="S187">
        <v>0</v>
      </c>
    </row>
    <row r="188" spans="1:19" hidden="1" x14ac:dyDescent="0.3">
      <c r="A188">
        <v>300</v>
      </c>
      <c r="B188" t="s">
        <v>2207</v>
      </c>
      <c r="C188" t="s">
        <v>6681</v>
      </c>
      <c r="D188" t="s">
        <v>169</v>
      </c>
      <c r="E188" t="s">
        <v>233</v>
      </c>
      <c r="F188" t="s">
        <v>30</v>
      </c>
      <c r="G188" s="6">
        <v>45838</v>
      </c>
      <c r="H188">
        <v>2025</v>
      </c>
      <c r="I188" t="s">
        <v>44</v>
      </c>
      <c r="J188" t="s">
        <v>244</v>
      </c>
      <c r="K188">
        <v>100</v>
      </c>
      <c r="L188">
        <v>100</v>
      </c>
      <c r="M188">
        <v>1</v>
      </c>
      <c r="N188">
        <v>1</v>
      </c>
      <c r="O188" t="s">
        <v>31</v>
      </c>
      <c r="P188" t="s">
        <v>31</v>
      </c>
      <c r="Q188" t="s">
        <v>2217</v>
      </c>
      <c r="R188">
        <v>0</v>
      </c>
      <c r="S188">
        <v>0</v>
      </c>
    </row>
    <row r="189" spans="1:19" hidden="1" x14ac:dyDescent="0.3">
      <c r="A189">
        <v>301</v>
      </c>
      <c r="B189" t="s">
        <v>2220</v>
      </c>
      <c r="C189" t="s">
        <v>6681</v>
      </c>
      <c r="D189" t="s">
        <v>169</v>
      </c>
      <c r="E189" t="s">
        <v>233</v>
      </c>
      <c r="F189" t="s">
        <v>30</v>
      </c>
      <c r="G189" s="6">
        <v>45473</v>
      </c>
      <c r="H189">
        <v>2024</v>
      </c>
      <c r="I189" t="s">
        <v>44</v>
      </c>
      <c r="J189" t="s">
        <v>71</v>
      </c>
      <c r="K189">
        <v>100</v>
      </c>
      <c r="L189">
        <v>100</v>
      </c>
      <c r="M189">
        <v>1</v>
      </c>
      <c r="N189">
        <v>1</v>
      </c>
      <c r="O189" t="s">
        <v>31</v>
      </c>
      <c r="P189" t="s">
        <v>31</v>
      </c>
      <c r="Q189" t="s">
        <v>2226</v>
      </c>
      <c r="R189">
        <v>0</v>
      </c>
      <c r="S189">
        <v>0</v>
      </c>
    </row>
    <row r="190" spans="1:19" hidden="1" x14ac:dyDescent="0.3">
      <c r="A190">
        <v>301</v>
      </c>
      <c r="B190" t="s">
        <v>2220</v>
      </c>
      <c r="C190" t="s">
        <v>6681</v>
      </c>
      <c r="D190" t="s">
        <v>169</v>
      </c>
      <c r="E190" t="s">
        <v>233</v>
      </c>
      <c r="F190" t="s">
        <v>30</v>
      </c>
      <c r="G190" s="6">
        <v>45838</v>
      </c>
      <c r="H190">
        <v>2025</v>
      </c>
      <c r="I190" t="s">
        <v>44</v>
      </c>
      <c r="J190" t="s">
        <v>244</v>
      </c>
      <c r="K190">
        <v>100</v>
      </c>
      <c r="L190">
        <v>100</v>
      </c>
      <c r="M190">
        <v>1</v>
      </c>
      <c r="N190">
        <v>1</v>
      </c>
      <c r="O190" t="s">
        <v>31</v>
      </c>
      <c r="P190" t="s">
        <v>31</v>
      </c>
      <c r="Q190" t="s">
        <v>2230</v>
      </c>
      <c r="R190">
        <v>0</v>
      </c>
      <c r="S190">
        <v>0</v>
      </c>
    </row>
    <row r="191" spans="1:19" hidden="1" x14ac:dyDescent="0.3">
      <c r="A191">
        <v>302</v>
      </c>
      <c r="B191" t="s">
        <v>2233</v>
      </c>
      <c r="C191" t="s">
        <v>6681</v>
      </c>
      <c r="D191" t="s">
        <v>133</v>
      </c>
      <c r="E191" t="s">
        <v>222</v>
      </c>
      <c r="F191" t="s">
        <v>30</v>
      </c>
      <c r="G191" s="6">
        <v>45473</v>
      </c>
      <c r="H191">
        <v>2024</v>
      </c>
      <c r="I191" t="s">
        <v>44</v>
      </c>
      <c r="J191" t="s">
        <v>71</v>
      </c>
      <c r="K191">
        <v>0</v>
      </c>
      <c r="L191">
        <v>18355</v>
      </c>
      <c r="O191">
        <v>0</v>
      </c>
      <c r="P191" t="s">
        <v>118</v>
      </c>
      <c r="Q191" t="s">
        <v>2236</v>
      </c>
      <c r="R191">
        <v>0</v>
      </c>
      <c r="S191">
        <v>0</v>
      </c>
    </row>
    <row r="192" spans="1:19" hidden="1" x14ac:dyDescent="0.3">
      <c r="A192">
        <v>302</v>
      </c>
      <c r="B192" t="s">
        <v>2233</v>
      </c>
      <c r="C192" t="s">
        <v>6681</v>
      </c>
      <c r="D192" t="s">
        <v>133</v>
      </c>
      <c r="E192" t="s">
        <v>222</v>
      </c>
      <c r="F192" t="s">
        <v>30</v>
      </c>
      <c r="G192" s="6">
        <v>45838</v>
      </c>
      <c r="H192">
        <v>2025</v>
      </c>
      <c r="I192" t="s">
        <v>44</v>
      </c>
      <c r="J192" t="s">
        <v>244</v>
      </c>
      <c r="L192">
        <v>0</v>
      </c>
      <c r="O192" t="s">
        <v>31</v>
      </c>
      <c r="P192" t="s">
        <v>118</v>
      </c>
      <c r="Q192" t="s">
        <v>2241</v>
      </c>
      <c r="R192">
        <v>0</v>
      </c>
      <c r="S192">
        <v>0</v>
      </c>
    </row>
    <row r="193" spans="1:19" hidden="1" x14ac:dyDescent="0.3">
      <c r="A193">
        <v>303</v>
      </c>
      <c r="B193" t="s">
        <v>2246</v>
      </c>
      <c r="C193" t="s">
        <v>6681</v>
      </c>
      <c r="D193" t="s">
        <v>161</v>
      </c>
      <c r="E193" t="s">
        <v>222</v>
      </c>
      <c r="F193" t="s">
        <v>30</v>
      </c>
      <c r="G193" s="6">
        <v>45838</v>
      </c>
      <c r="H193">
        <v>2025</v>
      </c>
      <c r="I193" t="s">
        <v>44</v>
      </c>
      <c r="J193" t="s">
        <v>244</v>
      </c>
      <c r="K193">
        <v>95</v>
      </c>
      <c r="L193">
        <v>90.32</v>
      </c>
      <c r="M193">
        <v>0.9507368421052631</v>
      </c>
      <c r="N193">
        <v>0.9507368421052631</v>
      </c>
      <c r="O193" t="s">
        <v>31</v>
      </c>
      <c r="P193" t="s">
        <v>31</v>
      </c>
      <c r="Q193" t="s">
        <v>2253</v>
      </c>
      <c r="R193">
        <v>0</v>
      </c>
      <c r="S193">
        <v>0</v>
      </c>
    </row>
    <row r="194" spans="1:19" hidden="1" x14ac:dyDescent="0.3">
      <c r="A194">
        <v>304</v>
      </c>
      <c r="B194" t="s">
        <v>2256</v>
      </c>
      <c r="C194" t="s">
        <v>6681</v>
      </c>
      <c r="D194" t="s">
        <v>161</v>
      </c>
      <c r="E194" t="s">
        <v>222</v>
      </c>
      <c r="F194" t="s">
        <v>30</v>
      </c>
      <c r="G194" s="6">
        <v>45838</v>
      </c>
      <c r="H194">
        <v>2025</v>
      </c>
      <c r="I194" t="s">
        <v>44</v>
      </c>
      <c r="J194" t="s">
        <v>244</v>
      </c>
      <c r="K194">
        <v>3400</v>
      </c>
      <c r="L194">
        <v>3348</v>
      </c>
      <c r="M194">
        <v>0.98470588235294121</v>
      </c>
      <c r="N194">
        <v>0.98470588235294121</v>
      </c>
      <c r="O194" t="s">
        <v>118</v>
      </c>
      <c r="P194" t="s">
        <v>118</v>
      </c>
      <c r="Q194" t="s">
        <v>2263</v>
      </c>
      <c r="R194">
        <v>0</v>
      </c>
      <c r="S194">
        <v>0</v>
      </c>
    </row>
    <row r="195" spans="1:19" hidden="1" x14ac:dyDescent="0.3">
      <c r="A195">
        <v>306</v>
      </c>
      <c r="B195" t="s">
        <v>2272</v>
      </c>
      <c r="C195" t="s">
        <v>6622</v>
      </c>
      <c r="D195" t="s">
        <v>138</v>
      </c>
      <c r="E195" t="s">
        <v>233</v>
      </c>
      <c r="F195" t="s">
        <v>30</v>
      </c>
      <c r="G195" s="6">
        <v>45473</v>
      </c>
      <c r="H195">
        <v>2024</v>
      </c>
      <c r="I195" t="s">
        <v>44</v>
      </c>
      <c r="J195" t="s">
        <v>71</v>
      </c>
      <c r="K195">
        <v>100</v>
      </c>
      <c r="L195">
        <v>100.17</v>
      </c>
      <c r="M195">
        <v>1.0017</v>
      </c>
      <c r="N195">
        <v>1.0017</v>
      </c>
      <c r="O195" t="s">
        <v>31</v>
      </c>
      <c r="P195" t="s">
        <v>31</v>
      </c>
      <c r="Q195" t="s">
        <v>2277</v>
      </c>
      <c r="R195">
        <v>0</v>
      </c>
      <c r="S195">
        <v>0</v>
      </c>
    </row>
    <row r="196" spans="1:19" hidden="1" x14ac:dyDescent="0.3">
      <c r="A196">
        <v>306</v>
      </c>
      <c r="B196" t="s">
        <v>2272</v>
      </c>
      <c r="C196" t="s">
        <v>6622</v>
      </c>
      <c r="D196" t="s">
        <v>138</v>
      </c>
      <c r="E196" t="s">
        <v>233</v>
      </c>
      <c r="F196" t="s">
        <v>30</v>
      </c>
      <c r="G196" s="6">
        <v>45838</v>
      </c>
      <c r="H196">
        <v>2025</v>
      </c>
      <c r="I196" t="s">
        <v>44</v>
      </c>
      <c r="J196" t="s">
        <v>244</v>
      </c>
      <c r="K196">
        <v>100</v>
      </c>
      <c r="L196">
        <v>109.5</v>
      </c>
      <c r="M196">
        <v>1.095</v>
      </c>
      <c r="N196">
        <v>1.095</v>
      </c>
      <c r="O196" t="s">
        <v>31</v>
      </c>
      <c r="P196" t="s">
        <v>31</v>
      </c>
      <c r="Q196" t="s">
        <v>2283</v>
      </c>
      <c r="R196">
        <v>0</v>
      </c>
      <c r="S196">
        <v>0</v>
      </c>
    </row>
    <row r="197" spans="1:19" hidden="1" x14ac:dyDescent="0.3">
      <c r="A197">
        <v>315</v>
      </c>
      <c r="B197" t="s">
        <v>2338</v>
      </c>
      <c r="C197" t="s">
        <v>6622</v>
      </c>
      <c r="D197" t="s">
        <v>663</v>
      </c>
      <c r="E197" t="s">
        <v>222</v>
      </c>
      <c r="F197" t="s">
        <v>30</v>
      </c>
      <c r="G197" s="6">
        <v>45473</v>
      </c>
      <c r="H197">
        <v>2024</v>
      </c>
      <c r="I197" t="s">
        <v>44</v>
      </c>
      <c r="J197" t="s">
        <v>71</v>
      </c>
      <c r="O197" t="s">
        <v>118</v>
      </c>
      <c r="P197" t="s">
        <v>118</v>
      </c>
      <c r="Q197" t="s">
        <v>2339</v>
      </c>
      <c r="R197">
        <v>0</v>
      </c>
      <c r="S197">
        <v>0</v>
      </c>
    </row>
    <row r="198" spans="1:19" hidden="1" x14ac:dyDescent="0.3">
      <c r="A198">
        <v>316</v>
      </c>
      <c r="B198" t="s">
        <v>2342</v>
      </c>
      <c r="C198" t="s">
        <v>6622</v>
      </c>
      <c r="D198" t="s">
        <v>663</v>
      </c>
      <c r="E198" t="s">
        <v>222</v>
      </c>
      <c r="F198" t="s">
        <v>30</v>
      </c>
      <c r="G198" s="6">
        <v>45473</v>
      </c>
      <c r="H198">
        <v>2024</v>
      </c>
      <c r="I198" t="s">
        <v>44</v>
      </c>
      <c r="J198" t="s">
        <v>71</v>
      </c>
      <c r="O198" t="s">
        <v>118</v>
      </c>
      <c r="P198" t="s">
        <v>118</v>
      </c>
      <c r="Q198" t="s">
        <v>2345</v>
      </c>
      <c r="R198">
        <v>0</v>
      </c>
      <c r="S198">
        <v>0</v>
      </c>
    </row>
    <row r="199" spans="1:19" hidden="1" x14ac:dyDescent="0.3">
      <c r="A199">
        <v>323</v>
      </c>
      <c r="B199" t="s">
        <v>2381</v>
      </c>
      <c r="C199" t="s">
        <v>6622</v>
      </c>
      <c r="D199" t="s">
        <v>61</v>
      </c>
      <c r="E199" t="s">
        <v>222</v>
      </c>
      <c r="F199" t="s">
        <v>30</v>
      </c>
      <c r="G199" s="6">
        <v>46023</v>
      </c>
      <c r="H199" t="s">
        <v>6623</v>
      </c>
      <c r="I199" t="s">
        <v>6623</v>
      </c>
      <c r="J199" t="s">
        <v>6623</v>
      </c>
      <c r="K199">
        <v>21</v>
      </c>
      <c r="L199">
        <v>21</v>
      </c>
      <c r="M199">
        <v>1</v>
      </c>
      <c r="N199">
        <v>1</v>
      </c>
      <c r="O199" t="s">
        <v>118</v>
      </c>
      <c r="P199" t="s">
        <v>118</v>
      </c>
      <c r="Q199" t="s">
        <v>6713</v>
      </c>
      <c r="R199">
        <v>0</v>
      </c>
      <c r="S199">
        <v>0</v>
      </c>
    </row>
    <row r="200" spans="1:19" hidden="1" x14ac:dyDescent="0.3">
      <c r="A200">
        <v>324</v>
      </c>
      <c r="B200" t="s">
        <v>2390</v>
      </c>
      <c r="C200" t="s">
        <v>6622</v>
      </c>
      <c r="D200" t="s">
        <v>61</v>
      </c>
      <c r="E200" t="s">
        <v>222</v>
      </c>
      <c r="F200" t="s">
        <v>30</v>
      </c>
      <c r="G200" s="6">
        <v>45838</v>
      </c>
      <c r="H200">
        <v>2025</v>
      </c>
      <c r="I200" t="s">
        <v>44</v>
      </c>
      <c r="J200" t="s">
        <v>244</v>
      </c>
      <c r="K200">
        <v>2</v>
      </c>
      <c r="L200">
        <v>2</v>
      </c>
      <c r="M200">
        <v>1</v>
      </c>
      <c r="N200">
        <v>1</v>
      </c>
      <c r="O200" t="s">
        <v>118</v>
      </c>
      <c r="P200" t="s">
        <v>118</v>
      </c>
      <c r="Q200" t="s">
        <v>2395</v>
      </c>
      <c r="R200">
        <v>0</v>
      </c>
      <c r="S200">
        <v>0</v>
      </c>
    </row>
    <row r="201" spans="1:19" hidden="1" x14ac:dyDescent="0.3">
      <c r="A201">
        <v>325</v>
      </c>
      <c r="B201" t="s">
        <v>2399</v>
      </c>
      <c r="C201" t="s">
        <v>6622</v>
      </c>
      <c r="D201" t="s">
        <v>61</v>
      </c>
      <c r="E201" t="s">
        <v>222</v>
      </c>
      <c r="F201" t="s">
        <v>30</v>
      </c>
      <c r="G201" s="6">
        <v>46023</v>
      </c>
      <c r="H201" t="s">
        <v>6623</v>
      </c>
      <c r="I201" t="s">
        <v>6623</v>
      </c>
      <c r="J201" t="s">
        <v>6623</v>
      </c>
      <c r="K201">
        <v>27</v>
      </c>
      <c r="L201">
        <v>27</v>
      </c>
      <c r="M201">
        <v>1</v>
      </c>
      <c r="N201">
        <v>1</v>
      </c>
      <c r="O201" t="s">
        <v>118</v>
      </c>
      <c r="P201" t="s">
        <v>118</v>
      </c>
      <c r="Q201" t="s">
        <v>6714</v>
      </c>
      <c r="R201">
        <v>0</v>
      </c>
      <c r="S201">
        <v>0</v>
      </c>
    </row>
    <row r="202" spans="1:19" hidden="1" x14ac:dyDescent="0.3">
      <c r="A202">
        <v>327</v>
      </c>
      <c r="B202" t="s">
        <v>2432</v>
      </c>
      <c r="C202" t="s">
        <v>6622</v>
      </c>
      <c r="D202" t="s">
        <v>87</v>
      </c>
      <c r="E202" t="s">
        <v>222</v>
      </c>
      <c r="F202" t="s">
        <v>30</v>
      </c>
      <c r="G202" s="6">
        <v>45838</v>
      </c>
      <c r="H202">
        <v>2025</v>
      </c>
      <c r="I202" t="s">
        <v>44</v>
      </c>
      <c r="J202" t="s">
        <v>244</v>
      </c>
      <c r="K202">
        <v>1</v>
      </c>
      <c r="L202">
        <v>1</v>
      </c>
      <c r="M202">
        <v>1</v>
      </c>
      <c r="N202">
        <v>1</v>
      </c>
      <c r="O202" t="s">
        <v>118</v>
      </c>
      <c r="P202" t="s">
        <v>118</v>
      </c>
      <c r="Q202" t="s">
        <v>2433</v>
      </c>
      <c r="R202">
        <v>0</v>
      </c>
      <c r="S202">
        <v>0</v>
      </c>
    </row>
    <row r="203" spans="1:19" hidden="1" x14ac:dyDescent="0.3">
      <c r="A203">
        <v>331</v>
      </c>
      <c r="B203" t="s">
        <v>2445</v>
      </c>
      <c r="C203" t="s">
        <v>6681</v>
      </c>
      <c r="D203" t="s">
        <v>2437</v>
      </c>
      <c r="E203" t="s">
        <v>98</v>
      </c>
      <c r="F203" t="s">
        <v>30</v>
      </c>
      <c r="G203" s="6">
        <v>45838</v>
      </c>
      <c r="H203">
        <v>2025</v>
      </c>
      <c r="I203" t="s">
        <v>44</v>
      </c>
      <c r="J203" t="s">
        <v>244</v>
      </c>
      <c r="L203">
        <v>82</v>
      </c>
      <c r="O203" t="s">
        <v>215</v>
      </c>
      <c r="P203" t="s">
        <v>31</v>
      </c>
      <c r="Q203" t="s">
        <v>6715</v>
      </c>
      <c r="R203">
        <v>0</v>
      </c>
      <c r="S203">
        <v>0</v>
      </c>
    </row>
    <row r="204" spans="1:19" hidden="1" x14ac:dyDescent="0.3">
      <c r="A204">
        <v>331</v>
      </c>
      <c r="B204" t="s">
        <v>2445</v>
      </c>
      <c r="C204" t="s">
        <v>6681</v>
      </c>
      <c r="D204" t="s">
        <v>2437</v>
      </c>
      <c r="E204" t="s">
        <v>98</v>
      </c>
      <c r="F204" t="s">
        <v>30</v>
      </c>
      <c r="G204" s="6">
        <v>46023</v>
      </c>
      <c r="H204" t="s">
        <v>6623</v>
      </c>
      <c r="I204" t="s">
        <v>6623</v>
      </c>
      <c r="J204" t="s">
        <v>6623</v>
      </c>
      <c r="L204">
        <v>83</v>
      </c>
      <c r="O204" t="s">
        <v>215</v>
      </c>
      <c r="P204" t="s">
        <v>31</v>
      </c>
      <c r="Q204" t="s">
        <v>6716</v>
      </c>
      <c r="R204">
        <v>0</v>
      </c>
      <c r="S204">
        <v>0</v>
      </c>
    </row>
    <row r="205" spans="1:19" hidden="1" x14ac:dyDescent="0.3">
      <c r="A205">
        <v>332</v>
      </c>
      <c r="B205" t="s">
        <v>2449</v>
      </c>
      <c r="C205" t="s">
        <v>6622</v>
      </c>
      <c r="D205" t="s">
        <v>262</v>
      </c>
      <c r="E205" t="s">
        <v>222</v>
      </c>
      <c r="F205" t="s">
        <v>108</v>
      </c>
      <c r="G205" s="6">
        <v>46023</v>
      </c>
      <c r="H205" t="s">
        <v>6623</v>
      </c>
      <c r="I205" t="s">
        <v>6623</v>
      </c>
      <c r="J205" t="s">
        <v>6623</v>
      </c>
      <c r="K205">
        <v>1.18</v>
      </c>
      <c r="L205">
        <v>0.89</v>
      </c>
      <c r="M205">
        <v>1.3</v>
      </c>
      <c r="N205">
        <v>1.3258426966292129</v>
      </c>
      <c r="O205" t="s">
        <v>109</v>
      </c>
      <c r="P205" t="s">
        <v>109</v>
      </c>
      <c r="Q205" t="s">
        <v>6717</v>
      </c>
      <c r="R205">
        <v>2</v>
      </c>
      <c r="S205">
        <v>2</v>
      </c>
    </row>
    <row r="206" spans="1:19" hidden="1" x14ac:dyDescent="0.3">
      <c r="A206">
        <v>334</v>
      </c>
      <c r="B206" t="s">
        <v>2464</v>
      </c>
      <c r="C206" t="s">
        <v>6681</v>
      </c>
      <c r="D206" t="s">
        <v>262</v>
      </c>
      <c r="E206" t="s">
        <v>98</v>
      </c>
      <c r="F206" t="s">
        <v>30</v>
      </c>
      <c r="G206" s="6">
        <v>46023</v>
      </c>
      <c r="H206" t="s">
        <v>6623</v>
      </c>
      <c r="I206" t="s">
        <v>6623</v>
      </c>
      <c r="J206" t="s">
        <v>6623</v>
      </c>
      <c r="K206">
        <v>89</v>
      </c>
      <c r="L206">
        <v>90.1</v>
      </c>
      <c r="M206">
        <v>1.0123595505617979</v>
      </c>
      <c r="N206">
        <v>1.0123595505617979</v>
      </c>
      <c r="O206" t="s">
        <v>118</v>
      </c>
      <c r="P206" t="s">
        <v>109</v>
      </c>
      <c r="Q206" t="s">
        <v>6718</v>
      </c>
      <c r="R206">
        <v>0</v>
      </c>
      <c r="S206">
        <v>1</v>
      </c>
    </row>
    <row r="207" spans="1:19" hidden="1" x14ac:dyDescent="0.3">
      <c r="A207">
        <v>335</v>
      </c>
      <c r="B207" t="s">
        <v>2470</v>
      </c>
      <c r="C207" t="s">
        <v>6681</v>
      </c>
      <c r="D207" t="s">
        <v>262</v>
      </c>
      <c r="E207" t="s">
        <v>98</v>
      </c>
      <c r="F207" t="s">
        <v>30</v>
      </c>
      <c r="G207" s="6">
        <v>46023</v>
      </c>
      <c r="H207" t="s">
        <v>6623</v>
      </c>
      <c r="I207" t="s">
        <v>6623</v>
      </c>
      <c r="J207" t="s">
        <v>6623</v>
      </c>
      <c r="K207">
        <v>82</v>
      </c>
      <c r="L207">
        <v>80.95</v>
      </c>
      <c r="M207">
        <v>0.9871951219512195</v>
      </c>
      <c r="N207">
        <v>0.9871951219512195</v>
      </c>
      <c r="O207" t="s">
        <v>31</v>
      </c>
      <c r="P207" t="s">
        <v>31</v>
      </c>
      <c r="Q207" t="s">
        <v>6719</v>
      </c>
      <c r="R207">
        <v>0</v>
      </c>
      <c r="S207">
        <v>0</v>
      </c>
    </row>
    <row r="208" spans="1:19" hidden="1" x14ac:dyDescent="0.3">
      <c r="A208">
        <v>337</v>
      </c>
      <c r="B208" t="s">
        <v>2486</v>
      </c>
      <c r="C208" t="s">
        <v>6622</v>
      </c>
      <c r="D208" t="s">
        <v>87</v>
      </c>
      <c r="E208" t="s">
        <v>222</v>
      </c>
      <c r="F208" t="s">
        <v>30</v>
      </c>
      <c r="G208" s="6">
        <v>45838</v>
      </c>
      <c r="H208">
        <v>2025</v>
      </c>
      <c r="I208" t="s">
        <v>44</v>
      </c>
      <c r="J208" t="s">
        <v>244</v>
      </c>
      <c r="Q208" t="s">
        <v>2487</v>
      </c>
      <c r="R208">
        <v>0</v>
      </c>
      <c r="S208">
        <v>0</v>
      </c>
    </row>
    <row r="209" spans="1:19" hidden="1" x14ac:dyDescent="0.3">
      <c r="A209">
        <v>338</v>
      </c>
      <c r="B209" t="s">
        <v>2496</v>
      </c>
      <c r="C209" t="s">
        <v>6622</v>
      </c>
      <c r="D209" t="s">
        <v>87</v>
      </c>
      <c r="E209" t="s">
        <v>222</v>
      </c>
      <c r="F209" t="s">
        <v>30</v>
      </c>
      <c r="G209" s="6">
        <v>45838</v>
      </c>
      <c r="H209">
        <v>2025</v>
      </c>
      <c r="I209" t="s">
        <v>44</v>
      </c>
      <c r="J209" t="s">
        <v>244</v>
      </c>
      <c r="K209">
        <v>1</v>
      </c>
      <c r="L209">
        <v>1</v>
      </c>
      <c r="M209">
        <v>1</v>
      </c>
      <c r="N209">
        <v>1</v>
      </c>
      <c r="O209" t="s">
        <v>118</v>
      </c>
      <c r="P209" t="s">
        <v>118</v>
      </c>
      <c r="Q209" t="s">
        <v>2497</v>
      </c>
      <c r="R209">
        <v>0</v>
      </c>
      <c r="S209">
        <v>0</v>
      </c>
    </row>
    <row r="210" spans="1:19" hidden="1" x14ac:dyDescent="0.3">
      <c r="A210">
        <v>339</v>
      </c>
      <c r="B210" t="s">
        <v>6720</v>
      </c>
      <c r="C210" t="s">
        <v>6622</v>
      </c>
      <c r="D210" t="s">
        <v>2501</v>
      </c>
      <c r="E210" t="s">
        <v>98</v>
      </c>
      <c r="F210" t="s">
        <v>30</v>
      </c>
      <c r="G210" s="6">
        <v>44926</v>
      </c>
      <c r="H210">
        <v>2022</v>
      </c>
      <c r="I210" t="s">
        <v>57</v>
      </c>
      <c r="J210" t="s">
        <v>90</v>
      </c>
      <c r="K210">
        <v>22</v>
      </c>
      <c r="L210">
        <v>21.6</v>
      </c>
      <c r="M210">
        <v>0.98181818181818192</v>
      </c>
      <c r="N210">
        <v>0.98181818181818192</v>
      </c>
      <c r="O210" t="s">
        <v>31</v>
      </c>
      <c r="P210" t="s">
        <v>31</v>
      </c>
      <c r="Q210" t="s">
        <v>6721</v>
      </c>
      <c r="R210">
        <v>0</v>
      </c>
      <c r="S210">
        <v>1</v>
      </c>
    </row>
    <row r="211" spans="1:19" hidden="1" x14ac:dyDescent="0.3">
      <c r="A211">
        <v>339</v>
      </c>
      <c r="B211" t="s">
        <v>6720</v>
      </c>
      <c r="C211" t="s">
        <v>6622</v>
      </c>
      <c r="D211" t="s">
        <v>2501</v>
      </c>
      <c r="E211" t="s">
        <v>98</v>
      </c>
      <c r="F211" t="s">
        <v>30</v>
      </c>
      <c r="G211" s="6">
        <v>46023</v>
      </c>
      <c r="H211" t="s">
        <v>6623</v>
      </c>
      <c r="I211" t="s">
        <v>6623</v>
      </c>
      <c r="J211" t="s">
        <v>6623</v>
      </c>
      <c r="K211">
        <v>30</v>
      </c>
      <c r="L211">
        <v>35.294117647058833</v>
      </c>
      <c r="M211">
        <v>1.1764705882352939</v>
      </c>
      <c r="N211">
        <v>1.1764705882352939</v>
      </c>
      <c r="O211" t="s">
        <v>31</v>
      </c>
      <c r="P211" t="s">
        <v>31</v>
      </c>
      <c r="Q211" t="s">
        <v>6722</v>
      </c>
      <c r="R211">
        <v>0</v>
      </c>
      <c r="S211">
        <v>1</v>
      </c>
    </row>
    <row r="212" spans="1:19" hidden="1" x14ac:dyDescent="0.3">
      <c r="A212">
        <v>340</v>
      </c>
      <c r="B212" t="s">
        <v>2509</v>
      </c>
      <c r="C212" t="s">
        <v>6681</v>
      </c>
      <c r="D212" t="s">
        <v>251</v>
      </c>
      <c r="E212" t="s">
        <v>233</v>
      </c>
      <c r="F212" t="s">
        <v>30</v>
      </c>
      <c r="G212" s="6">
        <v>45838</v>
      </c>
      <c r="H212">
        <v>2025</v>
      </c>
      <c r="I212" t="s">
        <v>44</v>
      </c>
      <c r="J212" t="s">
        <v>244</v>
      </c>
      <c r="K212">
        <v>95</v>
      </c>
      <c r="L212">
        <v>100</v>
      </c>
      <c r="M212">
        <v>1</v>
      </c>
      <c r="N212">
        <v>1</v>
      </c>
      <c r="O212" t="s">
        <v>31</v>
      </c>
      <c r="P212" t="s">
        <v>31</v>
      </c>
      <c r="Q212" t="s">
        <v>2519</v>
      </c>
      <c r="R212">
        <v>0</v>
      </c>
      <c r="S212">
        <v>0</v>
      </c>
    </row>
    <row r="213" spans="1:19" hidden="1" x14ac:dyDescent="0.3">
      <c r="A213">
        <v>341</v>
      </c>
      <c r="B213" t="s">
        <v>2527</v>
      </c>
      <c r="C213" t="s">
        <v>6622</v>
      </c>
      <c r="D213" t="s">
        <v>232</v>
      </c>
      <c r="E213" t="s">
        <v>222</v>
      </c>
      <c r="F213" t="s">
        <v>30</v>
      </c>
      <c r="G213" s="6">
        <v>45838</v>
      </c>
      <c r="H213">
        <v>2025</v>
      </c>
      <c r="I213" t="s">
        <v>44</v>
      </c>
      <c r="J213" t="s">
        <v>244</v>
      </c>
      <c r="K213">
        <v>900000000</v>
      </c>
      <c r="L213">
        <v>920265122</v>
      </c>
      <c r="M213">
        <v>1.022516802222222</v>
      </c>
      <c r="N213">
        <v>1.022516802222222</v>
      </c>
      <c r="O213" t="s">
        <v>335</v>
      </c>
      <c r="P213" t="s">
        <v>335</v>
      </c>
      <c r="Q213" t="s">
        <v>2530</v>
      </c>
      <c r="R213">
        <v>0</v>
      </c>
      <c r="S213">
        <v>0</v>
      </c>
    </row>
    <row r="214" spans="1:19" hidden="1" x14ac:dyDescent="0.3">
      <c r="A214">
        <v>344</v>
      </c>
      <c r="B214" t="s">
        <v>2535</v>
      </c>
      <c r="C214" t="s">
        <v>6622</v>
      </c>
      <c r="D214" t="s">
        <v>262</v>
      </c>
      <c r="E214" t="s">
        <v>222</v>
      </c>
      <c r="F214" t="s">
        <v>30</v>
      </c>
      <c r="G214" s="6">
        <v>45473</v>
      </c>
      <c r="H214">
        <v>2024</v>
      </c>
      <c r="I214" t="s">
        <v>44</v>
      </c>
      <c r="J214" t="s">
        <v>71</v>
      </c>
      <c r="K214">
        <v>93</v>
      </c>
      <c r="L214">
        <v>97.34</v>
      </c>
      <c r="M214">
        <v>1.0466666666666671</v>
      </c>
      <c r="N214">
        <v>1.0466666666666671</v>
      </c>
      <c r="O214" t="s">
        <v>31</v>
      </c>
      <c r="P214" t="s">
        <v>31</v>
      </c>
      <c r="Q214" t="s">
        <v>2538</v>
      </c>
      <c r="R214">
        <v>0</v>
      </c>
      <c r="S214">
        <v>0</v>
      </c>
    </row>
    <row r="215" spans="1:19" hidden="1" x14ac:dyDescent="0.3">
      <c r="A215">
        <v>344</v>
      </c>
      <c r="B215" t="s">
        <v>2535</v>
      </c>
      <c r="C215" t="s">
        <v>6622</v>
      </c>
      <c r="D215" t="s">
        <v>262</v>
      </c>
      <c r="E215" t="s">
        <v>222</v>
      </c>
      <c r="F215" t="s">
        <v>30</v>
      </c>
      <c r="G215" s="6">
        <v>45838</v>
      </c>
      <c r="H215">
        <v>2025</v>
      </c>
      <c r="I215" t="s">
        <v>44</v>
      </c>
      <c r="J215" t="s">
        <v>244</v>
      </c>
      <c r="K215">
        <v>93</v>
      </c>
      <c r="L215">
        <v>99.43</v>
      </c>
      <c r="M215">
        <v>1.069139784946237</v>
      </c>
      <c r="N215">
        <v>1.069139784946237</v>
      </c>
      <c r="O215" t="s">
        <v>31</v>
      </c>
      <c r="P215" t="s">
        <v>31</v>
      </c>
      <c r="Q215" t="s">
        <v>2542</v>
      </c>
      <c r="R215">
        <v>0</v>
      </c>
      <c r="S215">
        <v>0</v>
      </c>
    </row>
    <row r="216" spans="1:19" hidden="1" x14ac:dyDescent="0.3">
      <c r="A216">
        <v>347</v>
      </c>
      <c r="B216" t="s">
        <v>2555</v>
      </c>
      <c r="C216" t="s">
        <v>6681</v>
      </c>
      <c r="D216" t="s">
        <v>174</v>
      </c>
      <c r="E216" t="s">
        <v>233</v>
      </c>
      <c r="F216" t="s">
        <v>108</v>
      </c>
      <c r="G216" s="6">
        <v>45838</v>
      </c>
      <c r="H216">
        <v>2025</v>
      </c>
      <c r="I216" t="s">
        <v>44</v>
      </c>
      <c r="J216" t="s">
        <v>244</v>
      </c>
      <c r="K216">
        <v>5</v>
      </c>
      <c r="L216">
        <v>2</v>
      </c>
      <c r="M216">
        <v>1</v>
      </c>
      <c r="N216">
        <v>1</v>
      </c>
      <c r="O216" t="s">
        <v>118</v>
      </c>
      <c r="P216" t="s">
        <v>118</v>
      </c>
      <c r="Q216" t="s">
        <v>2565</v>
      </c>
      <c r="R216">
        <v>0</v>
      </c>
      <c r="S216">
        <v>0</v>
      </c>
    </row>
    <row r="217" spans="1:19" hidden="1" x14ac:dyDescent="0.3">
      <c r="A217">
        <v>348</v>
      </c>
      <c r="B217" t="s">
        <v>2568</v>
      </c>
      <c r="C217" t="s">
        <v>6681</v>
      </c>
      <c r="D217" t="s">
        <v>174</v>
      </c>
      <c r="E217" t="s">
        <v>233</v>
      </c>
      <c r="F217" t="s">
        <v>30</v>
      </c>
      <c r="G217" s="6">
        <v>45838</v>
      </c>
      <c r="H217">
        <v>2025</v>
      </c>
      <c r="I217" t="s">
        <v>44</v>
      </c>
      <c r="J217" t="s">
        <v>244</v>
      </c>
      <c r="K217">
        <v>99</v>
      </c>
      <c r="L217">
        <v>100</v>
      </c>
      <c r="M217">
        <v>1.0101010101010099</v>
      </c>
      <c r="N217">
        <v>1.0101010101010099</v>
      </c>
      <c r="O217" t="s">
        <v>31</v>
      </c>
      <c r="P217" t="s">
        <v>31</v>
      </c>
      <c r="Q217" t="s">
        <v>2579</v>
      </c>
      <c r="R217">
        <v>0</v>
      </c>
      <c r="S217">
        <v>0</v>
      </c>
    </row>
    <row r="218" spans="1:19" hidden="1" x14ac:dyDescent="0.3">
      <c r="A218">
        <v>351</v>
      </c>
      <c r="B218" t="s">
        <v>2588</v>
      </c>
      <c r="C218" t="s">
        <v>6681</v>
      </c>
      <c r="D218" t="s">
        <v>174</v>
      </c>
      <c r="E218" t="s">
        <v>233</v>
      </c>
      <c r="F218" t="s">
        <v>108</v>
      </c>
      <c r="G218" s="6">
        <v>45838</v>
      </c>
      <c r="H218">
        <v>2025</v>
      </c>
      <c r="I218" t="s">
        <v>44</v>
      </c>
      <c r="J218" t="s">
        <v>244</v>
      </c>
      <c r="K218">
        <v>5</v>
      </c>
      <c r="L218">
        <v>0.56000000000000005</v>
      </c>
      <c r="M218">
        <v>1</v>
      </c>
      <c r="N218">
        <v>1</v>
      </c>
      <c r="O218" t="s">
        <v>118</v>
      </c>
      <c r="P218" t="s">
        <v>109</v>
      </c>
      <c r="Q218" t="s">
        <v>2602</v>
      </c>
      <c r="R218">
        <v>0</v>
      </c>
      <c r="S218">
        <v>1</v>
      </c>
    </row>
    <row r="219" spans="1:19" hidden="1" x14ac:dyDescent="0.3">
      <c r="A219">
        <v>352</v>
      </c>
      <c r="B219" t="s">
        <v>2604</v>
      </c>
      <c r="C219" t="s">
        <v>6681</v>
      </c>
      <c r="D219" t="s">
        <v>174</v>
      </c>
      <c r="E219" t="s">
        <v>233</v>
      </c>
      <c r="F219" t="s">
        <v>108</v>
      </c>
      <c r="G219" s="6">
        <v>45838</v>
      </c>
      <c r="H219">
        <v>2025</v>
      </c>
      <c r="I219" t="s">
        <v>44</v>
      </c>
      <c r="J219" t="s">
        <v>244</v>
      </c>
      <c r="K219">
        <v>0</v>
      </c>
      <c r="L219">
        <v>0.01</v>
      </c>
      <c r="M219">
        <v>0.96</v>
      </c>
      <c r="N219">
        <v>0.99990000000000001</v>
      </c>
      <c r="O219" t="s">
        <v>31</v>
      </c>
      <c r="P219" t="s">
        <v>31</v>
      </c>
      <c r="Q219" t="s">
        <v>2616</v>
      </c>
      <c r="R219">
        <v>0</v>
      </c>
      <c r="S219">
        <v>2</v>
      </c>
    </row>
    <row r="220" spans="1:19" hidden="1" x14ac:dyDescent="0.3">
      <c r="A220">
        <v>356</v>
      </c>
      <c r="B220" t="s">
        <v>2634</v>
      </c>
      <c r="C220" t="s">
        <v>6622</v>
      </c>
      <c r="D220" t="s">
        <v>178</v>
      </c>
      <c r="E220" t="s">
        <v>222</v>
      </c>
      <c r="F220" t="s">
        <v>108</v>
      </c>
      <c r="G220" s="6">
        <v>45838</v>
      </c>
      <c r="H220">
        <v>2025</v>
      </c>
      <c r="I220" t="s">
        <v>44</v>
      </c>
      <c r="J220" t="s">
        <v>244</v>
      </c>
      <c r="K220">
        <v>60</v>
      </c>
      <c r="L220">
        <v>49.14</v>
      </c>
      <c r="M220">
        <v>1.2210012210012211</v>
      </c>
      <c r="N220">
        <v>1.2210012210012211</v>
      </c>
      <c r="O220" t="s">
        <v>31</v>
      </c>
      <c r="P220" t="s">
        <v>31</v>
      </c>
      <c r="Q220" t="s">
        <v>2642</v>
      </c>
      <c r="R220">
        <v>0</v>
      </c>
      <c r="S220">
        <v>1</v>
      </c>
    </row>
    <row r="221" spans="1:19" hidden="1" x14ac:dyDescent="0.3">
      <c r="A221">
        <v>357</v>
      </c>
      <c r="B221" t="s">
        <v>2647</v>
      </c>
      <c r="C221" t="s">
        <v>6622</v>
      </c>
      <c r="D221" t="s">
        <v>178</v>
      </c>
      <c r="E221" t="s">
        <v>222</v>
      </c>
      <c r="F221" t="s">
        <v>30</v>
      </c>
      <c r="G221" s="6">
        <v>45838</v>
      </c>
      <c r="H221">
        <v>2025</v>
      </c>
      <c r="I221" t="s">
        <v>44</v>
      </c>
      <c r="J221" t="s">
        <v>244</v>
      </c>
      <c r="L221">
        <v>0.85</v>
      </c>
      <c r="O221" t="s">
        <v>761</v>
      </c>
      <c r="Q221" t="s">
        <v>2653</v>
      </c>
      <c r="R221">
        <v>0</v>
      </c>
      <c r="S221">
        <v>2</v>
      </c>
    </row>
    <row r="222" spans="1:19" hidden="1" x14ac:dyDescent="0.3">
      <c r="A222">
        <v>358</v>
      </c>
      <c r="B222" t="s">
        <v>2661</v>
      </c>
      <c r="C222" t="s">
        <v>6681</v>
      </c>
      <c r="D222" t="s">
        <v>2656</v>
      </c>
      <c r="E222" t="s">
        <v>222</v>
      </c>
      <c r="F222" t="s">
        <v>30</v>
      </c>
      <c r="G222" s="6">
        <v>45838</v>
      </c>
      <c r="H222">
        <v>2025</v>
      </c>
      <c r="I222" t="s">
        <v>44</v>
      </c>
      <c r="J222" t="s">
        <v>244</v>
      </c>
      <c r="K222">
        <v>100</v>
      </c>
      <c r="L222">
        <v>100</v>
      </c>
      <c r="M222">
        <v>1</v>
      </c>
      <c r="N222">
        <v>1</v>
      </c>
      <c r="O222" t="s">
        <v>31</v>
      </c>
      <c r="P222" t="s">
        <v>31</v>
      </c>
      <c r="Q222" t="s">
        <v>2662</v>
      </c>
      <c r="R222">
        <v>0</v>
      </c>
      <c r="S222">
        <v>0</v>
      </c>
    </row>
    <row r="223" spans="1:19" hidden="1" x14ac:dyDescent="0.3">
      <c r="A223">
        <v>359</v>
      </c>
      <c r="B223" t="s">
        <v>2665</v>
      </c>
      <c r="C223" t="s">
        <v>6622</v>
      </c>
      <c r="D223" t="s">
        <v>1988</v>
      </c>
      <c r="E223" t="s">
        <v>222</v>
      </c>
      <c r="F223" t="s">
        <v>30</v>
      </c>
      <c r="G223" s="6">
        <v>45473</v>
      </c>
      <c r="H223">
        <v>2024</v>
      </c>
      <c r="I223" t="s">
        <v>44</v>
      </c>
      <c r="J223" t="s">
        <v>71</v>
      </c>
      <c r="Q223" t="s">
        <v>6723</v>
      </c>
      <c r="R223">
        <v>0</v>
      </c>
      <c r="S223">
        <v>0</v>
      </c>
    </row>
    <row r="224" spans="1:19" hidden="1" x14ac:dyDescent="0.3">
      <c r="A224">
        <v>359</v>
      </c>
      <c r="B224" t="s">
        <v>2667</v>
      </c>
      <c r="C224" t="s">
        <v>6622</v>
      </c>
      <c r="D224" t="s">
        <v>1988</v>
      </c>
      <c r="E224" t="s">
        <v>222</v>
      </c>
      <c r="F224" t="s">
        <v>30</v>
      </c>
      <c r="G224" s="6">
        <v>45838</v>
      </c>
      <c r="H224">
        <v>2025</v>
      </c>
      <c r="I224" t="s">
        <v>44</v>
      </c>
      <c r="J224" t="s">
        <v>244</v>
      </c>
      <c r="K224">
        <v>80</v>
      </c>
      <c r="L224">
        <v>90</v>
      </c>
      <c r="M224">
        <v>1.125</v>
      </c>
      <c r="N224">
        <v>1.125</v>
      </c>
      <c r="O224" t="s">
        <v>31</v>
      </c>
      <c r="P224" t="s">
        <v>31</v>
      </c>
      <c r="Q224" t="s">
        <v>2668</v>
      </c>
      <c r="R224">
        <v>0</v>
      </c>
      <c r="S224">
        <v>0</v>
      </c>
    </row>
    <row r="225" spans="1:19" hidden="1" x14ac:dyDescent="0.3">
      <c r="A225">
        <v>361</v>
      </c>
      <c r="B225" t="s">
        <v>2682</v>
      </c>
      <c r="C225" t="s">
        <v>6622</v>
      </c>
      <c r="D225" t="s">
        <v>2678</v>
      </c>
      <c r="E225" t="s">
        <v>98</v>
      </c>
      <c r="F225" t="s">
        <v>30</v>
      </c>
      <c r="G225" s="6">
        <v>46023</v>
      </c>
      <c r="H225" t="s">
        <v>6623</v>
      </c>
      <c r="I225" t="s">
        <v>6623</v>
      </c>
      <c r="J225" t="s">
        <v>6623</v>
      </c>
      <c r="K225">
        <v>4.5999999999999996</v>
      </c>
      <c r="L225">
        <v>4.78</v>
      </c>
      <c r="M225">
        <v>1.0391304347826089</v>
      </c>
      <c r="N225">
        <v>1.0391304347826089</v>
      </c>
      <c r="O225" t="s">
        <v>109</v>
      </c>
      <c r="P225" t="s">
        <v>109</v>
      </c>
      <c r="Q225" t="s">
        <v>6724</v>
      </c>
      <c r="R225">
        <v>1</v>
      </c>
      <c r="S225">
        <v>2</v>
      </c>
    </row>
    <row r="226" spans="1:19" hidden="1" x14ac:dyDescent="0.3">
      <c r="A226">
        <v>362</v>
      </c>
      <c r="B226" t="s">
        <v>2687</v>
      </c>
      <c r="C226" t="s">
        <v>6681</v>
      </c>
      <c r="D226" t="s">
        <v>5209</v>
      </c>
      <c r="E226" t="s">
        <v>222</v>
      </c>
      <c r="F226" t="s">
        <v>30</v>
      </c>
      <c r="G226" s="6">
        <v>45473</v>
      </c>
      <c r="H226">
        <v>2024</v>
      </c>
      <c r="I226" t="s">
        <v>44</v>
      </c>
      <c r="J226" t="s">
        <v>71</v>
      </c>
      <c r="K226">
        <v>98</v>
      </c>
      <c r="L226">
        <v>99.584323040379999</v>
      </c>
      <c r="M226">
        <v>1.016166561636531</v>
      </c>
      <c r="N226">
        <v>1.016166561636531</v>
      </c>
      <c r="O226" t="s">
        <v>31</v>
      </c>
      <c r="P226" t="s">
        <v>31</v>
      </c>
      <c r="Q226" t="s">
        <v>2690</v>
      </c>
      <c r="R226">
        <v>0</v>
      </c>
      <c r="S226">
        <v>0</v>
      </c>
    </row>
    <row r="227" spans="1:19" hidden="1" x14ac:dyDescent="0.3">
      <c r="A227">
        <v>362</v>
      </c>
      <c r="B227" t="s">
        <v>2687</v>
      </c>
      <c r="C227" t="s">
        <v>6681</v>
      </c>
      <c r="D227" t="s">
        <v>2688</v>
      </c>
      <c r="E227" t="s">
        <v>222</v>
      </c>
      <c r="F227" t="s">
        <v>30</v>
      </c>
      <c r="G227" s="6">
        <v>45838</v>
      </c>
      <c r="H227">
        <v>2025</v>
      </c>
      <c r="I227" t="s">
        <v>44</v>
      </c>
      <c r="J227" t="s">
        <v>244</v>
      </c>
      <c r="K227">
        <v>98</v>
      </c>
      <c r="L227">
        <v>99.63</v>
      </c>
      <c r="M227">
        <v>1.016632653061224</v>
      </c>
      <c r="N227">
        <v>1.016632653061224</v>
      </c>
      <c r="O227" t="s">
        <v>31</v>
      </c>
      <c r="P227" t="s">
        <v>31</v>
      </c>
      <c r="Q227" t="s">
        <v>2694</v>
      </c>
      <c r="R227">
        <v>0</v>
      </c>
      <c r="S227">
        <v>0</v>
      </c>
    </row>
    <row r="228" spans="1:19" hidden="1" x14ac:dyDescent="0.3">
      <c r="A228">
        <v>363</v>
      </c>
      <c r="B228" t="s">
        <v>2699</v>
      </c>
      <c r="C228" t="s">
        <v>6681</v>
      </c>
      <c r="D228" t="s">
        <v>5308</v>
      </c>
      <c r="E228" t="s">
        <v>222</v>
      </c>
      <c r="F228" t="s">
        <v>30</v>
      </c>
      <c r="G228" s="6">
        <v>45473</v>
      </c>
      <c r="H228">
        <v>2024</v>
      </c>
      <c r="I228" t="s">
        <v>44</v>
      </c>
      <c r="J228" t="s">
        <v>71</v>
      </c>
      <c r="K228">
        <v>100</v>
      </c>
      <c r="L228">
        <v>100</v>
      </c>
      <c r="M228">
        <v>1</v>
      </c>
      <c r="N228">
        <v>1</v>
      </c>
      <c r="O228" t="s">
        <v>31</v>
      </c>
      <c r="P228" t="s">
        <v>31</v>
      </c>
      <c r="Q228" t="s">
        <v>2701</v>
      </c>
      <c r="R228">
        <v>0</v>
      </c>
      <c r="S228">
        <v>0</v>
      </c>
    </row>
    <row r="229" spans="1:19" hidden="1" x14ac:dyDescent="0.3">
      <c r="A229">
        <v>363</v>
      </c>
      <c r="B229" t="s">
        <v>2699</v>
      </c>
      <c r="C229" t="s">
        <v>6681</v>
      </c>
      <c r="D229" t="s">
        <v>2688</v>
      </c>
      <c r="E229" t="s">
        <v>222</v>
      </c>
      <c r="F229" t="s">
        <v>30</v>
      </c>
      <c r="G229" s="6">
        <v>45838</v>
      </c>
      <c r="H229">
        <v>2025</v>
      </c>
      <c r="I229" t="s">
        <v>44</v>
      </c>
      <c r="J229" t="s">
        <v>244</v>
      </c>
      <c r="K229">
        <v>100</v>
      </c>
      <c r="L229">
        <v>100</v>
      </c>
      <c r="M229">
        <v>1</v>
      </c>
      <c r="N229">
        <v>1</v>
      </c>
      <c r="O229" t="s">
        <v>31</v>
      </c>
      <c r="P229" t="s">
        <v>31</v>
      </c>
      <c r="Q229" t="s">
        <v>2703</v>
      </c>
      <c r="R229">
        <v>0</v>
      </c>
      <c r="S229">
        <v>0</v>
      </c>
    </row>
    <row r="230" spans="1:19" hidden="1" x14ac:dyDescent="0.3">
      <c r="A230">
        <v>364</v>
      </c>
      <c r="B230" t="s">
        <v>2706</v>
      </c>
      <c r="C230" t="s">
        <v>6681</v>
      </c>
      <c r="D230" t="s">
        <v>2678</v>
      </c>
      <c r="E230" t="s">
        <v>222</v>
      </c>
      <c r="F230" t="s">
        <v>30</v>
      </c>
      <c r="G230" s="6">
        <v>46023</v>
      </c>
      <c r="H230" t="s">
        <v>6623</v>
      </c>
      <c r="I230" t="s">
        <v>6623</v>
      </c>
      <c r="J230" t="s">
        <v>6623</v>
      </c>
      <c r="K230">
        <v>83197</v>
      </c>
      <c r="L230">
        <v>70233</v>
      </c>
      <c r="M230">
        <v>0.84417707369256101</v>
      </c>
      <c r="N230">
        <v>0.84417707369256101</v>
      </c>
      <c r="O230" t="s">
        <v>118</v>
      </c>
      <c r="P230" t="s">
        <v>118</v>
      </c>
      <c r="Q230" t="s">
        <v>6725</v>
      </c>
      <c r="R230">
        <v>0</v>
      </c>
      <c r="S230">
        <v>0</v>
      </c>
    </row>
    <row r="231" spans="1:19" hidden="1" x14ac:dyDescent="0.3">
      <c r="A231">
        <v>367</v>
      </c>
      <c r="B231" t="s">
        <v>2728</v>
      </c>
      <c r="C231" t="s">
        <v>6622</v>
      </c>
      <c r="D231" t="s">
        <v>2678</v>
      </c>
      <c r="E231" t="s">
        <v>98</v>
      </c>
      <c r="F231" t="s">
        <v>30</v>
      </c>
      <c r="G231" s="6">
        <v>46023</v>
      </c>
      <c r="H231" t="s">
        <v>6623</v>
      </c>
      <c r="I231" t="s">
        <v>6623</v>
      </c>
      <c r="J231" t="s">
        <v>6623</v>
      </c>
      <c r="K231">
        <v>5</v>
      </c>
      <c r="L231">
        <v>5.4325000000000001</v>
      </c>
      <c r="M231">
        <v>1.0865</v>
      </c>
      <c r="N231">
        <v>1.0865</v>
      </c>
      <c r="O231" t="s">
        <v>31</v>
      </c>
      <c r="P231" t="s">
        <v>31</v>
      </c>
      <c r="Q231" t="s">
        <v>6726</v>
      </c>
      <c r="R231">
        <v>0</v>
      </c>
      <c r="S231">
        <v>2</v>
      </c>
    </row>
    <row r="232" spans="1:19" hidden="1" x14ac:dyDescent="0.3">
      <c r="A232">
        <v>368</v>
      </c>
      <c r="B232" t="s">
        <v>2735</v>
      </c>
      <c r="C232" t="s">
        <v>6681</v>
      </c>
      <c r="D232" t="s">
        <v>2736</v>
      </c>
      <c r="E232" t="s">
        <v>233</v>
      </c>
      <c r="F232" t="s">
        <v>30</v>
      </c>
      <c r="G232" s="6">
        <v>45473</v>
      </c>
      <c r="H232">
        <v>2024</v>
      </c>
      <c r="I232" t="s">
        <v>44</v>
      </c>
      <c r="J232" t="s">
        <v>71</v>
      </c>
      <c r="K232">
        <v>90</v>
      </c>
      <c r="L232">
        <v>95</v>
      </c>
      <c r="M232">
        <v>1.055555555555556</v>
      </c>
      <c r="N232">
        <v>1.055555555555556</v>
      </c>
      <c r="O232" t="s">
        <v>31</v>
      </c>
      <c r="P232" t="s">
        <v>31</v>
      </c>
      <c r="Q232" t="s">
        <v>2740</v>
      </c>
      <c r="R232">
        <v>0</v>
      </c>
      <c r="S232">
        <v>0</v>
      </c>
    </row>
    <row r="233" spans="1:19" hidden="1" x14ac:dyDescent="0.3">
      <c r="A233">
        <v>368</v>
      </c>
      <c r="B233" t="s">
        <v>2735</v>
      </c>
      <c r="C233" t="s">
        <v>6681</v>
      </c>
      <c r="D233" t="s">
        <v>2736</v>
      </c>
      <c r="E233" t="s">
        <v>233</v>
      </c>
      <c r="F233" t="s">
        <v>30</v>
      </c>
      <c r="G233" s="6">
        <v>45838</v>
      </c>
      <c r="H233">
        <v>2025</v>
      </c>
      <c r="I233" t="s">
        <v>44</v>
      </c>
      <c r="J233" t="s">
        <v>244</v>
      </c>
      <c r="K233">
        <v>93</v>
      </c>
      <c r="L233">
        <v>95</v>
      </c>
      <c r="M233">
        <v>1.021505376344086</v>
      </c>
      <c r="N233">
        <v>1.021505376344086</v>
      </c>
      <c r="O233" t="s">
        <v>31</v>
      </c>
      <c r="P233" t="s">
        <v>31</v>
      </c>
      <c r="Q233" t="s">
        <v>2744</v>
      </c>
      <c r="R233">
        <v>0</v>
      </c>
      <c r="S233">
        <v>0</v>
      </c>
    </row>
    <row r="234" spans="1:19" hidden="1" x14ac:dyDescent="0.3">
      <c r="A234">
        <v>369</v>
      </c>
      <c r="B234" t="s">
        <v>2747</v>
      </c>
      <c r="C234" t="s">
        <v>6622</v>
      </c>
      <c r="D234" t="s">
        <v>2678</v>
      </c>
      <c r="E234" t="s">
        <v>222</v>
      </c>
      <c r="F234" t="s">
        <v>30</v>
      </c>
      <c r="G234" s="6">
        <v>46023</v>
      </c>
      <c r="H234" t="s">
        <v>6623</v>
      </c>
      <c r="I234" t="s">
        <v>6623</v>
      </c>
      <c r="J234" t="s">
        <v>6623</v>
      </c>
      <c r="K234">
        <v>378</v>
      </c>
      <c r="L234">
        <v>328</v>
      </c>
      <c r="M234">
        <v>0.86772486772486768</v>
      </c>
      <c r="N234">
        <v>0.86772486772486768</v>
      </c>
      <c r="O234" t="s">
        <v>118</v>
      </c>
      <c r="P234" t="s">
        <v>118</v>
      </c>
      <c r="Q234" t="s">
        <v>6727</v>
      </c>
      <c r="R234">
        <v>0</v>
      </c>
      <c r="S234">
        <v>0</v>
      </c>
    </row>
    <row r="235" spans="1:19" hidden="1" x14ac:dyDescent="0.3">
      <c r="A235">
        <v>371</v>
      </c>
      <c r="B235" t="s">
        <v>2761</v>
      </c>
      <c r="C235" t="s">
        <v>6622</v>
      </c>
      <c r="D235" t="s">
        <v>2678</v>
      </c>
      <c r="E235" t="s">
        <v>222</v>
      </c>
      <c r="F235" t="s">
        <v>30</v>
      </c>
      <c r="G235" s="6">
        <v>45838</v>
      </c>
      <c r="H235">
        <v>2025</v>
      </c>
      <c r="I235" t="s">
        <v>44</v>
      </c>
      <c r="J235" t="s">
        <v>244</v>
      </c>
      <c r="K235">
        <v>110800000</v>
      </c>
      <c r="L235">
        <v>81647005</v>
      </c>
      <c r="M235">
        <v>0.73688632671480148</v>
      </c>
      <c r="N235">
        <v>0.73688632671480148</v>
      </c>
      <c r="O235" t="s">
        <v>335</v>
      </c>
      <c r="P235" t="s">
        <v>335</v>
      </c>
      <c r="Q235" t="s">
        <v>2768</v>
      </c>
      <c r="R235">
        <v>0</v>
      </c>
      <c r="S235">
        <v>0</v>
      </c>
    </row>
    <row r="236" spans="1:19" hidden="1" x14ac:dyDescent="0.3">
      <c r="A236">
        <v>372</v>
      </c>
      <c r="B236" t="s">
        <v>2773</v>
      </c>
      <c r="C236" t="s">
        <v>6681</v>
      </c>
      <c r="D236" t="s">
        <v>2736</v>
      </c>
      <c r="E236" t="s">
        <v>233</v>
      </c>
      <c r="F236" t="s">
        <v>30</v>
      </c>
      <c r="G236" s="6">
        <v>45473</v>
      </c>
      <c r="H236">
        <v>2024</v>
      </c>
      <c r="I236" t="s">
        <v>44</v>
      </c>
      <c r="J236" t="s">
        <v>71</v>
      </c>
      <c r="K236">
        <v>87</v>
      </c>
      <c r="L236">
        <v>90</v>
      </c>
      <c r="M236">
        <v>1.0344827586206899</v>
      </c>
      <c r="N236">
        <v>1.0344827586206899</v>
      </c>
      <c r="O236" t="s">
        <v>31</v>
      </c>
      <c r="P236" t="s">
        <v>31</v>
      </c>
      <c r="Q236" t="s">
        <v>2777</v>
      </c>
      <c r="R236">
        <v>0</v>
      </c>
      <c r="S236">
        <v>0</v>
      </c>
    </row>
    <row r="237" spans="1:19" hidden="1" x14ac:dyDescent="0.3">
      <c r="A237">
        <v>372</v>
      </c>
      <c r="B237" t="s">
        <v>2773</v>
      </c>
      <c r="C237" t="s">
        <v>6681</v>
      </c>
      <c r="D237" t="s">
        <v>2736</v>
      </c>
      <c r="E237" t="s">
        <v>233</v>
      </c>
      <c r="F237" t="s">
        <v>30</v>
      </c>
      <c r="G237" s="6">
        <v>45838</v>
      </c>
      <c r="H237">
        <v>2025</v>
      </c>
      <c r="I237" t="s">
        <v>44</v>
      </c>
      <c r="J237" t="s">
        <v>244</v>
      </c>
      <c r="K237">
        <v>90</v>
      </c>
      <c r="L237">
        <v>94</v>
      </c>
      <c r="M237">
        <v>1.044444444444445</v>
      </c>
      <c r="N237">
        <v>1.044444444444445</v>
      </c>
      <c r="O237" t="s">
        <v>31</v>
      </c>
      <c r="P237" t="s">
        <v>31</v>
      </c>
      <c r="Q237" t="s">
        <v>2781</v>
      </c>
      <c r="R237">
        <v>0</v>
      </c>
      <c r="S237">
        <v>0</v>
      </c>
    </row>
    <row r="238" spans="1:19" hidden="1" x14ac:dyDescent="0.3">
      <c r="A238">
        <v>373</v>
      </c>
      <c r="B238" t="s">
        <v>2785</v>
      </c>
      <c r="C238" t="s">
        <v>6622</v>
      </c>
      <c r="D238" t="s">
        <v>129</v>
      </c>
      <c r="E238" t="s">
        <v>233</v>
      </c>
      <c r="F238" t="s">
        <v>30</v>
      </c>
      <c r="G238" s="6">
        <v>45838</v>
      </c>
      <c r="H238">
        <v>2025</v>
      </c>
      <c r="I238" t="s">
        <v>44</v>
      </c>
      <c r="J238" t="s">
        <v>244</v>
      </c>
      <c r="K238">
        <v>60</v>
      </c>
      <c r="L238">
        <v>61</v>
      </c>
      <c r="M238">
        <v>1</v>
      </c>
      <c r="N238">
        <v>1</v>
      </c>
      <c r="O238" t="s">
        <v>31</v>
      </c>
      <c r="P238" t="s">
        <v>31</v>
      </c>
      <c r="Q238" t="s">
        <v>2798</v>
      </c>
      <c r="R238">
        <v>0</v>
      </c>
      <c r="S238">
        <v>0</v>
      </c>
    </row>
    <row r="239" spans="1:19" hidden="1" x14ac:dyDescent="0.3">
      <c r="A239">
        <v>375</v>
      </c>
      <c r="B239" t="s">
        <v>2804</v>
      </c>
      <c r="C239" t="s">
        <v>6681</v>
      </c>
      <c r="D239" t="s">
        <v>2688</v>
      </c>
      <c r="E239" t="s">
        <v>222</v>
      </c>
      <c r="F239" t="s">
        <v>30</v>
      </c>
      <c r="G239" s="6">
        <v>45838</v>
      </c>
      <c r="H239">
        <v>2025</v>
      </c>
      <c r="I239" t="s">
        <v>44</v>
      </c>
      <c r="J239" t="s">
        <v>244</v>
      </c>
      <c r="K239">
        <v>100</v>
      </c>
      <c r="L239">
        <v>100</v>
      </c>
      <c r="M239">
        <v>1</v>
      </c>
      <c r="N239">
        <v>1</v>
      </c>
      <c r="O239" t="s">
        <v>31</v>
      </c>
      <c r="P239" t="s">
        <v>31</v>
      </c>
      <c r="Q239" t="s">
        <v>2808</v>
      </c>
      <c r="R239">
        <v>0</v>
      </c>
      <c r="S239">
        <v>0</v>
      </c>
    </row>
    <row r="240" spans="1:19" hidden="1" x14ac:dyDescent="0.3">
      <c r="A240">
        <v>376</v>
      </c>
      <c r="B240" t="s">
        <v>2817</v>
      </c>
      <c r="C240" t="s">
        <v>6622</v>
      </c>
      <c r="D240" t="s">
        <v>225</v>
      </c>
      <c r="E240" t="s">
        <v>222</v>
      </c>
      <c r="F240" t="s">
        <v>30</v>
      </c>
      <c r="G240" s="6">
        <v>44925</v>
      </c>
      <c r="H240">
        <v>2022</v>
      </c>
      <c r="I240" t="s">
        <v>57</v>
      </c>
      <c r="J240" t="s">
        <v>90</v>
      </c>
      <c r="K240">
        <v>16064</v>
      </c>
      <c r="L240">
        <v>24140</v>
      </c>
      <c r="M240">
        <v>1.3</v>
      </c>
      <c r="N240">
        <v>1.502739043824701</v>
      </c>
      <c r="O240" t="s">
        <v>335</v>
      </c>
      <c r="P240" t="s">
        <v>335</v>
      </c>
      <c r="Q240" t="s">
        <v>2813</v>
      </c>
      <c r="R240">
        <v>0</v>
      </c>
      <c r="S240">
        <v>0</v>
      </c>
    </row>
    <row r="241" spans="1:19" hidden="1" x14ac:dyDescent="0.3">
      <c r="A241">
        <v>376</v>
      </c>
      <c r="B241" t="s">
        <v>2817</v>
      </c>
      <c r="C241" t="s">
        <v>6622</v>
      </c>
      <c r="D241" t="s">
        <v>225</v>
      </c>
      <c r="E241" t="s">
        <v>222</v>
      </c>
      <c r="F241" t="s">
        <v>30</v>
      </c>
      <c r="G241" s="6">
        <v>46023</v>
      </c>
      <c r="H241" t="s">
        <v>6623</v>
      </c>
      <c r="I241" t="s">
        <v>6623</v>
      </c>
      <c r="J241" t="s">
        <v>6623</v>
      </c>
      <c r="K241">
        <v>32126.4837455827</v>
      </c>
      <c r="L241">
        <v>37751.457388000003</v>
      </c>
      <c r="M241">
        <v>1.17508836905286</v>
      </c>
      <c r="N241">
        <v>1.17508836905286</v>
      </c>
      <c r="O241" t="s">
        <v>335</v>
      </c>
      <c r="P241" t="s">
        <v>335</v>
      </c>
      <c r="Q241" t="s">
        <v>6728</v>
      </c>
      <c r="R241">
        <v>0</v>
      </c>
      <c r="S241">
        <v>0</v>
      </c>
    </row>
    <row r="242" spans="1:19" hidden="1" x14ac:dyDescent="0.3">
      <c r="A242">
        <v>377</v>
      </c>
      <c r="B242" t="s">
        <v>2826</v>
      </c>
      <c r="C242" t="s">
        <v>6622</v>
      </c>
      <c r="D242" t="s">
        <v>225</v>
      </c>
      <c r="E242" t="s">
        <v>222</v>
      </c>
      <c r="F242" t="s">
        <v>108</v>
      </c>
      <c r="G242" s="6">
        <v>46023</v>
      </c>
      <c r="H242" t="s">
        <v>6623</v>
      </c>
      <c r="I242" t="s">
        <v>6623</v>
      </c>
      <c r="J242" t="s">
        <v>6623</v>
      </c>
      <c r="K242">
        <v>10285.243492809999</v>
      </c>
      <c r="L242">
        <v>11016.899103</v>
      </c>
      <c r="M242">
        <v>1.0711364403479089</v>
      </c>
      <c r="N242">
        <v>1.0711364403479089</v>
      </c>
      <c r="O242" t="s">
        <v>335</v>
      </c>
      <c r="P242" t="s">
        <v>335</v>
      </c>
      <c r="Q242" t="s">
        <v>6729</v>
      </c>
      <c r="R242">
        <v>0</v>
      </c>
      <c r="S242">
        <v>0</v>
      </c>
    </row>
    <row r="243" spans="1:19" hidden="1" x14ac:dyDescent="0.3">
      <c r="A243">
        <v>378</v>
      </c>
      <c r="B243" t="s">
        <v>2835</v>
      </c>
      <c r="C243" t="s">
        <v>6622</v>
      </c>
      <c r="D243" t="s">
        <v>270</v>
      </c>
      <c r="E243" t="s">
        <v>29</v>
      </c>
      <c r="F243" t="s">
        <v>30</v>
      </c>
      <c r="G243" s="6">
        <v>45473</v>
      </c>
      <c r="H243">
        <v>2024</v>
      </c>
      <c r="I243" t="s">
        <v>44</v>
      </c>
      <c r="J243" t="s">
        <v>71</v>
      </c>
      <c r="K243">
        <v>92</v>
      </c>
      <c r="L243">
        <v>98.5</v>
      </c>
      <c r="M243">
        <v>1.070652173913043</v>
      </c>
      <c r="N243">
        <v>1.070652173913043</v>
      </c>
      <c r="O243" t="s">
        <v>31</v>
      </c>
      <c r="P243" t="s">
        <v>31</v>
      </c>
      <c r="Q243" t="s">
        <v>2853</v>
      </c>
      <c r="R243">
        <v>0</v>
      </c>
      <c r="S243">
        <v>0</v>
      </c>
    </row>
    <row r="244" spans="1:19" hidden="1" x14ac:dyDescent="0.3">
      <c r="A244">
        <v>379</v>
      </c>
      <c r="B244" t="s">
        <v>2861</v>
      </c>
      <c r="C244" t="s">
        <v>6622</v>
      </c>
      <c r="D244" t="s">
        <v>2862</v>
      </c>
      <c r="E244" t="s">
        <v>222</v>
      </c>
      <c r="F244" t="s">
        <v>30</v>
      </c>
      <c r="G244" s="6">
        <v>46023</v>
      </c>
      <c r="H244" t="s">
        <v>6623</v>
      </c>
      <c r="I244" t="s">
        <v>6623</v>
      </c>
      <c r="J244" t="s">
        <v>6623</v>
      </c>
      <c r="K244">
        <v>90899</v>
      </c>
      <c r="L244">
        <v>92498</v>
      </c>
      <c r="M244">
        <v>1.0175909525957381</v>
      </c>
      <c r="N244">
        <v>1.0175909525957381</v>
      </c>
      <c r="O244" t="s">
        <v>118</v>
      </c>
      <c r="P244" t="s">
        <v>118</v>
      </c>
      <c r="Q244" t="s">
        <v>6730</v>
      </c>
      <c r="R244">
        <v>0</v>
      </c>
      <c r="S244">
        <v>0</v>
      </c>
    </row>
    <row r="245" spans="1:19" hidden="1" x14ac:dyDescent="0.3">
      <c r="A245">
        <v>380</v>
      </c>
      <c r="B245" t="s">
        <v>2876</v>
      </c>
      <c r="C245" t="s">
        <v>6622</v>
      </c>
      <c r="D245" t="s">
        <v>2862</v>
      </c>
      <c r="E245" t="s">
        <v>222</v>
      </c>
      <c r="F245" t="s">
        <v>30</v>
      </c>
      <c r="G245" s="6">
        <v>45473</v>
      </c>
      <c r="H245">
        <v>2024</v>
      </c>
      <c r="I245" t="s">
        <v>44</v>
      </c>
      <c r="J245" t="s">
        <v>71</v>
      </c>
      <c r="K245">
        <v>100</v>
      </c>
      <c r="L245">
        <v>96.13</v>
      </c>
      <c r="M245">
        <v>0.96129999999999993</v>
      </c>
      <c r="N245">
        <v>0.96129999999999993</v>
      </c>
      <c r="O245" t="s">
        <v>31</v>
      </c>
      <c r="P245" t="s">
        <v>31</v>
      </c>
      <c r="Q245" t="s">
        <v>2879</v>
      </c>
      <c r="R245">
        <v>0</v>
      </c>
      <c r="S245">
        <v>0</v>
      </c>
    </row>
    <row r="246" spans="1:19" hidden="1" x14ac:dyDescent="0.3">
      <c r="A246">
        <v>381</v>
      </c>
      <c r="B246" t="s">
        <v>2882</v>
      </c>
      <c r="C246" t="s">
        <v>6622</v>
      </c>
      <c r="D246" t="s">
        <v>2862</v>
      </c>
      <c r="E246" t="s">
        <v>222</v>
      </c>
      <c r="F246" t="s">
        <v>30</v>
      </c>
      <c r="G246" s="6">
        <v>45838</v>
      </c>
      <c r="H246">
        <v>2025</v>
      </c>
      <c r="I246" t="s">
        <v>44</v>
      </c>
      <c r="J246" t="s">
        <v>244</v>
      </c>
      <c r="K246">
        <v>1572</v>
      </c>
      <c r="L246">
        <v>1544</v>
      </c>
      <c r="M246">
        <v>0.98218829516539441</v>
      </c>
      <c r="N246">
        <v>0.98218829516539441</v>
      </c>
      <c r="O246" t="s">
        <v>118</v>
      </c>
      <c r="P246" t="s">
        <v>118</v>
      </c>
      <c r="Q246" t="s">
        <v>2891</v>
      </c>
      <c r="R246">
        <v>0</v>
      </c>
      <c r="S246">
        <v>0</v>
      </c>
    </row>
    <row r="247" spans="1:19" hidden="1" x14ac:dyDescent="0.3">
      <c r="A247">
        <v>382</v>
      </c>
      <c r="B247" t="s">
        <v>2896</v>
      </c>
      <c r="C247" t="s">
        <v>6622</v>
      </c>
      <c r="D247" t="s">
        <v>2862</v>
      </c>
      <c r="E247" t="s">
        <v>222</v>
      </c>
      <c r="F247" t="s">
        <v>30</v>
      </c>
      <c r="G247" s="6">
        <v>45838</v>
      </c>
      <c r="H247">
        <v>2025</v>
      </c>
      <c r="I247" t="s">
        <v>44</v>
      </c>
      <c r="J247" t="s">
        <v>244</v>
      </c>
      <c r="K247">
        <v>10067</v>
      </c>
      <c r="L247">
        <v>10021</v>
      </c>
      <c r="M247">
        <v>0.99543061488030193</v>
      </c>
      <c r="N247">
        <v>0.99543061488030193</v>
      </c>
      <c r="O247" t="s">
        <v>118</v>
      </c>
      <c r="P247" t="s">
        <v>118</v>
      </c>
      <c r="Q247" t="s">
        <v>2905</v>
      </c>
      <c r="R247">
        <v>0</v>
      </c>
      <c r="S247">
        <v>0</v>
      </c>
    </row>
    <row r="248" spans="1:19" hidden="1" x14ac:dyDescent="0.3">
      <c r="A248">
        <v>383</v>
      </c>
      <c r="B248" t="s">
        <v>2910</v>
      </c>
      <c r="C248" t="s">
        <v>6681</v>
      </c>
      <c r="D248" t="s">
        <v>2862</v>
      </c>
      <c r="E248" t="s">
        <v>222</v>
      </c>
      <c r="F248" t="s">
        <v>30</v>
      </c>
      <c r="G248" s="6">
        <v>45838</v>
      </c>
      <c r="H248">
        <v>2025</v>
      </c>
      <c r="I248" t="s">
        <v>44</v>
      </c>
      <c r="J248" t="s">
        <v>244</v>
      </c>
      <c r="K248">
        <v>1599</v>
      </c>
      <c r="L248">
        <v>2165</v>
      </c>
      <c r="M248">
        <v>1.3</v>
      </c>
      <c r="N248">
        <v>1.353971232020013</v>
      </c>
      <c r="O248" t="s">
        <v>118</v>
      </c>
      <c r="P248" t="s">
        <v>118</v>
      </c>
      <c r="Q248" t="s">
        <v>2919</v>
      </c>
      <c r="R248">
        <v>0</v>
      </c>
      <c r="S248">
        <v>0</v>
      </c>
    </row>
    <row r="249" spans="1:19" hidden="1" x14ac:dyDescent="0.3">
      <c r="A249">
        <v>384</v>
      </c>
      <c r="B249" t="s">
        <v>2924</v>
      </c>
      <c r="C249" t="s">
        <v>6681</v>
      </c>
      <c r="D249" t="s">
        <v>2862</v>
      </c>
      <c r="E249" t="s">
        <v>222</v>
      </c>
      <c r="F249" t="s">
        <v>30</v>
      </c>
      <c r="G249" s="6">
        <v>45838</v>
      </c>
      <c r="H249">
        <v>2025</v>
      </c>
      <c r="I249" t="s">
        <v>44</v>
      </c>
      <c r="J249" t="s">
        <v>244</v>
      </c>
      <c r="K249">
        <v>371</v>
      </c>
      <c r="L249">
        <v>380</v>
      </c>
      <c r="M249">
        <v>1.024258760107817</v>
      </c>
      <c r="N249">
        <v>1.024258760107817</v>
      </c>
      <c r="O249" t="s">
        <v>118</v>
      </c>
      <c r="P249" t="s">
        <v>118</v>
      </c>
      <c r="Q249" t="s">
        <v>2933</v>
      </c>
      <c r="R249">
        <v>0</v>
      </c>
      <c r="S249">
        <v>0</v>
      </c>
    </row>
    <row r="250" spans="1:19" hidden="1" x14ac:dyDescent="0.3">
      <c r="A250">
        <v>385</v>
      </c>
      <c r="B250" t="s">
        <v>2936</v>
      </c>
      <c r="C250" t="s">
        <v>6622</v>
      </c>
      <c r="D250" t="s">
        <v>2937</v>
      </c>
      <c r="E250" t="s">
        <v>222</v>
      </c>
      <c r="F250" t="s">
        <v>30</v>
      </c>
      <c r="G250" s="6">
        <v>46023</v>
      </c>
      <c r="H250" t="s">
        <v>6623</v>
      </c>
      <c r="I250" t="s">
        <v>6623</v>
      </c>
      <c r="J250" t="s">
        <v>6623</v>
      </c>
      <c r="K250">
        <v>60024.456510999997</v>
      </c>
      <c r="L250">
        <v>59545.798287999998</v>
      </c>
      <c r="M250">
        <v>0.99202561337790229</v>
      </c>
      <c r="N250">
        <v>0.99202561337790229</v>
      </c>
      <c r="O250" t="s">
        <v>335</v>
      </c>
      <c r="P250" t="s">
        <v>335</v>
      </c>
      <c r="Q250" t="s">
        <v>6731</v>
      </c>
      <c r="R250">
        <v>0</v>
      </c>
      <c r="S250">
        <v>0</v>
      </c>
    </row>
    <row r="251" spans="1:19" hidden="1" x14ac:dyDescent="0.3">
      <c r="A251">
        <v>386</v>
      </c>
      <c r="B251" t="s">
        <v>2951</v>
      </c>
      <c r="C251" t="s">
        <v>6622</v>
      </c>
      <c r="D251" t="s">
        <v>2937</v>
      </c>
      <c r="E251" t="s">
        <v>222</v>
      </c>
      <c r="F251" t="s">
        <v>30</v>
      </c>
      <c r="G251" s="6">
        <v>45838</v>
      </c>
      <c r="H251">
        <v>2025</v>
      </c>
      <c r="I251" t="s">
        <v>44</v>
      </c>
      <c r="J251" t="s">
        <v>244</v>
      </c>
      <c r="K251">
        <v>6845.8773110000002</v>
      </c>
      <c r="L251">
        <v>8141.0462020000004</v>
      </c>
      <c r="M251">
        <v>1.1891896147362899</v>
      </c>
      <c r="N251">
        <v>1.1891896147362899</v>
      </c>
      <c r="O251" t="s">
        <v>31</v>
      </c>
      <c r="P251" t="s">
        <v>31</v>
      </c>
      <c r="Q251" t="s">
        <v>2955</v>
      </c>
      <c r="R251">
        <v>0</v>
      </c>
      <c r="S251">
        <v>0</v>
      </c>
    </row>
    <row r="252" spans="1:19" hidden="1" x14ac:dyDescent="0.3">
      <c r="A252">
        <v>390</v>
      </c>
      <c r="B252" t="s">
        <v>2994</v>
      </c>
      <c r="C252" t="s">
        <v>6622</v>
      </c>
      <c r="D252" t="s">
        <v>129</v>
      </c>
      <c r="E252" t="s">
        <v>233</v>
      </c>
      <c r="F252" t="s">
        <v>30</v>
      </c>
      <c r="G252" s="6">
        <v>45838</v>
      </c>
      <c r="H252">
        <v>2025</v>
      </c>
      <c r="I252" t="s">
        <v>44</v>
      </c>
      <c r="J252" t="s">
        <v>244</v>
      </c>
      <c r="K252">
        <v>100</v>
      </c>
      <c r="L252">
        <v>0</v>
      </c>
      <c r="M252">
        <v>0</v>
      </c>
      <c r="N252">
        <v>0</v>
      </c>
      <c r="O252" t="s">
        <v>31</v>
      </c>
      <c r="P252" t="s">
        <v>31</v>
      </c>
      <c r="Q252" t="s">
        <v>3007</v>
      </c>
      <c r="R252">
        <v>0</v>
      </c>
      <c r="S252">
        <v>0</v>
      </c>
    </row>
    <row r="253" spans="1:19" hidden="1" x14ac:dyDescent="0.3">
      <c r="A253">
        <v>391</v>
      </c>
      <c r="B253" t="s">
        <v>3070</v>
      </c>
      <c r="C253" t="s">
        <v>6622</v>
      </c>
      <c r="D253" t="s">
        <v>3071</v>
      </c>
      <c r="E253" t="s">
        <v>222</v>
      </c>
      <c r="F253" t="s">
        <v>30</v>
      </c>
      <c r="G253" s="6">
        <v>45473</v>
      </c>
      <c r="H253">
        <v>2024</v>
      </c>
      <c r="I253" t="s">
        <v>44</v>
      </c>
      <c r="J253" t="s">
        <v>71</v>
      </c>
      <c r="K253">
        <v>96</v>
      </c>
      <c r="L253">
        <v>100</v>
      </c>
      <c r="M253">
        <v>1.041666666666667</v>
      </c>
      <c r="N253">
        <v>1.041666666666667</v>
      </c>
      <c r="O253" t="s">
        <v>31</v>
      </c>
      <c r="P253" t="s">
        <v>31</v>
      </c>
      <c r="Q253" t="s">
        <v>3074</v>
      </c>
      <c r="R253">
        <v>0</v>
      </c>
      <c r="S253">
        <v>0</v>
      </c>
    </row>
    <row r="254" spans="1:19" hidden="1" x14ac:dyDescent="0.3">
      <c r="A254">
        <v>392</v>
      </c>
      <c r="B254" t="s">
        <v>3077</v>
      </c>
      <c r="C254" t="s">
        <v>6622</v>
      </c>
      <c r="D254" t="s">
        <v>3071</v>
      </c>
      <c r="E254" t="s">
        <v>222</v>
      </c>
      <c r="F254" t="s">
        <v>30</v>
      </c>
      <c r="G254" s="6">
        <v>45473</v>
      </c>
      <c r="H254">
        <v>2024</v>
      </c>
      <c r="I254" t="s">
        <v>44</v>
      </c>
      <c r="J254" t="s">
        <v>71</v>
      </c>
      <c r="K254">
        <v>341000000</v>
      </c>
      <c r="L254">
        <v>334552287</v>
      </c>
      <c r="M254">
        <v>0.98109175073313781</v>
      </c>
      <c r="N254">
        <v>0.98109175073313781</v>
      </c>
      <c r="O254" t="s">
        <v>335</v>
      </c>
      <c r="P254" t="s">
        <v>335</v>
      </c>
      <c r="Q254" t="s">
        <v>3080</v>
      </c>
      <c r="R254">
        <v>0</v>
      </c>
      <c r="S254">
        <v>0</v>
      </c>
    </row>
    <row r="255" spans="1:19" hidden="1" x14ac:dyDescent="0.3">
      <c r="A255">
        <v>394</v>
      </c>
      <c r="B255" t="s">
        <v>3092</v>
      </c>
      <c r="C255" t="s">
        <v>6622</v>
      </c>
      <c r="D255" t="s">
        <v>3093</v>
      </c>
      <c r="E255" t="s">
        <v>233</v>
      </c>
      <c r="F255" t="s">
        <v>30</v>
      </c>
      <c r="G255" s="6">
        <v>45838</v>
      </c>
      <c r="H255">
        <v>2025</v>
      </c>
      <c r="I255" t="s">
        <v>44</v>
      </c>
      <c r="J255" t="s">
        <v>244</v>
      </c>
      <c r="K255">
        <v>550</v>
      </c>
      <c r="L255">
        <v>794</v>
      </c>
      <c r="M255">
        <v>1.3</v>
      </c>
      <c r="N255">
        <v>1.4436363636363641</v>
      </c>
      <c r="O255" t="s">
        <v>118</v>
      </c>
      <c r="P255" t="s">
        <v>118</v>
      </c>
      <c r="Q255" t="s">
        <v>3103</v>
      </c>
      <c r="R255">
        <v>0</v>
      </c>
      <c r="S255">
        <v>0</v>
      </c>
    </row>
    <row r="256" spans="1:19" hidden="1" x14ac:dyDescent="0.3">
      <c r="A256">
        <v>395</v>
      </c>
      <c r="B256" t="s">
        <v>3111</v>
      </c>
      <c r="C256" t="s">
        <v>6681</v>
      </c>
      <c r="D256" t="s">
        <v>3093</v>
      </c>
      <c r="E256" t="s">
        <v>233</v>
      </c>
      <c r="F256" t="s">
        <v>30</v>
      </c>
      <c r="G256" s="6">
        <v>45838</v>
      </c>
      <c r="H256">
        <v>2025</v>
      </c>
      <c r="I256" t="s">
        <v>44</v>
      </c>
      <c r="J256" t="s">
        <v>244</v>
      </c>
      <c r="K256">
        <v>90</v>
      </c>
      <c r="L256">
        <v>191</v>
      </c>
      <c r="M256">
        <v>1.3</v>
      </c>
      <c r="N256">
        <v>2.1222222222222218</v>
      </c>
      <c r="O256" t="s">
        <v>118</v>
      </c>
      <c r="P256" t="s">
        <v>118</v>
      </c>
      <c r="Q256" t="s">
        <v>3119</v>
      </c>
      <c r="R256">
        <v>0</v>
      </c>
      <c r="S256">
        <v>0</v>
      </c>
    </row>
    <row r="257" spans="1:19" hidden="1" x14ac:dyDescent="0.3">
      <c r="A257">
        <v>396</v>
      </c>
      <c r="B257" t="s">
        <v>3124</v>
      </c>
      <c r="C257" t="s">
        <v>6681</v>
      </c>
      <c r="D257" t="s">
        <v>3126</v>
      </c>
      <c r="E257" t="s">
        <v>222</v>
      </c>
      <c r="F257" t="s">
        <v>30</v>
      </c>
      <c r="G257" s="6">
        <v>45473</v>
      </c>
      <c r="H257">
        <v>2024</v>
      </c>
      <c r="I257" t="s">
        <v>44</v>
      </c>
      <c r="J257" t="s">
        <v>71</v>
      </c>
      <c r="K257">
        <v>80</v>
      </c>
      <c r="L257">
        <v>88.1</v>
      </c>
      <c r="M257">
        <v>1.1012500000000001</v>
      </c>
      <c r="N257">
        <v>1.1012500000000001</v>
      </c>
      <c r="O257" t="s">
        <v>118</v>
      </c>
      <c r="P257" t="s">
        <v>109</v>
      </c>
      <c r="Q257" t="s">
        <v>3127</v>
      </c>
      <c r="R257">
        <v>1</v>
      </c>
      <c r="S257">
        <v>1</v>
      </c>
    </row>
    <row r="258" spans="1:19" hidden="1" x14ac:dyDescent="0.3">
      <c r="A258">
        <v>397</v>
      </c>
      <c r="B258" t="s">
        <v>3134</v>
      </c>
      <c r="C258" t="s">
        <v>6681</v>
      </c>
      <c r="D258" t="s">
        <v>3126</v>
      </c>
      <c r="E258" t="s">
        <v>222</v>
      </c>
      <c r="F258" t="s">
        <v>30</v>
      </c>
      <c r="G258" s="6">
        <v>45838</v>
      </c>
      <c r="H258">
        <v>2025</v>
      </c>
      <c r="I258" t="s">
        <v>44</v>
      </c>
      <c r="J258" t="s">
        <v>244</v>
      </c>
      <c r="K258">
        <v>90</v>
      </c>
      <c r="L258">
        <v>95.26</v>
      </c>
      <c r="M258">
        <v>1.058444444444445</v>
      </c>
      <c r="N258">
        <v>1.058444444444445</v>
      </c>
      <c r="O258" t="s">
        <v>31</v>
      </c>
      <c r="P258" t="s">
        <v>31</v>
      </c>
      <c r="Q258" t="s">
        <v>3137</v>
      </c>
      <c r="R258">
        <v>0</v>
      </c>
      <c r="S258">
        <v>1</v>
      </c>
    </row>
    <row r="259" spans="1:19" hidden="1" x14ac:dyDescent="0.3">
      <c r="A259">
        <v>398</v>
      </c>
      <c r="B259" t="s">
        <v>3142</v>
      </c>
      <c r="C259" t="s">
        <v>6681</v>
      </c>
      <c r="D259" t="s">
        <v>3143</v>
      </c>
      <c r="E259" t="s">
        <v>222</v>
      </c>
      <c r="F259" t="s">
        <v>30</v>
      </c>
      <c r="G259" s="6">
        <v>45838</v>
      </c>
      <c r="H259">
        <v>2025</v>
      </c>
      <c r="I259" t="s">
        <v>44</v>
      </c>
      <c r="J259" t="s">
        <v>244</v>
      </c>
      <c r="K259">
        <v>1400</v>
      </c>
      <c r="L259">
        <v>2233</v>
      </c>
      <c r="M259">
        <v>1.3</v>
      </c>
      <c r="N259">
        <v>1.595</v>
      </c>
      <c r="O259" t="s">
        <v>118</v>
      </c>
      <c r="P259" t="s">
        <v>118</v>
      </c>
      <c r="Q259" t="s">
        <v>3150</v>
      </c>
      <c r="R259">
        <v>0</v>
      </c>
      <c r="S259">
        <v>0</v>
      </c>
    </row>
    <row r="260" spans="1:19" hidden="1" x14ac:dyDescent="0.3">
      <c r="A260">
        <v>399</v>
      </c>
      <c r="B260" t="s">
        <v>3158</v>
      </c>
      <c r="C260" t="s">
        <v>6681</v>
      </c>
      <c r="D260" t="s">
        <v>3143</v>
      </c>
      <c r="E260" t="s">
        <v>222</v>
      </c>
      <c r="F260" t="s">
        <v>30</v>
      </c>
      <c r="G260" s="6">
        <v>45838</v>
      </c>
      <c r="H260">
        <v>2025</v>
      </c>
      <c r="I260" t="s">
        <v>44</v>
      </c>
      <c r="J260" t="s">
        <v>244</v>
      </c>
      <c r="K260">
        <v>772</v>
      </c>
      <c r="L260">
        <v>750</v>
      </c>
      <c r="M260">
        <v>0.97150259067357514</v>
      </c>
      <c r="N260">
        <v>0.97150259067357514</v>
      </c>
      <c r="O260" t="s">
        <v>118</v>
      </c>
      <c r="P260" t="s">
        <v>118</v>
      </c>
      <c r="Q260" t="s">
        <v>3163</v>
      </c>
      <c r="R260">
        <v>0</v>
      </c>
      <c r="S260">
        <v>0</v>
      </c>
    </row>
    <row r="261" spans="1:19" hidden="1" x14ac:dyDescent="0.3">
      <c r="A261">
        <v>400</v>
      </c>
      <c r="B261" t="s">
        <v>3184</v>
      </c>
      <c r="C261" t="s">
        <v>6681</v>
      </c>
      <c r="D261" t="s">
        <v>3143</v>
      </c>
      <c r="E261" t="s">
        <v>222</v>
      </c>
      <c r="F261" t="s">
        <v>30</v>
      </c>
      <c r="G261" s="6">
        <v>45473</v>
      </c>
      <c r="H261">
        <v>2024</v>
      </c>
      <c r="I261" t="s">
        <v>44</v>
      </c>
      <c r="J261" t="s">
        <v>71</v>
      </c>
      <c r="K261">
        <v>88</v>
      </c>
      <c r="L261">
        <v>294</v>
      </c>
      <c r="M261">
        <v>1.3</v>
      </c>
      <c r="N261">
        <v>3.3409090909090908</v>
      </c>
      <c r="O261" t="s">
        <v>118</v>
      </c>
      <c r="P261" t="s">
        <v>118</v>
      </c>
      <c r="Q261" t="s">
        <v>3187</v>
      </c>
      <c r="R261">
        <v>0</v>
      </c>
      <c r="S261">
        <v>0</v>
      </c>
    </row>
    <row r="262" spans="1:19" hidden="1" x14ac:dyDescent="0.3">
      <c r="A262">
        <v>401</v>
      </c>
      <c r="B262" t="s">
        <v>3196</v>
      </c>
      <c r="C262" t="s">
        <v>6681</v>
      </c>
      <c r="D262" t="s">
        <v>3197</v>
      </c>
      <c r="E262" t="s">
        <v>222</v>
      </c>
      <c r="F262" t="s">
        <v>30</v>
      </c>
      <c r="G262" s="6">
        <v>45838</v>
      </c>
      <c r="H262">
        <v>2025</v>
      </c>
      <c r="I262" t="s">
        <v>44</v>
      </c>
      <c r="J262" t="s">
        <v>244</v>
      </c>
      <c r="K262">
        <v>8</v>
      </c>
      <c r="L262">
        <v>8</v>
      </c>
      <c r="M262">
        <v>1</v>
      </c>
      <c r="N262">
        <v>1</v>
      </c>
      <c r="O262" t="s">
        <v>118</v>
      </c>
      <c r="P262" t="s">
        <v>118</v>
      </c>
      <c r="Q262" t="s">
        <v>3202</v>
      </c>
      <c r="R262">
        <v>0</v>
      </c>
      <c r="S262">
        <v>0</v>
      </c>
    </row>
    <row r="263" spans="1:19" hidden="1" x14ac:dyDescent="0.3">
      <c r="A263">
        <v>403</v>
      </c>
      <c r="B263" t="s">
        <v>3212</v>
      </c>
      <c r="C263" t="s">
        <v>6622</v>
      </c>
      <c r="D263" t="s">
        <v>3197</v>
      </c>
      <c r="E263" t="s">
        <v>222</v>
      </c>
      <c r="F263" t="s">
        <v>30</v>
      </c>
      <c r="G263" s="6">
        <v>45838</v>
      </c>
      <c r="H263">
        <v>2025</v>
      </c>
      <c r="I263" t="s">
        <v>44</v>
      </c>
      <c r="J263" t="s">
        <v>244</v>
      </c>
      <c r="L263">
        <v>14410</v>
      </c>
      <c r="O263" t="s">
        <v>761</v>
      </c>
      <c r="P263" t="s">
        <v>118</v>
      </c>
      <c r="Q263" t="s">
        <v>3220</v>
      </c>
      <c r="R263">
        <v>0</v>
      </c>
      <c r="S263">
        <v>0</v>
      </c>
    </row>
    <row r="264" spans="1:19" hidden="1" x14ac:dyDescent="0.3">
      <c r="A264">
        <v>404</v>
      </c>
      <c r="B264" t="s">
        <v>3225</v>
      </c>
      <c r="C264" t="s">
        <v>6622</v>
      </c>
      <c r="D264" t="s">
        <v>3197</v>
      </c>
      <c r="E264" t="s">
        <v>222</v>
      </c>
      <c r="F264" t="s">
        <v>108</v>
      </c>
      <c r="G264" s="6">
        <v>45473</v>
      </c>
      <c r="H264">
        <v>2024</v>
      </c>
      <c r="I264" t="s">
        <v>44</v>
      </c>
      <c r="J264" t="s">
        <v>71</v>
      </c>
      <c r="K264">
        <v>10</v>
      </c>
      <c r="L264">
        <v>5.85</v>
      </c>
      <c r="M264">
        <v>1</v>
      </c>
      <c r="N264">
        <v>1</v>
      </c>
      <c r="O264" t="s">
        <v>31</v>
      </c>
      <c r="P264" t="s">
        <v>31</v>
      </c>
      <c r="Q264" t="s">
        <v>3228</v>
      </c>
      <c r="R264">
        <v>0</v>
      </c>
      <c r="S264">
        <v>0</v>
      </c>
    </row>
    <row r="265" spans="1:19" hidden="1" x14ac:dyDescent="0.3">
      <c r="A265">
        <v>405</v>
      </c>
      <c r="B265" t="s">
        <v>3234</v>
      </c>
      <c r="C265" t="s">
        <v>6622</v>
      </c>
      <c r="D265" t="s">
        <v>3197</v>
      </c>
      <c r="E265" t="s">
        <v>222</v>
      </c>
      <c r="F265" t="s">
        <v>30</v>
      </c>
      <c r="G265" s="6">
        <v>45473</v>
      </c>
      <c r="H265">
        <v>2024</v>
      </c>
      <c r="I265" t="s">
        <v>44</v>
      </c>
      <c r="J265" t="s">
        <v>71</v>
      </c>
      <c r="K265">
        <v>100</v>
      </c>
      <c r="L265">
        <v>92</v>
      </c>
      <c r="M265">
        <v>0.92</v>
      </c>
      <c r="N265">
        <v>0.92</v>
      </c>
      <c r="O265" t="s">
        <v>31</v>
      </c>
      <c r="P265" t="s">
        <v>31</v>
      </c>
      <c r="Q265" t="s">
        <v>3235</v>
      </c>
      <c r="R265">
        <v>0</v>
      </c>
      <c r="S265">
        <v>0</v>
      </c>
    </row>
    <row r="266" spans="1:19" hidden="1" x14ac:dyDescent="0.3">
      <c r="A266">
        <v>408</v>
      </c>
      <c r="B266" t="s">
        <v>3248</v>
      </c>
      <c r="C266" t="s">
        <v>6622</v>
      </c>
      <c r="D266" t="s">
        <v>61</v>
      </c>
      <c r="E266" t="s">
        <v>222</v>
      </c>
      <c r="F266" t="s">
        <v>30</v>
      </c>
      <c r="G266" s="6">
        <v>45838</v>
      </c>
      <c r="H266">
        <v>2025</v>
      </c>
      <c r="I266" t="s">
        <v>44</v>
      </c>
      <c r="J266" t="s">
        <v>244</v>
      </c>
      <c r="K266">
        <v>2</v>
      </c>
      <c r="L266">
        <v>2</v>
      </c>
      <c r="M266">
        <v>1</v>
      </c>
      <c r="N266">
        <v>1</v>
      </c>
      <c r="O266" t="s">
        <v>118</v>
      </c>
      <c r="P266" t="s">
        <v>118</v>
      </c>
      <c r="Q266" t="s">
        <v>3252</v>
      </c>
      <c r="R266">
        <v>0</v>
      </c>
      <c r="S266">
        <v>0</v>
      </c>
    </row>
    <row r="267" spans="1:19" hidden="1" x14ac:dyDescent="0.3">
      <c r="A267">
        <v>409</v>
      </c>
      <c r="B267" t="s">
        <v>3255</v>
      </c>
      <c r="C267" t="s">
        <v>6681</v>
      </c>
      <c r="D267" t="s">
        <v>184</v>
      </c>
      <c r="E267" t="s">
        <v>233</v>
      </c>
      <c r="F267" t="s">
        <v>30</v>
      </c>
      <c r="G267" s="6">
        <v>45473</v>
      </c>
      <c r="H267">
        <v>2024</v>
      </c>
      <c r="I267" t="s">
        <v>44</v>
      </c>
      <c r="J267" t="s">
        <v>71</v>
      </c>
      <c r="K267">
        <v>95</v>
      </c>
      <c r="L267">
        <v>98.4962406015037</v>
      </c>
      <c r="M267">
        <v>1.0368025326474071</v>
      </c>
      <c r="N267">
        <v>1.0368025326474071</v>
      </c>
      <c r="O267" t="s">
        <v>31</v>
      </c>
      <c r="P267" t="s">
        <v>31</v>
      </c>
      <c r="Q267" t="s">
        <v>3259</v>
      </c>
      <c r="R267">
        <v>0</v>
      </c>
      <c r="S267">
        <v>0</v>
      </c>
    </row>
    <row r="268" spans="1:19" hidden="1" x14ac:dyDescent="0.3">
      <c r="A268">
        <v>420</v>
      </c>
      <c r="B268" t="s">
        <v>6732</v>
      </c>
      <c r="C268" t="s">
        <v>6622</v>
      </c>
      <c r="D268" t="s">
        <v>129</v>
      </c>
      <c r="E268" t="s">
        <v>233</v>
      </c>
      <c r="F268" t="s">
        <v>30</v>
      </c>
      <c r="G268" s="6">
        <v>45838</v>
      </c>
      <c r="H268">
        <v>2025</v>
      </c>
      <c r="I268" t="s">
        <v>44</v>
      </c>
      <c r="J268" t="s">
        <v>244</v>
      </c>
      <c r="K268">
        <v>46</v>
      </c>
      <c r="L268">
        <v>51</v>
      </c>
      <c r="M268">
        <v>1</v>
      </c>
      <c r="N268">
        <v>1</v>
      </c>
      <c r="O268" t="s">
        <v>31</v>
      </c>
      <c r="P268" t="s">
        <v>31</v>
      </c>
      <c r="Q268" t="s">
        <v>3587</v>
      </c>
      <c r="R268">
        <v>0</v>
      </c>
      <c r="S268">
        <v>0</v>
      </c>
    </row>
    <row r="269" spans="1:19" hidden="1" x14ac:dyDescent="0.3">
      <c r="A269">
        <v>421</v>
      </c>
      <c r="B269" t="s">
        <v>3619</v>
      </c>
      <c r="C269" t="s">
        <v>6681</v>
      </c>
      <c r="D269" t="s">
        <v>3437</v>
      </c>
      <c r="E269" t="s">
        <v>222</v>
      </c>
      <c r="F269" t="s">
        <v>30</v>
      </c>
      <c r="G269" s="6">
        <v>45473</v>
      </c>
      <c r="H269">
        <v>2024</v>
      </c>
      <c r="I269" t="s">
        <v>44</v>
      </c>
      <c r="J269" t="s">
        <v>71</v>
      </c>
      <c r="K269">
        <v>147043</v>
      </c>
      <c r="L269">
        <v>177740</v>
      </c>
      <c r="M269">
        <v>1.2087620627979569</v>
      </c>
      <c r="N269">
        <v>1.2087620627979569</v>
      </c>
      <c r="O269" t="s">
        <v>118</v>
      </c>
      <c r="P269" t="s">
        <v>118</v>
      </c>
      <c r="Q269" t="s">
        <v>3622</v>
      </c>
      <c r="R269">
        <v>0</v>
      </c>
      <c r="S269">
        <v>0</v>
      </c>
    </row>
    <row r="270" spans="1:19" hidden="1" x14ac:dyDescent="0.3">
      <c r="A270">
        <v>422</v>
      </c>
      <c r="B270" t="s">
        <v>3625</v>
      </c>
      <c r="C270" t="s">
        <v>6622</v>
      </c>
      <c r="D270" t="s">
        <v>3437</v>
      </c>
      <c r="E270" t="s">
        <v>222</v>
      </c>
      <c r="F270" t="s">
        <v>30</v>
      </c>
      <c r="G270" s="6">
        <v>45838</v>
      </c>
      <c r="H270">
        <v>2025</v>
      </c>
      <c r="I270" t="s">
        <v>44</v>
      </c>
      <c r="J270" t="s">
        <v>244</v>
      </c>
      <c r="K270">
        <v>7.83</v>
      </c>
      <c r="L270">
        <v>8.1999999999999993</v>
      </c>
      <c r="M270">
        <v>1.047254150702426</v>
      </c>
      <c r="N270">
        <v>1.047254150702426</v>
      </c>
      <c r="O270" t="s">
        <v>31</v>
      </c>
      <c r="P270" t="s">
        <v>31</v>
      </c>
      <c r="Q270" t="s">
        <v>3633</v>
      </c>
      <c r="R270">
        <v>2</v>
      </c>
      <c r="S270">
        <v>2</v>
      </c>
    </row>
    <row r="271" spans="1:19" hidden="1" x14ac:dyDescent="0.3">
      <c r="A271">
        <v>423</v>
      </c>
      <c r="B271" t="s">
        <v>3639</v>
      </c>
      <c r="C271" t="s">
        <v>6622</v>
      </c>
      <c r="D271" t="s">
        <v>3437</v>
      </c>
      <c r="E271" t="s">
        <v>98</v>
      </c>
      <c r="F271" t="s">
        <v>30</v>
      </c>
      <c r="G271" s="6">
        <v>46023</v>
      </c>
      <c r="H271" t="s">
        <v>6623</v>
      </c>
      <c r="I271" t="s">
        <v>6623</v>
      </c>
      <c r="J271" t="s">
        <v>6623</v>
      </c>
      <c r="K271">
        <v>12</v>
      </c>
      <c r="L271">
        <v>15.1</v>
      </c>
      <c r="M271">
        <v>1.2583333333333331</v>
      </c>
      <c r="N271">
        <v>1.2583333333333331</v>
      </c>
      <c r="O271" t="s">
        <v>109</v>
      </c>
      <c r="P271" t="s">
        <v>109</v>
      </c>
      <c r="Q271" t="s">
        <v>6733</v>
      </c>
      <c r="R271">
        <v>1</v>
      </c>
      <c r="S271">
        <v>1</v>
      </c>
    </row>
    <row r="272" spans="1:19" hidden="1" x14ac:dyDescent="0.3">
      <c r="A272">
        <v>424</v>
      </c>
      <c r="B272" t="s">
        <v>3648</v>
      </c>
      <c r="C272" t="s">
        <v>6622</v>
      </c>
      <c r="D272" t="s">
        <v>3437</v>
      </c>
      <c r="E272" t="s">
        <v>98</v>
      </c>
      <c r="F272" t="s">
        <v>30</v>
      </c>
      <c r="G272" s="6">
        <v>46023</v>
      </c>
      <c r="H272" t="s">
        <v>6623</v>
      </c>
      <c r="I272" t="s">
        <v>6623</v>
      </c>
      <c r="J272" t="s">
        <v>6623</v>
      </c>
      <c r="K272">
        <v>9</v>
      </c>
      <c r="L272">
        <v>11</v>
      </c>
      <c r="M272">
        <v>1.2222222222222221</v>
      </c>
      <c r="N272">
        <v>1.2222222222222221</v>
      </c>
      <c r="O272" t="s">
        <v>118</v>
      </c>
      <c r="P272" t="s">
        <v>118</v>
      </c>
      <c r="Q272" t="s">
        <v>6734</v>
      </c>
      <c r="R272">
        <v>0</v>
      </c>
      <c r="S272">
        <v>0</v>
      </c>
    </row>
    <row r="273" spans="1:19" hidden="1" x14ac:dyDescent="0.3">
      <c r="A273">
        <v>425</v>
      </c>
      <c r="B273" t="s">
        <v>3657</v>
      </c>
      <c r="C273" t="s">
        <v>6681</v>
      </c>
      <c r="D273" t="s">
        <v>2937</v>
      </c>
      <c r="E273" t="s">
        <v>222</v>
      </c>
      <c r="F273" t="s">
        <v>30</v>
      </c>
      <c r="G273" s="6">
        <v>45473</v>
      </c>
      <c r="H273">
        <v>2024</v>
      </c>
      <c r="I273" t="s">
        <v>44</v>
      </c>
      <c r="J273" t="s">
        <v>71</v>
      </c>
      <c r="K273">
        <v>100</v>
      </c>
      <c r="L273">
        <v>60.69</v>
      </c>
      <c r="M273">
        <v>0.6069</v>
      </c>
      <c r="N273">
        <v>0.6069</v>
      </c>
      <c r="O273" t="s">
        <v>118</v>
      </c>
      <c r="P273" t="s">
        <v>118</v>
      </c>
      <c r="Q273" t="s">
        <v>3659</v>
      </c>
      <c r="R273">
        <v>0</v>
      </c>
      <c r="S273">
        <v>0</v>
      </c>
    </row>
    <row r="274" spans="1:19" hidden="1" x14ac:dyDescent="0.3">
      <c r="A274">
        <v>427</v>
      </c>
      <c r="B274" t="s">
        <v>3668</v>
      </c>
      <c r="C274" t="s">
        <v>6681</v>
      </c>
      <c r="D274" t="s">
        <v>299</v>
      </c>
      <c r="E274" t="s">
        <v>222</v>
      </c>
      <c r="F274" t="s">
        <v>108</v>
      </c>
      <c r="G274" s="6">
        <v>45838</v>
      </c>
      <c r="H274">
        <v>2025</v>
      </c>
      <c r="I274" t="s">
        <v>44</v>
      </c>
      <c r="J274" t="s">
        <v>244</v>
      </c>
      <c r="K274">
        <v>0.2</v>
      </c>
      <c r="L274">
        <v>0.14000000000000001</v>
      </c>
      <c r="M274">
        <v>1</v>
      </c>
      <c r="N274">
        <v>1</v>
      </c>
      <c r="O274" t="s">
        <v>109</v>
      </c>
      <c r="P274" t="s">
        <v>109</v>
      </c>
      <c r="Q274" t="s">
        <v>3675</v>
      </c>
      <c r="R274">
        <v>2</v>
      </c>
      <c r="S274">
        <v>2</v>
      </c>
    </row>
    <row r="275" spans="1:19" hidden="1" x14ac:dyDescent="0.3">
      <c r="A275">
        <v>428</v>
      </c>
      <c r="B275" t="s">
        <v>3680</v>
      </c>
      <c r="C275" t="s">
        <v>6681</v>
      </c>
      <c r="D275" t="s">
        <v>299</v>
      </c>
      <c r="E275" t="s">
        <v>222</v>
      </c>
      <c r="F275" t="s">
        <v>108</v>
      </c>
      <c r="G275" s="6">
        <v>45838</v>
      </c>
      <c r="H275">
        <v>2025</v>
      </c>
      <c r="I275" t="s">
        <v>44</v>
      </c>
      <c r="J275" t="s">
        <v>244</v>
      </c>
      <c r="K275">
        <v>20</v>
      </c>
      <c r="L275">
        <v>15.12</v>
      </c>
      <c r="M275">
        <v>1</v>
      </c>
      <c r="N275">
        <v>1</v>
      </c>
      <c r="O275" t="s">
        <v>1329</v>
      </c>
      <c r="P275" t="s">
        <v>1329</v>
      </c>
      <c r="Q275" t="s">
        <v>3687</v>
      </c>
      <c r="R275">
        <v>0</v>
      </c>
      <c r="S275">
        <v>1</v>
      </c>
    </row>
    <row r="276" spans="1:19" hidden="1" x14ac:dyDescent="0.3">
      <c r="A276">
        <v>429</v>
      </c>
      <c r="B276" t="s">
        <v>3692</v>
      </c>
      <c r="C276" t="s">
        <v>6681</v>
      </c>
      <c r="D276" t="s">
        <v>299</v>
      </c>
      <c r="E276" t="s">
        <v>222</v>
      </c>
      <c r="F276" t="s">
        <v>108</v>
      </c>
      <c r="G276" s="6">
        <v>45838</v>
      </c>
      <c r="H276">
        <v>2025</v>
      </c>
      <c r="I276" t="s">
        <v>44</v>
      </c>
      <c r="J276" t="s">
        <v>244</v>
      </c>
      <c r="K276">
        <v>0.76</v>
      </c>
      <c r="L276">
        <v>0.59</v>
      </c>
      <c r="M276">
        <v>1</v>
      </c>
      <c r="N276">
        <v>1</v>
      </c>
      <c r="O276" t="s">
        <v>109</v>
      </c>
      <c r="P276" t="s">
        <v>109</v>
      </c>
      <c r="Q276" t="s">
        <v>3700</v>
      </c>
      <c r="R276">
        <v>2</v>
      </c>
      <c r="S276">
        <v>2</v>
      </c>
    </row>
    <row r="277" spans="1:19" hidden="1" x14ac:dyDescent="0.3">
      <c r="A277">
        <v>431</v>
      </c>
      <c r="B277" t="s">
        <v>3713</v>
      </c>
      <c r="C277" t="s">
        <v>6681</v>
      </c>
      <c r="D277" t="s">
        <v>97</v>
      </c>
      <c r="E277" t="s">
        <v>233</v>
      </c>
      <c r="F277" t="s">
        <v>30</v>
      </c>
      <c r="G277" s="6">
        <v>45838</v>
      </c>
      <c r="H277">
        <v>2025</v>
      </c>
      <c r="I277" t="s">
        <v>44</v>
      </c>
      <c r="J277" t="s">
        <v>244</v>
      </c>
      <c r="K277">
        <v>100</v>
      </c>
      <c r="L277">
        <v>100</v>
      </c>
      <c r="M277">
        <v>1</v>
      </c>
      <c r="N277">
        <v>1</v>
      </c>
      <c r="O277" t="s">
        <v>31</v>
      </c>
      <c r="P277" t="s">
        <v>31</v>
      </c>
      <c r="Q277" t="s">
        <v>3721</v>
      </c>
      <c r="R277">
        <v>0</v>
      </c>
      <c r="S277">
        <v>0</v>
      </c>
    </row>
    <row r="278" spans="1:19" hidden="1" x14ac:dyDescent="0.3">
      <c r="A278">
        <v>432</v>
      </c>
      <c r="B278" t="s">
        <v>3724</v>
      </c>
      <c r="C278" t="s">
        <v>6681</v>
      </c>
      <c r="D278" t="s">
        <v>97</v>
      </c>
      <c r="E278" t="s">
        <v>233</v>
      </c>
      <c r="F278" t="s">
        <v>30</v>
      </c>
      <c r="G278" s="6">
        <v>45838</v>
      </c>
      <c r="H278">
        <v>2025</v>
      </c>
      <c r="I278" t="s">
        <v>44</v>
      </c>
      <c r="J278" t="s">
        <v>244</v>
      </c>
      <c r="K278">
        <v>90</v>
      </c>
      <c r="L278">
        <v>100</v>
      </c>
      <c r="M278">
        <v>1.1111111111111109</v>
      </c>
      <c r="N278">
        <v>1.1111111111111109</v>
      </c>
      <c r="O278" t="s">
        <v>31</v>
      </c>
      <c r="P278" t="s">
        <v>31</v>
      </c>
      <c r="Q278" t="s">
        <v>3732</v>
      </c>
      <c r="R278">
        <v>0</v>
      </c>
      <c r="S278">
        <v>0</v>
      </c>
    </row>
    <row r="279" spans="1:19" hidden="1" x14ac:dyDescent="0.3">
      <c r="A279">
        <v>433</v>
      </c>
      <c r="B279" t="s">
        <v>3735</v>
      </c>
      <c r="C279" t="s">
        <v>6681</v>
      </c>
      <c r="D279" t="s">
        <v>299</v>
      </c>
      <c r="E279" t="s">
        <v>222</v>
      </c>
      <c r="F279" t="s">
        <v>108</v>
      </c>
      <c r="G279" s="6">
        <v>45838</v>
      </c>
      <c r="H279">
        <v>2025</v>
      </c>
      <c r="I279" t="s">
        <v>44</v>
      </c>
      <c r="J279" t="s">
        <v>244</v>
      </c>
      <c r="K279">
        <v>0.05</v>
      </c>
      <c r="L279">
        <v>0.02</v>
      </c>
      <c r="M279">
        <v>1</v>
      </c>
      <c r="N279">
        <v>1</v>
      </c>
      <c r="O279" t="s">
        <v>109</v>
      </c>
      <c r="P279" t="s">
        <v>109</v>
      </c>
      <c r="Q279" t="s">
        <v>3743</v>
      </c>
      <c r="R279">
        <v>2</v>
      </c>
      <c r="S279">
        <v>2</v>
      </c>
    </row>
    <row r="280" spans="1:19" hidden="1" x14ac:dyDescent="0.3">
      <c r="A280">
        <v>434</v>
      </c>
      <c r="B280" t="s">
        <v>3748</v>
      </c>
      <c r="C280" t="s">
        <v>6681</v>
      </c>
      <c r="D280" t="s">
        <v>299</v>
      </c>
      <c r="E280" t="s">
        <v>29</v>
      </c>
      <c r="F280" t="s">
        <v>108</v>
      </c>
      <c r="G280" s="6">
        <v>45838</v>
      </c>
      <c r="H280">
        <v>2025</v>
      </c>
      <c r="I280" t="s">
        <v>44</v>
      </c>
      <c r="J280" t="s">
        <v>244</v>
      </c>
      <c r="K280">
        <v>1200</v>
      </c>
      <c r="L280">
        <v>1059.96</v>
      </c>
      <c r="M280">
        <v>1</v>
      </c>
      <c r="N280">
        <v>1</v>
      </c>
      <c r="O280" t="s">
        <v>1197</v>
      </c>
      <c r="P280" t="s">
        <v>1197</v>
      </c>
      <c r="Q280" t="s">
        <v>3782</v>
      </c>
      <c r="R280">
        <v>0</v>
      </c>
      <c r="S280">
        <v>0</v>
      </c>
    </row>
    <row r="281" spans="1:19" hidden="1" x14ac:dyDescent="0.3">
      <c r="A281">
        <v>435</v>
      </c>
      <c r="B281" t="s">
        <v>3797</v>
      </c>
      <c r="C281" t="s">
        <v>6681</v>
      </c>
      <c r="D281" t="s">
        <v>299</v>
      </c>
      <c r="E281" t="s">
        <v>222</v>
      </c>
      <c r="F281" t="s">
        <v>30</v>
      </c>
      <c r="G281" s="6">
        <v>45291</v>
      </c>
      <c r="H281">
        <v>2023</v>
      </c>
      <c r="I281" t="s">
        <v>57</v>
      </c>
      <c r="J281" t="s">
        <v>47</v>
      </c>
      <c r="L281">
        <v>-52.9</v>
      </c>
      <c r="M281">
        <v>0</v>
      </c>
      <c r="N281">
        <v>0</v>
      </c>
      <c r="O281" t="s">
        <v>31</v>
      </c>
      <c r="P281" t="s">
        <v>31</v>
      </c>
      <c r="Q281" t="s">
        <v>5326</v>
      </c>
      <c r="R281">
        <v>2</v>
      </c>
      <c r="S281">
        <v>2</v>
      </c>
    </row>
    <row r="282" spans="1:19" hidden="1" x14ac:dyDescent="0.3">
      <c r="A282">
        <v>435</v>
      </c>
      <c r="B282" t="s">
        <v>3797</v>
      </c>
      <c r="C282" t="s">
        <v>6681</v>
      </c>
      <c r="D282" t="s">
        <v>299</v>
      </c>
      <c r="E282" t="s">
        <v>222</v>
      </c>
      <c r="F282" t="s">
        <v>30</v>
      </c>
      <c r="G282" s="6">
        <v>45838</v>
      </c>
      <c r="H282">
        <v>2025</v>
      </c>
      <c r="I282" t="s">
        <v>44</v>
      </c>
      <c r="J282" t="s">
        <v>244</v>
      </c>
      <c r="K282">
        <v>100</v>
      </c>
      <c r="L282">
        <v>96.09</v>
      </c>
      <c r="M282">
        <v>0.96090000000000009</v>
      </c>
      <c r="N282">
        <v>0.96090000000000009</v>
      </c>
      <c r="O282" t="s">
        <v>31</v>
      </c>
      <c r="P282" t="s">
        <v>31</v>
      </c>
      <c r="Q282" t="s">
        <v>3802</v>
      </c>
      <c r="R282">
        <v>2</v>
      </c>
      <c r="S282">
        <v>2</v>
      </c>
    </row>
    <row r="283" spans="1:19" hidden="1" x14ac:dyDescent="0.3">
      <c r="A283">
        <v>436</v>
      </c>
      <c r="B283" t="s">
        <v>863</v>
      </c>
      <c r="C283" t="s">
        <v>6681</v>
      </c>
      <c r="D283" t="s">
        <v>309</v>
      </c>
      <c r="E283" t="s">
        <v>29</v>
      </c>
      <c r="F283" t="s">
        <v>108</v>
      </c>
      <c r="G283" s="6">
        <v>45900</v>
      </c>
      <c r="H283">
        <v>2025</v>
      </c>
      <c r="I283" t="s">
        <v>49</v>
      </c>
      <c r="J283" t="s">
        <v>103</v>
      </c>
      <c r="K283">
        <v>14</v>
      </c>
      <c r="L283">
        <v>9.9</v>
      </c>
      <c r="M283">
        <v>1.3</v>
      </c>
      <c r="N283">
        <v>1.4141414141414139</v>
      </c>
      <c r="O283" t="s">
        <v>3807</v>
      </c>
      <c r="P283" t="s">
        <v>3807</v>
      </c>
      <c r="Q283" t="s">
        <v>3850</v>
      </c>
      <c r="R283">
        <v>0</v>
      </c>
      <c r="S283">
        <v>1</v>
      </c>
    </row>
    <row r="284" spans="1:19" hidden="1" x14ac:dyDescent="0.3">
      <c r="A284">
        <v>439</v>
      </c>
      <c r="B284" t="s">
        <v>3870</v>
      </c>
      <c r="C284" t="s">
        <v>6681</v>
      </c>
      <c r="D284" t="s">
        <v>5308</v>
      </c>
      <c r="E284" t="s">
        <v>222</v>
      </c>
      <c r="F284" t="s">
        <v>30</v>
      </c>
      <c r="G284" s="6">
        <v>45473</v>
      </c>
      <c r="H284">
        <v>2024</v>
      </c>
      <c r="I284" t="s">
        <v>44</v>
      </c>
      <c r="J284" t="s">
        <v>71</v>
      </c>
      <c r="K284">
        <v>100</v>
      </c>
      <c r="L284">
        <v>100</v>
      </c>
      <c r="M284">
        <v>1</v>
      </c>
      <c r="N284">
        <v>1</v>
      </c>
      <c r="O284" t="s">
        <v>31</v>
      </c>
      <c r="P284" t="s">
        <v>31</v>
      </c>
      <c r="Q284" t="s">
        <v>3872</v>
      </c>
      <c r="R284">
        <v>0</v>
      </c>
      <c r="S284">
        <v>0</v>
      </c>
    </row>
    <row r="285" spans="1:19" hidden="1" x14ac:dyDescent="0.3">
      <c r="A285">
        <v>439</v>
      </c>
      <c r="B285" t="s">
        <v>3870</v>
      </c>
      <c r="C285" t="s">
        <v>6681</v>
      </c>
      <c r="D285" t="s">
        <v>2688</v>
      </c>
      <c r="E285" t="s">
        <v>222</v>
      </c>
      <c r="F285" t="s">
        <v>30</v>
      </c>
      <c r="G285" s="6">
        <v>45838</v>
      </c>
      <c r="H285">
        <v>2025</v>
      </c>
      <c r="I285" t="s">
        <v>44</v>
      </c>
      <c r="J285" t="s">
        <v>244</v>
      </c>
      <c r="K285">
        <v>100</v>
      </c>
      <c r="L285">
        <v>100</v>
      </c>
      <c r="M285">
        <v>1</v>
      </c>
      <c r="N285">
        <v>1</v>
      </c>
      <c r="O285" t="s">
        <v>31</v>
      </c>
      <c r="P285" t="s">
        <v>31</v>
      </c>
      <c r="Q285" t="s">
        <v>3874</v>
      </c>
      <c r="R285">
        <v>0</v>
      </c>
      <c r="S285">
        <v>0</v>
      </c>
    </row>
    <row r="286" spans="1:19" hidden="1" x14ac:dyDescent="0.3">
      <c r="A286">
        <v>440</v>
      </c>
      <c r="B286" t="s">
        <v>3877</v>
      </c>
      <c r="C286" t="s">
        <v>6681</v>
      </c>
      <c r="D286" t="s">
        <v>2688</v>
      </c>
      <c r="E286" t="s">
        <v>222</v>
      </c>
      <c r="F286" t="s">
        <v>30</v>
      </c>
      <c r="G286" s="6">
        <v>45838</v>
      </c>
      <c r="H286">
        <v>2025</v>
      </c>
      <c r="I286" t="s">
        <v>44</v>
      </c>
      <c r="J286" t="s">
        <v>244</v>
      </c>
      <c r="K286">
        <v>98</v>
      </c>
      <c r="L286">
        <v>99.77</v>
      </c>
      <c r="M286">
        <v>1.018061224489796</v>
      </c>
      <c r="N286">
        <v>1.018061224489796</v>
      </c>
      <c r="O286" t="s">
        <v>31</v>
      </c>
      <c r="P286" t="s">
        <v>31</v>
      </c>
      <c r="Q286" t="s">
        <v>3883</v>
      </c>
      <c r="R286">
        <v>0</v>
      </c>
      <c r="S286">
        <v>1</v>
      </c>
    </row>
    <row r="287" spans="1:19" hidden="1" x14ac:dyDescent="0.3">
      <c r="A287">
        <v>441</v>
      </c>
      <c r="B287" t="s">
        <v>3888</v>
      </c>
      <c r="C287" t="s">
        <v>6622</v>
      </c>
      <c r="D287" t="s">
        <v>187</v>
      </c>
      <c r="E287" t="s">
        <v>29</v>
      </c>
      <c r="F287" t="s">
        <v>30</v>
      </c>
      <c r="G287" s="6">
        <v>45504</v>
      </c>
      <c r="H287">
        <v>2024</v>
      </c>
      <c r="I287" t="s">
        <v>46</v>
      </c>
      <c r="J287" t="s">
        <v>78</v>
      </c>
      <c r="K287">
        <v>90</v>
      </c>
      <c r="L287">
        <v>96.98</v>
      </c>
      <c r="M287">
        <v>1.077555555555556</v>
      </c>
      <c r="N287">
        <v>1.077555555555556</v>
      </c>
      <c r="Q287" t="s">
        <v>3895</v>
      </c>
      <c r="R287">
        <v>0</v>
      </c>
      <c r="S287">
        <v>0</v>
      </c>
    </row>
    <row r="288" spans="1:19" hidden="1" x14ac:dyDescent="0.3">
      <c r="A288">
        <v>444</v>
      </c>
      <c r="B288" t="s">
        <v>3910</v>
      </c>
      <c r="C288" t="s">
        <v>6681</v>
      </c>
      <c r="D288" t="s">
        <v>150</v>
      </c>
      <c r="E288" t="s">
        <v>222</v>
      </c>
      <c r="F288" t="s">
        <v>108</v>
      </c>
      <c r="G288" s="6">
        <v>45838</v>
      </c>
      <c r="H288">
        <v>2025</v>
      </c>
      <c r="I288" t="s">
        <v>44</v>
      </c>
      <c r="J288" t="s">
        <v>244</v>
      </c>
      <c r="K288">
        <v>3</v>
      </c>
      <c r="L288">
        <v>1.6</v>
      </c>
      <c r="M288">
        <v>0.53333333333333333</v>
      </c>
      <c r="N288">
        <v>0.53333333333333333</v>
      </c>
      <c r="O288" t="s">
        <v>118</v>
      </c>
      <c r="P288" t="s">
        <v>109</v>
      </c>
      <c r="Q288" t="s">
        <v>3913</v>
      </c>
      <c r="R288">
        <v>0</v>
      </c>
      <c r="S288">
        <v>1</v>
      </c>
    </row>
    <row r="289" spans="1:19" hidden="1" x14ac:dyDescent="0.3">
      <c r="A289">
        <v>445</v>
      </c>
      <c r="B289" t="s">
        <v>3918</v>
      </c>
      <c r="C289" t="s">
        <v>6681</v>
      </c>
      <c r="D289" t="s">
        <v>150</v>
      </c>
      <c r="E289" t="s">
        <v>222</v>
      </c>
      <c r="F289" t="s">
        <v>30</v>
      </c>
      <c r="G289" s="6">
        <v>45838</v>
      </c>
      <c r="H289">
        <v>2025</v>
      </c>
      <c r="I289" t="s">
        <v>44</v>
      </c>
      <c r="J289" t="s">
        <v>244</v>
      </c>
      <c r="K289">
        <v>70</v>
      </c>
      <c r="L289">
        <v>75.7</v>
      </c>
      <c r="M289">
        <v>1.081428571428571</v>
      </c>
      <c r="N289">
        <v>1.081428571428571</v>
      </c>
      <c r="O289" t="s">
        <v>31</v>
      </c>
      <c r="P289" t="s">
        <v>31</v>
      </c>
      <c r="Q289" t="s">
        <v>3924</v>
      </c>
      <c r="R289">
        <v>0</v>
      </c>
      <c r="S289">
        <v>0</v>
      </c>
    </row>
    <row r="290" spans="1:19" hidden="1" x14ac:dyDescent="0.3">
      <c r="A290">
        <v>447</v>
      </c>
      <c r="B290" t="s">
        <v>2162</v>
      </c>
      <c r="C290" t="s">
        <v>6681</v>
      </c>
      <c r="D290" t="s">
        <v>672</v>
      </c>
      <c r="E290" t="s">
        <v>222</v>
      </c>
      <c r="F290" t="s">
        <v>30</v>
      </c>
      <c r="G290" s="6">
        <v>45838</v>
      </c>
      <c r="H290">
        <v>2025</v>
      </c>
      <c r="I290" t="s">
        <v>44</v>
      </c>
      <c r="J290" t="s">
        <v>244</v>
      </c>
      <c r="K290">
        <v>15</v>
      </c>
      <c r="L290">
        <v>16.54</v>
      </c>
      <c r="M290">
        <v>1.1026666666666669</v>
      </c>
      <c r="N290">
        <v>1.1026666666666669</v>
      </c>
      <c r="O290" t="s">
        <v>31</v>
      </c>
      <c r="P290" t="s">
        <v>31</v>
      </c>
      <c r="Q290" t="s">
        <v>3934</v>
      </c>
      <c r="R290">
        <v>0</v>
      </c>
      <c r="S290">
        <v>0</v>
      </c>
    </row>
    <row r="291" spans="1:19" hidden="1" x14ac:dyDescent="0.3">
      <c r="A291">
        <v>448</v>
      </c>
      <c r="B291" t="s">
        <v>3939</v>
      </c>
      <c r="C291" t="s">
        <v>6681</v>
      </c>
      <c r="D291" t="s">
        <v>672</v>
      </c>
      <c r="E291" t="s">
        <v>222</v>
      </c>
      <c r="F291" t="s">
        <v>30</v>
      </c>
      <c r="G291" s="6">
        <v>45838</v>
      </c>
      <c r="H291">
        <v>2025</v>
      </c>
      <c r="I291" t="s">
        <v>44</v>
      </c>
      <c r="J291" t="s">
        <v>244</v>
      </c>
      <c r="K291">
        <v>17</v>
      </c>
      <c r="L291">
        <v>18.73</v>
      </c>
      <c r="M291">
        <v>1.101764705882353</v>
      </c>
      <c r="N291">
        <v>1.101764705882353</v>
      </c>
      <c r="O291" t="s">
        <v>31</v>
      </c>
      <c r="P291" t="s">
        <v>31</v>
      </c>
      <c r="Q291" t="s">
        <v>3944</v>
      </c>
      <c r="R291">
        <v>0</v>
      </c>
      <c r="S291">
        <v>1</v>
      </c>
    </row>
    <row r="292" spans="1:19" hidden="1" x14ac:dyDescent="0.3">
      <c r="A292">
        <v>449</v>
      </c>
      <c r="B292" t="s">
        <v>3951</v>
      </c>
      <c r="C292" t="s">
        <v>6681</v>
      </c>
      <c r="D292" t="s">
        <v>2177</v>
      </c>
      <c r="E292" t="s">
        <v>1794</v>
      </c>
      <c r="F292" t="s">
        <v>30</v>
      </c>
      <c r="G292" s="6">
        <v>45473</v>
      </c>
      <c r="H292">
        <v>2024</v>
      </c>
      <c r="I292" t="s">
        <v>44</v>
      </c>
      <c r="J292" t="s">
        <v>71</v>
      </c>
      <c r="K292">
        <v>40</v>
      </c>
      <c r="L292">
        <v>53.85</v>
      </c>
      <c r="M292">
        <v>1</v>
      </c>
      <c r="N292">
        <v>1.3462499999999999</v>
      </c>
      <c r="O292" t="s">
        <v>31</v>
      </c>
      <c r="P292" t="s">
        <v>31</v>
      </c>
      <c r="Q292" t="s">
        <v>3952</v>
      </c>
      <c r="R292">
        <v>0</v>
      </c>
      <c r="S292">
        <v>0</v>
      </c>
    </row>
    <row r="293" spans="1:19" hidden="1" x14ac:dyDescent="0.3">
      <c r="A293">
        <v>451</v>
      </c>
      <c r="B293" t="s">
        <v>3962</v>
      </c>
      <c r="C293" t="s">
        <v>6681</v>
      </c>
      <c r="D293" t="s">
        <v>3093</v>
      </c>
      <c r="E293" t="s">
        <v>222</v>
      </c>
      <c r="F293" t="s">
        <v>30</v>
      </c>
      <c r="G293" s="6">
        <v>45838</v>
      </c>
      <c r="H293">
        <v>2025</v>
      </c>
      <c r="I293" t="s">
        <v>44</v>
      </c>
      <c r="J293" t="s">
        <v>244</v>
      </c>
      <c r="K293">
        <v>50</v>
      </c>
      <c r="L293">
        <v>59.75</v>
      </c>
      <c r="M293">
        <v>1.1950000000000001</v>
      </c>
      <c r="N293">
        <v>1.1950000000000001</v>
      </c>
      <c r="O293" t="s">
        <v>31</v>
      </c>
      <c r="P293" t="s">
        <v>31</v>
      </c>
      <c r="Q293" t="s">
        <v>3965</v>
      </c>
      <c r="R293">
        <v>0</v>
      </c>
      <c r="S293">
        <v>0</v>
      </c>
    </row>
    <row r="294" spans="1:19" hidden="1" x14ac:dyDescent="0.3">
      <c r="A294">
        <v>452</v>
      </c>
      <c r="B294" t="s">
        <v>3970</v>
      </c>
      <c r="C294" t="s">
        <v>6681</v>
      </c>
      <c r="D294" t="s">
        <v>3093</v>
      </c>
      <c r="E294" t="s">
        <v>222</v>
      </c>
      <c r="F294" t="s">
        <v>30</v>
      </c>
      <c r="G294" s="6">
        <v>45473</v>
      </c>
      <c r="H294">
        <v>2024</v>
      </c>
      <c r="I294" t="s">
        <v>44</v>
      </c>
      <c r="J294" t="s">
        <v>71</v>
      </c>
      <c r="O294" t="s">
        <v>31</v>
      </c>
      <c r="P294" t="s">
        <v>31</v>
      </c>
      <c r="Q294" t="s">
        <v>3971</v>
      </c>
      <c r="R294">
        <v>0</v>
      </c>
      <c r="S294">
        <v>0</v>
      </c>
    </row>
    <row r="295" spans="1:19" hidden="1" x14ac:dyDescent="0.3">
      <c r="A295">
        <v>453</v>
      </c>
      <c r="B295" t="s">
        <v>3976</v>
      </c>
      <c r="C295" t="s">
        <v>6681</v>
      </c>
      <c r="D295" t="s">
        <v>3126</v>
      </c>
      <c r="E295" t="s">
        <v>233</v>
      </c>
      <c r="F295" t="s">
        <v>30</v>
      </c>
      <c r="G295" s="6">
        <v>45838</v>
      </c>
      <c r="H295">
        <v>2025</v>
      </c>
      <c r="I295" t="s">
        <v>44</v>
      </c>
      <c r="J295" t="s">
        <v>244</v>
      </c>
      <c r="K295">
        <v>75</v>
      </c>
      <c r="L295">
        <v>62</v>
      </c>
      <c r="M295">
        <v>0.82666666666666666</v>
      </c>
      <c r="N295">
        <v>0.82666666666666666</v>
      </c>
      <c r="O295" t="s">
        <v>31</v>
      </c>
      <c r="P295" t="s">
        <v>31</v>
      </c>
      <c r="Q295" t="s">
        <v>3984</v>
      </c>
      <c r="R295">
        <v>0</v>
      </c>
      <c r="S295">
        <v>0</v>
      </c>
    </row>
    <row r="296" spans="1:19" hidden="1" x14ac:dyDescent="0.3">
      <c r="A296">
        <v>454</v>
      </c>
      <c r="B296" t="s">
        <v>3987</v>
      </c>
      <c r="C296" t="s">
        <v>6622</v>
      </c>
      <c r="D296" t="s">
        <v>3126</v>
      </c>
      <c r="E296" t="s">
        <v>233</v>
      </c>
      <c r="F296" t="s">
        <v>30</v>
      </c>
      <c r="G296" s="6">
        <v>45473</v>
      </c>
      <c r="H296">
        <v>2024</v>
      </c>
      <c r="I296" t="s">
        <v>44</v>
      </c>
      <c r="J296" t="s">
        <v>71</v>
      </c>
      <c r="O296" t="s">
        <v>31</v>
      </c>
      <c r="P296" t="s">
        <v>31</v>
      </c>
      <c r="Q296" t="s">
        <v>3989</v>
      </c>
      <c r="R296">
        <v>0</v>
      </c>
      <c r="S296">
        <v>0</v>
      </c>
    </row>
    <row r="297" spans="1:19" hidden="1" x14ac:dyDescent="0.3">
      <c r="A297">
        <v>455</v>
      </c>
      <c r="B297" t="s">
        <v>3993</v>
      </c>
      <c r="C297" t="s">
        <v>6622</v>
      </c>
      <c r="D297" t="s">
        <v>3126</v>
      </c>
      <c r="E297" t="s">
        <v>233</v>
      </c>
      <c r="F297" t="s">
        <v>30</v>
      </c>
      <c r="G297" s="6">
        <v>45838</v>
      </c>
      <c r="H297">
        <v>2025</v>
      </c>
      <c r="I297" t="s">
        <v>44</v>
      </c>
      <c r="J297" t="s">
        <v>244</v>
      </c>
      <c r="K297">
        <v>100</v>
      </c>
      <c r="L297">
        <v>100</v>
      </c>
      <c r="M297">
        <v>1</v>
      </c>
      <c r="N297">
        <v>1</v>
      </c>
      <c r="O297" t="s">
        <v>31</v>
      </c>
      <c r="P297" t="s">
        <v>31</v>
      </c>
      <c r="Q297" t="s">
        <v>3997</v>
      </c>
      <c r="R297">
        <v>0</v>
      </c>
      <c r="S297">
        <v>0</v>
      </c>
    </row>
    <row r="298" spans="1:19" hidden="1" x14ac:dyDescent="0.3">
      <c r="A298">
        <v>456</v>
      </c>
      <c r="B298" t="s">
        <v>4000</v>
      </c>
      <c r="C298" t="s">
        <v>6681</v>
      </c>
      <c r="D298" t="s">
        <v>165</v>
      </c>
      <c r="E298" t="s">
        <v>233</v>
      </c>
      <c r="F298" t="s">
        <v>30</v>
      </c>
      <c r="G298" s="6">
        <v>45838</v>
      </c>
      <c r="H298">
        <v>2025</v>
      </c>
      <c r="I298" t="s">
        <v>44</v>
      </c>
      <c r="J298" t="s">
        <v>244</v>
      </c>
      <c r="K298">
        <v>100</v>
      </c>
      <c r="L298">
        <v>105.19</v>
      </c>
      <c r="M298">
        <v>1.0519000000000001</v>
      </c>
      <c r="N298">
        <v>1.0519000000000001</v>
      </c>
      <c r="O298" t="s">
        <v>31</v>
      </c>
      <c r="P298" t="s">
        <v>31</v>
      </c>
      <c r="Q298" t="s">
        <v>4008</v>
      </c>
      <c r="R298">
        <v>0</v>
      </c>
      <c r="S298">
        <v>0</v>
      </c>
    </row>
    <row r="299" spans="1:19" hidden="1" x14ac:dyDescent="0.3">
      <c r="A299">
        <v>457</v>
      </c>
      <c r="B299" t="s">
        <v>4011</v>
      </c>
      <c r="C299" t="s">
        <v>6681</v>
      </c>
      <c r="D299" t="s">
        <v>165</v>
      </c>
      <c r="E299" t="s">
        <v>233</v>
      </c>
      <c r="F299" t="s">
        <v>30</v>
      </c>
      <c r="G299" s="6">
        <v>45838</v>
      </c>
      <c r="H299">
        <v>2025</v>
      </c>
      <c r="I299" t="s">
        <v>44</v>
      </c>
      <c r="J299" t="s">
        <v>244</v>
      </c>
      <c r="K299">
        <v>100</v>
      </c>
      <c r="L299">
        <v>141.66999999999999</v>
      </c>
      <c r="M299">
        <v>1.3</v>
      </c>
      <c r="N299">
        <v>1.4167000000000001</v>
      </c>
      <c r="O299" t="s">
        <v>31</v>
      </c>
      <c r="P299" t="s">
        <v>31</v>
      </c>
      <c r="Q299" t="s">
        <v>4015</v>
      </c>
      <c r="R299">
        <v>0</v>
      </c>
      <c r="S299">
        <v>0</v>
      </c>
    </row>
    <row r="300" spans="1:19" hidden="1" x14ac:dyDescent="0.3">
      <c r="A300">
        <v>458</v>
      </c>
      <c r="B300" t="s">
        <v>4018</v>
      </c>
      <c r="C300" t="s">
        <v>6681</v>
      </c>
      <c r="D300" t="s">
        <v>165</v>
      </c>
      <c r="E300" t="s">
        <v>222</v>
      </c>
      <c r="F300" t="s">
        <v>30</v>
      </c>
      <c r="G300" s="6">
        <v>45473</v>
      </c>
      <c r="H300">
        <v>2024</v>
      </c>
      <c r="I300" t="s">
        <v>44</v>
      </c>
      <c r="J300" t="s">
        <v>71</v>
      </c>
      <c r="L300">
        <v>4900000</v>
      </c>
      <c r="O300" t="s">
        <v>31</v>
      </c>
      <c r="P300" t="s">
        <v>31</v>
      </c>
      <c r="Q300" t="s">
        <v>4019</v>
      </c>
      <c r="R300">
        <v>0</v>
      </c>
      <c r="S300">
        <v>0</v>
      </c>
    </row>
    <row r="301" spans="1:19" hidden="1" x14ac:dyDescent="0.3">
      <c r="A301">
        <v>459</v>
      </c>
      <c r="B301" t="s">
        <v>4021</v>
      </c>
      <c r="C301" t="s">
        <v>6681</v>
      </c>
      <c r="D301" t="s">
        <v>3093</v>
      </c>
      <c r="E301" t="s">
        <v>233</v>
      </c>
      <c r="F301" t="s">
        <v>30</v>
      </c>
      <c r="G301" s="6">
        <v>45473</v>
      </c>
      <c r="H301">
        <v>2024</v>
      </c>
      <c r="I301" t="s">
        <v>44</v>
      </c>
      <c r="J301" t="s">
        <v>71</v>
      </c>
      <c r="K301">
        <v>100</v>
      </c>
      <c r="L301">
        <v>130.43</v>
      </c>
      <c r="M301">
        <v>1.3</v>
      </c>
      <c r="N301">
        <v>1.3043</v>
      </c>
      <c r="O301" t="s">
        <v>31</v>
      </c>
      <c r="P301" t="s">
        <v>31</v>
      </c>
      <c r="Q301" t="s">
        <v>4023</v>
      </c>
      <c r="R301">
        <v>0</v>
      </c>
      <c r="S301">
        <v>0</v>
      </c>
    </row>
    <row r="302" spans="1:19" hidden="1" x14ac:dyDescent="0.3">
      <c r="A302">
        <v>460</v>
      </c>
      <c r="B302" t="s">
        <v>2545</v>
      </c>
      <c r="C302" t="s">
        <v>6681</v>
      </c>
      <c r="D302" t="s">
        <v>262</v>
      </c>
      <c r="E302" t="s">
        <v>98</v>
      </c>
      <c r="F302" t="s">
        <v>30</v>
      </c>
      <c r="G302" s="6">
        <v>45291</v>
      </c>
      <c r="H302">
        <v>2023</v>
      </c>
      <c r="I302" t="s">
        <v>57</v>
      </c>
      <c r="J302" t="s">
        <v>47</v>
      </c>
      <c r="L302">
        <v>94.85</v>
      </c>
      <c r="O302" t="s">
        <v>1041</v>
      </c>
      <c r="P302" t="s">
        <v>31</v>
      </c>
      <c r="Q302" t="s">
        <v>6735</v>
      </c>
      <c r="R302">
        <v>0</v>
      </c>
      <c r="S302">
        <v>0</v>
      </c>
    </row>
    <row r="303" spans="1:19" hidden="1" x14ac:dyDescent="0.3">
      <c r="A303">
        <v>460</v>
      </c>
      <c r="B303" t="s">
        <v>4027</v>
      </c>
      <c r="C303" t="s">
        <v>6681</v>
      </c>
      <c r="D303" t="s">
        <v>262</v>
      </c>
      <c r="E303" t="s">
        <v>98</v>
      </c>
      <c r="F303" t="s">
        <v>30</v>
      </c>
      <c r="G303" s="6">
        <v>46023</v>
      </c>
      <c r="H303" t="s">
        <v>6623</v>
      </c>
      <c r="I303" t="s">
        <v>6623</v>
      </c>
      <c r="J303" t="s">
        <v>6623</v>
      </c>
      <c r="K303">
        <v>80</v>
      </c>
      <c r="L303">
        <v>84.18</v>
      </c>
      <c r="M303">
        <v>1.0522499999999999</v>
      </c>
      <c r="N303">
        <v>1.0522499999999999</v>
      </c>
      <c r="O303" t="s">
        <v>31</v>
      </c>
      <c r="P303" t="s">
        <v>31</v>
      </c>
      <c r="Q303" t="s">
        <v>6736</v>
      </c>
      <c r="R303">
        <v>0</v>
      </c>
      <c r="S303">
        <v>1</v>
      </c>
    </row>
    <row r="304" spans="1:19" hidden="1" x14ac:dyDescent="0.3">
      <c r="A304">
        <v>462</v>
      </c>
      <c r="B304" t="s">
        <v>4031</v>
      </c>
      <c r="C304" t="s">
        <v>6681</v>
      </c>
      <c r="D304" t="s">
        <v>842</v>
      </c>
      <c r="E304" t="s">
        <v>222</v>
      </c>
      <c r="F304" t="s">
        <v>30</v>
      </c>
      <c r="G304" s="6">
        <v>45473</v>
      </c>
      <c r="H304">
        <v>2024</v>
      </c>
      <c r="I304" t="s">
        <v>44</v>
      </c>
      <c r="J304" t="s">
        <v>71</v>
      </c>
      <c r="K304">
        <v>85</v>
      </c>
      <c r="L304">
        <v>100</v>
      </c>
      <c r="M304">
        <v>1.1764705882352939</v>
      </c>
      <c r="N304">
        <v>1.1764705882352939</v>
      </c>
      <c r="O304" t="s">
        <v>31</v>
      </c>
      <c r="P304" t="s">
        <v>31</v>
      </c>
      <c r="Q304" t="s">
        <v>4032</v>
      </c>
      <c r="R304">
        <v>0</v>
      </c>
      <c r="S304">
        <v>0</v>
      </c>
    </row>
    <row r="305" spans="1:19" hidden="1" x14ac:dyDescent="0.3">
      <c r="A305">
        <v>463</v>
      </c>
      <c r="B305" t="s">
        <v>4035</v>
      </c>
      <c r="C305" t="s">
        <v>6622</v>
      </c>
      <c r="D305" t="s">
        <v>262</v>
      </c>
      <c r="E305" t="s">
        <v>222</v>
      </c>
      <c r="F305" t="s">
        <v>30</v>
      </c>
      <c r="G305" s="6">
        <v>46023</v>
      </c>
      <c r="H305" t="s">
        <v>6623</v>
      </c>
      <c r="I305" t="s">
        <v>6623</v>
      </c>
      <c r="J305" t="s">
        <v>6623</v>
      </c>
      <c r="K305">
        <v>100</v>
      </c>
      <c r="L305">
        <v>100</v>
      </c>
      <c r="M305">
        <v>1</v>
      </c>
      <c r="N305">
        <v>1</v>
      </c>
      <c r="O305" t="s">
        <v>31</v>
      </c>
      <c r="P305" t="s">
        <v>31</v>
      </c>
      <c r="Q305" t="s">
        <v>6737</v>
      </c>
      <c r="R305">
        <v>0</v>
      </c>
      <c r="S305">
        <v>0</v>
      </c>
    </row>
    <row r="306" spans="1:19" hidden="1" x14ac:dyDescent="0.3">
      <c r="A306">
        <v>465</v>
      </c>
      <c r="B306" t="s">
        <v>4039</v>
      </c>
      <c r="C306" t="s">
        <v>6622</v>
      </c>
      <c r="D306" t="s">
        <v>2619</v>
      </c>
      <c r="E306" t="s">
        <v>222</v>
      </c>
      <c r="F306" t="s">
        <v>30</v>
      </c>
      <c r="G306" s="6">
        <v>46023</v>
      </c>
      <c r="H306" t="s">
        <v>6623</v>
      </c>
      <c r="I306" t="s">
        <v>6623</v>
      </c>
      <c r="J306" t="s">
        <v>6623</v>
      </c>
      <c r="K306">
        <v>100</v>
      </c>
      <c r="L306">
        <v>56.83</v>
      </c>
      <c r="M306">
        <v>0.56830000000000003</v>
      </c>
      <c r="N306">
        <v>0.56830000000000003</v>
      </c>
      <c r="O306" t="s">
        <v>31</v>
      </c>
      <c r="P306" t="s">
        <v>31</v>
      </c>
      <c r="Q306" t="s">
        <v>6738</v>
      </c>
      <c r="R306">
        <v>0</v>
      </c>
      <c r="S306">
        <v>0</v>
      </c>
    </row>
    <row r="307" spans="1:19" hidden="1" x14ac:dyDescent="0.3">
      <c r="A307">
        <v>466</v>
      </c>
      <c r="B307" t="s">
        <v>4043</v>
      </c>
      <c r="C307" t="s">
        <v>6622</v>
      </c>
      <c r="D307" t="s">
        <v>717</v>
      </c>
      <c r="E307" t="s">
        <v>222</v>
      </c>
      <c r="F307" t="s">
        <v>30</v>
      </c>
      <c r="G307" s="6">
        <v>44926</v>
      </c>
      <c r="H307">
        <v>2022</v>
      </c>
      <c r="I307" t="s">
        <v>57</v>
      </c>
      <c r="J307" t="s">
        <v>90</v>
      </c>
      <c r="K307">
        <v>25</v>
      </c>
      <c r="L307">
        <v>43.56</v>
      </c>
      <c r="M307">
        <v>1.3</v>
      </c>
      <c r="N307">
        <v>1.7423999999999999</v>
      </c>
      <c r="O307" t="s">
        <v>118</v>
      </c>
      <c r="P307" t="s">
        <v>109</v>
      </c>
      <c r="Q307" t="s">
        <v>5330</v>
      </c>
      <c r="R307">
        <v>1</v>
      </c>
      <c r="S307">
        <v>1</v>
      </c>
    </row>
    <row r="308" spans="1:19" hidden="1" x14ac:dyDescent="0.3">
      <c r="A308">
        <v>466</v>
      </c>
      <c r="B308" t="s">
        <v>4043</v>
      </c>
      <c r="C308" t="s">
        <v>6622</v>
      </c>
      <c r="D308" t="s">
        <v>717</v>
      </c>
      <c r="E308" t="s">
        <v>222</v>
      </c>
      <c r="F308" t="s">
        <v>30</v>
      </c>
      <c r="G308" s="6">
        <v>45291</v>
      </c>
      <c r="H308">
        <v>2023</v>
      </c>
      <c r="I308" t="s">
        <v>57</v>
      </c>
      <c r="J308" t="s">
        <v>47</v>
      </c>
      <c r="K308">
        <v>42</v>
      </c>
      <c r="L308">
        <v>53.34</v>
      </c>
      <c r="M308">
        <v>1.27</v>
      </c>
      <c r="N308">
        <v>1.27</v>
      </c>
      <c r="O308" t="s">
        <v>118</v>
      </c>
      <c r="P308" t="s">
        <v>109</v>
      </c>
      <c r="Q308" t="s">
        <v>5332</v>
      </c>
      <c r="R308">
        <v>1</v>
      </c>
      <c r="S308">
        <v>1</v>
      </c>
    </row>
    <row r="309" spans="1:19" hidden="1" x14ac:dyDescent="0.3">
      <c r="A309">
        <v>466</v>
      </c>
      <c r="B309" t="s">
        <v>4043</v>
      </c>
      <c r="C309" t="s">
        <v>6622</v>
      </c>
      <c r="D309" t="s">
        <v>717</v>
      </c>
      <c r="E309" t="s">
        <v>222</v>
      </c>
      <c r="F309" t="s">
        <v>30</v>
      </c>
      <c r="G309" s="6">
        <v>46023</v>
      </c>
      <c r="H309" t="s">
        <v>6623</v>
      </c>
      <c r="I309" t="s">
        <v>6623</v>
      </c>
      <c r="J309" t="s">
        <v>6623</v>
      </c>
      <c r="K309">
        <v>55</v>
      </c>
      <c r="L309">
        <v>58.6</v>
      </c>
      <c r="M309">
        <v>1.065454545454545</v>
      </c>
      <c r="N309">
        <v>1.065454545454545</v>
      </c>
      <c r="O309" t="s">
        <v>118</v>
      </c>
      <c r="P309" t="s">
        <v>109</v>
      </c>
      <c r="Q309" t="s">
        <v>6739</v>
      </c>
      <c r="R309">
        <v>1</v>
      </c>
      <c r="S309">
        <v>1</v>
      </c>
    </row>
    <row r="310" spans="1:19" hidden="1" x14ac:dyDescent="0.3">
      <c r="A310">
        <v>467</v>
      </c>
      <c r="B310" t="s">
        <v>4051</v>
      </c>
      <c r="C310" t="s">
        <v>6622</v>
      </c>
      <c r="D310" t="s">
        <v>1988</v>
      </c>
      <c r="E310" t="s">
        <v>222</v>
      </c>
      <c r="F310" t="s">
        <v>30</v>
      </c>
      <c r="G310" s="6">
        <v>45838</v>
      </c>
      <c r="H310">
        <v>2025</v>
      </c>
      <c r="I310" t="s">
        <v>44</v>
      </c>
      <c r="J310" t="s">
        <v>244</v>
      </c>
      <c r="K310">
        <v>60</v>
      </c>
      <c r="L310">
        <v>70.8</v>
      </c>
      <c r="M310">
        <v>1.18</v>
      </c>
      <c r="N310">
        <v>1.18</v>
      </c>
      <c r="O310" t="s">
        <v>118</v>
      </c>
      <c r="P310" t="s">
        <v>109</v>
      </c>
      <c r="Q310" t="s">
        <v>4055</v>
      </c>
      <c r="R310">
        <v>0</v>
      </c>
      <c r="S310">
        <v>1</v>
      </c>
    </row>
    <row r="311" spans="1:19" hidden="1" x14ac:dyDescent="0.3">
      <c r="A311">
        <v>468</v>
      </c>
      <c r="B311" t="s">
        <v>4060</v>
      </c>
      <c r="C311" t="s">
        <v>6622</v>
      </c>
      <c r="D311" t="s">
        <v>1988</v>
      </c>
      <c r="E311" t="s">
        <v>222</v>
      </c>
      <c r="F311" t="s">
        <v>108</v>
      </c>
      <c r="G311" s="6">
        <v>45473</v>
      </c>
      <c r="H311">
        <v>2024</v>
      </c>
      <c r="I311" t="s">
        <v>44</v>
      </c>
      <c r="J311" t="s">
        <v>71</v>
      </c>
      <c r="K311">
        <v>3</v>
      </c>
      <c r="L311">
        <v>2.85</v>
      </c>
      <c r="M311">
        <v>1.0526315789473679</v>
      </c>
      <c r="N311">
        <v>1.0526315789473679</v>
      </c>
      <c r="O311" t="s">
        <v>118</v>
      </c>
      <c r="P311" t="s">
        <v>109</v>
      </c>
      <c r="Q311" t="s">
        <v>4061</v>
      </c>
      <c r="R311">
        <v>0</v>
      </c>
      <c r="S311">
        <v>1</v>
      </c>
    </row>
    <row r="312" spans="1:19" hidden="1" x14ac:dyDescent="0.3">
      <c r="A312">
        <v>468</v>
      </c>
      <c r="B312" t="s">
        <v>4060</v>
      </c>
      <c r="C312" t="s">
        <v>6622</v>
      </c>
      <c r="D312" t="s">
        <v>1988</v>
      </c>
      <c r="E312" t="s">
        <v>222</v>
      </c>
      <c r="F312" t="s">
        <v>108</v>
      </c>
      <c r="G312" s="6">
        <v>45838</v>
      </c>
      <c r="H312">
        <v>2025</v>
      </c>
      <c r="I312" t="s">
        <v>44</v>
      </c>
      <c r="J312" t="s">
        <v>244</v>
      </c>
      <c r="K312">
        <v>2.5</v>
      </c>
      <c r="L312">
        <v>2.4</v>
      </c>
      <c r="M312">
        <v>1.041666666666667</v>
      </c>
      <c r="N312">
        <v>1.041666666666667</v>
      </c>
      <c r="O312" t="s">
        <v>109</v>
      </c>
      <c r="P312" t="s">
        <v>109</v>
      </c>
      <c r="Q312" t="s">
        <v>4066</v>
      </c>
      <c r="R312">
        <v>1</v>
      </c>
      <c r="S312">
        <v>1</v>
      </c>
    </row>
    <row r="313" spans="1:19" hidden="1" x14ac:dyDescent="0.3">
      <c r="A313">
        <v>469</v>
      </c>
      <c r="B313" t="s">
        <v>3569</v>
      </c>
      <c r="C313" t="s">
        <v>6622</v>
      </c>
      <c r="D313" t="s">
        <v>129</v>
      </c>
      <c r="E313" t="s">
        <v>233</v>
      </c>
      <c r="F313" t="s">
        <v>30</v>
      </c>
      <c r="G313" s="6">
        <v>45838</v>
      </c>
      <c r="H313">
        <v>2025</v>
      </c>
      <c r="I313" t="s">
        <v>44</v>
      </c>
      <c r="J313" t="s">
        <v>244</v>
      </c>
      <c r="K313">
        <v>100</v>
      </c>
      <c r="L313">
        <v>103.52</v>
      </c>
      <c r="M313">
        <v>1</v>
      </c>
      <c r="N313">
        <v>1</v>
      </c>
      <c r="O313" t="s">
        <v>31</v>
      </c>
      <c r="P313" t="s">
        <v>31</v>
      </c>
      <c r="Q313" t="s">
        <v>4081</v>
      </c>
      <c r="R313">
        <v>0</v>
      </c>
      <c r="S313">
        <v>0</v>
      </c>
    </row>
    <row r="314" spans="1:19" hidden="1" x14ac:dyDescent="0.3">
      <c r="A314">
        <v>470</v>
      </c>
      <c r="B314" t="s">
        <v>4129</v>
      </c>
      <c r="C314" t="s">
        <v>6622</v>
      </c>
      <c r="D314" t="s">
        <v>129</v>
      </c>
      <c r="E314" t="s">
        <v>233</v>
      </c>
      <c r="F314" t="s">
        <v>30</v>
      </c>
      <c r="G314" s="6">
        <v>45838</v>
      </c>
      <c r="H314">
        <v>2025</v>
      </c>
      <c r="I314" t="s">
        <v>44</v>
      </c>
      <c r="J314" t="s">
        <v>244</v>
      </c>
      <c r="K314">
        <v>100</v>
      </c>
      <c r="L314">
        <v>148.38</v>
      </c>
      <c r="M314">
        <v>1</v>
      </c>
      <c r="N314">
        <v>1</v>
      </c>
      <c r="O314" t="s">
        <v>31</v>
      </c>
      <c r="P314" t="s">
        <v>31</v>
      </c>
      <c r="Q314" t="s">
        <v>4139</v>
      </c>
      <c r="R314">
        <v>0</v>
      </c>
      <c r="S314">
        <v>0</v>
      </c>
    </row>
    <row r="315" spans="1:19" hidden="1" x14ac:dyDescent="0.3">
      <c r="A315">
        <v>471</v>
      </c>
      <c r="B315" t="s">
        <v>4157</v>
      </c>
      <c r="C315" t="s">
        <v>6622</v>
      </c>
      <c r="D315" t="s">
        <v>129</v>
      </c>
      <c r="E315" t="s">
        <v>233</v>
      </c>
      <c r="F315" t="s">
        <v>30</v>
      </c>
      <c r="G315" s="6">
        <v>45838</v>
      </c>
      <c r="H315">
        <v>2025</v>
      </c>
      <c r="I315" t="s">
        <v>44</v>
      </c>
      <c r="J315" t="s">
        <v>244</v>
      </c>
      <c r="K315">
        <v>100</v>
      </c>
      <c r="L315">
        <v>94</v>
      </c>
      <c r="M315">
        <v>0.94</v>
      </c>
      <c r="N315">
        <v>0.94</v>
      </c>
      <c r="O315" t="s">
        <v>31</v>
      </c>
      <c r="P315" t="s">
        <v>31</v>
      </c>
      <c r="Q315" t="s">
        <v>4167</v>
      </c>
      <c r="R315">
        <v>0</v>
      </c>
      <c r="S315">
        <v>0</v>
      </c>
    </row>
    <row r="316" spans="1:19" hidden="1" x14ac:dyDescent="0.3">
      <c r="A316">
        <v>472</v>
      </c>
      <c r="B316" t="s">
        <v>4170</v>
      </c>
      <c r="C316" t="s">
        <v>6622</v>
      </c>
      <c r="D316" t="s">
        <v>2619</v>
      </c>
      <c r="E316" t="s">
        <v>222</v>
      </c>
      <c r="F316" t="s">
        <v>30</v>
      </c>
      <c r="G316" s="6">
        <v>46023</v>
      </c>
      <c r="H316" t="s">
        <v>6623</v>
      </c>
      <c r="I316" t="s">
        <v>6623</v>
      </c>
      <c r="J316" t="s">
        <v>6623</v>
      </c>
      <c r="K316">
        <v>100</v>
      </c>
      <c r="L316">
        <v>100</v>
      </c>
      <c r="M316">
        <v>1</v>
      </c>
      <c r="N316">
        <v>1</v>
      </c>
      <c r="O316" t="s">
        <v>31</v>
      </c>
      <c r="P316" t="s">
        <v>31</v>
      </c>
      <c r="Q316" t="s">
        <v>6740</v>
      </c>
      <c r="R316">
        <v>0</v>
      </c>
      <c r="S316">
        <v>0</v>
      </c>
    </row>
    <row r="317" spans="1:19" hidden="1" x14ac:dyDescent="0.3">
      <c r="A317">
        <v>473</v>
      </c>
      <c r="B317" t="s">
        <v>4176</v>
      </c>
      <c r="C317" t="s">
        <v>6622</v>
      </c>
      <c r="D317" t="s">
        <v>28</v>
      </c>
      <c r="E317" t="s">
        <v>222</v>
      </c>
      <c r="F317" t="s">
        <v>30</v>
      </c>
      <c r="G317" s="6">
        <v>45838</v>
      </c>
      <c r="H317">
        <v>2025</v>
      </c>
      <c r="I317" t="s">
        <v>44</v>
      </c>
      <c r="J317" t="s">
        <v>244</v>
      </c>
      <c r="K317">
        <v>72</v>
      </c>
      <c r="L317">
        <v>72</v>
      </c>
      <c r="M317">
        <v>1</v>
      </c>
      <c r="N317">
        <v>1</v>
      </c>
      <c r="O317" t="s">
        <v>118</v>
      </c>
      <c r="P317" t="s">
        <v>118</v>
      </c>
      <c r="Q317" t="s">
        <v>4178</v>
      </c>
      <c r="R317">
        <v>0</v>
      </c>
      <c r="S317">
        <v>0</v>
      </c>
    </row>
    <row r="318" spans="1:19" hidden="1" x14ac:dyDescent="0.3">
      <c r="A318">
        <v>473</v>
      </c>
      <c r="B318" t="s">
        <v>4176</v>
      </c>
      <c r="C318" t="s">
        <v>6622</v>
      </c>
      <c r="D318" t="s">
        <v>28</v>
      </c>
      <c r="E318" t="s">
        <v>222</v>
      </c>
      <c r="F318" t="s">
        <v>30</v>
      </c>
      <c r="G318" s="6">
        <v>46023</v>
      </c>
      <c r="H318" t="s">
        <v>6623</v>
      </c>
      <c r="I318" t="s">
        <v>6623</v>
      </c>
      <c r="J318" t="s">
        <v>6623</v>
      </c>
      <c r="K318">
        <v>33</v>
      </c>
      <c r="L318">
        <v>33</v>
      </c>
      <c r="M318">
        <v>1</v>
      </c>
      <c r="N318">
        <v>1</v>
      </c>
      <c r="O318" t="s">
        <v>118</v>
      </c>
      <c r="P318" t="s">
        <v>118</v>
      </c>
      <c r="Q318" t="s">
        <v>6741</v>
      </c>
      <c r="R318">
        <v>0</v>
      </c>
      <c r="S318">
        <v>0</v>
      </c>
    </row>
    <row r="319" spans="1:19" hidden="1" x14ac:dyDescent="0.3">
      <c r="A319">
        <v>474</v>
      </c>
      <c r="B319" t="s">
        <v>4181</v>
      </c>
      <c r="C319" t="s">
        <v>6622</v>
      </c>
      <c r="D319" t="s">
        <v>2991</v>
      </c>
      <c r="E319" t="s">
        <v>222</v>
      </c>
      <c r="F319" t="s">
        <v>30</v>
      </c>
      <c r="G319" s="6">
        <v>45473</v>
      </c>
      <c r="H319">
        <v>2024</v>
      </c>
      <c r="I319" t="s">
        <v>44</v>
      </c>
      <c r="J319" t="s">
        <v>71</v>
      </c>
      <c r="K319">
        <v>100</v>
      </c>
      <c r="L319">
        <v>100</v>
      </c>
      <c r="M319">
        <v>1</v>
      </c>
      <c r="N319">
        <v>1</v>
      </c>
      <c r="O319" t="s">
        <v>118</v>
      </c>
      <c r="P319" t="s">
        <v>118</v>
      </c>
      <c r="Q319" t="s">
        <v>4182</v>
      </c>
      <c r="R319">
        <v>0</v>
      </c>
      <c r="S319">
        <v>0</v>
      </c>
    </row>
    <row r="320" spans="1:19" hidden="1" x14ac:dyDescent="0.3">
      <c r="A320">
        <v>475</v>
      </c>
      <c r="B320" t="s">
        <v>4187</v>
      </c>
      <c r="C320" t="s">
        <v>6622</v>
      </c>
      <c r="D320" t="s">
        <v>61</v>
      </c>
      <c r="E320" t="s">
        <v>222</v>
      </c>
      <c r="F320" t="s">
        <v>30</v>
      </c>
      <c r="G320" s="6">
        <v>45838</v>
      </c>
      <c r="H320">
        <v>2025</v>
      </c>
      <c r="I320" t="s">
        <v>44</v>
      </c>
      <c r="J320" t="s">
        <v>244</v>
      </c>
      <c r="K320">
        <v>7</v>
      </c>
      <c r="L320">
        <v>2</v>
      </c>
      <c r="M320">
        <v>0.2857142857142857</v>
      </c>
      <c r="N320">
        <v>0.2857142857142857</v>
      </c>
      <c r="O320" t="s">
        <v>118</v>
      </c>
      <c r="P320" t="s">
        <v>118</v>
      </c>
      <c r="Q320" t="s">
        <v>4190</v>
      </c>
      <c r="R320">
        <v>0</v>
      </c>
      <c r="S320">
        <v>0</v>
      </c>
    </row>
    <row r="321" spans="1:19" hidden="1" x14ac:dyDescent="0.3">
      <c r="A321">
        <v>476</v>
      </c>
      <c r="B321" t="s">
        <v>4193</v>
      </c>
      <c r="C321" t="s">
        <v>6622</v>
      </c>
      <c r="D321" t="s">
        <v>28</v>
      </c>
      <c r="E321" t="s">
        <v>222</v>
      </c>
      <c r="F321" t="s">
        <v>30</v>
      </c>
      <c r="G321" s="6">
        <v>45291</v>
      </c>
      <c r="H321">
        <v>2023</v>
      </c>
      <c r="I321" t="s">
        <v>57</v>
      </c>
      <c r="J321" t="s">
        <v>47</v>
      </c>
      <c r="K321">
        <v>98</v>
      </c>
      <c r="L321">
        <v>98</v>
      </c>
      <c r="M321">
        <v>1</v>
      </c>
      <c r="N321">
        <v>1</v>
      </c>
      <c r="O321" t="s">
        <v>118</v>
      </c>
      <c r="P321" t="s">
        <v>118</v>
      </c>
      <c r="Q321" t="s">
        <v>6742</v>
      </c>
      <c r="R321">
        <v>0</v>
      </c>
      <c r="S321">
        <v>0</v>
      </c>
    </row>
    <row r="322" spans="1:19" hidden="1" x14ac:dyDescent="0.3">
      <c r="A322">
        <v>478</v>
      </c>
      <c r="B322" t="s">
        <v>4203</v>
      </c>
      <c r="C322" t="s">
        <v>6622</v>
      </c>
      <c r="D322" t="s">
        <v>2991</v>
      </c>
      <c r="E322" t="s">
        <v>222</v>
      </c>
      <c r="F322" t="s">
        <v>30</v>
      </c>
      <c r="G322" s="6">
        <v>45838</v>
      </c>
      <c r="H322">
        <v>2025</v>
      </c>
      <c r="I322" t="s">
        <v>44</v>
      </c>
      <c r="J322" t="s">
        <v>244</v>
      </c>
      <c r="L322">
        <v>0</v>
      </c>
      <c r="O322" t="s">
        <v>118</v>
      </c>
      <c r="P322" t="s">
        <v>118</v>
      </c>
      <c r="Q322" t="s">
        <v>4206</v>
      </c>
      <c r="R322">
        <v>0</v>
      </c>
      <c r="S322">
        <v>0</v>
      </c>
    </row>
    <row r="323" spans="1:19" hidden="1" x14ac:dyDescent="0.3">
      <c r="A323">
        <v>481</v>
      </c>
      <c r="B323" t="s">
        <v>4218</v>
      </c>
      <c r="C323" t="s">
        <v>6681</v>
      </c>
      <c r="D323" t="s">
        <v>28</v>
      </c>
      <c r="E323" t="s">
        <v>222</v>
      </c>
      <c r="F323" t="s">
        <v>30</v>
      </c>
      <c r="G323" s="6">
        <v>45838</v>
      </c>
      <c r="H323">
        <v>2025</v>
      </c>
      <c r="I323" t="s">
        <v>44</v>
      </c>
      <c r="J323" t="s">
        <v>244</v>
      </c>
      <c r="K323">
        <v>100</v>
      </c>
      <c r="L323">
        <v>100</v>
      </c>
      <c r="M323">
        <v>1</v>
      </c>
      <c r="N323">
        <v>1</v>
      </c>
      <c r="O323" t="s">
        <v>31</v>
      </c>
      <c r="P323" t="s">
        <v>31</v>
      </c>
      <c r="Q323" t="s">
        <v>4221</v>
      </c>
      <c r="R323">
        <v>0</v>
      </c>
      <c r="S323">
        <v>0</v>
      </c>
    </row>
    <row r="324" spans="1:19" hidden="1" x14ac:dyDescent="0.3">
      <c r="A324">
        <v>484</v>
      </c>
      <c r="B324" t="s">
        <v>4227</v>
      </c>
      <c r="C324" t="s">
        <v>6681</v>
      </c>
      <c r="D324" t="s">
        <v>97</v>
      </c>
      <c r="E324" t="s">
        <v>233</v>
      </c>
      <c r="F324" t="s">
        <v>30</v>
      </c>
      <c r="G324" s="6">
        <v>45838</v>
      </c>
      <c r="H324">
        <v>2025</v>
      </c>
      <c r="I324" t="s">
        <v>44</v>
      </c>
      <c r="J324" t="s">
        <v>244</v>
      </c>
      <c r="K324">
        <v>90</v>
      </c>
      <c r="L324">
        <v>100</v>
      </c>
      <c r="M324">
        <v>1.1111111111111109</v>
      </c>
      <c r="N324">
        <v>1.1111111111111109</v>
      </c>
      <c r="O324" t="s">
        <v>31</v>
      </c>
      <c r="P324" t="s">
        <v>31</v>
      </c>
      <c r="Q324" t="s">
        <v>4232</v>
      </c>
      <c r="R324">
        <v>0</v>
      </c>
      <c r="S324">
        <v>0</v>
      </c>
    </row>
    <row r="325" spans="1:19" hidden="1" x14ac:dyDescent="0.3">
      <c r="A325">
        <v>506</v>
      </c>
      <c r="B325" t="s">
        <v>4413</v>
      </c>
      <c r="C325" t="s">
        <v>6622</v>
      </c>
      <c r="D325" t="s">
        <v>2656</v>
      </c>
      <c r="E325" t="s">
        <v>222</v>
      </c>
      <c r="F325" t="s">
        <v>30</v>
      </c>
      <c r="G325" s="6">
        <v>45838</v>
      </c>
      <c r="H325">
        <v>2025</v>
      </c>
      <c r="I325" t="s">
        <v>44</v>
      </c>
      <c r="J325" t="s">
        <v>244</v>
      </c>
      <c r="K325">
        <v>80</v>
      </c>
      <c r="L325">
        <v>95</v>
      </c>
      <c r="M325">
        <v>1.1875</v>
      </c>
      <c r="N325">
        <v>1.1875</v>
      </c>
      <c r="O325" t="s">
        <v>31</v>
      </c>
      <c r="P325" t="s">
        <v>31</v>
      </c>
      <c r="Q325" t="s">
        <v>4415</v>
      </c>
      <c r="R325">
        <v>0</v>
      </c>
      <c r="S325">
        <v>0</v>
      </c>
    </row>
    <row r="326" spans="1:19" hidden="1" x14ac:dyDescent="0.3">
      <c r="A326">
        <v>507</v>
      </c>
      <c r="B326" t="s">
        <v>4420</v>
      </c>
      <c r="C326" t="s">
        <v>6622</v>
      </c>
      <c r="D326" t="s">
        <v>2133</v>
      </c>
      <c r="E326" t="s">
        <v>222</v>
      </c>
      <c r="F326" t="s">
        <v>30</v>
      </c>
      <c r="G326" s="6">
        <v>45838</v>
      </c>
      <c r="H326">
        <v>2025</v>
      </c>
      <c r="I326" t="s">
        <v>44</v>
      </c>
      <c r="J326" t="s">
        <v>244</v>
      </c>
      <c r="K326">
        <v>80</v>
      </c>
      <c r="L326">
        <v>98.75</v>
      </c>
      <c r="M326">
        <v>1.234375</v>
      </c>
      <c r="N326">
        <v>1.234375</v>
      </c>
      <c r="O326" t="s">
        <v>31</v>
      </c>
      <c r="P326" t="s">
        <v>31</v>
      </c>
      <c r="Q326" t="s">
        <v>4424</v>
      </c>
      <c r="R326">
        <v>0</v>
      </c>
      <c r="S326">
        <v>0</v>
      </c>
    </row>
    <row r="327" spans="1:19" hidden="1" x14ac:dyDescent="0.3">
      <c r="A327">
        <v>509</v>
      </c>
      <c r="B327" t="s">
        <v>4431</v>
      </c>
      <c r="C327" t="s">
        <v>6622</v>
      </c>
      <c r="D327" t="s">
        <v>187</v>
      </c>
      <c r="E327" t="s">
        <v>29</v>
      </c>
      <c r="F327" t="s">
        <v>30</v>
      </c>
      <c r="G327" s="6">
        <v>45838</v>
      </c>
      <c r="H327">
        <v>2025</v>
      </c>
      <c r="I327" t="s">
        <v>44</v>
      </c>
      <c r="J327" t="s">
        <v>244</v>
      </c>
      <c r="K327">
        <v>90</v>
      </c>
      <c r="L327">
        <v>101.115241635687</v>
      </c>
      <c r="M327">
        <v>1.123502684840967</v>
      </c>
      <c r="N327">
        <v>1.123502684840967</v>
      </c>
      <c r="O327" t="s">
        <v>31</v>
      </c>
      <c r="P327" t="s">
        <v>31</v>
      </c>
      <c r="Q327" t="s">
        <v>4441</v>
      </c>
      <c r="R327">
        <v>0</v>
      </c>
      <c r="S327">
        <v>0</v>
      </c>
    </row>
    <row r="328" spans="1:19" hidden="1" x14ac:dyDescent="0.3">
      <c r="A328">
        <v>510</v>
      </c>
      <c r="B328" t="s">
        <v>4449</v>
      </c>
      <c r="C328" t="s">
        <v>6681</v>
      </c>
      <c r="D328" t="s">
        <v>2177</v>
      </c>
      <c r="E328" t="s">
        <v>233</v>
      </c>
      <c r="F328" t="s">
        <v>30</v>
      </c>
      <c r="G328" s="6">
        <v>45838</v>
      </c>
      <c r="H328">
        <v>2025</v>
      </c>
      <c r="I328" t="s">
        <v>44</v>
      </c>
      <c r="J328" t="s">
        <v>244</v>
      </c>
      <c r="L328">
        <v>0</v>
      </c>
      <c r="O328" t="s">
        <v>1041</v>
      </c>
      <c r="P328" t="s">
        <v>31</v>
      </c>
      <c r="Q328" t="s">
        <v>4451</v>
      </c>
      <c r="R328">
        <v>0</v>
      </c>
      <c r="S328">
        <v>0</v>
      </c>
    </row>
    <row r="329" spans="1:19" hidden="1" x14ac:dyDescent="0.3">
      <c r="A329">
        <v>511</v>
      </c>
      <c r="B329" t="s">
        <v>4454</v>
      </c>
      <c r="C329" t="s">
        <v>6681</v>
      </c>
      <c r="D329" t="s">
        <v>2177</v>
      </c>
      <c r="E329" t="s">
        <v>233</v>
      </c>
      <c r="F329" t="s">
        <v>30</v>
      </c>
      <c r="G329" s="6">
        <v>45838</v>
      </c>
      <c r="H329">
        <v>2025</v>
      </c>
      <c r="I329" t="s">
        <v>44</v>
      </c>
      <c r="J329" t="s">
        <v>244</v>
      </c>
      <c r="L329">
        <v>86.36</v>
      </c>
      <c r="O329" t="s">
        <v>1041</v>
      </c>
      <c r="P329" t="s">
        <v>31</v>
      </c>
      <c r="Q329" t="s">
        <v>4456</v>
      </c>
      <c r="R329">
        <v>0</v>
      </c>
      <c r="S329">
        <v>0</v>
      </c>
    </row>
    <row r="330" spans="1:19" hidden="1" x14ac:dyDescent="0.3">
      <c r="A330">
        <v>513</v>
      </c>
      <c r="B330" t="s">
        <v>4461</v>
      </c>
      <c r="C330" t="s">
        <v>6681</v>
      </c>
      <c r="D330" t="s">
        <v>2177</v>
      </c>
      <c r="E330" t="s">
        <v>233</v>
      </c>
      <c r="F330" t="s">
        <v>30</v>
      </c>
      <c r="G330" s="6">
        <v>45838</v>
      </c>
      <c r="H330">
        <v>2025</v>
      </c>
      <c r="I330" t="s">
        <v>44</v>
      </c>
      <c r="J330" t="s">
        <v>244</v>
      </c>
      <c r="L330">
        <v>100</v>
      </c>
      <c r="O330" t="s">
        <v>1041</v>
      </c>
      <c r="P330" t="s">
        <v>31</v>
      </c>
      <c r="Q330" t="s">
        <v>4463</v>
      </c>
      <c r="R330">
        <v>0</v>
      </c>
      <c r="S330">
        <v>0</v>
      </c>
    </row>
    <row r="331" spans="1:19" hidden="1" x14ac:dyDescent="0.3">
      <c r="A331">
        <v>514</v>
      </c>
      <c r="B331" t="s">
        <v>4465</v>
      </c>
      <c r="C331" t="s">
        <v>6681</v>
      </c>
      <c r="D331" t="s">
        <v>2177</v>
      </c>
      <c r="E331" t="s">
        <v>222</v>
      </c>
      <c r="F331" t="s">
        <v>30</v>
      </c>
      <c r="G331" s="6">
        <v>45838</v>
      </c>
      <c r="H331">
        <v>2025</v>
      </c>
      <c r="I331" t="s">
        <v>44</v>
      </c>
      <c r="J331" t="s">
        <v>244</v>
      </c>
      <c r="K331">
        <v>70</v>
      </c>
      <c r="L331">
        <v>91.82</v>
      </c>
      <c r="M331">
        <v>1.3</v>
      </c>
      <c r="N331">
        <v>1.3117142857142861</v>
      </c>
      <c r="O331" t="s">
        <v>31</v>
      </c>
      <c r="P331" t="s">
        <v>31</v>
      </c>
      <c r="Q331" t="s">
        <v>4468</v>
      </c>
      <c r="R331">
        <v>0</v>
      </c>
      <c r="S331">
        <v>0</v>
      </c>
    </row>
    <row r="332" spans="1:19" hidden="1" x14ac:dyDescent="0.3">
      <c r="A332">
        <v>518</v>
      </c>
      <c r="B332" t="s">
        <v>4481</v>
      </c>
      <c r="C332" t="s">
        <v>6622</v>
      </c>
      <c r="D332" t="s">
        <v>283</v>
      </c>
      <c r="E332" t="s">
        <v>284</v>
      </c>
      <c r="F332" t="s">
        <v>30</v>
      </c>
      <c r="G332" s="6">
        <v>45838</v>
      </c>
      <c r="H332">
        <v>2025</v>
      </c>
      <c r="I332" t="s">
        <v>44</v>
      </c>
      <c r="J332" t="s">
        <v>244</v>
      </c>
      <c r="K332">
        <v>100</v>
      </c>
      <c r="L332">
        <v>87.5</v>
      </c>
      <c r="M332">
        <v>0.875</v>
      </c>
      <c r="N332">
        <v>0.875</v>
      </c>
      <c r="O332" t="s">
        <v>31</v>
      </c>
      <c r="P332" t="s">
        <v>31</v>
      </c>
      <c r="Q332" t="s">
        <v>4497</v>
      </c>
      <c r="R332">
        <v>0</v>
      </c>
      <c r="S332">
        <v>0</v>
      </c>
    </row>
    <row r="333" spans="1:19" hidden="1" x14ac:dyDescent="0.3">
      <c r="A333">
        <v>519</v>
      </c>
      <c r="B333" t="s">
        <v>4500</v>
      </c>
      <c r="C333" t="s">
        <v>6681</v>
      </c>
      <c r="D333" t="s">
        <v>3093</v>
      </c>
      <c r="E333" t="s">
        <v>222</v>
      </c>
      <c r="F333" t="s">
        <v>30</v>
      </c>
      <c r="G333" s="6">
        <v>45838</v>
      </c>
      <c r="H333">
        <v>2025</v>
      </c>
      <c r="I333" t="s">
        <v>44</v>
      </c>
      <c r="J333" t="s">
        <v>244</v>
      </c>
      <c r="K333">
        <v>100</v>
      </c>
      <c r="L333">
        <v>431.45</v>
      </c>
      <c r="M333">
        <v>1.3</v>
      </c>
      <c r="N333">
        <v>4.3144999999999998</v>
      </c>
      <c r="O333" t="s">
        <v>31</v>
      </c>
      <c r="P333" t="s">
        <v>31</v>
      </c>
      <c r="Q333" t="s">
        <v>4503</v>
      </c>
      <c r="R333">
        <v>0</v>
      </c>
      <c r="S333">
        <v>0</v>
      </c>
    </row>
    <row r="334" spans="1:19" hidden="1" x14ac:dyDescent="0.3">
      <c r="A334">
        <v>524</v>
      </c>
      <c r="B334" t="s">
        <v>3619</v>
      </c>
      <c r="C334" t="s">
        <v>6681</v>
      </c>
      <c r="D334" t="s">
        <v>3437</v>
      </c>
      <c r="E334" t="s">
        <v>222</v>
      </c>
      <c r="F334" t="s">
        <v>30</v>
      </c>
      <c r="G334" s="6">
        <v>45838</v>
      </c>
      <c r="H334">
        <v>2025</v>
      </c>
      <c r="I334" t="s">
        <v>44</v>
      </c>
      <c r="J334" t="s">
        <v>244</v>
      </c>
      <c r="K334">
        <v>173731</v>
      </c>
      <c r="L334">
        <v>172655</v>
      </c>
      <c r="M334">
        <v>0.99380651697164002</v>
      </c>
      <c r="N334">
        <v>0.99380651697164002</v>
      </c>
      <c r="O334" t="s">
        <v>118</v>
      </c>
      <c r="P334" t="s">
        <v>118</v>
      </c>
      <c r="Q334" t="s">
        <v>4520</v>
      </c>
      <c r="R334">
        <v>0</v>
      </c>
      <c r="S334">
        <v>0</v>
      </c>
    </row>
    <row r="335" spans="1:19" hidden="1" x14ac:dyDescent="0.3">
      <c r="A335">
        <v>528</v>
      </c>
      <c r="B335" t="s">
        <v>4529</v>
      </c>
      <c r="C335" t="s">
        <v>6622</v>
      </c>
      <c r="D335" t="s">
        <v>129</v>
      </c>
      <c r="E335" t="s">
        <v>98</v>
      </c>
      <c r="F335" t="s">
        <v>30</v>
      </c>
      <c r="G335" s="6">
        <v>45838</v>
      </c>
      <c r="H335">
        <v>2025</v>
      </c>
      <c r="I335" t="s">
        <v>44</v>
      </c>
      <c r="J335" t="s">
        <v>244</v>
      </c>
      <c r="K335">
        <v>1158</v>
      </c>
      <c r="L335">
        <v>2014</v>
      </c>
      <c r="M335">
        <v>1.3</v>
      </c>
      <c r="N335">
        <v>1.7392055267702939</v>
      </c>
      <c r="O335" t="s">
        <v>118</v>
      </c>
      <c r="P335" t="s">
        <v>118</v>
      </c>
      <c r="Q335" t="s">
        <v>4532</v>
      </c>
      <c r="R335">
        <v>0</v>
      </c>
      <c r="S335">
        <v>0</v>
      </c>
    </row>
    <row r="336" spans="1:19" hidden="1" x14ac:dyDescent="0.3">
      <c r="A336">
        <v>532</v>
      </c>
      <c r="B336" t="s">
        <v>4541</v>
      </c>
      <c r="C336" t="s">
        <v>6622</v>
      </c>
      <c r="D336" t="s">
        <v>663</v>
      </c>
      <c r="E336" t="s">
        <v>222</v>
      </c>
      <c r="F336" t="s">
        <v>30</v>
      </c>
      <c r="G336" s="6">
        <v>45838</v>
      </c>
      <c r="H336">
        <v>2025</v>
      </c>
      <c r="I336" t="s">
        <v>44</v>
      </c>
      <c r="J336" t="s">
        <v>244</v>
      </c>
      <c r="K336">
        <v>100</v>
      </c>
      <c r="L336">
        <v>133.15</v>
      </c>
      <c r="M336">
        <v>1.3</v>
      </c>
      <c r="N336">
        <v>1.3314999999999999</v>
      </c>
      <c r="O336" t="s">
        <v>31</v>
      </c>
      <c r="P336" t="s">
        <v>31</v>
      </c>
      <c r="Q336" t="s">
        <v>4544</v>
      </c>
      <c r="R336">
        <v>0</v>
      </c>
      <c r="S336">
        <v>0</v>
      </c>
    </row>
    <row r="337" spans="1:19" hidden="1" x14ac:dyDescent="0.3">
      <c r="A337">
        <v>533</v>
      </c>
      <c r="B337" t="s">
        <v>4549</v>
      </c>
      <c r="C337" t="s">
        <v>6622</v>
      </c>
      <c r="D337" t="s">
        <v>663</v>
      </c>
      <c r="E337" t="s">
        <v>222</v>
      </c>
      <c r="F337" t="s">
        <v>30</v>
      </c>
      <c r="G337" s="6">
        <v>45838</v>
      </c>
      <c r="H337">
        <v>2025</v>
      </c>
      <c r="I337" t="s">
        <v>44</v>
      </c>
      <c r="J337" t="s">
        <v>244</v>
      </c>
      <c r="K337">
        <v>100</v>
      </c>
      <c r="L337">
        <v>124.89</v>
      </c>
      <c r="M337">
        <v>1.2488999999999999</v>
      </c>
      <c r="N337">
        <v>1.2488999999999999</v>
      </c>
      <c r="O337" t="s">
        <v>31</v>
      </c>
      <c r="P337" t="s">
        <v>31</v>
      </c>
      <c r="Q337" t="s">
        <v>4552</v>
      </c>
      <c r="R337">
        <v>0</v>
      </c>
      <c r="S337">
        <v>0</v>
      </c>
    </row>
    <row r="338" spans="1:19" hidden="1" x14ac:dyDescent="0.3">
      <c r="A338">
        <v>534</v>
      </c>
      <c r="B338" t="s">
        <v>4557</v>
      </c>
      <c r="C338" t="s">
        <v>6622</v>
      </c>
      <c r="D338" t="s">
        <v>663</v>
      </c>
      <c r="E338" t="s">
        <v>222</v>
      </c>
      <c r="F338" t="s">
        <v>30</v>
      </c>
      <c r="G338" s="6">
        <v>45838</v>
      </c>
      <c r="H338">
        <v>2025</v>
      </c>
      <c r="I338" t="s">
        <v>44</v>
      </c>
      <c r="J338" t="s">
        <v>244</v>
      </c>
      <c r="K338">
        <v>100</v>
      </c>
      <c r="L338">
        <v>134.09</v>
      </c>
      <c r="M338">
        <v>1.3</v>
      </c>
      <c r="N338">
        <v>1.3409</v>
      </c>
      <c r="O338" t="s">
        <v>31</v>
      </c>
      <c r="P338" t="s">
        <v>31</v>
      </c>
      <c r="Q338" t="s">
        <v>4560</v>
      </c>
      <c r="R338">
        <v>0</v>
      </c>
      <c r="S338">
        <v>0</v>
      </c>
    </row>
    <row r="339" spans="1:19" hidden="1" x14ac:dyDescent="0.3">
      <c r="A339">
        <v>535</v>
      </c>
      <c r="B339" t="s">
        <v>4565</v>
      </c>
      <c r="C339" t="s">
        <v>6622</v>
      </c>
      <c r="D339" t="s">
        <v>663</v>
      </c>
      <c r="E339" t="s">
        <v>222</v>
      </c>
      <c r="F339" t="s">
        <v>30</v>
      </c>
      <c r="G339" s="6">
        <v>45838</v>
      </c>
      <c r="H339">
        <v>2025</v>
      </c>
      <c r="I339" t="s">
        <v>44</v>
      </c>
      <c r="J339" t="s">
        <v>244</v>
      </c>
      <c r="K339">
        <v>100</v>
      </c>
      <c r="L339">
        <v>132.66999999999999</v>
      </c>
      <c r="M339">
        <v>1.3</v>
      </c>
      <c r="N339">
        <v>1.3267</v>
      </c>
      <c r="O339" t="s">
        <v>31</v>
      </c>
      <c r="P339" t="s">
        <v>31</v>
      </c>
      <c r="Q339" t="s">
        <v>4568</v>
      </c>
      <c r="R339">
        <v>0</v>
      </c>
      <c r="S339">
        <v>0</v>
      </c>
    </row>
    <row r="340" spans="1:19" hidden="1" x14ac:dyDescent="0.3">
      <c r="A340">
        <v>536</v>
      </c>
      <c r="B340" t="s">
        <v>4573</v>
      </c>
      <c r="C340" t="s">
        <v>6622</v>
      </c>
      <c r="D340" t="s">
        <v>663</v>
      </c>
      <c r="E340" t="s">
        <v>222</v>
      </c>
      <c r="F340" t="s">
        <v>30</v>
      </c>
      <c r="G340" s="6">
        <v>45838</v>
      </c>
      <c r="H340">
        <v>2025</v>
      </c>
      <c r="I340" t="s">
        <v>44</v>
      </c>
      <c r="J340" t="s">
        <v>244</v>
      </c>
      <c r="K340">
        <v>100</v>
      </c>
      <c r="L340">
        <v>109.33</v>
      </c>
      <c r="M340">
        <v>1.0932999999999999</v>
      </c>
      <c r="N340">
        <v>1.0932999999999999</v>
      </c>
      <c r="O340" t="s">
        <v>31</v>
      </c>
      <c r="P340" t="s">
        <v>31</v>
      </c>
      <c r="Q340" t="s">
        <v>4576</v>
      </c>
      <c r="R340">
        <v>0</v>
      </c>
      <c r="S340">
        <v>0</v>
      </c>
    </row>
    <row r="341" spans="1:19" hidden="1" x14ac:dyDescent="0.3">
      <c r="A341">
        <v>537</v>
      </c>
      <c r="B341" t="s">
        <v>4581</v>
      </c>
      <c r="C341" t="s">
        <v>6622</v>
      </c>
      <c r="D341" t="s">
        <v>717</v>
      </c>
      <c r="E341" t="s">
        <v>222</v>
      </c>
      <c r="F341" t="s">
        <v>30</v>
      </c>
      <c r="G341" s="6">
        <v>45838</v>
      </c>
      <c r="H341">
        <v>2025</v>
      </c>
      <c r="I341" t="s">
        <v>44</v>
      </c>
      <c r="J341" t="s">
        <v>244</v>
      </c>
      <c r="K341">
        <v>65</v>
      </c>
      <c r="L341">
        <v>58.9</v>
      </c>
      <c r="M341">
        <v>0.90615384615384609</v>
      </c>
      <c r="N341">
        <v>0.90615384615384609</v>
      </c>
      <c r="O341" t="s">
        <v>118</v>
      </c>
      <c r="P341" t="s">
        <v>118</v>
      </c>
      <c r="Q341" t="s">
        <v>4584</v>
      </c>
      <c r="R341">
        <v>0</v>
      </c>
      <c r="S341">
        <v>0</v>
      </c>
    </row>
    <row r="342" spans="1:19" hidden="1" x14ac:dyDescent="0.3">
      <c r="A342">
        <v>543</v>
      </c>
      <c r="B342" t="s">
        <v>4614</v>
      </c>
      <c r="C342" t="s">
        <v>6681</v>
      </c>
      <c r="D342" t="s">
        <v>842</v>
      </c>
      <c r="E342" t="s">
        <v>222</v>
      </c>
      <c r="F342" t="s">
        <v>30</v>
      </c>
      <c r="G342" s="6">
        <v>45838</v>
      </c>
      <c r="H342">
        <v>2025</v>
      </c>
      <c r="I342" t="s">
        <v>44</v>
      </c>
      <c r="J342" t="s">
        <v>244</v>
      </c>
      <c r="L342">
        <v>7.29</v>
      </c>
      <c r="O342" t="s">
        <v>118</v>
      </c>
      <c r="P342" t="s">
        <v>118</v>
      </c>
      <c r="Q342" t="s">
        <v>4617</v>
      </c>
      <c r="R342">
        <v>0</v>
      </c>
      <c r="S342">
        <v>0</v>
      </c>
    </row>
    <row r="343" spans="1:19" hidden="1" x14ac:dyDescent="0.3">
      <c r="A343">
        <v>544</v>
      </c>
      <c r="B343" t="s">
        <v>4619</v>
      </c>
      <c r="C343" t="s">
        <v>6681</v>
      </c>
      <c r="D343" t="s">
        <v>3197</v>
      </c>
      <c r="E343" t="s">
        <v>222</v>
      </c>
      <c r="F343" t="s">
        <v>30</v>
      </c>
      <c r="G343" s="6">
        <v>45838</v>
      </c>
      <c r="H343">
        <v>2025</v>
      </c>
      <c r="I343" t="s">
        <v>44</v>
      </c>
      <c r="J343" t="s">
        <v>244</v>
      </c>
      <c r="K343">
        <v>4</v>
      </c>
      <c r="L343">
        <v>10</v>
      </c>
      <c r="M343">
        <v>1.3</v>
      </c>
      <c r="N343">
        <v>2.5</v>
      </c>
      <c r="O343" t="s">
        <v>118</v>
      </c>
      <c r="P343" t="s">
        <v>118</v>
      </c>
      <c r="Q343" t="s">
        <v>4622</v>
      </c>
      <c r="R343">
        <v>0</v>
      </c>
      <c r="S343">
        <v>0</v>
      </c>
    </row>
    <row r="344" spans="1:19" hidden="1" x14ac:dyDescent="0.3">
      <c r="A344">
        <v>900</v>
      </c>
      <c r="B344" t="s">
        <v>4897</v>
      </c>
      <c r="C344" t="s">
        <v>6622</v>
      </c>
      <c r="D344" t="s">
        <v>1988</v>
      </c>
      <c r="E344" t="s">
        <v>29</v>
      </c>
      <c r="F344" t="s">
        <v>30</v>
      </c>
      <c r="G344" s="6">
        <v>46023</v>
      </c>
      <c r="H344" t="s">
        <v>6623</v>
      </c>
      <c r="I344" t="s">
        <v>6623</v>
      </c>
      <c r="J344" t="s">
        <v>6623</v>
      </c>
      <c r="K344">
        <v>100</v>
      </c>
      <c r="L344">
        <v>100</v>
      </c>
      <c r="M344">
        <v>1</v>
      </c>
      <c r="N344">
        <v>1</v>
      </c>
      <c r="O344" t="s">
        <v>31</v>
      </c>
      <c r="P344" t="s">
        <v>31</v>
      </c>
      <c r="Q344" t="s">
        <v>6743</v>
      </c>
      <c r="R344">
        <v>0</v>
      </c>
      <c r="S344">
        <v>0</v>
      </c>
    </row>
    <row r="345" spans="1:19" hidden="1" x14ac:dyDescent="0.3">
      <c r="A345">
        <v>901</v>
      </c>
      <c r="B345" t="s">
        <v>6744</v>
      </c>
      <c r="C345" t="s">
        <v>6622</v>
      </c>
      <c r="D345" t="s">
        <v>3011</v>
      </c>
      <c r="E345" t="s">
        <v>29</v>
      </c>
      <c r="F345" t="s">
        <v>30</v>
      </c>
      <c r="G345" s="6">
        <v>46023</v>
      </c>
      <c r="H345" t="s">
        <v>6623</v>
      </c>
      <c r="I345" t="s">
        <v>6623</v>
      </c>
      <c r="J345" t="s">
        <v>6623</v>
      </c>
      <c r="O345" t="s">
        <v>31</v>
      </c>
      <c r="P345" t="s">
        <v>31</v>
      </c>
      <c r="Q345" t="s">
        <v>6745</v>
      </c>
      <c r="R345">
        <v>0</v>
      </c>
      <c r="S345">
        <v>0</v>
      </c>
    </row>
    <row r="346" spans="1:19" hidden="1" x14ac:dyDescent="0.3">
      <c r="A346">
        <v>902</v>
      </c>
      <c r="B346" t="s">
        <v>4925</v>
      </c>
      <c r="C346" t="s">
        <v>6622</v>
      </c>
      <c r="D346" t="s">
        <v>672</v>
      </c>
      <c r="E346" t="s">
        <v>29</v>
      </c>
      <c r="F346" t="s">
        <v>30</v>
      </c>
      <c r="G346" s="6">
        <v>46023</v>
      </c>
      <c r="H346" t="s">
        <v>6623</v>
      </c>
      <c r="I346" t="s">
        <v>6623</v>
      </c>
      <c r="J346" t="s">
        <v>6623</v>
      </c>
      <c r="K346">
        <v>100</v>
      </c>
      <c r="L346">
        <v>100</v>
      </c>
      <c r="M346">
        <v>1</v>
      </c>
      <c r="N346">
        <v>1</v>
      </c>
      <c r="O346" t="s">
        <v>31</v>
      </c>
      <c r="P346" t="s">
        <v>31</v>
      </c>
      <c r="Q346" t="s">
        <v>6746</v>
      </c>
      <c r="R346">
        <v>0</v>
      </c>
      <c r="S346">
        <v>0</v>
      </c>
    </row>
    <row r="347" spans="1:19" hidden="1" x14ac:dyDescent="0.3">
      <c r="A347">
        <v>903</v>
      </c>
      <c r="B347" t="s">
        <v>6747</v>
      </c>
      <c r="C347" t="s">
        <v>6622</v>
      </c>
      <c r="D347" t="s">
        <v>251</v>
      </c>
      <c r="E347" t="s">
        <v>29</v>
      </c>
      <c r="F347" t="s">
        <v>30</v>
      </c>
      <c r="G347" s="6">
        <v>46022</v>
      </c>
      <c r="H347">
        <v>2025</v>
      </c>
      <c r="I347" t="s">
        <v>57</v>
      </c>
      <c r="J347" t="s">
        <v>103</v>
      </c>
      <c r="K347">
        <v>100</v>
      </c>
      <c r="L347">
        <v>99</v>
      </c>
      <c r="M347">
        <v>0.99</v>
      </c>
      <c r="N347">
        <v>0.99</v>
      </c>
      <c r="O347" t="s">
        <v>31</v>
      </c>
      <c r="P347" t="s">
        <v>31</v>
      </c>
      <c r="Q347" t="s">
        <v>6748</v>
      </c>
      <c r="R347">
        <v>0</v>
      </c>
      <c r="S347">
        <v>0</v>
      </c>
    </row>
    <row r="348" spans="1:19" hidden="1" x14ac:dyDescent="0.3">
      <c r="A348">
        <v>903</v>
      </c>
      <c r="B348" t="s">
        <v>6747</v>
      </c>
      <c r="C348" t="s">
        <v>6622</v>
      </c>
      <c r="D348" t="s">
        <v>251</v>
      </c>
      <c r="E348" t="s">
        <v>29</v>
      </c>
      <c r="F348" t="s">
        <v>30</v>
      </c>
      <c r="G348" s="6">
        <v>46023</v>
      </c>
      <c r="H348" t="s">
        <v>6623</v>
      </c>
      <c r="I348" t="s">
        <v>6623</v>
      </c>
      <c r="J348" t="s">
        <v>6623</v>
      </c>
      <c r="K348">
        <v>100</v>
      </c>
      <c r="L348">
        <v>99</v>
      </c>
      <c r="M348">
        <v>0.99</v>
      </c>
      <c r="N348">
        <v>0.99</v>
      </c>
      <c r="O348" t="s">
        <v>31</v>
      </c>
      <c r="P348" t="s">
        <v>31</v>
      </c>
      <c r="Q348" t="s">
        <v>6749</v>
      </c>
      <c r="R348">
        <v>0</v>
      </c>
      <c r="S348">
        <v>0</v>
      </c>
    </row>
    <row r="349" spans="1:19" hidden="1" x14ac:dyDescent="0.3">
      <c r="A349">
        <v>904</v>
      </c>
      <c r="B349" t="s">
        <v>4953</v>
      </c>
      <c r="C349" t="s">
        <v>6622</v>
      </c>
      <c r="D349" t="s">
        <v>2437</v>
      </c>
      <c r="E349" t="s">
        <v>29</v>
      </c>
      <c r="F349" t="s">
        <v>30</v>
      </c>
      <c r="G349" s="6">
        <v>46022</v>
      </c>
      <c r="H349">
        <v>2025</v>
      </c>
      <c r="I349" t="s">
        <v>57</v>
      </c>
      <c r="J349" t="s">
        <v>103</v>
      </c>
      <c r="K349">
        <v>100</v>
      </c>
      <c r="L349">
        <v>100</v>
      </c>
      <c r="M349">
        <v>1</v>
      </c>
      <c r="N349">
        <v>1</v>
      </c>
      <c r="O349" t="s">
        <v>31</v>
      </c>
      <c r="P349" t="s">
        <v>31</v>
      </c>
      <c r="Q349" t="s">
        <v>6750</v>
      </c>
      <c r="R349">
        <v>0</v>
      </c>
      <c r="S349">
        <v>0</v>
      </c>
    </row>
    <row r="350" spans="1:19" hidden="1" x14ac:dyDescent="0.3">
      <c r="A350">
        <v>904</v>
      </c>
      <c r="B350" t="s">
        <v>4953</v>
      </c>
      <c r="C350" t="s">
        <v>6622</v>
      </c>
      <c r="D350" t="s">
        <v>2437</v>
      </c>
      <c r="E350" t="s">
        <v>29</v>
      </c>
      <c r="F350" t="s">
        <v>30</v>
      </c>
      <c r="G350" s="6">
        <v>46023</v>
      </c>
      <c r="H350" t="s">
        <v>6623</v>
      </c>
      <c r="I350" t="s">
        <v>6623</v>
      </c>
      <c r="J350" t="s">
        <v>6623</v>
      </c>
      <c r="K350">
        <v>98</v>
      </c>
      <c r="L350">
        <v>96</v>
      </c>
      <c r="M350">
        <v>0.97959183673469385</v>
      </c>
      <c r="N350">
        <v>0.97959183673469385</v>
      </c>
      <c r="O350" t="s">
        <v>31</v>
      </c>
      <c r="P350" t="s">
        <v>31</v>
      </c>
      <c r="Q350" t="s">
        <v>6751</v>
      </c>
      <c r="R350">
        <v>0</v>
      </c>
      <c r="S350">
        <v>0</v>
      </c>
    </row>
    <row r="351" spans="1:19" hidden="1" x14ac:dyDescent="0.3">
      <c r="A351">
        <v>905</v>
      </c>
      <c r="B351" t="s">
        <v>4967</v>
      </c>
      <c r="C351" t="s">
        <v>6622</v>
      </c>
      <c r="D351" t="s">
        <v>3011</v>
      </c>
      <c r="E351" t="s">
        <v>29</v>
      </c>
      <c r="F351" t="s">
        <v>30</v>
      </c>
      <c r="G351" s="6">
        <v>46023</v>
      </c>
      <c r="H351" t="s">
        <v>6623</v>
      </c>
      <c r="I351" t="s">
        <v>6623</v>
      </c>
      <c r="J351" t="s">
        <v>6623</v>
      </c>
      <c r="K351">
        <v>100</v>
      </c>
      <c r="L351">
        <v>100</v>
      </c>
      <c r="M351">
        <v>1</v>
      </c>
      <c r="N351">
        <v>1</v>
      </c>
      <c r="O351" t="s">
        <v>31</v>
      </c>
      <c r="P351" t="s">
        <v>31</v>
      </c>
      <c r="Q351" t="s">
        <v>6752</v>
      </c>
      <c r="R351">
        <v>0</v>
      </c>
      <c r="S351">
        <v>0</v>
      </c>
    </row>
    <row r="352" spans="1:19" hidden="1" x14ac:dyDescent="0.3">
      <c r="A352">
        <v>906</v>
      </c>
      <c r="B352" t="s">
        <v>4981</v>
      </c>
      <c r="C352" t="s">
        <v>6622</v>
      </c>
      <c r="D352" t="s">
        <v>3011</v>
      </c>
      <c r="E352" t="s">
        <v>29</v>
      </c>
      <c r="F352" t="s">
        <v>30</v>
      </c>
      <c r="G352" s="6">
        <v>46023</v>
      </c>
      <c r="H352" t="s">
        <v>6623</v>
      </c>
      <c r="I352" t="s">
        <v>6623</v>
      </c>
      <c r="J352" t="s">
        <v>6623</v>
      </c>
      <c r="K352">
        <v>100</v>
      </c>
      <c r="L352">
        <v>100</v>
      </c>
      <c r="M352">
        <v>1</v>
      </c>
      <c r="N352">
        <v>1</v>
      </c>
      <c r="O352" t="s">
        <v>31</v>
      </c>
      <c r="P352" t="s">
        <v>31</v>
      </c>
      <c r="Q352" t="s">
        <v>6753</v>
      </c>
      <c r="R352">
        <v>0</v>
      </c>
      <c r="S352">
        <v>0</v>
      </c>
    </row>
    <row r="353" spans="1:19" hidden="1" x14ac:dyDescent="0.3">
      <c r="A353">
        <v>907</v>
      </c>
      <c r="B353" t="s">
        <v>4995</v>
      </c>
      <c r="C353" t="s">
        <v>6622</v>
      </c>
      <c r="D353" t="s">
        <v>3011</v>
      </c>
      <c r="E353" t="s">
        <v>29</v>
      </c>
      <c r="F353" t="s">
        <v>30</v>
      </c>
      <c r="G353" s="6">
        <v>46023</v>
      </c>
      <c r="H353" t="s">
        <v>6623</v>
      </c>
      <c r="I353" t="s">
        <v>6623</v>
      </c>
      <c r="J353" t="s">
        <v>6623</v>
      </c>
      <c r="K353">
        <v>100</v>
      </c>
      <c r="L353">
        <v>100</v>
      </c>
      <c r="M353">
        <v>1</v>
      </c>
      <c r="N353">
        <v>1</v>
      </c>
      <c r="O353" t="s">
        <v>31</v>
      </c>
      <c r="P353" t="s">
        <v>31</v>
      </c>
      <c r="Q353" t="s">
        <v>6754</v>
      </c>
      <c r="R353">
        <v>0</v>
      </c>
      <c r="S353">
        <v>0</v>
      </c>
    </row>
    <row r="354" spans="1:19" hidden="1" x14ac:dyDescent="0.3">
      <c r="A354">
        <v>908</v>
      </c>
      <c r="B354" t="s">
        <v>5005</v>
      </c>
      <c r="C354" t="s">
        <v>6622</v>
      </c>
      <c r="D354" t="s">
        <v>3437</v>
      </c>
      <c r="E354" t="s">
        <v>29</v>
      </c>
      <c r="F354" t="s">
        <v>30</v>
      </c>
      <c r="G354" s="6">
        <v>46023</v>
      </c>
      <c r="H354" t="s">
        <v>6623</v>
      </c>
      <c r="I354" t="s">
        <v>6623</v>
      </c>
      <c r="J354" t="s">
        <v>6623</v>
      </c>
      <c r="K354">
        <v>100</v>
      </c>
      <c r="L354">
        <v>100</v>
      </c>
      <c r="M354">
        <v>1</v>
      </c>
      <c r="N354">
        <v>1</v>
      </c>
      <c r="O354" t="s">
        <v>31</v>
      </c>
      <c r="P354" t="s">
        <v>31</v>
      </c>
      <c r="Q354" t="s">
        <v>6755</v>
      </c>
      <c r="R354">
        <v>0</v>
      </c>
      <c r="S354">
        <v>0</v>
      </c>
    </row>
    <row r="355" spans="1:19" hidden="1" x14ac:dyDescent="0.3">
      <c r="A355">
        <v>909</v>
      </c>
      <c r="B355" t="s">
        <v>6756</v>
      </c>
      <c r="C355" t="s">
        <v>6622</v>
      </c>
      <c r="D355" t="s">
        <v>87</v>
      </c>
      <c r="E355" t="s">
        <v>29</v>
      </c>
      <c r="F355" t="s">
        <v>30</v>
      </c>
      <c r="G355" s="6">
        <v>46022</v>
      </c>
      <c r="H355">
        <v>2025</v>
      </c>
      <c r="I355" t="s">
        <v>57</v>
      </c>
      <c r="J355" t="s">
        <v>103</v>
      </c>
      <c r="K355">
        <v>100</v>
      </c>
      <c r="L355">
        <v>100</v>
      </c>
      <c r="M355">
        <v>1</v>
      </c>
      <c r="N355">
        <v>1</v>
      </c>
      <c r="O355">
        <v>0</v>
      </c>
      <c r="P355">
        <v>0</v>
      </c>
      <c r="Q355" t="s">
        <v>6757</v>
      </c>
      <c r="R355">
        <v>0</v>
      </c>
      <c r="S355">
        <v>0</v>
      </c>
    </row>
    <row r="356" spans="1:19" hidden="1" x14ac:dyDescent="0.3">
      <c r="A356">
        <v>909</v>
      </c>
      <c r="B356" t="s">
        <v>6756</v>
      </c>
      <c r="C356" t="s">
        <v>6622</v>
      </c>
      <c r="D356" t="s">
        <v>87</v>
      </c>
      <c r="E356" t="s">
        <v>29</v>
      </c>
      <c r="F356" t="s">
        <v>30</v>
      </c>
      <c r="G356" s="6">
        <v>46023</v>
      </c>
      <c r="H356" t="s">
        <v>6623</v>
      </c>
      <c r="I356" t="s">
        <v>6623</v>
      </c>
      <c r="J356" t="s">
        <v>6623</v>
      </c>
      <c r="K356">
        <v>67</v>
      </c>
      <c r="L356">
        <v>66</v>
      </c>
      <c r="M356">
        <v>0.9850746268656716</v>
      </c>
      <c r="N356">
        <v>0.9850746268656716</v>
      </c>
      <c r="O356" t="s">
        <v>31</v>
      </c>
      <c r="P356" t="s">
        <v>31</v>
      </c>
      <c r="Q356" t="s">
        <v>6758</v>
      </c>
      <c r="R356">
        <v>0</v>
      </c>
      <c r="S356">
        <v>0</v>
      </c>
    </row>
    <row r="357" spans="1:19" hidden="1" x14ac:dyDescent="0.3">
      <c r="A357">
        <v>910</v>
      </c>
      <c r="B357" t="s">
        <v>6759</v>
      </c>
      <c r="C357" t="s">
        <v>6622</v>
      </c>
      <c r="D357" t="s">
        <v>760</v>
      </c>
      <c r="E357" t="s">
        <v>29</v>
      </c>
      <c r="F357" t="s">
        <v>30</v>
      </c>
      <c r="G357" s="6">
        <v>46022</v>
      </c>
      <c r="H357">
        <v>2025</v>
      </c>
      <c r="I357" t="s">
        <v>57</v>
      </c>
      <c r="J357" t="s">
        <v>103</v>
      </c>
      <c r="K357">
        <v>76</v>
      </c>
      <c r="L357">
        <v>77</v>
      </c>
      <c r="M357">
        <v>1.013157894736842</v>
      </c>
      <c r="N357">
        <v>1.013157894736842</v>
      </c>
      <c r="O357" t="s">
        <v>31</v>
      </c>
      <c r="P357" t="s">
        <v>31</v>
      </c>
      <c r="Q357" t="s">
        <v>6760</v>
      </c>
      <c r="R357">
        <v>0</v>
      </c>
      <c r="S357">
        <v>0</v>
      </c>
    </row>
    <row r="358" spans="1:19" hidden="1" x14ac:dyDescent="0.3">
      <c r="A358">
        <v>910</v>
      </c>
      <c r="B358" t="s">
        <v>6759</v>
      </c>
      <c r="C358" t="s">
        <v>6622</v>
      </c>
      <c r="D358" t="s">
        <v>760</v>
      </c>
      <c r="E358" t="s">
        <v>29</v>
      </c>
      <c r="F358" t="s">
        <v>30</v>
      </c>
      <c r="G358" s="6">
        <v>46023</v>
      </c>
      <c r="H358" t="s">
        <v>6623</v>
      </c>
      <c r="I358" t="s">
        <v>6623</v>
      </c>
      <c r="J358" t="s">
        <v>6623</v>
      </c>
      <c r="K358">
        <v>48</v>
      </c>
      <c r="L358">
        <v>47</v>
      </c>
      <c r="M358">
        <v>0.97916666666666663</v>
      </c>
      <c r="N358">
        <v>0.97916666666666663</v>
      </c>
      <c r="O358" t="s">
        <v>31</v>
      </c>
      <c r="P358" t="s">
        <v>31</v>
      </c>
      <c r="Q358" t="s">
        <v>6761</v>
      </c>
      <c r="R358">
        <v>0</v>
      </c>
      <c r="S358">
        <v>0</v>
      </c>
    </row>
    <row r="359" spans="1:19" hidden="1" x14ac:dyDescent="0.3">
      <c r="A359">
        <v>911</v>
      </c>
      <c r="B359" t="s">
        <v>6762</v>
      </c>
      <c r="C359" t="s">
        <v>6622</v>
      </c>
      <c r="D359" t="s">
        <v>1997</v>
      </c>
      <c r="E359" t="s">
        <v>29</v>
      </c>
      <c r="F359" t="s">
        <v>30</v>
      </c>
      <c r="G359" s="6">
        <v>46022</v>
      </c>
      <c r="H359">
        <v>2025</v>
      </c>
      <c r="I359" t="s">
        <v>57</v>
      </c>
      <c r="J359" t="s">
        <v>103</v>
      </c>
      <c r="K359">
        <v>90</v>
      </c>
      <c r="L359">
        <v>91</v>
      </c>
      <c r="M359">
        <v>1.0111111111111111</v>
      </c>
      <c r="N359">
        <v>1.0111111111111111</v>
      </c>
      <c r="O359" t="s">
        <v>31</v>
      </c>
      <c r="P359" t="s">
        <v>31</v>
      </c>
      <c r="Q359" t="s">
        <v>6763</v>
      </c>
      <c r="R359">
        <v>0</v>
      </c>
      <c r="S359">
        <v>0</v>
      </c>
    </row>
    <row r="360" spans="1:19" hidden="1" x14ac:dyDescent="0.3">
      <c r="A360">
        <v>911</v>
      </c>
      <c r="B360" t="s">
        <v>6762</v>
      </c>
      <c r="C360" t="s">
        <v>6622</v>
      </c>
      <c r="D360" t="s">
        <v>1997</v>
      </c>
      <c r="E360" t="s">
        <v>29</v>
      </c>
      <c r="F360" t="s">
        <v>30</v>
      </c>
      <c r="G360" s="6">
        <v>46023</v>
      </c>
      <c r="H360" t="s">
        <v>6623</v>
      </c>
      <c r="I360" t="s">
        <v>6623</v>
      </c>
      <c r="J360" t="s">
        <v>6623</v>
      </c>
      <c r="K360">
        <v>76</v>
      </c>
      <c r="L360">
        <v>75</v>
      </c>
      <c r="M360">
        <v>0.98684210526315785</v>
      </c>
      <c r="N360">
        <v>0.98684210526315785</v>
      </c>
      <c r="O360" t="s">
        <v>31</v>
      </c>
      <c r="P360" t="s">
        <v>31</v>
      </c>
      <c r="Q360" t="s">
        <v>6764</v>
      </c>
      <c r="R360">
        <v>0</v>
      </c>
      <c r="S360">
        <v>0</v>
      </c>
    </row>
    <row r="361" spans="1:19" hidden="1" x14ac:dyDescent="0.3">
      <c r="A361">
        <v>912</v>
      </c>
      <c r="B361" t="s">
        <v>6765</v>
      </c>
      <c r="C361" t="s">
        <v>6622</v>
      </c>
      <c r="D361" t="s">
        <v>28</v>
      </c>
      <c r="E361" t="s">
        <v>29</v>
      </c>
      <c r="F361" t="s">
        <v>30</v>
      </c>
      <c r="G361" s="6">
        <v>46022</v>
      </c>
      <c r="H361">
        <v>2025</v>
      </c>
      <c r="I361" t="s">
        <v>57</v>
      </c>
      <c r="J361" t="s">
        <v>103</v>
      </c>
      <c r="K361">
        <v>75</v>
      </c>
      <c r="L361">
        <v>70</v>
      </c>
      <c r="M361">
        <v>0.93333333333333335</v>
      </c>
      <c r="N361">
        <v>0.93333333333333335</v>
      </c>
      <c r="O361" t="s">
        <v>31</v>
      </c>
      <c r="P361" t="s">
        <v>31</v>
      </c>
      <c r="Q361" t="s">
        <v>6766</v>
      </c>
      <c r="R361">
        <v>0</v>
      </c>
      <c r="S361">
        <v>0</v>
      </c>
    </row>
    <row r="362" spans="1:19" hidden="1" x14ac:dyDescent="0.3">
      <c r="A362">
        <v>912</v>
      </c>
      <c r="B362" t="s">
        <v>6765</v>
      </c>
      <c r="C362" t="s">
        <v>6622</v>
      </c>
      <c r="D362" t="s">
        <v>28</v>
      </c>
      <c r="E362" t="s">
        <v>29</v>
      </c>
      <c r="F362" t="s">
        <v>30</v>
      </c>
      <c r="G362" s="6">
        <v>46023</v>
      </c>
      <c r="H362" t="s">
        <v>6623</v>
      </c>
      <c r="I362" t="s">
        <v>6623</v>
      </c>
      <c r="J362" t="s">
        <v>6623</v>
      </c>
      <c r="K362">
        <v>46</v>
      </c>
      <c r="L362">
        <v>46</v>
      </c>
      <c r="M362">
        <v>1</v>
      </c>
      <c r="N362">
        <v>1</v>
      </c>
      <c r="O362" t="s">
        <v>31</v>
      </c>
      <c r="P362" t="s">
        <v>31</v>
      </c>
      <c r="Q362" t="s">
        <v>6767</v>
      </c>
      <c r="R362">
        <v>0</v>
      </c>
      <c r="S362">
        <v>0</v>
      </c>
    </row>
    <row r="363" spans="1:19" hidden="1" x14ac:dyDescent="0.3">
      <c r="A363">
        <v>913</v>
      </c>
      <c r="B363" t="s">
        <v>6768</v>
      </c>
      <c r="C363" t="s">
        <v>6622</v>
      </c>
      <c r="D363" t="s">
        <v>184</v>
      </c>
      <c r="E363" t="s">
        <v>29</v>
      </c>
      <c r="F363" t="s">
        <v>30</v>
      </c>
      <c r="G363" s="6">
        <v>46022</v>
      </c>
      <c r="H363">
        <v>2025</v>
      </c>
      <c r="I363" t="s">
        <v>57</v>
      </c>
      <c r="J363" t="s">
        <v>103</v>
      </c>
      <c r="K363">
        <v>99</v>
      </c>
      <c r="L363">
        <v>99</v>
      </c>
      <c r="M363">
        <v>1</v>
      </c>
      <c r="N363">
        <v>1</v>
      </c>
      <c r="O363">
        <v>0</v>
      </c>
      <c r="P363">
        <v>0</v>
      </c>
      <c r="Q363" t="s">
        <v>6769</v>
      </c>
      <c r="R363">
        <v>0</v>
      </c>
      <c r="S363">
        <v>0</v>
      </c>
    </row>
    <row r="364" spans="1:19" hidden="1" x14ac:dyDescent="0.3">
      <c r="A364">
        <v>913</v>
      </c>
      <c r="B364" t="s">
        <v>6768</v>
      </c>
      <c r="C364" t="s">
        <v>6622</v>
      </c>
      <c r="D364" t="s">
        <v>184</v>
      </c>
      <c r="E364" t="s">
        <v>29</v>
      </c>
      <c r="F364" t="s">
        <v>30</v>
      </c>
      <c r="G364" s="6">
        <v>46023</v>
      </c>
      <c r="H364" t="s">
        <v>6623</v>
      </c>
      <c r="I364" t="s">
        <v>6623</v>
      </c>
      <c r="J364" t="s">
        <v>6623</v>
      </c>
      <c r="K364">
        <v>75</v>
      </c>
      <c r="L364">
        <v>81</v>
      </c>
      <c r="M364">
        <v>1.08</v>
      </c>
      <c r="N364">
        <v>1.08</v>
      </c>
      <c r="O364" t="s">
        <v>31</v>
      </c>
      <c r="P364" t="s">
        <v>31</v>
      </c>
      <c r="Q364" t="s">
        <v>6770</v>
      </c>
      <c r="R364">
        <v>0</v>
      </c>
      <c r="S364">
        <v>0</v>
      </c>
    </row>
    <row r="365" spans="1:19" hidden="1" x14ac:dyDescent="0.3">
      <c r="A365">
        <v>914</v>
      </c>
      <c r="B365" t="s">
        <v>6771</v>
      </c>
      <c r="C365" t="s">
        <v>6622</v>
      </c>
      <c r="D365" t="s">
        <v>262</v>
      </c>
      <c r="E365" t="s">
        <v>29</v>
      </c>
      <c r="F365" t="s">
        <v>30</v>
      </c>
      <c r="G365" s="6">
        <v>46022</v>
      </c>
      <c r="H365">
        <v>2025</v>
      </c>
      <c r="I365" t="s">
        <v>57</v>
      </c>
      <c r="J365" t="s">
        <v>103</v>
      </c>
      <c r="K365">
        <v>67</v>
      </c>
      <c r="L365">
        <v>67</v>
      </c>
      <c r="M365">
        <v>1</v>
      </c>
      <c r="N365">
        <v>1</v>
      </c>
      <c r="O365">
        <v>0</v>
      </c>
      <c r="P365">
        <v>0</v>
      </c>
      <c r="Q365" t="s">
        <v>6772</v>
      </c>
      <c r="R365">
        <v>0</v>
      </c>
      <c r="S365">
        <v>0</v>
      </c>
    </row>
    <row r="366" spans="1:19" hidden="1" x14ac:dyDescent="0.3">
      <c r="A366">
        <v>914</v>
      </c>
      <c r="B366" t="s">
        <v>6771</v>
      </c>
      <c r="C366" t="s">
        <v>6622</v>
      </c>
      <c r="D366" t="s">
        <v>262</v>
      </c>
      <c r="E366" t="s">
        <v>29</v>
      </c>
      <c r="F366" t="s">
        <v>30</v>
      </c>
      <c r="G366" s="6">
        <v>46023</v>
      </c>
      <c r="H366" t="s">
        <v>6623</v>
      </c>
      <c r="I366" t="s">
        <v>6623</v>
      </c>
      <c r="J366" t="s">
        <v>6623</v>
      </c>
      <c r="K366">
        <v>41</v>
      </c>
      <c r="L366">
        <v>39</v>
      </c>
      <c r="M366">
        <v>0.95121951219512191</v>
      </c>
      <c r="N366">
        <v>0.95121951219512191</v>
      </c>
      <c r="O366" t="s">
        <v>31</v>
      </c>
      <c r="P366" t="s">
        <v>31</v>
      </c>
      <c r="Q366" t="s">
        <v>6773</v>
      </c>
      <c r="R366">
        <v>0</v>
      </c>
      <c r="S366">
        <v>0</v>
      </c>
    </row>
    <row r="367" spans="1:19" hidden="1" x14ac:dyDescent="0.3">
      <c r="A367">
        <v>915</v>
      </c>
      <c r="B367" t="s">
        <v>6774</v>
      </c>
      <c r="C367" t="s">
        <v>6622</v>
      </c>
      <c r="D367" t="s">
        <v>2619</v>
      </c>
      <c r="E367" t="s">
        <v>29</v>
      </c>
      <c r="F367" t="s">
        <v>30</v>
      </c>
      <c r="G367" s="6">
        <v>46022</v>
      </c>
      <c r="H367">
        <v>2025</v>
      </c>
      <c r="I367" t="s">
        <v>57</v>
      </c>
      <c r="J367" t="s">
        <v>103</v>
      </c>
      <c r="K367">
        <v>5</v>
      </c>
      <c r="L367">
        <v>5</v>
      </c>
      <c r="M367">
        <v>1</v>
      </c>
      <c r="N367">
        <v>1</v>
      </c>
      <c r="O367" t="s">
        <v>31</v>
      </c>
      <c r="P367" t="s">
        <v>31</v>
      </c>
      <c r="Q367" t="s">
        <v>6775</v>
      </c>
      <c r="R367">
        <v>0</v>
      </c>
      <c r="S367">
        <v>0</v>
      </c>
    </row>
    <row r="368" spans="1:19" hidden="1" x14ac:dyDescent="0.3">
      <c r="A368">
        <v>915</v>
      </c>
      <c r="B368" t="s">
        <v>6774</v>
      </c>
      <c r="C368" t="s">
        <v>6622</v>
      </c>
      <c r="D368" t="s">
        <v>2619</v>
      </c>
      <c r="E368" t="s">
        <v>29</v>
      </c>
      <c r="F368" t="s">
        <v>30</v>
      </c>
      <c r="G368" s="6">
        <v>46023</v>
      </c>
      <c r="H368" t="s">
        <v>6623</v>
      </c>
      <c r="I368" t="s">
        <v>6623</v>
      </c>
      <c r="J368" t="s">
        <v>6623</v>
      </c>
      <c r="K368">
        <v>12</v>
      </c>
      <c r="L368">
        <v>56</v>
      </c>
      <c r="M368">
        <v>1.3</v>
      </c>
      <c r="N368">
        <v>4.666666666666667</v>
      </c>
      <c r="O368" t="s">
        <v>31</v>
      </c>
      <c r="P368" t="s">
        <v>31</v>
      </c>
      <c r="Q368" t="s">
        <v>6776</v>
      </c>
      <c r="R368">
        <v>0</v>
      </c>
      <c r="S368">
        <v>0</v>
      </c>
    </row>
    <row r="369" spans="1:19" hidden="1" x14ac:dyDescent="0.3">
      <c r="A369">
        <v>916</v>
      </c>
      <c r="B369" t="s">
        <v>6777</v>
      </c>
      <c r="C369" t="s">
        <v>6622</v>
      </c>
      <c r="D369" t="s">
        <v>309</v>
      </c>
      <c r="E369" t="s">
        <v>29</v>
      </c>
      <c r="F369" t="s">
        <v>30</v>
      </c>
      <c r="G369" s="6">
        <v>46022</v>
      </c>
      <c r="H369">
        <v>2025</v>
      </c>
      <c r="I369" t="s">
        <v>57</v>
      </c>
      <c r="J369" t="s">
        <v>103</v>
      </c>
      <c r="K369">
        <v>60</v>
      </c>
      <c r="L369">
        <v>57</v>
      </c>
      <c r="M369">
        <v>0.95</v>
      </c>
      <c r="N369">
        <v>0.95</v>
      </c>
      <c r="O369" t="s">
        <v>31</v>
      </c>
      <c r="P369" t="s">
        <v>31</v>
      </c>
      <c r="Q369" t="s">
        <v>6778</v>
      </c>
      <c r="R369">
        <v>0</v>
      </c>
      <c r="S369">
        <v>0</v>
      </c>
    </row>
    <row r="370" spans="1:19" hidden="1" x14ac:dyDescent="0.3">
      <c r="A370">
        <v>916</v>
      </c>
      <c r="B370" t="s">
        <v>6777</v>
      </c>
      <c r="C370" t="s">
        <v>6622</v>
      </c>
      <c r="D370" t="s">
        <v>309</v>
      </c>
      <c r="E370" t="s">
        <v>29</v>
      </c>
      <c r="F370" t="s">
        <v>30</v>
      </c>
      <c r="G370" s="6">
        <v>46023</v>
      </c>
      <c r="H370" t="s">
        <v>6623</v>
      </c>
      <c r="I370" t="s">
        <v>6623</v>
      </c>
      <c r="J370" t="s">
        <v>6623</v>
      </c>
      <c r="K370">
        <v>26</v>
      </c>
      <c r="L370">
        <v>24</v>
      </c>
      <c r="M370">
        <v>0.92307692307692313</v>
      </c>
      <c r="N370">
        <v>0.92307692307692313</v>
      </c>
      <c r="O370" t="s">
        <v>31</v>
      </c>
      <c r="P370" t="s">
        <v>31</v>
      </c>
      <c r="Q370" t="s">
        <v>6779</v>
      </c>
      <c r="R370">
        <v>0</v>
      </c>
      <c r="S370">
        <v>0</v>
      </c>
    </row>
    <row r="371" spans="1:19" hidden="1" x14ac:dyDescent="0.3">
      <c r="A371">
        <v>917</v>
      </c>
      <c r="B371" t="s">
        <v>6780</v>
      </c>
      <c r="C371" t="s">
        <v>6622</v>
      </c>
      <c r="D371" t="s">
        <v>717</v>
      </c>
      <c r="E371" t="s">
        <v>29</v>
      </c>
      <c r="F371" t="s">
        <v>30</v>
      </c>
      <c r="G371" s="6">
        <v>46022</v>
      </c>
      <c r="H371">
        <v>2025</v>
      </c>
      <c r="I371" t="s">
        <v>57</v>
      </c>
      <c r="J371" t="s">
        <v>103</v>
      </c>
      <c r="K371">
        <v>100</v>
      </c>
      <c r="L371">
        <v>99</v>
      </c>
      <c r="M371">
        <v>0.99</v>
      </c>
      <c r="N371">
        <v>0.99</v>
      </c>
      <c r="O371" t="s">
        <v>31</v>
      </c>
      <c r="P371" t="s">
        <v>31</v>
      </c>
      <c r="Q371" t="s">
        <v>6781</v>
      </c>
      <c r="R371">
        <v>0</v>
      </c>
      <c r="S371">
        <v>0</v>
      </c>
    </row>
    <row r="372" spans="1:19" hidden="1" x14ac:dyDescent="0.3">
      <c r="A372">
        <v>917</v>
      </c>
      <c r="B372" t="s">
        <v>6780</v>
      </c>
      <c r="C372" t="s">
        <v>6622</v>
      </c>
      <c r="D372" t="s">
        <v>717</v>
      </c>
      <c r="E372" t="s">
        <v>29</v>
      </c>
      <c r="F372" t="s">
        <v>30</v>
      </c>
      <c r="G372" s="6">
        <v>46023</v>
      </c>
      <c r="H372" t="s">
        <v>6623</v>
      </c>
      <c r="I372" t="s">
        <v>6623</v>
      </c>
      <c r="J372" t="s">
        <v>6623</v>
      </c>
      <c r="K372">
        <v>90</v>
      </c>
      <c r="L372">
        <v>90</v>
      </c>
      <c r="M372">
        <v>1</v>
      </c>
      <c r="N372">
        <v>1</v>
      </c>
      <c r="O372" t="s">
        <v>31</v>
      </c>
      <c r="P372" t="s">
        <v>31</v>
      </c>
      <c r="Q372" t="s">
        <v>6782</v>
      </c>
      <c r="R372">
        <v>0</v>
      </c>
      <c r="S372">
        <v>0</v>
      </c>
    </row>
    <row r="373" spans="1:19" hidden="1" x14ac:dyDescent="0.3">
      <c r="A373">
        <v>918</v>
      </c>
      <c r="B373" t="s">
        <v>6783</v>
      </c>
      <c r="C373" t="s">
        <v>6622</v>
      </c>
      <c r="D373" t="s">
        <v>266</v>
      </c>
      <c r="E373" t="s">
        <v>29</v>
      </c>
      <c r="F373" t="s">
        <v>30</v>
      </c>
      <c r="G373" s="6">
        <v>46022</v>
      </c>
      <c r="H373">
        <v>2025</v>
      </c>
      <c r="I373" t="s">
        <v>57</v>
      </c>
      <c r="J373" t="s">
        <v>103</v>
      </c>
      <c r="K373">
        <v>99</v>
      </c>
      <c r="L373">
        <v>99</v>
      </c>
      <c r="M373">
        <v>1</v>
      </c>
      <c r="N373">
        <v>1</v>
      </c>
      <c r="O373" t="s">
        <v>31</v>
      </c>
      <c r="P373" t="s">
        <v>31</v>
      </c>
      <c r="Q373" t="s">
        <v>6784</v>
      </c>
      <c r="R373">
        <v>0</v>
      </c>
      <c r="S373">
        <v>0</v>
      </c>
    </row>
    <row r="374" spans="1:19" hidden="1" x14ac:dyDescent="0.3">
      <c r="A374">
        <v>918</v>
      </c>
      <c r="B374" t="s">
        <v>6785</v>
      </c>
      <c r="C374" t="s">
        <v>6622</v>
      </c>
      <c r="D374" t="s">
        <v>266</v>
      </c>
      <c r="E374" t="s">
        <v>29</v>
      </c>
      <c r="F374" t="s">
        <v>30</v>
      </c>
      <c r="G374" s="6">
        <v>46023</v>
      </c>
      <c r="H374" t="s">
        <v>6623</v>
      </c>
      <c r="I374" t="s">
        <v>6623</v>
      </c>
      <c r="J374" t="s">
        <v>6623</v>
      </c>
      <c r="K374">
        <v>77</v>
      </c>
      <c r="L374">
        <v>81</v>
      </c>
      <c r="M374">
        <v>1.051948051948052</v>
      </c>
      <c r="N374">
        <v>1.051948051948052</v>
      </c>
      <c r="O374" t="s">
        <v>31</v>
      </c>
      <c r="P374" t="s">
        <v>31</v>
      </c>
      <c r="Q374" t="s">
        <v>6786</v>
      </c>
      <c r="R374">
        <v>0</v>
      </c>
      <c r="S374">
        <v>0</v>
      </c>
    </row>
    <row r="375" spans="1:19" hidden="1" x14ac:dyDescent="0.3">
      <c r="A375">
        <v>919</v>
      </c>
      <c r="B375" t="s">
        <v>6787</v>
      </c>
      <c r="C375" t="s">
        <v>6622</v>
      </c>
      <c r="D375" t="s">
        <v>2688</v>
      </c>
      <c r="E375" t="s">
        <v>29</v>
      </c>
      <c r="F375" t="s">
        <v>30</v>
      </c>
      <c r="G375" s="6">
        <v>46022</v>
      </c>
      <c r="H375">
        <v>2025</v>
      </c>
      <c r="I375" t="s">
        <v>57</v>
      </c>
      <c r="J375" t="s">
        <v>103</v>
      </c>
      <c r="K375">
        <v>90</v>
      </c>
      <c r="L375">
        <v>87</v>
      </c>
      <c r="M375">
        <v>0.96666666666666667</v>
      </c>
      <c r="N375">
        <v>0.96666666666666667</v>
      </c>
      <c r="O375" t="s">
        <v>31</v>
      </c>
      <c r="P375" t="s">
        <v>31</v>
      </c>
      <c r="Q375" t="s">
        <v>6788</v>
      </c>
      <c r="R375">
        <v>0</v>
      </c>
      <c r="S375">
        <v>0</v>
      </c>
    </row>
    <row r="376" spans="1:19" hidden="1" x14ac:dyDescent="0.3">
      <c r="A376">
        <v>919</v>
      </c>
      <c r="B376" t="s">
        <v>6787</v>
      </c>
      <c r="C376" t="s">
        <v>6622</v>
      </c>
      <c r="D376" t="s">
        <v>2688</v>
      </c>
      <c r="E376" t="s">
        <v>29</v>
      </c>
      <c r="F376" t="s">
        <v>30</v>
      </c>
      <c r="G376" s="6">
        <v>46023</v>
      </c>
      <c r="H376" t="s">
        <v>6623</v>
      </c>
      <c r="I376" t="s">
        <v>6623</v>
      </c>
      <c r="J376" t="s">
        <v>6623</v>
      </c>
      <c r="K376">
        <v>95</v>
      </c>
      <c r="L376">
        <v>92</v>
      </c>
      <c r="M376">
        <v>0.96842105263157896</v>
      </c>
      <c r="N376">
        <v>0.96842105263157896</v>
      </c>
      <c r="O376" t="s">
        <v>31</v>
      </c>
      <c r="P376" t="s">
        <v>31</v>
      </c>
      <c r="Q376" t="s">
        <v>6789</v>
      </c>
      <c r="R376">
        <v>0</v>
      </c>
      <c r="S376">
        <v>0</v>
      </c>
    </row>
    <row r="377" spans="1:19" hidden="1" x14ac:dyDescent="0.3">
      <c r="A377">
        <v>920</v>
      </c>
      <c r="B377" t="s">
        <v>6790</v>
      </c>
      <c r="C377" t="s">
        <v>6622</v>
      </c>
      <c r="D377" t="s">
        <v>266</v>
      </c>
      <c r="E377" t="s">
        <v>29</v>
      </c>
      <c r="F377" t="s">
        <v>30</v>
      </c>
      <c r="G377" s="6">
        <v>45657</v>
      </c>
      <c r="H377">
        <v>2024</v>
      </c>
      <c r="I377" t="s">
        <v>57</v>
      </c>
      <c r="J377" t="s">
        <v>78</v>
      </c>
      <c r="K377">
        <v>100</v>
      </c>
      <c r="L377">
        <v>100</v>
      </c>
      <c r="M377">
        <v>1</v>
      </c>
      <c r="N377">
        <v>1</v>
      </c>
      <c r="O377" t="s">
        <v>31</v>
      </c>
      <c r="P377" t="s">
        <v>31</v>
      </c>
      <c r="Q377" t="s">
        <v>6791</v>
      </c>
      <c r="R377">
        <v>0</v>
      </c>
      <c r="S377">
        <v>0</v>
      </c>
    </row>
    <row r="378" spans="1:19" hidden="1" x14ac:dyDescent="0.3">
      <c r="A378">
        <v>920</v>
      </c>
      <c r="B378" t="s">
        <v>6790</v>
      </c>
      <c r="C378" t="s">
        <v>6622</v>
      </c>
      <c r="D378" t="s">
        <v>266</v>
      </c>
      <c r="E378" t="s">
        <v>29</v>
      </c>
      <c r="F378" t="s">
        <v>30</v>
      </c>
      <c r="G378" s="6">
        <v>46023</v>
      </c>
      <c r="H378" t="s">
        <v>6623</v>
      </c>
      <c r="I378" t="s">
        <v>6623</v>
      </c>
      <c r="J378" t="s">
        <v>6623</v>
      </c>
      <c r="K378">
        <v>100</v>
      </c>
      <c r="L378">
        <v>100</v>
      </c>
      <c r="M378">
        <v>1</v>
      </c>
      <c r="N378">
        <v>1</v>
      </c>
      <c r="O378" t="s">
        <v>31</v>
      </c>
      <c r="P378" t="s">
        <v>31</v>
      </c>
      <c r="Q378" t="s">
        <v>6792</v>
      </c>
      <c r="R378">
        <v>0</v>
      </c>
      <c r="S378">
        <v>0</v>
      </c>
    </row>
    <row r="379" spans="1:19" hidden="1" x14ac:dyDescent="0.3">
      <c r="A379">
        <v>921</v>
      </c>
      <c r="B379" t="s">
        <v>6793</v>
      </c>
      <c r="C379" t="s">
        <v>6622</v>
      </c>
      <c r="D379" t="s">
        <v>266</v>
      </c>
      <c r="E379" t="s">
        <v>29</v>
      </c>
      <c r="F379" t="s">
        <v>30</v>
      </c>
      <c r="G379" s="6">
        <v>45291</v>
      </c>
      <c r="H379">
        <v>2023</v>
      </c>
      <c r="I379" t="s">
        <v>57</v>
      </c>
      <c r="J379" t="s">
        <v>47</v>
      </c>
      <c r="K379">
        <v>100</v>
      </c>
      <c r="L379">
        <v>100</v>
      </c>
      <c r="M379">
        <v>1</v>
      </c>
      <c r="N379">
        <v>1</v>
      </c>
      <c r="O379" t="s">
        <v>31</v>
      </c>
      <c r="P379" t="s">
        <v>31</v>
      </c>
      <c r="Q379" t="s">
        <v>6794</v>
      </c>
      <c r="R379">
        <v>0</v>
      </c>
      <c r="S379">
        <v>0</v>
      </c>
    </row>
    <row r="380" spans="1:19" hidden="1" x14ac:dyDescent="0.3">
      <c r="A380">
        <v>921</v>
      </c>
      <c r="B380" t="s">
        <v>6793</v>
      </c>
      <c r="C380" t="s">
        <v>6622</v>
      </c>
      <c r="D380" t="s">
        <v>266</v>
      </c>
      <c r="E380" t="s">
        <v>29</v>
      </c>
      <c r="F380" t="s">
        <v>30</v>
      </c>
      <c r="G380" s="6">
        <v>46023</v>
      </c>
      <c r="H380" t="s">
        <v>6623</v>
      </c>
      <c r="I380" t="s">
        <v>6623</v>
      </c>
      <c r="J380" t="s">
        <v>6623</v>
      </c>
      <c r="K380">
        <v>100</v>
      </c>
      <c r="L380">
        <v>100</v>
      </c>
      <c r="M380">
        <v>1</v>
      </c>
      <c r="N380">
        <v>1</v>
      </c>
      <c r="O380" t="s">
        <v>31</v>
      </c>
      <c r="P380" t="s">
        <v>31</v>
      </c>
      <c r="Q380" t="s">
        <v>6795</v>
      </c>
      <c r="R380">
        <v>0</v>
      </c>
      <c r="S380">
        <v>0</v>
      </c>
    </row>
    <row r="381" spans="1:19" hidden="1" x14ac:dyDescent="0.3">
      <c r="A381">
        <v>922</v>
      </c>
      <c r="B381" t="s">
        <v>6796</v>
      </c>
      <c r="C381" t="s">
        <v>6622</v>
      </c>
      <c r="D381" t="s">
        <v>730</v>
      </c>
      <c r="E381" t="s">
        <v>29</v>
      </c>
      <c r="F381" t="s">
        <v>30</v>
      </c>
      <c r="G381" s="6">
        <v>46022</v>
      </c>
      <c r="H381">
        <v>2025</v>
      </c>
      <c r="I381" t="s">
        <v>57</v>
      </c>
      <c r="J381" t="s">
        <v>103</v>
      </c>
      <c r="K381">
        <v>100</v>
      </c>
      <c r="L381">
        <v>99</v>
      </c>
      <c r="M381">
        <v>0.99</v>
      </c>
      <c r="N381">
        <v>0.99</v>
      </c>
      <c r="O381" t="s">
        <v>31</v>
      </c>
      <c r="P381" t="s">
        <v>31</v>
      </c>
      <c r="Q381" t="s">
        <v>6797</v>
      </c>
      <c r="R381">
        <v>0</v>
      </c>
      <c r="S381">
        <v>0</v>
      </c>
    </row>
    <row r="382" spans="1:19" hidden="1" x14ac:dyDescent="0.3">
      <c r="A382">
        <v>922</v>
      </c>
      <c r="B382" t="s">
        <v>6796</v>
      </c>
      <c r="C382" t="s">
        <v>6622</v>
      </c>
      <c r="D382" t="s">
        <v>730</v>
      </c>
      <c r="E382" t="s">
        <v>29</v>
      </c>
      <c r="F382" t="s">
        <v>30</v>
      </c>
      <c r="G382" s="6">
        <v>46023</v>
      </c>
      <c r="H382" t="s">
        <v>6623</v>
      </c>
      <c r="I382" t="s">
        <v>6623</v>
      </c>
      <c r="J382" t="s">
        <v>6623</v>
      </c>
      <c r="K382">
        <v>100</v>
      </c>
      <c r="L382">
        <v>99</v>
      </c>
      <c r="M382">
        <v>0.95604395604395609</v>
      </c>
      <c r="N382">
        <v>0.95604395604395609</v>
      </c>
      <c r="O382" t="s">
        <v>31</v>
      </c>
      <c r="P382" t="s">
        <v>31</v>
      </c>
      <c r="Q382" t="s">
        <v>6798</v>
      </c>
      <c r="R382">
        <v>0</v>
      </c>
      <c r="S382">
        <v>0</v>
      </c>
    </row>
    <row r="383" spans="1:19" hidden="1" x14ac:dyDescent="0.3">
      <c r="A383">
        <v>923</v>
      </c>
      <c r="B383" t="s">
        <v>6799</v>
      </c>
      <c r="C383" t="s">
        <v>6622</v>
      </c>
      <c r="D383" t="s">
        <v>3011</v>
      </c>
      <c r="E383" t="s">
        <v>29</v>
      </c>
      <c r="F383" t="s">
        <v>30</v>
      </c>
      <c r="G383" s="6">
        <v>46022</v>
      </c>
      <c r="H383">
        <v>2025</v>
      </c>
      <c r="I383" t="s">
        <v>57</v>
      </c>
      <c r="J383" t="s">
        <v>103</v>
      </c>
      <c r="K383">
        <v>100</v>
      </c>
      <c r="L383">
        <v>100</v>
      </c>
      <c r="M383">
        <v>1</v>
      </c>
      <c r="N383">
        <v>1</v>
      </c>
      <c r="O383" t="s">
        <v>31</v>
      </c>
      <c r="P383" t="s">
        <v>31</v>
      </c>
      <c r="Q383" t="s">
        <v>6800</v>
      </c>
      <c r="R383">
        <v>0</v>
      </c>
      <c r="S383">
        <v>0</v>
      </c>
    </row>
    <row r="384" spans="1:19" hidden="1" x14ac:dyDescent="0.3">
      <c r="A384">
        <v>923</v>
      </c>
      <c r="B384" t="s">
        <v>6799</v>
      </c>
      <c r="C384" t="s">
        <v>6622</v>
      </c>
      <c r="D384" t="s">
        <v>3011</v>
      </c>
      <c r="E384" t="s">
        <v>29</v>
      </c>
      <c r="F384" t="s">
        <v>30</v>
      </c>
      <c r="G384" s="6">
        <v>46023</v>
      </c>
      <c r="H384" t="s">
        <v>6623</v>
      </c>
      <c r="I384" t="s">
        <v>6623</v>
      </c>
      <c r="J384" t="s">
        <v>6623</v>
      </c>
      <c r="K384">
        <v>100</v>
      </c>
      <c r="L384">
        <v>98</v>
      </c>
      <c r="M384">
        <v>0.98</v>
      </c>
      <c r="N384">
        <v>0.98</v>
      </c>
      <c r="O384" t="s">
        <v>31</v>
      </c>
      <c r="P384" t="s">
        <v>31</v>
      </c>
      <c r="Q384" t="s">
        <v>6801</v>
      </c>
      <c r="R384">
        <v>0</v>
      </c>
      <c r="S384">
        <v>0</v>
      </c>
    </row>
    <row r="385" spans="1:19" hidden="1" x14ac:dyDescent="0.3">
      <c r="A385">
        <v>924</v>
      </c>
      <c r="B385" t="s">
        <v>6802</v>
      </c>
      <c r="C385" t="s">
        <v>6622</v>
      </c>
      <c r="D385" t="s">
        <v>2437</v>
      </c>
      <c r="E385" t="s">
        <v>29</v>
      </c>
      <c r="F385" t="s">
        <v>30</v>
      </c>
      <c r="G385" s="6">
        <v>46022</v>
      </c>
      <c r="H385">
        <v>2025</v>
      </c>
      <c r="I385" t="s">
        <v>57</v>
      </c>
      <c r="J385" t="s">
        <v>103</v>
      </c>
      <c r="K385">
        <v>90</v>
      </c>
      <c r="L385">
        <v>85</v>
      </c>
      <c r="M385">
        <v>0.94444444444444442</v>
      </c>
      <c r="N385">
        <v>0.94444444444444442</v>
      </c>
      <c r="O385" t="s">
        <v>31</v>
      </c>
      <c r="P385" t="s">
        <v>31</v>
      </c>
      <c r="Q385" t="s">
        <v>6803</v>
      </c>
      <c r="R385">
        <v>0</v>
      </c>
      <c r="S385">
        <v>0</v>
      </c>
    </row>
    <row r="386" spans="1:19" hidden="1" x14ac:dyDescent="0.3">
      <c r="A386">
        <v>924</v>
      </c>
      <c r="B386" t="s">
        <v>6804</v>
      </c>
      <c r="C386" t="s">
        <v>6622</v>
      </c>
      <c r="D386" t="s">
        <v>2437</v>
      </c>
      <c r="E386" t="s">
        <v>29</v>
      </c>
      <c r="F386" t="s">
        <v>30</v>
      </c>
      <c r="G386" s="6">
        <v>46023</v>
      </c>
      <c r="H386" t="s">
        <v>6623</v>
      </c>
      <c r="I386" t="s">
        <v>6623</v>
      </c>
      <c r="J386" t="s">
        <v>6623</v>
      </c>
      <c r="K386">
        <v>65</v>
      </c>
      <c r="L386">
        <v>65</v>
      </c>
      <c r="M386">
        <v>1</v>
      </c>
      <c r="N386">
        <v>1</v>
      </c>
      <c r="O386" t="s">
        <v>31</v>
      </c>
      <c r="P386" t="s">
        <v>31</v>
      </c>
      <c r="Q386" t="s">
        <v>6805</v>
      </c>
      <c r="R386">
        <v>0</v>
      </c>
      <c r="S386">
        <v>0</v>
      </c>
    </row>
    <row r="387" spans="1:19" hidden="1" x14ac:dyDescent="0.3">
      <c r="A387">
        <v>925</v>
      </c>
      <c r="B387" t="s">
        <v>6806</v>
      </c>
      <c r="C387" t="s">
        <v>6622</v>
      </c>
      <c r="D387" t="s">
        <v>225</v>
      </c>
      <c r="E387" t="s">
        <v>29</v>
      </c>
      <c r="F387" t="s">
        <v>30</v>
      </c>
      <c r="G387" s="6">
        <v>45291</v>
      </c>
      <c r="H387">
        <v>2023</v>
      </c>
      <c r="I387" t="s">
        <v>57</v>
      </c>
      <c r="J387" t="s">
        <v>47</v>
      </c>
      <c r="K387">
        <v>100</v>
      </c>
      <c r="L387">
        <v>100</v>
      </c>
      <c r="M387">
        <v>1</v>
      </c>
      <c r="N387">
        <v>1</v>
      </c>
      <c r="O387" t="s">
        <v>31</v>
      </c>
      <c r="P387" t="s">
        <v>31</v>
      </c>
      <c r="Q387" t="s">
        <v>6807</v>
      </c>
      <c r="R387">
        <v>0</v>
      </c>
      <c r="S387">
        <v>0</v>
      </c>
    </row>
    <row r="388" spans="1:19" hidden="1" x14ac:dyDescent="0.3">
      <c r="A388">
        <v>925</v>
      </c>
      <c r="B388" t="s">
        <v>6806</v>
      </c>
      <c r="C388" t="s">
        <v>6622</v>
      </c>
      <c r="D388" t="s">
        <v>225</v>
      </c>
      <c r="E388" t="s">
        <v>29</v>
      </c>
      <c r="F388" t="s">
        <v>30</v>
      </c>
      <c r="G388" s="6">
        <v>46023</v>
      </c>
      <c r="H388" t="s">
        <v>6623</v>
      </c>
      <c r="I388" t="s">
        <v>6623</v>
      </c>
      <c r="J388" t="s">
        <v>6623</v>
      </c>
      <c r="K388">
        <v>100</v>
      </c>
      <c r="L388">
        <v>100</v>
      </c>
      <c r="M388">
        <v>1</v>
      </c>
      <c r="N388">
        <v>1</v>
      </c>
      <c r="O388" t="s">
        <v>31</v>
      </c>
      <c r="P388" t="s">
        <v>31</v>
      </c>
      <c r="Q388" t="s">
        <v>6808</v>
      </c>
      <c r="R388">
        <v>0</v>
      </c>
      <c r="S388">
        <v>0</v>
      </c>
    </row>
    <row r="389" spans="1:19" hidden="1" x14ac:dyDescent="0.3">
      <c r="A389">
        <v>926</v>
      </c>
      <c r="B389" t="s">
        <v>6809</v>
      </c>
      <c r="C389" t="s">
        <v>6622</v>
      </c>
      <c r="D389" t="s">
        <v>2688</v>
      </c>
      <c r="E389" t="s">
        <v>29</v>
      </c>
      <c r="F389" t="s">
        <v>30</v>
      </c>
      <c r="G389" s="6">
        <v>46022</v>
      </c>
      <c r="H389">
        <v>2025</v>
      </c>
      <c r="I389" t="s">
        <v>57</v>
      </c>
      <c r="J389" t="s">
        <v>103</v>
      </c>
      <c r="K389">
        <v>66</v>
      </c>
      <c r="L389">
        <v>66</v>
      </c>
      <c r="M389">
        <v>1</v>
      </c>
      <c r="N389">
        <v>1</v>
      </c>
      <c r="O389" t="s">
        <v>31</v>
      </c>
      <c r="P389" t="s">
        <v>31</v>
      </c>
      <c r="Q389" t="s">
        <v>6810</v>
      </c>
      <c r="R389">
        <v>0</v>
      </c>
      <c r="S389">
        <v>0</v>
      </c>
    </row>
    <row r="390" spans="1:19" hidden="1" x14ac:dyDescent="0.3">
      <c r="A390" t="s">
        <v>26</v>
      </c>
      <c r="B390" t="s">
        <v>27</v>
      </c>
      <c r="D390" t="s">
        <v>28</v>
      </c>
      <c r="E390" t="s">
        <v>29</v>
      </c>
      <c r="F390" t="s">
        <v>30</v>
      </c>
      <c r="G390" s="6">
        <v>45291</v>
      </c>
      <c r="H390" t="s">
        <v>6811</v>
      </c>
      <c r="I390" t="s">
        <v>57</v>
      </c>
      <c r="J390" t="s">
        <v>47</v>
      </c>
      <c r="K390">
        <v>76.833333333333329</v>
      </c>
      <c r="L390">
        <v>74.083333333333329</v>
      </c>
      <c r="M390">
        <v>0.96420824295010843</v>
      </c>
      <c r="N390">
        <v>0.96420824295010843</v>
      </c>
      <c r="O390" t="s">
        <v>6812</v>
      </c>
      <c r="P390" t="s">
        <v>6813</v>
      </c>
      <c r="Q390" t="s">
        <v>58</v>
      </c>
      <c r="R390">
        <v>2</v>
      </c>
      <c r="S390">
        <v>2</v>
      </c>
    </row>
    <row r="391" spans="1:19" hidden="1" x14ac:dyDescent="0.3">
      <c r="A391" t="s">
        <v>59</v>
      </c>
      <c r="B391" t="s">
        <v>60</v>
      </c>
      <c r="D391" t="s">
        <v>61</v>
      </c>
      <c r="E391" t="s">
        <v>29</v>
      </c>
      <c r="F391" t="s">
        <v>30</v>
      </c>
      <c r="G391" s="6">
        <v>45291</v>
      </c>
      <c r="H391" t="s">
        <v>6811</v>
      </c>
      <c r="I391" t="s">
        <v>57</v>
      </c>
      <c r="J391" t="s">
        <v>47</v>
      </c>
      <c r="K391">
        <v>34.777777777777779</v>
      </c>
      <c r="L391">
        <v>37.111111111111107</v>
      </c>
      <c r="M391">
        <v>1.067092651757189</v>
      </c>
      <c r="N391">
        <v>1.067092651757189</v>
      </c>
      <c r="O391" t="s">
        <v>6814</v>
      </c>
      <c r="P391" t="s">
        <v>6815</v>
      </c>
      <c r="Q391" t="s">
        <v>70</v>
      </c>
      <c r="R391">
        <v>2</v>
      </c>
      <c r="S391">
        <v>2</v>
      </c>
    </row>
    <row r="392" spans="1:19" hidden="1" x14ac:dyDescent="0.3">
      <c r="A392" t="s">
        <v>59</v>
      </c>
      <c r="B392" t="s">
        <v>60</v>
      </c>
      <c r="D392" t="s">
        <v>61</v>
      </c>
      <c r="E392" t="s">
        <v>29</v>
      </c>
      <c r="F392" t="s">
        <v>30</v>
      </c>
      <c r="G392" s="6">
        <v>45657</v>
      </c>
      <c r="H392" t="s">
        <v>6816</v>
      </c>
      <c r="I392" t="s">
        <v>57</v>
      </c>
      <c r="J392" t="s">
        <v>78</v>
      </c>
      <c r="K392">
        <v>70.75</v>
      </c>
      <c r="L392">
        <v>69.083333333333329</v>
      </c>
      <c r="M392">
        <v>0.97644287396937568</v>
      </c>
      <c r="N392">
        <v>0.97644287396937568</v>
      </c>
      <c r="O392" t="s">
        <v>6817</v>
      </c>
      <c r="P392" t="s">
        <v>6818</v>
      </c>
      <c r="Q392" t="s">
        <v>84</v>
      </c>
      <c r="R392">
        <v>2</v>
      </c>
      <c r="S392">
        <v>2</v>
      </c>
    </row>
    <row r="393" spans="1:19" hidden="1" x14ac:dyDescent="0.3">
      <c r="A393" t="s">
        <v>85</v>
      </c>
      <c r="B393" t="s">
        <v>86</v>
      </c>
      <c r="C393" t="s">
        <v>6622</v>
      </c>
      <c r="D393" t="s">
        <v>87</v>
      </c>
      <c r="E393" t="s">
        <v>29</v>
      </c>
      <c r="F393" t="s">
        <v>30</v>
      </c>
      <c r="G393" s="6">
        <v>44925</v>
      </c>
      <c r="H393">
        <v>2022</v>
      </c>
      <c r="I393" t="s">
        <v>57</v>
      </c>
      <c r="J393" t="s">
        <v>90</v>
      </c>
      <c r="K393">
        <v>87</v>
      </c>
      <c r="L393">
        <v>89</v>
      </c>
      <c r="M393">
        <v>1.022988505747126</v>
      </c>
      <c r="N393">
        <v>1.022988505747126</v>
      </c>
      <c r="O393" t="s">
        <v>31</v>
      </c>
      <c r="P393" t="s">
        <v>31</v>
      </c>
      <c r="Q393" t="s">
        <v>5347</v>
      </c>
      <c r="R393">
        <v>0</v>
      </c>
      <c r="S393">
        <v>0</v>
      </c>
    </row>
    <row r="394" spans="1:19" hidden="1" x14ac:dyDescent="0.3">
      <c r="A394" t="s">
        <v>85</v>
      </c>
      <c r="B394" t="s">
        <v>86</v>
      </c>
      <c r="D394" t="s">
        <v>87</v>
      </c>
      <c r="E394" t="s">
        <v>29</v>
      </c>
      <c r="F394" t="s">
        <v>30</v>
      </c>
      <c r="G394" s="6">
        <v>44926</v>
      </c>
      <c r="H394" t="s">
        <v>6819</v>
      </c>
      <c r="I394" t="s">
        <v>57</v>
      </c>
      <c r="J394" t="s">
        <v>90</v>
      </c>
      <c r="K394">
        <v>68.5</v>
      </c>
      <c r="L394">
        <v>59.5</v>
      </c>
      <c r="M394">
        <v>0.86861313868613144</v>
      </c>
      <c r="N394">
        <v>0.86861313868613144</v>
      </c>
      <c r="O394" t="s">
        <v>5769</v>
      </c>
      <c r="P394" t="s">
        <v>6820</v>
      </c>
      <c r="Q394" t="s">
        <v>91</v>
      </c>
      <c r="R394">
        <v>2</v>
      </c>
      <c r="S394">
        <v>2</v>
      </c>
    </row>
    <row r="395" spans="1:19" hidden="1" x14ac:dyDescent="0.3">
      <c r="A395" t="s">
        <v>85</v>
      </c>
      <c r="B395" t="s">
        <v>86</v>
      </c>
      <c r="D395" t="s">
        <v>87</v>
      </c>
      <c r="E395" t="s">
        <v>29</v>
      </c>
      <c r="F395" t="s">
        <v>30</v>
      </c>
      <c r="G395" s="6">
        <v>45291</v>
      </c>
      <c r="H395" t="s">
        <v>6811</v>
      </c>
      <c r="I395" t="s">
        <v>57</v>
      </c>
      <c r="J395" t="s">
        <v>47</v>
      </c>
      <c r="K395">
        <v>98</v>
      </c>
      <c r="L395">
        <v>98</v>
      </c>
      <c r="M395">
        <v>1</v>
      </c>
      <c r="N395">
        <v>1</v>
      </c>
      <c r="O395" t="s">
        <v>312</v>
      </c>
      <c r="P395" t="s">
        <v>312</v>
      </c>
      <c r="Q395" t="s">
        <v>6821</v>
      </c>
      <c r="R395">
        <v>2</v>
      </c>
      <c r="S395">
        <v>2</v>
      </c>
    </row>
    <row r="396" spans="1:19" hidden="1" x14ac:dyDescent="0.3">
      <c r="A396" t="s">
        <v>85</v>
      </c>
      <c r="B396" t="s">
        <v>86</v>
      </c>
      <c r="C396" t="s">
        <v>6622</v>
      </c>
      <c r="D396" t="s">
        <v>87</v>
      </c>
      <c r="E396" t="s">
        <v>29</v>
      </c>
      <c r="F396" t="s">
        <v>30</v>
      </c>
      <c r="G396" s="6">
        <v>46023</v>
      </c>
      <c r="H396" t="s">
        <v>6623</v>
      </c>
      <c r="I396" t="s">
        <v>6623</v>
      </c>
      <c r="J396" t="s">
        <v>6623</v>
      </c>
      <c r="K396">
        <v>100</v>
      </c>
      <c r="L396">
        <v>100</v>
      </c>
      <c r="M396">
        <v>1</v>
      </c>
      <c r="N396">
        <v>1</v>
      </c>
      <c r="O396" t="s">
        <v>31</v>
      </c>
      <c r="P396" t="s">
        <v>31</v>
      </c>
      <c r="Q396" t="s">
        <v>6822</v>
      </c>
      <c r="R396">
        <v>0</v>
      </c>
      <c r="S396">
        <v>0</v>
      </c>
    </row>
    <row r="397" spans="1:19" hidden="1" x14ac:dyDescent="0.3">
      <c r="A397" t="s">
        <v>95</v>
      </c>
      <c r="B397" t="s">
        <v>96</v>
      </c>
      <c r="C397" t="s">
        <v>6681</v>
      </c>
      <c r="D397" t="s">
        <v>97</v>
      </c>
      <c r="E397" t="s">
        <v>98</v>
      </c>
      <c r="F397" t="s">
        <v>30</v>
      </c>
      <c r="G397" s="6">
        <v>45291</v>
      </c>
      <c r="H397" t="s">
        <v>6811</v>
      </c>
      <c r="I397" t="s">
        <v>57</v>
      </c>
      <c r="J397" t="s">
        <v>47</v>
      </c>
      <c r="K397">
        <v>100</v>
      </c>
      <c r="L397">
        <v>99</v>
      </c>
      <c r="M397">
        <v>0.99</v>
      </c>
      <c r="N397">
        <v>0.99</v>
      </c>
      <c r="O397" t="s">
        <v>102</v>
      </c>
      <c r="P397" t="s">
        <v>2577</v>
      </c>
      <c r="Q397" t="s">
        <v>100</v>
      </c>
      <c r="R397">
        <v>2</v>
      </c>
      <c r="S397">
        <v>2</v>
      </c>
    </row>
    <row r="398" spans="1:19" hidden="1" x14ac:dyDescent="0.3">
      <c r="A398" t="s">
        <v>95</v>
      </c>
      <c r="B398" t="s">
        <v>96</v>
      </c>
      <c r="C398" t="s">
        <v>6681</v>
      </c>
      <c r="D398" t="s">
        <v>97</v>
      </c>
      <c r="E398" t="s">
        <v>98</v>
      </c>
      <c r="F398" t="s">
        <v>30</v>
      </c>
      <c r="G398" s="6">
        <v>45657</v>
      </c>
      <c r="H398" t="s">
        <v>6816</v>
      </c>
      <c r="I398" t="s">
        <v>57</v>
      </c>
      <c r="J398" t="s">
        <v>78</v>
      </c>
      <c r="K398">
        <v>100</v>
      </c>
      <c r="L398">
        <v>99</v>
      </c>
      <c r="M398">
        <v>0.99</v>
      </c>
      <c r="N398">
        <v>0.99</v>
      </c>
      <c r="O398" t="s">
        <v>102</v>
      </c>
      <c r="P398" t="s">
        <v>2577</v>
      </c>
      <c r="Q398" t="s">
        <v>101</v>
      </c>
      <c r="R398">
        <v>2</v>
      </c>
      <c r="S398">
        <v>2</v>
      </c>
    </row>
    <row r="399" spans="1:19" hidden="1" x14ac:dyDescent="0.3">
      <c r="A399" t="s">
        <v>95</v>
      </c>
      <c r="B399" t="s">
        <v>96</v>
      </c>
      <c r="C399" t="s">
        <v>6681</v>
      </c>
      <c r="D399" t="s">
        <v>97</v>
      </c>
      <c r="E399" t="s">
        <v>98</v>
      </c>
      <c r="F399" t="s">
        <v>30</v>
      </c>
      <c r="G399" s="6">
        <v>46022</v>
      </c>
      <c r="H399" t="s">
        <v>6823</v>
      </c>
      <c r="I399" t="s">
        <v>57</v>
      </c>
      <c r="J399" t="s">
        <v>103</v>
      </c>
      <c r="K399">
        <v>100</v>
      </c>
      <c r="L399">
        <v>100</v>
      </c>
      <c r="M399">
        <v>1</v>
      </c>
      <c r="N399">
        <v>1</v>
      </c>
      <c r="O399" t="s">
        <v>102</v>
      </c>
      <c r="P399" t="s">
        <v>102</v>
      </c>
      <c r="Q399" t="s">
        <v>105</v>
      </c>
      <c r="R399">
        <v>2</v>
      </c>
      <c r="S399">
        <v>2</v>
      </c>
    </row>
    <row r="400" spans="1:19" hidden="1" x14ac:dyDescent="0.3">
      <c r="A400" t="s">
        <v>106</v>
      </c>
      <c r="B400" t="s">
        <v>107</v>
      </c>
      <c r="C400" t="s">
        <v>6681</v>
      </c>
      <c r="D400" t="s">
        <v>97</v>
      </c>
      <c r="E400" t="s">
        <v>98</v>
      </c>
      <c r="F400" t="s">
        <v>108</v>
      </c>
      <c r="G400" s="6">
        <v>45291</v>
      </c>
      <c r="H400" t="s">
        <v>6811</v>
      </c>
      <c r="I400" t="s">
        <v>57</v>
      </c>
      <c r="J400" t="s">
        <v>47</v>
      </c>
      <c r="K400">
        <v>2.14</v>
      </c>
      <c r="L400">
        <v>0.47</v>
      </c>
      <c r="M400">
        <v>1.3</v>
      </c>
      <c r="N400">
        <v>4.5531914893617023</v>
      </c>
      <c r="O400" t="s">
        <v>113</v>
      </c>
      <c r="P400" t="s">
        <v>2598</v>
      </c>
      <c r="Q400" t="s">
        <v>110</v>
      </c>
      <c r="R400">
        <v>2</v>
      </c>
      <c r="S400">
        <v>2</v>
      </c>
    </row>
    <row r="401" spans="1:19" hidden="1" x14ac:dyDescent="0.3">
      <c r="A401" t="s">
        <v>106</v>
      </c>
      <c r="B401" t="s">
        <v>107</v>
      </c>
      <c r="C401" t="s">
        <v>6681</v>
      </c>
      <c r="D401" t="s">
        <v>97</v>
      </c>
      <c r="E401" t="s">
        <v>98</v>
      </c>
      <c r="F401" t="s">
        <v>108</v>
      </c>
      <c r="G401" s="6">
        <v>45657</v>
      </c>
      <c r="H401" t="s">
        <v>6816</v>
      </c>
      <c r="I401" t="s">
        <v>57</v>
      </c>
      <c r="J401" t="s">
        <v>78</v>
      </c>
      <c r="K401">
        <v>1.2</v>
      </c>
      <c r="L401">
        <v>0.11</v>
      </c>
      <c r="M401">
        <v>1.3</v>
      </c>
      <c r="N401">
        <v>10.90909090909091</v>
      </c>
      <c r="O401" t="s">
        <v>5349</v>
      </c>
      <c r="P401" t="s">
        <v>5350</v>
      </c>
      <c r="Q401" t="s">
        <v>111</v>
      </c>
      <c r="R401">
        <v>2</v>
      </c>
      <c r="S401">
        <v>2</v>
      </c>
    </row>
    <row r="402" spans="1:19" hidden="1" x14ac:dyDescent="0.3">
      <c r="A402" t="s">
        <v>106</v>
      </c>
      <c r="B402" t="s">
        <v>107</v>
      </c>
      <c r="C402" t="s">
        <v>6681</v>
      </c>
      <c r="D402" t="s">
        <v>97</v>
      </c>
      <c r="E402" t="s">
        <v>98</v>
      </c>
      <c r="F402" t="s">
        <v>108</v>
      </c>
      <c r="G402" s="6">
        <v>46022</v>
      </c>
      <c r="H402" t="s">
        <v>6823</v>
      </c>
      <c r="I402" t="s">
        <v>57</v>
      </c>
      <c r="J402" t="s">
        <v>103</v>
      </c>
      <c r="K402">
        <v>2.14</v>
      </c>
      <c r="L402">
        <v>0.21</v>
      </c>
      <c r="M402">
        <v>1.3</v>
      </c>
      <c r="N402">
        <v>10.19047619047619</v>
      </c>
      <c r="O402" t="s">
        <v>113</v>
      </c>
      <c r="P402" t="s">
        <v>114</v>
      </c>
      <c r="Q402" t="s">
        <v>115</v>
      </c>
      <c r="R402">
        <v>2</v>
      </c>
      <c r="S402">
        <v>2</v>
      </c>
    </row>
    <row r="403" spans="1:19" hidden="1" x14ac:dyDescent="0.3">
      <c r="A403" t="s">
        <v>116</v>
      </c>
      <c r="B403" t="s">
        <v>117</v>
      </c>
      <c r="C403" t="s">
        <v>6681</v>
      </c>
      <c r="D403" t="s">
        <v>97</v>
      </c>
      <c r="E403" t="s">
        <v>98</v>
      </c>
      <c r="F403" t="s">
        <v>108</v>
      </c>
      <c r="G403" s="6">
        <v>45291</v>
      </c>
      <c r="H403" t="s">
        <v>6811</v>
      </c>
      <c r="I403" t="s">
        <v>57</v>
      </c>
      <c r="J403" t="s">
        <v>47</v>
      </c>
      <c r="K403">
        <v>1.0000000000000001E-5</v>
      </c>
      <c r="L403">
        <v>1.0000000000000001E-5</v>
      </c>
      <c r="M403">
        <v>1</v>
      </c>
      <c r="N403">
        <v>1</v>
      </c>
      <c r="O403" t="s">
        <v>122</v>
      </c>
      <c r="P403" t="s">
        <v>122</v>
      </c>
      <c r="Q403" t="s">
        <v>119</v>
      </c>
      <c r="R403">
        <v>2</v>
      </c>
      <c r="S403">
        <v>2</v>
      </c>
    </row>
    <row r="404" spans="1:19" hidden="1" x14ac:dyDescent="0.3">
      <c r="A404" t="s">
        <v>116</v>
      </c>
      <c r="B404" t="s">
        <v>117</v>
      </c>
      <c r="C404" t="s">
        <v>6681</v>
      </c>
      <c r="D404" t="s">
        <v>97</v>
      </c>
      <c r="E404" t="s">
        <v>98</v>
      </c>
      <c r="F404" t="s">
        <v>108</v>
      </c>
      <c r="G404" s="6">
        <v>45657</v>
      </c>
      <c r="H404" t="s">
        <v>6816</v>
      </c>
      <c r="I404" t="s">
        <v>57</v>
      </c>
      <c r="J404" t="s">
        <v>78</v>
      </c>
      <c r="K404">
        <v>0</v>
      </c>
      <c r="L404">
        <v>0</v>
      </c>
      <c r="M404">
        <v>0</v>
      </c>
      <c r="N404">
        <v>0</v>
      </c>
      <c r="O404" t="s">
        <v>122</v>
      </c>
      <c r="P404" t="s">
        <v>122</v>
      </c>
      <c r="Q404" t="s">
        <v>120</v>
      </c>
      <c r="R404">
        <v>2</v>
      </c>
      <c r="S404">
        <v>2</v>
      </c>
    </row>
    <row r="405" spans="1:19" hidden="1" x14ac:dyDescent="0.3">
      <c r="A405" t="s">
        <v>116</v>
      </c>
      <c r="B405" t="s">
        <v>117</v>
      </c>
      <c r="C405" t="s">
        <v>6681</v>
      </c>
      <c r="D405" t="s">
        <v>97</v>
      </c>
      <c r="E405" t="s">
        <v>98</v>
      </c>
      <c r="F405" t="s">
        <v>108</v>
      </c>
      <c r="G405" s="6">
        <v>46022</v>
      </c>
      <c r="H405" t="s">
        <v>6823</v>
      </c>
      <c r="I405" t="s">
        <v>57</v>
      </c>
      <c r="J405" t="s">
        <v>103</v>
      </c>
      <c r="K405">
        <v>0</v>
      </c>
      <c r="L405">
        <v>0</v>
      </c>
      <c r="M405">
        <v>0</v>
      </c>
      <c r="N405">
        <v>0</v>
      </c>
      <c r="O405" t="s">
        <v>122</v>
      </c>
      <c r="P405" t="s">
        <v>122</v>
      </c>
      <c r="Q405" t="s">
        <v>123</v>
      </c>
      <c r="R405">
        <v>2</v>
      </c>
      <c r="S405">
        <v>2</v>
      </c>
    </row>
    <row r="406" spans="1:19" hidden="1" x14ac:dyDescent="0.3">
      <c r="A406" t="s">
        <v>124</v>
      </c>
      <c r="B406" t="s">
        <v>125</v>
      </c>
      <c r="D406" t="s">
        <v>126</v>
      </c>
      <c r="E406" t="s">
        <v>98</v>
      </c>
      <c r="F406" t="s">
        <v>30</v>
      </c>
      <c r="G406" s="6">
        <v>45657</v>
      </c>
      <c r="H406" t="s">
        <v>6816</v>
      </c>
      <c r="I406" t="s">
        <v>57</v>
      </c>
      <c r="J406" t="s">
        <v>78</v>
      </c>
      <c r="M406">
        <v>0</v>
      </c>
      <c r="N406">
        <v>0</v>
      </c>
      <c r="Q406" t="s">
        <v>127</v>
      </c>
      <c r="R406">
        <v>2</v>
      </c>
      <c r="S406">
        <v>2</v>
      </c>
    </row>
    <row r="407" spans="1:19" hidden="1" x14ac:dyDescent="0.3">
      <c r="A407" t="s">
        <v>128</v>
      </c>
      <c r="B407" t="s">
        <v>125</v>
      </c>
      <c r="D407" t="s">
        <v>129</v>
      </c>
      <c r="E407" t="s">
        <v>98</v>
      </c>
      <c r="F407" t="s">
        <v>30</v>
      </c>
      <c r="G407" s="6">
        <v>44926</v>
      </c>
      <c r="H407" t="s">
        <v>6819</v>
      </c>
      <c r="I407" t="s">
        <v>57</v>
      </c>
      <c r="J407" t="s">
        <v>90</v>
      </c>
      <c r="K407">
        <v>80</v>
      </c>
      <c r="L407">
        <v>80.476190476190496</v>
      </c>
      <c r="M407">
        <v>1.0059523809523809</v>
      </c>
      <c r="N407">
        <v>1.0059523809523809</v>
      </c>
      <c r="O407" t="s">
        <v>193</v>
      </c>
      <c r="P407" t="s">
        <v>5351</v>
      </c>
      <c r="Q407" t="s">
        <v>131</v>
      </c>
      <c r="R407">
        <v>2</v>
      </c>
      <c r="S407">
        <v>2</v>
      </c>
    </row>
    <row r="408" spans="1:19" hidden="1" x14ac:dyDescent="0.3">
      <c r="A408" t="s">
        <v>128</v>
      </c>
      <c r="B408" t="s">
        <v>125</v>
      </c>
      <c r="D408" t="s">
        <v>133</v>
      </c>
      <c r="E408" t="s">
        <v>98</v>
      </c>
      <c r="F408" t="s">
        <v>30</v>
      </c>
      <c r="G408" s="6">
        <v>45291</v>
      </c>
      <c r="H408" t="s">
        <v>6811</v>
      </c>
      <c r="I408" t="s">
        <v>57</v>
      </c>
      <c r="J408" t="s">
        <v>47</v>
      </c>
      <c r="K408">
        <v>80</v>
      </c>
      <c r="L408">
        <v>88.077587110475463</v>
      </c>
      <c r="M408">
        <v>1.100969838880943</v>
      </c>
      <c r="N408">
        <v>1.100969838880943</v>
      </c>
      <c r="O408" t="s">
        <v>193</v>
      </c>
      <c r="P408" t="s">
        <v>5352</v>
      </c>
      <c r="Q408" t="s">
        <v>135</v>
      </c>
      <c r="R408">
        <v>2</v>
      </c>
      <c r="S408">
        <v>2</v>
      </c>
    </row>
    <row r="409" spans="1:19" hidden="1" x14ac:dyDescent="0.3">
      <c r="A409" t="s">
        <v>5353</v>
      </c>
      <c r="B409" t="s">
        <v>125</v>
      </c>
      <c r="C409" t="s">
        <v>6681</v>
      </c>
      <c r="D409" t="s">
        <v>133</v>
      </c>
      <c r="E409" t="s">
        <v>98</v>
      </c>
      <c r="F409" t="s">
        <v>30</v>
      </c>
      <c r="G409" s="6">
        <v>45291</v>
      </c>
      <c r="H409">
        <v>2023</v>
      </c>
      <c r="I409" t="s">
        <v>57</v>
      </c>
      <c r="J409" t="s">
        <v>47</v>
      </c>
      <c r="K409">
        <v>80</v>
      </c>
      <c r="L409">
        <v>89.440265168623696</v>
      </c>
      <c r="M409">
        <v>1.1180033146077959</v>
      </c>
      <c r="N409">
        <v>1.1180033146077959</v>
      </c>
      <c r="O409" t="s">
        <v>31</v>
      </c>
      <c r="P409" t="s">
        <v>31</v>
      </c>
      <c r="Q409" t="s">
        <v>136</v>
      </c>
      <c r="R409">
        <v>0</v>
      </c>
      <c r="S409">
        <v>0</v>
      </c>
    </row>
    <row r="410" spans="1:19" hidden="1" x14ac:dyDescent="0.3">
      <c r="A410" t="s">
        <v>137</v>
      </c>
      <c r="B410" t="s">
        <v>125</v>
      </c>
      <c r="D410" t="s">
        <v>138</v>
      </c>
      <c r="E410" t="s">
        <v>98</v>
      </c>
      <c r="F410" t="s">
        <v>30</v>
      </c>
      <c r="G410" s="6">
        <v>45291</v>
      </c>
      <c r="H410" t="s">
        <v>6811</v>
      </c>
      <c r="I410" t="s">
        <v>57</v>
      </c>
      <c r="J410" t="s">
        <v>47</v>
      </c>
      <c r="K410">
        <v>80</v>
      </c>
      <c r="L410">
        <v>96.689723320158109</v>
      </c>
      <c r="M410">
        <v>1.2086215415019761</v>
      </c>
      <c r="N410">
        <v>1.2086215415019761</v>
      </c>
      <c r="O410" t="s">
        <v>193</v>
      </c>
      <c r="P410" t="s">
        <v>5354</v>
      </c>
      <c r="Q410" t="s">
        <v>140</v>
      </c>
      <c r="R410">
        <v>2</v>
      </c>
      <c r="S410">
        <v>2</v>
      </c>
    </row>
    <row r="411" spans="1:19" hidden="1" x14ac:dyDescent="0.3">
      <c r="A411" t="s">
        <v>141</v>
      </c>
      <c r="B411" t="s">
        <v>125</v>
      </c>
      <c r="D411" t="s">
        <v>142</v>
      </c>
      <c r="E411" t="s">
        <v>98</v>
      </c>
      <c r="F411" t="s">
        <v>30</v>
      </c>
      <c r="G411" s="6">
        <v>45291</v>
      </c>
      <c r="H411" t="s">
        <v>6811</v>
      </c>
      <c r="I411" t="s">
        <v>57</v>
      </c>
      <c r="J411" t="s">
        <v>47</v>
      </c>
      <c r="K411">
        <v>80</v>
      </c>
      <c r="L411">
        <v>84.559884559884608</v>
      </c>
      <c r="M411">
        <v>1.056998556998558</v>
      </c>
      <c r="N411">
        <v>1.056998556998558</v>
      </c>
      <c r="O411" t="s">
        <v>193</v>
      </c>
      <c r="P411" t="s">
        <v>5355</v>
      </c>
      <c r="Q411" t="s">
        <v>144</v>
      </c>
      <c r="R411">
        <v>2</v>
      </c>
      <c r="S411">
        <v>2</v>
      </c>
    </row>
    <row r="412" spans="1:19" hidden="1" x14ac:dyDescent="0.3">
      <c r="A412" t="s">
        <v>145</v>
      </c>
      <c r="B412" t="s">
        <v>125</v>
      </c>
      <c r="D412" t="s">
        <v>146</v>
      </c>
      <c r="E412" t="s">
        <v>98</v>
      </c>
      <c r="F412" t="s">
        <v>30</v>
      </c>
      <c r="G412" s="6">
        <v>45291</v>
      </c>
      <c r="H412" t="s">
        <v>6811</v>
      </c>
      <c r="I412" t="s">
        <v>57</v>
      </c>
      <c r="J412" t="s">
        <v>47</v>
      </c>
      <c r="K412">
        <v>80</v>
      </c>
      <c r="L412">
        <v>86</v>
      </c>
      <c r="M412">
        <v>1.075</v>
      </c>
      <c r="N412">
        <v>1.075</v>
      </c>
      <c r="O412" t="s">
        <v>193</v>
      </c>
      <c r="P412" t="s">
        <v>4410</v>
      </c>
      <c r="Q412" t="s">
        <v>148</v>
      </c>
      <c r="R412">
        <v>2</v>
      </c>
      <c r="S412">
        <v>2</v>
      </c>
    </row>
    <row r="413" spans="1:19" hidden="1" x14ac:dyDescent="0.3">
      <c r="A413" t="s">
        <v>149</v>
      </c>
      <c r="B413" t="s">
        <v>125</v>
      </c>
      <c r="D413" t="s">
        <v>150</v>
      </c>
      <c r="E413" t="s">
        <v>98</v>
      </c>
      <c r="F413" t="s">
        <v>30</v>
      </c>
      <c r="G413" s="6">
        <v>45291</v>
      </c>
      <c r="H413" t="s">
        <v>6811</v>
      </c>
      <c r="I413" t="s">
        <v>57</v>
      </c>
      <c r="J413" t="s">
        <v>47</v>
      </c>
      <c r="K413">
        <v>80</v>
      </c>
      <c r="L413">
        <v>76.418533802500093</v>
      </c>
      <c r="M413">
        <v>0.95523167253125119</v>
      </c>
      <c r="N413">
        <v>0.95523167253125119</v>
      </c>
      <c r="O413" t="s">
        <v>193</v>
      </c>
      <c r="P413" t="s">
        <v>5356</v>
      </c>
      <c r="Q413" t="s">
        <v>152</v>
      </c>
      <c r="R413">
        <v>2</v>
      </c>
      <c r="S413">
        <v>2</v>
      </c>
    </row>
    <row r="414" spans="1:19" hidden="1" x14ac:dyDescent="0.3">
      <c r="A414" t="s">
        <v>153</v>
      </c>
      <c r="B414" t="s">
        <v>125</v>
      </c>
      <c r="D414" t="s">
        <v>154</v>
      </c>
      <c r="E414" t="s">
        <v>98</v>
      </c>
      <c r="F414" t="s">
        <v>30</v>
      </c>
      <c r="G414" s="6">
        <v>45291</v>
      </c>
      <c r="H414" t="s">
        <v>6811</v>
      </c>
      <c r="I414" t="s">
        <v>57</v>
      </c>
      <c r="J414" t="s">
        <v>47</v>
      </c>
      <c r="K414">
        <v>80</v>
      </c>
      <c r="L414">
        <v>82.904040404040401</v>
      </c>
      <c r="M414">
        <v>1.036300505050505</v>
      </c>
      <c r="N414">
        <v>1.036300505050505</v>
      </c>
      <c r="O414" t="s">
        <v>193</v>
      </c>
      <c r="P414" t="s">
        <v>5357</v>
      </c>
      <c r="Q414" t="s">
        <v>156</v>
      </c>
      <c r="R414">
        <v>2</v>
      </c>
      <c r="S414">
        <v>2</v>
      </c>
    </row>
    <row r="415" spans="1:19" hidden="1" x14ac:dyDescent="0.3">
      <c r="A415" t="s">
        <v>157</v>
      </c>
      <c r="B415" t="s">
        <v>125</v>
      </c>
      <c r="D415" t="s">
        <v>158</v>
      </c>
      <c r="E415" t="s">
        <v>98</v>
      </c>
      <c r="F415" t="s">
        <v>30</v>
      </c>
      <c r="G415" s="6">
        <v>45291</v>
      </c>
      <c r="H415" t="s">
        <v>6811</v>
      </c>
      <c r="I415" t="s">
        <v>57</v>
      </c>
      <c r="J415" t="s">
        <v>47</v>
      </c>
      <c r="K415">
        <v>80</v>
      </c>
      <c r="L415">
        <v>88.508473249579296</v>
      </c>
      <c r="M415">
        <v>1.1063559156197409</v>
      </c>
      <c r="N415">
        <v>1.1063559156197409</v>
      </c>
      <c r="O415" t="s">
        <v>193</v>
      </c>
      <c r="P415" t="s">
        <v>5358</v>
      </c>
      <c r="Q415" t="s">
        <v>159</v>
      </c>
      <c r="R415">
        <v>2</v>
      </c>
      <c r="S415">
        <v>2</v>
      </c>
    </row>
    <row r="416" spans="1:19" hidden="1" x14ac:dyDescent="0.3">
      <c r="A416" t="s">
        <v>157</v>
      </c>
      <c r="B416" t="s">
        <v>125</v>
      </c>
      <c r="C416" t="s">
        <v>6681</v>
      </c>
      <c r="D416" t="s">
        <v>97</v>
      </c>
      <c r="E416" t="s">
        <v>98</v>
      </c>
      <c r="F416" t="s">
        <v>30</v>
      </c>
      <c r="G416" s="6">
        <v>45657</v>
      </c>
      <c r="H416">
        <v>2023</v>
      </c>
      <c r="I416" t="s">
        <v>57</v>
      </c>
      <c r="J416" t="s">
        <v>47</v>
      </c>
      <c r="K416">
        <v>80</v>
      </c>
      <c r="L416">
        <v>90.789405483854196</v>
      </c>
      <c r="M416">
        <v>1.1348675685481771</v>
      </c>
      <c r="N416">
        <v>1.1348675685481771</v>
      </c>
      <c r="O416" t="s">
        <v>118</v>
      </c>
      <c r="P416" t="s">
        <v>109</v>
      </c>
      <c r="Q416" t="s">
        <v>6824</v>
      </c>
      <c r="R416">
        <v>1</v>
      </c>
      <c r="S416">
        <v>1</v>
      </c>
    </row>
    <row r="417" spans="1:19" hidden="1" x14ac:dyDescent="0.3">
      <c r="A417" t="s">
        <v>160</v>
      </c>
      <c r="B417" t="s">
        <v>125</v>
      </c>
      <c r="D417" t="s">
        <v>161</v>
      </c>
      <c r="E417" t="s">
        <v>98</v>
      </c>
      <c r="F417" t="s">
        <v>30</v>
      </c>
      <c r="G417" s="6">
        <v>45291</v>
      </c>
      <c r="H417" t="s">
        <v>6811</v>
      </c>
      <c r="I417" t="s">
        <v>57</v>
      </c>
      <c r="J417" t="s">
        <v>47</v>
      </c>
      <c r="K417">
        <v>80</v>
      </c>
      <c r="L417">
        <v>94.811073336571098</v>
      </c>
      <c r="M417">
        <v>1.185138416707139</v>
      </c>
      <c r="N417">
        <v>1.185138416707139</v>
      </c>
      <c r="O417" t="s">
        <v>193</v>
      </c>
      <c r="P417" t="s">
        <v>5359</v>
      </c>
      <c r="Q417" t="s">
        <v>163</v>
      </c>
      <c r="R417">
        <v>2</v>
      </c>
      <c r="S417">
        <v>2</v>
      </c>
    </row>
    <row r="418" spans="1:19" hidden="1" x14ac:dyDescent="0.3">
      <c r="A418" t="s">
        <v>164</v>
      </c>
      <c r="B418" t="s">
        <v>125</v>
      </c>
      <c r="D418" t="s">
        <v>165</v>
      </c>
      <c r="E418" t="s">
        <v>98</v>
      </c>
      <c r="F418" t="s">
        <v>30</v>
      </c>
      <c r="G418" s="6">
        <v>45291</v>
      </c>
      <c r="H418" t="s">
        <v>6811</v>
      </c>
      <c r="I418" t="s">
        <v>57</v>
      </c>
      <c r="J418" t="s">
        <v>47</v>
      </c>
      <c r="K418">
        <v>80</v>
      </c>
      <c r="L418">
        <v>87.392767703668298</v>
      </c>
      <c r="M418">
        <v>1.092409596295854</v>
      </c>
      <c r="N418">
        <v>1.092409596295854</v>
      </c>
      <c r="O418" t="s">
        <v>193</v>
      </c>
      <c r="P418" t="s">
        <v>5360</v>
      </c>
      <c r="Q418" t="s">
        <v>167</v>
      </c>
      <c r="R418">
        <v>2</v>
      </c>
      <c r="S418">
        <v>2</v>
      </c>
    </row>
    <row r="419" spans="1:19" hidden="1" x14ac:dyDescent="0.3">
      <c r="A419" t="s">
        <v>168</v>
      </c>
      <c r="B419" t="s">
        <v>125</v>
      </c>
      <c r="D419" t="s">
        <v>169</v>
      </c>
      <c r="E419" t="s">
        <v>98</v>
      </c>
      <c r="F419" t="s">
        <v>30</v>
      </c>
      <c r="G419" s="6">
        <v>44926</v>
      </c>
      <c r="H419" t="s">
        <v>6819</v>
      </c>
      <c r="I419" t="s">
        <v>57</v>
      </c>
      <c r="J419" t="s">
        <v>90</v>
      </c>
      <c r="K419">
        <v>80</v>
      </c>
      <c r="L419">
        <v>68</v>
      </c>
      <c r="M419">
        <v>0.85</v>
      </c>
      <c r="N419">
        <v>0.85</v>
      </c>
      <c r="O419" t="s">
        <v>193</v>
      </c>
      <c r="P419" t="s">
        <v>5361</v>
      </c>
      <c r="Q419" t="s">
        <v>170</v>
      </c>
      <c r="R419">
        <v>2</v>
      </c>
      <c r="S419">
        <v>2</v>
      </c>
    </row>
    <row r="420" spans="1:19" hidden="1" x14ac:dyDescent="0.3">
      <c r="A420" t="s">
        <v>168</v>
      </c>
      <c r="B420" t="s">
        <v>125</v>
      </c>
      <c r="D420" t="s">
        <v>169</v>
      </c>
      <c r="E420" t="s">
        <v>98</v>
      </c>
      <c r="F420" t="s">
        <v>30</v>
      </c>
      <c r="G420" s="6">
        <v>45291</v>
      </c>
      <c r="H420" t="s">
        <v>6811</v>
      </c>
      <c r="I420" t="s">
        <v>57</v>
      </c>
      <c r="J420" t="s">
        <v>47</v>
      </c>
      <c r="K420">
        <v>80</v>
      </c>
      <c r="L420">
        <v>90.977702771558697</v>
      </c>
      <c r="M420">
        <v>1.137221284644484</v>
      </c>
      <c r="N420">
        <v>1.137221284644484</v>
      </c>
      <c r="O420" t="s">
        <v>193</v>
      </c>
      <c r="P420" t="s">
        <v>5362</v>
      </c>
      <c r="Q420" t="s">
        <v>172</v>
      </c>
      <c r="R420">
        <v>2</v>
      </c>
      <c r="S420">
        <v>2</v>
      </c>
    </row>
    <row r="421" spans="1:19" hidden="1" x14ac:dyDescent="0.3">
      <c r="A421" t="s">
        <v>173</v>
      </c>
      <c r="B421" t="s">
        <v>125</v>
      </c>
      <c r="D421" t="s">
        <v>174</v>
      </c>
      <c r="E421" t="s">
        <v>98</v>
      </c>
      <c r="F421" t="s">
        <v>30</v>
      </c>
      <c r="G421" s="6">
        <v>45291</v>
      </c>
      <c r="H421" t="s">
        <v>6811</v>
      </c>
      <c r="I421" t="s">
        <v>57</v>
      </c>
      <c r="J421" t="s">
        <v>47</v>
      </c>
      <c r="K421">
        <v>80</v>
      </c>
      <c r="L421">
        <v>81.991406812802296</v>
      </c>
      <c r="M421">
        <v>1.024892585160029</v>
      </c>
      <c r="N421">
        <v>1.024892585160029</v>
      </c>
      <c r="O421" t="s">
        <v>193</v>
      </c>
      <c r="P421" t="s">
        <v>5363</v>
      </c>
      <c r="Q421" t="s">
        <v>176</v>
      </c>
      <c r="R421">
        <v>2</v>
      </c>
      <c r="S421">
        <v>2</v>
      </c>
    </row>
    <row r="422" spans="1:19" hidden="1" x14ac:dyDescent="0.3">
      <c r="A422" t="s">
        <v>177</v>
      </c>
      <c r="B422" t="s">
        <v>125</v>
      </c>
      <c r="D422" t="s">
        <v>178</v>
      </c>
      <c r="E422" t="s">
        <v>98</v>
      </c>
      <c r="F422" t="s">
        <v>30</v>
      </c>
      <c r="G422" s="6">
        <v>45291</v>
      </c>
      <c r="H422" t="s">
        <v>6811</v>
      </c>
      <c r="I422" t="s">
        <v>57</v>
      </c>
      <c r="J422" t="s">
        <v>47</v>
      </c>
      <c r="K422">
        <v>80</v>
      </c>
      <c r="L422">
        <v>81.322057504242295</v>
      </c>
      <c r="M422">
        <v>1.016525718803029</v>
      </c>
      <c r="N422">
        <v>1.016525718803029</v>
      </c>
      <c r="O422" t="s">
        <v>193</v>
      </c>
      <c r="P422" t="s">
        <v>5364</v>
      </c>
      <c r="Q422" t="s">
        <v>180</v>
      </c>
      <c r="R422">
        <v>2</v>
      </c>
      <c r="S422">
        <v>2</v>
      </c>
    </row>
    <row r="423" spans="1:19" hidden="1" x14ac:dyDescent="0.3">
      <c r="A423" t="s">
        <v>181</v>
      </c>
      <c r="B423" t="s">
        <v>125</v>
      </c>
      <c r="D423" t="s">
        <v>184</v>
      </c>
      <c r="E423" t="s">
        <v>98</v>
      </c>
      <c r="F423" t="s">
        <v>30</v>
      </c>
      <c r="G423" s="6">
        <v>45291</v>
      </c>
      <c r="H423" t="s">
        <v>6811</v>
      </c>
      <c r="I423" t="s">
        <v>57</v>
      </c>
      <c r="J423" t="s">
        <v>47</v>
      </c>
      <c r="K423">
        <v>80</v>
      </c>
      <c r="L423">
        <v>77.756756756756801</v>
      </c>
      <c r="M423">
        <v>0.97195945945946005</v>
      </c>
      <c r="N423">
        <v>0.97195945945946005</v>
      </c>
      <c r="O423" t="s">
        <v>193</v>
      </c>
      <c r="P423" t="s">
        <v>5365</v>
      </c>
      <c r="Q423" t="s">
        <v>185</v>
      </c>
      <c r="R423">
        <v>2</v>
      </c>
      <c r="S423">
        <v>2</v>
      </c>
    </row>
    <row r="424" spans="1:19" hidden="1" x14ac:dyDescent="0.3">
      <c r="A424" t="s">
        <v>186</v>
      </c>
      <c r="B424" t="s">
        <v>125</v>
      </c>
      <c r="D424" t="s">
        <v>187</v>
      </c>
      <c r="E424" t="s">
        <v>98</v>
      </c>
      <c r="F424" t="s">
        <v>30</v>
      </c>
      <c r="G424" s="6">
        <v>45291</v>
      </c>
      <c r="H424" t="s">
        <v>6811</v>
      </c>
      <c r="I424" t="s">
        <v>57</v>
      </c>
      <c r="J424" t="s">
        <v>47</v>
      </c>
      <c r="K424">
        <v>80</v>
      </c>
      <c r="L424">
        <v>94.9579831932773</v>
      </c>
      <c r="M424">
        <v>1.1869747899159659</v>
      </c>
      <c r="N424">
        <v>1.1869747899159659</v>
      </c>
      <c r="O424" t="s">
        <v>193</v>
      </c>
      <c r="P424" t="s">
        <v>5366</v>
      </c>
      <c r="Q424" t="s">
        <v>189</v>
      </c>
      <c r="R424">
        <v>2</v>
      </c>
      <c r="S424">
        <v>2</v>
      </c>
    </row>
    <row r="425" spans="1:19" hidden="1" x14ac:dyDescent="0.3">
      <c r="A425" t="s">
        <v>190</v>
      </c>
      <c r="B425" t="s">
        <v>125</v>
      </c>
      <c r="C425" t="s">
        <v>6622</v>
      </c>
      <c r="D425" t="s">
        <v>165</v>
      </c>
      <c r="E425" t="s">
        <v>98</v>
      </c>
      <c r="F425" t="s">
        <v>30</v>
      </c>
      <c r="G425" s="6">
        <v>45657</v>
      </c>
      <c r="H425" t="s">
        <v>6816</v>
      </c>
      <c r="I425" t="s">
        <v>57</v>
      </c>
      <c r="J425" t="s">
        <v>78</v>
      </c>
      <c r="M425">
        <v>0</v>
      </c>
      <c r="N425">
        <v>0</v>
      </c>
      <c r="Q425" t="s">
        <v>191</v>
      </c>
      <c r="R425">
        <v>2</v>
      </c>
      <c r="S425">
        <v>2</v>
      </c>
    </row>
    <row r="426" spans="1:19" hidden="1" x14ac:dyDescent="0.3">
      <c r="A426" t="s">
        <v>190</v>
      </c>
      <c r="B426" t="s">
        <v>125</v>
      </c>
      <c r="C426" t="s">
        <v>6622</v>
      </c>
      <c r="D426" t="s">
        <v>165</v>
      </c>
      <c r="E426" t="s">
        <v>98</v>
      </c>
      <c r="F426" t="s">
        <v>30</v>
      </c>
      <c r="G426" s="6">
        <v>46022</v>
      </c>
      <c r="H426" t="s">
        <v>6823</v>
      </c>
      <c r="I426" t="s">
        <v>57</v>
      </c>
      <c r="J426" t="s">
        <v>103</v>
      </c>
      <c r="K426">
        <v>80</v>
      </c>
      <c r="L426">
        <v>94</v>
      </c>
      <c r="M426">
        <v>1.175</v>
      </c>
      <c r="N426">
        <v>1.175</v>
      </c>
      <c r="O426" t="s">
        <v>193</v>
      </c>
      <c r="P426" t="s">
        <v>194</v>
      </c>
      <c r="Q426" t="s">
        <v>5367</v>
      </c>
      <c r="R426">
        <v>2</v>
      </c>
      <c r="S426">
        <v>2</v>
      </c>
    </row>
    <row r="427" spans="1:19" hidden="1" x14ac:dyDescent="0.3">
      <c r="A427" t="s">
        <v>196</v>
      </c>
      <c r="B427" t="s">
        <v>197</v>
      </c>
      <c r="D427" t="s">
        <v>184</v>
      </c>
      <c r="E427" t="s">
        <v>29</v>
      </c>
      <c r="F427" t="s">
        <v>30</v>
      </c>
      <c r="G427" s="6">
        <v>45291</v>
      </c>
      <c r="H427" t="s">
        <v>6811</v>
      </c>
      <c r="I427" t="s">
        <v>57</v>
      </c>
      <c r="J427" t="s">
        <v>47</v>
      </c>
      <c r="K427">
        <v>73.5</v>
      </c>
      <c r="L427">
        <v>61.75</v>
      </c>
      <c r="M427">
        <v>0.84013605442176875</v>
      </c>
      <c r="N427">
        <v>0.84013605442176875</v>
      </c>
      <c r="O427" t="s">
        <v>6825</v>
      </c>
      <c r="P427" t="s">
        <v>6826</v>
      </c>
      <c r="Q427" t="s">
        <v>206</v>
      </c>
      <c r="R427">
        <v>2</v>
      </c>
      <c r="S427">
        <v>2</v>
      </c>
    </row>
    <row r="428" spans="1:19" hidden="1" x14ac:dyDescent="0.3">
      <c r="A428" t="s">
        <v>196</v>
      </c>
      <c r="B428" t="s">
        <v>197</v>
      </c>
      <c r="D428" t="s">
        <v>184</v>
      </c>
      <c r="E428" t="s">
        <v>29</v>
      </c>
      <c r="F428" t="s">
        <v>30</v>
      </c>
      <c r="G428" s="6">
        <v>45657</v>
      </c>
      <c r="H428" t="s">
        <v>6816</v>
      </c>
      <c r="I428" t="s">
        <v>57</v>
      </c>
      <c r="J428" t="s">
        <v>78</v>
      </c>
      <c r="K428">
        <v>72.5</v>
      </c>
      <c r="L428">
        <v>64.5</v>
      </c>
      <c r="M428">
        <v>0.8896551724137931</v>
      </c>
      <c r="N428">
        <v>0.8896551724137931</v>
      </c>
      <c r="O428" t="s">
        <v>6444</v>
      </c>
      <c r="P428" t="s">
        <v>6827</v>
      </c>
      <c r="Q428" t="s">
        <v>219</v>
      </c>
      <c r="R428">
        <v>2</v>
      </c>
      <c r="S428">
        <v>2</v>
      </c>
    </row>
    <row r="429" spans="1:19" hidden="1" x14ac:dyDescent="0.3">
      <c r="A429" t="s">
        <v>220</v>
      </c>
      <c r="B429" t="s">
        <v>221</v>
      </c>
      <c r="D429" t="s">
        <v>184</v>
      </c>
      <c r="E429" t="s">
        <v>222</v>
      </c>
      <c r="F429" t="s">
        <v>30</v>
      </c>
      <c r="G429" s="6">
        <v>45657</v>
      </c>
      <c r="H429" t="s">
        <v>6816</v>
      </c>
      <c r="I429" t="s">
        <v>57</v>
      </c>
      <c r="J429" t="s">
        <v>78</v>
      </c>
      <c r="K429">
        <v>5</v>
      </c>
      <c r="L429">
        <v>3</v>
      </c>
      <c r="M429">
        <v>0.6</v>
      </c>
      <c r="N429">
        <v>0.6</v>
      </c>
      <c r="O429" t="s">
        <v>823</v>
      </c>
      <c r="P429" t="s">
        <v>1849</v>
      </c>
      <c r="Q429" t="s">
        <v>6828</v>
      </c>
      <c r="R429">
        <v>2</v>
      </c>
      <c r="S429">
        <v>2</v>
      </c>
    </row>
    <row r="430" spans="1:19" hidden="1" x14ac:dyDescent="0.3">
      <c r="A430" t="s">
        <v>220</v>
      </c>
      <c r="B430" t="s">
        <v>221</v>
      </c>
      <c r="C430" t="s">
        <v>6622</v>
      </c>
      <c r="D430" t="s">
        <v>184</v>
      </c>
      <c r="E430" t="s">
        <v>222</v>
      </c>
      <c r="F430" t="s">
        <v>30</v>
      </c>
      <c r="G430" s="6">
        <v>46023</v>
      </c>
      <c r="H430" t="s">
        <v>6623</v>
      </c>
      <c r="I430" t="s">
        <v>6623</v>
      </c>
      <c r="J430" t="s">
        <v>6623</v>
      </c>
      <c r="K430">
        <v>5</v>
      </c>
      <c r="L430">
        <v>3</v>
      </c>
      <c r="M430">
        <v>0.6</v>
      </c>
      <c r="N430">
        <v>0.6</v>
      </c>
      <c r="O430" t="s">
        <v>118</v>
      </c>
      <c r="P430" t="s">
        <v>118</v>
      </c>
      <c r="Q430" t="s">
        <v>6829</v>
      </c>
      <c r="R430">
        <v>0</v>
      </c>
      <c r="S430">
        <v>0</v>
      </c>
    </row>
    <row r="431" spans="1:19" hidden="1" x14ac:dyDescent="0.3">
      <c r="A431" t="s">
        <v>224</v>
      </c>
      <c r="B431" t="s">
        <v>125</v>
      </c>
      <c r="D431" t="s">
        <v>225</v>
      </c>
      <c r="E431" t="s">
        <v>98</v>
      </c>
      <c r="F431" t="s">
        <v>30</v>
      </c>
      <c r="G431" s="6">
        <v>44926</v>
      </c>
      <c r="H431" t="s">
        <v>6819</v>
      </c>
      <c r="I431" t="s">
        <v>57</v>
      </c>
      <c r="J431" t="s">
        <v>90</v>
      </c>
      <c r="K431">
        <v>80</v>
      </c>
      <c r="L431">
        <v>73.401915113871596</v>
      </c>
      <c r="M431">
        <v>0.9175239389233949</v>
      </c>
      <c r="N431">
        <v>0.9175239389233949</v>
      </c>
      <c r="O431" t="s">
        <v>193</v>
      </c>
      <c r="P431" t="s">
        <v>5375</v>
      </c>
      <c r="Q431" t="s">
        <v>5376</v>
      </c>
      <c r="R431">
        <v>2</v>
      </c>
      <c r="S431">
        <v>2</v>
      </c>
    </row>
    <row r="432" spans="1:19" hidden="1" x14ac:dyDescent="0.3">
      <c r="A432" t="s">
        <v>224</v>
      </c>
      <c r="B432" t="s">
        <v>125</v>
      </c>
      <c r="D432" t="s">
        <v>225</v>
      </c>
      <c r="E432" t="s">
        <v>98</v>
      </c>
      <c r="F432" t="s">
        <v>30</v>
      </c>
      <c r="G432" s="6">
        <v>45291</v>
      </c>
      <c r="H432" t="s">
        <v>6811</v>
      </c>
      <c r="I432" t="s">
        <v>57</v>
      </c>
      <c r="J432" t="s">
        <v>47</v>
      </c>
      <c r="K432">
        <v>80</v>
      </c>
      <c r="L432">
        <v>78</v>
      </c>
      <c r="M432">
        <v>0.97499999999999998</v>
      </c>
      <c r="N432">
        <v>0.97499999999999998</v>
      </c>
      <c r="O432" t="s">
        <v>193</v>
      </c>
      <c r="P432" t="s">
        <v>5377</v>
      </c>
      <c r="Q432" t="s">
        <v>228</v>
      </c>
      <c r="R432">
        <v>2</v>
      </c>
      <c r="S432">
        <v>2</v>
      </c>
    </row>
    <row r="433" spans="1:19" hidden="1" x14ac:dyDescent="0.3">
      <c r="A433" t="s">
        <v>224</v>
      </c>
      <c r="B433" t="s">
        <v>125</v>
      </c>
      <c r="D433" t="s">
        <v>229</v>
      </c>
      <c r="E433" t="s">
        <v>98</v>
      </c>
      <c r="F433" t="s">
        <v>30</v>
      </c>
      <c r="G433" s="6">
        <v>45657</v>
      </c>
      <c r="H433" t="s">
        <v>6816</v>
      </c>
      <c r="I433" t="s">
        <v>57</v>
      </c>
      <c r="J433" t="s">
        <v>78</v>
      </c>
      <c r="M433">
        <v>0</v>
      </c>
      <c r="N433">
        <v>0</v>
      </c>
      <c r="Q433" t="s">
        <v>230</v>
      </c>
      <c r="R433">
        <v>2</v>
      </c>
      <c r="S433">
        <v>2</v>
      </c>
    </row>
    <row r="434" spans="1:19" hidden="1" x14ac:dyDescent="0.3">
      <c r="A434" t="s">
        <v>231</v>
      </c>
      <c r="B434" t="s">
        <v>125</v>
      </c>
      <c r="C434" t="s">
        <v>6681</v>
      </c>
      <c r="D434" t="s">
        <v>232</v>
      </c>
      <c r="E434" t="s">
        <v>233</v>
      </c>
      <c r="F434" t="s">
        <v>30</v>
      </c>
      <c r="G434" s="6">
        <v>45291</v>
      </c>
      <c r="H434" t="s">
        <v>6811</v>
      </c>
      <c r="I434" t="s">
        <v>57</v>
      </c>
      <c r="J434" t="s">
        <v>47</v>
      </c>
      <c r="K434">
        <v>80</v>
      </c>
      <c r="L434">
        <v>91.5</v>
      </c>
      <c r="M434">
        <v>1.14375</v>
      </c>
      <c r="N434">
        <v>1.14375</v>
      </c>
      <c r="O434" t="s">
        <v>193</v>
      </c>
      <c r="P434" t="s">
        <v>5980</v>
      </c>
      <c r="Q434" t="s">
        <v>237</v>
      </c>
      <c r="R434">
        <v>2</v>
      </c>
      <c r="S434">
        <v>2</v>
      </c>
    </row>
    <row r="435" spans="1:19" hidden="1" x14ac:dyDescent="0.3">
      <c r="A435" t="s">
        <v>231</v>
      </c>
      <c r="B435" t="s">
        <v>125</v>
      </c>
      <c r="C435" t="s">
        <v>6681</v>
      </c>
      <c r="D435" t="s">
        <v>232</v>
      </c>
      <c r="E435" t="s">
        <v>233</v>
      </c>
      <c r="F435" t="s">
        <v>30</v>
      </c>
      <c r="G435" s="6">
        <v>45657</v>
      </c>
      <c r="H435" t="s">
        <v>6816</v>
      </c>
      <c r="I435" t="s">
        <v>57</v>
      </c>
      <c r="J435" t="s">
        <v>78</v>
      </c>
      <c r="K435">
        <v>80</v>
      </c>
      <c r="L435">
        <v>92.674999999999997</v>
      </c>
      <c r="M435">
        <v>1.1584375</v>
      </c>
      <c r="N435">
        <v>1.1584375</v>
      </c>
      <c r="O435" t="s">
        <v>193</v>
      </c>
      <c r="P435" t="s">
        <v>6830</v>
      </c>
      <c r="Q435" t="s">
        <v>241</v>
      </c>
      <c r="R435">
        <v>2</v>
      </c>
      <c r="S435">
        <v>2</v>
      </c>
    </row>
    <row r="436" spans="1:19" hidden="1" x14ac:dyDescent="0.3">
      <c r="A436" t="s">
        <v>231</v>
      </c>
      <c r="B436" t="s">
        <v>125</v>
      </c>
      <c r="C436" t="s">
        <v>6681</v>
      </c>
      <c r="D436" t="s">
        <v>232</v>
      </c>
      <c r="E436" t="s">
        <v>233</v>
      </c>
      <c r="F436" t="s">
        <v>30</v>
      </c>
      <c r="G436" s="6">
        <v>46022</v>
      </c>
      <c r="H436" t="s">
        <v>6823</v>
      </c>
      <c r="I436" t="s">
        <v>57</v>
      </c>
      <c r="J436" t="s">
        <v>103</v>
      </c>
      <c r="K436">
        <v>80</v>
      </c>
      <c r="L436">
        <v>96.433333333333323</v>
      </c>
      <c r="M436">
        <v>1.205416666666667</v>
      </c>
      <c r="N436">
        <v>1.205416666666667</v>
      </c>
      <c r="O436" t="s">
        <v>193</v>
      </c>
      <c r="P436" t="s">
        <v>1008</v>
      </c>
      <c r="Q436" t="s">
        <v>249</v>
      </c>
      <c r="R436">
        <v>2</v>
      </c>
      <c r="S436">
        <v>2</v>
      </c>
    </row>
    <row r="437" spans="1:19" hidden="1" x14ac:dyDescent="0.3">
      <c r="A437" t="s">
        <v>250</v>
      </c>
      <c r="B437" t="s">
        <v>125</v>
      </c>
      <c r="C437" t="s">
        <v>6622</v>
      </c>
      <c r="D437" t="s">
        <v>251</v>
      </c>
      <c r="E437" t="s">
        <v>98</v>
      </c>
      <c r="F437" t="s">
        <v>30</v>
      </c>
      <c r="G437" s="6">
        <v>44926</v>
      </c>
      <c r="H437" t="s">
        <v>6819</v>
      </c>
      <c r="I437" t="s">
        <v>57</v>
      </c>
      <c r="J437" t="s">
        <v>90</v>
      </c>
      <c r="K437">
        <v>80</v>
      </c>
      <c r="L437">
        <v>74.166215125198292</v>
      </c>
      <c r="M437">
        <v>0.92707768906497867</v>
      </c>
      <c r="N437">
        <v>0.92707768906497867</v>
      </c>
      <c r="O437" t="s">
        <v>193</v>
      </c>
      <c r="P437" t="s">
        <v>5382</v>
      </c>
      <c r="Q437" t="s">
        <v>5383</v>
      </c>
      <c r="R437">
        <v>2</v>
      </c>
      <c r="S437">
        <v>2</v>
      </c>
    </row>
    <row r="438" spans="1:19" hidden="1" x14ac:dyDescent="0.3">
      <c r="A438" t="s">
        <v>250</v>
      </c>
      <c r="B438" t="s">
        <v>125</v>
      </c>
      <c r="C438" t="s">
        <v>6622</v>
      </c>
      <c r="D438" t="s">
        <v>251</v>
      </c>
      <c r="E438" t="s">
        <v>98</v>
      </c>
      <c r="F438" t="s">
        <v>30</v>
      </c>
      <c r="G438" s="6">
        <v>45291</v>
      </c>
      <c r="H438" t="s">
        <v>6811</v>
      </c>
      <c r="I438" t="s">
        <v>57</v>
      </c>
      <c r="J438" t="s">
        <v>47</v>
      </c>
      <c r="K438">
        <v>80</v>
      </c>
      <c r="L438">
        <v>89.603847284377991</v>
      </c>
      <c r="M438">
        <v>1.120048091054725</v>
      </c>
      <c r="N438">
        <v>1.120048091054725</v>
      </c>
      <c r="O438" t="s">
        <v>193</v>
      </c>
      <c r="P438" t="s">
        <v>5384</v>
      </c>
      <c r="Q438" t="s">
        <v>5385</v>
      </c>
      <c r="R438">
        <v>2</v>
      </c>
      <c r="S438">
        <v>2</v>
      </c>
    </row>
    <row r="439" spans="1:19" hidden="1" x14ac:dyDescent="0.3">
      <c r="A439" t="s">
        <v>250</v>
      </c>
      <c r="B439" t="s">
        <v>125</v>
      </c>
      <c r="C439" t="s">
        <v>6622</v>
      </c>
      <c r="D439" t="s">
        <v>251</v>
      </c>
      <c r="E439" t="s">
        <v>98</v>
      </c>
      <c r="F439" t="s">
        <v>30</v>
      </c>
      <c r="G439" s="6">
        <v>45657</v>
      </c>
      <c r="H439" t="s">
        <v>6816</v>
      </c>
      <c r="I439" t="s">
        <v>57</v>
      </c>
      <c r="J439" t="s">
        <v>78</v>
      </c>
      <c r="K439">
        <v>80</v>
      </c>
      <c r="L439">
        <v>90</v>
      </c>
      <c r="M439">
        <v>1.125</v>
      </c>
      <c r="N439">
        <v>1.125</v>
      </c>
      <c r="O439" t="s">
        <v>193</v>
      </c>
      <c r="P439" t="s">
        <v>256</v>
      </c>
      <c r="Q439" t="s">
        <v>5386</v>
      </c>
      <c r="R439">
        <v>2</v>
      </c>
      <c r="S439">
        <v>2</v>
      </c>
    </row>
    <row r="440" spans="1:19" hidden="1" x14ac:dyDescent="0.3">
      <c r="A440" t="s">
        <v>250</v>
      </c>
      <c r="B440" t="s">
        <v>125</v>
      </c>
      <c r="C440" t="s">
        <v>6622</v>
      </c>
      <c r="D440" t="s">
        <v>251</v>
      </c>
      <c r="E440" t="s">
        <v>98</v>
      </c>
      <c r="F440" t="s">
        <v>30</v>
      </c>
      <c r="G440" s="6">
        <v>46022</v>
      </c>
      <c r="H440" t="s">
        <v>6823</v>
      </c>
      <c r="I440" t="s">
        <v>57</v>
      </c>
      <c r="J440" t="s">
        <v>103</v>
      </c>
      <c r="K440">
        <v>80</v>
      </c>
      <c r="L440">
        <v>90</v>
      </c>
      <c r="M440">
        <v>1.125</v>
      </c>
      <c r="N440">
        <v>1.125</v>
      </c>
      <c r="O440" t="s">
        <v>193</v>
      </c>
      <c r="P440" t="s">
        <v>256</v>
      </c>
      <c r="Q440" t="s">
        <v>5387</v>
      </c>
      <c r="R440">
        <v>2</v>
      </c>
      <c r="S440">
        <v>2</v>
      </c>
    </row>
    <row r="441" spans="1:19" hidden="1" x14ac:dyDescent="0.3">
      <c r="A441" t="s">
        <v>258</v>
      </c>
      <c r="B441" t="s">
        <v>125</v>
      </c>
      <c r="C441" t="s">
        <v>6681</v>
      </c>
      <c r="D441" t="s">
        <v>259</v>
      </c>
      <c r="E441" t="s">
        <v>98</v>
      </c>
      <c r="F441" t="s">
        <v>30</v>
      </c>
      <c r="G441" s="6">
        <v>44926</v>
      </c>
      <c r="H441" t="s">
        <v>6819</v>
      </c>
      <c r="I441" t="s">
        <v>57</v>
      </c>
      <c r="J441" t="s">
        <v>90</v>
      </c>
      <c r="K441">
        <v>80</v>
      </c>
      <c r="L441">
        <v>76.616718813056906</v>
      </c>
      <c r="M441">
        <v>0.95770898516321135</v>
      </c>
      <c r="N441">
        <v>0.95770898516321135</v>
      </c>
      <c r="O441" t="s">
        <v>193</v>
      </c>
      <c r="P441" t="s">
        <v>5388</v>
      </c>
      <c r="Q441" t="s">
        <v>5389</v>
      </c>
      <c r="R441">
        <v>2</v>
      </c>
      <c r="S441">
        <v>2</v>
      </c>
    </row>
    <row r="442" spans="1:19" hidden="1" x14ac:dyDescent="0.3">
      <c r="A442" t="s">
        <v>258</v>
      </c>
      <c r="B442" t="s">
        <v>125</v>
      </c>
      <c r="C442" t="s">
        <v>6681</v>
      </c>
      <c r="D442" t="s">
        <v>259</v>
      </c>
      <c r="E442" t="s">
        <v>98</v>
      </c>
      <c r="F442" t="s">
        <v>30</v>
      </c>
      <c r="G442" s="6">
        <v>45291</v>
      </c>
      <c r="H442" t="s">
        <v>6811</v>
      </c>
      <c r="I442" t="s">
        <v>57</v>
      </c>
      <c r="J442" t="s">
        <v>47</v>
      </c>
      <c r="K442">
        <v>80</v>
      </c>
      <c r="L442">
        <v>88.101513502306503</v>
      </c>
      <c r="M442">
        <v>1.1012689187788309</v>
      </c>
      <c r="N442">
        <v>1.1012689187788309</v>
      </c>
      <c r="O442" t="s">
        <v>193</v>
      </c>
      <c r="P442" t="s">
        <v>5390</v>
      </c>
      <c r="Q442" t="s">
        <v>5391</v>
      </c>
      <c r="R442">
        <v>2</v>
      </c>
      <c r="S442">
        <v>2</v>
      </c>
    </row>
    <row r="443" spans="1:19" hidden="1" x14ac:dyDescent="0.3">
      <c r="A443" t="s">
        <v>258</v>
      </c>
      <c r="B443" t="s">
        <v>125</v>
      </c>
      <c r="C443" t="s">
        <v>6681</v>
      </c>
      <c r="D443" t="s">
        <v>262</v>
      </c>
      <c r="E443" t="s">
        <v>98</v>
      </c>
      <c r="F443" t="s">
        <v>30</v>
      </c>
      <c r="G443" s="6">
        <v>45657</v>
      </c>
      <c r="H443" t="s">
        <v>6816</v>
      </c>
      <c r="I443" t="s">
        <v>57</v>
      </c>
      <c r="J443" t="s">
        <v>78</v>
      </c>
      <c r="K443">
        <v>80</v>
      </c>
      <c r="L443">
        <v>88</v>
      </c>
      <c r="M443">
        <v>1.1000000000000001</v>
      </c>
      <c r="N443">
        <v>1.1000000000000001</v>
      </c>
      <c r="O443" t="s">
        <v>193</v>
      </c>
      <c r="P443" t="s">
        <v>4404</v>
      </c>
      <c r="Q443" t="s">
        <v>5392</v>
      </c>
      <c r="R443">
        <v>2</v>
      </c>
      <c r="S443">
        <v>2</v>
      </c>
    </row>
    <row r="444" spans="1:19" hidden="1" x14ac:dyDescent="0.3">
      <c r="A444" t="s">
        <v>258</v>
      </c>
      <c r="B444" t="s">
        <v>125</v>
      </c>
      <c r="C444" t="s">
        <v>6681</v>
      </c>
      <c r="D444" t="s">
        <v>262</v>
      </c>
      <c r="E444" t="s">
        <v>98</v>
      </c>
      <c r="F444" t="s">
        <v>30</v>
      </c>
      <c r="G444" s="6">
        <v>46022</v>
      </c>
      <c r="H444" t="s">
        <v>6823</v>
      </c>
      <c r="I444" t="s">
        <v>57</v>
      </c>
      <c r="J444" t="s">
        <v>103</v>
      </c>
      <c r="K444">
        <v>80</v>
      </c>
      <c r="L444">
        <v>94</v>
      </c>
      <c r="M444">
        <v>1.175</v>
      </c>
      <c r="N444">
        <v>1.175</v>
      </c>
      <c r="O444" t="s">
        <v>193</v>
      </c>
      <c r="P444" t="s">
        <v>194</v>
      </c>
      <c r="Q444" t="s">
        <v>5393</v>
      </c>
      <c r="R444">
        <v>2</v>
      </c>
      <c r="S444">
        <v>2</v>
      </c>
    </row>
    <row r="445" spans="1:19" hidden="1" x14ac:dyDescent="0.3">
      <c r="A445" t="s">
        <v>265</v>
      </c>
      <c r="B445" t="s">
        <v>125</v>
      </c>
      <c r="C445" t="s">
        <v>6622</v>
      </c>
      <c r="D445" t="s">
        <v>266</v>
      </c>
      <c r="E445" t="s">
        <v>98</v>
      </c>
      <c r="F445" t="s">
        <v>30</v>
      </c>
      <c r="G445" s="6">
        <v>44926</v>
      </c>
      <c r="H445" t="s">
        <v>6819</v>
      </c>
      <c r="I445" t="s">
        <v>57</v>
      </c>
      <c r="J445" t="s">
        <v>90</v>
      </c>
      <c r="K445">
        <v>80</v>
      </c>
      <c r="L445">
        <v>79.427055947965997</v>
      </c>
      <c r="M445">
        <v>0.99283819934957496</v>
      </c>
      <c r="N445">
        <v>0.99283819934957496</v>
      </c>
      <c r="O445" t="s">
        <v>193</v>
      </c>
      <c r="P445" t="s">
        <v>5394</v>
      </c>
      <c r="Q445" t="s">
        <v>5395</v>
      </c>
      <c r="R445">
        <v>2</v>
      </c>
      <c r="S445">
        <v>2</v>
      </c>
    </row>
    <row r="446" spans="1:19" hidden="1" x14ac:dyDescent="0.3">
      <c r="A446" t="s">
        <v>265</v>
      </c>
      <c r="B446" t="s">
        <v>125</v>
      </c>
      <c r="C446" t="s">
        <v>6622</v>
      </c>
      <c r="D446" t="s">
        <v>266</v>
      </c>
      <c r="E446" t="s">
        <v>98</v>
      </c>
      <c r="F446" t="s">
        <v>30</v>
      </c>
      <c r="G446" s="6">
        <v>45291</v>
      </c>
      <c r="H446" t="s">
        <v>6811</v>
      </c>
      <c r="I446" t="s">
        <v>57</v>
      </c>
      <c r="J446" t="s">
        <v>47</v>
      </c>
      <c r="K446">
        <v>80</v>
      </c>
      <c r="L446">
        <v>86.209232514990404</v>
      </c>
      <c r="M446">
        <v>1.07761540643738</v>
      </c>
      <c r="N446">
        <v>1.07761540643738</v>
      </c>
      <c r="O446" t="s">
        <v>193</v>
      </c>
      <c r="P446" t="s">
        <v>5396</v>
      </c>
      <c r="Q446" t="s">
        <v>5397</v>
      </c>
      <c r="R446">
        <v>2</v>
      </c>
      <c r="S446">
        <v>2</v>
      </c>
    </row>
    <row r="447" spans="1:19" hidden="1" x14ac:dyDescent="0.3">
      <c r="A447" t="s">
        <v>265</v>
      </c>
      <c r="B447" t="s">
        <v>125</v>
      </c>
      <c r="C447" t="s">
        <v>6622</v>
      </c>
      <c r="D447" t="s">
        <v>266</v>
      </c>
      <c r="E447" t="s">
        <v>98</v>
      </c>
      <c r="F447" t="s">
        <v>30</v>
      </c>
      <c r="G447" s="6">
        <v>45657</v>
      </c>
      <c r="H447" t="s">
        <v>6816</v>
      </c>
      <c r="I447" t="s">
        <v>57</v>
      </c>
      <c r="J447" t="s">
        <v>78</v>
      </c>
      <c r="K447">
        <v>80</v>
      </c>
      <c r="L447">
        <v>81</v>
      </c>
      <c r="M447">
        <v>1.0125</v>
      </c>
      <c r="N447">
        <v>1.0125</v>
      </c>
      <c r="O447" t="s">
        <v>193</v>
      </c>
      <c r="P447" t="s">
        <v>1054</v>
      </c>
      <c r="Q447" t="s">
        <v>5398</v>
      </c>
      <c r="R447">
        <v>2</v>
      </c>
      <c r="S447">
        <v>2</v>
      </c>
    </row>
    <row r="448" spans="1:19" hidden="1" x14ac:dyDescent="0.3">
      <c r="A448" t="s">
        <v>265</v>
      </c>
      <c r="B448" t="s">
        <v>125</v>
      </c>
      <c r="C448" t="s">
        <v>6622</v>
      </c>
      <c r="D448" t="s">
        <v>270</v>
      </c>
      <c r="E448" t="s">
        <v>98</v>
      </c>
      <c r="F448" t="s">
        <v>30</v>
      </c>
      <c r="G448" s="6">
        <v>46022</v>
      </c>
      <c r="H448" t="s">
        <v>6823</v>
      </c>
      <c r="I448" t="s">
        <v>57</v>
      </c>
      <c r="J448" t="s">
        <v>103</v>
      </c>
      <c r="K448">
        <v>80</v>
      </c>
      <c r="L448">
        <v>74</v>
      </c>
      <c r="M448">
        <v>0.92500000000000004</v>
      </c>
      <c r="N448">
        <v>0.92500000000000004</v>
      </c>
      <c r="O448" t="s">
        <v>193</v>
      </c>
      <c r="P448" t="s">
        <v>272</v>
      </c>
      <c r="Q448" t="s">
        <v>5399</v>
      </c>
      <c r="R448">
        <v>2</v>
      </c>
      <c r="S448">
        <v>2</v>
      </c>
    </row>
    <row r="449" spans="1:19" hidden="1" x14ac:dyDescent="0.3">
      <c r="A449" t="s">
        <v>274</v>
      </c>
      <c r="B449" t="s">
        <v>125</v>
      </c>
      <c r="C449" t="s">
        <v>6622</v>
      </c>
      <c r="D449" t="s">
        <v>97</v>
      </c>
      <c r="E449" t="s">
        <v>98</v>
      </c>
      <c r="F449" t="s">
        <v>30</v>
      </c>
      <c r="G449" s="6">
        <v>45291</v>
      </c>
      <c r="H449" t="s">
        <v>6811</v>
      </c>
      <c r="I449" t="s">
        <v>57</v>
      </c>
      <c r="J449" t="s">
        <v>47</v>
      </c>
      <c r="K449">
        <v>80</v>
      </c>
      <c r="L449">
        <v>90.789405483854196</v>
      </c>
      <c r="M449">
        <v>1.1348675685481771</v>
      </c>
      <c r="N449">
        <v>1.1348675685481771</v>
      </c>
      <c r="O449" t="s">
        <v>193</v>
      </c>
      <c r="P449" t="s">
        <v>5400</v>
      </c>
      <c r="Q449" t="s">
        <v>277</v>
      </c>
      <c r="R449">
        <v>2</v>
      </c>
      <c r="S449">
        <v>2</v>
      </c>
    </row>
    <row r="450" spans="1:19" hidden="1" x14ac:dyDescent="0.3">
      <c r="A450" t="s">
        <v>274</v>
      </c>
      <c r="B450" t="s">
        <v>125</v>
      </c>
      <c r="C450" t="s">
        <v>6622</v>
      </c>
      <c r="D450" t="s">
        <v>97</v>
      </c>
      <c r="E450" t="s">
        <v>98</v>
      </c>
      <c r="F450" t="s">
        <v>30</v>
      </c>
      <c r="G450" s="6">
        <v>45657</v>
      </c>
      <c r="H450" t="s">
        <v>6816</v>
      </c>
      <c r="I450" t="s">
        <v>57</v>
      </c>
      <c r="J450" t="s">
        <v>78</v>
      </c>
      <c r="M450">
        <v>0</v>
      </c>
      <c r="N450">
        <v>0</v>
      </c>
      <c r="Q450" t="s">
        <v>278</v>
      </c>
      <c r="R450">
        <v>2</v>
      </c>
      <c r="S450">
        <v>2</v>
      </c>
    </row>
    <row r="451" spans="1:19" hidden="1" x14ac:dyDescent="0.3">
      <c r="A451" t="s">
        <v>274</v>
      </c>
      <c r="B451" t="s">
        <v>125</v>
      </c>
      <c r="C451" t="s">
        <v>6622</v>
      </c>
      <c r="D451" t="s">
        <v>97</v>
      </c>
      <c r="E451" t="s">
        <v>98</v>
      </c>
      <c r="F451" t="s">
        <v>30</v>
      </c>
      <c r="G451" s="6">
        <v>46022</v>
      </c>
      <c r="H451" t="s">
        <v>6823</v>
      </c>
      <c r="I451" t="s">
        <v>57</v>
      </c>
      <c r="J451" t="s">
        <v>103</v>
      </c>
      <c r="K451">
        <v>80</v>
      </c>
      <c r="L451">
        <v>89</v>
      </c>
      <c r="M451">
        <v>1.1125</v>
      </c>
      <c r="N451">
        <v>1.1125</v>
      </c>
      <c r="O451" t="s">
        <v>193</v>
      </c>
      <c r="P451" t="s">
        <v>280</v>
      </c>
      <c r="Q451" t="s">
        <v>5401</v>
      </c>
      <c r="R451">
        <v>2</v>
      </c>
      <c r="S451">
        <v>2</v>
      </c>
    </row>
    <row r="452" spans="1:19" hidden="1" x14ac:dyDescent="0.3">
      <c r="A452" t="s">
        <v>282</v>
      </c>
      <c r="B452" t="s">
        <v>125</v>
      </c>
      <c r="C452" t="s">
        <v>6622</v>
      </c>
      <c r="D452" t="s">
        <v>283</v>
      </c>
      <c r="E452" t="s">
        <v>284</v>
      </c>
      <c r="F452" t="s">
        <v>30</v>
      </c>
      <c r="G452" s="6">
        <v>45291</v>
      </c>
      <c r="H452" t="s">
        <v>6811</v>
      </c>
      <c r="I452" t="s">
        <v>57</v>
      </c>
      <c r="J452" t="s">
        <v>47</v>
      </c>
      <c r="K452">
        <v>80</v>
      </c>
      <c r="L452">
        <v>85.4</v>
      </c>
      <c r="M452">
        <v>1.0674999999999999</v>
      </c>
      <c r="N452">
        <v>1.0674999999999999</v>
      </c>
      <c r="O452" t="s">
        <v>193</v>
      </c>
      <c r="P452" t="s">
        <v>6831</v>
      </c>
      <c r="Q452" t="s">
        <v>290</v>
      </c>
      <c r="R452">
        <v>2</v>
      </c>
      <c r="S452">
        <v>2</v>
      </c>
    </row>
    <row r="453" spans="1:19" hidden="1" x14ac:dyDescent="0.3">
      <c r="A453" t="s">
        <v>282</v>
      </c>
      <c r="B453" t="s">
        <v>125</v>
      </c>
      <c r="C453" t="s">
        <v>6622</v>
      </c>
      <c r="D453" t="s">
        <v>283</v>
      </c>
      <c r="E453" t="s">
        <v>284</v>
      </c>
      <c r="F453" t="s">
        <v>30</v>
      </c>
      <c r="G453" s="6">
        <v>45657</v>
      </c>
      <c r="H453" t="s">
        <v>6816</v>
      </c>
      <c r="I453" t="s">
        <v>57</v>
      </c>
      <c r="J453" t="s">
        <v>78</v>
      </c>
      <c r="K453">
        <v>80</v>
      </c>
      <c r="L453">
        <v>88</v>
      </c>
      <c r="M453">
        <v>1.1000000000000001</v>
      </c>
      <c r="N453">
        <v>1.1000000000000001</v>
      </c>
      <c r="O453" t="s">
        <v>193</v>
      </c>
      <c r="P453" t="s">
        <v>4404</v>
      </c>
      <c r="Q453" t="s">
        <v>296</v>
      </c>
      <c r="R453">
        <v>2</v>
      </c>
      <c r="S453">
        <v>2</v>
      </c>
    </row>
    <row r="454" spans="1:19" hidden="1" x14ac:dyDescent="0.3">
      <c r="A454" t="s">
        <v>282</v>
      </c>
      <c r="B454" t="s">
        <v>125</v>
      </c>
      <c r="C454" t="s">
        <v>6622</v>
      </c>
      <c r="D454" t="s">
        <v>283</v>
      </c>
      <c r="E454" t="s">
        <v>98</v>
      </c>
      <c r="F454" t="s">
        <v>30</v>
      </c>
      <c r="G454" s="6">
        <v>46022</v>
      </c>
      <c r="H454" t="s">
        <v>6823</v>
      </c>
      <c r="I454" t="s">
        <v>57</v>
      </c>
      <c r="J454" t="s">
        <v>103</v>
      </c>
      <c r="K454">
        <v>80</v>
      </c>
      <c r="L454">
        <v>100</v>
      </c>
      <c r="M454">
        <v>1.25</v>
      </c>
      <c r="N454">
        <v>1.25</v>
      </c>
      <c r="O454" t="s">
        <v>193</v>
      </c>
      <c r="P454" t="s">
        <v>102</v>
      </c>
      <c r="Q454" t="s">
        <v>297</v>
      </c>
      <c r="R454">
        <v>2</v>
      </c>
      <c r="S454">
        <v>2</v>
      </c>
    </row>
    <row r="455" spans="1:19" hidden="1" x14ac:dyDescent="0.3">
      <c r="A455" t="s">
        <v>298</v>
      </c>
      <c r="B455" t="s">
        <v>125</v>
      </c>
      <c r="C455" t="s">
        <v>6622</v>
      </c>
      <c r="D455" t="s">
        <v>299</v>
      </c>
      <c r="E455" t="s">
        <v>98</v>
      </c>
      <c r="F455" t="s">
        <v>30</v>
      </c>
      <c r="G455" s="6">
        <v>44926</v>
      </c>
      <c r="H455" t="s">
        <v>6819</v>
      </c>
      <c r="I455" t="s">
        <v>57</v>
      </c>
      <c r="J455" t="s">
        <v>90</v>
      </c>
      <c r="K455">
        <v>80</v>
      </c>
      <c r="L455">
        <v>86.602201544730292</v>
      </c>
      <c r="M455">
        <v>1.082527519309129</v>
      </c>
      <c r="N455">
        <v>1.082527519309129</v>
      </c>
      <c r="O455" t="s">
        <v>193</v>
      </c>
      <c r="P455" t="s">
        <v>5404</v>
      </c>
      <c r="Q455" t="s">
        <v>5405</v>
      </c>
      <c r="R455">
        <v>2</v>
      </c>
      <c r="S455">
        <v>2</v>
      </c>
    </row>
    <row r="456" spans="1:19" hidden="1" x14ac:dyDescent="0.3">
      <c r="A456" t="s">
        <v>298</v>
      </c>
      <c r="B456" t="s">
        <v>125</v>
      </c>
      <c r="C456" t="s">
        <v>6622</v>
      </c>
      <c r="D456" t="s">
        <v>299</v>
      </c>
      <c r="E456" t="s">
        <v>98</v>
      </c>
      <c r="F456" t="s">
        <v>30</v>
      </c>
      <c r="G456" s="6">
        <v>45291</v>
      </c>
      <c r="H456" t="s">
        <v>6811</v>
      </c>
      <c r="I456" t="s">
        <v>57</v>
      </c>
      <c r="J456" t="s">
        <v>47</v>
      </c>
      <c r="K456">
        <v>80</v>
      </c>
      <c r="L456">
        <v>90.107415856608498</v>
      </c>
      <c r="M456">
        <v>1.1263426982076059</v>
      </c>
      <c r="N456">
        <v>1.1263426982076059</v>
      </c>
      <c r="O456" t="s">
        <v>193</v>
      </c>
      <c r="P456" t="s">
        <v>5406</v>
      </c>
      <c r="Q456" t="s">
        <v>5407</v>
      </c>
      <c r="R456">
        <v>2</v>
      </c>
      <c r="S456">
        <v>2</v>
      </c>
    </row>
    <row r="457" spans="1:19" hidden="1" x14ac:dyDescent="0.3">
      <c r="A457" t="s">
        <v>298</v>
      </c>
      <c r="B457" t="s">
        <v>125</v>
      </c>
      <c r="C457" t="s">
        <v>6622</v>
      </c>
      <c r="D457" t="s">
        <v>299</v>
      </c>
      <c r="E457" t="s">
        <v>98</v>
      </c>
      <c r="F457" t="s">
        <v>30</v>
      </c>
      <c r="G457" s="6">
        <v>45657</v>
      </c>
      <c r="H457" t="s">
        <v>6816</v>
      </c>
      <c r="I457" t="s">
        <v>57</v>
      </c>
      <c r="J457" t="s">
        <v>78</v>
      </c>
      <c r="K457">
        <v>80</v>
      </c>
      <c r="L457">
        <v>89</v>
      </c>
      <c r="M457">
        <v>1.1125</v>
      </c>
      <c r="N457">
        <v>1.1125</v>
      </c>
      <c r="O457" t="s">
        <v>193</v>
      </c>
      <c r="P457" t="s">
        <v>280</v>
      </c>
      <c r="Q457" t="s">
        <v>5408</v>
      </c>
      <c r="R457">
        <v>2</v>
      </c>
      <c r="S457">
        <v>2</v>
      </c>
    </row>
    <row r="458" spans="1:19" hidden="1" x14ac:dyDescent="0.3">
      <c r="A458" t="s">
        <v>298</v>
      </c>
      <c r="B458" t="s">
        <v>125</v>
      </c>
      <c r="C458" t="s">
        <v>6622</v>
      </c>
      <c r="D458" t="s">
        <v>299</v>
      </c>
      <c r="E458" t="s">
        <v>98</v>
      </c>
      <c r="F458" t="s">
        <v>30</v>
      </c>
      <c r="G458" s="6">
        <v>46022</v>
      </c>
      <c r="H458" t="s">
        <v>6823</v>
      </c>
      <c r="I458" t="s">
        <v>57</v>
      </c>
      <c r="J458" t="s">
        <v>103</v>
      </c>
      <c r="K458">
        <v>80</v>
      </c>
      <c r="L458">
        <v>100</v>
      </c>
      <c r="M458">
        <v>1.25</v>
      </c>
      <c r="N458">
        <v>1.25</v>
      </c>
      <c r="O458" t="s">
        <v>193</v>
      </c>
      <c r="P458" t="s">
        <v>102</v>
      </c>
      <c r="Q458" t="s">
        <v>5409</v>
      </c>
      <c r="R458">
        <v>2</v>
      </c>
      <c r="S458">
        <v>2</v>
      </c>
    </row>
    <row r="459" spans="1:19" hidden="1" x14ac:dyDescent="0.3">
      <c r="A459" t="s">
        <v>304</v>
      </c>
      <c r="B459" t="s">
        <v>125</v>
      </c>
      <c r="C459" t="s">
        <v>6622</v>
      </c>
      <c r="D459" t="s">
        <v>305</v>
      </c>
      <c r="E459" t="s">
        <v>98</v>
      </c>
      <c r="F459" t="s">
        <v>30</v>
      </c>
      <c r="G459" s="6">
        <v>44926</v>
      </c>
      <c r="H459" t="s">
        <v>6819</v>
      </c>
      <c r="I459" t="s">
        <v>57</v>
      </c>
      <c r="J459" t="s">
        <v>90</v>
      </c>
      <c r="K459">
        <v>80</v>
      </c>
      <c r="L459">
        <v>88.120620620620599</v>
      </c>
      <c r="M459">
        <v>1.101507757757757</v>
      </c>
      <c r="N459">
        <v>1.101507757757757</v>
      </c>
      <c r="O459" t="s">
        <v>193</v>
      </c>
      <c r="P459" t="s">
        <v>5410</v>
      </c>
      <c r="Q459" t="s">
        <v>5411</v>
      </c>
      <c r="R459">
        <v>2</v>
      </c>
      <c r="S459">
        <v>2</v>
      </c>
    </row>
    <row r="460" spans="1:19" hidden="1" x14ac:dyDescent="0.3">
      <c r="A460" t="s">
        <v>304</v>
      </c>
      <c r="B460" t="s">
        <v>125</v>
      </c>
      <c r="C460" t="s">
        <v>6622</v>
      </c>
      <c r="D460" t="s">
        <v>305</v>
      </c>
      <c r="E460" t="s">
        <v>98</v>
      </c>
      <c r="F460" t="s">
        <v>30</v>
      </c>
      <c r="G460" s="6">
        <v>45291</v>
      </c>
      <c r="H460" t="s">
        <v>6811</v>
      </c>
      <c r="I460" t="s">
        <v>57</v>
      </c>
      <c r="J460" t="s">
        <v>47</v>
      </c>
      <c r="K460">
        <v>80</v>
      </c>
      <c r="L460">
        <v>94.138576779026195</v>
      </c>
      <c r="M460">
        <v>1.176732209737827</v>
      </c>
      <c r="N460">
        <v>1.176732209737827</v>
      </c>
      <c r="O460" t="s">
        <v>193</v>
      </c>
      <c r="P460" t="s">
        <v>5412</v>
      </c>
      <c r="Q460" t="s">
        <v>307</v>
      </c>
      <c r="R460">
        <v>2</v>
      </c>
      <c r="S460">
        <v>2</v>
      </c>
    </row>
    <row r="461" spans="1:19" hidden="1" x14ac:dyDescent="0.3">
      <c r="A461" t="s">
        <v>304</v>
      </c>
      <c r="B461" t="s">
        <v>308</v>
      </c>
      <c r="C461" t="s">
        <v>6622</v>
      </c>
      <c r="D461" t="s">
        <v>309</v>
      </c>
      <c r="E461" t="s">
        <v>98</v>
      </c>
      <c r="F461" t="s">
        <v>30</v>
      </c>
      <c r="G461" s="6">
        <v>45657</v>
      </c>
      <c r="H461" t="s">
        <v>6816</v>
      </c>
      <c r="I461" t="s">
        <v>57</v>
      </c>
      <c r="J461" t="s">
        <v>78</v>
      </c>
      <c r="K461">
        <v>80</v>
      </c>
      <c r="L461">
        <v>86</v>
      </c>
      <c r="M461">
        <v>1.075</v>
      </c>
      <c r="N461">
        <v>1.075</v>
      </c>
      <c r="O461" t="s">
        <v>193</v>
      </c>
      <c r="P461" t="s">
        <v>4410</v>
      </c>
      <c r="Q461" t="s">
        <v>310</v>
      </c>
      <c r="R461">
        <v>2</v>
      </c>
      <c r="S461">
        <v>2</v>
      </c>
    </row>
    <row r="462" spans="1:19" hidden="1" x14ac:dyDescent="0.3">
      <c r="A462" t="s">
        <v>304</v>
      </c>
      <c r="B462" t="s">
        <v>308</v>
      </c>
      <c r="C462" t="s">
        <v>6622</v>
      </c>
      <c r="D462" t="s">
        <v>309</v>
      </c>
      <c r="E462" t="s">
        <v>98</v>
      </c>
      <c r="F462" t="s">
        <v>30</v>
      </c>
      <c r="G462" s="6">
        <v>46022</v>
      </c>
      <c r="H462" t="s">
        <v>6823</v>
      </c>
      <c r="I462" t="s">
        <v>57</v>
      </c>
      <c r="J462" t="s">
        <v>103</v>
      </c>
      <c r="K462">
        <v>80</v>
      </c>
      <c r="L462">
        <v>98</v>
      </c>
      <c r="M462">
        <v>1.2250000000000001</v>
      </c>
      <c r="N462">
        <v>1.2250000000000001</v>
      </c>
      <c r="O462" t="s">
        <v>193</v>
      </c>
      <c r="P462" t="s">
        <v>312</v>
      </c>
      <c r="Q462" t="s">
        <v>5413</v>
      </c>
      <c r="R462">
        <v>2</v>
      </c>
      <c r="S462">
        <v>2</v>
      </c>
    </row>
    <row r="463" spans="1:19" hidden="1" x14ac:dyDescent="0.3">
      <c r="A463" t="s">
        <v>314</v>
      </c>
      <c r="B463" t="s">
        <v>315</v>
      </c>
      <c r="D463" t="s">
        <v>184</v>
      </c>
      <c r="E463" t="s">
        <v>29</v>
      </c>
      <c r="F463" t="s">
        <v>30</v>
      </c>
      <c r="G463" s="6">
        <v>45291</v>
      </c>
      <c r="H463" t="s">
        <v>6811</v>
      </c>
      <c r="I463" t="s">
        <v>57</v>
      </c>
      <c r="J463" t="s">
        <v>47</v>
      </c>
      <c r="K463">
        <v>60.4</v>
      </c>
      <c r="L463">
        <v>51</v>
      </c>
      <c r="M463">
        <v>0.8443708609271523</v>
      </c>
      <c r="N463">
        <v>0.8443708609271523</v>
      </c>
      <c r="O463" t="s">
        <v>5414</v>
      </c>
      <c r="P463" t="s">
        <v>5415</v>
      </c>
      <c r="Q463" t="s">
        <v>320</v>
      </c>
      <c r="R463">
        <v>2</v>
      </c>
      <c r="S463">
        <v>2</v>
      </c>
    </row>
    <row r="464" spans="1:19" hidden="1" x14ac:dyDescent="0.3">
      <c r="A464" t="s">
        <v>314</v>
      </c>
      <c r="B464" t="s">
        <v>315</v>
      </c>
      <c r="D464" t="s">
        <v>184</v>
      </c>
      <c r="E464" t="s">
        <v>29</v>
      </c>
      <c r="F464" t="s">
        <v>30</v>
      </c>
      <c r="G464" s="6">
        <v>45657</v>
      </c>
      <c r="H464" t="s">
        <v>6816</v>
      </c>
      <c r="I464" t="s">
        <v>57</v>
      </c>
      <c r="J464" t="s">
        <v>78</v>
      </c>
      <c r="K464">
        <v>66.900000000000006</v>
      </c>
      <c r="L464">
        <v>57.4</v>
      </c>
      <c r="M464">
        <v>0.85799701046337806</v>
      </c>
      <c r="N464">
        <v>0.85799701046337806</v>
      </c>
      <c r="O464" t="s">
        <v>6832</v>
      </c>
      <c r="P464" t="s">
        <v>6833</v>
      </c>
      <c r="Q464" t="s">
        <v>332</v>
      </c>
      <c r="R464">
        <v>2</v>
      </c>
      <c r="S464">
        <v>2</v>
      </c>
    </row>
    <row r="465" spans="1:19" hidden="1" x14ac:dyDescent="0.3">
      <c r="A465" t="s">
        <v>333</v>
      </c>
      <c r="B465" t="s">
        <v>334</v>
      </c>
      <c r="C465" t="s">
        <v>6681</v>
      </c>
      <c r="D465" t="s">
        <v>262</v>
      </c>
      <c r="E465" t="s">
        <v>29</v>
      </c>
      <c r="F465" t="s">
        <v>108</v>
      </c>
      <c r="G465" s="6">
        <v>44926</v>
      </c>
      <c r="H465" t="s">
        <v>6819</v>
      </c>
      <c r="I465" t="s">
        <v>57</v>
      </c>
      <c r="J465" t="s">
        <v>90</v>
      </c>
      <c r="K465">
        <v>55671498.25</v>
      </c>
      <c r="L465">
        <v>55925762.333333343</v>
      </c>
      <c r="M465">
        <v>0.99545354282668785</v>
      </c>
      <c r="N465">
        <v>0.99545354282668785</v>
      </c>
      <c r="O465" t="s">
        <v>6834</v>
      </c>
      <c r="P465" t="s">
        <v>6835</v>
      </c>
      <c r="Q465" t="s">
        <v>348</v>
      </c>
      <c r="R465">
        <v>2</v>
      </c>
      <c r="S465">
        <v>2</v>
      </c>
    </row>
    <row r="466" spans="1:19" hidden="1" x14ac:dyDescent="0.3">
      <c r="A466" t="s">
        <v>333</v>
      </c>
      <c r="B466" t="s">
        <v>334</v>
      </c>
      <c r="C466" t="s">
        <v>6681</v>
      </c>
      <c r="D466" t="s">
        <v>262</v>
      </c>
      <c r="E466" t="s">
        <v>29</v>
      </c>
      <c r="F466" t="s">
        <v>108</v>
      </c>
      <c r="G466" s="6">
        <v>45291</v>
      </c>
      <c r="H466" t="s">
        <v>6811</v>
      </c>
      <c r="I466" t="s">
        <v>57</v>
      </c>
      <c r="J466" t="s">
        <v>47</v>
      </c>
      <c r="K466">
        <v>63143427.666666657</v>
      </c>
      <c r="L466">
        <v>66889152.166666657</v>
      </c>
      <c r="M466">
        <v>0.94400101692622984</v>
      </c>
      <c r="N466">
        <v>0.94400101692622984</v>
      </c>
      <c r="O466" t="s">
        <v>6836</v>
      </c>
      <c r="P466" t="s">
        <v>6837</v>
      </c>
      <c r="Q466" t="s">
        <v>360</v>
      </c>
      <c r="R466">
        <v>2</v>
      </c>
      <c r="S466">
        <v>2</v>
      </c>
    </row>
    <row r="467" spans="1:19" hidden="1" x14ac:dyDescent="0.3">
      <c r="A467" t="s">
        <v>333</v>
      </c>
      <c r="B467" t="s">
        <v>334</v>
      </c>
      <c r="C467" t="s">
        <v>6681</v>
      </c>
      <c r="D467" t="s">
        <v>262</v>
      </c>
      <c r="E467" t="s">
        <v>29</v>
      </c>
      <c r="F467" t="s">
        <v>108</v>
      </c>
      <c r="G467" s="6">
        <v>45657</v>
      </c>
      <c r="H467" t="s">
        <v>6816</v>
      </c>
      <c r="I467" t="s">
        <v>57</v>
      </c>
      <c r="J467" t="s">
        <v>78</v>
      </c>
      <c r="K467">
        <v>69836101.833333328</v>
      </c>
      <c r="L467">
        <v>70522019.583333328</v>
      </c>
      <c r="M467">
        <v>0.99027370806944237</v>
      </c>
      <c r="N467">
        <v>0.99027370806944237</v>
      </c>
      <c r="O467" t="s">
        <v>6838</v>
      </c>
      <c r="P467" t="s">
        <v>6839</v>
      </c>
      <c r="Q467" t="s">
        <v>372</v>
      </c>
      <c r="R467">
        <v>2</v>
      </c>
      <c r="S467">
        <v>2</v>
      </c>
    </row>
    <row r="468" spans="1:19" hidden="1" x14ac:dyDescent="0.3">
      <c r="A468" t="s">
        <v>333</v>
      </c>
      <c r="B468" t="s">
        <v>334</v>
      </c>
      <c r="C468" t="s">
        <v>6681</v>
      </c>
      <c r="D468" t="s">
        <v>262</v>
      </c>
      <c r="E468" t="s">
        <v>29</v>
      </c>
      <c r="F468" t="s">
        <v>108</v>
      </c>
      <c r="G468" s="6">
        <v>46022</v>
      </c>
      <c r="H468" t="s">
        <v>6823</v>
      </c>
      <c r="I468" t="s">
        <v>57</v>
      </c>
      <c r="J468" t="s">
        <v>103</v>
      </c>
      <c r="K468">
        <v>102</v>
      </c>
      <c r="L468">
        <v>106.9281818181818</v>
      </c>
      <c r="M468">
        <v>0.95391129135103414</v>
      </c>
      <c r="N468">
        <v>0.95391129135103414</v>
      </c>
      <c r="O468" t="s">
        <v>374</v>
      </c>
      <c r="P468" t="s">
        <v>6840</v>
      </c>
      <c r="Q468" t="s">
        <v>405</v>
      </c>
      <c r="R468">
        <v>2</v>
      </c>
      <c r="S468">
        <v>2</v>
      </c>
    </row>
    <row r="469" spans="1:19" hidden="1" x14ac:dyDescent="0.3">
      <c r="A469" t="s">
        <v>333</v>
      </c>
      <c r="B469" t="s">
        <v>334</v>
      </c>
      <c r="C469" t="s">
        <v>6681</v>
      </c>
      <c r="D469" t="s">
        <v>262</v>
      </c>
      <c r="E469" t="s">
        <v>29</v>
      </c>
      <c r="F469" t="s">
        <v>108</v>
      </c>
      <c r="G469" s="6">
        <v>46387</v>
      </c>
      <c r="H469" t="s">
        <v>6841</v>
      </c>
      <c r="I469" t="s">
        <v>57</v>
      </c>
      <c r="J469" t="s">
        <v>6842</v>
      </c>
      <c r="K469">
        <v>100</v>
      </c>
      <c r="L469">
        <v>98.65</v>
      </c>
      <c r="M469">
        <v>1.013684744044602</v>
      </c>
      <c r="N469">
        <v>1.013684744044602</v>
      </c>
      <c r="O469" t="s">
        <v>102</v>
      </c>
      <c r="P469" t="s">
        <v>407</v>
      </c>
      <c r="Q469" t="s">
        <v>6843</v>
      </c>
      <c r="R469">
        <v>2</v>
      </c>
      <c r="S469">
        <v>2</v>
      </c>
    </row>
    <row r="470" spans="1:19" hidden="1" x14ac:dyDescent="0.3">
      <c r="A470" t="s">
        <v>410</v>
      </c>
      <c r="B470" t="s">
        <v>411</v>
      </c>
      <c r="C470" t="s">
        <v>6681</v>
      </c>
      <c r="D470" t="s">
        <v>309</v>
      </c>
      <c r="E470" t="s">
        <v>284</v>
      </c>
      <c r="F470" t="s">
        <v>30</v>
      </c>
      <c r="G470" s="6">
        <v>45291</v>
      </c>
      <c r="H470" t="s">
        <v>6811</v>
      </c>
      <c r="I470" t="s">
        <v>57</v>
      </c>
      <c r="J470" t="s">
        <v>47</v>
      </c>
      <c r="K470">
        <v>80</v>
      </c>
      <c r="L470">
        <v>90.984999999999999</v>
      </c>
      <c r="M470">
        <v>1.1373124999999999</v>
      </c>
      <c r="N470">
        <v>1.1373124999999999</v>
      </c>
      <c r="O470" t="s">
        <v>193</v>
      </c>
      <c r="P470" t="s">
        <v>5362</v>
      </c>
      <c r="Q470" t="s">
        <v>417</v>
      </c>
      <c r="R470">
        <v>2</v>
      </c>
      <c r="S470">
        <v>2</v>
      </c>
    </row>
    <row r="471" spans="1:19" hidden="1" x14ac:dyDescent="0.3">
      <c r="A471" t="s">
        <v>410</v>
      </c>
      <c r="B471" t="s">
        <v>411</v>
      </c>
      <c r="C471" t="s">
        <v>6681</v>
      </c>
      <c r="D471" t="s">
        <v>309</v>
      </c>
      <c r="E471" t="s">
        <v>284</v>
      </c>
      <c r="F471" t="s">
        <v>30</v>
      </c>
      <c r="G471" s="6">
        <v>45657</v>
      </c>
      <c r="H471" t="s">
        <v>6816</v>
      </c>
      <c r="I471" t="s">
        <v>57</v>
      </c>
      <c r="J471" t="s">
        <v>78</v>
      </c>
      <c r="K471">
        <v>80</v>
      </c>
      <c r="L471">
        <v>94.318333333333342</v>
      </c>
      <c r="M471">
        <v>1.1789791666666669</v>
      </c>
      <c r="N471">
        <v>1.1789791666666669</v>
      </c>
      <c r="O471" t="s">
        <v>193</v>
      </c>
      <c r="P471" t="s">
        <v>6844</v>
      </c>
      <c r="Q471" t="s">
        <v>423</v>
      </c>
      <c r="R471">
        <v>2</v>
      </c>
      <c r="S471">
        <v>2</v>
      </c>
    </row>
    <row r="472" spans="1:19" hidden="1" x14ac:dyDescent="0.3">
      <c r="A472" t="s">
        <v>410</v>
      </c>
      <c r="B472" t="s">
        <v>411</v>
      </c>
      <c r="C472" t="s">
        <v>6681</v>
      </c>
      <c r="D472" t="s">
        <v>309</v>
      </c>
      <c r="E472" t="s">
        <v>29</v>
      </c>
      <c r="F472" t="s">
        <v>30</v>
      </c>
      <c r="G472" s="6">
        <v>46022</v>
      </c>
      <c r="H472" t="s">
        <v>6823</v>
      </c>
      <c r="I472" t="s">
        <v>57</v>
      </c>
      <c r="J472" t="s">
        <v>103</v>
      </c>
      <c r="K472">
        <v>90</v>
      </c>
      <c r="L472">
        <v>82.314999999999998</v>
      </c>
      <c r="M472">
        <v>0.91461111111111104</v>
      </c>
      <c r="N472">
        <v>0.91461111111111104</v>
      </c>
      <c r="O472" t="s">
        <v>256</v>
      </c>
      <c r="P472" t="s">
        <v>6845</v>
      </c>
      <c r="Q472" t="s">
        <v>443</v>
      </c>
      <c r="R472">
        <v>2</v>
      </c>
      <c r="S472">
        <v>2</v>
      </c>
    </row>
    <row r="473" spans="1:19" hidden="1" x14ac:dyDescent="0.3">
      <c r="A473" t="s">
        <v>410</v>
      </c>
      <c r="B473" t="s">
        <v>411</v>
      </c>
      <c r="C473" t="s">
        <v>6681</v>
      </c>
      <c r="D473" t="s">
        <v>309</v>
      </c>
      <c r="E473" t="s">
        <v>29</v>
      </c>
      <c r="F473" t="s">
        <v>30</v>
      </c>
      <c r="G473" s="6">
        <v>46387</v>
      </c>
      <c r="H473" t="s">
        <v>6841</v>
      </c>
      <c r="I473" t="s">
        <v>57</v>
      </c>
      <c r="J473" t="s">
        <v>6842</v>
      </c>
      <c r="K473">
        <v>80</v>
      </c>
      <c r="M473">
        <v>0</v>
      </c>
      <c r="N473">
        <v>0</v>
      </c>
      <c r="O473" t="s">
        <v>193</v>
      </c>
      <c r="Q473" t="s">
        <v>6846</v>
      </c>
      <c r="R473">
        <v>2</v>
      </c>
      <c r="S473">
        <v>2</v>
      </c>
    </row>
    <row r="474" spans="1:19" hidden="1" x14ac:dyDescent="0.3">
      <c r="A474" t="s">
        <v>445</v>
      </c>
      <c r="B474" t="s">
        <v>446</v>
      </c>
      <c r="C474" t="s">
        <v>6681</v>
      </c>
      <c r="D474" t="s">
        <v>97</v>
      </c>
      <c r="E474" t="s">
        <v>29</v>
      </c>
      <c r="F474" t="s">
        <v>108</v>
      </c>
      <c r="G474" s="6">
        <v>44926</v>
      </c>
      <c r="H474" t="s">
        <v>6819</v>
      </c>
      <c r="I474" t="s">
        <v>57</v>
      </c>
      <c r="J474" t="s">
        <v>90</v>
      </c>
      <c r="K474">
        <v>1.6</v>
      </c>
      <c r="L474">
        <v>3.0833333333333331E-2</v>
      </c>
      <c r="M474">
        <v>1.3</v>
      </c>
      <c r="N474">
        <v>51.891891891891902</v>
      </c>
      <c r="O474" t="s">
        <v>501</v>
      </c>
      <c r="P474" t="s">
        <v>5442</v>
      </c>
      <c r="Q474" t="s">
        <v>458</v>
      </c>
      <c r="R474">
        <v>2</v>
      </c>
      <c r="S474">
        <v>2</v>
      </c>
    </row>
    <row r="475" spans="1:19" hidden="1" x14ac:dyDescent="0.3">
      <c r="A475" t="s">
        <v>445</v>
      </c>
      <c r="B475" t="s">
        <v>446</v>
      </c>
      <c r="C475" t="s">
        <v>6681</v>
      </c>
      <c r="D475" t="s">
        <v>97</v>
      </c>
      <c r="E475" t="s">
        <v>29</v>
      </c>
      <c r="F475" t="s">
        <v>108</v>
      </c>
      <c r="G475" s="6">
        <v>45291</v>
      </c>
      <c r="H475" t="s">
        <v>6811</v>
      </c>
      <c r="I475" t="s">
        <v>57</v>
      </c>
      <c r="J475" t="s">
        <v>47</v>
      </c>
      <c r="K475">
        <v>1.6</v>
      </c>
      <c r="L475">
        <v>2.8408426807991272E-2</v>
      </c>
      <c r="M475">
        <v>1.3</v>
      </c>
      <c r="N475">
        <v>56.321316587299421</v>
      </c>
      <c r="O475" t="s">
        <v>501</v>
      </c>
      <c r="P475" t="s">
        <v>5442</v>
      </c>
      <c r="Q475" t="s">
        <v>470</v>
      </c>
      <c r="R475">
        <v>2</v>
      </c>
      <c r="S475">
        <v>2</v>
      </c>
    </row>
    <row r="476" spans="1:19" hidden="1" x14ac:dyDescent="0.3">
      <c r="A476" t="s">
        <v>445</v>
      </c>
      <c r="B476" t="s">
        <v>446</v>
      </c>
      <c r="C476" t="s">
        <v>6681</v>
      </c>
      <c r="D476" t="s">
        <v>97</v>
      </c>
      <c r="E476" t="s">
        <v>29</v>
      </c>
      <c r="F476" t="s">
        <v>108</v>
      </c>
      <c r="G476" s="6">
        <v>45657</v>
      </c>
      <c r="H476" t="s">
        <v>6816</v>
      </c>
      <c r="I476" t="s">
        <v>57</v>
      </c>
      <c r="J476" t="s">
        <v>78</v>
      </c>
      <c r="K476">
        <v>0.2</v>
      </c>
      <c r="L476">
        <v>1.2500000000000001E-2</v>
      </c>
      <c r="M476">
        <v>1.3</v>
      </c>
      <c r="N476">
        <v>16</v>
      </c>
      <c r="O476" t="s">
        <v>484</v>
      </c>
      <c r="P476" t="s">
        <v>2615</v>
      </c>
      <c r="Q476" t="s">
        <v>482</v>
      </c>
      <c r="R476">
        <v>2</v>
      </c>
      <c r="S476">
        <v>2</v>
      </c>
    </row>
    <row r="477" spans="1:19" hidden="1" x14ac:dyDescent="0.3">
      <c r="A477" t="s">
        <v>445</v>
      </c>
      <c r="B477" t="s">
        <v>446</v>
      </c>
      <c r="C477" t="s">
        <v>6681</v>
      </c>
      <c r="D477" t="s">
        <v>97</v>
      </c>
      <c r="E477" t="s">
        <v>29</v>
      </c>
      <c r="F477" t="s">
        <v>108</v>
      </c>
      <c r="G477" s="6">
        <v>46022</v>
      </c>
      <c r="H477" t="s">
        <v>6823</v>
      </c>
      <c r="I477" t="s">
        <v>57</v>
      </c>
      <c r="J477" t="s">
        <v>103</v>
      </c>
      <c r="K477">
        <v>0.2</v>
      </c>
      <c r="L477">
        <v>2.6468882075080791E-2</v>
      </c>
      <c r="M477">
        <v>1.3</v>
      </c>
      <c r="N477">
        <v>7.5560425798371984</v>
      </c>
      <c r="O477" t="s">
        <v>484</v>
      </c>
      <c r="P477" t="s">
        <v>5442</v>
      </c>
      <c r="Q477" t="s">
        <v>500</v>
      </c>
      <c r="R477">
        <v>2</v>
      </c>
      <c r="S477">
        <v>2</v>
      </c>
    </row>
    <row r="478" spans="1:19" hidden="1" x14ac:dyDescent="0.3">
      <c r="A478" t="s">
        <v>445</v>
      </c>
      <c r="B478" t="s">
        <v>446</v>
      </c>
      <c r="C478" t="s">
        <v>6681</v>
      </c>
      <c r="D478" t="s">
        <v>97</v>
      </c>
      <c r="E478" t="s">
        <v>29</v>
      </c>
      <c r="F478" t="s">
        <v>108</v>
      </c>
      <c r="G478" s="6">
        <v>46387</v>
      </c>
      <c r="H478" t="s">
        <v>6841</v>
      </c>
      <c r="I478" t="s">
        <v>57</v>
      </c>
      <c r="J478" t="s">
        <v>6842</v>
      </c>
      <c r="K478">
        <v>1.6</v>
      </c>
      <c r="L478">
        <v>0</v>
      </c>
      <c r="M478">
        <v>0</v>
      </c>
      <c r="N478">
        <v>0</v>
      </c>
      <c r="O478" t="s">
        <v>501</v>
      </c>
      <c r="P478" t="s">
        <v>122</v>
      </c>
      <c r="Q478" t="s">
        <v>6847</v>
      </c>
      <c r="R478">
        <v>2</v>
      </c>
      <c r="S478">
        <v>2</v>
      </c>
    </row>
    <row r="479" spans="1:19" hidden="1" x14ac:dyDescent="0.3">
      <c r="A479" t="s">
        <v>503</v>
      </c>
      <c r="B479" t="s">
        <v>504</v>
      </c>
      <c r="C479" t="s">
        <v>6681</v>
      </c>
      <c r="D479" t="s">
        <v>97</v>
      </c>
      <c r="E479" t="s">
        <v>29</v>
      </c>
      <c r="F479" t="s">
        <v>108</v>
      </c>
      <c r="G479" s="6">
        <v>44926</v>
      </c>
      <c r="H479" t="s">
        <v>6819</v>
      </c>
      <c r="I479" t="s">
        <v>57</v>
      </c>
      <c r="J479" t="s">
        <v>90</v>
      </c>
      <c r="K479">
        <v>4.7000000000000011</v>
      </c>
      <c r="L479">
        <v>0.08</v>
      </c>
      <c r="M479">
        <v>1.3</v>
      </c>
      <c r="N479">
        <v>58.750000000000007</v>
      </c>
      <c r="O479" t="s">
        <v>561</v>
      </c>
      <c r="P479" t="s">
        <v>495</v>
      </c>
      <c r="Q479" t="s">
        <v>516</v>
      </c>
      <c r="R479">
        <v>2</v>
      </c>
      <c r="S479">
        <v>2</v>
      </c>
    </row>
    <row r="480" spans="1:19" hidden="1" x14ac:dyDescent="0.3">
      <c r="A480" t="s">
        <v>503</v>
      </c>
      <c r="B480" t="s">
        <v>504</v>
      </c>
      <c r="C480" t="s">
        <v>6681</v>
      </c>
      <c r="D480" t="s">
        <v>97</v>
      </c>
      <c r="E480" t="s">
        <v>29</v>
      </c>
      <c r="F480" t="s">
        <v>108</v>
      </c>
      <c r="G480" s="6">
        <v>45291</v>
      </c>
      <c r="H480" t="s">
        <v>6811</v>
      </c>
      <c r="I480" t="s">
        <v>57</v>
      </c>
      <c r="J480" t="s">
        <v>47</v>
      </c>
      <c r="K480">
        <v>4.7000000000000011</v>
      </c>
      <c r="L480">
        <v>0.17558749161124709</v>
      </c>
      <c r="M480">
        <v>1.3</v>
      </c>
      <c r="N480">
        <v>26.76728254883816</v>
      </c>
      <c r="O480" t="s">
        <v>561</v>
      </c>
      <c r="P480" t="s">
        <v>6848</v>
      </c>
      <c r="Q480" t="s">
        <v>528</v>
      </c>
      <c r="R480">
        <v>2</v>
      </c>
      <c r="S480">
        <v>2</v>
      </c>
    </row>
    <row r="481" spans="1:19" hidden="1" x14ac:dyDescent="0.3">
      <c r="A481" t="s">
        <v>503</v>
      </c>
      <c r="B481" t="s">
        <v>504</v>
      </c>
      <c r="C481" t="s">
        <v>6681</v>
      </c>
      <c r="D481" t="s">
        <v>97</v>
      </c>
      <c r="E481" t="s">
        <v>29</v>
      </c>
      <c r="F481" t="s">
        <v>108</v>
      </c>
      <c r="G481" s="6">
        <v>45657</v>
      </c>
      <c r="H481" t="s">
        <v>6816</v>
      </c>
      <c r="I481" t="s">
        <v>57</v>
      </c>
      <c r="J481" t="s">
        <v>78</v>
      </c>
      <c r="K481">
        <v>1.899999999999999</v>
      </c>
      <c r="L481">
        <v>9.3333333333333338E-2</v>
      </c>
      <c r="M481">
        <v>1.3</v>
      </c>
      <c r="N481">
        <v>20.357142857142851</v>
      </c>
      <c r="O481" t="s">
        <v>542</v>
      </c>
      <c r="P481" t="s">
        <v>485</v>
      </c>
      <c r="Q481" t="s">
        <v>540</v>
      </c>
      <c r="R481">
        <v>2</v>
      </c>
      <c r="S481">
        <v>2</v>
      </c>
    </row>
    <row r="482" spans="1:19" hidden="1" x14ac:dyDescent="0.3">
      <c r="A482" t="s">
        <v>503</v>
      </c>
      <c r="B482" t="s">
        <v>504</v>
      </c>
      <c r="C482" t="s">
        <v>6681</v>
      </c>
      <c r="D482" t="s">
        <v>97</v>
      </c>
      <c r="E482" t="s">
        <v>29</v>
      </c>
      <c r="F482" t="s">
        <v>108</v>
      </c>
      <c r="G482" s="6">
        <v>46022</v>
      </c>
      <c r="H482" t="s">
        <v>6823</v>
      </c>
      <c r="I482" t="s">
        <v>57</v>
      </c>
      <c r="J482" t="s">
        <v>103</v>
      </c>
      <c r="K482">
        <v>1.899999999999999</v>
      </c>
      <c r="L482">
        <v>0.11031573713433331</v>
      </c>
      <c r="M482">
        <v>1.3</v>
      </c>
      <c r="N482">
        <v>17.223290614342162</v>
      </c>
      <c r="O482" t="s">
        <v>542</v>
      </c>
      <c r="P482" t="s">
        <v>5350</v>
      </c>
      <c r="Q482" t="s">
        <v>560</v>
      </c>
      <c r="R482">
        <v>2</v>
      </c>
      <c r="S482">
        <v>2</v>
      </c>
    </row>
    <row r="483" spans="1:19" hidden="1" x14ac:dyDescent="0.3">
      <c r="A483" t="s">
        <v>503</v>
      </c>
      <c r="B483" t="s">
        <v>504</v>
      </c>
      <c r="C483" t="s">
        <v>6681</v>
      </c>
      <c r="D483" t="s">
        <v>97</v>
      </c>
      <c r="E483" t="s">
        <v>29</v>
      </c>
      <c r="F483" t="s">
        <v>108</v>
      </c>
      <c r="G483" s="6">
        <v>46387</v>
      </c>
      <c r="H483" t="s">
        <v>6841</v>
      </c>
      <c r="I483" t="s">
        <v>57</v>
      </c>
      <c r="J483" t="s">
        <v>6842</v>
      </c>
      <c r="K483">
        <v>4.7</v>
      </c>
      <c r="L483">
        <v>0</v>
      </c>
      <c r="M483">
        <v>0</v>
      </c>
      <c r="N483">
        <v>0</v>
      </c>
      <c r="O483" t="s">
        <v>561</v>
      </c>
      <c r="P483" t="s">
        <v>122</v>
      </c>
      <c r="Q483" t="s">
        <v>6849</v>
      </c>
      <c r="R483">
        <v>2</v>
      </c>
      <c r="S483">
        <v>2</v>
      </c>
    </row>
    <row r="484" spans="1:19" hidden="1" x14ac:dyDescent="0.3">
      <c r="A484" t="s">
        <v>563</v>
      </c>
      <c r="B484" t="s">
        <v>564</v>
      </c>
      <c r="C484" t="s">
        <v>6681</v>
      </c>
      <c r="D484" t="s">
        <v>97</v>
      </c>
      <c r="E484" t="s">
        <v>98</v>
      </c>
      <c r="F484" t="s">
        <v>108</v>
      </c>
      <c r="G484" s="6">
        <v>44926</v>
      </c>
      <c r="H484" t="s">
        <v>6819</v>
      </c>
      <c r="I484" t="s">
        <v>57</v>
      </c>
      <c r="J484" t="s">
        <v>90</v>
      </c>
      <c r="K484">
        <v>2</v>
      </c>
      <c r="L484">
        <v>0.12</v>
      </c>
      <c r="M484">
        <v>1.3</v>
      </c>
      <c r="N484">
        <v>16.666666666666671</v>
      </c>
      <c r="O484" t="s">
        <v>569</v>
      </c>
      <c r="P484" t="s">
        <v>5446</v>
      </c>
      <c r="Q484" t="s">
        <v>565</v>
      </c>
      <c r="R484">
        <v>2</v>
      </c>
      <c r="S484">
        <v>2</v>
      </c>
    </row>
    <row r="485" spans="1:19" hidden="1" x14ac:dyDescent="0.3">
      <c r="A485" t="s">
        <v>563</v>
      </c>
      <c r="B485" t="s">
        <v>564</v>
      </c>
      <c r="C485" t="s">
        <v>6681</v>
      </c>
      <c r="D485" t="s">
        <v>97</v>
      </c>
      <c r="E485" t="s">
        <v>98</v>
      </c>
      <c r="F485" t="s">
        <v>108</v>
      </c>
      <c r="G485" s="6">
        <v>45291</v>
      </c>
      <c r="H485" t="s">
        <v>6811</v>
      </c>
      <c r="I485" t="s">
        <v>57</v>
      </c>
      <c r="J485" t="s">
        <v>47</v>
      </c>
      <c r="K485">
        <v>2</v>
      </c>
      <c r="L485">
        <v>0.12</v>
      </c>
      <c r="M485">
        <v>1.3</v>
      </c>
      <c r="N485">
        <v>16.666666666666671</v>
      </c>
      <c r="O485" t="s">
        <v>569</v>
      </c>
      <c r="P485" t="s">
        <v>5446</v>
      </c>
      <c r="Q485" t="s">
        <v>566</v>
      </c>
      <c r="R485">
        <v>2</v>
      </c>
      <c r="S485">
        <v>2</v>
      </c>
    </row>
    <row r="486" spans="1:19" hidden="1" x14ac:dyDescent="0.3">
      <c r="A486" t="s">
        <v>563</v>
      </c>
      <c r="B486" t="s">
        <v>564</v>
      </c>
      <c r="C486" t="s">
        <v>6681</v>
      </c>
      <c r="D486" t="s">
        <v>97</v>
      </c>
      <c r="E486" t="s">
        <v>98</v>
      </c>
      <c r="F486" t="s">
        <v>108</v>
      </c>
      <c r="G486" s="6">
        <v>45657</v>
      </c>
      <c r="H486" t="s">
        <v>6816</v>
      </c>
      <c r="I486" t="s">
        <v>57</v>
      </c>
      <c r="J486" t="s">
        <v>78</v>
      </c>
      <c r="K486">
        <v>2</v>
      </c>
      <c r="L486">
        <v>0.1</v>
      </c>
      <c r="M486">
        <v>1.3</v>
      </c>
      <c r="N486">
        <v>20</v>
      </c>
      <c r="O486" t="s">
        <v>569</v>
      </c>
      <c r="P486" t="s">
        <v>5447</v>
      </c>
      <c r="Q486" t="s">
        <v>567</v>
      </c>
      <c r="R486">
        <v>2</v>
      </c>
      <c r="S486">
        <v>2</v>
      </c>
    </row>
    <row r="487" spans="1:19" hidden="1" x14ac:dyDescent="0.3">
      <c r="A487" t="s">
        <v>563</v>
      </c>
      <c r="B487" t="s">
        <v>564</v>
      </c>
      <c r="C487" t="s">
        <v>6681</v>
      </c>
      <c r="D487" t="s">
        <v>97</v>
      </c>
      <c r="E487" t="s">
        <v>98</v>
      </c>
      <c r="F487" t="s">
        <v>108</v>
      </c>
      <c r="G487" s="6">
        <v>46022</v>
      </c>
      <c r="H487" t="s">
        <v>6823</v>
      </c>
      <c r="I487" t="s">
        <v>57</v>
      </c>
      <c r="J487" t="s">
        <v>103</v>
      </c>
      <c r="K487">
        <v>2</v>
      </c>
      <c r="L487">
        <v>0.16</v>
      </c>
      <c r="M487">
        <v>1.3</v>
      </c>
      <c r="N487">
        <v>12.5</v>
      </c>
      <c r="O487" t="s">
        <v>569</v>
      </c>
      <c r="P487" t="s">
        <v>570</v>
      </c>
      <c r="Q487" t="s">
        <v>571</v>
      </c>
      <c r="R487">
        <v>2</v>
      </c>
      <c r="S487">
        <v>2</v>
      </c>
    </row>
    <row r="488" spans="1:19" hidden="1" x14ac:dyDescent="0.3">
      <c r="A488" t="s">
        <v>572</v>
      </c>
      <c r="B488" t="s">
        <v>573</v>
      </c>
      <c r="C488" t="s">
        <v>6681</v>
      </c>
      <c r="D488" t="s">
        <v>97</v>
      </c>
      <c r="E488" t="s">
        <v>98</v>
      </c>
      <c r="F488" t="s">
        <v>108</v>
      </c>
      <c r="G488" s="6">
        <v>44926</v>
      </c>
      <c r="H488" t="s">
        <v>6819</v>
      </c>
      <c r="I488" t="s">
        <v>57</v>
      </c>
      <c r="J488" t="s">
        <v>90</v>
      </c>
      <c r="K488">
        <v>0</v>
      </c>
      <c r="L488">
        <v>0</v>
      </c>
      <c r="M488">
        <v>0</v>
      </c>
      <c r="N488">
        <v>0</v>
      </c>
      <c r="O488" t="s">
        <v>122</v>
      </c>
      <c r="P488" t="s">
        <v>122</v>
      </c>
      <c r="Q488" t="s">
        <v>574</v>
      </c>
      <c r="R488">
        <v>2</v>
      </c>
      <c r="S488">
        <v>2</v>
      </c>
    </row>
    <row r="489" spans="1:19" hidden="1" x14ac:dyDescent="0.3">
      <c r="A489" t="s">
        <v>572</v>
      </c>
      <c r="B489" t="s">
        <v>573</v>
      </c>
      <c r="C489" t="s">
        <v>6681</v>
      </c>
      <c r="D489" t="s">
        <v>97</v>
      </c>
      <c r="E489" t="s">
        <v>98</v>
      </c>
      <c r="F489" t="s">
        <v>108</v>
      </c>
      <c r="G489" s="6">
        <v>45291</v>
      </c>
      <c r="H489" t="s">
        <v>6811</v>
      </c>
      <c r="I489" t="s">
        <v>57</v>
      </c>
      <c r="J489" t="s">
        <v>47</v>
      </c>
      <c r="K489">
        <v>0</v>
      </c>
      <c r="L489">
        <v>0</v>
      </c>
      <c r="M489">
        <v>0</v>
      </c>
      <c r="N489">
        <v>0</v>
      </c>
      <c r="O489" t="s">
        <v>122</v>
      </c>
      <c r="P489" t="s">
        <v>122</v>
      </c>
      <c r="Q489" t="s">
        <v>575</v>
      </c>
      <c r="R489">
        <v>2</v>
      </c>
      <c r="S489">
        <v>2</v>
      </c>
    </row>
    <row r="490" spans="1:19" hidden="1" x14ac:dyDescent="0.3">
      <c r="A490" t="s">
        <v>572</v>
      </c>
      <c r="B490" t="s">
        <v>573</v>
      </c>
      <c r="C490" t="s">
        <v>6681</v>
      </c>
      <c r="D490" t="s">
        <v>97</v>
      </c>
      <c r="E490" t="s">
        <v>98</v>
      </c>
      <c r="F490" t="s">
        <v>108</v>
      </c>
      <c r="G490" s="6">
        <v>45657</v>
      </c>
      <c r="H490" t="s">
        <v>6816</v>
      </c>
      <c r="I490" t="s">
        <v>57</v>
      </c>
      <c r="J490" t="s">
        <v>78</v>
      </c>
      <c r="K490">
        <v>0</v>
      </c>
      <c r="L490">
        <v>0</v>
      </c>
      <c r="M490">
        <v>0</v>
      </c>
      <c r="N490">
        <v>0</v>
      </c>
      <c r="O490" t="s">
        <v>122</v>
      </c>
      <c r="P490" t="s">
        <v>122</v>
      </c>
      <c r="Q490" t="s">
        <v>576</v>
      </c>
      <c r="R490">
        <v>2</v>
      </c>
      <c r="S490">
        <v>2</v>
      </c>
    </row>
    <row r="491" spans="1:19" hidden="1" x14ac:dyDescent="0.3">
      <c r="A491" t="s">
        <v>572</v>
      </c>
      <c r="B491" t="s">
        <v>573</v>
      </c>
      <c r="C491" t="s">
        <v>6681</v>
      </c>
      <c r="D491" t="s">
        <v>97</v>
      </c>
      <c r="E491" t="s">
        <v>98</v>
      </c>
      <c r="F491" t="s">
        <v>108</v>
      </c>
      <c r="G491" s="6">
        <v>46022</v>
      </c>
      <c r="H491" t="s">
        <v>6823</v>
      </c>
      <c r="I491" t="s">
        <v>57</v>
      </c>
      <c r="J491" t="s">
        <v>103</v>
      </c>
      <c r="K491">
        <v>0</v>
      </c>
      <c r="L491">
        <v>0</v>
      </c>
      <c r="M491">
        <v>0</v>
      </c>
      <c r="N491">
        <v>0</v>
      </c>
      <c r="O491" t="s">
        <v>122</v>
      </c>
      <c r="P491" t="s">
        <v>122</v>
      </c>
      <c r="Q491" t="s">
        <v>577</v>
      </c>
      <c r="R491">
        <v>2</v>
      </c>
      <c r="S491">
        <v>2</v>
      </c>
    </row>
    <row r="492" spans="1:19" hidden="1" x14ac:dyDescent="0.3">
      <c r="A492" t="s">
        <v>578</v>
      </c>
      <c r="B492" t="s">
        <v>579</v>
      </c>
      <c r="C492" t="s">
        <v>6681</v>
      </c>
      <c r="D492" t="s">
        <v>97</v>
      </c>
      <c r="E492" t="s">
        <v>29</v>
      </c>
      <c r="F492" t="s">
        <v>108</v>
      </c>
      <c r="G492" s="6">
        <v>44926</v>
      </c>
      <c r="H492" t="s">
        <v>6819</v>
      </c>
      <c r="I492" t="s">
        <v>57</v>
      </c>
      <c r="J492" t="s">
        <v>90</v>
      </c>
      <c r="K492">
        <v>1</v>
      </c>
      <c r="L492">
        <v>0.78500000000000003</v>
      </c>
      <c r="M492">
        <v>1.2738853503184711</v>
      </c>
      <c r="N492">
        <v>1.2738853503184711</v>
      </c>
      <c r="O492" t="s">
        <v>617</v>
      </c>
      <c r="P492" t="s">
        <v>5922</v>
      </c>
      <c r="Q492" t="s">
        <v>591</v>
      </c>
      <c r="R492">
        <v>2</v>
      </c>
      <c r="S492">
        <v>2</v>
      </c>
    </row>
    <row r="493" spans="1:19" hidden="1" x14ac:dyDescent="0.3">
      <c r="A493" t="s">
        <v>578</v>
      </c>
      <c r="B493" t="s">
        <v>579</v>
      </c>
      <c r="C493" t="s">
        <v>6681</v>
      </c>
      <c r="D493" t="s">
        <v>97</v>
      </c>
      <c r="E493" t="s">
        <v>29</v>
      </c>
      <c r="F493" t="s">
        <v>108</v>
      </c>
      <c r="G493" s="6">
        <v>45291</v>
      </c>
      <c r="H493" t="s">
        <v>6811</v>
      </c>
      <c r="I493" t="s">
        <v>57</v>
      </c>
      <c r="J493" t="s">
        <v>47</v>
      </c>
      <c r="K493">
        <v>1</v>
      </c>
      <c r="L493">
        <v>0.84635235575711765</v>
      </c>
      <c r="M493">
        <v>1.181540989633608</v>
      </c>
      <c r="N493">
        <v>1.181540989633608</v>
      </c>
      <c r="O493" t="s">
        <v>617</v>
      </c>
      <c r="P493" t="s">
        <v>2458</v>
      </c>
      <c r="Q493" t="s">
        <v>603</v>
      </c>
      <c r="R493">
        <v>2</v>
      </c>
      <c r="S493">
        <v>2</v>
      </c>
    </row>
    <row r="494" spans="1:19" hidden="1" x14ac:dyDescent="0.3">
      <c r="A494" t="s">
        <v>578</v>
      </c>
      <c r="B494" t="s">
        <v>579</v>
      </c>
      <c r="C494" t="s">
        <v>6681</v>
      </c>
      <c r="D494" t="s">
        <v>97</v>
      </c>
      <c r="E494" t="s">
        <v>29</v>
      </c>
      <c r="F494" t="s">
        <v>108</v>
      </c>
      <c r="G494" s="6">
        <v>45657</v>
      </c>
      <c r="H494" t="s">
        <v>6816</v>
      </c>
      <c r="I494" t="s">
        <v>57</v>
      </c>
      <c r="J494" t="s">
        <v>78</v>
      </c>
      <c r="K494">
        <v>1</v>
      </c>
      <c r="L494">
        <v>0.68083333333333351</v>
      </c>
      <c r="M494">
        <v>1.3</v>
      </c>
      <c r="N494">
        <v>1.4687882496940019</v>
      </c>
      <c r="O494" t="s">
        <v>617</v>
      </c>
      <c r="P494" t="s">
        <v>6850</v>
      </c>
      <c r="Q494" t="s">
        <v>615</v>
      </c>
      <c r="R494">
        <v>2</v>
      </c>
      <c r="S494">
        <v>2</v>
      </c>
    </row>
    <row r="495" spans="1:19" hidden="1" x14ac:dyDescent="0.3">
      <c r="A495" t="s">
        <v>578</v>
      </c>
      <c r="B495" t="s">
        <v>579</v>
      </c>
      <c r="C495" t="s">
        <v>6681</v>
      </c>
      <c r="D495" t="s">
        <v>97</v>
      </c>
      <c r="E495" t="s">
        <v>29</v>
      </c>
      <c r="F495" t="s">
        <v>108</v>
      </c>
      <c r="G495" s="6">
        <v>46022</v>
      </c>
      <c r="H495" t="s">
        <v>6823</v>
      </c>
      <c r="I495" t="s">
        <v>57</v>
      </c>
      <c r="J495" t="s">
        <v>103</v>
      </c>
      <c r="K495">
        <v>1</v>
      </c>
      <c r="L495">
        <v>0.9236363636363637</v>
      </c>
      <c r="M495">
        <v>1.082677165354331</v>
      </c>
      <c r="N495">
        <v>1.082677165354331</v>
      </c>
      <c r="O495" t="s">
        <v>617</v>
      </c>
      <c r="P495" t="s">
        <v>6851</v>
      </c>
      <c r="Q495" t="s">
        <v>645</v>
      </c>
      <c r="R495">
        <v>2</v>
      </c>
      <c r="S495">
        <v>2</v>
      </c>
    </row>
    <row r="496" spans="1:19" hidden="1" x14ac:dyDescent="0.3">
      <c r="A496" t="s">
        <v>578</v>
      </c>
      <c r="B496" t="s">
        <v>579</v>
      </c>
      <c r="C496" t="s">
        <v>6681</v>
      </c>
      <c r="D496" t="s">
        <v>97</v>
      </c>
      <c r="E496" t="s">
        <v>29</v>
      </c>
      <c r="F496" t="s">
        <v>108</v>
      </c>
      <c r="G496" s="6">
        <v>46387</v>
      </c>
      <c r="H496" t="s">
        <v>6841</v>
      </c>
      <c r="I496" t="s">
        <v>57</v>
      </c>
      <c r="J496" t="s">
        <v>6842</v>
      </c>
      <c r="K496">
        <v>1</v>
      </c>
      <c r="L496">
        <v>0.69</v>
      </c>
      <c r="M496">
        <v>1.3</v>
      </c>
      <c r="N496">
        <v>1.449275362318841</v>
      </c>
      <c r="O496" t="s">
        <v>617</v>
      </c>
      <c r="P496" t="s">
        <v>640</v>
      </c>
      <c r="Q496" t="s">
        <v>6852</v>
      </c>
      <c r="R496">
        <v>2</v>
      </c>
      <c r="S496">
        <v>2</v>
      </c>
    </row>
    <row r="497" spans="1:19" hidden="1" x14ac:dyDescent="0.3">
      <c r="A497" t="s">
        <v>647</v>
      </c>
      <c r="B497" t="s">
        <v>648</v>
      </c>
      <c r="D497" t="s">
        <v>649</v>
      </c>
      <c r="E497" t="s">
        <v>29</v>
      </c>
      <c r="F497" t="s">
        <v>30</v>
      </c>
      <c r="G497" s="6">
        <v>45291</v>
      </c>
      <c r="H497" t="s">
        <v>6811</v>
      </c>
      <c r="I497" t="s">
        <v>57</v>
      </c>
      <c r="J497" t="s">
        <v>47</v>
      </c>
      <c r="K497">
        <v>63.428571428571431</v>
      </c>
      <c r="L497">
        <v>55.714285714285722</v>
      </c>
      <c r="M497">
        <v>0.8783783783783784</v>
      </c>
      <c r="N497">
        <v>0.8783783783783784</v>
      </c>
      <c r="O497" t="s">
        <v>6853</v>
      </c>
      <c r="P497" t="s">
        <v>6854</v>
      </c>
      <c r="Q497" t="s">
        <v>656</v>
      </c>
      <c r="R497">
        <v>2</v>
      </c>
      <c r="S497">
        <v>2</v>
      </c>
    </row>
    <row r="498" spans="1:19" hidden="1" x14ac:dyDescent="0.3">
      <c r="A498" t="s">
        <v>647</v>
      </c>
      <c r="B498" t="s">
        <v>648</v>
      </c>
      <c r="D498" t="s">
        <v>649</v>
      </c>
      <c r="E498" t="s">
        <v>29</v>
      </c>
      <c r="F498" t="s">
        <v>30</v>
      </c>
      <c r="G498" s="6">
        <v>45657</v>
      </c>
      <c r="H498" t="s">
        <v>6816</v>
      </c>
      <c r="I498" t="s">
        <v>57</v>
      </c>
      <c r="J498" t="s">
        <v>78</v>
      </c>
      <c r="K498">
        <v>100</v>
      </c>
      <c r="L498">
        <v>100</v>
      </c>
      <c r="M498">
        <v>1</v>
      </c>
      <c r="N498">
        <v>1</v>
      </c>
      <c r="O498" t="s">
        <v>102</v>
      </c>
      <c r="P498" t="s">
        <v>102</v>
      </c>
      <c r="Q498" t="s">
        <v>6855</v>
      </c>
      <c r="R498">
        <v>2</v>
      </c>
      <c r="S498">
        <v>2</v>
      </c>
    </row>
    <row r="499" spans="1:19" hidden="1" x14ac:dyDescent="0.3">
      <c r="A499" t="s">
        <v>658</v>
      </c>
      <c r="B499" t="s">
        <v>659</v>
      </c>
      <c r="D499" t="s">
        <v>187</v>
      </c>
      <c r="E499" t="s">
        <v>29</v>
      </c>
      <c r="F499" t="s">
        <v>30</v>
      </c>
      <c r="G499" s="6">
        <v>44926</v>
      </c>
      <c r="H499" t="s">
        <v>6819</v>
      </c>
      <c r="I499" t="s">
        <v>57</v>
      </c>
      <c r="J499" t="s">
        <v>90</v>
      </c>
      <c r="K499">
        <v>57</v>
      </c>
      <c r="L499">
        <v>71</v>
      </c>
      <c r="M499">
        <v>1.245614035087719</v>
      </c>
      <c r="N499">
        <v>1.245614035087719</v>
      </c>
      <c r="O499" t="s">
        <v>5368</v>
      </c>
      <c r="P499" t="s">
        <v>2018</v>
      </c>
      <c r="Q499" t="s">
        <v>660</v>
      </c>
      <c r="R499">
        <v>2</v>
      </c>
      <c r="S499">
        <v>2</v>
      </c>
    </row>
    <row r="500" spans="1:19" hidden="1" x14ac:dyDescent="0.3">
      <c r="A500" t="s">
        <v>658</v>
      </c>
      <c r="B500" t="s">
        <v>659</v>
      </c>
      <c r="C500" t="s">
        <v>6622</v>
      </c>
      <c r="D500" t="s">
        <v>187</v>
      </c>
      <c r="E500" t="s">
        <v>29</v>
      </c>
      <c r="F500" t="s">
        <v>30</v>
      </c>
      <c r="G500" s="6">
        <v>45107</v>
      </c>
      <c r="H500">
        <v>2023</v>
      </c>
      <c r="I500" t="s">
        <v>44</v>
      </c>
      <c r="J500" t="s">
        <v>33</v>
      </c>
      <c r="K500">
        <v>100</v>
      </c>
      <c r="L500">
        <v>100</v>
      </c>
      <c r="M500">
        <v>1</v>
      </c>
      <c r="N500">
        <v>1</v>
      </c>
      <c r="O500" t="s">
        <v>31</v>
      </c>
      <c r="P500" t="s">
        <v>31</v>
      </c>
      <c r="Q500" t="s">
        <v>661</v>
      </c>
      <c r="R500">
        <v>0</v>
      </c>
      <c r="S500">
        <v>0</v>
      </c>
    </row>
    <row r="501" spans="1:19" hidden="1" x14ac:dyDescent="0.3">
      <c r="A501" t="s">
        <v>658</v>
      </c>
      <c r="B501" t="s">
        <v>659</v>
      </c>
      <c r="D501" t="s">
        <v>187</v>
      </c>
      <c r="E501" t="s">
        <v>29</v>
      </c>
      <c r="F501" t="s">
        <v>30</v>
      </c>
      <c r="G501" s="6">
        <v>45291</v>
      </c>
      <c r="H501" t="s">
        <v>6811</v>
      </c>
      <c r="I501" t="s">
        <v>57</v>
      </c>
      <c r="J501" t="s">
        <v>47</v>
      </c>
      <c r="K501">
        <v>100</v>
      </c>
      <c r="L501">
        <v>100</v>
      </c>
      <c r="M501">
        <v>1</v>
      </c>
      <c r="N501">
        <v>1</v>
      </c>
      <c r="O501" t="s">
        <v>102</v>
      </c>
      <c r="P501" t="s">
        <v>102</v>
      </c>
      <c r="Q501" t="s">
        <v>6856</v>
      </c>
      <c r="R501">
        <v>2</v>
      </c>
      <c r="S501">
        <v>2</v>
      </c>
    </row>
    <row r="502" spans="1:19" hidden="1" x14ac:dyDescent="0.3">
      <c r="A502" t="s">
        <v>658</v>
      </c>
      <c r="B502" t="s">
        <v>659</v>
      </c>
      <c r="C502" t="s">
        <v>6622</v>
      </c>
      <c r="D502" t="s">
        <v>187</v>
      </c>
      <c r="E502" t="s">
        <v>29</v>
      </c>
      <c r="F502" t="s">
        <v>30</v>
      </c>
      <c r="G502" s="6">
        <v>46023</v>
      </c>
      <c r="H502" t="s">
        <v>6623</v>
      </c>
      <c r="I502" t="s">
        <v>6623</v>
      </c>
      <c r="J502" t="s">
        <v>6623</v>
      </c>
      <c r="K502">
        <v>100</v>
      </c>
      <c r="L502">
        <v>100</v>
      </c>
      <c r="M502">
        <v>1</v>
      </c>
      <c r="N502">
        <v>1</v>
      </c>
      <c r="O502" t="s">
        <v>31</v>
      </c>
      <c r="P502" t="s">
        <v>31</v>
      </c>
      <c r="Q502" t="s">
        <v>6857</v>
      </c>
      <c r="R502">
        <v>0</v>
      </c>
      <c r="S502">
        <v>0</v>
      </c>
    </row>
    <row r="503" spans="1:19" hidden="1" x14ac:dyDescent="0.3">
      <c r="A503" t="s">
        <v>662</v>
      </c>
      <c r="B503" t="s">
        <v>125</v>
      </c>
      <c r="C503" t="s">
        <v>6622</v>
      </c>
      <c r="D503" t="s">
        <v>663</v>
      </c>
      <c r="E503" t="s">
        <v>98</v>
      </c>
      <c r="F503" t="s">
        <v>30</v>
      </c>
      <c r="G503" s="6">
        <v>44926</v>
      </c>
      <c r="H503" t="s">
        <v>6819</v>
      </c>
      <c r="I503" t="s">
        <v>57</v>
      </c>
      <c r="J503" t="s">
        <v>90</v>
      </c>
      <c r="K503">
        <v>80</v>
      </c>
      <c r="L503">
        <v>84.895356277709197</v>
      </c>
      <c r="M503">
        <v>1.061191953471365</v>
      </c>
      <c r="N503">
        <v>1.061191953471365</v>
      </c>
      <c r="O503" t="s">
        <v>193</v>
      </c>
      <c r="P503" t="s">
        <v>5457</v>
      </c>
      <c r="Q503" t="s">
        <v>5458</v>
      </c>
      <c r="R503">
        <v>2</v>
      </c>
      <c r="S503">
        <v>2</v>
      </c>
    </row>
    <row r="504" spans="1:19" hidden="1" x14ac:dyDescent="0.3">
      <c r="A504" t="s">
        <v>662</v>
      </c>
      <c r="B504" t="s">
        <v>125</v>
      </c>
      <c r="C504" t="s">
        <v>6622</v>
      </c>
      <c r="D504" t="s">
        <v>663</v>
      </c>
      <c r="E504" t="s">
        <v>98</v>
      </c>
      <c r="F504" t="s">
        <v>30</v>
      </c>
      <c r="G504" s="6">
        <v>45291</v>
      </c>
      <c r="H504" t="s">
        <v>6811</v>
      </c>
      <c r="I504" t="s">
        <v>57</v>
      </c>
      <c r="J504" t="s">
        <v>47</v>
      </c>
      <c r="K504">
        <v>80</v>
      </c>
      <c r="L504">
        <v>92.789115646258509</v>
      </c>
      <c r="M504">
        <v>1.1598639455782309</v>
      </c>
      <c r="N504">
        <v>1.1598639455782309</v>
      </c>
      <c r="O504" t="s">
        <v>193</v>
      </c>
      <c r="P504" t="s">
        <v>5459</v>
      </c>
      <c r="Q504" t="s">
        <v>665</v>
      </c>
      <c r="R504">
        <v>2</v>
      </c>
      <c r="S504">
        <v>2</v>
      </c>
    </row>
    <row r="505" spans="1:19" hidden="1" x14ac:dyDescent="0.3">
      <c r="A505" t="s">
        <v>662</v>
      </c>
      <c r="B505" t="s">
        <v>125</v>
      </c>
      <c r="C505" t="s">
        <v>6622</v>
      </c>
      <c r="D505" t="s">
        <v>663</v>
      </c>
      <c r="E505" t="s">
        <v>98</v>
      </c>
      <c r="F505" t="s">
        <v>30</v>
      </c>
      <c r="G505" s="6">
        <v>45657</v>
      </c>
      <c r="H505" t="s">
        <v>6816</v>
      </c>
      <c r="I505" t="s">
        <v>57</v>
      </c>
      <c r="J505" t="s">
        <v>78</v>
      </c>
      <c r="K505">
        <v>80</v>
      </c>
      <c r="L505">
        <v>91</v>
      </c>
      <c r="M505">
        <v>1.1375</v>
      </c>
      <c r="N505">
        <v>1.1375</v>
      </c>
      <c r="O505" t="s">
        <v>193</v>
      </c>
      <c r="P505" t="s">
        <v>5460</v>
      </c>
      <c r="Q505" t="s">
        <v>666</v>
      </c>
      <c r="R505">
        <v>2</v>
      </c>
      <c r="S505">
        <v>2</v>
      </c>
    </row>
    <row r="506" spans="1:19" hidden="1" x14ac:dyDescent="0.3">
      <c r="A506" t="s">
        <v>662</v>
      </c>
      <c r="B506" t="s">
        <v>125</v>
      </c>
      <c r="C506" t="s">
        <v>6622</v>
      </c>
      <c r="D506" t="s">
        <v>663</v>
      </c>
      <c r="E506" t="s">
        <v>98</v>
      </c>
      <c r="F506" t="s">
        <v>30</v>
      </c>
      <c r="G506" s="6">
        <v>46022</v>
      </c>
      <c r="H506" t="s">
        <v>6823</v>
      </c>
      <c r="I506" t="s">
        <v>57</v>
      </c>
      <c r="J506" t="s">
        <v>103</v>
      </c>
      <c r="K506">
        <v>80</v>
      </c>
      <c r="L506">
        <v>96</v>
      </c>
      <c r="M506">
        <v>1.2</v>
      </c>
      <c r="N506">
        <v>1.2</v>
      </c>
      <c r="O506" t="s">
        <v>193</v>
      </c>
      <c r="P506" t="s">
        <v>668</v>
      </c>
      <c r="Q506" t="s">
        <v>5461</v>
      </c>
      <c r="R506">
        <v>2</v>
      </c>
      <c r="S506">
        <v>2</v>
      </c>
    </row>
    <row r="507" spans="1:19" hidden="1" x14ac:dyDescent="0.3">
      <c r="A507" t="s">
        <v>670</v>
      </c>
      <c r="B507" t="s">
        <v>671</v>
      </c>
      <c r="D507" t="s">
        <v>672</v>
      </c>
      <c r="E507" t="s">
        <v>222</v>
      </c>
      <c r="F507" t="s">
        <v>30</v>
      </c>
      <c r="G507" s="6">
        <v>45291</v>
      </c>
      <c r="H507" t="s">
        <v>6811</v>
      </c>
      <c r="I507" t="s">
        <v>57</v>
      </c>
      <c r="J507" t="s">
        <v>47</v>
      </c>
      <c r="K507">
        <v>90</v>
      </c>
      <c r="L507">
        <v>100</v>
      </c>
      <c r="M507">
        <v>1.1111111111111109</v>
      </c>
      <c r="N507">
        <v>1.1111111111111109</v>
      </c>
      <c r="O507" t="s">
        <v>256</v>
      </c>
      <c r="P507" t="s">
        <v>102</v>
      </c>
      <c r="Q507" t="s">
        <v>674</v>
      </c>
      <c r="R507">
        <v>2</v>
      </c>
      <c r="S507">
        <v>2</v>
      </c>
    </row>
    <row r="508" spans="1:19" hidden="1" x14ac:dyDescent="0.3">
      <c r="A508" t="s">
        <v>670</v>
      </c>
      <c r="B508" t="s">
        <v>671</v>
      </c>
      <c r="D508" t="s">
        <v>672</v>
      </c>
      <c r="E508" t="s">
        <v>222</v>
      </c>
      <c r="F508" t="s">
        <v>30</v>
      </c>
      <c r="G508" s="6">
        <v>45657</v>
      </c>
      <c r="H508" t="s">
        <v>6816</v>
      </c>
      <c r="I508" t="s">
        <v>57</v>
      </c>
      <c r="J508" t="s">
        <v>78</v>
      </c>
      <c r="K508">
        <v>90</v>
      </c>
      <c r="L508">
        <v>95.24</v>
      </c>
      <c r="M508">
        <v>1.058222222222222</v>
      </c>
      <c r="N508">
        <v>1.058222222222222</v>
      </c>
      <c r="O508" t="s">
        <v>256</v>
      </c>
      <c r="P508" t="s">
        <v>5464</v>
      </c>
      <c r="Q508" t="s">
        <v>6858</v>
      </c>
      <c r="R508">
        <v>2</v>
      </c>
      <c r="S508">
        <v>2</v>
      </c>
    </row>
    <row r="509" spans="1:19" hidden="1" x14ac:dyDescent="0.3">
      <c r="A509" t="s">
        <v>676</v>
      </c>
      <c r="B509" t="s">
        <v>677</v>
      </c>
      <c r="D509" t="s">
        <v>672</v>
      </c>
      <c r="E509" t="s">
        <v>233</v>
      </c>
      <c r="F509" t="s">
        <v>30</v>
      </c>
      <c r="G509" s="6">
        <v>45291</v>
      </c>
      <c r="H509" t="s">
        <v>6811</v>
      </c>
      <c r="I509" t="s">
        <v>57</v>
      </c>
      <c r="J509" t="s">
        <v>47</v>
      </c>
      <c r="K509">
        <v>111.75</v>
      </c>
      <c r="L509">
        <v>112</v>
      </c>
      <c r="M509">
        <v>1.002237136465324</v>
      </c>
      <c r="N509">
        <v>1.002237136465324</v>
      </c>
      <c r="O509" t="s">
        <v>6859</v>
      </c>
      <c r="P509" t="s">
        <v>5538</v>
      </c>
      <c r="Q509" t="s">
        <v>681</v>
      </c>
      <c r="R509">
        <v>2</v>
      </c>
      <c r="S509">
        <v>2</v>
      </c>
    </row>
    <row r="510" spans="1:19" hidden="1" x14ac:dyDescent="0.3">
      <c r="A510" t="s">
        <v>676</v>
      </c>
      <c r="B510" t="s">
        <v>677</v>
      </c>
      <c r="D510" t="s">
        <v>672</v>
      </c>
      <c r="E510" t="s">
        <v>233</v>
      </c>
      <c r="F510" t="s">
        <v>30</v>
      </c>
      <c r="G510" s="6">
        <v>45657</v>
      </c>
      <c r="H510" t="s">
        <v>6816</v>
      </c>
      <c r="I510" t="s">
        <v>57</v>
      </c>
      <c r="J510" t="s">
        <v>78</v>
      </c>
      <c r="K510">
        <v>90</v>
      </c>
      <c r="L510">
        <v>100</v>
      </c>
      <c r="M510">
        <v>1.1111111111111109</v>
      </c>
      <c r="N510">
        <v>1.1111111111111109</v>
      </c>
      <c r="O510" t="s">
        <v>256</v>
      </c>
      <c r="P510" t="s">
        <v>102</v>
      </c>
      <c r="Q510" t="s">
        <v>6860</v>
      </c>
      <c r="R510">
        <v>2</v>
      </c>
      <c r="S510">
        <v>2</v>
      </c>
    </row>
    <row r="511" spans="1:19" hidden="1" x14ac:dyDescent="0.3">
      <c r="A511" t="s">
        <v>683</v>
      </c>
      <c r="B511" t="s">
        <v>684</v>
      </c>
      <c r="D511" t="s">
        <v>672</v>
      </c>
      <c r="E511" t="s">
        <v>29</v>
      </c>
      <c r="F511" t="s">
        <v>108</v>
      </c>
      <c r="G511" s="6">
        <v>45291</v>
      </c>
      <c r="H511" t="s">
        <v>6811</v>
      </c>
      <c r="I511" t="s">
        <v>57</v>
      </c>
      <c r="J511" t="s">
        <v>47</v>
      </c>
      <c r="K511">
        <v>579.28533333333337</v>
      </c>
      <c r="L511">
        <v>467.45283333333327</v>
      </c>
      <c r="M511">
        <v>1.239238040772028</v>
      </c>
      <c r="N511">
        <v>1.239238040772028</v>
      </c>
      <c r="O511" t="s">
        <v>6861</v>
      </c>
      <c r="P511" t="s">
        <v>6862</v>
      </c>
      <c r="Q511" t="s">
        <v>696</v>
      </c>
      <c r="R511">
        <v>2</v>
      </c>
      <c r="S511">
        <v>2</v>
      </c>
    </row>
    <row r="512" spans="1:19" hidden="1" x14ac:dyDescent="0.3">
      <c r="A512" t="s">
        <v>683</v>
      </c>
      <c r="B512" t="s">
        <v>684</v>
      </c>
      <c r="D512" t="s">
        <v>672</v>
      </c>
      <c r="E512" t="s">
        <v>29</v>
      </c>
      <c r="F512" t="s">
        <v>108</v>
      </c>
      <c r="G512" s="6">
        <v>45657</v>
      </c>
      <c r="H512" t="s">
        <v>6816</v>
      </c>
      <c r="I512" t="s">
        <v>57</v>
      </c>
      <c r="J512" t="s">
        <v>78</v>
      </c>
      <c r="K512">
        <v>856.32913300000018</v>
      </c>
      <c r="L512">
        <v>583.38417858333344</v>
      </c>
      <c r="M512">
        <v>1.3</v>
      </c>
      <c r="N512">
        <v>1.4678648555047811</v>
      </c>
      <c r="O512" t="s">
        <v>6863</v>
      </c>
      <c r="P512" t="s">
        <v>6864</v>
      </c>
      <c r="Q512" t="s">
        <v>708</v>
      </c>
      <c r="R512">
        <v>2</v>
      </c>
      <c r="S512">
        <v>2</v>
      </c>
    </row>
    <row r="513" spans="1:19" hidden="1" x14ac:dyDescent="0.3">
      <c r="A513" t="s">
        <v>683</v>
      </c>
      <c r="B513" t="s">
        <v>684</v>
      </c>
      <c r="D513" t="s">
        <v>672</v>
      </c>
      <c r="E513" t="s">
        <v>29</v>
      </c>
      <c r="F513" t="s">
        <v>108</v>
      </c>
      <c r="G513" s="6">
        <v>46022</v>
      </c>
      <c r="H513" t="s">
        <v>6823</v>
      </c>
      <c r="I513" t="s">
        <v>57</v>
      </c>
      <c r="J513" t="s">
        <v>103</v>
      </c>
      <c r="K513">
        <v>329.35078833333341</v>
      </c>
      <c r="L513">
        <v>241.66333316666669</v>
      </c>
      <c r="M513">
        <v>1.3</v>
      </c>
      <c r="N513">
        <v>1.362849647141926</v>
      </c>
      <c r="O513" t="s">
        <v>5475</v>
      </c>
      <c r="P513" t="s">
        <v>5476</v>
      </c>
      <c r="Q513" t="s">
        <v>6865</v>
      </c>
      <c r="R513">
        <v>2</v>
      </c>
      <c r="S513">
        <v>2</v>
      </c>
    </row>
    <row r="514" spans="1:19" hidden="1" x14ac:dyDescent="0.3">
      <c r="A514" t="s">
        <v>715</v>
      </c>
      <c r="B514" t="s">
        <v>716</v>
      </c>
      <c r="D514" t="s">
        <v>717</v>
      </c>
      <c r="E514" t="s">
        <v>222</v>
      </c>
      <c r="F514" t="s">
        <v>30</v>
      </c>
      <c r="G514" s="6">
        <v>44926</v>
      </c>
      <c r="H514" t="s">
        <v>6819</v>
      </c>
      <c r="I514" t="s">
        <v>57</v>
      </c>
      <c r="J514" t="s">
        <v>90</v>
      </c>
      <c r="K514">
        <v>49717</v>
      </c>
      <c r="L514">
        <v>50624</v>
      </c>
      <c r="M514">
        <v>1.018243256833679</v>
      </c>
      <c r="N514">
        <v>1.018243256833679</v>
      </c>
      <c r="O514" t="s">
        <v>6866</v>
      </c>
      <c r="P514" t="s">
        <v>6867</v>
      </c>
      <c r="Q514" t="s">
        <v>720</v>
      </c>
      <c r="R514">
        <v>2</v>
      </c>
      <c r="S514">
        <v>2</v>
      </c>
    </row>
    <row r="515" spans="1:19" hidden="1" x14ac:dyDescent="0.3">
      <c r="A515" t="s">
        <v>715</v>
      </c>
      <c r="B515" t="s">
        <v>716</v>
      </c>
      <c r="D515" t="s">
        <v>717</v>
      </c>
      <c r="E515" t="s">
        <v>222</v>
      </c>
      <c r="F515" t="s">
        <v>30</v>
      </c>
      <c r="G515" s="6">
        <v>45291</v>
      </c>
      <c r="H515" t="s">
        <v>6811</v>
      </c>
      <c r="I515" t="s">
        <v>57</v>
      </c>
      <c r="J515" t="s">
        <v>47</v>
      </c>
      <c r="K515">
        <v>51932</v>
      </c>
      <c r="L515">
        <v>51424</v>
      </c>
      <c r="M515">
        <v>0.99021797735500272</v>
      </c>
      <c r="N515">
        <v>0.99021797735500272</v>
      </c>
      <c r="O515" t="s">
        <v>6868</v>
      </c>
      <c r="P515" t="s">
        <v>6869</v>
      </c>
      <c r="Q515" t="s">
        <v>722</v>
      </c>
      <c r="R515">
        <v>2</v>
      </c>
      <c r="S515">
        <v>2</v>
      </c>
    </row>
    <row r="516" spans="1:19" hidden="1" x14ac:dyDescent="0.3">
      <c r="A516" t="s">
        <v>715</v>
      </c>
      <c r="B516" t="s">
        <v>716</v>
      </c>
      <c r="D516" t="s">
        <v>717</v>
      </c>
      <c r="E516" t="s">
        <v>222</v>
      </c>
      <c r="F516" t="s">
        <v>30</v>
      </c>
      <c r="G516" s="6">
        <v>45657</v>
      </c>
      <c r="H516" t="s">
        <v>6816</v>
      </c>
      <c r="I516" t="s">
        <v>57</v>
      </c>
      <c r="J516" t="s">
        <v>78</v>
      </c>
      <c r="K516">
        <v>51759.760117004203</v>
      </c>
      <c r="L516">
        <v>52295</v>
      </c>
      <c r="M516">
        <v>1.0103408493738359</v>
      </c>
      <c r="N516">
        <v>1.0103408493738359</v>
      </c>
      <c r="O516" t="s">
        <v>6870</v>
      </c>
      <c r="P516" t="s">
        <v>6871</v>
      </c>
      <c r="Q516" t="s">
        <v>724</v>
      </c>
      <c r="R516">
        <v>2</v>
      </c>
      <c r="S516">
        <v>2</v>
      </c>
    </row>
    <row r="517" spans="1:19" hidden="1" x14ac:dyDescent="0.3">
      <c r="A517" t="s">
        <v>725</v>
      </c>
      <c r="B517" t="s">
        <v>726</v>
      </c>
      <c r="D517" t="s">
        <v>717</v>
      </c>
      <c r="E517" t="s">
        <v>222</v>
      </c>
      <c r="F517" t="s">
        <v>30</v>
      </c>
      <c r="G517" s="6">
        <v>44926</v>
      </c>
      <c r="H517" t="s">
        <v>6819</v>
      </c>
      <c r="I517" t="s">
        <v>57</v>
      </c>
      <c r="J517" t="s">
        <v>90</v>
      </c>
      <c r="K517">
        <v>7135.5</v>
      </c>
      <c r="L517">
        <v>7595</v>
      </c>
      <c r="M517">
        <v>1.0643963282180651</v>
      </c>
      <c r="N517">
        <v>1.0643963282180651</v>
      </c>
      <c r="O517" t="s">
        <v>6872</v>
      </c>
      <c r="P517" t="s">
        <v>6873</v>
      </c>
      <c r="Q517" t="s">
        <v>728</v>
      </c>
      <c r="R517">
        <v>2</v>
      </c>
      <c r="S517">
        <v>2</v>
      </c>
    </row>
    <row r="518" spans="1:19" hidden="1" x14ac:dyDescent="0.3">
      <c r="A518" t="s">
        <v>725</v>
      </c>
      <c r="B518" t="s">
        <v>726</v>
      </c>
      <c r="D518" t="s">
        <v>730</v>
      </c>
      <c r="E518" t="s">
        <v>222</v>
      </c>
      <c r="F518" t="s">
        <v>30</v>
      </c>
      <c r="G518" s="6">
        <v>45291</v>
      </c>
      <c r="H518" t="s">
        <v>6811</v>
      </c>
      <c r="I518" t="s">
        <v>57</v>
      </c>
      <c r="J518" t="s">
        <v>47</v>
      </c>
      <c r="K518">
        <v>7721</v>
      </c>
      <c r="L518">
        <v>7989.5</v>
      </c>
      <c r="M518">
        <v>1.0347752881751071</v>
      </c>
      <c r="N518">
        <v>1.0347752881751071</v>
      </c>
      <c r="O518" t="s">
        <v>6874</v>
      </c>
      <c r="P518" t="s">
        <v>6875</v>
      </c>
      <c r="Q518" t="s">
        <v>731</v>
      </c>
      <c r="R518">
        <v>2</v>
      </c>
      <c r="S518">
        <v>2</v>
      </c>
    </row>
    <row r="519" spans="1:19" hidden="1" x14ac:dyDescent="0.3">
      <c r="A519" t="s">
        <v>725</v>
      </c>
      <c r="B519" t="s">
        <v>726</v>
      </c>
      <c r="D519" t="s">
        <v>730</v>
      </c>
      <c r="E519" t="s">
        <v>222</v>
      </c>
      <c r="F519" t="s">
        <v>30</v>
      </c>
      <c r="G519" s="6">
        <v>45657</v>
      </c>
      <c r="H519" t="s">
        <v>6816</v>
      </c>
      <c r="I519" t="s">
        <v>57</v>
      </c>
      <c r="J519" t="s">
        <v>78</v>
      </c>
      <c r="K519">
        <v>8040</v>
      </c>
      <c r="L519">
        <v>8294.5</v>
      </c>
      <c r="M519">
        <v>1.0316542288557209</v>
      </c>
      <c r="N519">
        <v>1.0316542288557209</v>
      </c>
      <c r="O519" t="s">
        <v>6876</v>
      </c>
      <c r="P519" t="s">
        <v>6877</v>
      </c>
      <c r="Q519" t="s">
        <v>733</v>
      </c>
      <c r="R519">
        <v>2</v>
      </c>
      <c r="S519">
        <v>2</v>
      </c>
    </row>
    <row r="520" spans="1:19" hidden="1" x14ac:dyDescent="0.3">
      <c r="A520" t="s">
        <v>725</v>
      </c>
      <c r="B520" t="s">
        <v>726</v>
      </c>
      <c r="C520" t="s">
        <v>6622</v>
      </c>
      <c r="D520" t="s">
        <v>730</v>
      </c>
      <c r="E520" t="s">
        <v>222</v>
      </c>
      <c r="F520" t="s">
        <v>30</v>
      </c>
      <c r="G520" s="6">
        <v>46022</v>
      </c>
      <c r="H520">
        <v>2025</v>
      </c>
      <c r="I520" t="s">
        <v>57</v>
      </c>
      <c r="J520" t="s">
        <v>103</v>
      </c>
      <c r="K520">
        <v>16671</v>
      </c>
      <c r="L520">
        <v>17478</v>
      </c>
      <c r="M520">
        <v>1.0484074140723409</v>
      </c>
      <c r="N520">
        <v>1.0484074140723409</v>
      </c>
      <c r="O520" t="s">
        <v>118</v>
      </c>
      <c r="P520" t="s">
        <v>118</v>
      </c>
      <c r="Q520" t="s">
        <v>6878</v>
      </c>
      <c r="R520">
        <v>0</v>
      </c>
      <c r="S520">
        <v>0</v>
      </c>
    </row>
    <row r="521" spans="1:19" hidden="1" x14ac:dyDescent="0.3">
      <c r="A521" t="s">
        <v>725</v>
      </c>
      <c r="B521" t="s">
        <v>726</v>
      </c>
      <c r="C521" t="s">
        <v>6622</v>
      </c>
      <c r="D521" t="s">
        <v>730</v>
      </c>
      <c r="E521" t="s">
        <v>222</v>
      </c>
      <c r="F521" t="s">
        <v>30</v>
      </c>
      <c r="G521" s="6">
        <v>46023</v>
      </c>
      <c r="H521" t="s">
        <v>6623</v>
      </c>
      <c r="I521" t="s">
        <v>6623</v>
      </c>
      <c r="J521" t="s">
        <v>6623</v>
      </c>
      <c r="K521">
        <v>16671</v>
      </c>
      <c r="L521">
        <v>17478</v>
      </c>
      <c r="M521">
        <v>1.0484074140723409</v>
      </c>
      <c r="N521">
        <v>1.0484074140723409</v>
      </c>
      <c r="O521" t="s">
        <v>118</v>
      </c>
      <c r="P521" t="s">
        <v>118</v>
      </c>
      <c r="Q521" t="s">
        <v>6879</v>
      </c>
      <c r="R521">
        <v>0</v>
      </c>
      <c r="S521">
        <v>0</v>
      </c>
    </row>
    <row r="522" spans="1:19" hidden="1" x14ac:dyDescent="0.3">
      <c r="A522" t="s">
        <v>734</v>
      </c>
      <c r="B522" t="s">
        <v>735</v>
      </c>
      <c r="D522" t="s">
        <v>717</v>
      </c>
      <c r="E522" t="s">
        <v>222</v>
      </c>
      <c r="F522" t="s">
        <v>30</v>
      </c>
      <c r="G522" s="6">
        <v>44926</v>
      </c>
      <c r="H522" t="s">
        <v>6819</v>
      </c>
      <c r="I522" t="s">
        <v>57</v>
      </c>
      <c r="J522" t="s">
        <v>90</v>
      </c>
      <c r="K522">
        <v>42581.5</v>
      </c>
      <c r="L522">
        <v>43029</v>
      </c>
      <c r="M522">
        <v>1.010509258715639</v>
      </c>
      <c r="N522">
        <v>1.010509258715639</v>
      </c>
      <c r="O522" t="s">
        <v>6880</v>
      </c>
      <c r="P522" t="s">
        <v>6881</v>
      </c>
      <c r="Q522" t="s">
        <v>737</v>
      </c>
      <c r="R522">
        <v>2</v>
      </c>
      <c r="S522">
        <v>2</v>
      </c>
    </row>
    <row r="523" spans="1:19" hidden="1" x14ac:dyDescent="0.3">
      <c r="A523" t="s">
        <v>734</v>
      </c>
      <c r="B523" t="s">
        <v>735</v>
      </c>
      <c r="D523" t="s">
        <v>730</v>
      </c>
      <c r="E523" t="s">
        <v>222</v>
      </c>
      <c r="F523" t="s">
        <v>30</v>
      </c>
      <c r="G523" s="6">
        <v>45291</v>
      </c>
      <c r="H523" t="s">
        <v>6811</v>
      </c>
      <c r="I523" t="s">
        <v>57</v>
      </c>
      <c r="J523" t="s">
        <v>47</v>
      </c>
      <c r="K523">
        <v>44211</v>
      </c>
      <c r="L523">
        <v>43434.5</v>
      </c>
      <c r="M523">
        <v>0.98243649770419128</v>
      </c>
      <c r="N523">
        <v>0.98243649770419128</v>
      </c>
      <c r="O523" t="s">
        <v>6882</v>
      </c>
      <c r="P523" t="s">
        <v>6883</v>
      </c>
      <c r="Q523" t="s">
        <v>739</v>
      </c>
      <c r="R523">
        <v>2</v>
      </c>
      <c r="S523">
        <v>2</v>
      </c>
    </row>
    <row r="524" spans="1:19" hidden="1" x14ac:dyDescent="0.3">
      <c r="A524" t="s">
        <v>734</v>
      </c>
      <c r="B524" t="s">
        <v>735</v>
      </c>
      <c r="D524" t="s">
        <v>730</v>
      </c>
      <c r="E524" t="s">
        <v>222</v>
      </c>
      <c r="F524" t="s">
        <v>30</v>
      </c>
      <c r="G524" s="6">
        <v>45657</v>
      </c>
      <c r="H524" t="s">
        <v>6816</v>
      </c>
      <c r="I524" t="s">
        <v>57</v>
      </c>
      <c r="J524" t="s">
        <v>78</v>
      </c>
      <c r="K524">
        <v>43719.5</v>
      </c>
      <c r="L524">
        <v>44000.5</v>
      </c>
      <c r="M524">
        <v>1.006427337915575</v>
      </c>
      <c r="N524">
        <v>1.006427337915575</v>
      </c>
      <c r="O524" t="s">
        <v>6884</v>
      </c>
      <c r="P524" t="s">
        <v>6885</v>
      </c>
      <c r="Q524" t="s">
        <v>741</v>
      </c>
      <c r="R524">
        <v>2</v>
      </c>
      <c r="S524">
        <v>2</v>
      </c>
    </row>
    <row r="525" spans="1:19" hidden="1" x14ac:dyDescent="0.3">
      <c r="A525" t="s">
        <v>734</v>
      </c>
      <c r="B525" t="s">
        <v>735</v>
      </c>
      <c r="C525" t="s">
        <v>6622</v>
      </c>
      <c r="D525" t="s">
        <v>730</v>
      </c>
      <c r="E525" t="s">
        <v>222</v>
      </c>
      <c r="F525" t="s">
        <v>30</v>
      </c>
      <c r="G525" s="6">
        <v>46022</v>
      </c>
      <c r="H525">
        <v>2025</v>
      </c>
      <c r="I525" t="s">
        <v>57</v>
      </c>
      <c r="J525" t="s">
        <v>103</v>
      </c>
      <c r="K525">
        <v>92409</v>
      </c>
      <c r="L525">
        <v>95834</v>
      </c>
      <c r="M525">
        <v>1.037063489486955</v>
      </c>
      <c r="N525">
        <v>1.037063489486955</v>
      </c>
      <c r="O525" t="s">
        <v>118</v>
      </c>
      <c r="P525" t="s">
        <v>118</v>
      </c>
      <c r="Q525" t="s">
        <v>6886</v>
      </c>
      <c r="R525">
        <v>0</v>
      </c>
      <c r="S525">
        <v>0</v>
      </c>
    </row>
    <row r="526" spans="1:19" hidden="1" x14ac:dyDescent="0.3">
      <c r="A526" t="s">
        <v>734</v>
      </c>
      <c r="B526" t="s">
        <v>735</v>
      </c>
      <c r="C526" t="s">
        <v>6622</v>
      </c>
      <c r="D526" t="s">
        <v>730</v>
      </c>
      <c r="E526" t="s">
        <v>222</v>
      </c>
      <c r="F526" t="s">
        <v>30</v>
      </c>
      <c r="G526" s="6">
        <v>46023</v>
      </c>
      <c r="H526" t="s">
        <v>6623</v>
      </c>
      <c r="I526" t="s">
        <v>6623</v>
      </c>
      <c r="J526" t="s">
        <v>6623</v>
      </c>
      <c r="K526">
        <v>92409</v>
      </c>
      <c r="L526">
        <v>95834</v>
      </c>
      <c r="M526">
        <v>1.037063489486955</v>
      </c>
      <c r="N526">
        <v>1.037063489486955</v>
      </c>
      <c r="O526" t="s">
        <v>118</v>
      </c>
      <c r="P526" t="s">
        <v>118</v>
      </c>
      <c r="Q526" t="s">
        <v>6887</v>
      </c>
      <c r="R526">
        <v>0</v>
      </c>
      <c r="S526">
        <v>0</v>
      </c>
    </row>
    <row r="527" spans="1:19" hidden="1" x14ac:dyDescent="0.3">
      <c r="A527" t="s">
        <v>742</v>
      </c>
      <c r="B527" t="s">
        <v>743</v>
      </c>
      <c r="D527" t="s">
        <v>730</v>
      </c>
      <c r="E527" t="s">
        <v>222</v>
      </c>
      <c r="F527" t="s">
        <v>30</v>
      </c>
      <c r="G527" s="6">
        <v>44926</v>
      </c>
      <c r="H527" t="s">
        <v>6819</v>
      </c>
      <c r="I527" t="s">
        <v>57</v>
      </c>
      <c r="J527" t="s">
        <v>90</v>
      </c>
      <c r="K527">
        <v>47348</v>
      </c>
      <c r="L527">
        <v>48120</v>
      </c>
      <c r="M527">
        <v>1.0163048069612231</v>
      </c>
      <c r="N527">
        <v>1.0163048069612231</v>
      </c>
      <c r="O527" t="s">
        <v>6888</v>
      </c>
      <c r="P527" t="s">
        <v>6889</v>
      </c>
      <c r="Q527" t="s">
        <v>745</v>
      </c>
      <c r="R527">
        <v>2</v>
      </c>
      <c r="S527">
        <v>2</v>
      </c>
    </row>
    <row r="528" spans="1:19" hidden="1" x14ac:dyDescent="0.3">
      <c r="A528" t="s">
        <v>742</v>
      </c>
      <c r="B528" t="s">
        <v>743</v>
      </c>
      <c r="D528" t="s">
        <v>730</v>
      </c>
      <c r="E528" t="s">
        <v>222</v>
      </c>
      <c r="F528" t="s">
        <v>30</v>
      </c>
      <c r="G528" s="6">
        <v>45291</v>
      </c>
      <c r="H528" t="s">
        <v>6811</v>
      </c>
      <c r="I528" t="s">
        <v>57</v>
      </c>
      <c r="J528" t="s">
        <v>47</v>
      </c>
      <c r="K528">
        <v>49171</v>
      </c>
      <c r="L528">
        <v>48265</v>
      </c>
      <c r="M528">
        <v>0.98157450529783818</v>
      </c>
      <c r="N528">
        <v>0.98157450529783818</v>
      </c>
      <c r="O528" t="s">
        <v>6890</v>
      </c>
      <c r="P528" t="s">
        <v>6891</v>
      </c>
      <c r="Q528" t="s">
        <v>747</v>
      </c>
      <c r="R528">
        <v>2</v>
      </c>
      <c r="S528">
        <v>2</v>
      </c>
    </row>
    <row r="529" spans="1:19" hidden="1" x14ac:dyDescent="0.3">
      <c r="A529" t="s">
        <v>742</v>
      </c>
      <c r="B529" t="s">
        <v>743</v>
      </c>
      <c r="D529" t="s">
        <v>730</v>
      </c>
      <c r="E529" t="s">
        <v>222</v>
      </c>
      <c r="F529" t="s">
        <v>30</v>
      </c>
      <c r="G529" s="6">
        <v>45657</v>
      </c>
      <c r="H529" t="s">
        <v>6816</v>
      </c>
      <c r="I529" t="s">
        <v>57</v>
      </c>
      <c r="J529" t="s">
        <v>78</v>
      </c>
      <c r="K529">
        <v>48685.5</v>
      </c>
      <c r="L529">
        <v>48719.5</v>
      </c>
      <c r="M529">
        <v>1.0006983598812791</v>
      </c>
      <c r="N529">
        <v>1.0006983598812791</v>
      </c>
      <c r="O529" t="s">
        <v>6892</v>
      </c>
      <c r="P529" t="s">
        <v>6893</v>
      </c>
      <c r="Q529" t="s">
        <v>749</v>
      </c>
      <c r="R529">
        <v>2</v>
      </c>
      <c r="S529">
        <v>2</v>
      </c>
    </row>
    <row r="530" spans="1:19" hidden="1" x14ac:dyDescent="0.3">
      <c r="A530" t="s">
        <v>742</v>
      </c>
      <c r="B530" t="s">
        <v>743</v>
      </c>
      <c r="C530" t="s">
        <v>6622</v>
      </c>
      <c r="D530" t="s">
        <v>730</v>
      </c>
      <c r="E530" t="s">
        <v>222</v>
      </c>
      <c r="F530" t="s">
        <v>30</v>
      </c>
      <c r="G530" s="6">
        <v>46022</v>
      </c>
      <c r="H530">
        <v>2025</v>
      </c>
      <c r="I530" t="s">
        <v>57</v>
      </c>
      <c r="J530" t="s">
        <v>103</v>
      </c>
      <c r="K530">
        <v>98816</v>
      </c>
      <c r="L530">
        <v>104271</v>
      </c>
      <c r="M530">
        <v>1.055203610751295</v>
      </c>
      <c r="N530">
        <v>1.055203610751295</v>
      </c>
      <c r="O530" t="s">
        <v>118</v>
      </c>
      <c r="P530" t="s">
        <v>118</v>
      </c>
      <c r="Q530" t="s">
        <v>6894</v>
      </c>
      <c r="R530">
        <v>0</v>
      </c>
      <c r="S530">
        <v>0</v>
      </c>
    </row>
    <row r="531" spans="1:19" hidden="1" x14ac:dyDescent="0.3">
      <c r="A531" t="s">
        <v>742</v>
      </c>
      <c r="B531" t="s">
        <v>743</v>
      </c>
      <c r="C531" t="s">
        <v>6622</v>
      </c>
      <c r="D531" t="s">
        <v>730</v>
      </c>
      <c r="E531" t="s">
        <v>222</v>
      </c>
      <c r="F531" t="s">
        <v>30</v>
      </c>
      <c r="G531" s="6">
        <v>46023</v>
      </c>
      <c r="H531" t="s">
        <v>6623</v>
      </c>
      <c r="I531" t="s">
        <v>6623</v>
      </c>
      <c r="J531" t="s">
        <v>6623</v>
      </c>
      <c r="K531">
        <v>98816</v>
      </c>
      <c r="L531">
        <v>104271</v>
      </c>
      <c r="M531">
        <v>1.055203610751295</v>
      </c>
      <c r="N531">
        <v>1.055203610751295</v>
      </c>
      <c r="O531" t="s">
        <v>118</v>
      </c>
      <c r="P531" t="s">
        <v>118</v>
      </c>
      <c r="Q531" t="s">
        <v>6895</v>
      </c>
      <c r="R531">
        <v>0</v>
      </c>
      <c r="S531">
        <v>0</v>
      </c>
    </row>
    <row r="532" spans="1:19" hidden="1" x14ac:dyDescent="0.3">
      <c r="A532" t="s">
        <v>750</v>
      </c>
      <c r="B532" t="s">
        <v>751</v>
      </c>
      <c r="C532" t="s">
        <v>6622</v>
      </c>
      <c r="D532" t="s">
        <v>730</v>
      </c>
      <c r="E532" t="s">
        <v>222</v>
      </c>
      <c r="F532" t="s">
        <v>30</v>
      </c>
      <c r="G532" s="6">
        <v>44925</v>
      </c>
      <c r="H532">
        <v>2022</v>
      </c>
      <c r="I532" t="s">
        <v>57</v>
      </c>
      <c r="J532" t="s">
        <v>90</v>
      </c>
      <c r="K532">
        <v>4638</v>
      </c>
      <c r="L532">
        <v>5008</v>
      </c>
      <c r="M532">
        <v>1.079775765416128</v>
      </c>
      <c r="N532">
        <v>1.079775765416128</v>
      </c>
      <c r="O532" t="s">
        <v>118</v>
      </c>
      <c r="P532" t="s">
        <v>118</v>
      </c>
      <c r="Q532" t="s">
        <v>753</v>
      </c>
      <c r="R532">
        <v>0</v>
      </c>
      <c r="S532">
        <v>0</v>
      </c>
    </row>
    <row r="533" spans="1:19" hidden="1" x14ac:dyDescent="0.3">
      <c r="A533" t="s">
        <v>750</v>
      </c>
      <c r="B533" t="s">
        <v>751</v>
      </c>
      <c r="D533" t="s">
        <v>730</v>
      </c>
      <c r="E533" t="s">
        <v>222</v>
      </c>
      <c r="F533" t="s">
        <v>30</v>
      </c>
      <c r="G533" s="6">
        <v>44926</v>
      </c>
      <c r="H533" t="s">
        <v>6819</v>
      </c>
      <c r="I533" t="s">
        <v>57</v>
      </c>
      <c r="J533" t="s">
        <v>90</v>
      </c>
      <c r="K533">
        <v>2319</v>
      </c>
      <c r="L533">
        <v>2504</v>
      </c>
      <c r="M533">
        <v>1.079775765416128</v>
      </c>
      <c r="N533">
        <v>1.079775765416128</v>
      </c>
      <c r="O533" t="s">
        <v>6896</v>
      </c>
      <c r="P533" t="s">
        <v>6897</v>
      </c>
      <c r="Q533" t="s">
        <v>5528</v>
      </c>
      <c r="R533">
        <v>2</v>
      </c>
      <c r="S533">
        <v>2</v>
      </c>
    </row>
    <row r="534" spans="1:19" hidden="1" x14ac:dyDescent="0.3">
      <c r="A534" t="s">
        <v>750</v>
      </c>
      <c r="B534" t="s">
        <v>751</v>
      </c>
      <c r="D534" t="s">
        <v>730</v>
      </c>
      <c r="E534" t="s">
        <v>222</v>
      </c>
      <c r="F534" t="s">
        <v>30</v>
      </c>
      <c r="G534" s="6">
        <v>45291</v>
      </c>
      <c r="H534" t="s">
        <v>6811</v>
      </c>
      <c r="I534" t="s">
        <v>57</v>
      </c>
      <c r="J534" t="s">
        <v>47</v>
      </c>
      <c r="K534">
        <v>2761</v>
      </c>
      <c r="L534">
        <v>3159</v>
      </c>
      <c r="M534">
        <v>1.144150670047084</v>
      </c>
      <c r="N534">
        <v>1.144150670047084</v>
      </c>
      <c r="O534" t="s">
        <v>6898</v>
      </c>
      <c r="P534" t="s">
        <v>6899</v>
      </c>
      <c r="Q534" t="s">
        <v>755</v>
      </c>
      <c r="R534">
        <v>2</v>
      </c>
      <c r="S534">
        <v>2</v>
      </c>
    </row>
    <row r="535" spans="1:19" hidden="1" x14ac:dyDescent="0.3">
      <c r="A535" t="s">
        <v>750</v>
      </c>
      <c r="B535" t="s">
        <v>751</v>
      </c>
      <c r="D535" t="s">
        <v>730</v>
      </c>
      <c r="E535" t="s">
        <v>222</v>
      </c>
      <c r="F535" t="s">
        <v>30</v>
      </c>
      <c r="G535" s="6">
        <v>45657</v>
      </c>
      <c r="H535" t="s">
        <v>6816</v>
      </c>
      <c r="I535" t="s">
        <v>57</v>
      </c>
      <c r="J535" t="s">
        <v>78</v>
      </c>
      <c r="K535">
        <v>3074</v>
      </c>
      <c r="L535">
        <v>3575.5</v>
      </c>
      <c r="M535">
        <v>1.163142485361093</v>
      </c>
      <c r="N535">
        <v>1.163142485361093</v>
      </c>
      <c r="O535" t="s">
        <v>6900</v>
      </c>
      <c r="P535" t="s">
        <v>6901</v>
      </c>
      <c r="Q535" t="s">
        <v>757</v>
      </c>
      <c r="R535">
        <v>2</v>
      </c>
      <c r="S535">
        <v>2</v>
      </c>
    </row>
    <row r="536" spans="1:19" hidden="1" x14ac:dyDescent="0.3">
      <c r="A536" t="s">
        <v>750</v>
      </c>
      <c r="B536" t="s">
        <v>751</v>
      </c>
      <c r="C536" t="s">
        <v>6622</v>
      </c>
      <c r="D536" t="s">
        <v>730</v>
      </c>
      <c r="E536" t="s">
        <v>222</v>
      </c>
      <c r="F536" t="s">
        <v>30</v>
      </c>
      <c r="G536" s="6">
        <v>46022</v>
      </c>
      <c r="H536">
        <v>2025</v>
      </c>
      <c r="I536" t="s">
        <v>57</v>
      </c>
      <c r="J536" t="s">
        <v>103</v>
      </c>
      <c r="K536">
        <v>7856</v>
      </c>
      <c r="L536">
        <v>9041</v>
      </c>
      <c r="M536">
        <v>1.150840122199593</v>
      </c>
      <c r="N536">
        <v>1.150840122199593</v>
      </c>
      <c r="O536" t="s">
        <v>118</v>
      </c>
      <c r="P536" t="s">
        <v>118</v>
      </c>
      <c r="Q536" t="s">
        <v>6902</v>
      </c>
      <c r="R536">
        <v>0</v>
      </c>
      <c r="S536">
        <v>0</v>
      </c>
    </row>
    <row r="537" spans="1:19" hidden="1" x14ac:dyDescent="0.3">
      <c r="A537" t="s">
        <v>750</v>
      </c>
      <c r="B537" t="s">
        <v>751</v>
      </c>
      <c r="C537" t="s">
        <v>6622</v>
      </c>
      <c r="D537" t="s">
        <v>730</v>
      </c>
      <c r="E537" t="s">
        <v>222</v>
      </c>
      <c r="F537" t="s">
        <v>30</v>
      </c>
      <c r="G537" s="6">
        <v>46023</v>
      </c>
      <c r="H537" t="s">
        <v>6623</v>
      </c>
      <c r="I537" t="s">
        <v>6623</v>
      </c>
      <c r="J537" t="s">
        <v>6623</v>
      </c>
      <c r="K537">
        <v>7856</v>
      </c>
      <c r="L537">
        <v>9041</v>
      </c>
      <c r="M537">
        <v>1.150840122199593</v>
      </c>
      <c r="N537">
        <v>1.150840122199593</v>
      </c>
      <c r="O537" t="s">
        <v>118</v>
      </c>
      <c r="P537" t="s">
        <v>118</v>
      </c>
      <c r="Q537" t="s">
        <v>6903</v>
      </c>
      <c r="R537">
        <v>0</v>
      </c>
      <c r="S537">
        <v>0</v>
      </c>
    </row>
    <row r="538" spans="1:19" hidden="1" x14ac:dyDescent="0.3">
      <c r="A538" t="s">
        <v>758</v>
      </c>
      <c r="B538" t="s">
        <v>759</v>
      </c>
      <c r="C538" t="s">
        <v>6681</v>
      </c>
      <c r="D538" t="s">
        <v>760</v>
      </c>
      <c r="E538" t="s">
        <v>222</v>
      </c>
      <c r="F538" t="s">
        <v>30</v>
      </c>
      <c r="G538" s="6">
        <v>45291</v>
      </c>
      <c r="H538" t="s">
        <v>6811</v>
      </c>
      <c r="I538" t="s">
        <v>57</v>
      </c>
      <c r="J538" t="s">
        <v>47</v>
      </c>
      <c r="L538">
        <v>146</v>
      </c>
      <c r="M538">
        <v>0</v>
      </c>
      <c r="N538">
        <v>0</v>
      </c>
      <c r="P538" t="s">
        <v>5537</v>
      </c>
      <c r="Q538" t="s">
        <v>763</v>
      </c>
      <c r="R538">
        <v>2</v>
      </c>
      <c r="S538">
        <v>2</v>
      </c>
    </row>
    <row r="539" spans="1:19" hidden="1" x14ac:dyDescent="0.3">
      <c r="A539" t="s">
        <v>758</v>
      </c>
      <c r="B539" t="s">
        <v>759</v>
      </c>
      <c r="C539" t="s">
        <v>6681</v>
      </c>
      <c r="D539" t="s">
        <v>760</v>
      </c>
      <c r="E539" t="s">
        <v>222</v>
      </c>
      <c r="F539" t="s">
        <v>30</v>
      </c>
      <c r="G539" s="6">
        <v>45657</v>
      </c>
      <c r="H539" t="s">
        <v>6816</v>
      </c>
      <c r="I539" t="s">
        <v>57</v>
      </c>
      <c r="J539" t="s">
        <v>78</v>
      </c>
      <c r="L539">
        <v>135</v>
      </c>
      <c r="M539">
        <v>0</v>
      </c>
      <c r="N539">
        <v>0</v>
      </c>
      <c r="P539" t="s">
        <v>5539</v>
      </c>
      <c r="Q539" t="s">
        <v>765</v>
      </c>
      <c r="R539">
        <v>2</v>
      </c>
      <c r="S539">
        <v>2</v>
      </c>
    </row>
    <row r="540" spans="1:19" hidden="1" x14ac:dyDescent="0.3">
      <c r="A540" t="s">
        <v>758</v>
      </c>
      <c r="B540" t="s">
        <v>766</v>
      </c>
      <c r="C540" t="s">
        <v>6681</v>
      </c>
      <c r="D540" t="s">
        <v>760</v>
      </c>
      <c r="E540" t="s">
        <v>222</v>
      </c>
      <c r="F540" t="s">
        <v>30</v>
      </c>
      <c r="G540" s="6">
        <v>46022</v>
      </c>
      <c r="H540" t="s">
        <v>6823</v>
      </c>
      <c r="I540" t="s">
        <v>57</v>
      </c>
      <c r="J540" t="s">
        <v>103</v>
      </c>
      <c r="K540">
        <v>100</v>
      </c>
      <c r="L540">
        <v>191</v>
      </c>
      <c r="M540">
        <v>1.3</v>
      </c>
      <c r="N540">
        <v>1.91</v>
      </c>
      <c r="O540" t="s">
        <v>102</v>
      </c>
      <c r="P540" t="s">
        <v>771</v>
      </c>
      <c r="Q540" t="s">
        <v>772</v>
      </c>
      <c r="R540">
        <v>2</v>
      </c>
      <c r="S540">
        <v>2</v>
      </c>
    </row>
    <row r="541" spans="1:19" hidden="1" x14ac:dyDescent="0.3">
      <c r="A541" t="s">
        <v>773</v>
      </c>
      <c r="B541" t="s">
        <v>774</v>
      </c>
      <c r="C541" t="s">
        <v>6622</v>
      </c>
      <c r="D541" t="s">
        <v>760</v>
      </c>
      <c r="E541" t="s">
        <v>98</v>
      </c>
      <c r="F541" t="s">
        <v>30</v>
      </c>
      <c r="G541" s="6">
        <v>45291</v>
      </c>
      <c r="H541" t="s">
        <v>6811</v>
      </c>
      <c r="I541" t="s">
        <v>57</v>
      </c>
      <c r="J541" t="s">
        <v>47</v>
      </c>
      <c r="K541">
        <v>3</v>
      </c>
      <c r="L541">
        <v>4.83</v>
      </c>
      <c r="M541">
        <v>1.3</v>
      </c>
      <c r="N541">
        <v>1.61</v>
      </c>
      <c r="O541" t="s">
        <v>1849</v>
      </c>
      <c r="P541" t="s">
        <v>5540</v>
      </c>
      <c r="Q541" t="s">
        <v>775</v>
      </c>
      <c r="R541">
        <v>2</v>
      </c>
      <c r="S541">
        <v>2</v>
      </c>
    </row>
    <row r="542" spans="1:19" hidden="1" x14ac:dyDescent="0.3">
      <c r="A542" t="s">
        <v>773</v>
      </c>
      <c r="B542" t="s">
        <v>774</v>
      </c>
      <c r="C542" t="s">
        <v>6622</v>
      </c>
      <c r="D542" t="s">
        <v>760</v>
      </c>
      <c r="E542" t="s">
        <v>98</v>
      </c>
      <c r="F542" t="s">
        <v>30</v>
      </c>
      <c r="G542" s="6">
        <v>45657</v>
      </c>
      <c r="H542" t="s">
        <v>6816</v>
      </c>
      <c r="I542" t="s">
        <v>57</v>
      </c>
      <c r="J542" t="s">
        <v>78</v>
      </c>
      <c r="K542">
        <v>3</v>
      </c>
      <c r="L542">
        <v>3.07</v>
      </c>
      <c r="M542">
        <v>1.023333333333333</v>
      </c>
      <c r="N542">
        <v>1.023333333333333</v>
      </c>
      <c r="O542" t="s">
        <v>1849</v>
      </c>
      <c r="P542" t="s">
        <v>5541</v>
      </c>
      <c r="Q542" t="s">
        <v>776</v>
      </c>
      <c r="R542">
        <v>2</v>
      </c>
      <c r="S542">
        <v>2</v>
      </c>
    </row>
    <row r="543" spans="1:19" hidden="1" x14ac:dyDescent="0.3">
      <c r="A543" t="s">
        <v>773</v>
      </c>
      <c r="B543" t="s">
        <v>774</v>
      </c>
      <c r="C543" t="s">
        <v>6622</v>
      </c>
      <c r="D543" t="s">
        <v>760</v>
      </c>
      <c r="E543" t="s">
        <v>98</v>
      </c>
      <c r="F543" t="s">
        <v>30</v>
      </c>
      <c r="G543" s="6">
        <v>46022</v>
      </c>
      <c r="H543" t="s">
        <v>6823</v>
      </c>
      <c r="I543" t="s">
        <v>57</v>
      </c>
      <c r="J543" t="s">
        <v>103</v>
      </c>
      <c r="K543">
        <v>4</v>
      </c>
      <c r="L543">
        <v>1.95</v>
      </c>
      <c r="M543">
        <v>0.48749999999999999</v>
      </c>
      <c r="N543">
        <v>0.48749999999999999</v>
      </c>
      <c r="O543" t="s">
        <v>778</v>
      </c>
      <c r="P543" t="s">
        <v>779</v>
      </c>
      <c r="Q543" t="s">
        <v>780</v>
      </c>
      <c r="R543">
        <v>2</v>
      </c>
      <c r="S543">
        <v>2</v>
      </c>
    </row>
    <row r="544" spans="1:19" hidden="1" x14ac:dyDescent="0.3">
      <c r="A544" t="s">
        <v>781</v>
      </c>
      <c r="B544" t="s">
        <v>782</v>
      </c>
      <c r="C544" t="s">
        <v>6622</v>
      </c>
      <c r="D544" t="s">
        <v>146</v>
      </c>
      <c r="E544" t="s">
        <v>222</v>
      </c>
      <c r="F544" t="s">
        <v>30</v>
      </c>
      <c r="G544" s="6">
        <v>45291</v>
      </c>
      <c r="H544" t="s">
        <v>6811</v>
      </c>
      <c r="I544" t="s">
        <v>57</v>
      </c>
      <c r="J544" t="s">
        <v>47</v>
      </c>
      <c r="K544">
        <v>1</v>
      </c>
      <c r="L544">
        <v>2</v>
      </c>
      <c r="M544">
        <v>1.3</v>
      </c>
      <c r="N544">
        <v>2</v>
      </c>
      <c r="O544" t="s">
        <v>617</v>
      </c>
      <c r="P544" t="s">
        <v>569</v>
      </c>
      <c r="Q544" t="s">
        <v>784</v>
      </c>
      <c r="R544">
        <v>2</v>
      </c>
      <c r="S544">
        <v>2</v>
      </c>
    </row>
    <row r="545" spans="1:19" hidden="1" x14ac:dyDescent="0.3">
      <c r="A545" t="s">
        <v>781</v>
      </c>
      <c r="B545" t="s">
        <v>782</v>
      </c>
      <c r="C545" t="s">
        <v>6622</v>
      </c>
      <c r="D545" t="s">
        <v>146</v>
      </c>
      <c r="E545" t="s">
        <v>222</v>
      </c>
      <c r="F545" t="s">
        <v>30</v>
      </c>
      <c r="G545" s="6">
        <v>45657</v>
      </c>
      <c r="H545" t="s">
        <v>6816</v>
      </c>
      <c r="I545" t="s">
        <v>57</v>
      </c>
      <c r="J545" t="s">
        <v>78</v>
      </c>
      <c r="K545">
        <v>1</v>
      </c>
      <c r="L545">
        <v>1.9550000000000001</v>
      </c>
      <c r="M545">
        <v>1.3</v>
      </c>
      <c r="N545">
        <v>1.9550000000000001</v>
      </c>
      <c r="O545" t="s">
        <v>617</v>
      </c>
      <c r="P545" t="s">
        <v>6904</v>
      </c>
      <c r="Q545" t="s">
        <v>786</v>
      </c>
      <c r="R545">
        <v>2</v>
      </c>
      <c r="S545">
        <v>2</v>
      </c>
    </row>
    <row r="546" spans="1:19" hidden="1" x14ac:dyDescent="0.3">
      <c r="A546" t="s">
        <v>781</v>
      </c>
      <c r="B546" t="s">
        <v>782</v>
      </c>
      <c r="C546" t="s">
        <v>6622</v>
      </c>
      <c r="D546" t="s">
        <v>146</v>
      </c>
      <c r="E546" t="s">
        <v>222</v>
      </c>
      <c r="F546" t="s">
        <v>30</v>
      </c>
      <c r="G546" s="6">
        <v>46022</v>
      </c>
      <c r="H546" t="s">
        <v>6823</v>
      </c>
      <c r="I546" t="s">
        <v>57</v>
      </c>
      <c r="J546" t="s">
        <v>103</v>
      </c>
      <c r="K546">
        <v>1</v>
      </c>
      <c r="L546">
        <v>1.68</v>
      </c>
      <c r="M546">
        <v>1.3</v>
      </c>
      <c r="N546">
        <v>1.68</v>
      </c>
      <c r="O546" t="s">
        <v>617</v>
      </c>
      <c r="P546" t="s">
        <v>6905</v>
      </c>
      <c r="Q546" t="s">
        <v>792</v>
      </c>
      <c r="R546">
        <v>2</v>
      </c>
      <c r="S546">
        <v>2</v>
      </c>
    </row>
    <row r="547" spans="1:19" hidden="1" x14ac:dyDescent="0.3">
      <c r="A547" t="s">
        <v>793</v>
      </c>
      <c r="B547" t="s">
        <v>794</v>
      </c>
      <c r="C547" t="s">
        <v>6622</v>
      </c>
      <c r="D547" t="s">
        <v>760</v>
      </c>
      <c r="E547" t="s">
        <v>222</v>
      </c>
      <c r="F547" t="s">
        <v>30</v>
      </c>
      <c r="G547" s="6">
        <v>45291</v>
      </c>
      <c r="H547" t="s">
        <v>6811</v>
      </c>
      <c r="I547" t="s">
        <v>57</v>
      </c>
      <c r="J547" t="s">
        <v>47</v>
      </c>
      <c r="K547">
        <v>230</v>
      </c>
      <c r="L547">
        <v>310</v>
      </c>
      <c r="M547">
        <v>1.3</v>
      </c>
      <c r="N547">
        <v>1.347826086956522</v>
      </c>
      <c r="O547" t="s">
        <v>5544</v>
      </c>
      <c r="P547" t="s">
        <v>6906</v>
      </c>
      <c r="Q547" t="s">
        <v>796</v>
      </c>
      <c r="R547">
        <v>2</v>
      </c>
      <c r="S547">
        <v>2</v>
      </c>
    </row>
    <row r="548" spans="1:19" hidden="1" x14ac:dyDescent="0.3">
      <c r="A548" t="s">
        <v>793</v>
      </c>
      <c r="B548" t="s">
        <v>794</v>
      </c>
      <c r="C548" t="s">
        <v>6622</v>
      </c>
      <c r="D548" t="s">
        <v>760</v>
      </c>
      <c r="E548" t="s">
        <v>222</v>
      </c>
      <c r="F548" t="s">
        <v>30</v>
      </c>
      <c r="G548" s="6">
        <v>45657</v>
      </c>
      <c r="H548" t="s">
        <v>6816</v>
      </c>
      <c r="I548" t="s">
        <v>57</v>
      </c>
      <c r="J548" t="s">
        <v>78</v>
      </c>
      <c r="K548">
        <v>294</v>
      </c>
      <c r="L548">
        <v>338.5</v>
      </c>
      <c r="M548">
        <v>1.1513605442176871</v>
      </c>
      <c r="N548">
        <v>1.1513605442176871</v>
      </c>
      <c r="O548" t="s">
        <v>5547</v>
      </c>
      <c r="P548" t="s">
        <v>6907</v>
      </c>
      <c r="Q548" t="s">
        <v>798</v>
      </c>
      <c r="R548">
        <v>2</v>
      </c>
      <c r="S548">
        <v>2</v>
      </c>
    </row>
    <row r="549" spans="1:19" hidden="1" x14ac:dyDescent="0.3">
      <c r="A549" t="s">
        <v>793</v>
      </c>
      <c r="B549" t="s">
        <v>794</v>
      </c>
      <c r="C549" t="s">
        <v>6622</v>
      </c>
      <c r="D549" t="s">
        <v>760</v>
      </c>
      <c r="E549" t="s">
        <v>222</v>
      </c>
      <c r="F549" t="s">
        <v>30</v>
      </c>
      <c r="G549" s="6">
        <v>46022</v>
      </c>
      <c r="H549" t="s">
        <v>6823</v>
      </c>
      <c r="I549" t="s">
        <v>57</v>
      </c>
      <c r="J549" t="s">
        <v>103</v>
      </c>
      <c r="K549">
        <v>100</v>
      </c>
      <c r="L549">
        <v>120</v>
      </c>
      <c r="M549">
        <v>1.2</v>
      </c>
      <c r="N549">
        <v>1.2</v>
      </c>
      <c r="O549" t="s">
        <v>102</v>
      </c>
      <c r="P549" t="s">
        <v>5677</v>
      </c>
      <c r="Q549" t="s">
        <v>803</v>
      </c>
      <c r="R549">
        <v>2</v>
      </c>
      <c r="S549">
        <v>2</v>
      </c>
    </row>
    <row r="550" spans="1:19" hidden="1" x14ac:dyDescent="0.3">
      <c r="A550" t="s">
        <v>804</v>
      </c>
      <c r="B550" t="s">
        <v>805</v>
      </c>
      <c r="C550" t="s">
        <v>6681</v>
      </c>
      <c r="D550" t="s">
        <v>760</v>
      </c>
      <c r="E550" t="s">
        <v>98</v>
      </c>
      <c r="F550" t="s">
        <v>30</v>
      </c>
      <c r="G550" s="6">
        <v>45291</v>
      </c>
      <c r="H550" t="s">
        <v>6811</v>
      </c>
      <c r="I550" t="s">
        <v>57</v>
      </c>
      <c r="J550" t="s">
        <v>47</v>
      </c>
      <c r="K550">
        <v>13</v>
      </c>
      <c r="L550">
        <v>11</v>
      </c>
      <c r="M550">
        <v>0.84615384615384615</v>
      </c>
      <c r="N550">
        <v>0.84615384615384615</v>
      </c>
      <c r="O550" t="s">
        <v>5550</v>
      </c>
      <c r="P550" t="s">
        <v>3654</v>
      </c>
      <c r="Q550" t="s">
        <v>806</v>
      </c>
      <c r="R550">
        <v>2</v>
      </c>
      <c r="S550">
        <v>2</v>
      </c>
    </row>
    <row r="551" spans="1:19" hidden="1" x14ac:dyDescent="0.3">
      <c r="A551" t="s">
        <v>804</v>
      </c>
      <c r="B551" t="s">
        <v>805</v>
      </c>
      <c r="C551" t="s">
        <v>6681</v>
      </c>
      <c r="D551" t="s">
        <v>760</v>
      </c>
      <c r="E551" t="s">
        <v>98</v>
      </c>
      <c r="F551" t="s">
        <v>30</v>
      </c>
      <c r="G551" s="6">
        <v>45657</v>
      </c>
      <c r="H551" t="s">
        <v>6816</v>
      </c>
      <c r="I551" t="s">
        <v>57</v>
      </c>
      <c r="J551" t="s">
        <v>78</v>
      </c>
      <c r="K551">
        <v>16</v>
      </c>
      <c r="L551">
        <v>12</v>
      </c>
      <c r="M551">
        <v>0.75</v>
      </c>
      <c r="N551">
        <v>0.75</v>
      </c>
      <c r="O551" t="s">
        <v>809</v>
      </c>
      <c r="P551" t="s">
        <v>3089</v>
      </c>
      <c r="Q551" t="s">
        <v>807</v>
      </c>
      <c r="R551">
        <v>2</v>
      </c>
      <c r="S551">
        <v>2</v>
      </c>
    </row>
    <row r="552" spans="1:19" hidden="1" x14ac:dyDescent="0.3">
      <c r="A552" t="s">
        <v>804</v>
      </c>
      <c r="B552" t="s">
        <v>805</v>
      </c>
      <c r="C552" t="s">
        <v>6681</v>
      </c>
      <c r="D552" t="s">
        <v>760</v>
      </c>
      <c r="E552" t="s">
        <v>98</v>
      </c>
      <c r="F552" t="s">
        <v>30</v>
      </c>
      <c r="G552" s="6">
        <v>46022</v>
      </c>
      <c r="H552" t="s">
        <v>6823</v>
      </c>
      <c r="I552" t="s">
        <v>57</v>
      </c>
      <c r="J552" t="s">
        <v>103</v>
      </c>
      <c r="K552">
        <v>16</v>
      </c>
      <c r="L552">
        <v>16</v>
      </c>
      <c r="M552">
        <v>1</v>
      </c>
      <c r="N552">
        <v>1</v>
      </c>
      <c r="O552" t="s">
        <v>809</v>
      </c>
      <c r="P552" t="s">
        <v>809</v>
      </c>
      <c r="Q552" t="s">
        <v>810</v>
      </c>
      <c r="R552">
        <v>2</v>
      </c>
      <c r="S552">
        <v>2</v>
      </c>
    </row>
    <row r="553" spans="1:19" hidden="1" x14ac:dyDescent="0.3">
      <c r="A553" t="s">
        <v>811</v>
      </c>
      <c r="B553" t="s">
        <v>812</v>
      </c>
      <c r="C553" t="s">
        <v>6622</v>
      </c>
      <c r="D553" t="s">
        <v>146</v>
      </c>
      <c r="E553" t="s">
        <v>222</v>
      </c>
      <c r="F553" t="s">
        <v>30</v>
      </c>
      <c r="G553" s="6">
        <v>44926</v>
      </c>
      <c r="H553" t="s">
        <v>6819</v>
      </c>
      <c r="I553" t="s">
        <v>57</v>
      </c>
      <c r="J553" t="s">
        <v>90</v>
      </c>
      <c r="K553">
        <v>5</v>
      </c>
      <c r="L553">
        <v>4.66</v>
      </c>
      <c r="M553">
        <v>0.93200000000000005</v>
      </c>
      <c r="N553">
        <v>0.93200000000000005</v>
      </c>
      <c r="O553" t="s">
        <v>823</v>
      </c>
      <c r="P553" t="s">
        <v>2069</v>
      </c>
      <c r="Q553" t="s">
        <v>813</v>
      </c>
      <c r="R553">
        <v>2</v>
      </c>
      <c r="S553">
        <v>2</v>
      </c>
    </row>
    <row r="554" spans="1:19" hidden="1" x14ac:dyDescent="0.3">
      <c r="A554" t="s">
        <v>811</v>
      </c>
      <c r="B554" t="s">
        <v>812</v>
      </c>
      <c r="C554" t="s">
        <v>6622</v>
      </c>
      <c r="D554" t="s">
        <v>146</v>
      </c>
      <c r="E554" t="s">
        <v>222</v>
      </c>
      <c r="F554" t="s">
        <v>30</v>
      </c>
      <c r="G554" s="6">
        <v>45291</v>
      </c>
      <c r="H554" t="s">
        <v>6811</v>
      </c>
      <c r="I554" t="s">
        <v>57</v>
      </c>
      <c r="J554" t="s">
        <v>47</v>
      </c>
      <c r="K554">
        <v>3.75</v>
      </c>
      <c r="L554">
        <v>4.91</v>
      </c>
      <c r="M554">
        <v>1.3</v>
      </c>
      <c r="N554">
        <v>1.309333333333333</v>
      </c>
      <c r="O554" t="s">
        <v>6908</v>
      </c>
      <c r="P554" t="s">
        <v>6909</v>
      </c>
      <c r="Q554" t="s">
        <v>815</v>
      </c>
      <c r="R554">
        <v>2</v>
      </c>
      <c r="S554">
        <v>2</v>
      </c>
    </row>
    <row r="555" spans="1:19" hidden="1" x14ac:dyDescent="0.3">
      <c r="A555" t="s">
        <v>811</v>
      </c>
      <c r="B555" t="s">
        <v>817</v>
      </c>
      <c r="C555" t="s">
        <v>6622</v>
      </c>
      <c r="D555" t="s">
        <v>146</v>
      </c>
      <c r="E555" t="s">
        <v>222</v>
      </c>
      <c r="F555" t="s">
        <v>30</v>
      </c>
      <c r="G555" s="6">
        <v>45657</v>
      </c>
      <c r="H555" t="s">
        <v>6816</v>
      </c>
      <c r="I555" t="s">
        <v>57</v>
      </c>
      <c r="J555" t="s">
        <v>78</v>
      </c>
      <c r="K555">
        <v>5</v>
      </c>
      <c r="L555">
        <v>5.3</v>
      </c>
      <c r="M555">
        <v>1.06</v>
      </c>
      <c r="N555">
        <v>1.06</v>
      </c>
      <c r="O555" t="s">
        <v>823</v>
      </c>
      <c r="P555" t="s">
        <v>6910</v>
      </c>
      <c r="Q555" t="s">
        <v>818</v>
      </c>
      <c r="R555">
        <v>2</v>
      </c>
      <c r="S555">
        <v>2</v>
      </c>
    </row>
    <row r="556" spans="1:19" hidden="1" x14ac:dyDescent="0.3">
      <c r="A556" t="s">
        <v>811</v>
      </c>
      <c r="B556" t="s">
        <v>817</v>
      </c>
      <c r="C556" t="s">
        <v>6622</v>
      </c>
      <c r="D556" t="s">
        <v>146</v>
      </c>
      <c r="E556" t="s">
        <v>222</v>
      </c>
      <c r="F556" t="s">
        <v>30</v>
      </c>
      <c r="G556" s="6">
        <v>46022</v>
      </c>
      <c r="H556" t="s">
        <v>6823</v>
      </c>
      <c r="I556" t="s">
        <v>57</v>
      </c>
      <c r="J556" t="s">
        <v>103</v>
      </c>
      <c r="K556">
        <v>4.5</v>
      </c>
      <c r="L556">
        <v>5.43</v>
      </c>
      <c r="M556">
        <v>1.206666666666667</v>
      </c>
      <c r="N556">
        <v>1.206666666666667</v>
      </c>
      <c r="O556" t="s">
        <v>5836</v>
      </c>
      <c r="P556" t="s">
        <v>6911</v>
      </c>
      <c r="Q556" t="s">
        <v>825</v>
      </c>
      <c r="R556">
        <v>2</v>
      </c>
      <c r="S556">
        <v>2</v>
      </c>
    </row>
    <row r="557" spans="1:19" hidden="1" x14ac:dyDescent="0.3">
      <c r="A557" t="s">
        <v>826</v>
      </c>
      <c r="B557" t="s">
        <v>125</v>
      </c>
      <c r="C557" t="s">
        <v>6622</v>
      </c>
      <c r="D557" t="s">
        <v>827</v>
      </c>
      <c r="E557" t="s">
        <v>98</v>
      </c>
      <c r="F557" t="s">
        <v>30</v>
      </c>
      <c r="G557" s="6">
        <v>44926</v>
      </c>
      <c r="H557" t="s">
        <v>6819</v>
      </c>
      <c r="I557" t="s">
        <v>57</v>
      </c>
      <c r="J557" t="s">
        <v>90</v>
      </c>
      <c r="K557">
        <v>80</v>
      </c>
      <c r="L557">
        <v>73.639994105511391</v>
      </c>
      <c r="M557">
        <v>0.92049992631889244</v>
      </c>
      <c r="N557">
        <v>0.92049992631889244</v>
      </c>
      <c r="O557" t="s">
        <v>193</v>
      </c>
      <c r="P557" t="s">
        <v>5554</v>
      </c>
      <c r="Q557" t="s">
        <v>5555</v>
      </c>
      <c r="R557">
        <v>2</v>
      </c>
      <c r="S557">
        <v>2</v>
      </c>
    </row>
    <row r="558" spans="1:19" hidden="1" x14ac:dyDescent="0.3">
      <c r="A558" t="s">
        <v>826</v>
      </c>
      <c r="B558" t="s">
        <v>125</v>
      </c>
      <c r="C558" t="s">
        <v>6622</v>
      </c>
      <c r="D558" t="s">
        <v>827</v>
      </c>
      <c r="E558" t="s">
        <v>98</v>
      </c>
      <c r="F558" t="s">
        <v>30</v>
      </c>
      <c r="G558" s="6">
        <v>45291</v>
      </c>
      <c r="H558" t="s">
        <v>6811</v>
      </c>
      <c r="I558" t="s">
        <v>57</v>
      </c>
      <c r="J558" t="s">
        <v>47</v>
      </c>
      <c r="K558">
        <v>80</v>
      </c>
      <c r="L558">
        <v>89.171750354055547</v>
      </c>
      <c r="M558">
        <v>1.1146468794256941</v>
      </c>
      <c r="N558">
        <v>1.1146468794256941</v>
      </c>
      <c r="O558" t="s">
        <v>193</v>
      </c>
      <c r="P558" t="s">
        <v>5556</v>
      </c>
      <c r="Q558" t="s">
        <v>831</v>
      </c>
      <c r="R558">
        <v>2</v>
      </c>
      <c r="S558">
        <v>2</v>
      </c>
    </row>
    <row r="559" spans="1:19" hidden="1" x14ac:dyDescent="0.3">
      <c r="A559" t="s">
        <v>826</v>
      </c>
      <c r="B559" t="s">
        <v>125</v>
      </c>
      <c r="C559" t="s">
        <v>6622</v>
      </c>
      <c r="D559" t="s">
        <v>760</v>
      </c>
      <c r="E559" t="s">
        <v>98</v>
      </c>
      <c r="F559" t="s">
        <v>30</v>
      </c>
      <c r="G559" s="6">
        <v>45657</v>
      </c>
      <c r="H559" t="s">
        <v>6816</v>
      </c>
      <c r="I559" t="s">
        <v>57</v>
      </c>
      <c r="J559" t="s">
        <v>78</v>
      </c>
      <c r="M559">
        <v>0</v>
      </c>
      <c r="N559">
        <v>0</v>
      </c>
      <c r="Q559" t="s">
        <v>832</v>
      </c>
      <c r="R559">
        <v>2</v>
      </c>
      <c r="S559">
        <v>2</v>
      </c>
    </row>
    <row r="560" spans="1:19" hidden="1" x14ac:dyDescent="0.3">
      <c r="A560" t="s">
        <v>833</v>
      </c>
      <c r="B560" t="s">
        <v>125</v>
      </c>
      <c r="C560" t="s">
        <v>6622</v>
      </c>
      <c r="D560" t="s">
        <v>672</v>
      </c>
      <c r="E560" t="s">
        <v>98</v>
      </c>
      <c r="F560" t="s">
        <v>30</v>
      </c>
      <c r="G560" s="6">
        <v>45291</v>
      </c>
      <c r="H560" t="s">
        <v>6811</v>
      </c>
      <c r="I560" t="s">
        <v>57</v>
      </c>
      <c r="J560" t="s">
        <v>47</v>
      </c>
      <c r="M560">
        <v>0</v>
      </c>
      <c r="N560">
        <v>0</v>
      </c>
      <c r="Q560" t="s">
        <v>835</v>
      </c>
      <c r="R560">
        <v>2</v>
      </c>
      <c r="S560">
        <v>2</v>
      </c>
    </row>
    <row r="561" spans="1:19" hidden="1" x14ac:dyDescent="0.3">
      <c r="A561" t="s">
        <v>833</v>
      </c>
      <c r="B561" t="s">
        <v>125</v>
      </c>
      <c r="C561" t="s">
        <v>6622</v>
      </c>
      <c r="D561" t="s">
        <v>672</v>
      </c>
      <c r="E561" t="s">
        <v>98</v>
      </c>
      <c r="F561" t="s">
        <v>30</v>
      </c>
      <c r="G561" s="6">
        <v>45657</v>
      </c>
      <c r="H561" t="s">
        <v>6816</v>
      </c>
      <c r="I561" t="s">
        <v>57</v>
      </c>
      <c r="J561" t="s">
        <v>78</v>
      </c>
      <c r="M561">
        <v>0</v>
      </c>
      <c r="N561">
        <v>0</v>
      </c>
      <c r="Q561" t="s">
        <v>836</v>
      </c>
      <c r="R561">
        <v>2</v>
      </c>
      <c r="S561">
        <v>2</v>
      </c>
    </row>
    <row r="562" spans="1:19" hidden="1" x14ac:dyDescent="0.3">
      <c r="A562" t="s">
        <v>833</v>
      </c>
      <c r="B562" t="s">
        <v>125</v>
      </c>
      <c r="C562" t="s">
        <v>6622</v>
      </c>
      <c r="D562" t="s">
        <v>672</v>
      </c>
      <c r="E562" t="s">
        <v>98</v>
      </c>
      <c r="F562" t="s">
        <v>30</v>
      </c>
      <c r="G562" s="6">
        <v>46022</v>
      </c>
      <c r="H562" t="s">
        <v>6823</v>
      </c>
      <c r="I562" t="s">
        <v>57</v>
      </c>
      <c r="J562" t="s">
        <v>103</v>
      </c>
      <c r="K562">
        <v>80</v>
      </c>
      <c r="L562">
        <v>95</v>
      </c>
      <c r="M562">
        <v>1.1875</v>
      </c>
      <c r="N562">
        <v>1.1875</v>
      </c>
      <c r="O562" t="s">
        <v>193</v>
      </c>
      <c r="P562" t="s">
        <v>838</v>
      </c>
      <c r="Q562" t="s">
        <v>5557</v>
      </c>
      <c r="R562">
        <v>2</v>
      </c>
      <c r="S562">
        <v>2</v>
      </c>
    </row>
    <row r="563" spans="1:19" hidden="1" x14ac:dyDescent="0.3">
      <c r="A563" t="s">
        <v>840</v>
      </c>
      <c r="B563" t="s">
        <v>841</v>
      </c>
      <c r="D563" t="s">
        <v>842</v>
      </c>
      <c r="E563" t="s">
        <v>98</v>
      </c>
      <c r="F563" t="s">
        <v>30</v>
      </c>
      <c r="G563" s="6">
        <v>45291</v>
      </c>
      <c r="H563" t="s">
        <v>6811</v>
      </c>
      <c r="I563" t="s">
        <v>57</v>
      </c>
      <c r="J563" t="s">
        <v>47</v>
      </c>
      <c r="K563">
        <v>3</v>
      </c>
      <c r="L563">
        <v>5.5</v>
      </c>
      <c r="M563">
        <v>1.3</v>
      </c>
      <c r="N563">
        <v>1.833333333333333</v>
      </c>
      <c r="O563" t="s">
        <v>1849</v>
      </c>
      <c r="P563" t="s">
        <v>5856</v>
      </c>
      <c r="Q563" t="s">
        <v>844</v>
      </c>
      <c r="R563">
        <v>2</v>
      </c>
      <c r="S563">
        <v>2</v>
      </c>
    </row>
    <row r="564" spans="1:19" hidden="1" x14ac:dyDescent="0.3">
      <c r="A564" t="s">
        <v>840</v>
      </c>
      <c r="B564" t="s">
        <v>841</v>
      </c>
      <c r="D564" t="s">
        <v>842</v>
      </c>
      <c r="E564" t="s">
        <v>98</v>
      </c>
      <c r="F564" t="s">
        <v>30</v>
      </c>
      <c r="G564" s="6">
        <v>45657</v>
      </c>
      <c r="H564" t="s">
        <v>6816</v>
      </c>
      <c r="I564" t="s">
        <v>57</v>
      </c>
      <c r="J564" t="s">
        <v>78</v>
      </c>
      <c r="K564">
        <v>100</v>
      </c>
      <c r="L564">
        <v>125</v>
      </c>
      <c r="M564">
        <v>1.25</v>
      </c>
      <c r="N564">
        <v>1.25</v>
      </c>
      <c r="O564" t="s">
        <v>102</v>
      </c>
      <c r="P564" t="s">
        <v>5559</v>
      </c>
      <c r="Q564" t="s">
        <v>845</v>
      </c>
      <c r="R564">
        <v>2</v>
      </c>
      <c r="S564">
        <v>2</v>
      </c>
    </row>
    <row r="565" spans="1:19" hidden="1" x14ac:dyDescent="0.3">
      <c r="A565" t="s">
        <v>767</v>
      </c>
      <c r="B565" t="s">
        <v>125</v>
      </c>
      <c r="C565" t="s">
        <v>6622</v>
      </c>
      <c r="D565" t="s">
        <v>842</v>
      </c>
      <c r="E565" t="s">
        <v>222</v>
      </c>
      <c r="F565" t="s">
        <v>30</v>
      </c>
      <c r="G565" s="6">
        <v>45291</v>
      </c>
      <c r="H565" t="s">
        <v>6811</v>
      </c>
      <c r="I565" t="s">
        <v>57</v>
      </c>
      <c r="J565" t="s">
        <v>47</v>
      </c>
      <c r="K565">
        <v>80</v>
      </c>
      <c r="L565">
        <v>98</v>
      </c>
      <c r="M565">
        <v>1.2250000000000001</v>
      </c>
      <c r="N565">
        <v>1.2250000000000001</v>
      </c>
      <c r="O565" t="s">
        <v>193</v>
      </c>
      <c r="P565" t="s">
        <v>312</v>
      </c>
      <c r="Q565" t="s">
        <v>847</v>
      </c>
      <c r="R565">
        <v>2</v>
      </c>
      <c r="S565">
        <v>2</v>
      </c>
    </row>
    <row r="566" spans="1:19" hidden="1" x14ac:dyDescent="0.3">
      <c r="A566" t="s">
        <v>767</v>
      </c>
      <c r="B566" t="s">
        <v>125</v>
      </c>
      <c r="C566" t="s">
        <v>6622</v>
      </c>
      <c r="D566" t="s">
        <v>842</v>
      </c>
      <c r="E566" t="s">
        <v>222</v>
      </c>
      <c r="F566" t="s">
        <v>30</v>
      </c>
      <c r="G566" s="6">
        <v>45657</v>
      </c>
      <c r="H566" t="s">
        <v>6816</v>
      </c>
      <c r="I566" t="s">
        <v>57</v>
      </c>
      <c r="J566" t="s">
        <v>78</v>
      </c>
      <c r="K566">
        <v>80</v>
      </c>
      <c r="L566">
        <v>96.4</v>
      </c>
      <c r="M566">
        <v>1.2050000000000001</v>
      </c>
      <c r="N566">
        <v>1.2050000000000001</v>
      </c>
      <c r="O566" t="s">
        <v>193</v>
      </c>
      <c r="P566" t="s">
        <v>6912</v>
      </c>
      <c r="Q566" t="s">
        <v>849</v>
      </c>
      <c r="R566">
        <v>2</v>
      </c>
      <c r="S566">
        <v>2</v>
      </c>
    </row>
    <row r="567" spans="1:19" hidden="1" x14ac:dyDescent="0.3">
      <c r="A567" t="s">
        <v>767</v>
      </c>
      <c r="B567" t="s">
        <v>125</v>
      </c>
      <c r="C567" t="s">
        <v>6622</v>
      </c>
      <c r="D567" t="s">
        <v>842</v>
      </c>
      <c r="E567" t="s">
        <v>222</v>
      </c>
      <c r="F567" t="s">
        <v>30</v>
      </c>
      <c r="G567" s="6">
        <v>46022</v>
      </c>
      <c r="H567" t="s">
        <v>6823</v>
      </c>
      <c r="I567" t="s">
        <v>57</v>
      </c>
      <c r="J567" t="s">
        <v>103</v>
      </c>
      <c r="K567">
        <v>80</v>
      </c>
      <c r="L567">
        <v>100</v>
      </c>
      <c r="M567">
        <v>1.25</v>
      </c>
      <c r="N567">
        <v>1.25</v>
      </c>
      <c r="O567" t="s">
        <v>193</v>
      </c>
      <c r="P567" t="s">
        <v>102</v>
      </c>
      <c r="Q567" t="s">
        <v>851</v>
      </c>
      <c r="R567">
        <v>2</v>
      </c>
      <c r="S567">
        <v>2</v>
      </c>
    </row>
    <row r="568" spans="1:19" hidden="1" x14ac:dyDescent="0.3">
      <c r="A568" t="s">
        <v>852</v>
      </c>
      <c r="B568" t="s">
        <v>853</v>
      </c>
      <c r="C568" t="s">
        <v>6681</v>
      </c>
      <c r="D568" t="s">
        <v>262</v>
      </c>
      <c r="E568" t="s">
        <v>222</v>
      </c>
      <c r="F568" t="s">
        <v>30</v>
      </c>
      <c r="G568" s="6">
        <v>45291</v>
      </c>
      <c r="H568" t="s">
        <v>6811</v>
      </c>
      <c r="I568" t="s">
        <v>57</v>
      </c>
      <c r="J568" t="s">
        <v>47</v>
      </c>
      <c r="K568">
        <v>80</v>
      </c>
      <c r="L568">
        <v>96.925000000000011</v>
      </c>
      <c r="M568">
        <v>1.2115625000000001</v>
      </c>
      <c r="N568">
        <v>1.2115625000000001</v>
      </c>
      <c r="O568" t="s">
        <v>193</v>
      </c>
      <c r="P568" t="s">
        <v>6913</v>
      </c>
      <c r="Q568" t="s">
        <v>855</v>
      </c>
      <c r="R568">
        <v>2</v>
      </c>
      <c r="S568">
        <v>2</v>
      </c>
    </row>
    <row r="569" spans="1:19" hidden="1" x14ac:dyDescent="0.3">
      <c r="A569" t="s">
        <v>852</v>
      </c>
      <c r="B569" t="s">
        <v>853</v>
      </c>
      <c r="C569" t="s">
        <v>6681</v>
      </c>
      <c r="D569" t="s">
        <v>262</v>
      </c>
      <c r="E569" t="s">
        <v>222</v>
      </c>
      <c r="F569" t="s">
        <v>30</v>
      </c>
      <c r="G569" s="6">
        <v>45657</v>
      </c>
      <c r="H569" t="s">
        <v>6816</v>
      </c>
      <c r="I569" t="s">
        <v>57</v>
      </c>
      <c r="J569" t="s">
        <v>78</v>
      </c>
      <c r="K569">
        <v>82.5</v>
      </c>
      <c r="L569">
        <v>96.83</v>
      </c>
      <c r="M569">
        <v>1.1736969696969699</v>
      </c>
      <c r="N569">
        <v>1.1736969696969699</v>
      </c>
      <c r="O569" t="s">
        <v>6914</v>
      </c>
      <c r="P569" t="s">
        <v>6915</v>
      </c>
      <c r="Q569" t="s">
        <v>857</v>
      </c>
      <c r="R569">
        <v>2</v>
      </c>
      <c r="S569">
        <v>2</v>
      </c>
    </row>
    <row r="570" spans="1:19" hidden="1" x14ac:dyDescent="0.3">
      <c r="A570" t="s">
        <v>852</v>
      </c>
      <c r="B570" t="s">
        <v>853</v>
      </c>
      <c r="C570" t="s">
        <v>6681</v>
      </c>
      <c r="D570" t="s">
        <v>262</v>
      </c>
      <c r="E570" t="s">
        <v>222</v>
      </c>
      <c r="F570" t="s">
        <v>30</v>
      </c>
      <c r="G570" s="6">
        <v>46022</v>
      </c>
      <c r="H570" t="s">
        <v>6823</v>
      </c>
      <c r="I570" t="s">
        <v>57</v>
      </c>
      <c r="J570" t="s">
        <v>103</v>
      </c>
      <c r="K570">
        <v>90</v>
      </c>
      <c r="L570">
        <v>93.814999999999998</v>
      </c>
      <c r="M570">
        <v>1.042388888888889</v>
      </c>
      <c r="N570">
        <v>1.042388888888889</v>
      </c>
      <c r="O570" t="s">
        <v>256</v>
      </c>
      <c r="P570" t="s">
        <v>6916</v>
      </c>
      <c r="Q570" t="s">
        <v>861</v>
      </c>
      <c r="R570">
        <v>2</v>
      </c>
      <c r="S570">
        <v>2</v>
      </c>
    </row>
    <row r="571" spans="1:19" hidden="1" x14ac:dyDescent="0.3">
      <c r="A571" t="s">
        <v>862</v>
      </c>
      <c r="B571" t="s">
        <v>863</v>
      </c>
      <c r="D571" t="s">
        <v>309</v>
      </c>
      <c r="E571" t="s">
        <v>284</v>
      </c>
      <c r="F571" t="s">
        <v>108</v>
      </c>
      <c r="G571" s="6">
        <v>45291</v>
      </c>
      <c r="H571" t="s">
        <v>6811</v>
      </c>
      <c r="I571" t="s">
        <v>57</v>
      </c>
      <c r="J571" t="s">
        <v>47</v>
      </c>
      <c r="K571">
        <v>15</v>
      </c>
      <c r="L571">
        <v>6.2066666666666661</v>
      </c>
      <c r="M571">
        <v>1.3</v>
      </c>
      <c r="N571">
        <v>2.416756176154673</v>
      </c>
      <c r="O571" t="s">
        <v>3932</v>
      </c>
      <c r="P571" t="s">
        <v>5563</v>
      </c>
      <c r="Q571" t="s">
        <v>6917</v>
      </c>
      <c r="R571">
        <v>2</v>
      </c>
      <c r="S571">
        <v>2</v>
      </c>
    </row>
    <row r="572" spans="1:19" hidden="1" x14ac:dyDescent="0.3">
      <c r="A572" t="s">
        <v>867</v>
      </c>
      <c r="B572" t="s">
        <v>868</v>
      </c>
      <c r="C572" t="s">
        <v>6681</v>
      </c>
      <c r="D572" t="s">
        <v>309</v>
      </c>
      <c r="E572" t="s">
        <v>29</v>
      </c>
      <c r="F572" t="s">
        <v>30</v>
      </c>
      <c r="G572" s="6">
        <v>44926</v>
      </c>
      <c r="H572" t="s">
        <v>6819</v>
      </c>
      <c r="I572" t="s">
        <v>57</v>
      </c>
      <c r="J572" t="s">
        <v>90</v>
      </c>
      <c r="K572">
        <v>95</v>
      </c>
      <c r="L572">
        <v>98.182857142857145</v>
      </c>
      <c r="M572">
        <v>1.0335037593984959</v>
      </c>
      <c r="N572">
        <v>1.0335037593984959</v>
      </c>
      <c r="O572" t="s">
        <v>838</v>
      </c>
      <c r="P572" t="s">
        <v>6918</v>
      </c>
      <c r="Q572" t="s">
        <v>875</v>
      </c>
      <c r="R572">
        <v>2</v>
      </c>
      <c r="S572">
        <v>2</v>
      </c>
    </row>
    <row r="573" spans="1:19" hidden="1" x14ac:dyDescent="0.3">
      <c r="A573" t="s">
        <v>867</v>
      </c>
      <c r="B573" t="s">
        <v>868</v>
      </c>
      <c r="C573" t="s">
        <v>6681</v>
      </c>
      <c r="D573" t="s">
        <v>309</v>
      </c>
      <c r="E573" t="s">
        <v>29</v>
      </c>
      <c r="F573" t="s">
        <v>30</v>
      </c>
      <c r="G573" s="6">
        <v>45291</v>
      </c>
      <c r="H573" t="s">
        <v>6811</v>
      </c>
      <c r="I573" t="s">
        <v>57</v>
      </c>
      <c r="J573" t="s">
        <v>47</v>
      </c>
      <c r="K573">
        <v>95</v>
      </c>
      <c r="L573">
        <v>94.715000000000003</v>
      </c>
      <c r="M573">
        <v>0.997</v>
      </c>
      <c r="N573">
        <v>0.997</v>
      </c>
      <c r="O573" t="s">
        <v>838</v>
      </c>
      <c r="P573" t="s">
        <v>6919</v>
      </c>
      <c r="Q573" t="s">
        <v>885</v>
      </c>
      <c r="R573">
        <v>2</v>
      </c>
      <c r="S573">
        <v>2</v>
      </c>
    </row>
    <row r="574" spans="1:19" hidden="1" x14ac:dyDescent="0.3">
      <c r="A574" t="s">
        <v>867</v>
      </c>
      <c r="B574" t="s">
        <v>868</v>
      </c>
      <c r="C574" t="s">
        <v>6681</v>
      </c>
      <c r="D574" t="s">
        <v>309</v>
      </c>
      <c r="E574" t="s">
        <v>29</v>
      </c>
      <c r="F574" t="s">
        <v>30</v>
      </c>
      <c r="G574" s="6">
        <v>45657</v>
      </c>
      <c r="H574" t="s">
        <v>6816</v>
      </c>
      <c r="I574" t="s">
        <v>57</v>
      </c>
      <c r="J574" t="s">
        <v>78</v>
      </c>
      <c r="K574">
        <v>95</v>
      </c>
      <c r="L574">
        <v>92.204444444444448</v>
      </c>
      <c r="M574">
        <v>0.97057309941520475</v>
      </c>
      <c r="N574">
        <v>0.97057309941520475</v>
      </c>
      <c r="O574" t="s">
        <v>838</v>
      </c>
      <c r="P574" t="s">
        <v>6920</v>
      </c>
      <c r="Q574" t="s">
        <v>897</v>
      </c>
      <c r="R574">
        <v>2</v>
      </c>
      <c r="S574">
        <v>2</v>
      </c>
    </row>
    <row r="575" spans="1:19" hidden="1" x14ac:dyDescent="0.3">
      <c r="A575" t="s">
        <v>867</v>
      </c>
      <c r="B575" t="s">
        <v>868</v>
      </c>
      <c r="C575" t="s">
        <v>6681</v>
      </c>
      <c r="D575" t="s">
        <v>309</v>
      </c>
      <c r="E575" t="s">
        <v>29</v>
      </c>
      <c r="F575" t="s">
        <v>30</v>
      </c>
      <c r="G575" s="6">
        <v>46022</v>
      </c>
      <c r="H575" t="s">
        <v>6823</v>
      </c>
      <c r="I575" t="s">
        <v>57</v>
      </c>
      <c r="J575" t="s">
        <v>103</v>
      </c>
      <c r="K575">
        <v>95</v>
      </c>
      <c r="L575">
        <v>90.990909090909099</v>
      </c>
      <c r="M575">
        <v>0.95779904306220109</v>
      </c>
      <c r="N575">
        <v>0.95779904306220109</v>
      </c>
      <c r="O575" t="s">
        <v>838</v>
      </c>
      <c r="P575" t="s">
        <v>6921</v>
      </c>
      <c r="Q575" t="s">
        <v>926</v>
      </c>
      <c r="R575">
        <v>2</v>
      </c>
      <c r="S575">
        <v>2</v>
      </c>
    </row>
    <row r="576" spans="1:19" hidden="1" x14ac:dyDescent="0.3">
      <c r="A576" t="s">
        <v>867</v>
      </c>
      <c r="B576" t="s">
        <v>868</v>
      </c>
      <c r="C576" t="s">
        <v>6681</v>
      </c>
      <c r="D576" t="s">
        <v>309</v>
      </c>
      <c r="E576" t="s">
        <v>29</v>
      </c>
      <c r="F576" t="s">
        <v>30</v>
      </c>
      <c r="G576" s="6">
        <v>46387</v>
      </c>
      <c r="H576" t="s">
        <v>6841</v>
      </c>
      <c r="I576" t="s">
        <v>57</v>
      </c>
      <c r="J576" t="s">
        <v>6842</v>
      </c>
      <c r="K576">
        <v>95</v>
      </c>
      <c r="M576">
        <v>0</v>
      </c>
      <c r="N576">
        <v>0</v>
      </c>
      <c r="O576" t="s">
        <v>838</v>
      </c>
      <c r="Q576" t="s">
        <v>6922</v>
      </c>
      <c r="R576">
        <v>2</v>
      </c>
      <c r="S576">
        <v>2</v>
      </c>
    </row>
    <row r="577" spans="1:19" hidden="1" x14ac:dyDescent="0.3">
      <c r="A577" t="s">
        <v>928</v>
      </c>
      <c r="B577" t="s">
        <v>929</v>
      </c>
      <c r="D577" t="s">
        <v>309</v>
      </c>
      <c r="E577" t="s">
        <v>222</v>
      </c>
      <c r="F577" t="s">
        <v>30</v>
      </c>
      <c r="G577" s="6">
        <v>45291</v>
      </c>
      <c r="H577" t="s">
        <v>6811</v>
      </c>
      <c r="I577" t="s">
        <v>57</v>
      </c>
      <c r="J577" t="s">
        <v>47</v>
      </c>
      <c r="K577">
        <v>95</v>
      </c>
      <c r="L577">
        <v>100</v>
      </c>
      <c r="M577">
        <v>1.0526315789473679</v>
      </c>
      <c r="N577">
        <v>1.0526315789473679</v>
      </c>
      <c r="O577" t="s">
        <v>838</v>
      </c>
      <c r="P577" t="s">
        <v>102</v>
      </c>
      <c r="Q577" t="s">
        <v>931</v>
      </c>
      <c r="R577">
        <v>2</v>
      </c>
      <c r="S577">
        <v>2</v>
      </c>
    </row>
    <row r="578" spans="1:19" hidden="1" x14ac:dyDescent="0.3">
      <c r="A578" t="s">
        <v>928</v>
      </c>
      <c r="B578" t="s">
        <v>929</v>
      </c>
      <c r="D578" t="s">
        <v>309</v>
      </c>
      <c r="E578" t="s">
        <v>222</v>
      </c>
      <c r="F578" t="s">
        <v>30</v>
      </c>
      <c r="G578" s="6">
        <v>45657</v>
      </c>
      <c r="H578" t="s">
        <v>6816</v>
      </c>
      <c r="I578" t="s">
        <v>57</v>
      </c>
      <c r="J578" t="s">
        <v>78</v>
      </c>
      <c r="K578">
        <v>95</v>
      </c>
      <c r="M578">
        <v>0</v>
      </c>
      <c r="N578">
        <v>0</v>
      </c>
      <c r="O578" t="s">
        <v>838</v>
      </c>
      <c r="Q578" t="s">
        <v>933</v>
      </c>
      <c r="R578">
        <v>2</v>
      </c>
      <c r="S578">
        <v>2</v>
      </c>
    </row>
    <row r="579" spans="1:19" hidden="1" x14ac:dyDescent="0.3">
      <c r="A579" t="s">
        <v>934</v>
      </c>
      <c r="B579" t="s">
        <v>935</v>
      </c>
      <c r="D579" t="s">
        <v>309</v>
      </c>
      <c r="E579" t="s">
        <v>29</v>
      </c>
      <c r="F579" t="s">
        <v>30</v>
      </c>
      <c r="G579" s="6">
        <v>45291</v>
      </c>
      <c r="H579" t="s">
        <v>6811</v>
      </c>
      <c r="I579" t="s">
        <v>57</v>
      </c>
      <c r="J579" t="s">
        <v>47</v>
      </c>
      <c r="K579">
        <v>80</v>
      </c>
      <c r="L579">
        <v>81.367777777777775</v>
      </c>
      <c r="M579">
        <v>1.0170972222222221</v>
      </c>
      <c r="N579">
        <v>1.0170972222222221</v>
      </c>
      <c r="O579" t="s">
        <v>193</v>
      </c>
      <c r="P579" t="s">
        <v>6923</v>
      </c>
      <c r="Q579" t="s">
        <v>947</v>
      </c>
      <c r="R579">
        <v>2</v>
      </c>
      <c r="S579">
        <v>2</v>
      </c>
    </row>
    <row r="580" spans="1:19" hidden="1" x14ac:dyDescent="0.3">
      <c r="A580" t="s">
        <v>934</v>
      </c>
      <c r="B580" t="s">
        <v>935</v>
      </c>
      <c r="D580" t="s">
        <v>309</v>
      </c>
      <c r="E580" t="s">
        <v>29</v>
      </c>
      <c r="F580" t="s">
        <v>30</v>
      </c>
      <c r="G580" s="6">
        <v>45657</v>
      </c>
      <c r="H580" t="s">
        <v>6816</v>
      </c>
      <c r="I580" t="s">
        <v>57</v>
      </c>
      <c r="J580" t="s">
        <v>78</v>
      </c>
      <c r="K580">
        <v>85</v>
      </c>
      <c r="L580">
        <v>87.157999999999987</v>
      </c>
      <c r="M580">
        <v>1.025388235294117</v>
      </c>
      <c r="N580">
        <v>1.025388235294117</v>
      </c>
      <c r="O580" t="s">
        <v>2357</v>
      </c>
      <c r="P580" t="s">
        <v>6924</v>
      </c>
      <c r="Q580" t="s">
        <v>960</v>
      </c>
      <c r="R580">
        <v>2</v>
      </c>
      <c r="S580">
        <v>2</v>
      </c>
    </row>
    <row r="581" spans="1:19" hidden="1" x14ac:dyDescent="0.3">
      <c r="A581" t="s">
        <v>961</v>
      </c>
      <c r="B581" t="s">
        <v>962</v>
      </c>
      <c r="C581" t="s">
        <v>6622</v>
      </c>
      <c r="D581" t="s">
        <v>717</v>
      </c>
      <c r="E581" t="s">
        <v>222</v>
      </c>
      <c r="F581" t="s">
        <v>30</v>
      </c>
      <c r="G581" s="6">
        <v>44926</v>
      </c>
      <c r="H581" t="s">
        <v>6819</v>
      </c>
      <c r="I581" t="s">
        <v>57</v>
      </c>
      <c r="J581" t="s">
        <v>90</v>
      </c>
      <c r="K581">
        <v>76</v>
      </c>
      <c r="L581">
        <v>92.1</v>
      </c>
      <c r="M581">
        <v>1.2118421052631581</v>
      </c>
      <c r="N581">
        <v>1.2118421052631581</v>
      </c>
      <c r="O581" t="s">
        <v>5576</v>
      </c>
      <c r="P581" t="s">
        <v>1018</v>
      </c>
      <c r="Q581" t="s">
        <v>964</v>
      </c>
      <c r="R581">
        <v>2</v>
      </c>
      <c r="S581">
        <v>2</v>
      </c>
    </row>
    <row r="582" spans="1:19" hidden="1" x14ac:dyDescent="0.3">
      <c r="A582" t="s">
        <v>961</v>
      </c>
      <c r="B582" t="s">
        <v>962</v>
      </c>
      <c r="C582" t="s">
        <v>6622</v>
      </c>
      <c r="D582" t="s">
        <v>717</v>
      </c>
      <c r="E582" t="s">
        <v>222</v>
      </c>
      <c r="F582" t="s">
        <v>30</v>
      </c>
      <c r="G582" s="6">
        <v>45291</v>
      </c>
      <c r="H582" t="s">
        <v>6811</v>
      </c>
      <c r="I582" t="s">
        <v>57</v>
      </c>
      <c r="J582" t="s">
        <v>47</v>
      </c>
      <c r="K582">
        <v>92</v>
      </c>
      <c r="L582">
        <v>91.6</v>
      </c>
      <c r="M582">
        <v>0.99565217391304339</v>
      </c>
      <c r="N582">
        <v>0.99565217391304339</v>
      </c>
      <c r="O582" t="s">
        <v>4634</v>
      </c>
      <c r="P582" t="s">
        <v>6925</v>
      </c>
      <c r="Q582" t="s">
        <v>966</v>
      </c>
      <c r="R582">
        <v>2</v>
      </c>
      <c r="S582">
        <v>2</v>
      </c>
    </row>
    <row r="583" spans="1:19" hidden="1" x14ac:dyDescent="0.3">
      <c r="A583" t="s">
        <v>961</v>
      </c>
      <c r="B583" t="s">
        <v>962</v>
      </c>
      <c r="C583" t="s">
        <v>6622</v>
      </c>
      <c r="D583" t="s">
        <v>717</v>
      </c>
      <c r="E583" t="s">
        <v>222</v>
      </c>
      <c r="F583" t="s">
        <v>30</v>
      </c>
      <c r="G583" s="6">
        <v>45657</v>
      </c>
      <c r="H583" t="s">
        <v>6816</v>
      </c>
      <c r="I583" t="s">
        <v>57</v>
      </c>
      <c r="J583" t="s">
        <v>78</v>
      </c>
      <c r="K583">
        <v>90</v>
      </c>
      <c r="L583">
        <v>92.6</v>
      </c>
      <c r="M583">
        <v>1.028888888888889</v>
      </c>
      <c r="N583">
        <v>1.028888888888889</v>
      </c>
      <c r="O583" t="s">
        <v>256</v>
      </c>
      <c r="P583" t="s">
        <v>6926</v>
      </c>
      <c r="Q583" t="s">
        <v>968</v>
      </c>
      <c r="R583">
        <v>2</v>
      </c>
      <c r="S583">
        <v>2</v>
      </c>
    </row>
    <row r="584" spans="1:19" hidden="1" x14ac:dyDescent="0.3">
      <c r="A584" t="s">
        <v>961</v>
      </c>
      <c r="B584" t="s">
        <v>969</v>
      </c>
      <c r="C584" t="s">
        <v>6622</v>
      </c>
      <c r="D584" t="s">
        <v>717</v>
      </c>
      <c r="E584" t="s">
        <v>222</v>
      </c>
      <c r="F584" t="s">
        <v>30</v>
      </c>
      <c r="G584" s="6">
        <v>46022</v>
      </c>
      <c r="H584" t="s">
        <v>6823</v>
      </c>
      <c r="I584" t="s">
        <v>57</v>
      </c>
      <c r="J584" t="s">
        <v>103</v>
      </c>
      <c r="K584">
        <v>93.5</v>
      </c>
      <c r="L584">
        <v>95.60499999999999</v>
      </c>
      <c r="M584">
        <v>1.0225133689839569</v>
      </c>
      <c r="N584">
        <v>1.0225133689839569</v>
      </c>
      <c r="O584" t="s">
        <v>5582</v>
      </c>
      <c r="P584" t="s">
        <v>6927</v>
      </c>
      <c r="Q584" t="s">
        <v>974</v>
      </c>
      <c r="R584">
        <v>2</v>
      </c>
      <c r="S584">
        <v>2</v>
      </c>
    </row>
    <row r="585" spans="1:19" hidden="1" x14ac:dyDescent="0.3">
      <c r="A585" t="s">
        <v>975</v>
      </c>
      <c r="B585" t="s">
        <v>976</v>
      </c>
      <c r="D585" t="s">
        <v>717</v>
      </c>
      <c r="E585" t="s">
        <v>222</v>
      </c>
      <c r="F585" t="s">
        <v>30</v>
      </c>
      <c r="G585" s="6">
        <v>44926</v>
      </c>
      <c r="H585" t="s">
        <v>6819</v>
      </c>
      <c r="I585" t="s">
        <v>57</v>
      </c>
      <c r="J585" t="s">
        <v>90</v>
      </c>
      <c r="K585">
        <v>73</v>
      </c>
      <c r="L585">
        <v>83.185000000000002</v>
      </c>
      <c r="M585">
        <v>1.139520547945206</v>
      </c>
      <c r="N585">
        <v>1.139520547945206</v>
      </c>
      <c r="O585" t="s">
        <v>5583</v>
      </c>
      <c r="P585" t="s">
        <v>6928</v>
      </c>
      <c r="Q585" t="s">
        <v>978</v>
      </c>
      <c r="R585">
        <v>2</v>
      </c>
      <c r="S585">
        <v>2</v>
      </c>
    </row>
    <row r="586" spans="1:19" hidden="1" x14ac:dyDescent="0.3">
      <c r="A586" t="s">
        <v>975</v>
      </c>
      <c r="B586" t="s">
        <v>976</v>
      </c>
      <c r="D586" t="s">
        <v>717</v>
      </c>
      <c r="E586" t="s">
        <v>222</v>
      </c>
      <c r="F586" t="s">
        <v>30</v>
      </c>
      <c r="G586" s="6">
        <v>45291</v>
      </c>
      <c r="H586" t="s">
        <v>6811</v>
      </c>
      <c r="I586" t="s">
        <v>57</v>
      </c>
      <c r="J586" t="s">
        <v>47</v>
      </c>
      <c r="K586">
        <v>80</v>
      </c>
      <c r="L586">
        <v>80.545000000000002</v>
      </c>
      <c r="M586">
        <v>1.0068125000000001</v>
      </c>
      <c r="N586">
        <v>1.0068125000000001</v>
      </c>
      <c r="O586" t="s">
        <v>193</v>
      </c>
      <c r="P586" t="s">
        <v>6929</v>
      </c>
      <c r="Q586" t="s">
        <v>980</v>
      </c>
      <c r="R586">
        <v>2</v>
      </c>
      <c r="S586">
        <v>2</v>
      </c>
    </row>
    <row r="587" spans="1:19" hidden="1" x14ac:dyDescent="0.3">
      <c r="A587" t="s">
        <v>975</v>
      </c>
      <c r="B587" t="s">
        <v>976</v>
      </c>
      <c r="D587" t="s">
        <v>717</v>
      </c>
      <c r="E587" t="s">
        <v>222</v>
      </c>
      <c r="F587" t="s">
        <v>30</v>
      </c>
      <c r="G587" s="6">
        <v>45657</v>
      </c>
      <c r="H587" t="s">
        <v>6816</v>
      </c>
      <c r="I587" t="s">
        <v>57</v>
      </c>
      <c r="J587" t="s">
        <v>78</v>
      </c>
      <c r="K587">
        <v>81</v>
      </c>
      <c r="L587">
        <v>86.004999999999995</v>
      </c>
      <c r="M587">
        <v>1.0617901234567899</v>
      </c>
      <c r="N587">
        <v>1.0617901234567899</v>
      </c>
      <c r="O587" t="s">
        <v>1054</v>
      </c>
      <c r="P587" t="s">
        <v>4410</v>
      </c>
      <c r="Q587" t="s">
        <v>982</v>
      </c>
      <c r="R587">
        <v>2</v>
      </c>
      <c r="S587">
        <v>2</v>
      </c>
    </row>
    <row r="588" spans="1:19" hidden="1" x14ac:dyDescent="0.3">
      <c r="A588" t="s">
        <v>975</v>
      </c>
      <c r="B588" t="s">
        <v>976</v>
      </c>
      <c r="D588" t="s">
        <v>717</v>
      </c>
      <c r="E588" t="s">
        <v>222</v>
      </c>
      <c r="F588" t="s">
        <v>30</v>
      </c>
      <c r="G588" s="6">
        <v>46022</v>
      </c>
      <c r="H588" t="s">
        <v>6823</v>
      </c>
      <c r="I588" t="s">
        <v>57</v>
      </c>
      <c r="J588" t="s">
        <v>103</v>
      </c>
      <c r="K588">
        <v>80</v>
      </c>
      <c r="L588">
        <v>90</v>
      </c>
      <c r="M588">
        <v>1.125</v>
      </c>
      <c r="N588">
        <v>1.125</v>
      </c>
      <c r="O588" t="s">
        <v>193</v>
      </c>
      <c r="P588" t="s">
        <v>256</v>
      </c>
      <c r="Q588" t="s">
        <v>5303</v>
      </c>
      <c r="R588">
        <v>2</v>
      </c>
      <c r="S588">
        <v>2</v>
      </c>
    </row>
    <row r="589" spans="1:19" hidden="1" x14ac:dyDescent="0.3">
      <c r="A589" t="s">
        <v>984</v>
      </c>
      <c r="B589" t="s">
        <v>985</v>
      </c>
      <c r="D589" t="s">
        <v>717</v>
      </c>
      <c r="E589" t="s">
        <v>222</v>
      </c>
      <c r="F589" t="s">
        <v>30</v>
      </c>
      <c r="G589" s="6">
        <v>44926</v>
      </c>
      <c r="H589" t="s">
        <v>6819</v>
      </c>
      <c r="I589" t="s">
        <v>57</v>
      </c>
      <c r="J589" t="s">
        <v>90</v>
      </c>
      <c r="K589">
        <v>25</v>
      </c>
      <c r="L589">
        <v>44.835000000000001</v>
      </c>
      <c r="M589">
        <v>1.3</v>
      </c>
      <c r="N589">
        <v>1.7934000000000001</v>
      </c>
      <c r="O589" t="s">
        <v>5588</v>
      </c>
      <c r="P589" t="s">
        <v>6930</v>
      </c>
      <c r="Q589" t="s">
        <v>987</v>
      </c>
      <c r="R589">
        <v>2</v>
      </c>
      <c r="S589">
        <v>2</v>
      </c>
    </row>
    <row r="590" spans="1:19" hidden="1" x14ac:dyDescent="0.3">
      <c r="A590" t="s">
        <v>984</v>
      </c>
      <c r="B590" t="s">
        <v>985</v>
      </c>
      <c r="D590" t="s">
        <v>717</v>
      </c>
      <c r="E590" t="s">
        <v>222</v>
      </c>
      <c r="F590" t="s">
        <v>30</v>
      </c>
      <c r="G590" s="6">
        <v>45291</v>
      </c>
      <c r="H590" t="s">
        <v>6811</v>
      </c>
      <c r="I590" t="s">
        <v>57</v>
      </c>
      <c r="J590" t="s">
        <v>47</v>
      </c>
      <c r="K590">
        <v>46</v>
      </c>
      <c r="L590">
        <v>56.465000000000003</v>
      </c>
      <c r="M590">
        <v>1.2275</v>
      </c>
      <c r="N590">
        <v>1.2275</v>
      </c>
      <c r="O590" t="s">
        <v>6306</v>
      </c>
      <c r="P590" t="s">
        <v>6931</v>
      </c>
      <c r="Q590" t="s">
        <v>989</v>
      </c>
      <c r="R590">
        <v>2</v>
      </c>
      <c r="S590">
        <v>2</v>
      </c>
    </row>
    <row r="591" spans="1:19" hidden="1" x14ac:dyDescent="0.3">
      <c r="A591" t="s">
        <v>984</v>
      </c>
      <c r="B591" t="s">
        <v>985</v>
      </c>
      <c r="D591" t="s">
        <v>717</v>
      </c>
      <c r="E591" t="s">
        <v>222</v>
      </c>
      <c r="F591" t="s">
        <v>30</v>
      </c>
      <c r="G591" s="6">
        <v>46022</v>
      </c>
      <c r="H591" t="s">
        <v>6823</v>
      </c>
      <c r="I591" t="s">
        <v>57</v>
      </c>
      <c r="J591" t="s">
        <v>103</v>
      </c>
      <c r="K591">
        <v>50</v>
      </c>
      <c r="L591">
        <v>59.59</v>
      </c>
      <c r="M591">
        <v>1.1918</v>
      </c>
      <c r="N591">
        <v>1.1918</v>
      </c>
      <c r="O591" t="s">
        <v>4242</v>
      </c>
      <c r="P591" t="s">
        <v>5591</v>
      </c>
      <c r="Q591" t="s">
        <v>6932</v>
      </c>
      <c r="R591">
        <v>2</v>
      </c>
      <c r="S591">
        <v>2</v>
      </c>
    </row>
    <row r="592" spans="1:19" hidden="1" x14ac:dyDescent="0.3">
      <c r="A592" t="s">
        <v>991</v>
      </c>
      <c r="B592" t="s">
        <v>992</v>
      </c>
      <c r="D592" t="s">
        <v>717</v>
      </c>
      <c r="E592" t="s">
        <v>222</v>
      </c>
      <c r="F592" t="s">
        <v>108</v>
      </c>
      <c r="G592" s="6">
        <v>45291</v>
      </c>
      <c r="H592" t="s">
        <v>6811</v>
      </c>
      <c r="I592" t="s">
        <v>57</v>
      </c>
      <c r="J592" t="s">
        <v>47</v>
      </c>
      <c r="K592">
        <v>37</v>
      </c>
      <c r="L592">
        <v>30.515000000000001</v>
      </c>
      <c r="M592">
        <v>1.212518433557267</v>
      </c>
      <c r="N592">
        <v>1.212518433557267</v>
      </c>
      <c r="O592" t="s">
        <v>5593</v>
      </c>
      <c r="P592" t="s">
        <v>6933</v>
      </c>
      <c r="Q592" t="s">
        <v>994</v>
      </c>
      <c r="R592">
        <v>2</v>
      </c>
      <c r="S592">
        <v>2</v>
      </c>
    </row>
    <row r="593" spans="1:19" hidden="1" x14ac:dyDescent="0.3">
      <c r="A593" t="s">
        <v>995</v>
      </c>
      <c r="B593" t="s">
        <v>996</v>
      </c>
      <c r="C593" t="s">
        <v>6622</v>
      </c>
      <c r="D593" t="s">
        <v>251</v>
      </c>
      <c r="E593" t="s">
        <v>233</v>
      </c>
      <c r="F593" t="s">
        <v>30</v>
      </c>
      <c r="G593" s="6">
        <v>45291</v>
      </c>
      <c r="H593" t="s">
        <v>6811</v>
      </c>
      <c r="I593" t="s">
        <v>57</v>
      </c>
      <c r="J593" t="s">
        <v>47</v>
      </c>
      <c r="K593">
        <v>90</v>
      </c>
      <c r="L593">
        <v>100</v>
      </c>
      <c r="M593">
        <v>1.1111111111111109</v>
      </c>
      <c r="N593">
        <v>1.1111111111111109</v>
      </c>
      <c r="O593" t="s">
        <v>256</v>
      </c>
      <c r="P593" t="s">
        <v>102</v>
      </c>
      <c r="Q593" t="s">
        <v>1000</v>
      </c>
      <c r="R593">
        <v>2</v>
      </c>
      <c r="S593">
        <v>2</v>
      </c>
    </row>
    <row r="594" spans="1:19" hidden="1" x14ac:dyDescent="0.3">
      <c r="A594" t="s">
        <v>995</v>
      </c>
      <c r="B594" t="s">
        <v>996</v>
      </c>
      <c r="C594" t="s">
        <v>6622</v>
      </c>
      <c r="D594" t="s">
        <v>251</v>
      </c>
      <c r="E594" t="s">
        <v>233</v>
      </c>
      <c r="F594" t="s">
        <v>30</v>
      </c>
      <c r="G594" s="6">
        <v>45657</v>
      </c>
      <c r="H594" t="s">
        <v>6816</v>
      </c>
      <c r="I594" t="s">
        <v>57</v>
      </c>
      <c r="J594" t="s">
        <v>78</v>
      </c>
      <c r="K594">
        <v>95</v>
      </c>
      <c r="L594">
        <v>100</v>
      </c>
      <c r="M594">
        <v>1.0526315789473679</v>
      </c>
      <c r="N594">
        <v>1.0526315789473679</v>
      </c>
      <c r="O594" t="s">
        <v>838</v>
      </c>
      <c r="P594" t="s">
        <v>102</v>
      </c>
      <c r="Q594" t="s">
        <v>1004</v>
      </c>
      <c r="R594">
        <v>2</v>
      </c>
      <c r="S594">
        <v>2</v>
      </c>
    </row>
    <row r="595" spans="1:19" hidden="1" x14ac:dyDescent="0.3">
      <c r="A595" t="s">
        <v>995</v>
      </c>
      <c r="B595" t="s">
        <v>996</v>
      </c>
      <c r="C595" t="s">
        <v>6622</v>
      </c>
      <c r="D595" t="s">
        <v>251</v>
      </c>
      <c r="E595" t="s">
        <v>233</v>
      </c>
      <c r="F595" t="s">
        <v>30</v>
      </c>
      <c r="G595" s="6">
        <v>46022</v>
      </c>
      <c r="H595" t="s">
        <v>6823</v>
      </c>
      <c r="I595" t="s">
        <v>57</v>
      </c>
      <c r="J595" t="s">
        <v>103</v>
      </c>
      <c r="K595">
        <v>97</v>
      </c>
      <c r="L595">
        <v>98.81</v>
      </c>
      <c r="M595">
        <v>1.0186597938144331</v>
      </c>
      <c r="N595">
        <v>1.0186597938144331</v>
      </c>
      <c r="O595" t="s">
        <v>1005</v>
      </c>
      <c r="P595" t="s">
        <v>6934</v>
      </c>
      <c r="Q595" t="s">
        <v>1010</v>
      </c>
      <c r="R595">
        <v>2</v>
      </c>
      <c r="S595">
        <v>2</v>
      </c>
    </row>
    <row r="596" spans="1:19" hidden="1" x14ac:dyDescent="0.3">
      <c r="A596" t="s">
        <v>1011</v>
      </c>
      <c r="B596" t="s">
        <v>1012</v>
      </c>
      <c r="C596" t="s">
        <v>6681</v>
      </c>
      <c r="D596" t="s">
        <v>262</v>
      </c>
      <c r="E596" t="s">
        <v>222</v>
      </c>
      <c r="F596" t="s">
        <v>30</v>
      </c>
      <c r="G596" s="6">
        <v>45291</v>
      </c>
      <c r="H596" t="s">
        <v>6811</v>
      </c>
      <c r="I596" t="s">
        <v>57</v>
      </c>
      <c r="J596" t="s">
        <v>47</v>
      </c>
      <c r="K596">
        <v>70</v>
      </c>
      <c r="L596">
        <v>87.67</v>
      </c>
      <c r="M596">
        <v>1.252428571428571</v>
      </c>
      <c r="N596">
        <v>1.252428571428571</v>
      </c>
      <c r="O596" t="s">
        <v>3922</v>
      </c>
      <c r="P596" t="s">
        <v>5596</v>
      </c>
      <c r="Q596" t="s">
        <v>1014</v>
      </c>
      <c r="R596">
        <v>2</v>
      </c>
      <c r="S596">
        <v>2</v>
      </c>
    </row>
    <row r="597" spans="1:19" hidden="1" x14ac:dyDescent="0.3">
      <c r="A597" t="s">
        <v>1011</v>
      </c>
      <c r="B597" t="s">
        <v>1012</v>
      </c>
      <c r="C597" t="s">
        <v>6681</v>
      </c>
      <c r="D597" t="s">
        <v>262</v>
      </c>
      <c r="E597" t="s">
        <v>222</v>
      </c>
      <c r="F597" t="s">
        <v>30</v>
      </c>
      <c r="G597" s="6">
        <v>45657</v>
      </c>
      <c r="H597" t="s">
        <v>6816</v>
      </c>
      <c r="I597" t="s">
        <v>57</v>
      </c>
      <c r="J597" t="s">
        <v>78</v>
      </c>
      <c r="K597">
        <v>80</v>
      </c>
      <c r="L597">
        <v>92.5</v>
      </c>
      <c r="M597">
        <v>1.15625</v>
      </c>
      <c r="N597">
        <v>1.15625</v>
      </c>
      <c r="O597" t="s">
        <v>193</v>
      </c>
      <c r="P597" t="s">
        <v>4417</v>
      </c>
      <c r="Q597" t="s">
        <v>1016</v>
      </c>
      <c r="R597">
        <v>2</v>
      </c>
      <c r="S597">
        <v>2</v>
      </c>
    </row>
    <row r="598" spans="1:19" hidden="1" x14ac:dyDescent="0.3">
      <c r="A598" t="s">
        <v>1011</v>
      </c>
      <c r="B598" t="s">
        <v>1012</v>
      </c>
      <c r="C598" t="s">
        <v>6681</v>
      </c>
      <c r="D598" t="s">
        <v>262</v>
      </c>
      <c r="E598" t="s">
        <v>222</v>
      </c>
      <c r="F598" t="s">
        <v>30</v>
      </c>
      <c r="G598" s="6">
        <v>46022</v>
      </c>
      <c r="H598" t="s">
        <v>6823</v>
      </c>
      <c r="I598" t="s">
        <v>57</v>
      </c>
      <c r="J598" t="s">
        <v>103</v>
      </c>
      <c r="K598">
        <v>80</v>
      </c>
      <c r="L598">
        <v>92.495000000000005</v>
      </c>
      <c r="M598">
        <v>1.1561874999999999</v>
      </c>
      <c r="N598">
        <v>1.1561874999999999</v>
      </c>
      <c r="O598" t="s">
        <v>193</v>
      </c>
      <c r="P598" t="s">
        <v>4417</v>
      </c>
      <c r="Q598" t="s">
        <v>1022</v>
      </c>
      <c r="R598">
        <v>2</v>
      </c>
      <c r="S598">
        <v>2</v>
      </c>
    </row>
    <row r="599" spans="1:19" hidden="1" x14ac:dyDescent="0.3">
      <c r="A599" t="s">
        <v>1023</v>
      </c>
      <c r="B599" t="s">
        <v>1024</v>
      </c>
      <c r="D599" t="s">
        <v>262</v>
      </c>
      <c r="E599" t="s">
        <v>29</v>
      </c>
      <c r="F599" t="s">
        <v>30</v>
      </c>
      <c r="G599" s="6">
        <v>44926</v>
      </c>
      <c r="H599" t="s">
        <v>6819</v>
      </c>
      <c r="I599" t="s">
        <v>57</v>
      </c>
      <c r="J599" t="s">
        <v>90</v>
      </c>
      <c r="K599">
        <v>49.5</v>
      </c>
      <c r="L599">
        <v>51</v>
      </c>
      <c r="M599">
        <v>1.0303030303030301</v>
      </c>
      <c r="N599">
        <v>1.0303030303030301</v>
      </c>
      <c r="O599" t="s">
        <v>6935</v>
      </c>
      <c r="P599" t="s">
        <v>5415</v>
      </c>
      <c r="Q599" t="s">
        <v>1026</v>
      </c>
      <c r="R599">
        <v>2</v>
      </c>
      <c r="S599">
        <v>2</v>
      </c>
    </row>
    <row r="600" spans="1:19" hidden="1" x14ac:dyDescent="0.3">
      <c r="A600" t="s">
        <v>1023</v>
      </c>
      <c r="B600" t="s">
        <v>1024</v>
      </c>
      <c r="D600" t="s">
        <v>262</v>
      </c>
      <c r="E600" t="s">
        <v>29</v>
      </c>
      <c r="F600" t="s">
        <v>30</v>
      </c>
      <c r="G600" s="6">
        <v>45291</v>
      </c>
      <c r="H600" t="s">
        <v>6811</v>
      </c>
      <c r="I600" t="s">
        <v>57</v>
      </c>
      <c r="J600" t="s">
        <v>47</v>
      </c>
      <c r="K600">
        <v>94.166666666666671</v>
      </c>
      <c r="L600">
        <v>93</v>
      </c>
      <c r="M600">
        <v>0.98761061946902651</v>
      </c>
      <c r="N600">
        <v>0.98761061946902651</v>
      </c>
      <c r="O600" t="s">
        <v>6295</v>
      </c>
      <c r="P600" t="s">
        <v>971</v>
      </c>
      <c r="Q600" t="s">
        <v>1038</v>
      </c>
      <c r="R600">
        <v>2</v>
      </c>
      <c r="S600">
        <v>2</v>
      </c>
    </row>
    <row r="601" spans="1:19" hidden="1" x14ac:dyDescent="0.3">
      <c r="A601" t="s">
        <v>1039</v>
      </c>
      <c r="B601" t="s">
        <v>1040</v>
      </c>
      <c r="C601" t="s">
        <v>6622</v>
      </c>
      <c r="D601" t="s">
        <v>262</v>
      </c>
      <c r="E601" t="s">
        <v>98</v>
      </c>
      <c r="F601" t="s">
        <v>30</v>
      </c>
      <c r="G601" s="6">
        <v>45291</v>
      </c>
      <c r="H601" t="s">
        <v>6811</v>
      </c>
      <c r="I601" t="s">
        <v>57</v>
      </c>
      <c r="J601" t="s">
        <v>47</v>
      </c>
      <c r="L601">
        <v>90</v>
      </c>
      <c r="M601">
        <v>0</v>
      </c>
      <c r="N601">
        <v>0</v>
      </c>
      <c r="P601" t="s">
        <v>256</v>
      </c>
      <c r="Q601" t="s">
        <v>1042</v>
      </c>
      <c r="R601">
        <v>2</v>
      </c>
      <c r="S601">
        <v>2</v>
      </c>
    </row>
    <row r="602" spans="1:19" hidden="1" x14ac:dyDescent="0.3">
      <c r="A602" t="s">
        <v>1039</v>
      </c>
      <c r="B602" t="s">
        <v>1040</v>
      </c>
      <c r="C602" t="s">
        <v>6622</v>
      </c>
      <c r="D602" t="s">
        <v>262</v>
      </c>
      <c r="E602" t="s">
        <v>98</v>
      </c>
      <c r="F602" t="s">
        <v>30</v>
      </c>
      <c r="G602" s="6">
        <v>45657</v>
      </c>
      <c r="H602" t="s">
        <v>6816</v>
      </c>
      <c r="I602" t="s">
        <v>57</v>
      </c>
      <c r="J602" t="s">
        <v>78</v>
      </c>
      <c r="K602">
        <v>80</v>
      </c>
      <c r="L602">
        <v>87.4</v>
      </c>
      <c r="M602">
        <v>1.0925</v>
      </c>
      <c r="N602">
        <v>1.0925</v>
      </c>
      <c r="O602" t="s">
        <v>193</v>
      </c>
      <c r="P602" t="s">
        <v>5602</v>
      </c>
      <c r="Q602" t="s">
        <v>1043</v>
      </c>
      <c r="R602">
        <v>2</v>
      </c>
      <c r="S602">
        <v>2</v>
      </c>
    </row>
    <row r="603" spans="1:19" hidden="1" x14ac:dyDescent="0.3">
      <c r="A603" t="s">
        <v>1039</v>
      </c>
      <c r="B603" t="s">
        <v>1040</v>
      </c>
      <c r="C603" t="s">
        <v>6622</v>
      </c>
      <c r="D603" t="s">
        <v>262</v>
      </c>
      <c r="E603" t="s">
        <v>98</v>
      </c>
      <c r="F603" t="s">
        <v>30</v>
      </c>
      <c r="G603" s="6">
        <v>46022</v>
      </c>
      <c r="H603" t="s">
        <v>6823</v>
      </c>
      <c r="I603" t="s">
        <v>57</v>
      </c>
      <c r="J603" t="s">
        <v>103</v>
      </c>
      <c r="K603">
        <v>87</v>
      </c>
      <c r="L603">
        <v>90.85</v>
      </c>
      <c r="M603">
        <v>1.0442528735632179</v>
      </c>
      <c r="N603">
        <v>1.0442528735632179</v>
      </c>
      <c r="O603" t="s">
        <v>1045</v>
      </c>
      <c r="P603" t="s">
        <v>1046</v>
      </c>
      <c r="Q603" t="s">
        <v>1047</v>
      </c>
      <c r="R603">
        <v>2</v>
      </c>
      <c r="S603">
        <v>2</v>
      </c>
    </row>
    <row r="604" spans="1:19" hidden="1" x14ac:dyDescent="0.3">
      <c r="A604" t="s">
        <v>1048</v>
      </c>
      <c r="B604" t="s">
        <v>1049</v>
      </c>
      <c r="C604" t="s">
        <v>6622</v>
      </c>
      <c r="D604" t="s">
        <v>262</v>
      </c>
      <c r="E604" t="s">
        <v>98</v>
      </c>
      <c r="F604" t="s">
        <v>30</v>
      </c>
      <c r="G604" s="6">
        <v>45291</v>
      </c>
      <c r="H604" t="s">
        <v>6811</v>
      </c>
      <c r="I604" t="s">
        <v>57</v>
      </c>
      <c r="J604" t="s">
        <v>47</v>
      </c>
      <c r="K604">
        <v>66</v>
      </c>
      <c r="L604">
        <v>64.7</v>
      </c>
      <c r="M604">
        <v>0.98030303030303034</v>
      </c>
      <c r="N604">
        <v>0.98030303030303034</v>
      </c>
      <c r="O604" t="s">
        <v>5598</v>
      </c>
      <c r="P604" t="s">
        <v>5603</v>
      </c>
      <c r="Q604" t="s">
        <v>1050</v>
      </c>
      <c r="R604">
        <v>2</v>
      </c>
      <c r="S604">
        <v>2</v>
      </c>
    </row>
    <row r="605" spans="1:19" hidden="1" x14ac:dyDescent="0.3">
      <c r="A605" t="s">
        <v>1048</v>
      </c>
      <c r="B605" t="s">
        <v>1049</v>
      </c>
      <c r="C605" t="s">
        <v>6622</v>
      </c>
      <c r="D605" t="s">
        <v>262</v>
      </c>
      <c r="E605" t="s">
        <v>98</v>
      </c>
      <c r="F605" t="s">
        <v>30</v>
      </c>
      <c r="G605" s="6">
        <v>45657</v>
      </c>
      <c r="H605" t="s">
        <v>6816</v>
      </c>
      <c r="I605" t="s">
        <v>57</v>
      </c>
      <c r="J605" t="s">
        <v>78</v>
      </c>
      <c r="K605">
        <v>0</v>
      </c>
      <c r="M605">
        <v>0</v>
      </c>
      <c r="N605">
        <v>0</v>
      </c>
      <c r="O605" t="s">
        <v>122</v>
      </c>
      <c r="Q605" t="s">
        <v>1051</v>
      </c>
      <c r="R605">
        <v>2</v>
      </c>
      <c r="S605">
        <v>2</v>
      </c>
    </row>
    <row r="606" spans="1:19" hidden="1" x14ac:dyDescent="0.3">
      <c r="A606" t="s">
        <v>1048</v>
      </c>
      <c r="B606" t="s">
        <v>1049</v>
      </c>
      <c r="C606" t="s">
        <v>6622</v>
      </c>
      <c r="D606" t="s">
        <v>262</v>
      </c>
      <c r="E606" t="s">
        <v>98</v>
      </c>
      <c r="F606" t="s">
        <v>30</v>
      </c>
      <c r="G606" s="6">
        <v>46022</v>
      </c>
      <c r="H606" t="s">
        <v>6823</v>
      </c>
      <c r="I606" t="s">
        <v>57</v>
      </c>
      <c r="J606" t="s">
        <v>103</v>
      </c>
      <c r="K606">
        <v>68.7</v>
      </c>
      <c r="L606">
        <v>81</v>
      </c>
      <c r="M606">
        <v>1.179039301310044</v>
      </c>
      <c r="N606">
        <v>1.179039301310044</v>
      </c>
      <c r="O606" t="s">
        <v>1053</v>
      </c>
      <c r="P606" t="s">
        <v>1054</v>
      </c>
      <c r="Q606" t="s">
        <v>1055</v>
      </c>
      <c r="R606">
        <v>2</v>
      </c>
      <c r="S606">
        <v>2</v>
      </c>
    </row>
    <row r="607" spans="1:19" hidden="1" x14ac:dyDescent="0.3">
      <c r="A607" t="s">
        <v>1056</v>
      </c>
      <c r="B607" t="s">
        <v>1057</v>
      </c>
      <c r="C607" t="s">
        <v>6622</v>
      </c>
      <c r="D607" t="s">
        <v>225</v>
      </c>
      <c r="E607" t="s">
        <v>222</v>
      </c>
      <c r="F607" t="s">
        <v>30</v>
      </c>
      <c r="G607" s="6">
        <v>44926</v>
      </c>
      <c r="H607" t="s">
        <v>6819</v>
      </c>
      <c r="I607" t="s">
        <v>57</v>
      </c>
      <c r="J607" t="s">
        <v>90</v>
      </c>
      <c r="K607">
        <v>338112</v>
      </c>
      <c r="L607">
        <v>360026</v>
      </c>
      <c r="M607">
        <v>1.064812843081582</v>
      </c>
      <c r="N607">
        <v>1.064812843081582</v>
      </c>
      <c r="O607" t="s">
        <v>6936</v>
      </c>
      <c r="P607" t="s">
        <v>6937</v>
      </c>
      <c r="Q607" t="s">
        <v>1059</v>
      </c>
      <c r="R607">
        <v>2</v>
      </c>
      <c r="S607">
        <v>2</v>
      </c>
    </row>
    <row r="608" spans="1:19" hidden="1" x14ac:dyDescent="0.3">
      <c r="A608" t="s">
        <v>1056</v>
      </c>
      <c r="B608" t="s">
        <v>1057</v>
      </c>
      <c r="C608" t="s">
        <v>6622</v>
      </c>
      <c r="D608" t="s">
        <v>225</v>
      </c>
      <c r="E608" t="s">
        <v>222</v>
      </c>
      <c r="F608" t="s">
        <v>30</v>
      </c>
      <c r="G608" s="6">
        <v>45291</v>
      </c>
      <c r="H608" t="s">
        <v>6811</v>
      </c>
      <c r="I608" t="s">
        <v>57</v>
      </c>
      <c r="J608" t="s">
        <v>47</v>
      </c>
      <c r="K608">
        <v>388310.13913600001</v>
      </c>
      <c r="L608">
        <v>403052.12083700002</v>
      </c>
      <c r="M608">
        <v>1.0379644521613609</v>
      </c>
      <c r="N608">
        <v>1.0379644521613609</v>
      </c>
      <c r="O608" t="s">
        <v>6938</v>
      </c>
      <c r="P608" t="s">
        <v>6939</v>
      </c>
      <c r="Q608" t="s">
        <v>1061</v>
      </c>
      <c r="R608">
        <v>2</v>
      </c>
      <c r="S608">
        <v>2</v>
      </c>
    </row>
    <row r="609" spans="1:19" hidden="1" x14ac:dyDescent="0.3">
      <c r="A609" t="s">
        <v>1056</v>
      </c>
      <c r="B609" t="s">
        <v>1057</v>
      </c>
      <c r="C609" t="s">
        <v>6622</v>
      </c>
      <c r="D609" t="s">
        <v>225</v>
      </c>
      <c r="E609" t="s">
        <v>222</v>
      </c>
      <c r="F609" t="s">
        <v>30</v>
      </c>
      <c r="G609" s="6">
        <v>45657</v>
      </c>
      <c r="H609" t="s">
        <v>6816</v>
      </c>
      <c r="I609" t="s">
        <v>57</v>
      </c>
      <c r="J609" t="s">
        <v>78</v>
      </c>
      <c r="K609">
        <v>432510.71100299997</v>
      </c>
      <c r="L609">
        <v>443608.83886299998</v>
      </c>
      <c r="M609">
        <v>1.025659775764312</v>
      </c>
      <c r="N609">
        <v>1.025659775764312</v>
      </c>
      <c r="O609" t="s">
        <v>6940</v>
      </c>
      <c r="P609" t="s">
        <v>6941</v>
      </c>
      <c r="Q609" t="s">
        <v>1063</v>
      </c>
      <c r="R609">
        <v>2</v>
      </c>
      <c r="S609">
        <v>2</v>
      </c>
    </row>
    <row r="610" spans="1:19" hidden="1" x14ac:dyDescent="0.3">
      <c r="A610" t="s">
        <v>1056</v>
      </c>
      <c r="B610" t="s">
        <v>1057</v>
      </c>
      <c r="C610" t="s">
        <v>6622</v>
      </c>
      <c r="D610" t="s">
        <v>225</v>
      </c>
      <c r="E610" t="s">
        <v>222</v>
      </c>
      <c r="F610" t="s">
        <v>30</v>
      </c>
      <c r="G610" s="6">
        <v>46022</v>
      </c>
      <c r="H610" t="s">
        <v>6823</v>
      </c>
      <c r="I610" t="s">
        <v>57</v>
      </c>
      <c r="J610" t="s">
        <v>103</v>
      </c>
      <c r="K610">
        <v>190</v>
      </c>
      <c r="L610">
        <v>223.1</v>
      </c>
      <c r="M610">
        <v>1.1742105263157889</v>
      </c>
      <c r="N610">
        <v>1.1742105263157889</v>
      </c>
      <c r="O610" t="s">
        <v>6214</v>
      </c>
      <c r="P610" t="s">
        <v>6942</v>
      </c>
      <c r="Q610" t="s">
        <v>1069</v>
      </c>
      <c r="R610">
        <v>2</v>
      </c>
      <c r="S610">
        <v>2</v>
      </c>
    </row>
    <row r="611" spans="1:19" hidden="1" x14ac:dyDescent="0.3">
      <c r="A611" t="s">
        <v>1070</v>
      </c>
      <c r="B611" t="s">
        <v>1071</v>
      </c>
      <c r="C611" t="s">
        <v>6622</v>
      </c>
      <c r="D611" t="s">
        <v>225</v>
      </c>
      <c r="E611" t="s">
        <v>222</v>
      </c>
      <c r="F611" t="s">
        <v>30</v>
      </c>
      <c r="G611" s="6">
        <v>44926</v>
      </c>
      <c r="H611" t="s">
        <v>6819</v>
      </c>
      <c r="I611" t="s">
        <v>57</v>
      </c>
      <c r="J611" t="s">
        <v>90</v>
      </c>
      <c r="K611">
        <v>70895.5</v>
      </c>
      <c r="L611">
        <v>27743.5</v>
      </c>
      <c r="M611">
        <v>0.39132949199878703</v>
      </c>
      <c r="N611">
        <v>0.39132949199878703</v>
      </c>
      <c r="O611" t="s">
        <v>6943</v>
      </c>
      <c r="P611" t="s">
        <v>6944</v>
      </c>
      <c r="Q611" t="s">
        <v>5620</v>
      </c>
      <c r="R611">
        <v>2</v>
      </c>
      <c r="S611">
        <v>2</v>
      </c>
    </row>
    <row r="612" spans="1:19" hidden="1" x14ac:dyDescent="0.3">
      <c r="A612" t="s">
        <v>1070</v>
      </c>
      <c r="B612" t="s">
        <v>1071</v>
      </c>
      <c r="C612" t="s">
        <v>6622</v>
      </c>
      <c r="D612" t="s">
        <v>225</v>
      </c>
      <c r="E612" t="s">
        <v>222</v>
      </c>
      <c r="F612" t="s">
        <v>30</v>
      </c>
      <c r="G612" s="6">
        <v>45291</v>
      </c>
      <c r="H612" t="s">
        <v>6811</v>
      </c>
      <c r="I612" t="s">
        <v>57</v>
      </c>
      <c r="J612" t="s">
        <v>47</v>
      </c>
      <c r="K612">
        <v>47809.701329158277</v>
      </c>
      <c r="L612">
        <v>79051.184557500004</v>
      </c>
      <c r="M612">
        <v>1.3</v>
      </c>
      <c r="N612">
        <v>1.653454892203815</v>
      </c>
      <c r="O612" t="s">
        <v>6945</v>
      </c>
      <c r="P612" t="s">
        <v>6946</v>
      </c>
      <c r="Q612" t="s">
        <v>1075</v>
      </c>
      <c r="R612">
        <v>2</v>
      </c>
      <c r="S612">
        <v>2</v>
      </c>
    </row>
    <row r="613" spans="1:19" hidden="1" x14ac:dyDescent="0.3">
      <c r="A613" t="s">
        <v>1070</v>
      </c>
      <c r="B613" t="s">
        <v>1071</v>
      </c>
      <c r="C613" t="s">
        <v>6622</v>
      </c>
      <c r="D613" t="s">
        <v>225</v>
      </c>
      <c r="E613" t="s">
        <v>222</v>
      </c>
      <c r="F613" t="s">
        <v>30</v>
      </c>
      <c r="G613" s="6">
        <v>45657</v>
      </c>
      <c r="H613" t="s">
        <v>6816</v>
      </c>
      <c r="I613" t="s">
        <v>57</v>
      </c>
      <c r="J613" t="s">
        <v>78</v>
      </c>
      <c r="K613">
        <v>71577.670154499996</v>
      </c>
      <c r="L613">
        <v>102313.8929435</v>
      </c>
      <c r="M613">
        <v>1.3</v>
      </c>
      <c r="N613">
        <v>1.429410774654386</v>
      </c>
      <c r="O613" t="s">
        <v>6947</v>
      </c>
      <c r="P613" t="s">
        <v>6948</v>
      </c>
      <c r="Q613" t="s">
        <v>1077</v>
      </c>
      <c r="R613">
        <v>2</v>
      </c>
      <c r="S613">
        <v>2</v>
      </c>
    </row>
    <row r="614" spans="1:19" hidden="1" x14ac:dyDescent="0.3">
      <c r="A614" t="s">
        <v>1070</v>
      </c>
      <c r="B614" t="s">
        <v>1071</v>
      </c>
      <c r="C614" t="s">
        <v>6622</v>
      </c>
      <c r="D614" t="s">
        <v>225</v>
      </c>
      <c r="E614" t="s">
        <v>222</v>
      </c>
      <c r="F614" t="s">
        <v>30</v>
      </c>
      <c r="G614" s="6">
        <v>46022</v>
      </c>
      <c r="H614" t="s">
        <v>6823</v>
      </c>
      <c r="I614" t="s">
        <v>57</v>
      </c>
      <c r="J614" t="s">
        <v>103</v>
      </c>
      <c r="K614">
        <v>95</v>
      </c>
      <c r="L614">
        <v>119.565</v>
      </c>
      <c r="M614">
        <v>1.258578947368421</v>
      </c>
      <c r="N614">
        <v>1.258578947368421</v>
      </c>
      <c r="O614" t="s">
        <v>838</v>
      </c>
      <c r="P614" t="s">
        <v>6949</v>
      </c>
      <c r="Q614" t="s">
        <v>1083</v>
      </c>
      <c r="R614">
        <v>2</v>
      </c>
      <c r="S614">
        <v>2</v>
      </c>
    </row>
    <row r="615" spans="1:19" hidden="1" x14ac:dyDescent="0.3">
      <c r="A615" t="s">
        <v>1084</v>
      </c>
      <c r="B615" t="s">
        <v>1085</v>
      </c>
      <c r="C615" t="s">
        <v>6622</v>
      </c>
      <c r="D615" t="s">
        <v>225</v>
      </c>
      <c r="E615" t="s">
        <v>222</v>
      </c>
      <c r="F615" t="s">
        <v>30</v>
      </c>
      <c r="G615" s="6">
        <v>44926</v>
      </c>
      <c r="H615" t="s">
        <v>6819</v>
      </c>
      <c r="I615" t="s">
        <v>57</v>
      </c>
      <c r="J615" t="s">
        <v>90</v>
      </c>
      <c r="K615">
        <v>2605</v>
      </c>
      <c r="L615">
        <v>2605</v>
      </c>
      <c r="M615">
        <v>1</v>
      </c>
      <c r="N615">
        <v>1</v>
      </c>
      <c r="O615" t="s">
        <v>5629</v>
      </c>
      <c r="P615" t="s">
        <v>5629</v>
      </c>
      <c r="Q615" t="s">
        <v>1086</v>
      </c>
      <c r="R615">
        <v>2</v>
      </c>
      <c r="S615">
        <v>2</v>
      </c>
    </row>
    <row r="616" spans="1:19" hidden="1" x14ac:dyDescent="0.3">
      <c r="A616" t="s">
        <v>1084</v>
      </c>
      <c r="B616" t="s">
        <v>1085</v>
      </c>
      <c r="C616" t="s">
        <v>6622</v>
      </c>
      <c r="D616" t="s">
        <v>225</v>
      </c>
      <c r="E616" t="s">
        <v>222</v>
      </c>
      <c r="F616" t="s">
        <v>30</v>
      </c>
      <c r="G616" s="6">
        <v>45291</v>
      </c>
      <c r="H616" t="s">
        <v>6811</v>
      </c>
      <c r="I616" t="s">
        <v>57</v>
      </c>
      <c r="J616" t="s">
        <v>47</v>
      </c>
      <c r="K616">
        <v>2332.1703324999999</v>
      </c>
      <c r="L616">
        <v>6523.3980890000003</v>
      </c>
      <c r="M616">
        <v>1.3</v>
      </c>
      <c r="N616">
        <v>2.7971362117479468</v>
      </c>
      <c r="O616" t="s">
        <v>6950</v>
      </c>
      <c r="P616" t="s">
        <v>6951</v>
      </c>
      <c r="Q616" t="s">
        <v>1088</v>
      </c>
      <c r="R616">
        <v>2</v>
      </c>
      <c r="S616">
        <v>2</v>
      </c>
    </row>
    <row r="617" spans="1:19" hidden="1" x14ac:dyDescent="0.3">
      <c r="A617" t="s">
        <v>1084</v>
      </c>
      <c r="B617" t="s">
        <v>1085</v>
      </c>
      <c r="C617" t="s">
        <v>6622</v>
      </c>
      <c r="D617" t="s">
        <v>225</v>
      </c>
      <c r="E617" t="s">
        <v>222</v>
      </c>
      <c r="F617" t="s">
        <v>30</v>
      </c>
      <c r="G617" s="6">
        <v>45657</v>
      </c>
      <c r="H617" t="s">
        <v>6816</v>
      </c>
      <c r="I617" t="s">
        <v>57</v>
      </c>
      <c r="J617" t="s">
        <v>78</v>
      </c>
      <c r="K617">
        <v>2411.2283484999998</v>
      </c>
      <c r="L617">
        <v>4763.4122729999999</v>
      </c>
      <c r="M617">
        <v>1.3</v>
      </c>
      <c r="N617">
        <v>1.9755127198812461</v>
      </c>
      <c r="O617" t="s">
        <v>6952</v>
      </c>
      <c r="P617" t="s">
        <v>6953</v>
      </c>
      <c r="Q617" t="s">
        <v>1090</v>
      </c>
      <c r="R617">
        <v>2</v>
      </c>
      <c r="S617">
        <v>2</v>
      </c>
    </row>
    <row r="618" spans="1:19" hidden="1" x14ac:dyDescent="0.3">
      <c r="A618" t="s">
        <v>1084</v>
      </c>
      <c r="B618" t="s">
        <v>1085</v>
      </c>
      <c r="C618" t="s">
        <v>6622</v>
      </c>
      <c r="D618" t="s">
        <v>225</v>
      </c>
      <c r="E618" t="s">
        <v>222</v>
      </c>
      <c r="F618" t="s">
        <v>30</v>
      </c>
      <c r="G618" s="6">
        <v>46022</v>
      </c>
      <c r="H618" t="s">
        <v>6823</v>
      </c>
      <c r="I618" t="s">
        <v>57</v>
      </c>
      <c r="J618" t="s">
        <v>103</v>
      </c>
      <c r="K618">
        <v>95</v>
      </c>
      <c r="L618">
        <v>154.68</v>
      </c>
      <c r="M618">
        <v>1.3</v>
      </c>
      <c r="N618">
        <v>1.62821052631579</v>
      </c>
      <c r="O618" t="s">
        <v>838</v>
      </c>
      <c r="P618" t="s">
        <v>6954</v>
      </c>
      <c r="Q618" t="s">
        <v>1096</v>
      </c>
      <c r="R618">
        <v>2</v>
      </c>
      <c r="S618">
        <v>2</v>
      </c>
    </row>
    <row r="619" spans="1:19" hidden="1" x14ac:dyDescent="0.3">
      <c r="A619" t="s">
        <v>1097</v>
      </c>
      <c r="B619" t="s">
        <v>1098</v>
      </c>
      <c r="C619" t="s">
        <v>6622</v>
      </c>
      <c r="D619" t="s">
        <v>225</v>
      </c>
      <c r="E619" t="s">
        <v>222</v>
      </c>
      <c r="F619" t="s">
        <v>30</v>
      </c>
      <c r="G619" s="6">
        <v>45291</v>
      </c>
      <c r="H619" t="s">
        <v>6811</v>
      </c>
      <c r="I619" t="s">
        <v>57</v>
      </c>
      <c r="J619" t="s">
        <v>47</v>
      </c>
      <c r="K619">
        <v>1302.483921</v>
      </c>
      <c r="L619">
        <v>3803.5692094999999</v>
      </c>
      <c r="M619">
        <v>1.3</v>
      </c>
      <c r="N619">
        <v>2.9202427363400831</v>
      </c>
      <c r="O619" t="s">
        <v>5638</v>
      </c>
      <c r="P619" t="s">
        <v>6955</v>
      </c>
      <c r="Q619" t="s">
        <v>1100</v>
      </c>
      <c r="R619">
        <v>2</v>
      </c>
      <c r="S619">
        <v>2</v>
      </c>
    </row>
    <row r="620" spans="1:19" hidden="1" x14ac:dyDescent="0.3">
      <c r="A620" t="s">
        <v>1097</v>
      </c>
      <c r="B620" t="s">
        <v>1098</v>
      </c>
      <c r="C620" t="s">
        <v>6622</v>
      </c>
      <c r="D620" t="s">
        <v>225</v>
      </c>
      <c r="E620" t="s">
        <v>98</v>
      </c>
      <c r="F620" t="s">
        <v>30</v>
      </c>
      <c r="G620" s="6">
        <v>45657</v>
      </c>
      <c r="H620" t="s">
        <v>6816</v>
      </c>
      <c r="I620" t="s">
        <v>57</v>
      </c>
      <c r="J620" t="s">
        <v>78</v>
      </c>
      <c r="K620">
        <v>1</v>
      </c>
      <c r="L620">
        <v>1.37</v>
      </c>
      <c r="M620">
        <v>1.3</v>
      </c>
      <c r="N620">
        <v>1.37</v>
      </c>
      <c r="O620" t="s">
        <v>617</v>
      </c>
      <c r="P620" t="s">
        <v>5641</v>
      </c>
      <c r="Q620" t="s">
        <v>1101</v>
      </c>
      <c r="R620">
        <v>2</v>
      </c>
      <c r="S620">
        <v>2</v>
      </c>
    </row>
    <row r="621" spans="1:19" hidden="1" x14ac:dyDescent="0.3">
      <c r="A621" t="s">
        <v>1097</v>
      </c>
      <c r="B621" t="s">
        <v>1098</v>
      </c>
      <c r="C621" t="s">
        <v>6622</v>
      </c>
      <c r="D621" t="s">
        <v>225</v>
      </c>
      <c r="E621" t="s">
        <v>98</v>
      </c>
      <c r="F621" t="s">
        <v>30</v>
      </c>
      <c r="G621" s="6">
        <v>46022</v>
      </c>
      <c r="H621" t="s">
        <v>6823</v>
      </c>
      <c r="I621" t="s">
        <v>57</v>
      </c>
      <c r="J621" t="s">
        <v>103</v>
      </c>
      <c r="K621">
        <v>1</v>
      </c>
      <c r="L621">
        <v>2.14</v>
      </c>
      <c r="M621">
        <v>1.3</v>
      </c>
      <c r="N621">
        <v>2.14</v>
      </c>
      <c r="O621" t="s">
        <v>617</v>
      </c>
      <c r="P621" t="s">
        <v>113</v>
      </c>
      <c r="Q621" t="s">
        <v>1103</v>
      </c>
      <c r="R621">
        <v>2</v>
      </c>
      <c r="S621">
        <v>2</v>
      </c>
    </row>
    <row r="622" spans="1:19" hidden="1" x14ac:dyDescent="0.3">
      <c r="A622" t="s">
        <v>1104</v>
      </c>
      <c r="B622" t="s">
        <v>1105</v>
      </c>
      <c r="C622" t="s">
        <v>6622</v>
      </c>
      <c r="D622" t="s">
        <v>225</v>
      </c>
      <c r="E622" t="s">
        <v>222</v>
      </c>
      <c r="F622" t="s">
        <v>108</v>
      </c>
      <c r="G622" s="6">
        <v>45291</v>
      </c>
      <c r="H622" t="s">
        <v>6811</v>
      </c>
      <c r="I622" t="s">
        <v>57</v>
      </c>
      <c r="J622" t="s">
        <v>47</v>
      </c>
      <c r="K622">
        <v>176705.873127</v>
      </c>
      <c r="L622">
        <v>181687.42985650001</v>
      </c>
      <c r="M622">
        <v>0.97258172052169745</v>
      </c>
      <c r="N622">
        <v>0.97258172052169745</v>
      </c>
      <c r="O622" t="s">
        <v>6956</v>
      </c>
      <c r="P622" t="s">
        <v>6957</v>
      </c>
      <c r="Q622" t="s">
        <v>1107</v>
      </c>
      <c r="R622">
        <v>2</v>
      </c>
      <c r="S622">
        <v>2</v>
      </c>
    </row>
    <row r="623" spans="1:19" hidden="1" x14ac:dyDescent="0.3">
      <c r="A623" t="s">
        <v>1104</v>
      </c>
      <c r="B623" t="s">
        <v>1105</v>
      </c>
      <c r="C623" t="s">
        <v>6622</v>
      </c>
      <c r="D623" t="s">
        <v>225</v>
      </c>
      <c r="E623" t="s">
        <v>222</v>
      </c>
      <c r="F623" t="s">
        <v>108</v>
      </c>
      <c r="G623" s="6">
        <v>45657</v>
      </c>
      <c r="H623" t="s">
        <v>6816</v>
      </c>
      <c r="I623" t="s">
        <v>57</v>
      </c>
      <c r="J623" t="s">
        <v>78</v>
      </c>
      <c r="K623">
        <v>195681.820592</v>
      </c>
      <c r="L623">
        <v>199719.26105850001</v>
      </c>
      <c r="M623">
        <v>0.97978442116648223</v>
      </c>
      <c r="N623">
        <v>0.97978442116648223</v>
      </c>
      <c r="O623" t="s">
        <v>6958</v>
      </c>
      <c r="P623" t="s">
        <v>6959</v>
      </c>
      <c r="Q623" t="s">
        <v>1109</v>
      </c>
      <c r="R623">
        <v>2</v>
      </c>
      <c r="S623">
        <v>2</v>
      </c>
    </row>
    <row r="624" spans="1:19" hidden="1" x14ac:dyDescent="0.3">
      <c r="A624" t="s">
        <v>1104</v>
      </c>
      <c r="B624" t="s">
        <v>1105</v>
      </c>
      <c r="C624" t="s">
        <v>6622</v>
      </c>
      <c r="D624" t="s">
        <v>225</v>
      </c>
      <c r="E624" t="s">
        <v>222</v>
      </c>
      <c r="F624" t="s">
        <v>108</v>
      </c>
      <c r="G624" s="6">
        <v>46022</v>
      </c>
      <c r="H624" t="s">
        <v>6823</v>
      </c>
      <c r="I624" t="s">
        <v>57</v>
      </c>
      <c r="J624" t="s">
        <v>103</v>
      </c>
      <c r="K624">
        <v>100</v>
      </c>
      <c r="L624">
        <v>110.76</v>
      </c>
      <c r="M624">
        <v>0.90285301552907182</v>
      </c>
      <c r="N624">
        <v>0.90285301552907182</v>
      </c>
      <c r="O624" t="s">
        <v>102</v>
      </c>
      <c r="P624" t="s">
        <v>6960</v>
      </c>
      <c r="Q624" t="s">
        <v>1115</v>
      </c>
      <c r="R624">
        <v>2</v>
      </c>
      <c r="S624">
        <v>2</v>
      </c>
    </row>
    <row r="625" spans="1:19" hidden="1" x14ac:dyDescent="0.3">
      <c r="A625" t="s">
        <v>1116</v>
      </c>
      <c r="B625" t="s">
        <v>1117</v>
      </c>
      <c r="C625" t="s">
        <v>6681</v>
      </c>
      <c r="D625" t="s">
        <v>299</v>
      </c>
      <c r="E625" t="s">
        <v>29</v>
      </c>
      <c r="F625" t="s">
        <v>108</v>
      </c>
      <c r="G625" s="6">
        <v>45291</v>
      </c>
      <c r="H625" t="s">
        <v>6811</v>
      </c>
      <c r="I625" t="s">
        <v>57</v>
      </c>
      <c r="J625" t="s">
        <v>47</v>
      </c>
      <c r="L625">
        <v>14740</v>
      </c>
      <c r="M625">
        <v>0</v>
      </c>
      <c r="N625">
        <v>0</v>
      </c>
      <c r="P625" t="s">
        <v>6961</v>
      </c>
      <c r="Q625" t="s">
        <v>1130</v>
      </c>
      <c r="R625">
        <v>2</v>
      </c>
      <c r="S625">
        <v>2</v>
      </c>
    </row>
    <row r="626" spans="1:19" hidden="1" x14ac:dyDescent="0.3">
      <c r="A626" t="s">
        <v>1116</v>
      </c>
      <c r="B626" t="s">
        <v>1117</v>
      </c>
      <c r="C626" t="s">
        <v>6681</v>
      </c>
      <c r="D626" t="s">
        <v>299</v>
      </c>
      <c r="E626" t="s">
        <v>29</v>
      </c>
      <c r="F626" t="s">
        <v>108</v>
      </c>
      <c r="G626" s="6">
        <v>45657</v>
      </c>
      <c r="H626" t="s">
        <v>6816</v>
      </c>
      <c r="I626" t="s">
        <v>57</v>
      </c>
      <c r="J626" t="s">
        <v>78</v>
      </c>
      <c r="K626">
        <v>20400</v>
      </c>
      <c r="L626">
        <v>15674.5</v>
      </c>
      <c r="M626">
        <v>1.3</v>
      </c>
      <c r="N626">
        <v>1.301476921113911</v>
      </c>
      <c r="O626" t="s">
        <v>6962</v>
      </c>
      <c r="P626" t="s">
        <v>6963</v>
      </c>
      <c r="Q626" t="s">
        <v>1142</v>
      </c>
      <c r="R626">
        <v>2</v>
      </c>
      <c r="S626">
        <v>2</v>
      </c>
    </row>
    <row r="627" spans="1:19" hidden="1" x14ac:dyDescent="0.3">
      <c r="A627" t="s">
        <v>1116</v>
      </c>
      <c r="B627" t="s">
        <v>1117</v>
      </c>
      <c r="C627" t="s">
        <v>6681</v>
      </c>
      <c r="D627" t="s">
        <v>299</v>
      </c>
      <c r="E627" t="s">
        <v>29</v>
      </c>
      <c r="F627" t="s">
        <v>108</v>
      </c>
      <c r="G627" s="6">
        <v>46022</v>
      </c>
      <c r="H627" t="s">
        <v>6823</v>
      </c>
      <c r="I627" t="s">
        <v>57</v>
      </c>
      <c r="J627" t="s">
        <v>103</v>
      </c>
      <c r="K627">
        <v>11</v>
      </c>
      <c r="L627">
        <v>13102.5</v>
      </c>
      <c r="M627">
        <v>8.3953443999236791E-4</v>
      </c>
      <c r="N627">
        <v>8.3953443999236791E-4</v>
      </c>
      <c r="O627" t="s">
        <v>3654</v>
      </c>
      <c r="P627" t="s">
        <v>6964</v>
      </c>
      <c r="Q627" t="s">
        <v>1175</v>
      </c>
      <c r="R627">
        <v>2</v>
      </c>
      <c r="S627">
        <v>2</v>
      </c>
    </row>
    <row r="628" spans="1:19" hidden="1" x14ac:dyDescent="0.3">
      <c r="A628" t="s">
        <v>1116</v>
      </c>
      <c r="B628" t="s">
        <v>1117</v>
      </c>
      <c r="C628" t="s">
        <v>6681</v>
      </c>
      <c r="D628" t="s">
        <v>299</v>
      </c>
      <c r="E628" t="s">
        <v>29</v>
      </c>
      <c r="F628" t="s">
        <v>108</v>
      </c>
      <c r="G628" s="6">
        <v>46387</v>
      </c>
      <c r="H628" t="s">
        <v>6841</v>
      </c>
      <c r="I628" t="s">
        <v>57</v>
      </c>
      <c r="J628" t="s">
        <v>6842</v>
      </c>
      <c r="K628">
        <v>1</v>
      </c>
      <c r="M628">
        <v>0</v>
      </c>
      <c r="N628">
        <v>0</v>
      </c>
      <c r="O628" t="s">
        <v>617</v>
      </c>
      <c r="Q628" t="s">
        <v>6965</v>
      </c>
      <c r="R628">
        <v>2</v>
      </c>
      <c r="S628">
        <v>2</v>
      </c>
    </row>
    <row r="629" spans="1:19" hidden="1" x14ac:dyDescent="0.3">
      <c r="A629" t="s">
        <v>1177</v>
      </c>
      <c r="B629" t="s">
        <v>1178</v>
      </c>
      <c r="D629" t="s">
        <v>299</v>
      </c>
      <c r="E629" t="s">
        <v>98</v>
      </c>
      <c r="F629" t="s">
        <v>30</v>
      </c>
      <c r="G629" s="6">
        <v>45291</v>
      </c>
      <c r="H629" t="s">
        <v>6811</v>
      </c>
      <c r="I629" t="s">
        <v>57</v>
      </c>
      <c r="J629" t="s">
        <v>47</v>
      </c>
      <c r="M629">
        <v>0</v>
      </c>
      <c r="N629">
        <v>0</v>
      </c>
      <c r="Q629" t="s">
        <v>1179</v>
      </c>
      <c r="R629">
        <v>2</v>
      </c>
      <c r="S629">
        <v>2</v>
      </c>
    </row>
    <row r="630" spans="1:19" hidden="1" x14ac:dyDescent="0.3">
      <c r="A630" t="s">
        <v>1180</v>
      </c>
      <c r="B630" t="s">
        <v>1181</v>
      </c>
      <c r="C630" t="s">
        <v>6622</v>
      </c>
      <c r="D630" t="s">
        <v>299</v>
      </c>
      <c r="E630" t="s">
        <v>233</v>
      </c>
      <c r="F630" t="s">
        <v>30</v>
      </c>
      <c r="G630" s="6">
        <v>45291</v>
      </c>
      <c r="H630" t="s">
        <v>6811</v>
      </c>
      <c r="I630" t="s">
        <v>57</v>
      </c>
      <c r="J630" t="s">
        <v>47</v>
      </c>
      <c r="K630">
        <v>90</v>
      </c>
      <c r="L630">
        <v>93.242083333333355</v>
      </c>
      <c r="M630">
        <v>1.0360231481481481</v>
      </c>
      <c r="N630">
        <v>1.0360231481481481</v>
      </c>
      <c r="O630" t="s">
        <v>256</v>
      </c>
      <c r="P630" t="s">
        <v>6966</v>
      </c>
      <c r="Q630" t="s">
        <v>1185</v>
      </c>
      <c r="R630">
        <v>2</v>
      </c>
      <c r="S630">
        <v>2</v>
      </c>
    </row>
    <row r="631" spans="1:19" hidden="1" x14ac:dyDescent="0.3">
      <c r="A631" t="s">
        <v>1180</v>
      </c>
      <c r="B631" t="s">
        <v>1181</v>
      </c>
      <c r="C631" t="s">
        <v>6622</v>
      </c>
      <c r="D631" t="s">
        <v>299</v>
      </c>
      <c r="E631" t="s">
        <v>233</v>
      </c>
      <c r="F631" t="s">
        <v>30</v>
      </c>
      <c r="G631" s="6">
        <v>45657</v>
      </c>
      <c r="H631" t="s">
        <v>6816</v>
      </c>
      <c r="I631" t="s">
        <v>57</v>
      </c>
      <c r="J631" t="s">
        <v>78</v>
      </c>
      <c r="K631">
        <v>73.314999999999998</v>
      </c>
      <c r="L631">
        <v>80.927500000000009</v>
      </c>
      <c r="M631">
        <v>1.1038327763759119</v>
      </c>
      <c r="N631">
        <v>1.1038327763759119</v>
      </c>
      <c r="O631" t="s">
        <v>6967</v>
      </c>
      <c r="P631" t="s">
        <v>6968</v>
      </c>
      <c r="Q631" t="s">
        <v>1189</v>
      </c>
      <c r="R631">
        <v>2</v>
      </c>
      <c r="S631">
        <v>2</v>
      </c>
    </row>
    <row r="632" spans="1:19" hidden="1" x14ac:dyDescent="0.3">
      <c r="A632" t="s">
        <v>1180</v>
      </c>
      <c r="B632" t="s">
        <v>1181</v>
      </c>
      <c r="C632" t="s">
        <v>6622</v>
      </c>
      <c r="D632" t="s">
        <v>299</v>
      </c>
      <c r="E632" t="s">
        <v>233</v>
      </c>
      <c r="F632" t="s">
        <v>30</v>
      </c>
      <c r="G632" s="6">
        <v>46022</v>
      </c>
      <c r="H632" t="s">
        <v>6823</v>
      </c>
      <c r="I632" t="s">
        <v>57</v>
      </c>
      <c r="J632" t="s">
        <v>103</v>
      </c>
      <c r="K632">
        <v>90</v>
      </c>
      <c r="L632">
        <v>97.314999999999998</v>
      </c>
      <c r="M632">
        <v>1.081277777777778</v>
      </c>
      <c r="N632">
        <v>1.081277777777778</v>
      </c>
      <c r="O632" t="s">
        <v>256</v>
      </c>
      <c r="P632" t="s">
        <v>5664</v>
      </c>
      <c r="Q632" t="s">
        <v>1194</v>
      </c>
      <c r="R632">
        <v>2</v>
      </c>
      <c r="S632">
        <v>2</v>
      </c>
    </row>
    <row r="633" spans="1:19" hidden="1" x14ac:dyDescent="0.3">
      <c r="A633" t="s">
        <v>1195</v>
      </c>
      <c r="B633" t="s">
        <v>1196</v>
      </c>
      <c r="C633" t="s">
        <v>6681</v>
      </c>
      <c r="D633" t="s">
        <v>299</v>
      </c>
      <c r="E633" t="s">
        <v>29</v>
      </c>
      <c r="F633" t="s">
        <v>108</v>
      </c>
      <c r="G633" s="6">
        <v>45291</v>
      </c>
      <c r="H633" t="s">
        <v>6811</v>
      </c>
      <c r="I633" t="s">
        <v>57</v>
      </c>
      <c r="J633" t="s">
        <v>47</v>
      </c>
      <c r="L633">
        <v>44656.3</v>
      </c>
      <c r="M633">
        <v>0</v>
      </c>
      <c r="N633">
        <v>0</v>
      </c>
      <c r="P633" t="s">
        <v>6969</v>
      </c>
      <c r="Q633" t="s">
        <v>1209</v>
      </c>
      <c r="R633">
        <v>2</v>
      </c>
      <c r="S633">
        <v>2</v>
      </c>
    </row>
    <row r="634" spans="1:19" hidden="1" x14ac:dyDescent="0.3">
      <c r="A634" t="s">
        <v>1195</v>
      </c>
      <c r="B634" t="s">
        <v>1196</v>
      </c>
      <c r="C634" t="s">
        <v>6681</v>
      </c>
      <c r="D634" t="s">
        <v>299</v>
      </c>
      <c r="E634" t="s">
        <v>29</v>
      </c>
      <c r="F634" t="s">
        <v>108</v>
      </c>
      <c r="G634" s="6">
        <v>45657</v>
      </c>
      <c r="H634" t="s">
        <v>6816</v>
      </c>
      <c r="I634" t="s">
        <v>57</v>
      </c>
      <c r="J634" t="s">
        <v>78</v>
      </c>
      <c r="K634">
        <v>90000</v>
      </c>
      <c r="L634">
        <v>60786.69999999999</v>
      </c>
      <c r="M634">
        <v>1.3</v>
      </c>
      <c r="N634">
        <v>1.48058703630893</v>
      </c>
      <c r="O634" t="s">
        <v>6970</v>
      </c>
      <c r="P634" t="s">
        <v>6971</v>
      </c>
      <c r="Q634" t="s">
        <v>1221</v>
      </c>
      <c r="R634">
        <v>2</v>
      </c>
      <c r="S634">
        <v>2</v>
      </c>
    </row>
    <row r="635" spans="1:19" hidden="1" x14ac:dyDescent="0.3">
      <c r="A635" t="s">
        <v>1195</v>
      </c>
      <c r="B635" t="s">
        <v>1196</v>
      </c>
      <c r="C635" t="s">
        <v>6681</v>
      </c>
      <c r="D635" t="s">
        <v>299</v>
      </c>
      <c r="E635" t="s">
        <v>29</v>
      </c>
      <c r="F635" t="s">
        <v>108</v>
      </c>
      <c r="G635" s="6">
        <v>46022</v>
      </c>
      <c r="H635" t="s">
        <v>6823</v>
      </c>
      <c r="I635" t="s">
        <v>57</v>
      </c>
      <c r="J635" t="s">
        <v>103</v>
      </c>
      <c r="K635">
        <v>82500</v>
      </c>
      <c r="L635">
        <v>45956.22</v>
      </c>
      <c r="M635">
        <v>1.3</v>
      </c>
      <c r="N635">
        <v>1.7951868104034669</v>
      </c>
      <c r="O635" t="s">
        <v>6972</v>
      </c>
      <c r="P635" t="s">
        <v>6973</v>
      </c>
      <c r="Q635" t="s">
        <v>1255</v>
      </c>
      <c r="R635">
        <v>2</v>
      </c>
      <c r="S635">
        <v>2</v>
      </c>
    </row>
    <row r="636" spans="1:19" hidden="1" x14ac:dyDescent="0.3">
      <c r="A636" t="s">
        <v>1195</v>
      </c>
      <c r="B636" t="s">
        <v>1196</v>
      </c>
      <c r="C636" t="s">
        <v>6681</v>
      </c>
      <c r="D636" t="s">
        <v>299</v>
      </c>
      <c r="E636" t="s">
        <v>29</v>
      </c>
      <c r="F636" t="s">
        <v>108</v>
      </c>
      <c r="G636" s="6">
        <v>46387</v>
      </c>
      <c r="H636" t="s">
        <v>6841</v>
      </c>
      <c r="I636" t="s">
        <v>57</v>
      </c>
      <c r="J636" t="s">
        <v>6842</v>
      </c>
      <c r="K636">
        <v>7500</v>
      </c>
      <c r="M636">
        <v>0</v>
      </c>
      <c r="N636">
        <v>0</v>
      </c>
      <c r="O636" t="s">
        <v>1223</v>
      </c>
      <c r="Q636" t="s">
        <v>6974</v>
      </c>
      <c r="R636">
        <v>2</v>
      </c>
      <c r="S636">
        <v>2</v>
      </c>
    </row>
    <row r="637" spans="1:19" hidden="1" x14ac:dyDescent="0.3">
      <c r="A637" t="s">
        <v>1257</v>
      </c>
      <c r="B637" t="s">
        <v>1258</v>
      </c>
      <c r="C637" t="s">
        <v>6681</v>
      </c>
      <c r="D637" t="s">
        <v>299</v>
      </c>
      <c r="E637" t="s">
        <v>222</v>
      </c>
      <c r="F637" t="s">
        <v>30</v>
      </c>
      <c r="G637" s="6">
        <v>45291</v>
      </c>
      <c r="H637" t="s">
        <v>6811</v>
      </c>
      <c r="I637" t="s">
        <v>57</v>
      </c>
      <c r="J637" t="s">
        <v>47</v>
      </c>
      <c r="K637">
        <v>0</v>
      </c>
      <c r="L637">
        <v>-47.67</v>
      </c>
      <c r="M637">
        <v>0</v>
      </c>
      <c r="N637">
        <v>0</v>
      </c>
      <c r="O637" t="s">
        <v>122</v>
      </c>
      <c r="P637" t="s">
        <v>5674</v>
      </c>
      <c r="Q637" t="s">
        <v>1260</v>
      </c>
      <c r="R637">
        <v>2</v>
      </c>
      <c r="S637">
        <v>2</v>
      </c>
    </row>
    <row r="638" spans="1:19" hidden="1" x14ac:dyDescent="0.3">
      <c r="A638" t="s">
        <v>1257</v>
      </c>
      <c r="B638" t="s">
        <v>1258</v>
      </c>
      <c r="C638" t="s">
        <v>6681</v>
      </c>
      <c r="D638" t="s">
        <v>299</v>
      </c>
      <c r="E638" t="s">
        <v>222</v>
      </c>
      <c r="F638" t="s">
        <v>30</v>
      </c>
      <c r="G638" s="6">
        <v>45657</v>
      </c>
      <c r="H638" t="s">
        <v>6816</v>
      </c>
      <c r="I638" t="s">
        <v>57</v>
      </c>
      <c r="J638" t="s">
        <v>78</v>
      </c>
      <c r="K638">
        <v>1</v>
      </c>
      <c r="L638">
        <v>-25.385000000000002</v>
      </c>
      <c r="M638">
        <v>0</v>
      </c>
      <c r="N638">
        <v>-25.385000000000002</v>
      </c>
      <c r="O638" t="s">
        <v>617</v>
      </c>
      <c r="P638" t="s">
        <v>6975</v>
      </c>
      <c r="Q638" t="s">
        <v>1262</v>
      </c>
      <c r="R638">
        <v>2</v>
      </c>
      <c r="S638">
        <v>2</v>
      </c>
    </row>
    <row r="639" spans="1:19" hidden="1" x14ac:dyDescent="0.3">
      <c r="A639" t="s">
        <v>1257</v>
      </c>
      <c r="B639" t="s">
        <v>1258</v>
      </c>
      <c r="C639" t="s">
        <v>6681</v>
      </c>
      <c r="D639" t="s">
        <v>299</v>
      </c>
      <c r="E639" t="s">
        <v>222</v>
      </c>
      <c r="F639" t="s">
        <v>30</v>
      </c>
      <c r="G639" s="6">
        <v>46022</v>
      </c>
      <c r="H639" t="s">
        <v>6823</v>
      </c>
      <c r="I639" t="s">
        <v>57</v>
      </c>
      <c r="J639" t="s">
        <v>103</v>
      </c>
      <c r="K639">
        <v>1</v>
      </c>
      <c r="L639">
        <v>-114.55</v>
      </c>
      <c r="M639">
        <v>0</v>
      </c>
      <c r="N639">
        <v>-114.55</v>
      </c>
      <c r="O639" t="s">
        <v>617</v>
      </c>
      <c r="P639" t="s">
        <v>1264</v>
      </c>
      <c r="Q639" t="s">
        <v>6976</v>
      </c>
      <c r="R639">
        <v>2</v>
      </c>
      <c r="S639">
        <v>2</v>
      </c>
    </row>
    <row r="640" spans="1:19" hidden="1" x14ac:dyDescent="0.3">
      <c r="A640" t="s">
        <v>1266</v>
      </c>
      <c r="B640" t="s">
        <v>1267</v>
      </c>
      <c r="C640" t="s">
        <v>6622</v>
      </c>
      <c r="D640" t="s">
        <v>299</v>
      </c>
      <c r="E640" t="s">
        <v>98</v>
      </c>
      <c r="F640" t="s">
        <v>30</v>
      </c>
      <c r="G640" s="6">
        <v>45291</v>
      </c>
      <c r="H640" t="s">
        <v>6811</v>
      </c>
      <c r="I640" t="s">
        <v>57</v>
      </c>
      <c r="J640" t="s">
        <v>47</v>
      </c>
      <c r="M640">
        <v>0</v>
      </c>
      <c r="N640">
        <v>0</v>
      </c>
      <c r="Q640" t="s">
        <v>1268</v>
      </c>
      <c r="R640">
        <v>2</v>
      </c>
      <c r="S640">
        <v>2</v>
      </c>
    </row>
    <row r="641" spans="1:19" hidden="1" x14ac:dyDescent="0.3">
      <c r="A641" t="s">
        <v>1266</v>
      </c>
      <c r="B641" t="s">
        <v>1267</v>
      </c>
      <c r="C641" t="s">
        <v>6622</v>
      </c>
      <c r="D641" t="s">
        <v>299</v>
      </c>
      <c r="E641" t="s">
        <v>98</v>
      </c>
      <c r="F641" t="s">
        <v>30</v>
      </c>
      <c r="G641" s="6">
        <v>45657</v>
      </c>
      <c r="H641" t="s">
        <v>6816</v>
      </c>
      <c r="I641" t="s">
        <v>57</v>
      </c>
      <c r="J641" t="s">
        <v>78</v>
      </c>
      <c r="K641">
        <v>100</v>
      </c>
      <c r="L641">
        <v>100</v>
      </c>
      <c r="M641">
        <v>1</v>
      </c>
      <c r="N641">
        <v>1</v>
      </c>
      <c r="O641" t="s">
        <v>102</v>
      </c>
      <c r="P641" t="s">
        <v>102</v>
      </c>
      <c r="Q641" t="s">
        <v>1269</v>
      </c>
      <c r="R641">
        <v>2</v>
      </c>
      <c r="S641">
        <v>2</v>
      </c>
    </row>
    <row r="642" spans="1:19" hidden="1" x14ac:dyDescent="0.3">
      <c r="A642" t="s">
        <v>1266</v>
      </c>
      <c r="B642" t="s">
        <v>1267</v>
      </c>
      <c r="C642" t="s">
        <v>6622</v>
      </c>
      <c r="D642" t="s">
        <v>299</v>
      </c>
      <c r="E642" t="s">
        <v>98</v>
      </c>
      <c r="F642" t="s">
        <v>30</v>
      </c>
      <c r="G642" s="6">
        <v>46022</v>
      </c>
      <c r="H642" t="s">
        <v>6823</v>
      </c>
      <c r="I642" t="s">
        <v>57</v>
      </c>
      <c r="J642" t="s">
        <v>103</v>
      </c>
      <c r="K642">
        <v>100</v>
      </c>
      <c r="L642">
        <v>100</v>
      </c>
      <c r="M642">
        <v>1</v>
      </c>
      <c r="N642">
        <v>1</v>
      </c>
      <c r="O642" t="s">
        <v>102</v>
      </c>
      <c r="P642" t="s">
        <v>102</v>
      </c>
      <c r="Q642" t="s">
        <v>1270</v>
      </c>
      <c r="R642">
        <v>2</v>
      </c>
      <c r="S642">
        <v>2</v>
      </c>
    </row>
    <row r="643" spans="1:19" hidden="1" x14ac:dyDescent="0.3">
      <c r="A643" t="s">
        <v>1271</v>
      </c>
      <c r="B643" t="s">
        <v>1272</v>
      </c>
      <c r="C643" t="s">
        <v>6622</v>
      </c>
      <c r="D643" t="s">
        <v>299</v>
      </c>
      <c r="E643" t="s">
        <v>29</v>
      </c>
      <c r="F643" t="s">
        <v>30</v>
      </c>
      <c r="G643" s="6">
        <v>45291</v>
      </c>
      <c r="H643" t="s">
        <v>6811</v>
      </c>
      <c r="I643" t="s">
        <v>57</v>
      </c>
      <c r="J643" t="s">
        <v>47</v>
      </c>
      <c r="K643">
        <v>240</v>
      </c>
      <c r="L643">
        <v>453.02</v>
      </c>
      <c r="M643">
        <v>1.3</v>
      </c>
      <c r="N643">
        <v>1.8875833333333329</v>
      </c>
      <c r="O643" t="s">
        <v>5830</v>
      </c>
      <c r="P643" t="s">
        <v>6977</v>
      </c>
      <c r="Q643" t="s">
        <v>1284</v>
      </c>
      <c r="R643">
        <v>2</v>
      </c>
      <c r="S643">
        <v>2</v>
      </c>
    </row>
    <row r="644" spans="1:19" hidden="1" x14ac:dyDescent="0.3">
      <c r="A644" t="s">
        <v>1271</v>
      </c>
      <c r="B644" t="s">
        <v>1272</v>
      </c>
      <c r="C644" t="s">
        <v>6622</v>
      </c>
      <c r="D644" t="s">
        <v>299</v>
      </c>
      <c r="E644" t="s">
        <v>29</v>
      </c>
      <c r="F644" t="s">
        <v>30</v>
      </c>
      <c r="G644" s="6">
        <v>45657</v>
      </c>
      <c r="H644" t="s">
        <v>6816</v>
      </c>
      <c r="I644" t="s">
        <v>57</v>
      </c>
      <c r="J644" t="s">
        <v>78</v>
      </c>
      <c r="K644">
        <v>240</v>
      </c>
      <c r="L644">
        <v>303.90275051088457</v>
      </c>
      <c r="M644">
        <v>1.266261460462019</v>
      </c>
      <c r="N644">
        <v>1.266261460462019</v>
      </c>
      <c r="O644" t="s">
        <v>5830</v>
      </c>
      <c r="P644" t="s">
        <v>6978</v>
      </c>
      <c r="Q644" t="s">
        <v>1296</v>
      </c>
      <c r="R644">
        <v>2</v>
      </c>
      <c r="S644">
        <v>2</v>
      </c>
    </row>
    <row r="645" spans="1:19" hidden="1" x14ac:dyDescent="0.3">
      <c r="A645" t="s">
        <v>1271</v>
      </c>
      <c r="B645" t="s">
        <v>1272</v>
      </c>
      <c r="C645" t="s">
        <v>6622</v>
      </c>
      <c r="D645" t="s">
        <v>299</v>
      </c>
      <c r="E645" t="s">
        <v>29</v>
      </c>
      <c r="F645" t="s">
        <v>30</v>
      </c>
      <c r="G645" s="6">
        <v>46022</v>
      </c>
      <c r="H645" t="s">
        <v>6823</v>
      </c>
      <c r="I645" t="s">
        <v>57</v>
      </c>
      <c r="J645" t="s">
        <v>103</v>
      </c>
      <c r="K645">
        <v>220</v>
      </c>
      <c r="L645">
        <v>7633.8</v>
      </c>
      <c r="M645">
        <v>1.3</v>
      </c>
      <c r="N645">
        <v>34.699090909090913</v>
      </c>
      <c r="O645" t="s">
        <v>6979</v>
      </c>
      <c r="P645" t="s">
        <v>6980</v>
      </c>
      <c r="Q645" t="s">
        <v>1326</v>
      </c>
      <c r="R645">
        <v>2</v>
      </c>
      <c r="S645">
        <v>2</v>
      </c>
    </row>
    <row r="646" spans="1:19" hidden="1" x14ac:dyDescent="0.3">
      <c r="A646" t="s">
        <v>1327</v>
      </c>
      <c r="B646" t="s">
        <v>1328</v>
      </c>
      <c r="C646" t="s">
        <v>6681</v>
      </c>
      <c r="D646" t="s">
        <v>299</v>
      </c>
      <c r="E646" t="s">
        <v>29</v>
      </c>
      <c r="F646" t="s">
        <v>108</v>
      </c>
      <c r="G646" s="6">
        <v>45291</v>
      </c>
      <c r="H646" t="s">
        <v>6811</v>
      </c>
      <c r="I646" t="s">
        <v>57</v>
      </c>
      <c r="J646" t="s">
        <v>47</v>
      </c>
      <c r="K646">
        <v>2064000</v>
      </c>
      <c r="L646">
        <v>1604699.23</v>
      </c>
      <c r="M646">
        <v>1.286222340868201</v>
      </c>
      <c r="N646">
        <v>1.286222340868201</v>
      </c>
      <c r="O646" t="s">
        <v>6981</v>
      </c>
      <c r="P646" t="s">
        <v>6982</v>
      </c>
      <c r="Q646" t="s">
        <v>1341</v>
      </c>
      <c r="R646">
        <v>2</v>
      </c>
      <c r="S646">
        <v>2</v>
      </c>
    </row>
    <row r="647" spans="1:19" hidden="1" x14ac:dyDescent="0.3">
      <c r="A647" t="s">
        <v>1327</v>
      </c>
      <c r="B647" t="s">
        <v>1328</v>
      </c>
      <c r="C647" t="s">
        <v>6681</v>
      </c>
      <c r="D647" t="s">
        <v>299</v>
      </c>
      <c r="E647" t="s">
        <v>29</v>
      </c>
      <c r="F647" t="s">
        <v>108</v>
      </c>
      <c r="G647" s="6">
        <v>45657</v>
      </c>
      <c r="H647" t="s">
        <v>6816</v>
      </c>
      <c r="I647" t="s">
        <v>57</v>
      </c>
      <c r="J647" t="s">
        <v>78</v>
      </c>
      <c r="K647">
        <v>2064000</v>
      </c>
      <c r="L647">
        <v>1713907.89</v>
      </c>
      <c r="M647">
        <v>1.204265417087262</v>
      </c>
      <c r="N647">
        <v>1.204265417087262</v>
      </c>
      <c r="O647" t="s">
        <v>6981</v>
      </c>
      <c r="P647" t="s">
        <v>6983</v>
      </c>
      <c r="Q647" t="s">
        <v>1353</v>
      </c>
      <c r="R647">
        <v>2</v>
      </c>
      <c r="S647">
        <v>2</v>
      </c>
    </row>
    <row r="648" spans="1:19" hidden="1" x14ac:dyDescent="0.3">
      <c r="A648" t="s">
        <v>1327</v>
      </c>
      <c r="B648" t="s">
        <v>1328</v>
      </c>
      <c r="C648" t="s">
        <v>6681</v>
      </c>
      <c r="D648" t="s">
        <v>299</v>
      </c>
      <c r="E648" t="s">
        <v>29</v>
      </c>
      <c r="F648" t="s">
        <v>108</v>
      </c>
      <c r="G648" s="6">
        <v>46022</v>
      </c>
      <c r="H648" t="s">
        <v>6823</v>
      </c>
      <c r="I648" t="s">
        <v>57</v>
      </c>
      <c r="J648" t="s">
        <v>103</v>
      </c>
      <c r="K648">
        <v>1892000</v>
      </c>
      <c r="L648">
        <v>1507377.07</v>
      </c>
      <c r="M648">
        <v>1.2551603959319879</v>
      </c>
      <c r="N648">
        <v>1.2551603959319879</v>
      </c>
      <c r="O648" t="s">
        <v>6984</v>
      </c>
      <c r="P648" t="s">
        <v>6985</v>
      </c>
      <c r="Q648" t="s">
        <v>1387</v>
      </c>
      <c r="R648">
        <v>2</v>
      </c>
      <c r="S648">
        <v>2</v>
      </c>
    </row>
    <row r="649" spans="1:19" hidden="1" x14ac:dyDescent="0.3">
      <c r="A649" t="s">
        <v>1327</v>
      </c>
      <c r="B649" t="s">
        <v>1328</v>
      </c>
      <c r="C649" t="s">
        <v>6681</v>
      </c>
      <c r="D649" t="s">
        <v>299</v>
      </c>
      <c r="E649" t="s">
        <v>29</v>
      </c>
      <c r="F649" t="s">
        <v>108</v>
      </c>
      <c r="G649" s="6">
        <v>46387</v>
      </c>
      <c r="H649" t="s">
        <v>6841</v>
      </c>
      <c r="I649" t="s">
        <v>57</v>
      </c>
      <c r="J649" t="s">
        <v>6842</v>
      </c>
      <c r="K649">
        <v>172000</v>
      </c>
      <c r="M649">
        <v>0</v>
      </c>
      <c r="N649">
        <v>0</v>
      </c>
      <c r="O649" t="s">
        <v>1355</v>
      </c>
      <c r="Q649" t="s">
        <v>6986</v>
      </c>
      <c r="R649">
        <v>2</v>
      </c>
      <c r="S649">
        <v>2</v>
      </c>
    </row>
    <row r="650" spans="1:19" hidden="1" x14ac:dyDescent="0.3">
      <c r="A650" t="s">
        <v>1389</v>
      </c>
      <c r="B650" t="s">
        <v>1390</v>
      </c>
      <c r="C650" t="s">
        <v>6681</v>
      </c>
      <c r="D650" t="s">
        <v>299</v>
      </c>
      <c r="E650" t="s">
        <v>222</v>
      </c>
      <c r="F650" t="s">
        <v>30</v>
      </c>
      <c r="G650" s="6">
        <v>45291</v>
      </c>
      <c r="H650" t="s">
        <v>6811</v>
      </c>
      <c r="I650" t="s">
        <v>57</v>
      </c>
      <c r="J650" t="s">
        <v>47</v>
      </c>
      <c r="K650">
        <v>2</v>
      </c>
      <c r="L650">
        <v>15.25</v>
      </c>
      <c r="M650">
        <v>1.3</v>
      </c>
      <c r="N650">
        <v>7.6249999999999991</v>
      </c>
      <c r="O650" t="s">
        <v>569</v>
      </c>
      <c r="P650" t="s">
        <v>6987</v>
      </c>
      <c r="Q650" t="s">
        <v>1392</v>
      </c>
      <c r="R650">
        <v>2</v>
      </c>
      <c r="S650">
        <v>2</v>
      </c>
    </row>
    <row r="651" spans="1:19" hidden="1" x14ac:dyDescent="0.3">
      <c r="A651" t="s">
        <v>1389</v>
      </c>
      <c r="B651" t="s">
        <v>1390</v>
      </c>
      <c r="C651" t="s">
        <v>6681</v>
      </c>
      <c r="D651" t="s">
        <v>299</v>
      </c>
      <c r="E651" t="s">
        <v>222</v>
      </c>
      <c r="F651" t="s">
        <v>30</v>
      </c>
      <c r="G651" s="6">
        <v>45657</v>
      </c>
      <c r="H651" t="s">
        <v>6816</v>
      </c>
      <c r="I651" t="s">
        <v>57</v>
      </c>
      <c r="J651" t="s">
        <v>78</v>
      </c>
      <c r="K651">
        <v>2</v>
      </c>
      <c r="L651">
        <v>2.31</v>
      </c>
      <c r="M651">
        <v>1.155</v>
      </c>
      <c r="N651">
        <v>1.155</v>
      </c>
      <c r="O651" t="s">
        <v>569</v>
      </c>
      <c r="P651" t="s">
        <v>6988</v>
      </c>
      <c r="Q651" t="s">
        <v>1394</v>
      </c>
      <c r="R651">
        <v>2</v>
      </c>
      <c r="S651">
        <v>2</v>
      </c>
    </row>
    <row r="652" spans="1:19" hidden="1" x14ac:dyDescent="0.3">
      <c r="A652" t="s">
        <v>1389</v>
      </c>
      <c r="B652" t="s">
        <v>1390</v>
      </c>
      <c r="C652" t="s">
        <v>6681</v>
      </c>
      <c r="D652" t="s">
        <v>299</v>
      </c>
      <c r="E652" t="s">
        <v>222</v>
      </c>
      <c r="F652" t="s">
        <v>30</v>
      </c>
      <c r="G652" s="6">
        <v>46022</v>
      </c>
      <c r="H652" t="s">
        <v>6823</v>
      </c>
      <c r="I652" t="s">
        <v>57</v>
      </c>
      <c r="J652" t="s">
        <v>103</v>
      </c>
      <c r="K652">
        <v>2</v>
      </c>
      <c r="L652">
        <v>0.14999999999999861</v>
      </c>
      <c r="M652">
        <v>7.4999999999999289E-2</v>
      </c>
      <c r="N652">
        <v>7.4999999999999289E-2</v>
      </c>
      <c r="O652" t="s">
        <v>569</v>
      </c>
      <c r="P652" t="s">
        <v>3677</v>
      </c>
      <c r="Q652" t="s">
        <v>1400</v>
      </c>
      <c r="R652">
        <v>2</v>
      </c>
      <c r="S652">
        <v>2</v>
      </c>
    </row>
    <row r="653" spans="1:19" hidden="1" x14ac:dyDescent="0.3">
      <c r="A653" t="s">
        <v>1401</v>
      </c>
      <c r="B653" t="s">
        <v>1402</v>
      </c>
      <c r="C653" t="s">
        <v>6681</v>
      </c>
      <c r="D653" t="s">
        <v>299</v>
      </c>
      <c r="E653" t="s">
        <v>222</v>
      </c>
      <c r="F653" t="s">
        <v>30</v>
      </c>
      <c r="G653" s="6">
        <v>45291</v>
      </c>
      <c r="H653" t="s">
        <v>6811</v>
      </c>
      <c r="I653" t="s">
        <v>57</v>
      </c>
      <c r="J653" t="s">
        <v>47</v>
      </c>
      <c r="K653">
        <v>1</v>
      </c>
      <c r="L653">
        <v>40.43</v>
      </c>
      <c r="M653">
        <v>1.3</v>
      </c>
      <c r="N653">
        <v>40.43</v>
      </c>
      <c r="O653" t="s">
        <v>617</v>
      </c>
      <c r="P653" t="s">
        <v>5697</v>
      </c>
      <c r="Q653" t="s">
        <v>1404</v>
      </c>
      <c r="R653">
        <v>2</v>
      </c>
      <c r="S653">
        <v>2</v>
      </c>
    </row>
    <row r="654" spans="1:19" hidden="1" x14ac:dyDescent="0.3">
      <c r="A654" t="s">
        <v>1401</v>
      </c>
      <c r="B654" t="s">
        <v>1402</v>
      </c>
      <c r="C654" t="s">
        <v>6681</v>
      </c>
      <c r="D654" t="s">
        <v>299</v>
      </c>
      <c r="E654" t="s">
        <v>222</v>
      </c>
      <c r="F654" t="s">
        <v>30</v>
      </c>
      <c r="G654" s="6">
        <v>45657</v>
      </c>
      <c r="H654" t="s">
        <v>6816</v>
      </c>
      <c r="I654" t="s">
        <v>57</v>
      </c>
      <c r="J654" t="s">
        <v>78</v>
      </c>
      <c r="K654">
        <v>1</v>
      </c>
      <c r="L654">
        <v>8.3150000000000013</v>
      </c>
      <c r="M654">
        <v>1.3</v>
      </c>
      <c r="N654">
        <v>8.3150000000000013</v>
      </c>
      <c r="O654" t="s">
        <v>617</v>
      </c>
      <c r="P654" t="s">
        <v>6989</v>
      </c>
      <c r="Q654" t="s">
        <v>1406</v>
      </c>
      <c r="R654">
        <v>2</v>
      </c>
      <c r="S654">
        <v>2</v>
      </c>
    </row>
    <row r="655" spans="1:19" hidden="1" x14ac:dyDescent="0.3">
      <c r="A655" t="s">
        <v>1401</v>
      </c>
      <c r="B655" t="s">
        <v>1402</v>
      </c>
      <c r="C655" t="s">
        <v>6681</v>
      </c>
      <c r="D655" t="s">
        <v>299</v>
      </c>
      <c r="E655" t="s">
        <v>222</v>
      </c>
      <c r="F655" t="s">
        <v>30</v>
      </c>
      <c r="G655" s="6">
        <v>46022</v>
      </c>
      <c r="H655" t="s">
        <v>6823</v>
      </c>
      <c r="I655" t="s">
        <v>57</v>
      </c>
      <c r="J655" t="s">
        <v>103</v>
      </c>
      <c r="K655">
        <v>1</v>
      </c>
      <c r="L655">
        <v>11.9</v>
      </c>
      <c r="M655">
        <v>1.3</v>
      </c>
      <c r="N655">
        <v>11.9</v>
      </c>
      <c r="O655" t="s">
        <v>617</v>
      </c>
      <c r="P655" t="s">
        <v>6990</v>
      </c>
      <c r="Q655" t="s">
        <v>1412</v>
      </c>
      <c r="R655">
        <v>2</v>
      </c>
      <c r="S655">
        <v>2</v>
      </c>
    </row>
    <row r="656" spans="1:19" hidden="1" x14ac:dyDescent="0.3">
      <c r="A656" t="s">
        <v>1413</v>
      </c>
      <c r="B656" t="s">
        <v>1414</v>
      </c>
      <c r="C656" t="s">
        <v>6681</v>
      </c>
      <c r="D656" t="s">
        <v>299</v>
      </c>
      <c r="E656" t="s">
        <v>98</v>
      </c>
      <c r="F656" t="s">
        <v>30</v>
      </c>
      <c r="G656" s="6">
        <v>45291</v>
      </c>
      <c r="H656" t="s">
        <v>6811</v>
      </c>
      <c r="I656" t="s">
        <v>57</v>
      </c>
      <c r="J656" t="s">
        <v>47</v>
      </c>
      <c r="M656">
        <v>0</v>
      </c>
      <c r="N656">
        <v>0</v>
      </c>
      <c r="Q656" t="s">
        <v>1415</v>
      </c>
      <c r="R656">
        <v>2</v>
      </c>
      <c r="S656">
        <v>2</v>
      </c>
    </row>
    <row r="657" spans="1:19" hidden="1" x14ac:dyDescent="0.3">
      <c r="A657" t="s">
        <v>1413</v>
      </c>
      <c r="B657" t="s">
        <v>1414</v>
      </c>
      <c r="C657" t="s">
        <v>6681</v>
      </c>
      <c r="D657" t="s">
        <v>299</v>
      </c>
      <c r="E657" t="s">
        <v>98</v>
      </c>
      <c r="F657" t="s">
        <v>30</v>
      </c>
      <c r="G657" s="6">
        <v>45657</v>
      </c>
      <c r="H657" t="s">
        <v>6816</v>
      </c>
      <c r="I657" t="s">
        <v>57</v>
      </c>
      <c r="J657" t="s">
        <v>78</v>
      </c>
      <c r="K657">
        <v>100</v>
      </c>
      <c r="L657">
        <v>33.33</v>
      </c>
      <c r="M657">
        <v>0.33329999999999999</v>
      </c>
      <c r="N657">
        <v>0.33329999999999999</v>
      </c>
      <c r="O657" t="s">
        <v>102</v>
      </c>
      <c r="P657" t="s">
        <v>5700</v>
      </c>
      <c r="Q657" t="s">
        <v>1416</v>
      </c>
      <c r="R657">
        <v>2</v>
      </c>
      <c r="S657">
        <v>2</v>
      </c>
    </row>
    <row r="658" spans="1:19" hidden="1" x14ac:dyDescent="0.3">
      <c r="A658" t="s">
        <v>1413</v>
      </c>
      <c r="B658" t="s">
        <v>1414</v>
      </c>
      <c r="C658" t="s">
        <v>6681</v>
      </c>
      <c r="D658" t="s">
        <v>299</v>
      </c>
      <c r="E658" t="s">
        <v>98</v>
      </c>
      <c r="F658" t="s">
        <v>30</v>
      </c>
      <c r="G658" s="6">
        <v>46022</v>
      </c>
      <c r="H658" t="s">
        <v>6823</v>
      </c>
      <c r="I658" t="s">
        <v>57</v>
      </c>
      <c r="J658" t="s">
        <v>103</v>
      </c>
      <c r="K658">
        <v>100</v>
      </c>
      <c r="M658">
        <v>0</v>
      </c>
      <c r="N658">
        <v>0</v>
      </c>
      <c r="O658" t="s">
        <v>102</v>
      </c>
      <c r="Q658" t="s">
        <v>1417</v>
      </c>
      <c r="R658">
        <v>2</v>
      </c>
      <c r="S658">
        <v>2</v>
      </c>
    </row>
    <row r="659" spans="1:19" hidden="1" x14ac:dyDescent="0.3">
      <c r="A659" t="s">
        <v>1418</v>
      </c>
      <c r="B659" t="s">
        <v>1419</v>
      </c>
      <c r="C659" t="s">
        <v>6681</v>
      </c>
      <c r="D659" t="s">
        <v>299</v>
      </c>
      <c r="E659" t="s">
        <v>98</v>
      </c>
      <c r="F659" t="s">
        <v>30</v>
      </c>
      <c r="G659" s="6">
        <v>44926</v>
      </c>
      <c r="H659" t="s">
        <v>6819</v>
      </c>
      <c r="I659" t="s">
        <v>57</v>
      </c>
      <c r="J659" t="s">
        <v>90</v>
      </c>
      <c r="K659">
        <v>100</v>
      </c>
      <c r="L659">
        <v>93.75</v>
      </c>
      <c r="M659">
        <v>0.9375</v>
      </c>
      <c r="N659">
        <v>0.9375</v>
      </c>
      <c r="O659" t="s">
        <v>102</v>
      </c>
      <c r="P659" t="s">
        <v>5701</v>
      </c>
      <c r="Q659" t="s">
        <v>1420</v>
      </c>
      <c r="R659">
        <v>2</v>
      </c>
      <c r="S659">
        <v>2</v>
      </c>
    </row>
    <row r="660" spans="1:19" hidden="1" x14ac:dyDescent="0.3">
      <c r="A660" t="s">
        <v>1418</v>
      </c>
      <c r="B660" t="s">
        <v>1419</v>
      </c>
      <c r="C660" t="s">
        <v>6681</v>
      </c>
      <c r="D660" t="s">
        <v>299</v>
      </c>
      <c r="E660" t="s">
        <v>98</v>
      </c>
      <c r="F660" t="s">
        <v>30</v>
      </c>
      <c r="G660" s="6">
        <v>45291</v>
      </c>
      <c r="H660" t="s">
        <v>6811</v>
      </c>
      <c r="I660" t="s">
        <v>57</v>
      </c>
      <c r="J660" t="s">
        <v>47</v>
      </c>
      <c r="M660">
        <v>0</v>
      </c>
      <c r="N660">
        <v>0</v>
      </c>
      <c r="Q660" t="s">
        <v>1421</v>
      </c>
      <c r="R660">
        <v>2</v>
      </c>
      <c r="S660">
        <v>2</v>
      </c>
    </row>
    <row r="661" spans="1:19" hidden="1" x14ac:dyDescent="0.3">
      <c r="A661" t="s">
        <v>1418</v>
      </c>
      <c r="B661" t="s">
        <v>1419</v>
      </c>
      <c r="C661" t="s">
        <v>6681</v>
      </c>
      <c r="D661" t="s">
        <v>299</v>
      </c>
      <c r="E661" t="s">
        <v>98</v>
      </c>
      <c r="F661" t="s">
        <v>30</v>
      </c>
      <c r="G661" s="6">
        <v>45657</v>
      </c>
      <c r="H661" t="s">
        <v>6816</v>
      </c>
      <c r="I661" t="s">
        <v>57</v>
      </c>
      <c r="J661" t="s">
        <v>78</v>
      </c>
      <c r="K661">
        <v>100</v>
      </c>
      <c r="L661">
        <v>68.75</v>
      </c>
      <c r="M661">
        <v>0.6875</v>
      </c>
      <c r="N661">
        <v>0.6875</v>
      </c>
      <c r="O661" t="s">
        <v>102</v>
      </c>
      <c r="P661" t="s">
        <v>5702</v>
      </c>
      <c r="Q661" t="s">
        <v>1422</v>
      </c>
      <c r="R661">
        <v>2</v>
      </c>
      <c r="S661">
        <v>2</v>
      </c>
    </row>
    <row r="662" spans="1:19" hidden="1" x14ac:dyDescent="0.3">
      <c r="A662" t="s">
        <v>1418</v>
      </c>
      <c r="B662" t="s">
        <v>1419</v>
      </c>
      <c r="C662" t="s">
        <v>6681</v>
      </c>
      <c r="D662" t="s">
        <v>299</v>
      </c>
      <c r="E662" t="s">
        <v>98</v>
      </c>
      <c r="F662" t="s">
        <v>30</v>
      </c>
      <c r="G662" s="6">
        <v>46022</v>
      </c>
      <c r="H662" t="s">
        <v>6823</v>
      </c>
      <c r="I662" t="s">
        <v>57</v>
      </c>
      <c r="J662" t="s">
        <v>103</v>
      </c>
      <c r="K662">
        <v>90</v>
      </c>
      <c r="M662">
        <v>0</v>
      </c>
      <c r="N662">
        <v>0</v>
      </c>
      <c r="O662" t="s">
        <v>256</v>
      </c>
      <c r="Q662" t="s">
        <v>1423</v>
      </c>
      <c r="R662">
        <v>2</v>
      </c>
      <c r="S662">
        <v>2</v>
      </c>
    </row>
    <row r="663" spans="1:19" hidden="1" x14ac:dyDescent="0.3">
      <c r="A663" t="s">
        <v>1424</v>
      </c>
      <c r="B663" t="s">
        <v>1425</v>
      </c>
      <c r="C663" t="s">
        <v>6681</v>
      </c>
      <c r="D663" t="s">
        <v>299</v>
      </c>
      <c r="E663" t="s">
        <v>98</v>
      </c>
      <c r="F663" t="s">
        <v>30</v>
      </c>
      <c r="G663" s="6">
        <v>45291</v>
      </c>
      <c r="H663" t="s">
        <v>6811</v>
      </c>
      <c r="I663" t="s">
        <v>57</v>
      </c>
      <c r="J663" t="s">
        <v>47</v>
      </c>
      <c r="M663">
        <v>0</v>
      </c>
      <c r="N663">
        <v>0</v>
      </c>
      <c r="Q663" t="s">
        <v>1426</v>
      </c>
      <c r="R663">
        <v>2</v>
      </c>
      <c r="S663">
        <v>2</v>
      </c>
    </row>
    <row r="664" spans="1:19" hidden="1" x14ac:dyDescent="0.3">
      <c r="A664" t="s">
        <v>1424</v>
      </c>
      <c r="B664" t="s">
        <v>1425</v>
      </c>
      <c r="C664" t="s">
        <v>6681</v>
      </c>
      <c r="D664" t="s">
        <v>299</v>
      </c>
      <c r="E664" t="s">
        <v>98</v>
      </c>
      <c r="F664" t="s">
        <v>30</v>
      </c>
      <c r="G664" s="6">
        <v>45657</v>
      </c>
      <c r="H664" t="s">
        <v>6816</v>
      </c>
      <c r="I664" t="s">
        <v>57</v>
      </c>
      <c r="J664" t="s">
        <v>78</v>
      </c>
      <c r="K664">
        <v>100</v>
      </c>
      <c r="L664">
        <v>94.12</v>
      </c>
      <c r="M664">
        <v>0.94120000000000004</v>
      </c>
      <c r="N664">
        <v>0.94120000000000004</v>
      </c>
      <c r="O664" t="s">
        <v>102</v>
      </c>
      <c r="P664" t="s">
        <v>5703</v>
      </c>
      <c r="Q664" t="s">
        <v>1427</v>
      </c>
      <c r="R664">
        <v>2</v>
      </c>
      <c r="S664">
        <v>2</v>
      </c>
    </row>
    <row r="665" spans="1:19" hidden="1" x14ac:dyDescent="0.3">
      <c r="A665" t="s">
        <v>1428</v>
      </c>
      <c r="B665" t="s">
        <v>1429</v>
      </c>
      <c r="C665" t="s">
        <v>6681</v>
      </c>
      <c r="D665" t="s">
        <v>299</v>
      </c>
      <c r="E665" t="s">
        <v>98</v>
      </c>
      <c r="F665" t="s">
        <v>30</v>
      </c>
      <c r="G665" s="6">
        <v>44926</v>
      </c>
      <c r="H665" t="s">
        <v>6819</v>
      </c>
      <c r="I665" t="s">
        <v>57</v>
      </c>
      <c r="J665" t="s">
        <v>90</v>
      </c>
      <c r="K665">
        <v>100</v>
      </c>
      <c r="L665">
        <v>71.430000000000007</v>
      </c>
      <c r="M665">
        <v>0.71430000000000005</v>
      </c>
      <c r="N665">
        <v>0.71430000000000005</v>
      </c>
      <c r="O665" t="s">
        <v>102</v>
      </c>
      <c r="P665" t="s">
        <v>5704</v>
      </c>
      <c r="Q665" t="s">
        <v>1430</v>
      </c>
      <c r="R665">
        <v>2</v>
      </c>
      <c r="S665">
        <v>2</v>
      </c>
    </row>
    <row r="666" spans="1:19" hidden="1" x14ac:dyDescent="0.3">
      <c r="A666" t="s">
        <v>1428</v>
      </c>
      <c r="B666" t="s">
        <v>1429</v>
      </c>
      <c r="C666" t="s">
        <v>6681</v>
      </c>
      <c r="D666" t="s">
        <v>299</v>
      </c>
      <c r="E666" t="s">
        <v>98</v>
      </c>
      <c r="F666" t="s">
        <v>30</v>
      </c>
      <c r="G666" s="6">
        <v>45291</v>
      </c>
      <c r="H666" t="s">
        <v>6811</v>
      </c>
      <c r="I666" t="s">
        <v>57</v>
      </c>
      <c r="J666" t="s">
        <v>47</v>
      </c>
      <c r="M666">
        <v>0</v>
      </c>
      <c r="N666">
        <v>0</v>
      </c>
      <c r="Q666" t="s">
        <v>1431</v>
      </c>
      <c r="R666">
        <v>2</v>
      </c>
      <c r="S666">
        <v>2</v>
      </c>
    </row>
    <row r="667" spans="1:19" hidden="1" x14ac:dyDescent="0.3">
      <c r="A667" t="s">
        <v>1428</v>
      </c>
      <c r="B667" t="s">
        <v>1429</v>
      </c>
      <c r="C667" t="s">
        <v>6681</v>
      </c>
      <c r="D667" t="s">
        <v>299</v>
      </c>
      <c r="E667" t="s">
        <v>98</v>
      </c>
      <c r="F667" t="s">
        <v>30</v>
      </c>
      <c r="G667" s="6">
        <v>45657</v>
      </c>
      <c r="H667" t="s">
        <v>6816</v>
      </c>
      <c r="I667" t="s">
        <v>57</v>
      </c>
      <c r="J667" t="s">
        <v>78</v>
      </c>
      <c r="K667">
        <v>100</v>
      </c>
      <c r="L667">
        <v>100</v>
      </c>
      <c r="M667">
        <v>1</v>
      </c>
      <c r="N667">
        <v>1</v>
      </c>
      <c r="O667" t="s">
        <v>102</v>
      </c>
      <c r="P667" t="s">
        <v>102</v>
      </c>
      <c r="Q667" t="s">
        <v>1432</v>
      </c>
      <c r="R667">
        <v>2</v>
      </c>
      <c r="S667">
        <v>2</v>
      </c>
    </row>
    <row r="668" spans="1:19" hidden="1" x14ac:dyDescent="0.3">
      <c r="A668" t="s">
        <v>1433</v>
      </c>
      <c r="B668" t="s">
        <v>1434</v>
      </c>
      <c r="C668" t="s">
        <v>6681</v>
      </c>
      <c r="D668" t="s">
        <v>299</v>
      </c>
      <c r="E668" t="s">
        <v>29</v>
      </c>
      <c r="F668" t="s">
        <v>30</v>
      </c>
      <c r="G668" s="6">
        <v>45291</v>
      </c>
      <c r="H668" t="s">
        <v>6811</v>
      </c>
      <c r="I668" t="s">
        <v>57</v>
      </c>
      <c r="J668" t="s">
        <v>47</v>
      </c>
      <c r="K668">
        <v>72</v>
      </c>
      <c r="L668">
        <v>245</v>
      </c>
      <c r="M668">
        <v>1.3</v>
      </c>
      <c r="N668">
        <v>3.4027777777777781</v>
      </c>
      <c r="O668" t="s">
        <v>5763</v>
      </c>
      <c r="P668" t="s">
        <v>5887</v>
      </c>
      <c r="Q668" t="s">
        <v>1446</v>
      </c>
      <c r="R668">
        <v>2</v>
      </c>
      <c r="S668">
        <v>2</v>
      </c>
    </row>
    <row r="669" spans="1:19" hidden="1" x14ac:dyDescent="0.3">
      <c r="A669" t="s">
        <v>1433</v>
      </c>
      <c r="B669" t="s">
        <v>1434</v>
      </c>
      <c r="C669" t="s">
        <v>6681</v>
      </c>
      <c r="D669" t="s">
        <v>299</v>
      </c>
      <c r="E669" t="s">
        <v>29</v>
      </c>
      <c r="F669" t="s">
        <v>30</v>
      </c>
      <c r="G669" s="6">
        <v>45657</v>
      </c>
      <c r="H669" t="s">
        <v>6816</v>
      </c>
      <c r="I669" t="s">
        <v>57</v>
      </c>
      <c r="J669" t="s">
        <v>78</v>
      </c>
      <c r="K669">
        <v>67</v>
      </c>
      <c r="L669">
        <v>246</v>
      </c>
      <c r="M669">
        <v>1.3</v>
      </c>
      <c r="N669">
        <v>3.6716417910447761</v>
      </c>
      <c r="O669" t="s">
        <v>5418</v>
      </c>
      <c r="P669" t="s">
        <v>6991</v>
      </c>
      <c r="Q669" t="s">
        <v>1458</v>
      </c>
      <c r="R669">
        <v>2</v>
      </c>
      <c r="S669">
        <v>2</v>
      </c>
    </row>
    <row r="670" spans="1:19" hidden="1" x14ac:dyDescent="0.3">
      <c r="A670" t="s">
        <v>1433</v>
      </c>
      <c r="B670" t="s">
        <v>1434</v>
      </c>
      <c r="C670" t="s">
        <v>6681</v>
      </c>
      <c r="D670" t="s">
        <v>299</v>
      </c>
      <c r="E670" t="s">
        <v>29</v>
      </c>
      <c r="F670" t="s">
        <v>30</v>
      </c>
      <c r="G670" s="6">
        <v>46022</v>
      </c>
      <c r="H670" t="s">
        <v>6823</v>
      </c>
      <c r="I670" t="s">
        <v>57</v>
      </c>
      <c r="J670" t="s">
        <v>103</v>
      </c>
      <c r="K670">
        <v>10</v>
      </c>
      <c r="L670">
        <v>178</v>
      </c>
      <c r="M670">
        <v>1.3</v>
      </c>
      <c r="N670">
        <v>17.8</v>
      </c>
      <c r="O670" t="s">
        <v>1861</v>
      </c>
      <c r="P670" t="s">
        <v>6992</v>
      </c>
      <c r="Q670" t="s">
        <v>1481</v>
      </c>
      <c r="R670">
        <v>2</v>
      </c>
      <c r="S670">
        <v>2</v>
      </c>
    </row>
    <row r="671" spans="1:19" hidden="1" x14ac:dyDescent="0.3">
      <c r="A671" t="s">
        <v>1433</v>
      </c>
      <c r="B671" t="s">
        <v>1434</v>
      </c>
      <c r="C671" t="s">
        <v>6681</v>
      </c>
      <c r="D671" t="s">
        <v>299</v>
      </c>
      <c r="E671" t="s">
        <v>29</v>
      </c>
      <c r="F671" t="s">
        <v>30</v>
      </c>
      <c r="G671" s="6">
        <v>46387</v>
      </c>
      <c r="H671" t="s">
        <v>6841</v>
      </c>
      <c r="I671" t="s">
        <v>57</v>
      </c>
      <c r="J671" t="s">
        <v>6842</v>
      </c>
      <c r="K671">
        <v>1</v>
      </c>
      <c r="M671">
        <v>0</v>
      </c>
      <c r="N671">
        <v>0</v>
      </c>
      <c r="O671" t="s">
        <v>617</v>
      </c>
      <c r="Q671" t="s">
        <v>6993</v>
      </c>
      <c r="R671">
        <v>2</v>
      </c>
      <c r="S671">
        <v>2</v>
      </c>
    </row>
    <row r="672" spans="1:19" hidden="1" x14ac:dyDescent="0.3">
      <c r="A672" t="s">
        <v>1483</v>
      </c>
      <c r="B672" t="s">
        <v>1484</v>
      </c>
      <c r="C672" t="s">
        <v>6681</v>
      </c>
      <c r="D672" t="s">
        <v>299</v>
      </c>
      <c r="E672" t="s">
        <v>98</v>
      </c>
      <c r="F672" t="s">
        <v>30</v>
      </c>
      <c r="G672" s="6">
        <v>44926</v>
      </c>
      <c r="H672" t="s">
        <v>6819</v>
      </c>
      <c r="I672" t="s">
        <v>57</v>
      </c>
      <c r="J672" t="s">
        <v>90</v>
      </c>
      <c r="L672">
        <v>476.49</v>
      </c>
      <c r="M672">
        <v>0</v>
      </c>
      <c r="N672">
        <v>0</v>
      </c>
      <c r="P672" t="s">
        <v>5711</v>
      </c>
      <c r="Q672" t="s">
        <v>1485</v>
      </c>
      <c r="R672">
        <v>2</v>
      </c>
      <c r="S672">
        <v>2</v>
      </c>
    </row>
    <row r="673" spans="1:19" hidden="1" x14ac:dyDescent="0.3">
      <c r="A673" t="s">
        <v>1483</v>
      </c>
      <c r="B673" t="s">
        <v>1484</v>
      </c>
      <c r="C673" t="s">
        <v>6681</v>
      </c>
      <c r="D673" t="s">
        <v>299</v>
      </c>
      <c r="E673" t="s">
        <v>98</v>
      </c>
      <c r="F673" t="s">
        <v>30</v>
      </c>
      <c r="G673" s="6">
        <v>45291</v>
      </c>
      <c r="H673" t="s">
        <v>6811</v>
      </c>
      <c r="I673" t="s">
        <v>57</v>
      </c>
      <c r="J673" t="s">
        <v>47</v>
      </c>
      <c r="M673">
        <v>0</v>
      </c>
      <c r="N673">
        <v>0</v>
      </c>
      <c r="Q673" t="s">
        <v>1486</v>
      </c>
      <c r="R673">
        <v>2</v>
      </c>
      <c r="S673">
        <v>2</v>
      </c>
    </row>
    <row r="674" spans="1:19" hidden="1" x14ac:dyDescent="0.3">
      <c r="A674" t="s">
        <v>1483</v>
      </c>
      <c r="B674" t="s">
        <v>1484</v>
      </c>
      <c r="C674" t="s">
        <v>6681</v>
      </c>
      <c r="D674" t="s">
        <v>299</v>
      </c>
      <c r="E674" t="s">
        <v>98</v>
      </c>
      <c r="F674" t="s">
        <v>30</v>
      </c>
      <c r="G674" s="6">
        <v>45657</v>
      </c>
      <c r="H674" t="s">
        <v>6816</v>
      </c>
      <c r="I674" t="s">
        <v>57</v>
      </c>
      <c r="J674" t="s">
        <v>78</v>
      </c>
      <c r="M674">
        <v>0</v>
      </c>
      <c r="N674">
        <v>0</v>
      </c>
      <c r="Q674" t="s">
        <v>1487</v>
      </c>
      <c r="R674">
        <v>2</v>
      </c>
      <c r="S674">
        <v>2</v>
      </c>
    </row>
    <row r="675" spans="1:19" hidden="1" x14ac:dyDescent="0.3">
      <c r="A675" t="s">
        <v>1483</v>
      </c>
      <c r="B675" t="s">
        <v>1484</v>
      </c>
      <c r="C675" t="s">
        <v>6681</v>
      </c>
      <c r="D675" t="s">
        <v>299</v>
      </c>
      <c r="E675" t="s">
        <v>98</v>
      </c>
      <c r="F675" t="s">
        <v>30</v>
      </c>
      <c r="G675" s="6">
        <v>46022</v>
      </c>
      <c r="H675" t="s">
        <v>6823</v>
      </c>
      <c r="I675" t="s">
        <v>57</v>
      </c>
      <c r="J675" t="s">
        <v>103</v>
      </c>
      <c r="K675">
        <v>2</v>
      </c>
      <c r="M675">
        <v>0</v>
      </c>
      <c r="N675">
        <v>0</v>
      </c>
      <c r="O675" t="s">
        <v>569</v>
      </c>
      <c r="Q675" t="s">
        <v>1488</v>
      </c>
      <c r="R675">
        <v>2</v>
      </c>
      <c r="S675">
        <v>2</v>
      </c>
    </row>
    <row r="676" spans="1:19" hidden="1" x14ac:dyDescent="0.3">
      <c r="A676" t="s">
        <v>1489</v>
      </c>
      <c r="B676" t="s">
        <v>1490</v>
      </c>
      <c r="C676" t="s">
        <v>6681</v>
      </c>
      <c r="D676" t="s">
        <v>299</v>
      </c>
      <c r="E676" t="s">
        <v>98</v>
      </c>
      <c r="F676" t="s">
        <v>108</v>
      </c>
      <c r="G676" s="6">
        <v>44926</v>
      </c>
      <c r="H676" t="s">
        <v>6819</v>
      </c>
      <c r="I676" t="s">
        <v>57</v>
      </c>
      <c r="J676" t="s">
        <v>90</v>
      </c>
      <c r="K676">
        <v>0.3</v>
      </c>
      <c r="L676">
        <v>0.1</v>
      </c>
      <c r="M676">
        <v>1.3</v>
      </c>
      <c r="N676">
        <v>3</v>
      </c>
      <c r="O676" t="s">
        <v>1495</v>
      </c>
      <c r="P676" t="s">
        <v>5447</v>
      </c>
      <c r="Q676" t="s">
        <v>1491</v>
      </c>
      <c r="R676">
        <v>2</v>
      </c>
      <c r="S676">
        <v>2</v>
      </c>
    </row>
    <row r="677" spans="1:19" hidden="1" x14ac:dyDescent="0.3">
      <c r="A677" t="s">
        <v>1489</v>
      </c>
      <c r="B677" t="s">
        <v>1490</v>
      </c>
      <c r="C677" t="s">
        <v>6681</v>
      </c>
      <c r="D677" t="s">
        <v>299</v>
      </c>
      <c r="E677" t="s">
        <v>98</v>
      </c>
      <c r="F677" t="s">
        <v>108</v>
      </c>
      <c r="G677" s="6">
        <v>45291</v>
      </c>
      <c r="H677" t="s">
        <v>6811</v>
      </c>
      <c r="I677" t="s">
        <v>57</v>
      </c>
      <c r="J677" t="s">
        <v>47</v>
      </c>
      <c r="M677">
        <v>0</v>
      </c>
      <c r="N677">
        <v>0</v>
      </c>
      <c r="Q677" t="s">
        <v>1492</v>
      </c>
      <c r="R677">
        <v>2</v>
      </c>
      <c r="S677">
        <v>2</v>
      </c>
    </row>
    <row r="678" spans="1:19" hidden="1" x14ac:dyDescent="0.3">
      <c r="A678" t="s">
        <v>1489</v>
      </c>
      <c r="B678" t="s">
        <v>1490</v>
      </c>
      <c r="C678" t="s">
        <v>6681</v>
      </c>
      <c r="D678" t="s">
        <v>299</v>
      </c>
      <c r="E678" t="s">
        <v>98</v>
      </c>
      <c r="F678" t="s">
        <v>108</v>
      </c>
      <c r="G678" s="6">
        <v>45657</v>
      </c>
      <c r="H678" t="s">
        <v>6816</v>
      </c>
      <c r="I678" t="s">
        <v>57</v>
      </c>
      <c r="J678" t="s">
        <v>78</v>
      </c>
      <c r="K678">
        <v>0.3</v>
      </c>
      <c r="L678">
        <v>0</v>
      </c>
      <c r="M678">
        <v>0</v>
      </c>
      <c r="N678">
        <v>0</v>
      </c>
      <c r="O678" t="s">
        <v>1495</v>
      </c>
      <c r="P678" t="s">
        <v>122</v>
      </c>
      <c r="Q678" t="s">
        <v>1493</v>
      </c>
      <c r="R678">
        <v>2</v>
      </c>
      <c r="S678">
        <v>2</v>
      </c>
    </row>
    <row r="679" spans="1:19" hidden="1" x14ac:dyDescent="0.3">
      <c r="A679" t="s">
        <v>1489</v>
      </c>
      <c r="B679" t="s">
        <v>1494</v>
      </c>
      <c r="C679" t="s">
        <v>6681</v>
      </c>
      <c r="D679" t="s">
        <v>299</v>
      </c>
      <c r="E679" t="s">
        <v>98</v>
      </c>
      <c r="F679" t="s">
        <v>108</v>
      </c>
      <c r="G679" s="6">
        <v>46022</v>
      </c>
      <c r="H679" t="s">
        <v>6823</v>
      </c>
      <c r="I679" t="s">
        <v>57</v>
      </c>
      <c r="J679" t="s">
        <v>103</v>
      </c>
      <c r="K679">
        <v>0.3</v>
      </c>
      <c r="M679">
        <v>0</v>
      </c>
      <c r="N679">
        <v>0</v>
      </c>
      <c r="O679" t="s">
        <v>1495</v>
      </c>
      <c r="Q679" t="s">
        <v>1496</v>
      </c>
      <c r="R679">
        <v>2</v>
      </c>
      <c r="S679">
        <v>2</v>
      </c>
    </row>
    <row r="680" spans="1:19" hidden="1" x14ac:dyDescent="0.3">
      <c r="A680" t="s">
        <v>1497</v>
      </c>
      <c r="B680" t="s">
        <v>1498</v>
      </c>
      <c r="C680" t="s">
        <v>6681</v>
      </c>
      <c r="D680" t="s">
        <v>299</v>
      </c>
      <c r="E680" t="s">
        <v>98</v>
      </c>
      <c r="F680" t="s">
        <v>30</v>
      </c>
      <c r="G680" s="6">
        <v>44926</v>
      </c>
      <c r="H680" t="s">
        <v>6819</v>
      </c>
      <c r="I680" t="s">
        <v>57</v>
      </c>
      <c r="J680" t="s">
        <v>90</v>
      </c>
      <c r="K680">
        <v>170.99</v>
      </c>
      <c r="L680">
        <v>235</v>
      </c>
      <c r="M680">
        <v>1.3</v>
      </c>
      <c r="N680">
        <v>1.3743493771565589</v>
      </c>
      <c r="O680" t="s">
        <v>5712</v>
      </c>
      <c r="P680" t="s">
        <v>5713</v>
      </c>
      <c r="Q680" t="s">
        <v>1500</v>
      </c>
      <c r="R680">
        <v>2</v>
      </c>
      <c r="S680">
        <v>2</v>
      </c>
    </row>
    <row r="681" spans="1:19" hidden="1" x14ac:dyDescent="0.3">
      <c r="A681" t="s">
        <v>1497</v>
      </c>
      <c r="B681" t="s">
        <v>1498</v>
      </c>
      <c r="C681" t="s">
        <v>6681</v>
      </c>
      <c r="D681" t="s">
        <v>299</v>
      </c>
      <c r="E681" t="s">
        <v>98</v>
      </c>
      <c r="F681" t="s">
        <v>30</v>
      </c>
      <c r="G681" s="6">
        <v>45291</v>
      </c>
      <c r="H681" t="s">
        <v>6811</v>
      </c>
      <c r="I681" t="s">
        <v>57</v>
      </c>
      <c r="J681" t="s">
        <v>47</v>
      </c>
      <c r="K681">
        <v>476.48</v>
      </c>
      <c r="L681">
        <v>477</v>
      </c>
      <c r="M681">
        <v>1.0010913364674281</v>
      </c>
      <c r="N681">
        <v>1.0010913364674281</v>
      </c>
      <c r="O681" t="s">
        <v>5714</v>
      </c>
      <c r="P681" t="s">
        <v>5715</v>
      </c>
      <c r="Q681" t="s">
        <v>1501</v>
      </c>
      <c r="R681">
        <v>2</v>
      </c>
      <c r="S681">
        <v>2</v>
      </c>
    </row>
    <row r="682" spans="1:19" hidden="1" x14ac:dyDescent="0.3">
      <c r="A682" t="s">
        <v>1497</v>
      </c>
      <c r="B682" t="s">
        <v>1498</v>
      </c>
      <c r="C682" t="s">
        <v>6681</v>
      </c>
      <c r="D682" t="s">
        <v>299</v>
      </c>
      <c r="E682" t="s">
        <v>98</v>
      </c>
      <c r="F682" t="s">
        <v>30</v>
      </c>
      <c r="G682" s="6">
        <v>45657</v>
      </c>
      <c r="H682" t="s">
        <v>6816</v>
      </c>
      <c r="I682" t="s">
        <v>57</v>
      </c>
      <c r="J682" t="s">
        <v>78</v>
      </c>
      <c r="K682">
        <v>622.68999999999994</v>
      </c>
      <c r="L682">
        <v>622.68999999999994</v>
      </c>
      <c r="M682">
        <v>1</v>
      </c>
      <c r="N682">
        <v>1</v>
      </c>
      <c r="O682" t="s">
        <v>5716</v>
      </c>
      <c r="P682" t="s">
        <v>5716</v>
      </c>
      <c r="Q682" t="s">
        <v>1502</v>
      </c>
      <c r="R682">
        <v>2</v>
      </c>
      <c r="S682">
        <v>2</v>
      </c>
    </row>
    <row r="683" spans="1:19" hidden="1" x14ac:dyDescent="0.3">
      <c r="A683" t="s">
        <v>1503</v>
      </c>
      <c r="B683" t="s">
        <v>1504</v>
      </c>
      <c r="C683" t="s">
        <v>6681</v>
      </c>
      <c r="D683" t="s">
        <v>299</v>
      </c>
      <c r="E683" t="s">
        <v>222</v>
      </c>
      <c r="F683" t="s">
        <v>30</v>
      </c>
      <c r="G683" s="6">
        <v>45291</v>
      </c>
      <c r="H683" t="s">
        <v>6811</v>
      </c>
      <c r="I683" t="s">
        <v>57</v>
      </c>
      <c r="J683" t="s">
        <v>47</v>
      </c>
      <c r="K683">
        <v>15</v>
      </c>
      <c r="L683">
        <v>15</v>
      </c>
      <c r="M683">
        <v>1</v>
      </c>
      <c r="N683">
        <v>1</v>
      </c>
      <c r="O683" t="s">
        <v>3932</v>
      </c>
      <c r="P683" t="s">
        <v>3932</v>
      </c>
      <c r="Q683" t="s">
        <v>1506</v>
      </c>
      <c r="R683">
        <v>2</v>
      </c>
      <c r="S683">
        <v>2</v>
      </c>
    </row>
    <row r="684" spans="1:19" hidden="1" x14ac:dyDescent="0.3">
      <c r="A684" t="s">
        <v>1503</v>
      </c>
      <c r="B684" t="s">
        <v>1504</v>
      </c>
      <c r="C684" t="s">
        <v>6681</v>
      </c>
      <c r="D684" t="s">
        <v>299</v>
      </c>
      <c r="E684" t="s">
        <v>222</v>
      </c>
      <c r="F684" t="s">
        <v>30</v>
      </c>
      <c r="G684" s="6">
        <v>45657</v>
      </c>
      <c r="H684" t="s">
        <v>6816</v>
      </c>
      <c r="I684" t="s">
        <v>57</v>
      </c>
      <c r="J684" t="s">
        <v>78</v>
      </c>
      <c r="K684">
        <v>90</v>
      </c>
      <c r="L684">
        <v>100</v>
      </c>
      <c r="M684">
        <v>1.1111111111111109</v>
      </c>
      <c r="N684">
        <v>1.1111111111111109</v>
      </c>
      <c r="O684" t="s">
        <v>256</v>
      </c>
      <c r="P684" t="s">
        <v>102</v>
      </c>
      <c r="Q684" t="s">
        <v>1508</v>
      </c>
      <c r="R684">
        <v>2</v>
      </c>
      <c r="S684">
        <v>2</v>
      </c>
    </row>
    <row r="685" spans="1:19" hidden="1" x14ac:dyDescent="0.3">
      <c r="A685" t="s">
        <v>1503</v>
      </c>
      <c r="B685" t="s">
        <v>1504</v>
      </c>
      <c r="C685" t="s">
        <v>6681</v>
      </c>
      <c r="D685" t="s">
        <v>299</v>
      </c>
      <c r="E685" t="s">
        <v>222</v>
      </c>
      <c r="F685" t="s">
        <v>30</v>
      </c>
      <c r="G685" s="6">
        <v>46022</v>
      </c>
      <c r="H685" t="s">
        <v>6823</v>
      </c>
      <c r="I685" t="s">
        <v>57</v>
      </c>
      <c r="J685" t="s">
        <v>103</v>
      </c>
      <c r="K685">
        <v>90</v>
      </c>
      <c r="L685">
        <v>100</v>
      </c>
      <c r="M685">
        <v>1.1111111111111109</v>
      </c>
      <c r="N685">
        <v>1.1111111111111109</v>
      </c>
      <c r="O685" t="s">
        <v>256</v>
      </c>
      <c r="P685" t="s">
        <v>102</v>
      </c>
      <c r="Q685" t="s">
        <v>6994</v>
      </c>
      <c r="R685">
        <v>2</v>
      </c>
      <c r="S685">
        <v>2</v>
      </c>
    </row>
    <row r="686" spans="1:19" hidden="1" x14ac:dyDescent="0.3">
      <c r="A686" t="s">
        <v>1510</v>
      </c>
      <c r="B686" t="s">
        <v>1511</v>
      </c>
      <c r="C686" t="s">
        <v>6681</v>
      </c>
      <c r="D686" t="s">
        <v>299</v>
      </c>
      <c r="E686" t="s">
        <v>222</v>
      </c>
      <c r="F686" t="s">
        <v>30</v>
      </c>
      <c r="G686" s="6">
        <v>45291</v>
      </c>
      <c r="H686" t="s">
        <v>6811</v>
      </c>
      <c r="I686" t="s">
        <v>57</v>
      </c>
      <c r="J686" t="s">
        <v>47</v>
      </c>
      <c r="K686">
        <v>35</v>
      </c>
      <c r="L686">
        <v>38.235294117647101</v>
      </c>
      <c r="M686">
        <v>1.092436974789917</v>
      </c>
      <c r="N686">
        <v>1.092436974789917</v>
      </c>
      <c r="O686" t="s">
        <v>1516</v>
      </c>
      <c r="P686" t="s">
        <v>5717</v>
      </c>
      <c r="Q686" t="s">
        <v>1513</v>
      </c>
      <c r="R686">
        <v>2</v>
      </c>
      <c r="S686">
        <v>2</v>
      </c>
    </row>
    <row r="687" spans="1:19" hidden="1" x14ac:dyDescent="0.3">
      <c r="A687" t="s">
        <v>1510</v>
      </c>
      <c r="B687" t="s">
        <v>1511</v>
      </c>
      <c r="C687" t="s">
        <v>6681</v>
      </c>
      <c r="D687" t="s">
        <v>299</v>
      </c>
      <c r="E687" t="s">
        <v>222</v>
      </c>
      <c r="F687" t="s">
        <v>30</v>
      </c>
      <c r="G687" s="6">
        <v>45657</v>
      </c>
      <c r="H687" t="s">
        <v>6816</v>
      </c>
      <c r="I687" t="s">
        <v>57</v>
      </c>
      <c r="J687" t="s">
        <v>78</v>
      </c>
      <c r="K687">
        <v>35</v>
      </c>
      <c r="L687">
        <v>99.784999999999997</v>
      </c>
      <c r="M687">
        <v>1.3</v>
      </c>
      <c r="N687">
        <v>2.851</v>
      </c>
      <c r="O687" t="s">
        <v>1516</v>
      </c>
      <c r="P687" t="s">
        <v>6312</v>
      </c>
      <c r="Q687" t="s">
        <v>1515</v>
      </c>
      <c r="R687">
        <v>2</v>
      </c>
      <c r="S687">
        <v>2</v>
      </c>
    </row>
    <row r="688" spans="1:19" hidden="1" x14ac:dyDescent="0.3">
      <c r="A688" t="s">
        <v>1510</v>
      </c>
      <c r="B688" t="s">
        <v>1511</v>
      </c>
      <c r="C688" t="s">
        <v>6681</v>
      </c>
      <c r="D688" t="s">
        <v>299</v>
      </c>
      <c r="E688" t="s">
        <v>222</v>
      </c>
      <c r="F688" t="s">
        <v>30</v>
      </c>
      <c r="G688" s="6">
        <v>46022</v>
      </c>
      <c r="H688" t="s">
        <v>6823</v>
      </c>
      <c r="I688" t="s">
        <v>57</v>
      </c>
      <c r="J688" t="s">
        <v>103</v>
      </c>
      <c r="K688">
        <v>35</v>
      </c>
      <c r="L688">
        <v>100</v>
      </c>
      <c r="M688">
        <v>1.3</v>
      </c>
      <c r="N688">
        <v>2.8571428571428572</v>
      </c>
      <c r="O688" t="s">
        <v>1516</v>
      </c>
      <c r="P688" t="s">
        <v>102</v>
      </c>
      <c r="Q688" t="s">
        <v>6995</v>
      </c>
      <c r="R688">
        <v>2</v>
      </c>
      <c r="S688">
        <v>2</v>
      </c>
    </row>
    <row r="689" spans="1:19" hidden="1" x14ac:dyDescent="0.3">
      <c r="A689" t="s">
        <v>1518</v>
      </c>
      <c r="B689" t="s">
        <v>1519</v>
      </c>
      <c r="C689" t="s">
        <v>6681</v>
      </c>
      <c r="D689" t="s">
        <v>299</v>
      </c>
      <c r="E689" t="s">
        <v>222</v>
      </c>
      <c r="F689" t="s">
        <v>30</v>
      </c>
      <c r="G689" s="6">
        <v>45291</v>
      </c>
      <c r="H689" t="s">
        <v>6811</v>
      </c>
      <c r="I689" t="s">
        <v>57</v>
      </c>
      <c r="J689" t="s">
        <v>47</v>
      </c>
      <c r="K689">
        <v>21</v>
      </c>
      <c r="L689">
        <v>21</v>
      </c>
      <c r="M689">
        <v>1</v>
      </c>
      <c r="N689">
        <v>1</v>
      </c>
      <c r="O689" t="s">
        <v>1465</v>
      </c>
      <c r="P689" t="s">
        <v>1465</v>
      </c>
      <c r="Q689" t="s">
        <v>1521</v>
      </c>
      <c r="R689">
        <v>2</v>
      </c>
      <c r="S689">
        <v>2</v>
      </c>
    </row>
    <row r="690" spans="1:19" hidden="1" x14ac:dyDescent="0.3">
      <c r="A690" t="s">
        <v>1518</v>
      </c>
      <c r="B690" t="s">
        <v>1519</v>
      </c>
      <c r="C690" t="s">
        <v>6681</v>
      </c>
      <c r="D690" t="s">
        <v>299</v>
      </c>
      <c r="E690" t="s">
        <v>222</v>
      </c>
      <c r="F690" t="s">
        <v>30</v>
      </c>
      <c r="G690" s="6">
        <v>45657</v>
      </c>
      <c r="H690" t="s">
        <v>6816</v>
      </c>
      <c r="I690" t="s">
        <v>57</v>
      </c>
      <c r="J690" t="s">
        <v>78</v>
      </c>
      <c r="K690">
        <v>90</v>
      </c>
      <c r="L690">
        <v>97.724999999999994</v>
      </c>
      <c r="M690">
        <v>1.085833333333333</v>
      </c>
      <c r="N690">
        <v>1.085833333333333</v>
      </c>
      <c r="O690" t="s">
        <v>256</v>
      </c>
      <c r="P690" t="s">
        <v>6996</v>
      </c>
      <c r="Q690" t="s">
        <v>1523</v>
      </c>
      <c r="R690">
        <v>2</v>
      </c>
      <c r="S690">
        <v>2</v>
      </c>
    </row>
    <row r="691" spans="1:19" hidden="1" x14ac:dyDescent="0.3">
      <c r="A691" t="s">
        <v>1518</v>
      </c>
      <c r="B691" t="s">
        <v>1519</v>
      </c>
      <c r="C691" t="s">
        <v>6681</v>
      </c>
      <c r="D691" t="s">
        <v>299</v>
      </c>
      <c r="E691" t="s">
        <v>222</v>
      </c>
      <c r="F691" t="s">
        <v>30</v>
      </c>
      <c r="G691" s="6">
        <v>46022</v>
      </c>
      <c r="H691" t="s">
        <v>6823</v>
      </c>
      <c r="I691" t="s">
        <v>57</v>
      </c>
      <c r="J691" t="s">
        <v>103</v>
      </c>
      <c r="K691">
        <v>90</v>
      </c>
      <c r="L691">
        <v>84.62</v>
      </c>
      <c r="M691">
        <v>0.94022222222222229</v>
      </c>
      <c r="N691">
        <v>0.94022222222222229</v>
      </c>
      <c r="O691" t="s">
        <v>256</v>
      </c>
      <c r="P691" t="s">
        <v>1525</v>
      </c>
      <c r="Q691" t="s">
        <v>6997</v>
      </c>
      <c r="R691">
        <v>2</v>
      </c>
      <c r="S691">
        <v>2</v>
      </c>
    </row>
    <row r="692" spans="1:19" hidden="1" x14ac:dyDescent="0.3">
      <c r="A692" t="s">
        <v>1527</v>
      </c>
      <c r="B692" t="s">
        <v>1528</v>
      </c>
      <c r="C692" t="s">
        <v>6681</v>
      </c>
      <c r="D692" t="s">
        <v>299</v>
      </c>
      <c r="E692" t="s">
        <v>233</v>
      </c>
      <c r="F692" t="s">
        <v>30</v>
      </c>
      <c r="G692" s="6">
        <v>45291</v>
      </c>
      <c r="H692" t="s">
        <v>6811</v>
      </c>
      <c r="I692" t="s">
        <v>57</v>
      </c>
      <c r="J692" t="s">
        <v>47</v>
      </c>
      <c r="K692">
        <v>20</v>
      </c>
      <c r="L692">
        <v>50.994999999999997</v>
      </c>
      <c r="M692">
        <v>1.3</v>
      </c>
      <c r="N692">
        <v>2.54975</v>
      </c>
      <c r="O692" t="s">
        <v>1298</v>
      </c>
      <c r="P692" t="s">
        <v>5415</v>
      </c>
      <c r="Q692" t="s">
        <v>1532</v>
      </c>
      <c r="R692">
        <v>2</v>
      </c>
      <c r="S692">
        <v>2</v>
      </c>
    </row>
    <row r="693" spans="1:19" hidden="1" x14ac:dyDescent="0.3">
      <c r="A693" t="s">
        <v>1527</v>
      </c>
      <c r="B693" t="s">
        <v>1528</v>
      </c>
      <c r="C693" t="s">
        <v>6681</v>
      </c>
      <c r="D693" t="s">
        <v>299</v>
      </c>
      <c r="E693" t="s">
        <v>233</v>
      </c>
      <c r="F693" t="s">
        <v>30</v>
      </c>
      <c r="G693" s="6">
        <v>45657</v>
      </c>
      <c r="H693" t="s">
        <v>6816</v>
      </c>
      <c r="I693" t="s">
        <v>57</v>
      </c>
      <c r="J693" t="s">
        <v>78</v>
      </c>
      <c r="K693">
        <v>20</v>
      </c>
      <c r="L693">
        <v>43.87</v>
      </c>
      <c r="M693">
        <v>1.3</v>
      </c>
      <c r="N693">
        <v>2.1934999999999998</v>
      </c>
      <c r="O693" t="s">
        <v>1298</v>
      </c>
      <c r="P693" t="s">
        <v>6998</v>
      </c>
      <c r="Q693" t="s">
        <v>1536</v>
      </c>
      <c r="R693">
        <v>2</v>
      </c>
      <c r="S693">
        <v>2</v>
      </c>
    </row>
    <row r="694" spans="1:19" hidden="1" x14ac:dyDescent="0.3">
      <c r="A694" t="s">
        <v>1527</v>
      </c>
      <c r="B694" t="s">
        <v>1528</v>
      </c>
      <c r="C694" t="s">
        <v>6681</v>
      </c>
      <c r="D694" t="s">
        <v>299</v>
      </c>
      <c r="E694" t="s">
        <v>233</v>
      </c>
      <c r="F694" t="s">
        <v>30</v>
      </c>
      <c r="G694" s="6">
        <v>46022</v>
      </c>
      <c r="H694" t="s">
        <v>6823</v>
      </c>
      <c r="I694" t="s">
        <v>57</v>
      </c>
      <c r="J694" t="s">
        <v>103</v>
      </c>
      <c r="K694">
        <v>20</v>
      </c>
      <c r="L694">
        <v>22.315000000000001</v>
      </c>
      <c r="M694">
        <v>1.11575</v>
      </c>
      <c r="N694">
        <v>1.11575</v>
      </c>
      <c r="O694" t="s">
        <v>1298</v>
      </c>
      <c r="P694" t="s">
        <v>5723</v>
      </c>
      <c r="Q694" t="s">
        <v>6999</v>
      </c>
      <c r="R694">
        <v>2</v>
      </c>
      <c r="S694">
        <v>2</v>
      </c>
    </row>
    <row r="695" spans="1:19" hidden="1" x14ac:dyDescent="0.3">
      <c r="A695" t="s">
        <v>1543</v>
      </c>
      <c r="B695" t="s">
        <v>1544</v>
      </c>
      <c r="C695" t="s">
        <v>6681</v>
      </c>
      <c r="D695" t="s">
        <v>299</v>
      </c>
      <c r="E695" t="s">
        <v>233</v>
      </c>
      <c r="F695" t="s">
        <v>30</v>
      </c>
      <c r="G695" s="6">
        <v>45291</v>
      </c>
      <c r="H695" t="s">
        <v>6811</v>
      </c>
      <c r="I695" t="s">
        <v>57</v>
      </c>
      <c r="J695" t="s">
        <v>47</v>
      </c>
      <c r="K695">
        <v>4000</v>
      </c>
      <c r="L695">
        <v>9203.375</v>
      </c>
      <c r="M695">
        <v>1.3</v>
      </c>
      <c r="N695">
        <v>2.3008437499999999</v>
      </c>
      <c r="O695" t="s">
        <v>1554</v>
      </c>
      <c r="P695" t="s">
        <v>5724</v>
      </c>
      <c r="Q695" t="s">
        <v>1548</v>
      </c>
      <c r="R695">
        <v>2</v>
      </c>
      <c r="S695">
        <v>2</v>
      </c>
    </row>
    <row r="696" spans="1:19" hidden="1" x14ac:dyDescent="0.3">
      <c r="A696" t="s">
        <v>1543</v>
      </c>
      <c r="B696" t="s">
        <v>1544</v>
      </c>
      <c r="C696" t="s">
        <v>6681</v>
      </c>
      <c r="D696" t="s">
        <v>299</v>
      </c>
      <c r="E696" t="s">
        <v>233</v>
      </c>
      <c r="F696" t="s">
        <v>30</v>
      </c>
      <c r="G696" s="6">
        <v>45657</v>
      </c>
      <c r="H696" t="s">
        <v>6816</v>
      </c>
      <c r="I696" t="s">
        <v>57</v>
      </c>
      <c r="J696" t="s">
        <v>78</v>
      </c>
      <c r="K696">
        <v>4000</v>
      </c>
      <c r="L696">
        <v>2895.166666666667</v>
      </c>
      <c r="M696">
        <v>0.72379166666666661</v>
      </c>
      <c r="N696">
        <v>0.72379166666666661</v>
      </c>
      <c r="O696" t="s">
        <v>1554</v>
      </c>
      <c r="P696" t="s">
        <v>7000</v>
      </c>
      <c r="Q696" t="s">
        <v>1552</v>
      </c>
      <c r="R696">
        <v>2</v>
      </c>
      <c r="S696">
        <v>2</v>
      </c>
    </row>
    <row r="697" spans="1:19" hidden="1" x14ac:dyDescent="0.3">
      <c r="A697" t="s">
        <v>1543</v>
      </c>
      <c r="B697" t="s">
        <v>1544</v>
      </c>
      <c r="C697" t="s">
        <v>6681</v>
      </c>
      <c r="D697" t="s">
        <v>299</v>
      </c>
      <c r="E697" t="s">
        <v>233</v>
      </c>
      <c r="F697" t="s">
        <v>30</v>
      </c>
      <c r="G697" s="6">
        <v>46022</v>
      </c>
      <c r="H697" t="s">
        <v>6823</v>
      </c>
      <c r="I697" t="s">
        <v>57</v>
      </c>
      <c r="J697" t="s">
        <v>103</v>
      </c>
      <c r="K697">
        <v>4000</v>
      </c>
      <c r="L697">
        <v>10577.25</v>
      </c>
      <c r="M697">
        <v>1.3</v>
      </c>
      <c r="N697">
        <v>2.6443124999999998</v>
      </c>
      <c r="O697" t="s">
        <v>1554</v>
      </c>
      <c r="P697" t="s">
        <v>5727</v>
      </c>
      <c r="Q697" t="s">
        <v>7001</v>
      </c>
      <c r="R697">
        <v>2</v>
      </c>
      <c r="S697">
        <v>2</v>
      </c>
    </row>
    <row r="698" spans="1:19" hidden="1" x14ac:dyDescent="0.3">
      <c r="A698" t="s">
        <v>1560</v>
      </c>
      <c r="B698" t="s">
        <v>1561</v>
      </c>
      <c r="C698" t="s">
        <v>6681</v>
      </c>
      <c r="D698" t="s">
        <v>299</v>
      </c>
      <c r="E698" t="s">
        <v>98</v>
      </c>
      <c r="F698" t="s">
        <v>30</v>
      </c>
      <c r="G698" s="6">
        <v>45291</v>
      </c>
      <c r="H698" t="s">
        <v>6811</v>
      </c>
      <c r="I698" t="s">
        <v>57</v>
      </c>
      <c r="J698" t="s">
        <v>47</v>
      </c>
      <c r="M698">
        <v>0</v>
      </c>
      <c r="N698">
        <v>0</v>
      </c>
      <c r="Q698" t="s">
        <v>1562</v>
      </c>
      <c r="R698">
        <v>2</v>
      </c>
      <c r="S698">
        <v>2</v>
      </c>
    </row>
    <row r="699" spans="1:19" hidden="1" x14ac:dyDescent="0.3">
      <c r="A699" t="s">
        <v>1560</v>
      </c>
      <c r="B699" t="s">
        <v>1561</v>
      </c>
      <c r="C699" t="s">
        <v>6681</v>
      </c>
      <c r="D699" t="s">
        <v>299</v>
      </c>
      <c r="E699" t="s">
        <v>98</v>
      </c>
      <c r="F699" t="s">
        <v>30</v>
      </c>
      <c r="G699" s="6">
        <v>45657</v>
      </c>
      <c r="H699" t="s">
        <v>6816</v>
      </c>
      <c r="I699" t="s">
        <v>57</v>
      </c>
      <c r="J699" t="s">
        <v>78</v>
      </c>
      <c r="K699">
        <v>100</v>
      </c>
      <c r="L699">
        <v>92.01</v>
      </c>
      <c r="M699">
        <v>0.92010000000000003</v>
      </c>
      <c r="N699">
        <v>0.92010000000000003</v>
      </c>
      <c r="O699" t="s">
        <v>102</v>
      </c>
      <c r="P699" t="s">
        <v>5728</v>
      </c>
      <c r="Q699" t="s">
        <v>1563</v>
      </c>
      <c r="R699">
        <v>2</v>
      </c>
      <c r="S699">
        <v>2</v>
      </c>
    </row>
    <row r="700" spans="1:19" hidden="1" x14ac:dyDescent="0.3">
      <c r="A700" t="s">
        <v>1564</v>
      </c>
      <c r="B700" t="s">
        <v>1565</v>
      </c>
      <c r="C700" t="s">
        <v>6681</v>
      </c>
      <c r="D700" t="s">
        <v>299</v>
      </c>
      <c r="E700" t="s">
        <v>98</v>
      </c>
      <c r="F700" t="s">
        <v>108</v>
      </c>
      <c r="G700" s="6">
        <v>45291</v>
      </c>
      <c r="H700" t="s">
        <v>6811</v>
      </c>
      <c r="I700" t="s">
        <v>57</v>
      </c>
      <c r="J700" t="s">
        <v>47</v>
      </c>
      <c r="M700">
        <v>0</v>
      </c>
      <c r="N700">
        <v>0</v>
      </c>
      <c r="Q700" t="s">
        <v>1566</v>
      </c>
      <c r="R700">
        <v>2</v>
      </c>
      <c r="S700">
        <v>2</v>
      </c>
    </row>
    <row r="701" spans="1:19" hidden="1" x14ac:dyDescent="0.3">
      <c r="A701" t="s">
        <v>1564</v>
      </c>
      <c r="B701" t="s">
        <v>1565</v>
      </c>
      <c r="C701" t="s">
        <v>6681</v>
      </c>
      <c r="D701" t="s">
        <v>299</v>
      </c>
      <c r="E701" t="s">
        <v>98</v>
      </c>
      <c r="F701" t="s">
        <v>108</v>
      </c>
      <c r="G701" s="6">
        <v>45657</v>
      </c>
      <c r="H701" t="s">
        <v>6816</v>
      </c>
      <c r="I701" t="s">
        <v>57</v>
      </c>
      <c r="J701" t="s">
        <v>78</v>
      </c>
      <c r="K701">
        <v>0</v>
      </c>
      <c r="L701">
        <v>0</v>
      </c>
      <c r="M701">
        <v>0</v>
      </c>
      <c r="N701">
        <v>0</v>
      </c>
      <c r="O701" t="s">
        <v>122</v>
      </c>
      <c r="P701" t="s">
        <v>122</v>
      </c>
      <c r="Q701" t="s">
        <v>1567</v>
      </c>
      <c r="R701">
        <v>2</v>
      </c>
      <c r="S701">
        <v>2</v>
      </c>
    </row>
    <row r="702" spans="1:19" hidden="1" x14ac:dyDescent="0.3">
      <c r="A702" t="s">
        <v>1568</v>
      </c>
      <c r="B702" t="s">
        <v>1569</v>
      </c>
      <c r="C702" t="s">
        <v>6622</v>
      </c>
      <c r="D702" t="s">
        <v>299</v>
      </c>
      <c r="E702" t="s">
        <v>233</v>
      </c>
      <c r="F702" t="s">
        <v>30</v>
      </c>
      <c r="G702" s="6">
        <v>45291</v>
      </c>
      <c r="H702" t="s">
        <v>6811</v>
      </c>
      <c r="I702" t="s">
        <v>57</v>
      </c>
      <c r="J702" t="s">
        <v>47</v>
      </c>
      <c r="K702">
        <v>360</v>
      </c>
      <c r="L702">
        <v>231.4744444444444</v>
      </c>
      <c r="M702">
        <v>0.64298456790123448</v>
      </c>
      <c r="N702">
        <v>0.64298456790123448</v>
      </c>
      <c r="O702" t="s">
        <v>7002</v>
      </c>
      <c r="P702" t="s">
        <v>7003</v>
      </c>
      <c r="Q702" t="s">
        <v>1573</v>
      </c>
      <c r="R702">
        <v>2</v>
      </c>
      <c r="S702">
        <v>2</v>
      </c>
    </row>
    <row r="703" spans="1:19" hidden="1" x14ac:dyDescent="0.3">
      <c r="A703" t="s">
        <v>1568</v>
      </c>
      <c r="B703" t="s">
        <v>1569</v>
      </c>
      <c r="C703" t="s">
        <v>6622</v>
      </c>
      <c r="D703" t="s">
        <v>299</v>
      </c>
      <c r="E703" t="s">
        <v>233</v>
      </c>
      <c r="F703" t="s">
        <v>30</v>
      </c>
      <c r="G703" s="6">
        <v>45657</v>
      </c>
      <c r="H703" t="s">
        <v>6816</v>
      </c>
      <c r="I703" t="s">
        <v>57</v>
      </c>
      <c r="J703" t="s">
        <v>78</v>
      </c>
      <c r="K703">
        <v>270</v>
      </c>
      <c r="L703">
        <v>240.4</v>
      </c>
      <c r="M703">
        <v>0.89037037037037026</v>
      </c>
      <c r="N703">
        <v>0.89037037037037026</v>
      </c>
      <c r="O703" t="s">
        <v>5843</v>
      </c>
      <c r="P703" t="s">
        <v>7004</v>
      </c>
      <c r="Q703" t="s">
        <v>1578</v>
      </c>
      <c r="R703">
        <v>2</v>
      </c>
      <c r="S703">
        <v>2</v>
      </c>
    </row>
    <row r="704" spans="1:19" hidden="1" x14ac:dyDescent="0.3">
      <c r="A704" t="s">
        <v>1568</v>
      </c>
      <c r="B704" t="s">
        <v>1569</v>
      </c>
      <c r="C704" t="s">
        <v>6622</v>
      </c>
      <c r="D704" t="s">
        <v>299</v>
      </c>
      <c r="E704" t="s">
        <v>233</v>
      </c>
      <c r="F704" t="s">
        <v>30</v>
      </c>
      <c r="G704" s="6">
        <v>46022</v>
      </c>
      <c r="H704" t="s">
        <v>6823</v>
      </c>
      <c r="I704" t="s">
        <v>57</v>
      </c>
      <c r="J704" t="s">
        <v>103</v>
      </c>
      <c r="K704">
        <v>180</v>
      </c>
      <c r="L704">
        <v>185.6</v>
      </c>
      <c r="M704">
        <v>1.0311111111111111</v>
      </c>
      <c r="N704">
        <v>1.0311111111111111</v>
      </c>
      <c r="O704" t="s">
        <v>5729</v>
      </c>
      <c r="P704" t="s">
        <v>5734</v>
      </c>
      <c r="Q704" t="s">
        <v>7005</v>
      </c>
      <c r="R704">
        <v>2</v>
      </c>
      <c r="S704">
        <v>2</v>
      </c>
    </row>
    <row r="705" spans="1:19" hidden="1" x14ac:dyDescent="0.3">
      <c r="A705" t="s">
        <v>1585</v>
      </c>
      <c r="B705" t="s">
        <v>1586</v>
      </c>
      <c r="C705" t="s">
        <v>6681</v>
      </c>
      <c r="D705" t="s">
        <v>187</v>
      </c>
      <c r="E705" t="s">
        <v>29</v>
      </c>
      <c r="F705" t="s">
        <v>30</v>
      </c>
      <c r="G705" s="6">
        <v>45291</v>
      </c>
      <c r="H705" t="s">
        <v>6811</v>
      </c>
      <c r="I705" t="s">
        <v>57</v>
      </c>
      <c r="J705" t="s">
        <v>47</v>
      </c>
      <c r="L705">
        <v>257</v>
      </c>
      <c r="M705">
        <v>0</v>
      </c>
      <c r="N705">
        <v>0</v>
      </c>
      <c r="P705" t="s">
        <v>7006</v>
      </c>
      <c r="Q705" t="s">
        <v>1598</v>
      </c>
      <c r="R705">
        <v>2</v>
      </c>
      <c r="S705">
        <v>2</v>
      </c>
    </row>
    <row r="706" spans="1:19" hidden="1" x14ac:dyDescent="0.3">
      <c r="A706" t="s">
        <v>1585</v>
      </c>
      <c r="B706" t="s">
        <v>1586</v>
      </c>
      <c r="C706" t="s">
        <v>6681</v>
      </c>
      <c r="D706" t="s">
        <v>187</v>
      </c>
      <c r="E706" t="s">
        <v>29</v>
      </c>
      <c r="F706" t="s">
        <v>30</v>
      </c>
      <c r="G706" s="6">
        <v>45657</v>
      </c>
      <c r="H706" t="s">
        <v>6816</v>
      </c>
      <c r="I706" t="s">
        <v>57</v>
      </c>
      <c r="J706" t="s">
        <v>78</v>
      </c>
      <c r="L706">
        <v>358</v>
      </c>
      <c r="M706">
        <v>0</v>
      </c>
      <c r="N706">
        <v>0</v>
      </c>
      <c r="P706" t="s">
        <v>7007</v>
      </c>
      <c r="Q706" t="s">
        <v>1610</v>
      </c>
      <c r="R706">
        <v>2</v>
      </c>
      <c r="S706">
        <v>2</v>
      </c>
    </row>
    <row r="707" spans="1:19" hidden="1" x14ac:dyDescent="0.3">
      <c r="A707" t="s">
        <v>1585</v>
      </c>
      <c r="B707" t="s">
        <v>1611</v>
      </c>
      <c r="C707" t="s">
        <v>6681</v>
      </c>
      <c r="D707" t="s">
        <v>187</v>
      </c>
      <c r="E707" t="s">
        <v>29</v>
      </c>
      <c r="F707" t="s">
        <v>30</v>
      </c>
      <c r="G707" s="6">
        <v>46022</v>
      </c>
      <c r="H707" t="s">
        <v>6823</v>
      </c>
      <c r="I707" t="s">
        <v>57</v>
      </c>
      <c r="J707" t="s">
        <v>103</v>
      </c>
      <c r="L707">
        <v>324</v>
      </c>
      <c r="M707">
        <v>0</v>
      </c>
      <c r="N707">
        <v>0</v>
      </c>
      <c r="P707" t="s">
        <v>7008</v>
      </c>
      <c r="Q707" t="s">
        <v>5740</v>
      </c>
      <c r="R707">
        <v>2</v>
      </c>
      <c r="S707">
        <v>2</v>
      </c>
    </row>
    <row r="708" spans="1:19" hidden="1" x14ac:dyDescent="0.3">
      <c r="A708" t="s">
        <v>1631</v>
      </c>
      <c r="B708" t="s">
        <v>1632</v>
      </c>
      <c r="C708" t="s">
        <v>6681</v>
      </c>
      <c r="D708" t="s">
        <v>187</v>
      </c>
      <c r="E708" t="s">
        <v>233</v>
      </c>
      <c r="F708" t="s">
        <v>30</v>
      </c>
      <c r="G708" s="6">
        <v>45291</v>
      </c>
      <c r="H708" t="s">
        <v>6811</v>
      </c>
      <c r="I708" t="s">
        <v>57</v>
      </c>
      <c r="J708" t="s">
        <v>47</v>
      </c>
      <c r="K708">
        <v>100</v>
      </c>
      <c r="L708">
        <v>65</v>
      </c>
      <c r="M708">
        <v>0.65</v>
      </c>
      <c r="N708">
        <v>0.65</v>
      </c>
      <c r="O708" t="s">
        <v>102</v>
      </c>
      <c r="P708" t="s">
        <v>6229</v>
      </c>
      <c r="Q708" t="s">
        <v>1636</v>
      </c>
      <c r="R708">
        <v>2</v>
      </c>
      <c r="S708">
        <v>2</v>
      </c>
    </row>
    <row r="709" spans="1:19" hidden="1" x14ac:dyDescent="0.3">
      <c r="A709" t="s">
        <v>1631</v>
      </c>
      <c r="B709" t="s">
        <v>1632</v>
      </c>
      <c r="C709" t="s">
        <v>6681</v>
      </c>
      <c r="D709" t="s">
        <v>187</v>
      </c>
      <c r="E709" t="s">
        <v>233</v>
      </c>
      <c r="F709" t="s">
        <v>30</v>
      </c>
      <c r="G709" s="6">
        <v>45657</v>
      </c>
      <c r="H709" t="s">
        <v>6816</v>
      </c>
      <c r="I709" t="s">
        <v>57</v>
      </c>
      <c r="J709" t="s">
        <v>78</v>
      </c>
      <c r="K709">
        <v>100</v>
      </c>
      <c r="L709">
        <v>97.917500000000004</v>
      </c>
      <c r="M709">
        <v>0.97917500000000002</v>
      </c>
      <c r="N709">
        <v>0.97917500000000002</v>
      </c>
      <c r="O709" t="s">
        <v>102</v>
      </c>
      <c r="P709" t="s">
        <v>7009</v>
      </c>
      <c r="Q709" t="s">
        <v>1640</v>
      </c>
      <c r="R709">
        <v>2</v>
      </c>
      <c r="S709">
        <v>2</v>
      </c>
    </row>
    <row r="710" spans="1:19" hidden="1" x14ac:dyDescent="0.3">
      <c r="A710" t="s">
        <v>1631</v>
      </c>
      <c r="B710" t="s">
        <v>1632</v>
      </c>
      <c r="C710" t="s">
        <v>6681</v>
      </c>
      <c r="D710" t="s">
        <v>187</v>
      </c>
      <c r="E710" t="s">
        <v>233</v>
      </c>
      <c r="F710" t="s">
        <v>30</v>
      </c>
      <c r="G710" s="6">
        <v>46022</v>
      </c>
      <c r="H710" t="s">
        <v>6823</v>
      </c>
      <c r="I710" t="s">
        <v>57</v>
      </c>
      <c r="J710" t="s">
        <v>103</v>
      </c>
      <c r="K710">
        <v>100</v>
      </c>
      <c r="L710">
        <v>100</v>
      </c>
      <c r="M710">
        <v>1</v>
      </c>
      <c r="N710">
        <v>1</v>
      </c>
      <c r="O710" t="s">
        <v>102</v>
      </c>
      <c r="P710" t="s">
        <v>102</v>
      </c>
      <c r="Q710" t="s">
        <v>7010</v>
      </c>
      <c r="R710">
        <v>2</v>
      </c>
      <c r="S710">
        <v>2</v>
      </c>
    </row>
    <row r="711" spans="1:19" hidden="1" x14ac:dyDescent="0.3">
      <c r="A711" t="s">
        <v>1643</v>
      </c>
      <c r="B711" t="s">
        <v>1644</v>
      </c>
      <c r="C711" t="s">
        <v>6681</v>
      </c>
      <c r="D711" t="s">
        <v>187</v>
      </c>
      <c r="E711" t="s">
        <v>29</v>
      </c>
      <c r="F711" t="s">
        <v>30</v>
      </c>
      <c r="G711" s="6">
        <v>45291</v>
      </c>
      <c r="H711" t="s">
        <v>6811</v>
      </c>
      <c r="I711" t="s">
        <v>57</v>
      </c>
      <c r="J711" t="s">
        <v>47</v>
      </c>
      <c r="K711">
        <v>80</v>
      </c>
      <c r="L711">
        <v>91.855000000000004</v>
      </c>
      <c r="M711">
        <v>1.1481874999999999</v>
      </c>
      <c r="N711">
        <v>1.1481874999999999</v>
      </c>
      <c r="O711" t="s">
        <v>193</v>
      </c>
      <c r="P711" t="s">
        <v>7011</v>
      </c>
      <c r="Q711" t="s">
        <v>1656</v>
      </c>
      <c r="R711">
        <v>2</v>
      </c>
      <c r="S711">
        <v>2</v>
      </c>
    </row>
    <row r="712" spans="1:19" hidden="1" x14ac:dyDescent="0.3">
      <c r="A712" t="s">
        <v>1643</v>
      </c>
      <c r="B712" t="s">
        <v>1644</v>
      </c>
      <c r="C712" t="s">
        <v>6681</v>
      </c>
      <c r="D712" t="s">
        <v>187</v>
      </c>
      <c r="E712" t="s">
        <v>29</v>
      </c>
      <c r="F712" t="s">
        <v>30</v>
      </c>
      <c r="G712" s="6">
        <v>45657</v>
      </c>
      <c r="H712" t="s">
        <v>6816</v>
      </c>
      <c r="I712" t="s">
        <v>57</v>
      </c>
      <c r="J712" t="s">
        <v>78</v>
      </c>
      <c r="K712">
        <v>80</v>
      </c>
      <c r="L712">
        <v>88.938333333333347</v>
      </c>
      <c r="M712">
        <v>1.1117291666666671</v>
      </c>
      <c r="N712">
        <v>1.1117291666666671</v>
      </c>
      <c r="O712" t="s">
        <v>193</v>
      </c>
      <c r="P712" t="s">
        <v>7012</v>
      </c>
      <c r="Q712" t="s">
        <v>1668</v>
      </c>
      <c r="R712">
        <v>2</v>
      </c>
      <c r="S712">
        <v>2</v>
      </c>
    </row>
    <row r="713" spans="1:19" hidden="1" x14ac:dyDescent="0.3">
      <c r="A713" t="s">
        <v>1643</v>
      </c>
      <c r="B713" t="s">
        <v>1644</v>
      </c>
      <c r="C713" t="s">
        <v>6681</v>
      </c>
      <c r="D713" t="s">
        <v>187</v>
      </c>
      <c r="E713" t="s">
        <v>29</v>
      </c>
      <c r="F713" t="s">
        <v>30</v>
      </c>
      <c r="G713" s="6">
        <v>46022</v>
      </c>
      <c r="H713" t="s">
        <v>6823</v>
      </c>
      <c r="I713" t="s">
        <v>57</v>
      </c>
      <c r="J713" t="s">
        <v>103</v>
      </c>
      <c r="K713">
        <v>80</v>
      </c>
      <c r="L713">
        <v>100</v>
      </c>
      <c r="M713">
        <v>1.25</v>
      </c>
      <c r="N713">
        <v>1.25</v>
      </c>
      <c r="O713" t="s">
        <v>193</v>
      </c>
      <c r="P713" t="s">
        <v>102</v>
      </c>
      <c r="Q713" t="s">
        <v>5746</v>
      </c>
      <c r="R713">
        <v>2</v>
      </c>
      <c r="S713">
        <v>2</v>
      </c>
    </row>
    <row r="714" spans="1:19" hidden="1" x14ac:dyDescent="0.3">
      <c r="A714" t="s">
        <v>1677</v>
      </c>
      <c r="B714" t="s">
        <v>1678</v>
      </c>
      <c r="D714" t="s">
        <v>187</v>
      </c>
      <c r="E714" t="s">
        <v>29</v>
      </c>
      <c r="F714" t="s">
        <v>30</v>
      </c>
      <c r="G714" s="6">
        <v>45291</v>
      </c>
      <c r="H714" t="s">
        <v>6811</v>
      </c>
      <c r="I714" t="s">
        <v>57</v>
      </c>
      <c r="J714" t="s">
        <v>47</v>
      </c>
      <c r="K714">
        <v>95</v>
      </c>
      <c r="L714">
        <v>96.075303668899906</v>
      </c>
      <c r="M714">
        <v>1.01131898598842</v>
      </c>
      <c r="N714">
        <v>1.01131898598842</v>
      </c>
      <c r="O714" t="s">
        <v>838</v>
      </c>
      <c r="P714" t="s">
        <v>7013</v>
      </c>
      <c r="Q714" t="s">
        <v>1690</v>
      </c>
      <c r="R714">
        <v>2</v>
      </c>
      <c r="S714">
        <v>2</v>
      </c>
    </row>
    <row r="715" spans="1:19" hidden="1" x14ac:dyDescent="0.3">
      <c r="A715" t="s">
        <v>1691</v>
      </c>
      <c r="B715" t="s">
        <v>1692</v>
      </c>
      <c r="D715" t="s">
        <v>187</v>
      </c>
      <c r="E715" t="s">
        <v>29</v>
      </c>
      <c r="F715" t="s">
        <v>108</v>
      </c>
      <c r="G715" s="6">
        <v>45291</v>
      </c>
      <c r="H715" t="s">
        <v>6811</v>
      </c>
      <c r="I715" t="s">
        <v>57</v>
      </c>
      <c r="J715" t="s">
        <v>47</v>
      </c>
      <c r="K715">
        <v>0</v>
      </c>
      <c r="L715">
        <v>4.9575000000000271</v>
      </c>
      <c r="M715">
        <v>0</v>
      </c>
      <c r="N715">
        <v>0</v>
      </c>
      <c r="O715" t="s">
        <v>122</v>
      </c>
      <c r="P715" t="s">
        <v>5970</v>
      </c>
      <c r="Q715" t="s">
        <v>1704</v>
      </c>
      <c r="R715">
        <v>2</v>
      </c>
      <c r="S715">
        <v>2</v>
      </c>
    </row>
    <row r="716" spans="1:19" hidden="1" x14ac:dyDescent="0.3">
      <c r="A716" t="s">
        <v>1691</v>
      </c>
      <c r="B716" t="s">
        <v>1692</v>
      </c>
      <c r="D716" t="s">
        <v>187</v>
      </c>
      <c r="E716" t="s">
        <v>29</v>
      </c>
      <c r="F716" t="s">
        <v>108</v>
      </c>
      <c r="G716" s="6">
        <v>45657</v>
      </c>
      <c r="H716" t="s">
        <v>6816</v>
      </c>
      <c r="I716" t="s">
        <v>57</v>
      </c>
      <c r="J716" t="s">
        <v>78</v>
      </c>
      <c r="K716">
        <v>20</v>
      </c>
      <c r="L716">
        <v>14.29</v>
      </c>
      <c r="M716">
        <v>1.3</v>
      </c>
      <c r="N716">
        <v>1.3995801259622109</v>
      </c>
      <c r="O716" t="s">
        <v>1298</v>
      </c>
      <c r="P716" t="s">
        <v>5751</v>
      </c>
      <c r="Q716" t="s">
        <v>7014</v>
      </c>
      <c r="R716">
        <v>2</v>
      </c>
      <c r="S716">
        <v>2</v>
      </c>
    </row>
    <row r="717" spans="1:19" hidden="1" x14ac:dyDescent="0.3">
      <c r="A717" t="s">
        <v>1706</v>
      </c>
      <c r="B717" t="s">
        <v>1707</v>
      </c>
      <c r="C717" t="s">
        <v>6622</v>
      </c>
      <c r="D717" t="s">
        <v>299</v>
      </c>
      <c r="E717" t="s">
        <v>98</v>
      </c>
      <c r="F717" t="s">
        <v>108</v>
      </c>
      <c r="G717" s="6">
        <v>45291</v>
      </c>
      <c r="H717" t="s">
        <v>6811</v>
      </c>
      <c r="I717" t="s">
        <v>57</v>
      </c>
      <c r="J717" t="s">
        <v>47</v>
      </c>
      <c r="M717">
        <v>0</v>
      </c>
      <c r="N717">
        <v>0</v>
      </c>
      <c r="Q717" t="s">
        <v>1708</v>
      </c>
      <c r="R717">
        <v>2</v>
      </c>
      <c r="S717">
        <v>2</v>
      </c>
    </row>
    <row r="718" spans="1:19" hidden="1" x14ac:dyDescent="0.3">
      <c r="A718" t="s">
        <v>1706</v>
      </c>
      <c r="B718" t="s">
        <v>1707</v>
      </c>
      <c r="C718" t="s">
        <v>6622</v>
      </c>
      <c r="D718" t="s">
        <v>299</v>
      </c>
      <c r="E718" t="s">
        <v>98</v>
      </c>
      <c r="F718" t="s">
        <v>108</v>
      </c>
      <c r="G718" s="6">
        <v>45657</v>
      </c>
      <c r="H718" t="s">
        <v>6816</v>
      </c>
      <c r="I718" t="s">
        <v>57</v>
      </c>
      <c r="J718" t="s">
        <v>78</v>
      </c>
      <c r="K718">
        <v>25</v>
      </c>
      <c r="L718">
        <v>25</v>
      </c>
      <c r="M718">
        <v>1</v>
      </c>
      <c r="N718">
        <v>1</v>
      </c>
      <c r="O718" t="s">
        <v>5588</v>
      </c>
      <c r="P718" t="s">
        <v>5588</v>
      </c>
      <c r="Q718" t="s">
        <v>1709</v>
      </c>
      <c r="R718">
        <v>2</v>
      </c>
      <c r="S718">
        <v>2</v>
      </c>
    </row>
    <row r="719" spans="1:19" hidden="1" x14ac:dyDescent="0.3">
      <c r="A719" t="s">
        <v>1710</v>
      </c>
      <c r="B719" t="s">
        <v>1711</v>
      </c>
      <c r="C719" t="s">
        <v>6622</v>
      </c>
      <c r="D719" t="s">
        <v>730</v>
      </c>
      <c r="E719" t="s">
        <v>222</v>
      </c>
      <c r="F719" t="s">
        <v>30</v>
      </c>
      <c r="G719" s="6">
        <v>44926</v>
      </c>
      <c r="H719" t="s">
        <v>6819</v>
      </c>
      <c r="I719" t="s">
        <v>57</v>
      </c>
      <c r="J719" t="s">
        <v>90</v>
      </c>
      <c r="K719">
        <v>88.5</v>
      </c>
      <c r="L719">
        <v>86.45</v>
      </c>
      <c r="M719">
        <v>0.97683615819209046</v>
      </c>
      <c r="N719">
        <v>0.97683615819209046</v>
      </c>
      <c r="O719" t="s">
        <v>5378</v>
      </c>
      <c r="P719" t="s">
        <v>7015</v>
      </c>
      <c r="Q719" t="s">
        <v>1713</v>
      </c>
      <c r="R719">
        <v>2</v>
      </c>
      <c r="S719">
        <v>2</v>
      </c>
    </row>
    <row r="720" spans="1:19" hidden="1" x14ac:dyDescent="0.3">
      <c r="A720" t="s">
        <v>1710</v>
      </c>
      <c r="B720" t="s">
        <v>1711</v>
      </c>
      <c r="C720" t="s">
        <v>6622</v>
      </c>
      <c r="D720" t="s">
        <v>730</v>
      </c>
      <c r="E720" t="s">
        <v>222</v>
      </c>
      <c r="F720" t="s">
        <v>30</v>
      </c>
      <c r="G720" s="6">
        <v>45291</v>
      </c>
      <c r="H720" t="s">
        <v>6811</v>
      </c>
      <c r="I720" t="s">
        <v>57</v>
      </c>
      <c r="J720" t="s">
        <v>47</v>
      </c>
      <c r="K720">
        <v>87</v>
      </c>
      <c r="L720">
        <v>85.247524353375894</v>
      </c>
      <c r="M720">
        <v>0.97985660176294131</v>
      </c>
      <c r="N720">
        <v>0.97985660176294131</v>
      </c>
      <c r="O720" t="s">
        <v>1045</v>
      </c>
      <c r="P720" t="s">
        <v>7016</v>
      </c>
      <c r="Q720" t="s">
        <v>1715</v>
      </c>
      <c r="R720">
        <v>2</v>
      </c>
      <c r="S720">
        <v>2</v>
      </c>
    </row>
    <row r="721" spans="1:19" hidden="1" x14ac:dyDescent="0.3">
      <c r="A721" t="s">
        <v>1710</v>
      </c>
      <c r="B721" t="s">
        <v>1711</v>
      </c>
      <c r="C721" t="s">
        <v>6622</v>
      </c>
      <c r="D721" t="s">
        <v>730</v>
      </c>
      <c r="E721" t="s">
        <v>222</v>
      </c>
      <c r="F721" t="s">
        <v>30</v>
      </c>
      <c r="G721" s="6">
        <v>45657</v>
      </c>
      <c r="H721" t="s">
        <v>6816</v>
      </c>
      <c r="I721" t="s">
        <v>57</v>
      </c>
      <c r="J721" t="s">
        <v>78</v>
      </c>
      <c r="K721">
        <v>85</v>
      </c>
      <c r="L721">
        <v>85.16</v>
      </c>
      <c r="M721">
        <v>1.001882352941176</v>
      </c>
      <c r="N721">
        <v>1.001882352941176</v>
      </c>
      <c r="O721" t="s">
        <v>2357</v>
      </c>
      <c r="P721" t="s">
        <v>7017</v>
      </c>
      <c r="Q721" t="s">
        <v>1717</v>
      </c>
      <c r="R721">
        <v>2</v>
      </c>
      <c r="S721">
        <v>2</v>
      </c>
    </row>
    <row r="722" spans="1:19" hidden="1" x14ac:dyDescent="0.3">
      <c r="A722" t="s">
        <v>1710</v>
      </c>
      <c r="B722" t="s">
        <v>1718</v>
      </c>
      <c r="C722" t="s">
        <v>6622</v>
      </c>
      <c r="D722" t="s">
        <v>730</v>
      </c>
      <c r="E722" t="s">
        <v>222</v>
      </c>
      <c r="F722" t="s">
        <v>30</v>
      </c>
      <c r="G722" s="6">
        <v>46022</v>
      </c>
      <c r="H722" t="s">
        <v>6823</v>
      </c>
      <c r="I722" t="s">
        <v>57</v>
      </c>
      <c r="J722" t="s">
        <v>103</v>
      </c>
      <c r="K722">
        <v>100</v>
      </c>
      <c r="L722">
        <v>100.52500000000001</v>
      </c>
      <c r="M722">
        <v>1.00525</v>
      </c>
      <c r="N722">
        <v>1.00525</v>
      </c>
      <c r="O722" t="s">
        <v>102</v>
      </c>
      <c r="P722" t="s">
        <v>7018</v>
      </c>
      <c r="Q722" t="s">
        <v>1724</v>
      </c>
      <c r="R722">
        <v>2</v>
      </c>
      <c r="S722">
        <v>2</v>
      </c>
    </row>
    <row r="723" spans="1:19" hidden="1" x14ac:dyDescent="0.3">
      <c r="A723" t="s">
        <v>1725</v>
      </c>
      <c r="B723" t="s">
        <v>1726</v>
      </c>
      <c r="C723" t="s">
        <v>6622</v>
      </c>
      <c r="D723" t="s">
        <v>150</v>
      </c>
      <c r="E723" t="s">
        <v>222</v>
      </c>
      <c r="F723" t="s">
        <v>30</v>
      </c>
      <c r="G723" s="6">
        <v>45291</v>
      </c>
      <c r="H723" t="s">
        <v>6811</v>
      </c>
      <c r="I723" t="s">
        <v>57</v>
      </c>
      <c r="J723" t="s">
        <v>47</v>
      </c>
      <c r="K723">
        <v>85</v>
      </c>
      <c r="L723">
        <v>61.4</v>
      </c>
      <c r="M723">
        <v>0.72235294117647053</v>
      </c>
      <c r="N723">
        <v>0.72235294117647053</v>
      </c>
      <c r="O723" t="s">
        <v>2357</v>
      </c>
      <c r="P723" t="s">
        <v>5757</v>
      </c>
      <c r="Q723" t="s">
        <v>1727</v>
      </c>
      <c r="R723">
        <v>2</v>
      </c>
      <c r="S723">
        <v>2</v>
      </c>
    </row>
    <row r="724" spans="1:19" hidden="1" x14ac:dyDescent="0.3">
      <c r="A724" t="s">
        <v>1725</v>
      </c>
      <c r="B724" t="s">
        <v>1728</v>
      </c>
      <c r="C724" t="s">
        <v>6622</v>
      </c>
      <c r="D724" t="s">
        <v>150</v>
      </c>
      <c r="E724" t="s">
        <v>222</v>
      </c>
      <c r="F724" t="s">
        <v>30</v>
      </c>
      <c r="G724" s="6">
        <v>45657</v>
      </c>
      <c r="H724" t="s">
        <v>6816</v>
      </c>
      <c r="I724" t="s">
        <v>57</v>
      </c>
      <c r="J724" t="s">
        <v>78</v>
      </c>
      <c r="K724">
        <v>67.5</v>
      </c>
      <c r="L724">
        <v>93.45</v>
      </c>
      <c r="M724">
        <v>1.3</v>
      </c>
      <c r="N724">
        <v>1.384444444444445</v>
      </c>
      <c r="O724" t="s">
        <v>5758</v>
      </c>
      <c r="P724" t="s">
        <v>7019</v>
      </c>
      <c r="Q724" t="s">
        <v>1730</v>
      </c>
      <c r="R724">
        <v>2</v>
      </c>
      <c r="S724">
        <v>2</v>
      </c>
    </row>
    <row r="725" spans="1:19" hidden="1" x14ac:dyDescent="0.3">
      <c r="A725" t="s">
        <v>1725</v>
      </c>
      <c r="B725" t="s">
        <v>1728</v>
      </c>
      <c r="C725" t="s">
        <v>6622</v>
      </c>
      <c r="D725" t="s">
        <v>150</v>
      </c>
      <c r="E725" t="s">
        <v>222</v>
      </c>
      <c r="F725" t="s">
        <v>30</v>
      </c>
      <c r="G725" s="6">
        <v>46022</v>
      </c>
      <c r="H725" t="s">
        <v>6823</v>
      </c>
      <c r="I725" t="s">
        <v>57</v>
      </c>
      <c r="J725" t="s">
        <v>103</v>
      </c>
      <c r="K725">
        <v>90</v>
      </c>
      <c r="L725">
        <v>91.4</v>
      </c>
      <c r="M725">
        <v>1.015555555555556</v>
      </c>
      <c r="N725">
        <v>1.015555555555556</v>
      </c>
      <c r="O725" t="s">
        <v>256</v>
      </c>
      <c r="P725" t="s">
        <v>7020</v>
      </c>
      <c r="Q725" t="s">
        <v>1734</v>
      </c>
      <c r="R725">
        <v>2</v>
      </c>
      <c r="S725">
        <v>2</v>
      </c>
    </row>
    <row r="726" spans="1:19" hidden="1" x14ac:dyDescent="0.3">
      <c r="A726" t="s">
        <v>1735</v>
      </c>
      <c r="B726" t="s">
        <v>1736</v>
      </c>
      <c r="D726" t="s">
        <v>150</v>
      </c>
      <c r="E726" t="s">
        <v>29</v>
      </c>
      <c r="F726" t="s">
        <v>30</v>
      </c>
      <c r="G726" s="6">
        <v>45291</v>
      </c>
      <c r="H726" t="s">
        <v>6811</v>
      </c>
      <c r="I726" t="s">
        <v>57</v>
      </c>
      <c r="J726" t="s">
        <v>47</v>
      </c>
      <c r="L726">
        <v>69.8152547415268</v>
      </c>
      <c r="M726">
        <v>0</v>
      </c>
      <c r="N726">
        <v>0</v>
      </c>
      <c r="P726" t="s">
        <v>7021</v>
      </c>
      <c r="Q726" t="s">
        <v>1748</v>
      </c>
      <c r="R726">
        <v>2</v>
      </c>
      <c r="S726">
        <v>2</v>
      </c>
    </row>
    <row r="727" spans="1:19" hidden="1" x14ac:dyDescent="0.3">
      <c r="A727" t="s">
        <v>1749</v>
      </c>
      <c r="B727" t="s">
        <v>1750</v>
      </c>
      <c r="D727" t="s">
        <v>28</v>
      </c>
      <c r="E727" t="s">
        <v>222</v>
      </c>
      <c r="F727" t="s">
        <v>30</v>
      </c>
      <c r="G727" s="6">
        <v>45291</v>
      </c>
      <c r="H727" t="s">
        <v>6811</v>
      </c>
      <c r="I727" t="s">
        <v>57</v>
      </c>
      <c r="J727" t="s">
        <v>47</v>
      </c>
      <c r="K727">
        <v>22</v>
      </c>
      <c r="L727">
        <v>22</v>
      </c>
      <c r="M727">
        <v>1</v>
      </c>
      <c r="N727">
        <v>1</v>
      </c>
      <c r="O727" t="s">
        <v>1460</v>
      </c>
      <c r="P727" t="s">
        <v>1460</v>
      </c>
      <c r="Q727" t="s">
        <v>1752</v>
      </c>
      <c r="R727">
        <v>2</v>
      </c>
      <c r="S727">
        <v>2</v>
      </c>
    </row>
    <row r="728" spans="1:19" hidden="1" x14ac:dyDescent="0.3">
      <c r="A728" t="s">
        <v>1753</v>
      </c>
      <c r="B728" t="s">
        <v>1754</v>
      </c>
      <c r="D728" t="s">
        <v>28</v>
      </c>
      <c r="E728" t="s">
        <v>222</v>
      </c>
      <c r="F728" t="s">
        <v>30</v>
      </c>
      <c r="G728" s="6">
        <v>45291</v>
      </c>
      <c r="H728" t="s">
        <v>6811</v>
      </c>
      <c r="I728" t="s">
        <v>57</v>
      </c>
      <c r="J728" t="s">
        <v>47</v>
      </c>
      <c r="K728">
        <v>49</v>
      </c>
      <c r="L728">
        <v>49</v>
      </c>
      <c r="M728">
        <v>1</v>
      </c>
      <c r="N728">
        <v>1</v>
      </c>
      <c r="O728" t="s">
        <v>6294</v>
      </c>
      <c r="P728" t="s">
        <v>6294</v>
      </c>
      <c r="Q728" t="s">
        <v>1756</v>
      </c>
      <c r="R728">
        <v>2</v>
      </c>
      <c r="S728">
        <v>2</v>
      </c>
    </row>
    <row r="729" spans="1:19" hidden="1" x14ac:dyDescent="0.3">
      <c r="A729" t="s">
        <v>1757</v>
      </c>
      <c r="B729" t="s">
        <v>1758</v>
      </c>
      <c r="C729" t="s">
        <v>6622</v>
      </c>
      <c r="D729" t="s">
        <v>138</v>
      </c>
      <c r="E729" t="s">
        <v>233</v>
      </c>
      <c r="F729" t="s">
        <v>30</v>
      </c>
      <c r="G729" s="6">
        <v>45291</v>
      </c>
      <c r="H729" t="s">
        <v>6811</v>
      </c>
      <c r="I729" t="s">
        <v>57</v>
      </c>
      <c r="J729" t="s">
        <v>47</v>
      </c>
      <c r="K729">
        <v>100</v>
      </c>
      <c r="L729">
        <v>97.95918367346934</v>
      </c>
      <c r="M729">
        <v>0.97959183673469341</v>
      </c>
      <c r="N729">
        <v>0.97959183673469341</v>
      </c>
      <c r="O729" t="s">
        <v>102</v>
      </c>
      <c r="P729" t="s">
        <v>7022</v>
      </c>
      <c r="Q729" t="s">
        <v>1761</v>
      </c>
      <c r="R729">
        <v>2</v>
      </c>
      <c r="S729">
        <v>2</v>
      </c>
    </row>
    <row r="730" spans="1:19" hidden="1" x14ac:dyDescent="0.3">
      <c r="A730" t="s">
        <v>1757</v>
      </c>
      <c r="B730" t="s">
        <v>1758</v>
      </c>
      <c r="C730" t="s">
        <v>6622</v>
      </c>
      <c r="D730" t="s">
        <v>138</v>
      </c>
      <c r="E730" t="s">
        <v>233</v>
      </c>
      <c r="F730" t="s">
        <v>30</v>
      </c>
      <c r="G730" s="6">
        <v>45657</v>
      </c>
      <c r="H730" t="s">
        <v>6816</v>
      </c>
      <c r="I730" t="s">
        <v>57</v>
      </c>
      <c r="J730" t="s">
        <v>78</v>
      </c>
      <c r="K730">
        <v>100</v>
      </c>
      <c r="L730">
        <v>94.970000000000013</v>
      </c>
      <c r="M730">
        <v>0.9497000000000001</v>
      </c>
      <c r="N730">
        <v>0.9497000000000001</v>
      </c>
      <c r="O730" t="s">
        <v>102</v>
      </c>
      <c r="P730" t="s">
        <v>7023</v>
      </c>
      <c r="Q730" t="s">
        <v>1764</v>
      </c>
      <c r="R730">
        <v>2</v>
      </c>
      <c r="S730">
        <v>2</v>
      </c>
    </row>
    <row r="731" spans="1:19" hidden="1" x14ac:dyDescent="0.3">
      <c r="A731" t="s">
        <v>1757</v>
      </c>
      <c r="B731" t="s">
        <v>1765</v>
      </c>
      <c r="C731" t="s">
        <v>6622</v>
      </c>
      <c r="D731" t="s">
        <v>138</v>
      </c>
      <c r="E731" t="s">
        <v>233</v>
      </c>
      <c r="F731" t="s">
        <v>30</v>
      </c>
      <c r="G731" s="6">
        <v>46022</v>
      </c>
      <c r="H731" t="s">
        <v>6823</v>
      </c>
      <c r="I731" t="s">
        <v>57</v>
      </c>
      <c r="J731" t="s">
        <v>103</v>
      </c>
      <c r="K731">
        <v>100</v>
      </c>
      <c r="L731">
        <v>91.174999999999997</v>
      </c>
      <c r="M731">
        <v>0.91174999999999995</v>
      </c>
      <c r="N731">
        <v>0.91174999999999995</v>
      </c>
      <c r="O731" t="s">
        <v>102</v>
      </c>
      <c r="P731" t="s">
        <v>7024</v>
      </c>
      <c r="Q731" t="s">
        <v>1770</v>
      </c>
      <c r="R731">
        <v>2</v>
      </c>
      <c r="S731">
        <v>2</v>
      </c>
    </row>
    <row r="732" spans="1:19" hidden="1" x14ac:dyDescent="0.3">
      <c r="A732" t="s">
        <v>1771</v>
      </c>
      <c r="B732" t="s">
        <v>1772</v>
      </c>
      <c r="C732" t="s">
        <v>6622</v>
      </c>
      <c r="D732" t="s">
        <v>730</v>
      </c>
      <c r="E732" t="s">
        <v>222</v>
      </c>
      <c r="F732" t="s">
        <v>30</v>
      </c>
      <c r="G732" s="6">
        <v>45291</v>
      </c>
      <c r="H732" t="s">
        <v>6811</v>
      </c>
      <c r="I732" t="s">
        <v>57</v>
      </c>
      <c r="J732" t="s">
        <v>47</v>
      </c>
      <c r="K732">
        <v>68</v>
      </c>
      <c r="L732">
        <v>70.965000000000003</v>
      </c>
      <c r="M732">
        <v>1.0436029411764709</v>
      </c>
      <c r="N732">
        <v>1.0436029411764709</v>
      </c>
      <c r="O732" t="s">
        <v>5361</v>
      </c>
      <c r="P732" t="s">
        <v>7025</v>
      </c>
      <c r="Q732" t="s">
        <v>1774</v>
      </c>
      <c r="R732">
        <v>2</v>
      </c>
      <c r="S732">
        <v>2</v>
      </c>
    </row>
    <row r="733" spans="1:19" hidden="1" x14ac:dyDescent="0.3">
      <c r="A733" t="s">
        <v>1771</v>
      </c>
      <c r="B733" t="s">
        <v>1772</v>
      </c>
      <c r="C733" t="s">
        <v>6622</v>
      </c>
      <c r="D733" t="s">
        <v>730</v>
      </c>
      <c r="E733" t="s">
        <v>222</v>
      </c>
      <c r="F733" t="s">
        <v>30</v>
      </c>
      <c r="G733" s="6">
        <v>45657</v>
      </c>
      <c r="H733" t="s">
        <v>6816</v>
      </c>
      <c r="I733" t="s">
        <v>57</v>
      </c>
      <c r="J733" t="s">
        <v>78</v>
      </c>
      <c r="K733">
        <v>70.7</v>
      </c>
      <c r="L733">
        <v>72.045000000000002</v>
      </c>
      <c r="M733">
        <v>1.019024045261669</v>
      </c>
      <c r="N733">
        <v>1.019024045261669</v>
      </c>
      <c r="O733" t="s">
        <v>7026</v>
      </c>
      <c r="P733" t="s">
        <v>7027</v>
      </c>
      <c r="Q733" t="s">
        <v>1776</v>
      </c>
      <c r="R733">
        <v>2</v>
      </c>
      <c r="S733">
        <v>2</v>
      </c>
    </row>
    <row r="734" spans="1:19" hidden="1" x14ac:dyDescent="0.3">
      <c r="A734" t="s">
        <v>1771</v>
      </c>
      <c r="B734" t="s">
        <v>1777</v>
      </c>
      <c r="C734" t="s">
        <v>6622</v>
      </c>
      <c r="D734" t="s">
        <v>730</v>
      </c>
      <c r="E734" t="s">
        <v>222</v>
      </c>
      <c r="F734" t="s">
        <v>30</v>
      </c>
      <c r="G734" s="6">
        <v>46022</v>
      </c>
      <c r="H734" t="s">
        <v>6823</v>
      </c>
      <c r="I734" t="s">
        <v>57</v>
      </c>
      <c r="J734" t="s">
        <v>103</v>
      </c>
      <c r="K734">
        <v>100</v>
      </c>
      <c r="L734">
        <v>99.724999999999994</v>
      </c>
      <c r="M734">
        <v>0.99724999999999997</v>
      </c>
      <c r="N734">
        <v>0.99724999999999997</v>
      </c>
      <c r="O734" t="s">
        <v>102</v>
      </c>
      <c r="P734" t="s">
        <v>7028</v>
      </c>
      <c r="Q734" t="s">
        <v>1783</v>
      </c>
      <c r="R734">
        <v>2</v>
      </c>
      <c r="S734">
        <v>2</v>
      </c>
    </row>
    <row r="735" spans="1:19" hidden="1" x14ac:dyDescent="0.3">
      <c r="A735" t="s">
        <v>1784</v>
      </c>
      <c r="B735" t="s">
        <v>1785</v>
      </c>
      <c r="D735" t="s">
        <v>283</v>
      </c>
      <c r="E735" t="s">
        <v>284</v>
      </c>
      <c r="F735" t="s">
        <v>108</v>
      </c>
      <c r="G735" s="6">
        <v>45291</v>
      </c>
      <c r="H735" t="s">
        <v>6811</v>
      </c>
      <c r="I735" t="s">
        <v>57</v>
      </c>
      <c r="J735" t="s">
        <v>47</v>
      </c>
      <c r="K735">
        <v>8</v>
      </c>
      <c r="L735">
        <v>5.56</v>
      </c>
      <c r="M735">
        <v>1.3</v>
      </c>
      <c r="N735">
        <v>1.4388489208633091</v>
      </c>
      <c r="O735" t="s">
        <v>2145</v>
      </c>
      <c r="P735" t="s">
        <v>7029</v>
      </c>
      <c r="Q735" t="s">
        <v>1791</v>
      </c>
      <c r="R735">
        <v>2</v>
      </c>
      <c r="S735">
        <v>2</v>
      </c>
    </row>
    <row r="736" spans="1:19" hidden="1" x14ac:dyDescent="0.3">
      <c r="A736" t="s">
        <v>1792</v>
      </c>
      <c r="B736" t="s">
        <v>1793</v>
      </c>
      <c r="C736" t="s">
        <v>6622</v>
      </c>
      <c r="D736" t="s">
        <v>129</v>
      </c>
      <c r="E736" t="s">
        <v>233</v>
      </c>
      <c r="F736" t="s">
        <v>30</v>
      </c>
      <c r="G736" s="6">
        <v>45291</v>
      </c>
      <c r="H736" t="s">
        <v>6811</v>
      </c>
      <c r="I736" t="s">
        <v>57</v>
      </c>
      <c r="J736" t="s">
        <v>47</v>
      </c>
      <c r="K736">
        <v>55</v>
      </c>
      <c r="L736">
        <v>54.666666666666657</v>
      </c>
      <c r="M736">
        <v>0.9939393939393939</v>
      </c>
      <c r="N736">
        <v>0.9939393939393939</v>
      </c>
      <c r="O736" t="s">
        <v>5775</v>
      </c>
      <c r="P736" t="s">
        <v>6271</v>
      </c>
      <c r="Q736" t="s">
        <v>1797</v>
      </c>
      <c r="R736">
        <v>2</v>
      </c>
      <c r="S736">
        <v>2</v>
      </c>
    </row>
    <row r="737" spans="1:19" hidden="1" x14ac:dyDescent="0.3">
      <c r="A737" t="s">
        <v>1792</v>
      </c>
      <c r="B737" t="s">
        <v>1793</v>
      </c>
      <c r="C737" t="s">
        <v>6622</v>
      </c>
      <c r="D737" t="s">
        <v>129</v>
      </c>
      <c r="E737" t="s">
        <v>233</v>
      </c>
      <c r="F737" t="s">
        <v>30</v>
      </c>
      <c r="G737" s="6">
        <v>45657</v>
      </c>
      <c r="H737" t="s">
        <v>6816</v>
      </c>
      <c r="I737" t="s">
        <v>57</v>
      </c>
      <c r="J737" t="s">
        <v>78</v>
      </c>
      <c r="K737">
        <v>73</v>
      </c>
      <c r="L737">
        <v>73</v>
      </c>
      <c r="M737">
        <v>1</v>
      </c>
      <c r="N737">
        <v>1</v>
      </c>
      <c r="O737" t="s">
        <v>5583</v>
      </c>
      <c r="P737" t="s">
        <v>5583</v>
      </c>
      <c r="Q737" t="s">
        <v>1801</v>
      </c>
      <c r="R737">
        <v>2</v>
      </c>
      <c r="S737">
        <v>2</v>
      </c>
    </row>
    <row r="738" spans="1:19" hidden="1" x14ac:dyDescent="0.3">
      <c r="A738" t="s">
        <v>1792</v>
      </c>
      <c r="B738" t="s">
        <v>1793</v>
      </c>
      <c r="C738" t="s">
        <v>6622</v>
      </c>
      <c r="D738" t="s">
        <v>129</v>
      </c>
      <c r="E738" t="s">
        <v>233</v>
      </c>
      <c r="F738" t="s">
        <v>30</v>
      </c>
      <c r="G738" s="6">
        <v>46022</v>
      </c>
      <c r="H738" t="s">
        <v>6823</v>
      </c>
      <c r="I738" t="s">
        <v>57</v>
      </c>
      <c r="J738" t="s">
        <v>103</v>
      </c>
      <c r="K738">
        <v>100</v>
      </c>
      <c r="L738">
        <v>100</v>
      </c>
      <c r="M738">
        <v>1</v>
      </c>
      <c r="N738">
        <v>1</v>
      </c>
      <c r="O738" t="s">
        <v>102</v>
      </c>
      <c r="P738" t="s">
        <v>102</v>
      </c>
      <c r="Q738" t="s">
        <v>7030</v>
      </c>
      <c r="R738">
        <v>2</v>
      </c>
      <c r="S738">
        <v>2</v>
      </c>
    </row>
    <row r="739" spans="1:19" hidden="1" x14ac:dyDescent="0.3">
      <c r="A739" t="s">
        <v>1804</v>
      </c>
      <c r="B739" t="s">
        <v>1805</v>
      </c>
      <c r="C739" t="s">
        <v>6622</v>
      </c>
      <c r="D739" t="s">
        <v>842</v>
      </c>
      <c r="E739" t="s">
        <v>98</v>
      </c>
      <c r="F739" t="s">
        <v>30</v>
      </c>
      <c r="G739" s="6">
        <v>45291</v>
      </c>
      <c r="H739" t="s">
        <v>6811</v>
      </c>
      <c r="I739" t="s">
        <v>57</v>
      </c>
      <c r="J739" t="s">
        <v>47</v>
      </c>
      <c r="K739">
        <v>16</v>
      </c>
      <c r="L739">
        <v>18</v>
      </c>
      <c r="M739">
        <v>1.125</v>
      </c>
      <c r="N739">
        <v>1.125</v>
      </c>
      <c r="O739" t="s">
        <v>809</v>
      </c>
      <c r="P739" t="s">
        <v>1475</v>
      </c>
      <c r="Q739" t="s">
        <v>1806</v>
      </c>
      <c r="R739">
        <v>2</v>
      </c>
      <c r="S739">
        <v>2</v>
      </c>
    </row>
    <row r="740" spans="1:19" hidden="1" x14ac:dyDescent="0.3">
      <c r="A740" t="s">
        <v>1804</v>
      </c>
      <c r="B740" t="s">
        <v>1805</v>
      </c>
      <c r="C740" t="s">
        <v>6622</v>
      </c>
      <c r="D740" t="s">
        <v>842</v>
      </c>
      <c r="E740" t="s">
        <v>98</v>
      </c>
      <c r="F740" t="s">
        <v>30</v>
      </c>
      <c r="G740" s="6">
        <v>45657</v>
      </c>
      <c r="H740" t="s">
        <v>6816</v>
      </c>
      <c r="I740" t="s">
        <v>57</v>
      </c>
      <c r="J740" t="s">
        <v>78</v>
      </c>
      <c r="K740">
        <v>100</v>
      </c>
      <c r="L740">
        <v>-5</v>
      </c>
      <c r="M740">
        <v>0</v>
      </c>
      <c r="N740">
        <v>-0.05</v>
      </c>
      <c r="O740" t="s">
        <v>102</v>
      </c>
      <c r="P740" t="s">
        <v>5776</v>
      </c>
      <c r="Q740" t="s">
        <v>1807</v>
      </c>
      <c r="R740">
        <v>2</v>
      </c>
      <c r="S740">
        <v>2</v>
      </c>
    </row>
    <row r="741" spans="1:19" hidden="1" x14ac:dyDescent="0.3">
      <c r="A741" t="s">
        <v>1804</v>
      </c>
      <c r="B741" t="s">
        <v>1808</v>
      </c>
      <c r="C741" t="s">
        <v>6622</v>
      </c>
      <c r="D741" t="s">
        <v>842</v>
      </c>
      <c r="E741" t="s">
        <v>98</v>
      </c>
      <c r="F741" t="s">
        <v>30</v>
      </c>
      <c r="G741" s="6">
        <v>46022</v>
      </c>
      <c r="H741" t="s">
        <v>6823</v>
      </c>
      <c r="I741" t="s">
        <v>57</v>
      </c>
      <c r="J741" t="s">
        <v>103</v>
      </c>
      <c r="K741">
        <v>100</v>
      </c>
      <c r="M741">
        <v>0</v>
      </c>
      <c r="N741">
        <v>0</v>
      </c>
      <c r="O741" t="s">
        <v>102</v>
      </c>
      <c r="Q741" t="s">
        <v>1809</v>
      </c>
      <c r="R741">
        <v>2</v>
      </c>
      <c r="S741">
        <v>2</v>
      </c>
    </row>
    <row r="742" spans="1:19" hidden="1" x14ac:dyDescent="0.3">
      <c r="A742" t="s">
        <v>1810</v>
      </c>
      <c r="B742" t="s">
        <v>1811</v>
      </c>
      <c r="C742" t="s">
        <v>6622</v>
      </c>
      <c r="D742" t="s">
        <v>842</v>
      </c>
      <c r="E742" t="s">
        <v>222</v>
      </c>
      <c r="F742" t="s">
        <v>30</v>
      </c>
      <c r="G742" s="6">
        <v>45291</v>
      </c>
      <c r="H742" t="s">
        <v>6811</v>
      </c>
      <c r="I742" t="s">
        <v>57</v>
      </c>
      <c r="J742" t="s">
        <v>47</v>
      </c>
      <c r="K742">
        <v>17</v>
      </c>
      <c r="L742">
        <v>21</v>
      </c>
      <c r="M742">
        <v>1.2352941176470591</v>
      </c>
      <c r="N742">
        <v>1.2352941176470591</v>
      </c>
      <c r="O742" t="s">
        <v>1478</v>
      </c>
      <c r="P742" t="s">
        <v>1465</v>
      </c>
      <c r="Q742" t="s">
        <v>1813</v>
      </c>
      <c r="R742">
        <v>2</v>
      </c>
      <c r="S742">
        <v>2</v>
      </c>
    </row>
    <row r="743" spans="1:19" hidden="1" x14ac:dyDescent="0.3">
      <c r="A743" t="s">
        <v>1810</v>
      </c>
      <c r="B743" t="s">
        <v>1811</v>
      </c>
      <c r="C743" t="s">
        <v>6622</v>
      </c>
      <c r="D743" t="s">
        <v>842</v>
      </c>
      <c r="E743" t="s">
        <v>222</v>
      </c>
      <c r="F743" t="s">
        <v>30</v>
      </c>
      <c r="G743" s="6">
        <v>45657</v>
      </c>
      <c r="H743" t="s">
        <v>6816</v>
      </c>
      <c r="I743" t="s">
        <v>57</v>
      </c>
      <c r="J743" t="s">
        <v>78</v>
      </c>
      <c r="K743">
        <v>17</v>
      </c>
      <c r="L743">
        <v>23</v>
      </c>
      <c r="M743">
        <v>1.3</v>
      </c>
      <c r="N743">
        <v>1.3529411764705881</v>
      </c>
      <c r="O743" t="s">
        <v>1478</v>
      </c>
      <c r="P743" t="s">
        <v>7031</v>
      </c>
      <c r="Q743" t="s">
        <v>1815</v>
      </c>
      <c r="R743">
        <v>2</v>
      </c>
      <c r="S743">
        <v>2</v>
      </c>
    </row>
    <row r="744" spans="1:19" hidden="1" x14ac:dyDescent="0.3">
      <c r="A744" t="s">
        <v>1810</v>
      </c>
      <c r="B744" t="s">
        <v>1811</v>
      </c>
      <c r="C744" t="s">
        <v>6622</v>
      </c>
      <c r="D744" t="s">
        <v>842</v>
      </c>
      <c r="E744" t="s">
        <v>222</v>
      </c>
      <c r="F744" t="s">
        <v>30</v>
      </c>
      <c r="G744" s="6">
        <v>46022</v>
      </c>
      <c r="H744" t="s">
        <v>6823</v>
      </c>
      <c r="I744" t="s">
        <v>57</v>
      </c>
      <c r="J744" t="s">
        <v>103</v>
      </c>
      <c r="K744">
        <v>100</v>
      </c>
      <c r="L744">
        <v>100</v>
      </c>
      <c r="M744">
        <v>1</v>
      </c>
      <c r="N744">
        <v>1</v>
      </c>
      <c r="O744" t="s">
        <v>102</v>
      </c>
      <c r="P744" t="s">
        <v>102</v>
      </c>
      <c r="Q744" t="s">
        <v>7032</v>
      </c>
      <c r="R744">
        <v>2</v>
      </c>
      <c r="S744">
        <v>2</v>
      </c>
    </row>
    <row r="745" spans="1:19" hidden="1" x14ac:dyDescent="0.3">
      <c r="A745" t="s">
        <v>1817</v>
      </c>
      <c r="B745" t="s">
        <v>1818</v>
      </c>
      <c r="D745" t="s">
        <v>842</v>
      </c>
      <c r="E745" t="s">
        <v>222</v>
      </c>
      <c r="F745" t="s">
        <v>30</v>
      </c>
      <c r="G745" s="6">
        <v>45291</v>
      </c>
      <c r="H745" t="s">
        <v>6811</v>
      </c>
      <c r="I745" t="s">
        <v>57</v>
      </c>
      <c r="J745" t="s">
        <v>47</v>
      </c>
      <c r="K745">
        <v>21</v>
      </c>
      <c r="L745">
        <v>19.5</v>
      </c>
      <c r="M745">
        <v>0.9285714285714286</v>
      </c>
      <c r="N745">
        <v>0.9285714285714286</v>
      </c>
      <c r="O745" t="s">
        <v>1465</v>
      </c>
      <c r="P745" t="s">
        <v>7033</v>
      </c>
      <c r="Q745" t="s">
        <v>1820</v>
      </c>
      <c r="R745">
        <v>2</v>
      </c>
      <c r="S745">
        <v>2</v>
      </c>
    </row>
    <row r="746" spans="1:19" hidden="1" x14ac:dyDescent="0.3">
      <c r="A746" t="s">
        <v>1821</v>
      </c>
      <c r="B746" t="s">
        <v>1822</v>
      </c>
      <c r="D746" t="s">
        <v>138</v>
      </c>
      <c r="E746" t="s">
        <v>233</v>
      </c>
      <c r="F746" t="s">
        <v>30</v>
      </c>
      <c r="G746" s="6">
        <v>45291</v>
      </c>
      <c r="H746" t="s">
        <v>6811</v>
      </c>
      <c r="I746" t="s">
        <v>57</v>
      </c>
      <c r="J746" t="s">
        <v>47</v>
      </c>
      <c r="K746">
        <v>100</v>
      </c>
      <c r="L746">
        <v>64.638157894736992</v>
      </c>
      <c r="M746">
        <v>0.64638157894736992</v>
      </c>
      <c r="N746">
        <v>0.64638157894736992</v>
      </c>
      <c r="O746" t="s">
        <v>102</v>
      </c>
      <c r="P746" t="s">
        <v>7034</v>
      </c>
      <c r="Q746" t="s">
        <v>1825</v>
      </c>
      <c r="R746">
        <v>2</v>
      </c>
      <c r="S746">
        <v>2</v>
      </c>
    </row>
    <row r="747" spans="1:19" hidden="1" x14ac:dyDescent="0.3">
      <c r="A747" t="s">
        <v>1821</v>
      </c>
      <c r="B747" t="s">
        <v>1822</v>
      </c>
      <c r="D747" t="s">
        <v>138</v>
      </c>
      <c r="E747" t="s">
        <v>233</v>
      </c>
      <c r="F747" t="s">
        <v>30</v>
      </c>
      <c r="G747" s="6">
        <v>45657</v>
      </c>
      <c r="H747" t="s">
        <v>6816</v>
      </c>
      <c r="I747" t="s">
        <v>57</v>
      </c>
      <c r="J747" t="s">
        <v>78</v>
      </c>
      <c r="K747">
        <v>90</v>
      </c>
      <c r="L747">
        <v>65.483333333333334</v>
      </c>
      <c r="M747">
        <v>0.72759259259259257</v>
      </c>
      <c r="N747">
        <v>0.72759259259259257</v>
      </c>
      <c r="O747" t="s">
        <v>256</v>
      </c>
      <c r="P747" t="s">
        <v>7035</v>
      </c>
      <c r="Q747" t="s">
        <v>1829</v>
      </c>
      <c r="R747">
        <v>2</v>
      </c>
      <c r="S747">
        <v>2</v>
      </c>
    </row>
    <row r="748" spans="1:19" hidden="1" x14ac:dyDescent="0.3">
      <c r="A748" t="s">
        <v>1830</v>
      </c>
      <c r="B748" t="s">
        <v>1831</v>
      </c>
      <c r="C748" t="s">
        <v>6622</v>
      </c>
      <c r="D748" t="s">
        <v>1832</v>
      </c>
      <c r="E748" t="s">
        <v>222</v>
      </c>
      <c r="F748" t="s">
        <v>108</v>
      </c>
      <c r="G748" s="6">
        <v>45291</v>
      </c>
      <c r="H748" t="s">
        <v>6811</v>
      </c>
      <c r="I748" t="s">
        <v>57</v>
      </c>
      <c r="J748" t="s">
        <v>47</v>
      </c>
      <c r="K748">
        <v>3</v>
      </c>
      <c r="L748">
        <v>2.85</v>
      </c>
      <c r="M748">
        <v>1.052631578947369</v>
      </c>
      <c r="N748">
        <v>1.052631578947369</v>
      </c>
      <c r="O748" t="s">
        <v>1849</v>
      </c>
      <c r="P748" t="s">
        <v>6428</v>
      </c>
      <c r="Q748" t="s">
        <v>1834</v>
      </c>
      <c r="R748">
        <v>2</v>
      </c>
      <c r="S748">
        <v>2</v>
      </c>
    </row>
    <row r="749" spans="1:19" hidden="1" x14ac:dyDescent="0.3">
      <c r="A749" t="s">
        <v>1830</v>
      </c>
      <c r="B749" t="s">
        <v>1831</v>
      </c>
      <c r="C749" t="s">
        <v>6622</v>
      </c>
      <c r="D749" t="s">
        <v>1832</v>
      </c>
      <c r="E749" t="s">
        <v>222</v>
      </c>
      <c r="F749" t="s">
        <v>108</v>
      </c>
      <c r="G749" s="6">
        <v>45657</v>
      </c>
      <c r="H749" t="s">
        <v>6816</v>
      </c>
      <c r="I749" t="s">
        <v>57</v>
      </c>
      <c r="J749" t="s">
        <v>78</v>
      </c>
      <c r="K749">
        <v>2.8</v>
      </c>
      <c r="L749">
        <v>2.3050000000000002</v>
      </c>
      <c r="M749">
        <v>1.214750542299349</v>
      </c>
      <c r="N749">
        <v>1.214750542299349</v>
      </c>
      <c r="O749" t="s">
        <v>5781</v>
      </c>
      <c r="P749" t="s">
        <v>1850</v>
      </c>
      <c r="Q749" t="s">
        <v>1836</v>
      </c>
      <c r="R749">
        <v>2</v>
      </c>
      <c r="S749">
        <v>2</v>
      </c>
    </row>
    <row r="750" spans="1:19" hidden="1" x14ac:dyDescent="0.3">
      <c r="A750" t="s">
        <v>1830</v>
      </c>
      <c r="B750" t="s">
        <v>1831</v>
      </c>
      <c r="C750" t="s">
        <v>6622</v>
      </c>
      <c r="D750" t="s">
        <v>1832</v>
      </c>
      <c r="E750" t="s">
        <v>222</v>
      </c>
      <c r="F750" t="s">
        <v>108</v>
      </c>
      <c r="G750" s="6">
        <v>46022</v>
      </c>
      <c r="H750" t="s">
        <v>6823</v>
      </c>
      <c r="I750" t="s">
        <v>57</v>
      </c>
      <c r="J750" t="s">
        <v>103</v>
      </c>
      <c r="K750">
        <v>2.15</v>
      </c>
      <c r="L750">
        <v>1.9</v>
      </c>
      <c r="M750">
        <v>1.131578947368421</v>
      </c>
      <c r="N750">
        <v>1.131578947368421</v>
      </c>
      <c r="O750" t="s">
        <v>7036</v>
      </c>
      <c r="P750" t="s">
        <v>542</v>
      </c>
      <c r="Q750" t="s">
        <v>1841</v>
      </c>
      <c r="R750">
        <v>2</v>
      </c>
      <c r="S750">
        <v>2</v>
      </c>
    </row>
    <row r="751" spans="1:19" hidden="1" x14ac:dyDescent="0.3">
      <c r="A751" t="s">
        <v>1842</v>
      </c>
      <c r="B751" t="s">
        <v>1843</v>
      </c>
      <c r="C751" t="s">
        <v>6622</v>
      </c>
      <c r="D751" t="s">
        <v>717</v>
      </c>
      <c r="E751" t="s">
        <v>222</v>
      </c>
      <c r="F751" t="s">
        <v>108</v>
      </c>
      <c r="G751" s="6">
        <v>45291</v>
      </c>
      <c r="H751" t="s">
        <v>6811</v>
      </c>
      <c r="I751" t="s">
        <v>57</v>
      </c>
      <c r="J751" t="s">
        <v>47</v>
      </c>
      <c r="K751">
        <v>3</v>
      </c>
      <c r="L751">
        <v>1.98</v>
      </c>
      <c r="M751">
        <v>1.3</v>
      </c>
      <c r="N751">
        <v>1.5151515151515149</v>
      </c>
      <c r="O751" t="s">
        <v>1849</v>
      </c>
      <c r="P751" t="s">
        <v>5784</v>
      </c>
      <c r="Q751" t="s">
        <v>1845</v>
      </c>
      <c r="R751">
        <v>2</v>
      </c>
      <c r="S751">
        <v>2</v>
      </c>
    </row>
    <row r="752" spans="1:19" hidden="1" x14ac:dyDescent="0.3">
      <c r="A752" t="s">
        <v>1842</v>
      </c>
      <c r="B752" t="s">
        <v>1843</v>
      </c>
      <c r="C752" t="s">
        <v>6622</v>
      </c>
      <c r="D752" t="s">
        <v>717</v>
      </c>
      <c r="E752" t="s">
        <v>222</v>
      </c>
      <c r="F752" t="s">
        <v>108</v>
      </c>
      <c r="G752" s="6">
        <v>45657</v>
      </c>
      <c r="H752" t="s">
        <v>6816</v>
      </c>
      <c r="I752" t="s">
        <v>57</v>
      </c>
      <c r="J752" t="s">
        <v>78</v>
      </c>
      <c r="K752">
        <v>3</v>
      </c>
      <c r="L752">
        <v>2.2000000000000002</v>
      </c>
      <c r="M752">
        <v>1.3</v>
      </c>
      <c r="N752">
        <v>1.363636363636364</v>
      </c>
      <c r="O752" t="s">
        <v>1849</v>
      </c>
      <c r="P752" t="s">
        <v>1838</v>
      </c>
      <c r="Q752" t="s">
        <v>1847</v>
      </c>
      <c r="R752">
        <v>2</v>
      </c>
      <c r="S752">
        <v>2</v>
      </c>
    </row>
    <row r="753" spans="1:19" hidden="1" x14ac:dyDescent="0.3">
      <c r="A753" t="s">
        <v>1842</v>
      </c>
      <c r="B753" t="s">
        <v>1843</v>
      </c>
      <c r="C753" t="s">
        <v>6622</v>
      </c>
      <c r="D753" t="s">
        <v>717</v>
      </c>
      <c r="E753" t="s">
        <v>222</v>
      </c>
      <c r="F753" t="s">
        <v>108</v>
      </c>
      <c r="G753" s="6">
        <v>46022</v>
      </c>
      <c r="H753" t="s">
        <v>6823</v>
      </c>
      <c r="I753" t="s">
        <v>57</v>
      </c>
      <c r="J753" t="s">
        <v>103</v>
      </c>
      <c r="K753">
        <v>3</v>
      </c>
      <c r="L753">
        <v>2.2000000000000002</v>
      </c>
      <c r="M753">
        <v>1.3</v>
      </c>
      <c r="N753">
        <v>1.363636363636364</v>
      </c>
      <c r="O753" t="s">
        <v>1849</v>
      </c>
      <c r="P753" t="s">
        <v>1838</v>
      </c>
      <c r="Q753" t="s">
        <v>1853</v>
      </c>
      <c r="R753">
        <v>2</v>
      </c>
      <c r="S753">
        <v>2</v>
      </c>
    </row>
    <row r="754" spans="1:19" hidden="1" x14ac:dyDescent="0.3">
      <c r="A754" t="s">
        <v>1854</v>
      </c>
      <c r="B754" t="s">
        <v>1855</v>
      </c>
      <c r="C754" t="s">
        <v>6622</v>
      </c>
      <c r="D754" t="s">
        <v>184</v>
      </c>
      <c r="E754" t="s">
        <v>222</v>
      </c>
      <c r="F754" t="s">
        <v>108</v>
      </c>
      <c r="G754" s="6">
        <v>45291</v>
      </c>
      <c r="H754" t="s">
        <v>6811</v>
      </c>
      <c r="I754" t="s">
        <v>57</v>
      </c>
      <c r="J754" t="s">
        <v>47</v>
      </c>
      <c r="K754">
        <v>20</v>
      </c>
      <c r="L754">
        <v>5.5</v>
      </c>
      <c r="M754">
        <v>1.3</v>
      </c>
      <c r="N754">
        <v>3.6363636363636358</v>
      </c>
      <c r="O754" t="s">
        <v>1298</v>
      </c>
      <c r="P754" t="s">
        <v>5856</v>
      </c>
      <c r="Q754" t="s">
        <v>1857</v>
      </c>
      <c r="R754">
        <v>2</v>
      </c>
      <c r="S754">
        <v>2</v>
      </c>
    </row>
    <row r="755" spans="1:19" hidden="1" x14ac:dyDescent="0.3">
      <c r="A755" t="s">
        <v>1854</v>
      </c>
      <c r="B755" t="s">
        <v>1858</v>
      </c>
      <c r="C755" t="s">
        <v>6622</v>
      </c>
      <c r="D755" t="s">
        <v>184</v>
      </c>
      <c r="E755" t="s">
        <v>222</v>
      </c>
      <c r="F755" t="s">
        <v>108</v>
      </c>
      <c r="G755" s="6">
        <v>45657</v>
      </c>
      <c r="H755" t="s">
        <v>6816</v>
      </c>
      <c r="I755" t="s">
        <v>57</v>
      </c>
      <c r="J755" t="s">
        <v>78</v>
      </c>
      <c r="K755">
        <v>20</v>
      </c>
      <c r="L755">
        <v>0</v>
      </c>
      <c r="M755">
        <v>0</v>
      </c>
      <c r="N755">
        <v>0</v>
      </c>
      <c r="O755" t="s">
        <v>1298</v>
      </c>
      <c r="P755" t="s">
        <v>122</v>
      </c>
      <c r="Q755" t="s">
        <v>1860</v>
      </c>
      <c r="R755">
        <v>2</v>
      </c>
      <c r="S755">
        <v>2</v>
      </c>
    </row>
    <row r="756" spans="1:19" hidden="1" x14ac:dyDescent="0.3">
      <c r="A756" t="s">
        <v>1854</v>
      </c>
      <c r="B756" t="s">
        <v>1858</v>
      </c>
      <c r="C756" t="s">
        <v>6622</v>
      </c>
      <c r="D756" t="s">
        <v>184</v>
      </c>
      <c r="E756" t="s">
        <v>222</v>
      </c>
      <c r="F756" t="s">
        <v>108</v>
      </c>
      <c r="G756" s="6">
        <v>46022</v>
      </c>
      <c r="H756" t="s">
        <v>6823</v>
      </c>
      <c r="I756" t="s">
        <v>57</v>
      </c>
      <c r="J756" t="s">
        <v>103</v>
      </c>
      <c r="K756">
        <v>10</v>
      </c>
      <c r="L756">
        <v>0</v>
      </c>
      <c r="M756">
        <v>0</v>
      </c>
      <c r="N756">
        <v>0</v>
      </c>
      <c r="O756" t="s">
        <v>1861</v>
      </c>
      <c r="P756" t="s">
        <v>122</v>
      </c>
      <c r="Q756" t="s">
        <v>1863</v>
      </c>
      <c r="R756">
        <v>2</v>
      </c>
      <c r="S756">
        <v>2</v>
      </c>
    </row>
    <row r="757" spans="1:19" hidden="1" x14ac:dyDescent="0.3">
      <c r="A757" t="s">
        <v>1864</v>
      </c>
      <c r="B757" t="s">
        <v>1865</v>
      </c>
      <c r="C757" t="s">
        <v>6622</v>
      </c>
      <c r="D757" t="s">
        <v>184</v>
      </c>
      <c r="E757" t="s">
        <v>233</v>
      </c>
      <c r="F757" t="s">
        <v>30</v>
      </c>
      <c r="G757" s="6">
        <v>45291</v>
      </c>
      <c r="H757" t="s">
        <v>6811</v>
      </c>
      <c r="I757" t="s">
        <v>57</v>
      </c>
      <c r="J757" t="s">
        <v>47</v>
      </c>
      <c r="K757">
        <v>100</v>
      </c>
      <c r="L757">
        <v>100</v>
      </c>
      <c r="M757">
        <v>1</v>
      </c>
      <c r="N757">
        <v>1</v>
      </c>
      <c r="O757" t="s">
        <v>102</v>
      </c>
      <c r="P757" t="s">
        <v>102</v>
      </c>
      <c r="Q757" t="s">
        <v>1869</v>
      </c>
      <c r="R757">
        <v>2</v>
      </c>
      <c r="S757">
        <v>2</v>
      </c>
    </row>
    <row r="758" spans="1:19" hidden="1" x14ac:dyDescent="0.3">
      <c r="A758" t="s">
        <v>1864</v>
      </c>
      <c r="B758" t="s">
        <v>1865</v>
      </c>
      <c r="C758" t="s">
        <v>6622</v>
      </c>
      <c r="D758" t="s">
        <v>184</v>
      </c>
      <c r="E758" t="s">
        <v>233</v>
      </c>
      <c r="F758" t="s">
        <v>30</v>
      </c>
      <c r="G758" s="6">
        <v>45657</v>
      </c>
      <c r="H758" t="s">
        <v>6816</v>
      </c>
      <c r="I758" t="s">
        <v>57</v>
      </c>
      <c r="J758" t="s">
        <v>78</v>
      </c>
      <c r="K758">
        <v>100</v>
      </c>
      <c r="L758">
        <v>100</v>
      </c>
      <c r="M758">
        <v>1</v>
      </c>
      <c r="N758">
        <v>1</v>
      </c>
      <c r="O758" t="s">
        <v>102</v>
      </c>
      <c r="P758" t="s">
        <v>102</v>
      </c>
      <c r="Q758" t="s">
        <v>1873</v>
      </c>
      <c r="R758">
        <v>2</v>
      </c>
      <c r="S758">
        <v>2</v>
      </c>
    </row>
    <row r="759" spans="1:19" hidden="1" x14ac:dyDescent="0.3">
      <c r="A759" t="s">
        <v>1864</v>
      </c>
      <c r="B759" t="s">
        <v>1865</v>
      </c>
      <c r="C759" t="s">
        <v>6622</v>
      </c>
      <c r="D759" t="s">
        <v>184</v>
      </c>
      <c r="E759" t="s">
        <v>233</v>
      </c>
      <c r="F759" t="s">
        <v>30</v>
      </c>
      <c r="G759" s="6">
        <v>46022</v>
      </c>
      <c r="H759" t="s">
        <v>6823</v>
      </c>
      <c r="I759" t="s">
        <v>57</v>
      </c>
      <c r="J759" t="s">
        <v>103</v>
      </c>
      <c r="K759">
        <v>100</v>
      </c>
      <c r="L759">
        <v>100</v>
      </c>
      <c r="M759">
        <v>1</v>
      </c>
      <c r="N759">
        <v>1</v>
      </c>
      <c r="O759" t="s">
        <v>102</v>
      </c>
      <c r="P759" t="s">
        <v>102</v>
      </c>
      <c r="Q759" t="s">
        <v>1876</v>
      </c>
      <c r="R759">
        <v>2</v>
      </c>
      <c r="S759">
        <v>2</v>
      </c>
    </row>
    <row r="760" spans="1:19" hidden="1" x14ac:dyDescent="0.3">
      <c r="A760" t="s">
        <v>1877</v>
      </c>
      <c r="B760" t="s">
        <v>1878</v>
      </c>
      <c r="D760" t="s">
        <v>184</v>
      </c>
      <c r="E760" t="s">
        <v>222</v>
      </c>
      <c r="F760" t="s">
        <v>30</v>
      </c>
      <c r="G760" s="6">
        <v>45291</v>
      </c>
      <c r="H760" t="s">
        <v>6811</v>
      </c>
      <c r="I760" t="s">
        <v>57</v>
      </c>
      <c r="J760" t="s">
        <v>47</v>
      </c>
      <c r="K760">
        <v>100</v>
      </c>
      <c r="L760">
        <v>100</v>
      </c>
      <c r="M760">
        <v>1</v>
      </c>
      <c r="N760">
        <v>1</v>
      </c>
      <c r="O760" t="s">
        <v>102</v>
      </c>
      <c r="P760" t="s">
        <v>102</v>
      </c>
      <c r="Q760" t="s">
        <v>1880</v>
      </c>
      <c r="R760">
        <v>2</v>
      </c>
      <c r="S760">
        <v>2</v>
      </c>
    </row>
    <row r="761" spans="1:19" hidden="1" x14ac:dyDescent="0.3">
      <c r="A761" t="s">
        <v>1877</v>
      </c>
      <c r="B761" t="s">
        <v>1881</v>
      </c>
      <c r="D761" t="s">
        <v>184</v>
      </c>
      <c r="E761" t="s">
        <v>222</v>
      </c>
      <c r="F761" t="s">
        <v>30</v>
      </c>
      <c r="G761" s="6">
        <v>45657</v>
      </c>
      <c r="H761" t="s">
        <v>6816</v>
      </c>
      <c r="I761" t="s">
        <v>57</v>
      </c>
      <c r="J761" t="s">
        <v>78</v>
      </c>
      <c r="K761">
        <v>100</v>
      </c>
      <c r="L761">
        <v>100</v>
      </c>
      <c r="M761">
        <v>1</v>
      </c>
      <c r="N761">
        <v>1</v>
      </c>
      <c r="O761" t="s">
        <v>102</v>
      </c>
      <c r="P761" t="s">
        <v>102</v>
      </c>
      <c r="Q761" t="s">
        <v>1883</v>
      </c>
      <c r="R761">
        <v>2</v>
      </c>
      <c r="S761">
        <v>2</v>
      </c>
    </row>
    <row r="762" spans="1:19" hidden="1" x14ac:dyDescent="0.3">
      <c r="A762" t="s">
        <v>1884</v>
      </c>
      <c r="B762" t="s">
        <v>1885</v>
      </c>
      <c r="C762" t="s">
        <v>6622</v>
      </c>
      <c r="D762" t="s">
        <v>184</v>
      </c>
      <c r="E762" t="s">
        <v>222</v>
      </c>
      <c r="F762" t="s">
        <v>30</v>
      </c>
      <c r="G762" s="6">
        <v>45291</v>
      </c>
      <c r="H762" t="s">
        <v>6811</v>
      </c>
      <c r="I762" t="s">
        <v>57</v>
      </c>
      <c r="J762" t="s">
        <v>47</v>
      </c>
      <c r="K762">
        <v>100</v>
      </c>
      <c r="L762">
        <v>88.564999999999998</v>
      </c>
      <c r="M762">
        <v>0.88564999999999994</v>
      </c>
      <c r="N762">
        <v>0.88564999999999994</v>
      </c>
      <c r="O762" t="s">
        <v>102</v>
      </c>
      <c r="P762" t="s">
        <v>7037</v>
      </c>
      <c r="Q762" t="s">
        <v>1887</v>
      </c>
      <c r="R762">
        <v>2</v>
      </c>
      <c r="S762">
        <v>2</v>
      </c>
    </row>
    <row r="763" spans="1:19" hidden="1" x14ac:dyDescent="0.3">
      <c r="A763" t="s">
        <v>1884</v>
      </c>
      <c r="B763" t="s">
        <v>1888</v>
      </c>
      <c r="C763" t="s">
        <v>6622</v>
      </c>
      <c r="D763" t="s">
        <v>184</v>
      </c>
      <c r="E763" t="s">
        <v>222</v>
      </c>
      <c r="F763" t="s">
        <v>30</v>
      </c>
      <c r="G763" s="6">
        <v>45657</v>
      </c>
      <c r="H763" t="s">
        <v>6816</v>
      </c>
      <c r="I763" t="s">
        <v>57</v>
      </c>
      <c r="J763" t="s">
        <v>78</v>
      </c>
      <c r="K763">
        <v>95</v>
      </c>
      <c r="L763">
        <v>100</v>
      </c>
      <c r="M763">
        <v>1.0526315789473679</v>
      </c>
      <c r="N763">
        <v>1.0526315789473679</v>
      </c>
      <c r="O763" t="s">
        <v>838</v>
      </c>
      <c r="P763" t="s">
        <v>102</v>
      </c>
      <c r="Q763" t="s">
        <v>1890</v>
      </c>
      <c r="R763">
        <v>2</v>
      </c>
      <c r="S763">
        <v>2</v>
      </c>
    </row>
    <row r="764" spans="1:19" hidden="1" x14ac:dyDescent="0.3">
      <c r="A764" t="s">
        <v>1884</v>
      </c>
      <c r="B764" t="s">
        <v>1888</v>
      </c>
      <c r="C764" t="s">
        <v>6622</v>
      </c>
      <c r="D764" t="s">
        <v>184</v>
      </c>
      <c r="E764" t="s">
        <v>233</v>
      </c>
      <c r="F764" t="s">
        <v>30</v>
      </c>
      <c r="G764" s="6">
        <v>46022</v>
      </c>
      <c r="H764" t="s">
        <v>6823</v>
      </c>
      <c r="I764" t="s">
        <v>57</v>
      </c>
      <c r="J764" t="s">
        <v>103</v>
      </c>
      <c r="K764">
        <v>95</v>
      </c>
      <c r="L764">
        <v>100</v>
      </c>
      <c r="M764">
        <v>1.0526315789473679</v>
      </c>
      <c r="N764">
        <v>1.0526315789473679</v>
      </c>
      <c r="O764" t="s">
        <v>838</v>
      </c>
      <c r="P764" t="s">
        <v>102</v>
      </c>
      <c r="Q764" t="s">
        <v>7038</v>
      </c>
      <c r="R764">
        <v>2</v>
      </c>
      <c r="S764">
        <v>2</v>
      </c>
    </row>
    <row r="765" spans="1:19" hidden="1" x14ac:dyDescent="0.3">
      <c r="A765" t="s">
        <v>1893</v>
      </c>
      <c r="B765" t="s">
        <v>1894</v>
      </c>
      <c r="C765" t="s">
        <v>6622</v>
      </c>
      <c r="D765" t="s">
        <v>184</v>
      </c>
      <c r="E765" t="s">
        <v>222</v>
      </c>
      <c r="F765" t="s">
        <v>30</v>
      </c>
      <c r="G765" s="6">
        <v>45291</v>
      </c>
      <c r="H765" t="s">
        <v>6811</v>
      </c>
      <c r="I765" t="s">
        <v>57</v>
      </c>
      <c r="J765" t="s">
        <v>47</v>
      </c>
      <c r="K765">
        <v>95</v>
      </c>
      <c r="L765">
        <v>93.49</v>
      </c>
      <c r="M765">
        <v>0.98410526315789471</v>
      </c>
      <c r="N765">
        <v>0.98410526315789471</v>
      </c>
      <c r="O765" t="s">
        <v>838</v>
      </c>
      <c r="P765" t="s">
        <v>7039</v>
      </c>
      <c r="Q765" t="s">
        <v>1896</v>
      </c>
      <c r="R765">
        <v>2</v>
      </c>
      <c r="S765">
        <v>2</v>
      </c>
    </row>
    <row r="766" spans="1:19" hidden="1" x14ac:dyDescent="0.3">
      <c r="A766" t="s">
        <v>1893</v>
      </c>
      <c r="B766" t="s">
        <v>1894</v>
      </c>
      <c r="C766" t="s">
        <v>6622</v>
      </c>
      <c r="D766" t="s">
        <v>184</v>
      </c>
      <c r="E766" t="s">
        <v>222</v>
      </c>
      <c r="F766" t="s">
        <v>30</v>
      </c>
      <c r="G766" s="6">
        <v>45657</v>
      </c>
      <c r="H766" t="s">
        <v>6816</v>
      </c>
      <c r="I766" t="s">
        <v>57</v>
      </c>
      <c r="J766" t="s">
        <v>78</v>
      </c>
      <c r="K766">
        <v>95</v>
      </c>
      <c r="L766">
        <v>88.474999999999994</v>
      </c>
      <c r="M766">
        <v>0.9313157894736841</v>
      </c>
      <c r="N766">
        <v>0.9313157894736841</v>
      </c>
      <c r="O766" t="s">
        <v>838</v>
      </c>
      <c r="P766" t="s">
        <v>7040</v>
      </c>
      <c r="Q766" t="s">
        <v>1898</v>
      </c>
      <c r="R766">
        <v>2</v>
      </c>
      <c r="S766">
        <v>2</v>
      </c>
    </row>
    <row r="767" spans="1:19" hidden="1" x14ac:dyDescent="0.3">
      <c r="A767" t="s">
        <v>1893</v>
      </c>
      <c r="B767" t="s">
        <v>1894</v>
      </c>
      <c r="C767" t="s">
        <v>6622</v>
      </c>
      <c r="D767" t="s">
        <v>184</v>
      </c>
      <c r="E767" t="s">
        <v>233</v>
      </c>
      <c r="F767" t="s">
        <v>30</v>
      </c>
      <c r="G767" s="6">
        <v>46022</v>
      </c>
      <c r="H767" t="s">
        <v>6823</v>
      </c>
      <c r="I767" t="s">
        <v>57</v>
      </c>
      <c r="J767" t="s">
        <v>103</v>
      </c>
      <c r="K767">
        <v>95</v>
      </c>
      <c r="L767">
        <v>53.15</v>
      </c>
      <c r="M767">
        <v>0.55947368421052635</v>
      </c>
      <c r="N767">
        <v>0.55947368421052635</v>
      </c>
      <c r="O767" t="s">
        <v>838</v>
      </c>
      <c r="P767" t="s">
        <v>1901</v>
      </c>
      <c r="Q767" t="s">
        <v>7041</v>
      </c>
      <c r="R767">
        <v>2</v>
      </c>
      <c r="S767">
        <v>2</v>
      </c>
    </row>
    <row r="768" spans="1:19" hidden="1" x14ac:dyDescent="0.3">
      <c r="A768" t="s">
        <v>1903</v>
      </c>
      <c r="B768" t="s">
        <v>1904</v>
      </c>
      <c r="D768" t="s">
        <v>150</v>
      </c>
      <c r="E768" t="s">
        <v>98</v>
      </c>
      <c r="F768" t="s">
        <v>30</v>
      </c>
      <c r="G768" s="6">
        <v>45291</v>
      </c>
      <c r="H768" t="s">
        <v>6811</v>
      </c>
      <c r="I768" t="s">
        <v>57</v>
      </c>
      <c r="J768" t="s">
        <v>47</v>
      </c>
      <c r="M768">
        <v>0</v>
      </c>
      <c r="N768">
        <v>0</v>
      </c>
      <c r="Q768" t="s">
        <v>1905</v>
      </c>
      <c r="R768">
        <v>2</v>
      </c>
      <c r="S768">
        <v>2</v>
      </c>
    </row>
    <row r="769" spans="1:19" hidden="1" x14ac:dyDescent="0.3">
      <c r="A769" t="s">
        <v>1906</v>
      </c>
      <c r="B769" t="s">
        <v>1907</v>
      </c>
      <c r="C769" t="s">
        <v>6622</v>
      </c>
      <c r="D769" t="s">
        <v>133</v>
      </c>
      <c r="E769" t="s">
        <v>222</v>
      </c>
      <c r="F769" t="s">
        <v>30</v>
      </c>
      <c r="G769" s="6">
        <v>45291</v>
      </c>
      <c r="H769" t="s">
        <v>6811</v>
      </c>
      <c r="I769" t="s">
        <v>57</v>
      </c>
      <c r="J769" t="s">
        <v>47</v>
      </c>
      <c r="K769">
        <v>0</v>
      </c>
      <c r="L769">
        <v>1524</v>
      </c>
      <c r="M769">
        <v>0</v>
      </c>
      <c r="N769">
        <v>0</v>
      </c>
      <c r="O769" t="s">
        <v>122</v>
      </c>
      <c r="P769" t="s">
        <v>5791</v>
      </c>
      <c r="Q769" t="s">
        <v>1909</v>
      </c>
      <c r="R769">
        <v>2</v>
      </c>
      <c r="S769">
        <v>2</v>
      </c>
    </row>
    <row r="770" spans="1:19" hidden="1" x14ac:dyDescent="0.3">
      <c r="A770" t="s">
        <v>1906</v>
      </c>
      <c r="B770" t="s">
        <v>1907</v>
      </c>
      <c r="C770" t="s">
        <v>6622</v>
      </c>
      <c r="D770" t="s">
        <v>133</v>
      </c>
      <c r="E770" t="s">
        <v>222</v>
      </c>
      <c r="F770" t="s">
        <v>30</v>
      </c>
      <c r="G770" s="6">
        <v>45657</v>
      </c>
      <c r="H770" t="s">
        <v>6816</v>
      </c>
      <c r="I770" t="s">
        <v>57</v>
      </c>
      <c r="J770" t="s">
        <v>78</v>
      </c>
      <c r="K770">
        <v>0</v>
      </c>
      <c r="L770">
        <v>1005</v>
      </c>
      <c r="M770">
        <v>0</v>
      </c>
      <c r="N770">
        <v>0</v>
      </c>
      <c r="O770" t="s">
        <v>122</v>
      </c>
      <c r="P770" t="s">
        <v>5793</v>
      </c>
      <c r="Q770" t="s">
        <v>1911</v>
      </c>
      <c r="R770">
        <v>2</v>
      </c>
      <c r="S770">
        <v>2</v>
      </c>
    </row>
    <row r="771" spans="1:19" hidden="1" x14ac:dyDescent="0.3">
      <c r="A771" t="s">
        <v>1906</v>
      </c>
      <c r="B771" t="s">
        <v>1912</v>
      </c>
      <c r="C771" t="s">
        <v>6622</v>
      </c>
      <c r="D771" t="s">
        <v>133</v>
      </c>
      <c r="E771" t="s">
        <v>222</v>
      </c>
      <c r="F771" t="s">
        <v>30</v>
      </c>
      <c r="G771" s="6">
        <v>46022</v>
      </c>
      <c r="H771" t="s">
        <v>6823</v>
      </c>
      <c r="I771" t="s">
        <v>57</v>
      </c>
      <c r="J771" t="s">
        <v>103</v>
      </c>
      <c r="L771">
        <v>877</v>
      </c>
      <c r="M771">
        <v>0</v>
      </c>
      <c r="N771">
        <v>0</v>
      </c>
      <c r="P771" t="s">
        <v>1917</v>
      </c>
      <c r="Q771" t="s">
        <v>1918</v>
      </c>
      <c r="R771">
        <v>2</v>
      </c>
      <c r="S771">
        <v>2</v>
      </c>
    </row>
    <row r="772" spans="1:19" hidden="1" x14ac:dyDescent="0.3">
      <c r="A772" t="s">
        <v>1919</v>
      </c>
      <c r="B772" t="s">
        <v>1920</v>
      </c>
      <c r="C772" t="s">
        <v>6681</v>
      </c>
      <c r="D772" t="s">
        <v>133</v>
      </c>
      <c r="E772" t="s">
        <v>222</v>
      </c>
      <c r="F772" t="s">
        <v>30</v>
      </c>
      <c r="G772" s="6">
        <v>45291</v>
      </c>
      <c r="H772" t="s">
        <v>6811</v>
      </c>
      <c r="I772" t="s">
        <v>57</v>
      </c>
      <c r="J772" t="s">
        <v>47</v>
      </c>
      <c r="K772">
        <v>0</v>
      </c>
      <c r="L772">
        <v>1.28</v>
      </c>
      <c r="M772">
        <v>0</v>
      </c>
      <c r="N772">
        <v>0</v>
      </c>
      <c r="O772" t="s">
        <v>122</v>
      </c>
      <c r="P772" t="s">
        <v>5795</v>
      </c>
      <c r="Q772" t="s">
        <v>1922</v>
      </c>
      <c r="R772">
        <v>2</v>
      </c>
      <c r="S772">
        <v>2</v>
      </c>
    </row>
    <row r="773" spans="1:19" hidden="1" x14ac:dyDescent="0.3">
      <c r="A773" t="s">
        <v>1919</v>
      </c>
      <c r="B773" t="s">
        <v>1920</v>
      </c>
      <c r="C773" t="s">
        <v>6681</v>
      </c>
      <c r="D773" t="s">
        <v>133</v>
      </c>
      <c r="E773" t="s">
        <v>222</v>
      </c>
      <c r="F773" t="s">
        <v>30</v>
      </c>
      <c r="G773" s="6">
        <v>45657</v>
      </c>
      <c r="H773" t="s">
        <v>6816</v>
      </c>
      <c r="I773" t="s">
        <v>57</v>
      </c>
      <c r="J773" t="s">
        <v>78</v>
      </c>
      <c r="M773">
        <v>0</v>
      </c>
      <c r="N773">
        <v>0</v>
      </c>
      <c r="Q773" t="s">
        <v>1924</v>
      </c>
      <c r="R773">
        <v>2</v>
      </c>
      <c r="S773">
        <v>2</v>
      </c>
    </row>
    <row r="774" spans="1:19" hidden="1" x14ac:dyDescent="0.3">
      <c r="A774" t="s">
        <v>1919</v>
      </c>
      <c r="B774" t="s">
        <v>1925</v>
      </c>
      <c r="C774" t="s">
        <v>6681</v>
      </c>
      <c r="D774" t="s">
        <v>133</v>
      </c>
      <c r="E774" t="s">
        <v>222</v>
      </c>
      <c r="F774" t="s">
        <v>30</v>
      </c>
      <c r="G774" s="6">
        <v>46022</v>
      </c>
      <c r="H774" t="s">
        <v>6823</v>
      </c>
      <c r="I774" t="s">
        <v>57</v>
      </c>
      <c r="J774" t="s">
        <v>103</v>
      </c>
      <c r="L774">
        <v>1.65</v>
      </c>
      <c r="M774">
        <v>0</v>
      </c>
      <c r="N774">
        <v>0</v>
      </c>
      <c r="P774" t="s">
        <v>1930</v>
      </c>
      <c r="Q774" t="s">
        <v>1931</v>
      </c>
      <c r="R774">
        <v>2</v>
      </c>
      <c r="S774">
        <v>2</v>
      </c>
    </row>
    <row r="775" spans="1:19" hidden="1" x14ac:dyDescent="0.3">
      <c r="A775" t="s">
        <v>1932</v>
      </c>
      <c r="B775" t="s">
        <v>1933</v>
      </c>
      <c r="C775" t="s">
        <v>6681</v>
      </c>
      <c r="D775" t="s">
        <v>133</v>
      </c>
      <c r="E775" t="s">
        <v>222</v>
      </c>
      <c r="F775" t="s">
        <v>30</v>
      </c>
      <c r="G775" s="6">
        <v>45291</v>
      </c>
      <c r="H775" t="s">
        <v>6811</v>
      </c>
      <c r="I775" t="s">
        <v>57</v>
      </c>
      <c r="J775" t="s">
        <v>47</v>
      </c>
      <c r="K775">
        <v>0</v>
      </c>
      <c r="L775">
        <v>3.83</v>
      </c>
      <c r="M775">
        <v>0</v>
      </c>
      <c r="N775">
        <v>0</v>
      </c>
      <c r="O775" t="s">
        <v>122</v>
      </c>
      <c r="P775" t="s">
        <v>5797</v>
      </c>
      <c r="Q775" t="s">
        <v>1935</v>
      </c>
      <c r="R775">
        <v>2</v>
      </c>
      <c r="S775">
        <v>2</v>
      </c>
    </row>
    <row r="776" spans="1:19" hidden="1" x14ac:dyDescent="0.3">
      <c r="A776" t="s">
        <v>1932</v>
      </c>
      <c r="B776" t="s">
        <v>1933</v>
      </c>
      <c r="C776" t="s">
        <v>6681</v>
      </c>
      <c r="D776" t="s">
        <v>133</v>
      </c>
      <c r="E776" t="s">
        <v>222</v>
      </c>
      <c r="F776" t="s">
        <v>30</v>
      </c>
      <c r="G776" s="6">
        <v>45657</v>
      </c>
      <c r="H776" t="s">
        <v>6816</v>
      </c>
      <c r="I776" t="s">
        <v>57</v>
      </c>
      <c r="J776" t="s">
        <v>78</v>
      </c>
      <c r="K776">
        <v>0</v>
      </c>
      <c r="L776">
        <v>4.57</v>
      </c>
      <c r="M776">
        <v>0</v>
      </c>
      <c r="N776">
        <v>0</v>
      </c>
      <c r="O776" t="s">
        <v>122</v>
      </c>
      <c r="P776" t="s">
        <v>5799</v>
      </c>
      <c r="Q776" t="s">
        <v>1937</v>
      </c>
      <c r="R776">
        <v>2</v>
      </c>
      <c r="S776">
        <v>2</v>
      </c>
    </row>
    <row r="777" spans="1:19" hidden="1" x14ac:dyDescent="0.3">
      <c r="A777" t="s">
        <v>1932</v>
      </c>
      <c r="B777" t="s">
        <v>1938</v>
      </c>
      <c r="C777" t="s">
        <v>6681</v>
      </c>
      <c r="D777" t="s">
        <v>133</v>
      </c>
      <c r="E777" t="s">
        <v>222</v>
      </c>
      <c r="F777" t="s">
        <v>30</v>
      </c>
      <c r="G777" s="6">
        <v>46022</v>
      </c>
      <c r="H777" t="s">
        <v>6823</v>
      </c>
      <c r="I777" t="s">
        <v>57</v>
      </c>
      <c r="J777" t="s">
        <v>103</v>
      </c>
      <c r="L777">
        <v>4.3</v>
      </c>
      <c r="M777">
        <v>0</v>
      </c>
      <c r="N777">
        <v>0</v>
      </c>
      <c r="P777" t="s">
        <v>1943</v>
      </c>
      <c r="Q777" t="s">
        <v>1944</v>
      </c>
      <c r="R777">
        <v>2</v>
      </c>
      <c r="S777">
        <v>2</v>
      </c>
    </row>
    <row r="778" spans="1:19" hidden="1" x14ac:dyDescent="0.3">
      <c r="A778" t="s">
        <v>1945</v>
      </c>
      <c r="B778" t="s">
        <v>1946</v>
      </c>
      <c r="C778" t="s">
        <v>6681</v>
      </c>
      <c r="D778" t="s">
        <v>133</v>
      </c>
      <c r="E778" t="s">
        <v>222</v>
      </c>
      <c r="F778" t="s">
        <v>30</v>
      </c>
      <c r="G778" s="6">
        <v>45291</v>
      </c>
      <c r="H778" t="s">
        <v>6811</v>
      </c>
      <c r="I778" t="s">
        <v>57</v>
      </c>
      <c r="J778" t="s">
        <v>47</v>
      </c>
      <c r="K778">
        <v>0</v>
      </c>
      <c r="L778">
        <v>16.170000000000002</v>
      </c>
      <c r="M778">
        <v>0</v>
      </c>
      <c r="N778">
        <v>0</v>
      </c>
      <c r="O778" t="s">
        <v>122</v>
      </c>
      <c r="P778" t="s">
        <v>5801</v>
      </c>
      <c r="Q778" t="s">
        <v>1948</v>
      </c>
      <c r="R778">
        <v>2</v>
      </c>
      <c r="S778">
        <v>2</v>
      </c>
    </row>
    <row r="779" spans="1:19" hidden="1" x14ac:dyDescent="0.3">
      <c r="A779" t="s">
        <v>1945</v>
      </c>
      <c r="B779" t="s">
        <v>1946</v>
      </c>
      <c r="C779" t="s">
        <v>6681</v>
      </c>
      <c r="D779" t="s">
        <v>133</v>
      </c>
      <c r="E779" t="s">
        <v>222</v>
      </c>
      <c r="F779" t="s">
        <v>30</v>
      </c>
      <c r="G779" s="6">
        <v>45657</v>
      </c>
      <c r="H779" t="s">
        <v>6816</v>
      </c>
      <c r="I779" t="s">
        <v>57</v>
      </c>
      <c r="J779" t="s">
        <v>78</v>
      </c>
      <c r="M779">
        <v>0</v>
      </c>
      <c r="N779">
        <v>0</v>
      </c>
      <c r="Q779" t="s">
        <v>1950</v>
      </c>
      <c r="R779">
        <v>2</v>
      </c>
      <c r="S779">
        <v>2</v>
      </c>
    </row>
    <row r="780" spans="1:19" hidden="1" x14ac:dyDescent="0.3">
      <c r="A780" t="s">
        <v>1945</v>
      </c>
      <c r="B780" t="s">
        <v>1951</v>
      </c>
      <c r="C780" t="s">
        <v>6681</v>
      </c>
      <c r="D780" t="s">
        <v>133</v>
      </c>
      <c r="E780" t="s">
        <v>222</v>
      </c>
      <c r="F780" t="s">
        <v>30</v>
      </c>
      <c r="G780" s="6">
        <v>46022</v>
      </c>
      <c r="H780" t="s">
        <v>6823</v>
      </c>
      <c r="I780" t="s">
        <v>57</v>
      </c>
      <c r="J780" t="s">
        <v>103</v>
      </c>
      <c r="L780">
        <v>19.93</v>
      </c>
      <c r="M780">
        <v>0</v>
      </c>
      <c r="N780">
        <v>0</v>
      </c>
      <c r="P780" t="s">
        <v>1956</v>
      </c>
      <c r="Q780" t="s">
        <v>1957</v>
      </c>
      <c r="R780">
        <v>2</v>
      </c>
      <c r="S780">
        <v>2</v>
      </c>
    </row>
    <row r="781" spans="1:19" hidden="1" x14ac:dyDescent="0.3">
      <c r="A781" t="s">
        <v>1958</v>
      </c>
      <c r="B781" t="s">
        <v>1959</v>
      </c>
      <c r="C781" t="s">
        <v>6622</v>
      </c>
      <c r="D781" t="s">
        <v>97</v>
      </c>
      <c r="E781" t="s">
        <v>98</v>
      </c>
      <c r="F781" t="s">
        <v>108</v>
      </c>
      <c r="G781" s="6">
        <v>45291</v>
      </c>
      <c r="H781" t="s">
        <v>6811</v>
      </c>
      <c r="I781" t="s">
        <v>57</v>
      </c>
      <c r="J781" t="s">
        <v>47</v>
      </c>
      <c r="K781">
        <v>1E-8</v>
      </c>
      <c r="L781">
        <v>1E-8</v>
      </c>
      <c r="M781">
        <v>1</v>
      </c>
      <c r="N781">
        <v>1</v>
      </c>
      <c r="O781" t="s">
        <v>122</v>
      </c>
      <c r="P781" t="s">
        <v>122</v>
      </c>
      <c r="Q781" t="s">
        <v>1960</v>
      </c>
      <c r="R781">
        <v>2</v>
      </c>
      <c r="S781">
        <v>2</v>
      </c>
    </row>
    <row r="782" spans="1:19" hidden="1" x14ac:dyDescent="0.3">
      <c r="A782" t="s">
        <v>1958</v>
      </c>
      <c r="B782" t="s">
        <v>1959</v>
      </c>
      <c r="C782" t="s">
        <v>6622</v>
      </c>
      <c r="D782" t="s">
        <v>97</v>
      </c>
      <c r="E782" t="s">
        <v>98</v>
      </c>
      <c r="F782" t="s">
        <v>108</v>
      </c>
      <c r="G782" s="6">
        <v>45657</v>
      </c>
      <c r="H782" t="s">
        <v>6816</v>
      </c>
      <c r="I782" t="s">
        <v>57</v>
      </c>
      <c r="J782" t="s">
        <v>78</v>
      </c>
      <c r="K782">
        <v>0</v>
      </c>
      <c r="L782">
        <v>0</v>
      </c>
      <c r="M782">
        <v>0</v>
      </c>
      <c r="N782">
        <v>0</v>
      </c>
      <c r="O782" t="s">
        <v>122</v>
      </c>
      <c r="P782" t="s">
        <v>122</v>
      </c>
      <c r="Q782" t="s">
        <v>1961</v>
      </c>
      <c r="R782">
        <v>2</v>
      </c>
      <c r="S782">
        <v>2</v>
      </c>
    </row>
    <row r="783" spans="1:19" hidden="1" x14ac:dyDescent="0.3">
      <c r="A783" t="s">
        <v>1958</v>
      </c>
      <c r="B783" t="s">
        <v>1959</v>
      </c>
      <c r="C783" t="s">
        <v>6622</v>
      </c>
      <c r="D783" t="s">
        <v>97</v>
      </c>
      <c r="E783" t="s">
        <v>98</v>
      </c>
      <c r="F783" t="s">
        <v>108</v>
      </c>
      <c r="G783" s="6">
        <v>46022</v>
      </c>
      <c r="H783" t="s">
        <v>6823</v>
      </c>
      <c r="I783" t="s">
        <v>57</v>
      </c>
      <c r="J783" t="s">
        <v>103</v>
      </c>
      <c r="K783">
        <v>0</v>
      </c>
      <c r="L783">
        <v>0</v>
      </c>
      <c r="M783">
        <v>0</v>
      </c>
      <c r="N783">
        <v>0</v>
      </c>
      <c r="O783" t="s">
        <v>122</v>
      </c>
      <c r="P783" t="s">
        <v>122</v>
      </c>
      <c r="Q783" t="s">
        <v>1962</v>
      </c>
      <c r="R783">
        <v>2</v>
      </c>
      <c r="S783">
        <v>2</v>
      </c>
    </row>
    <row r="784" spans="1:19" hidden="1" x14ac:dyDescent="0.3">
      <c r="A784" t="s">
        <v>1963</v>
      </c>
      <c r="B784" t="s">
        <v>1964</v>
      </c>
      <c r="C784" t="s">
        <v>6622</v>
      </c>
      <c r="D784" t="s">
        <v>87</v>
      </c>
      <c r="E784" t="s">
        <v>222</v>
      </c>
      <c r="F784" t="s">
        <v>30</v>
      </c>
      <c r="G784" s="6">
        <v>45291</v>
      </c>
      <c r="H784" t="s">
        <v>6811</v>
      </c>
      <c r="I784" t="s">
        <v>57</v>
      </c>
      <c r="J784" t="s">
        <v>47</v>
      </c>
      <c r="K784">
        <v>2.5</v>
      </c>
      <c r="L784">
        <v>2.5</v>
      </c>
      <c r="M784">
        <v>1</v>
      </c>
      <c r="N784">
        <v>1</v>
      </c>
      <c r="O784" t="s">
        <v>4064</v>
      </c>
      <c r="P784" t="s">
        <v>4064</v>
      </c>
      <c r="Q784" t="s">
        <v>1966</v>
      </c>
      <c r="R784">
        <v>2</v>
      </c>
      <c r="S784">
        <v>2</v>
      </c>
    </row>
    <row r="785" spans="1:19" hidden="1" x14ac:dyDescent="0.3">
      <c r="A785" t="s">
        <v>1963</v>
      </c>
      <c r="B785" t="s">
        <v>1964</v>
      </c>
      <c r="C785" t="s">
        <v>6622</v>
      </c>
      <c r="D785" t="s">
        <v>87</v>
      </c>
      <c r="E785" t="s">
        <v>222</v>
      </c>
      <c r="F785" t="s">
        <v>30</v>
      </c>
      <c r="G785" s="6">
        <v>45657</v>
      </c>
      <c r="H785" t="s">
        <v>6816</v>
      </c>
      <c r="I785" t="s">
        <v>57</v>
      </c>
      <c r="J785" t="s">
        <v>78</v>
      </c>
      <c r="K785">
        <v>3</v>
      </c>
      <c r="L785">
        <v>3</v>
      </c>
      <c r="M785">
        <v>1</v>
      </c>
      <c r="N785">
        <v>1</v>
      </c>
      <c r="O785" t="s">
        <v>1849</v>
      </c>
      <c r="P785" t="s">
        <v>1849</v>
      </c>
      <c r="Q785" t="s">
        <v>1968</v>
      </c>
      <c r="R785">
        <v>2</v>
      </c>
      <c r="S785">
        <v>2</v>
      </c>
    </row>
    <row r="786" spans="1:19" hidden="1" x14ac:dyDescent="0.3">
      <c r="A786" t="s">
        <v>1963</v>
      </c>
      <c r="B786" t="s">
        <v>1964</v>
      </c>
      <c r="C786" t="s">
        <v>6622</v>
      </c>
      <c r="D786" t="s">
        <v>87</v>
      </c>
      <c r="E786" t="s">
        <v>222</v>
      </c>
      <c r="F786" t="s">
        <v>30</v>
      </c>
      <c r="G786" s="6">
        <v>46022</v>
      </c>
      <c r="H786" t="s">
        <v>6823</v>
      </c>
      <c r="I786" t="s">
        <v>57</v>
      </c>
      <c r="J786" t="s">
        <v>103</v>
      </c>
      <c r="K786">
        <v>100</v>
      </c>
      <c r="L786">
        <v>125</v>
      </c>
      <c r="M786">
        <v>1.25</v>
      </c>
      <c r="N786">
        <v>1.25</v>
      </c>
      <c r="O786" t="s">
        <v>102</v>
      </c>
      <c r="P786" t="s">
        <v>5559</v>
      </c>
      <c r="Q786" t="s">
        <v>1971</v>
      </c>
      <c r="R786">
        <v>2</v>
      </c>
      <c r="S786">
        <v>2</v>
      </c>
    </row>
    <row r="787" spans="1:19" hidden="1" x14ac:dyDescent="0.3">
      <c r="A787" t="s">
        <v>1972</v>
      </c>
      <c r="B787" t="s">
        <v>1973</v>
      </c>
      <c r="C787" t="s">
        <v>6622</v>
      </c>
      <c r="D787" t="s">
        <v>1832</v>
      </c>
      <c r="E787" t="s">
        <v>222</v>
      </c>
      <c r="F787" t="s">
        <v>30</v>
      </c>
      <c r="G787" s="6">
        <v>44926</v>
      </c>
      <c r="H787" t="s">
        <v>6819</v>
      </c>
      <c r="I787" t="s">
        <v>57</v>
      </c>
      <c r="J787" t="s">
        <v>90</v>
      </c>
      <c r="K787">
        <v>79440</v>
      </c>
      <c r="L787">
        <v>80663</v>
      </c>
      <c r="M787">
        <v>1.015395266868077</v>
      </c>
      <c r="N787">
        <v>1.015395266868077</v>
      </c>
      <c r="O787" t="s">
        <v>7042</v>
      </c>
      <c r="P787" t="s">
        <v>7043</v>
      </c>
      <c r="Q787" t="s">
        <v>1975</v>
      </c>
      <c r="R787">
        <v>2</v>
      </c>
      <c r="S787">
        <v>2</v>
      </c>
    </row>
    <row r="788" spans="1:19" hidden="1" x14ac:dyDescent="0.3">
      <c r="A788" t="s">
        <v>1972</v>
      </c>
      <c r="B788" t="s">
        <v>1973</v>
      </c>
      <c r="C788" t="s">
        <v>6622</v>
      </c>
      <c r="D788" t="s">
        <v>1832</v>
      </c>
      <c r="E788" t="s">
        <v>222</v>
      </c>
      <c r="F788" t="s">
        <v>30</v>
      </c>
      <c r="G788" s="6">
        <v>45291</v>
      </c>
      <c r="H788" t="s">
        <v>6811</v>
      </c>
      <c r="I788" t="s">
        <v>57</v>
      </c>
      <c r="J788" t="s">
        <v>47</v>
      </c>
      <c r="K788">
        <v>82059</v>
      </c>
      <c r="L788">
        <v>79862</v>
      </c>
      <c r="M788">
        <v>0.97322658087473646</v>
      </c>
      <c r="N788">
        <v>0.97322658087473646</v>
      </c>
      <c r="O788" t="s">
        <v>7044</v>
      </c>
      <c r="P788" t="s">
        <v>7045</v>
      </c>
      <c r="Q788" t="s">
        <v>1977</v>
      </c>
      <c r="R788">
        <v>2</v>
      </c>
      <c r="S788">
        <v>2</v>
      </c>
    </row>
    <row r="789" spans="1:19" hidden="1" x14ac:dyDescent="0.3">
      <c r="A789" t="s">
        <v>1972</v>
      </c>
      <c r="B789" t="s">
        <v>1973</v>
      </c>
      <c r="C789" t="s">
        <v>6622</v>
      </c>
      <c r="D789" t="s">
        <v>1832</v>
      </c>
      <c r="E789" t="s">
        <v>222</v>
      </c>
      <c r="F789" t="s">
        <v>30</v>
      </c>
      <c r="G789" s="6">
        <v>45657</v>
      </c>
      <c r="H789" t="s">
        <v>6816</v>
      </c>
      <c r="I789" t="s">
        <v>57</v>
      </c>
      <c r="J789" t="s">
        <v>78</v>
      </c>
      <c r="K789">
        <v>79254</v>
      </c>
      <c r="L789">
        <v>81034</v>
      </c>
      <c r="M789">
        <v>1.02245943422414</v>
      </c>
      <c r="N789">
        <v>1.02245943422414</v>
      </c>
      <c r="O789" t="s">
        <v>7046</v>
      </c>
      <c r="P789" t="s">
        <v>7047</v>
      </c>
      <c r="Q789" t="s">
        <v>1979</v>
      </c>
      <c r="R789">
        <v>2</v>
      </c>
      <c r="S789">
        <v>2</v>
      </c>
    </row>
    <row r="790" spans="1:19" hidden="1" x14ac:dyDescent="0.3">
      <c r="A790" t="s">
        <v>1972</v>
      </c>
      <c r="B790" t="s">
        <v>1973</v>
      </c>
      <c r="C790" t="s">
        <v>6622</v>
      </c>
      <c r="D790" t="s">
        <v>1832</v>
      </c>
      <c r="E790" t="s">
        <v>222</v>
      </c>
      <c r="F790" t="s">
        <v>30</v>
      </c>
      <c r="G790" s="6">
        <v>46022</v>
      </c>
      <c r="H790" t="s">
        <v>6823</v>
      </c>
      <c r="I790" t="s">
        <v>57</v>
      </c>
      <c r="J790" t="s">
        <v>103</v>
      </c>
      <c r="K790">
        <v>200</v>
      </c>
      <c r="L790">
        <v>207.83</v>
      </c>
      <c r="M790">
        <v>1.03915</v>
      </c>
      <c r="N790">
        <v>1.03915</v>
      </c>
      <c r="O790" t="s">
        <v>2396</v>
      </c>
      <c r="P790" t="s">
        <v>7048</v>
      </c>
      <c r="Q790" t="s">
        <v>1985</v>
      </c>
      <c r="R790">
        <v>2</v>
      </c>
      <c r="S790">
        <v>2</v>
      </c>
    </row>
    <row r="791" spans="1:19" hidden="1" x14ac:dyDescent="0.3">
      <c r="A791" t="s">
        <v>1986</v>
      </c>
      <c r="B791" t="s">
        <v>1987</v>
      </c>
      <c r="C791" t="s">
        <v>6622</v>
      </c>
      <c r="D791" t="s">
        <v>1988</v>
      </c>
      <c r="E791" t="s">
        <v>222</v>
      </c>
      <c r="F791" t="s">
        <v>30</v>
      </c>
      <c r="G791" s="6">
        <v>45657</v>
      </c>
      <c r="H791" t="s">
        <v>6816</v>
      </c>
      <c r="I791" t="s">
        <v>57</v>
      </c>
      <c r="J791" t="s">
        <v>78</v>
      </c>
      <c r="K791">
        <v>80</v>
      </c>
      <c r="L791">
        <v>85.335000000000008</v>
      </c>
      <c r="M791">
        <v>1.0666875</v>
      </c>
      <c r="N791">
        <v>1.0666875</v>
      </c>
      <c r="O791" t="s">
        <v>193</v>
      </c>
      <c r="P791" t="s">
        <v>7049</v>
      </c>
      <c r="Q791" t="s">
        <v>1990</v>
      </c>
      <c r="R791">
        <v>2</v>
      </c>
      <c r="S791">
        <v>2</v>
      </c>
    </row>
    <row r="792" spans="1:19" hidden="1" x14ac:dyDescent="0.3">
      <c r="A792" t="s">
        <v>1986</v>
      </c>
      <c r="B792" t="s">
        <v>1987</v>
      </c>
      <c r="C792" t="s">
        <v>6622</v>
      </c>
      <c r="D792" t="s">
        <v>1988</v>
      </c>
      <c r="E792" t="s">
        <v>222</v>
      </c>
      <c r="F792" t="s">
        <v>30</v>
      </c>
      <c r="G792" s="6">
        <v>46022</v>
      </c>
      <c r="H792" t="s">
        <v>6823</v>
      </c>
      <c r="I792" t="s">
        <v>57</v>
      </c>
      <c r="J792" t="s">
        <v>103</v>
      </c>
      <c r="K792">
        <v>80</v>
      </c>
      <c r="L792">
        <v>90.835000000000008</v>
      </c>
      <c r="M792">
        <v>1.1354375000000001</v>
      </c>
      <c r="N792">
        <v>1.1354375000000001</v>
      </c>
      <c r="O792" t="s">
        <v>193</v>
      </c>
      <c r="P792" t="s">
        <v>7050</v>
      </c>
      <c r="Q792" t="s">
        <v>1994</v>
      </c>
      <c r="R792">
        <v>2</v>
      </c>
      <c r="S792">
        <v>2</v>
      </c>
    </row>
    <row r="793" spans="1:19" hidden="1" x14ac:dyDescent="0.3">
      <c r="A793" t="s">
        <v>1995</v>
      </c>
      <c r="B793" t="s">
        <v>1996</v>
      </c>
      <c r="C793" t="s">
        <v>6622</v>
      </c>
      <c r="D793" t="s">
        <v>1997</v>
      </c>
      <c r="E793" t="s">
        <v>222</v>
      </c>
      <c r="F793" t="s">
        <v>108</v>
      </c>
      <c r="G793" s="6">
        <v>44926</v>
      </c>
      <c r="H793" t="s">
        <v>6819</v>
      </c>
      <c r="I793" t="s">
        <v>57</v>
      </c>
      <c r="J793" t="s">
        <v>90</v>
      </c>
      <c r="K793">
        <v>90.5</v>
      </c>
      <c r="L793">
        <v>97</v>
      </c>
      <c r="M793">
        <v>0.9329896907216495</v>
      </c>
      <c r="N793">
        <v>0.9329896907216495</v>
      </c>
      <c r="O793" t="s">
        <v>7051</v>
      </c>
      <c r="P793" t="s">
        <v>1005</v>
      </c>
      <c r="Q793" t="s">
        <v>1999</v>
      </c>
      <c r="R793">
        <v>2</v>
      </c>
      <c r="S793">
        <v>2</v>
      </c>
    </row>
    <row r="794" spans="1:19" hidden="1" x14ac:dyDescent="0.3">
      <c r="A794" t="s">
        <v>1995</v>
      </c>
      <c r="B794" t="s">
        <v>1996</v>
      </c>
      <c r="C794" t="s">
        <v>6622</v>
      </c>
      <c r="D794" t="s">
        <v>1997</v>
      </c>
      <c r="E794" t="s">
        <v>222</v>
      </c>
      <c r="F794" t="s">
        <v>108</v>
      </c>
      <c r="G794" s="6">
        <v>45291</v>
      </c>
      <c r="H794" t="s">
        <v>6811</v>
      </c>
      <c r="I794" t="s">
        <v>57</v>
      </c>
      <c r="J794" t="s">
        <v>47</v>
      </c>
      <c r="K794">
        <v>85</v>
      </c>
      <c r="L794">
        <v>87.245000000000005</v>
      </c>
      <c r="M794">
        <v>0.97426786635337259</v>
      </c>
      <c r="N794">
        <v>0.97426786635337259</v>
      </c>
      <c r="O794" t="s">
        <v>2357</v>
      </c>
      <c r="P794" t="s">
        <v>7052</v>
      </c>
      <c r="Q794" t="s">
        <v>2001</v>
      </c>
      <c r="R794">
        <v>2</v>
      </c>
      <c r="S794">
        <v>2</v>
      </c>
    </row>
    <row r="795" spans="1:19" hidden="1" x14ac:dyDescent="0.3">
      <c r="A795" t="s">
        <v>1995</v>
      </c>
      <c r="B795" t="s">
        <v>1996</v>
      </c>
      <c r="C795" t="s">
        <v>6622</v>
      </c>
      <c r="D795" t="s">
        <v>1997</v>
      </c>
      <c r="E795" t="s">
        <v>222</v>
      </c>
      <c r="F795" t="s">
        <v>108</v>
      </c>
      <c r="G795" s="6">
        <v>45657</v>
      </c>
      <c r="H795" t="s">
        <v>6816</v>
      </c>
      <c r="I795" t="s">
        <v>57</v>
      </c>
      <c r="J795" t="s">
        <v>78</v>
      </c>
      <c r="K795">
        <v>75</v>
      </c>
      <c r="L795">
        <v>83.165000000000006</v>
      </c>
      <c r="M795">
        <v>0.90182167979318217</v>
      </c>
      <c r="N795">
        <v>0.90182167979318217</v>
      </c>
      <c r="O795" t="s">
        <v>4302</v>
      </c>
      <c r="P795" t="s">
        <v>7053</v>
      </c>
      <c r="Q795" t="s">
        <v>2003</v>
      </c>
      <c r="R795">
        <v>2</v>
      </c>
      <c r="S795">
        <v>2</v>
      </c>
    </row>
    <row r="796" spans="1:19" hidden="1" x14ac:dyDescent="0.3">
      <c r="A796" t="s">
        <v>1995</v>
      </c>
      <c r="B796" t="s">
        <v>1996</v>
      </c>
      <c r="C796" t="s">
        <v>6622</v>
      </c>
      <c r="D796" t="s">
        <v>1997</v>
      </c>
      <c r="E796" t="s">
        <v>222</v>
      </c>
      <c r="F796" t="s">
        <v>108</v>
      </c>
      <c r="G796" s="6">
        <v>46022</v>
      </c>
      <c r="H796" t="s">
        <v>6823</v>
      </c>
      <c r="I796" t="s">
        <v>57</v>
      </c>
      <c r="J796" t="s">
        <v>103</v>
      </c>
      <c r="K796">
        <v>81</v>
      </c>
      <c r="L796">
        <v>83.495000000000005</v>
      </c>
      <c r="M796">
        <v>0.97011797113599607</v>
      </c>
      <c r="N796">
        <v>0.97011797113599607</v>
      </c>
      <c r="O796" t="s">
        <v>1054</v>
      </c>
      <c r="P796" t="s">
        <v>5402</v>
      </c>
      <c r="Q796" t="s">
        <v>2009</v>
      </c>
      <c r="R796">
        <v>2</v>
      </c>
      <c r="S796">
        <v>2</v>
      </c>
    </row>
    <row r="797" spans="1:19" hidden="1" x14ac:dyDescent="0.3">
      <c r="A797" t="s">
        <v>2010</v>
      </c>
      <c r="B797" t="s">
        <v>2011</v>
      </c>
      <c r="C797" t="s">
        <v>6622</v>
      </c>
      <c r="D797" t="s">
        <v>1997</v>
      </c>
      <c r="E797" t="s">
        <v>222</v>
      </c>
      <c r="F797" t="s">
        <v>108</v>
      </c>
      <c r="G797" s="6">
        <v>45291</v>
      </c>
      <c r="H797" t="s">
        <v>6811</v>
      </c>
      <c r="I797" t="s">
        <v>57</v>
      </c>
      <c r="J797" t="s">
        <v>47</v>
      </c>
      <c r="K797">
        <v>85</v>
      </c>
      <c r="L797">
        <v>74.885000000000005</v>
      </c>
      <c r="M797">
        <v>1.1350737797956869</v>
      </c>
      <c r="N797">
        <v>1.1350737797956869</v>
      </c>
      <c r="O797" t="s">
        <v>2357</v>
      </c>
      <c r="P797" t="s">
        <v>7054</v>
      </c>
      <c r="Q797" t="s">
        <v>2013</v>
      </c>
      <c r="R797">
        <v>2</v>
      </c>
      <c r="S797">
        <v>2</v>
      </c>
    </row>
    <row r="798" spans="1:19" hidden="1" x14ac:dyDescent="0.3">
      <c r="A798" t="s">
        <v>2010</v>
      </c>
      <c r="B798" t="s">
        <v>2011</v>
      </c>
      <c r="C798" t="s">
        <v>6622</v>
      </c>
      <c r="D798" t="s">
        <v>1997</v>
      </c>
      <c r="E798" t="s">
        <v>222</v>
      </c>
      <c r="F798" t="s">
        <v>108</v>
      </c>
      <c r="G798" s="6">
        <v>45657</v>
      </c>
      <c r="H798" t="s">
        <v>6816</v>
      </c>
      <c r="I798" t="s">
        <v>57</v>
      </c>
      <c r="J798" t="s">
        <v>78</v>
      </c>
      <c r="K798">
        <v>73</v>
      </c>
      <c r="L798">
        <v>71.210000000000008</v>
      </c>
      <c r="M798">
        <v>1.0251369189720541</v>
      </c>
      <c r="N798">
        <v>1.0251369189720541</v>
      </c>
      <c r="O798" t="s">
        <v>5583</v>
      </c>
      <c r="P798" t="s">
        <v>7055</v>
      </c>
      <c r="Q798" t="s">
        <v>2015</v>
      </c>
      <c r="R798">
        <v>2</v>
      </c>
      <c r="S798">
        <v>2</v>
      </c>
    </row>
    <row r="799" spans="1:19" hidden="1" x14ac:dyDescent="0.3">
      <c r="A799" t="s">
        <v>2010</v>
      </c>
      <c r="B799" t="s">
        <v>2016</v>
      </c>
      <c r="C799" t="s">
        <v>6622</v>
      </c>
      <c r="D799" t="s">
        <v>1997</v>
      </c>
      <c r="E799" t="s">
        <v>222</v>
      </c>
      <c r="F799" t="s">
        <v>108</v>
      </c>
      <c r="G799" s="6">
        <v>46022</v>
      </c>
      <c r="H799" t="s">
        <v>6823</v>
      </c>
      <c r="I799" t="s">
        <v>57</v>
      </c>
      <c r="J799" t="s">
        <v>103</v>
      </c>
      <c r="K799">
        <v>71</v>
      </c>
      <c r="L799">
        <v>68.89500000000001</v>
      </c>
      <c r="M799">
        <v>1.0305537412003769</v>
      </c>
      <c r="N799">
        <v>1.0305537412003769</v>
      </c>
      <c r="O799" t="s">
        <v>2018</v>
      </c>
      <c r="P799" t="s">
        <v>7056</v>
      </c>
      <c r="Q799" t="s">
        <v>2023</v>
      </c>
      <c r="R799">
        <v>2</v>
      </c>
      <c r="S799">
        <v>2</v>
      </c>
    </row>
    <row r="800" spans="1:19" hidden="1" x14ac:dyDescent="0.3">
      <c r="A800" t="s">
        <v>2024</v>
      </c>
      <c r="B800" t="s">
        <v>2025</v>
      </c>
      <c r="C800" t="s">
        <v>6681</v>
      </c>
      <c r="D800" t="s">
        <v>1997</v>
      </c>
      <c r="E800" t="s">
        <v>222</v>
      </c>
      <c r="F800" t="s">
        <v>30</v>
      </c>
      <c r="G800" s="6">
        <v>45291</v>
      </c>
      <c r="H800" t="s">
        <v>6811</v>
      </c>
      <c r="I800" t="s">
        <v>57</v>
      </c>
      <c r="J800" t="s">
        <v>47</v>
      </c>
      <c r="K800">
        <v>0</v>
      </c>
      <c r="L800">
        <v>2032</v>
      </c>
      <c r="M800">
        <v>0</v>
      </c>
      <c r="N800">
        <v>0</v>
      </c>
      <c r="O800" t="s">
        <v>122</v>
      </c>
      <c r="P800" t="s">
        <v>7057</v>
      </c>
      <c r="Q800" t="s">
        <v>2027</v>
      </c>
      <c r="R800">
        <v>2</v>
      </c>
      <c r="S800">
        <v>2</v>
      </c>
    </row>
    <row r="801" spans="1:19" hidden="1" x14ac:dyDescent="0.3">
      <c r="A801" t="s">
        <v>2024</v>
      </c>
      <c r="B801" t="s">
        <v>2025</v>
      </c>
      <c r="C801" t="s">
        <v>6681</v>
      </c>
      <c r="D801" t="s">
        <v>1997</v>
      </c>
      <c r="E801" t="s">
        <v>222</v>
      </c>
      <c r="F801" t="s">
        <v>30</v>
      </c>
      <c r="G801" s="6">
        <v>45657</v>
      </c>
      <c r="H801" t="s">
        <v>6816</v>
      </c>
      <c r="I801" t="s">
        <v>57</v>
      </c>
      <c r="J801" t="s">
        <v>78</v>
      </c>
      <c r="K801">
        <v>0</v>
      </c>
      <c r="L801">
        <v>2087</v>
      </c>
      <c r="M801">
        <v>0</v>
      </c>
      <c r="N801">
        <v>0</v>
      </c>
      <c r="O801" t="s">
        <v>122</v>
      </c>
      <c r="P801" t="s">
        <v>7058</v>
      </c>
      <c r="Q801" t="s">
        <v>2029</v>
      </c>
      <c r="R801">
        <v>2</v>
      </c>
      <c r="S801">
        <v>2</v>
      </c>
    </row>
    <row r="802" spans="1:19" hidden="1" x14ac:dyDescent="0.3">
      <c r="A802" t="s">
        <v>2024</v>
      </c>
      <c r="B802" t="s">
        <v>2030</v>
      </c>
      <c r="C802" t="s">
        <v>6681</v>
      </c>
      <c r="D802" t="s">
        <v>1997</v>
      </c>
      <c r="E802" t="s">
        <v>222</v>
      </c>
      <c r="F802" t="s">
        <v>30</v>
      </c>
      <c r="G802" s="6">
        <v>46022</v>
      </c>
      <c r="H802" t="s">
        <v>6823</v>
      </c>
      <c r="I802" t="s">
        <v>57</v>
      </c>
      <c r="J802" t="s">
        <v>103</v>
      </c>
      <c r="L802">
        <v>2170</v>
      </c>
      <c r="M802">
        <v>0</v>
      </c>
      <c r="N802">
        <v>0</v>
      </c>
      <c r="P802" t="s">
        <v>7059</v>
      </c>
      <c r="Q802" t="s">
        <v>2036</v>
      </c>
      <c r="R802">
        <v>2</v>
      </c>
      <c r="S802">
        <v>2</v>
      </c>
    </row>
    <row r="803" spans="1:19" hidden="1" x14ac:dyDescent="0.3">
      <c r="A803" t="s">
        <v>2037</v>
      </c>
      <c r="B803" t="s">
        <v>2038</v>
      </c>
      <c r="D803" t="s">
        <v>1997</v>
      </c>
      <c r="E803" t="s">
        <v>222</v>
      </c>
      <c r="F803" t="s">
        <v>30</v>
      </c>
      <c r="G803" s="6">
        <v>45291</v>
      </c>
      <c r="H803" t="s">
        <v>6811</v>
      </c>
      <c r="I803" t="s">
        <v>57</v>
      </c>
      <c r="J803" t="s">
        <v>47</v>
      </c>
      <c r="K803">
        <v>0</v>
      </c>
      <c r="L803">
        <v>572</v>
      </c>
      <c r="M803">
        <v>0</v>
      </c>
      <c r="N803">
        <v>0</v>
      </c>
      <c r="O803" t="s">
        <v>122</v>
      </c>
      <c r="P803" t="s">
        <v>5827</v>
      </c>
      <c r="Q803" t="s">
        <v>2040</v>
      </c>
      <c r="R803">
        <v>2</v>
      </c>
      <c r="S803">
        <v>2</v>
      </c>
    </row>
    <row r="804" spans="1:19" hidden="1" x14ac:dyDescent="0.3">
      <c r="A804" t="s">
        <v>2041</v>
      </c>
      <c r="B804" t="s">
        <v>2042</v>
      </c>
      <c r="D804" t="s">
        <v>1997</v>
      </c>
      <c r="E804" t="s">
        <v>222</v>
      </c>
      <c r="F804" t="s">
        <v>30</v>
      </c>
      <c r="G804" s="6">
        <v>45291</v>
      </c>
      <c r="H804" t="s">
        <v>6811</v>
      </c>
      <c r="I804" t="s">
        <v>57</v>
      </c>
      <c r="J804" t="s">
        <v>47</v>
      </c>
      <c r="K804">
        <v>0</v>
      </c>
      <c r="L804">
        <v>194.5</v>
      </c>
      <c r="M804">
        <v>0</v>
      </c>
      <c r="N804">
        <v>0</v>
      </c>
      <c r="O804" t="s">
        <v>122</v>
      </c>
      <c r="P804" t="s">
        <v>7060</v>
      </c>
      <c r="Q804" t="s">
        <v>2044</v>
      </c>
      <c r="R804">
        <v>2</v>
      </c>
      <c r="S804">
        <v>2</v>
      </c>
    </row>
    <row r="805" spans="1:19" hidden="1" x14ac:dyDescent="0.3">
      <c r="A805" t="s">
        <v>2045</v>
      </c>
      <c r="B805" t="s">
        <v>2046</v>
      </c>
      <c r="D805" t="s">
        <v>1997</v>
      </c>
      <c r="E805" t="s">
        <v>222</v>
      </c>
      <c r="F805" t="s">
        <v>30</v>
      </c>
      <c r="G805" s="6">
        <v>45291</v>
      </c>
      <c r="H805" t="s">
        <v>6811</v>
      </c>
      <c r="I805" t="s">
        <v>57</v>
      </c>
      <c r="J805" t="s">
        <v>47</v>
      </c>
      <c r="L805">
        <v>231.5</v>
      </c>
      <c r="M805">
        <v>0</v>
      </c>
      <c r="N805">
        <v>0</v>
      </c>
      <c r="P805" t="s">
        <v>7061</v>
      </c>
      <c r="Q805" t="s">
        <v>2048</v>
      </c>
      <c r="R805">
        <v>2</v>
      </c>
      <c r="S805">
        <v>2</v>
      </c>
    </row>
    <row r="806" spans="1:19" hidden="1" x14ac:dyDescent="0.3">
      <c r="A806" t="s">
        <v>2049</v>
      </c>
      <c r="B806" t="s">
        <v>2050</v>
      </c>
      <c r="C806" t="s">
        <v>6681</v>
      </c>
      <c r="D806" t="s">
        <v>1997</v>
      </c>
      <c r="E806" t="s">
        <v>222</v>
      </c>
      <c r="F806" t="s">
        <v>30</v>
      </c>
      <c r="G806" s="6">
        <v>45291</v>
      </c>
      <c r="H806" t="s">
        <v>6811</v>
      </c>
      <c r="I806" t="s">
        <v>57</v>
      </c>
      <c r="J806" t="s">
        <v>47</v>
      </c>
      <c r="K806">
        <v>96</v>
      </c>
      <c r="L806">
        <v>96.31</v>
      </c>
      <c r="M806">
        <v>1.0032291666666671</v>
      </c>
      <c r="N806">
        <v>1.0032291666666671</v>
      </c>
      <c r="O806" t="s">
        <v>668</v>
      </c>
      <c r="P806" t="s">
        <v>7062</v>
      </c>
      <c r="Q806" t="s">
        <v>2052</v>
      </c>
      <c r="R806">
        <v>2</v>
      </c>
      <c r="S806">
        <v>2</v>
      </c>
    </row>
    <row r="807" spans="1:19" hidden="1" x14ac:dyDescent="0.3">
      <c r="A807" t="s">
        <v>2049</v>
      </c>
      <c r="B807" t="s">
        <v>2050</v>
      </c>
      <c r="C807" t="s">
        <v>6681</v>
      </c>
      <c r="D807" t="s">
        <v>1997</v>
      </c>
      <c r="E807" t="s">
        <v>222</v>
      </c>
      <c r="F807" t="s">
        <v>30</v>
      </c>
      <c r="G807" s="6">
        <v>45657</v>
      </c>
      <c r="H807" t="s">
        <v>6816</v>
      </c>
      <c r="I807" t="s">
        <v>57</v>
      </c>
      <c r="J807" t="s">
        <v>78</v>
      </c>
      <c r="K807">
        <v>97</v>
      </c>
      <c r="L807">
        <v>96.93</v>
      </c>
      <c r="M807">
        <v>0.99927835051546399</v>
      </c>
      <c r="N807">
        <v>0.99927835051546399</v>
      </c>
      <c r="O807" t="s">
        <v>1005</v>
      </c>
      <c r="P807" t="s">
        <v>6913</v>
      </c>
      <c r="Q807" t="s">
        <v>2054</v>
      </c>
      <c r="R807">
        <v>2</v>
      </c>
      <c r="S807">
        <v>2</v>
      </c>
    </row>
    <row r="808" spans="1:19" hidden="1" x14ac:dyDescent="0.3">
      <c r="A808" t="s">
        <v>2049</v>
      </c>
      <c r="B808" t="s">
        <v>2050</v>
      </c>
      <c r="C808" t="s">
        <v>6681</v>
      </c>
      <c r="D808" t="s">
        <v>1997</v>
      </c>
      <c r="E808" t="s">
        <v>222</v>
      </c>
      <c r="F808" t="s">
        <v>30</v>
      </c>
      <c r="G808" s="6">
        <v>46022</v>
      </c>
      <c r="H808" t="s">
        <v>6823</v>
      </c>
      <c r="I808" t="s">
        <v>57</v>
      </c>
      <c r="J808" t="s">
        <v>103</v>
      </c>
      <c r="K808">
        <v>97</v>
      </c>
      <c r="L808">
        <v>97.484999999999999</v>
      </c>
      <c r="M808">
        <v>1.0049999999999999</v>
      </c>
      <c r="N808">
        <v>1.0049999999999999</v>
      </c>
      <c r="O808" t="s">
        <v>1005</v>
      </c>
      <c r="P808" t="s">
        <v>6286</v>
      </c>
      <c r="Q808" t="s">
        <v>2060</v>
      </c>
      <c r="R808">
        <v>2</v>
      </c>
      <c r="S808">
        <v>2</v>
      </c>
    </row>
    <row r="809" spans="1:19" hidden="1" x14ac:dyDescent="0.3">
      <c r="A809" t="s">
        <v>2061</v>
      </c>
      <c r="B809" t="s">
        <v>2062</v>
      </c>
      <c r="C809" t="s">
        <v>6681</v>
      </c>
      <c r="D809" t="s">
        <v>1997</v>
      </c>
      <c r="E809" t="s">
        <v>222</v>
      </c>
      <c r="F809" t="s">
        <v>30</v>
      </c>
      <c r="G809" s="6">
        <v>45291</v>
      </c>
      <c r="H809" t="s">
        <v>6811</v>
      </c>
      <c r="I809" t="s">
        <v>57</v>
      </c>
      <c r="J809" t="s">
        <v>47</v>
      </c>
      <c r="K809">
        <v>4.5</v>
      </c>
      <c r="L809">
        <v>4.5599999999999996</v>
      </c>
      <c r="M809">
        <v>1.013333333333333</v>
      </c>
      <c r="N809">
        <v>1.013333333333333</v>
      </c>
      <c r="O809" t="s">
        <v>5836</v>
      </c>
      <c r="P809" t="s">
        <v>5960</v>
      </c>
      <c r="Q809" t="s">
        <v>2064</v>
      </c>
      <c r="R809">
        <v>2</v>
      </c>
      <c r="S809">
        <v>2</v>
      </c>
    </row>
    <row r="810" spans="1:19" hidden="1" x14ac:dyDescent="0.3">
      <c r="A810" t="s">
        <v>2061</v>
      </c>
      <c r="B810" t="s">
        <v>2062</v>
      </c>
      <c r="C810" t="s">
        <v>6681</v>
      </c>
      <c r="D810" t="s">
        <v>1997</v>
      </c>
      <c r="E810" t="s">
        <v>222</v>
      </c>
      <c r="F810" t="s">
        <v>30</v>
      </c>
      <c r="G810" s="6">
        <v>45657</v>
      </c>
      <c r="H810" t="s">
        <v>6816</v>
      </c>
      <c r="I810" t="s">
        <v>57</v>
      </c>
      <c r="J810" t="s">
        <v>78</v>
      </c>
      <c r="K810">
        <v>4.5</v>
      </c>
      <c r="L810">
        <v>4.6050000000000004</v>
      </c>
      <c r="M810">
        <v>1.023333333333333</v>
      </c>
      <c r="N810">
        <v>1.023333333333333</v>
      </c>
      <c r="O810" t="s">
        <v>5836</v>
      </c>
      <c r="P810" t="s">
        <v>5837</v>
      </c>
      <c r="Q810" t="s">
        <v>2066</v>
      </c>
      <c r="R810">
        <v>2</v>
      </c>
      <c r="S810">
        <v>2</v>
      </c>
    </row>
    <row r="811" spans="1:19" hidden="1" x14ac:dyDescent="0.3">
      <c r="A811" t="s">
        <v>2061</v>
      </c>
      <c r="B811" t="s">
        <v>2062</v>
      </c>
      <c r="C811" t="s">
        <v>6681</v>
      </c>
      <c r="D811" t="s">
        <v>1997</v>
      </c>
      <c r="E811" t="s">
        <v>222</v>
      </c>
      <c r="F811" t="s">
        <v>30</v>
      </c>
      <c r="G811" s="6">
        <v>46022</v>
      </c>
      <c r="H811" t="s">
        <v>6823</v>
      </c>
      <c r="I811" t="s">
        <v>57</v>
      </c>
      <c r="J811" t="s">
        <v>103</v>
      </c>
      <c r="K811">
        <v>4.5999999999999996</v>
      </c>
      <c r="L811">
        <v>4.665</v>
      </c>
      <c r="M811">
        <v>1.014130434782609</v>
      </c>
      <c r="N811">
        <v>1.014130434782609</v>
      </c>
      <c r="O811" t="s">
        <v>2068</v>
      </c>
      <c r="P811" t="s">
        <v>2072</v>
      </c>
      <c r="Q811" t="s">
        <v>2073</v>
      </c>
      <c r="R811">
        <v>2</v>
      </c>
      <c r="S811">
        <v>2</v>
      </c>
    </row>
    <row r="812" spans="1:19" hidden="1" x14ac:dyDescent="0.3">
      <c r="A812" t="s">
        <v>2074</v>
      </c>
      <c r="B812" t="s">
        <v>2075</v>
      </c>
      <c r="D812" t="s">
        <v>1997</v>
      </c>
      <c r="E812" t="s">
        <v>222</v>
      </c>
      <c r="F812" t="s">
        <v>30</v>
      </c>
      <c r="G812" s="6">
        <v>45291</v>
      </c>
      <c r="H812" t="s">
        <v>6811</v>
      </c>
      <c r="I812" t="s">
        <v>57</v>
      </c>
      <c r="J812" t="s">
        <v>47</v>
      </c>
      <c r="L812">
        <v>15664</v>
      </c>
      <c r="M812">
        <v>0</v>
      </c>
      <c r="N812">
        <v>0</v>
      </c>
      <c r="P812" t="s">
        <v>7063</v>
      </c>
      <c r="Q812" t="s">
        <v>2077</v>
      </c>
      <c r="R812">
        <v>2</v>
      </c>
      <c r="S812">
        <v>2</v>
      </c>
    </row>
    <row r="813" spans="1:19" hidden="1" x14ac:dyDescent="0.3">
      <c r="A813" t="s">
        <v>2078</v>
      </c>
      <c r="B813" t="s">
        <v>2079</v>
      </c>
      <c r="C813" t="s">
        <v>6681</v>
      </c>
      <c r="D813" t="s">
        <v>1997</v>
      </c>
      <c r="E813" t="s">
        <v>222</v>
      </c>
      <c r="F813" t="s">
        <v>30</v>
      </c>
      <c r="G813" s="6">
        <v>45291</v>
      </c>
      <c r="H813" t="s">
        <v>6811</v>
      </c>
      <c r="I813" t="s">
        <v>57</v>
      </c>
      <c r="J813" t="s">
        <v>47</v>
      </c>
      <c r="K813">
        <v>100</v>
      </c>
      <c r="L813">
        <v>100</v>
      </c>
      <c r="M813">
        <v>1</v>
      </c>
      <c r="N813">
        <v>1</v>
      </c>
      <c r="O813" t="s">
        <v>102</v>
      </c>
      <c r="P813" t="s">
        <v>102</v>
      </c>
      <c r="Q813" t="s">
        <v>2081</v>
      </c>
      <c r="R813">
        <v>2</v>
      </c>
      <c r="S813">
        <v>2</v>
      </c>
    </row>
    <row r="814" spans="1:19" hidden="1" x14ac:dyDescent="0.3">
      <c r="A814" t="s">
        <v>2078</v>
      </c>
      <c r="B814" t="s">
        <v>2079</v>
      </c>
      <c r="C814" t="s">
        <v>6681</v>
      </c>
      <c r="D814" t="s">
        <v>1997</v>
      </c>
      <c r="E814" t="s">
        <v>222</v>
      </c>
      <c r="F814" t="s">
        <v>30</v>
      </c>
      <c r="G814" s="6">
        <v>45657</v>
      </c>
      <c r="H814" t="s">
        <v>6816</v>
      </c>
      <c r="I814" t="s">
        <v>57</v>
      </c>
      <c r="J814" t="s">
        <v>78</v>
      </c>
      <c r="K814">
        <v>100</v>
      </c>
      <c r="L814">
        <v>100</v>
      </c>
      <c r="M814">
        <v>1</v>
      </c>
      <c r="N814">
        <v>1</v>
      </c>
      <c r="O814" t="s">
        <v>102</v>
      </c>
      <c r="P814" t="s">
        <v>102</v>
      </c>
      <c r="Q814" t="s">
        <v>2083</v>
      </c>
      <c r="R814">
        <v>2</v>
      </c>
      <c r="S814">
        <v>2</v>
      </c>
    </row>
    <row r="815" spans="1:19" hidden="1" x14ac:dyDescent="0.3">
      <c r="A815" t="s">
        <v>2078</v>
      </c>
      <c r="B815" t="s">
        <v>2079</v>
      </c>
      <c r="C815" t="s">
        <v>6681</v>
      </c>
      <c r="D815" t="s">
        <v>1997</v>
      </c>
      <c r="E815" t="s">
        <v>222</v>
      </c>
      <c r="F815" t="s">
        <v>30</v>
      </c>
      <c r="G815" s="6">
        <v>46022</v>
      </c>
      <c r="H815" t="s">
        <v>6823</v>
      </c>
      <c r="I815" t="s">
        <v>57</v>
      </c>
      <c r="J815" t="s">
        <v>103</v>
      </c>
      <c r="K815">
        <v>100</v>
      </c>
      <c r="L815">
        <v>100</v>
      </c>
      <c r="M815">
        <v>1</v>
      </c>
      <c r="N815">
        <v>1</v>
      </c>
      <c r="O815" t="s">
        <v>102</v>
      </c>
      <c r="P815" t="s">
        <v>102</v>
      </c>
      <c r="Q815" t="s">
        <v>2085</v>
      </c>
      <c r="R815">
        <v>2</v>
      </c>
      <c r="S815">
        <v>2</v>
      </c>
    </row>
    <row r="816" spans="1:19" hidden="1" x14ac:dyDescent="0.3">
      <c r="A816" t="s">
        <v>2086</v>
      </c>
      <c r="B816" t="s">
        <v>2087</v>
      </c>
      <c r="C816" t="s">
        <v>6681</v>
      </c>
      <c r="D816" t="s">
        <v>1997</v>
      </c>
      <c r="E816" t="s">
        <v>222</v>
      </c>
      <c r="F816" t="s">
        <v>30</v>
      </c>
      <c r="G816" s="6">
        <v>45291</v>
      </c>
      <c r="H816" t="s">
        <v>6811</v>
      </c>
      <c r="I816" t="s">
        <v>57</v>
      </c>
      <c r="J816" t="s">
        <v>47</v>
      </c>
      <c r="L816">
        <v>2032</v>
      </c>
      <c r="M816">
        <v>0</v>
      </c>
      <c r="N816">
        <v>0</v>
      </c>
      <c r="P816" t="s">
        <v>7057</v>
      </c>
      <c r="Q816" t="s">
        <v>2089</v>
      </c>
      <c r="R816">
        <v>2</v>
      </c>
      <c r="S816">
        <v>2</v>
      </c>
    </row>
    <row r="817" spans="1:19" hidden="1" x14ac:dyDescent="0.3">
      <c r="A817" t="s">
        <v>2086</v>
      </c>
      <c r="B817" t="s">
        <v>2087</v>
      </c>
      <c r="C817" t="s">
        <v>6681</v>
      </c>
      <c r="D817" t="s">
        <v>1997</v>
      </c>
      <c r="E817" t="s">
        <v>222</v>
      </c>
      <c r="F817" t="s">
        <v>30</v>
      </c>
      <c r="G817" s="6">
        <v>45657</v>
      </c>
      <c r="H817" t="s">
        <v>6816</v>
      </c>
      <c r="I817" t="s">
        <v>57</v>
      </c>
      <c r="J817" t="s">
        <v>78</v>
      </c>
      <c r="K817">
        <v>0</v>
      </c>
      <c r="L817">
        <v>2087</v>
      </c>
      <c r="M817">
        <v>0</v>
      </c>
      <c r="N817">
        <v>0</v>
      </c>
      <c r="O817" t="s">
        <v>122</v>
      </c>
      <c r="P817" t="s">
        <v>7058</v>
      </c>
      <c r="Q817" t="s">
        <v>2091</v>
      </c>
      <c r="R817">
        <v>2</v>
      </c>
      <c r="S817">
        <v>2</v>
      </c>
    </row>
    <row r="818" spans="1:19" hidden="1" x14ac:dyDescent="0.3">
      <c r="A818" t="s">
        <v>2086</v>
      </c>
      <c r="B818" t="s">
        <v>2092</v>
      </c>
      <c r="C818" t="s">
        <v>6681</v>
      </c>
      <c r="D818" t="s">
        <v>1997</v>
      </c>
      <c r="E818" t="s">
        <v>222</v>
      </c>
      <c r="F818" t="s">
        <v>30</v>
      </c>
      <c r="G818" s="6">
        <v>46022</v>
      </c>
      <c r="H818" t="s">
        <v>6823</v>
      </c>
      <c r="I818" t="s">
        <v>57</v>
      </c>
      <c r="J818" t="s">
        <v>103</v>
      </c>
      <c r="L818">
        <v>2170</v>
      </c>
      <c r="M818">
        <v>0</v>
      </c>
      <c r="N818">
        <v>0</v>
      </c>
      <c r="P818" t="s">
        <v>7059</v>
      </c>
      <c r="Q818" t="s">
        <v>2094</v>
      </c>
      <c r="R818">
        <v>2</v>
      </c>
      <c r="S818">
        <v>2</v>
      </c>
    </row>
    <row r="819" spans="1:19" hidden="1" x14ac:dyDescent="0.3">
      <c r="A819" t="s">
        <v>2095</v>
      </c>
      <c r="B819" t="s">
        <v>2096</v>
      </c>
      <c r="C819" t="s">
        <v>6681</v>
      </c>
      <c r="D819" t="s">
        <v>1997</v>
      </c>
      <c r="E819" t="s">
        <v>222</v>
      </c>
      <c r="F819" t="s">
        <v>30</v>
      </c>
      <c r="G819" s="6">
        <v>45291</v>
      </c>
      <c r="H819" t="s">
        <v>6811</v>
      </c>
      <c r="I819" t="s">
        <v>57</v>
      </c>
      <c r="J819" t="s">
        <v>47</v>
      </c>
      <c r="K819">
        <v>16</v>
      </c>
      <c r="L819">
        <v>18</v>
      </c>
      <c r="M819">
        <v>1.125</v>
      </c>
      <c r="N819">
        <v>1.125</v>
      </c>
      <c r="O819" t="s">
        <v>809</v>
      </c>
      <c r="P819" t="s">
        <v>1475</v>
      </c>
      <c r="Q819" t="s">
        <v>2098</v>
      </c>
      <c r="R819">
        <v>2</v>
      </c>
      <c r="S819">
        <v>2</v>
      </c>
    </row>
    <row r="820" spans="1:19" hidden="1" x14ac:dyDescent="0.3">
      <c r="A820" t="s">
        <v>2095</v>
      </c>
      <c r="B820" t="s">
        <v>2096</v>
      </c>
      <c r="C820" t="s">
        <v>6681</v>
      </c>
      <c r="D820" t="s">
        <v>1997</v>
      </c>
      <c r="E820" t="s">
        <v>222</v>
      </c>
      <c r="F820" t="s">
        <v>30</v>
      </c>
      <c r="G820" s="6">
        <v>45657</v>
      </c>
      <c r="H820" t="s">
        <v>6816</v>
      </c>
      <c r="I820" t="s">
        <v>57</v>
      </c>
      <c r="J820" t="s">
        <v>78</v>
      </c>
      <c r="K820">
        <v>85</v>
      </c>
      <c r="L820">
        <v>173.33</v>
      </c>
      <c r="M820">
        <v>1.3</v>
      </c>
      <c r="N820">
        <v>2.0391764705882349</v>
      </c>
      <c r="O820" t="s">
        <v>2357</v>
      </c>
      <c r="P820" t="s">
        <v>5842</v>
      </c>
      <c r="Q820" t="s">
        <v>2100</v>
      </c>
      <c r="R820">
        <v>2</v>
      </c>
      <c r="S820">
        <v>2</v>
      </c>
    </row>
    <row r="821" spans="1:19" hidden="1" x14ac:dyDescent="0.3">
      <c r="A821" t="s">
        <v>2095</v>
      </c>
      <c r="B821" t="s">
        <v>2096</v>
      </c>
      <c r="C821" t="s">
        <v>6681</v>
      </c>
      <c r="D821" t="s">
        <v>1997</v>
      </c>
      <c r="E821" t="s">
        <v>98</v>
      </c>
      <c r="F821" t="s">
        <v>30</v>
      </c>
      <c r="G821" s="6">
        <v>46022</v>
      </c>
      <c r="H821" t="s">
        <v>6823</v>
      </c>
      <c r="I821" t="s">
        <v>57</v>
      </c>
      <c r="J821" t="s">
        <v>103</v>
      </c>
      <c r="K821">
        <v>100</v>
      </c>
      <c r="L821">
        <v>100</v>
      </c>
      <c r="M821">
        <v>1</v>
      </c>
      <c r="N821">
        <v>1</v>
      </c>
      <c r="O821" t="s">
        <v>102</v>
      </c>
      <c r="P821" t="s">
        <v>102</v>
      </c>
      <c r="Q821" t="s">
        <v>7064</v>
      </c>
      <c r="R821">
        <v>2</v>
      </c>
      <c r="S821">
        <v>2</v>
      </c>
    </row>
    <row r="822" spans="1:19" hidden="1" x14ac:dyDescent="0.3">
      <c r="A822" t="s">
        <v>2102</v>
      </c>
      <c r="B822" t="s">
        <v>2103</v>
      </c>
      <c r="D822" t="s">
        <v>309</v>
      </c>
      <c r="E822" t="s">
        <v>233</v>
      </c>
      <c r="F822" t="s">
        <v>30</v>
      </c>
      <c r="G822" s="6">
        <v>45291</v>
      </c>
      <c r="H822" t="s">
        <v>6811</v>
      </c>
      <c r="I822" t="s">
        <v>57</v>
      </c>
      <c r="J822" t="s">
        <v>47</v>
      </c>
      <c r="K822">
        <v>95</v>
      </c>
      <c r="L822">
        <v>86.607142857143003</v>
      </c>
      <c r="M822">
        <v>0.91165413533834738</v>
      </c>
      <c r="N822">
        <v>0.91165413533834738</v>
      </c>
      <c r="O822" t="s">
        <v>838</v>
      </c>
      <c r="P822" t="s">
        <v>7065</v>
      </c>
      <c r="Q822" t="s">
        <v>2107</v>
      </c>
      <c r="R822">
        <v>2</v>
      </c>
      <c r="S822">
        <v>2</v>
      </c>
    </row>
    <row r="823" spans="1:19" hidden="1" x14ac:dyDescent="0.3">
      <c r="A823" t="s">
        <v>2102</v>
      </c>
      <c r="B823" t="s">
        <v>2103</v>
      </c>
      <c r="D823" t="s">
        <v>309</v>
      </c>
      <c r="E823" t="s">
        <v>233</v>
      </c>
      <c r="F823" t="s">
        <v>30</v>
      </c>
      <c r="G823" s="6">
        <v>45657</v>
      </c>
      <c r="H823" t="s">
        <v>6816</v>
      </c>
      <c r="I823" t="s">
        <v>57</v>
      </c>
      <c r="J823" t="s">
        <v>78</v>
      </c>
      <c r="K823">
        <v>95</v>
      </c>
      <c r="L823">
        <v>93.333333333333329</v>
      </c>
      <c r="M823">
        <v>0.98245614035087714</v>
      </c>
      <c r="N823">
        <v>0.98245614035087714</v>
      </c>
      <c r="O823" t="s">
        <v>838</v>
      </c>
      <c r="P823" t="s">
        <v>6478</v>
      </c>
      <c r="Q823" t="s">
        <v>2111</v>
      </c>
      <c r="R823">
        <v>2</v>
      </c>
      <c r="S823">
        <v>2</v>
      </c>
    </row>
    <row r="824" spans="1:19" hidden="1" x14ac:dyDescent="0.3">
      <c r="A824" t="s">
        <v>2112</v>
      </c>
      <c r="B824" t="s">
        <v>2113</v>
      </c>
      <c r="C824" t="s">
        <v>6622</v>
      </c>
      <c r="D824" t="s">
        <v>2114</v>
      </c>
      <c r="E824" t="s">
        <v>284</v>
      </c>
      <c r="F824" t="s">
        <v>30</v>
      </c>
      <c r="G824" s="6">
        <v>45291</v>
      </c>
      <c r="H824" t="s">
        <v>6811</v>
      </c>
      <c r="I824" t="s">
        <v>57</v>
      </c>
      <c r="J824" t="s">
        <v>47</v>
      </c>
      <c r="K824">
        <v>360</v>
      </c>
      <c r="L824">
        <v>352.73</v>
      </c>
      <c r="M824">
        <v>0.9798055555555556</v>
      </c>
      <c r="N824">
        <v>0.9798055555555556</v>
      </c>
      <c r="O824" t="s">
        <v>7002</v>
      </c>
      <c r="P824" t="s">
        <v>7066</v>
      </c>
      <c r="Q824" t="s">
        <v>2118</v>
      </c>
      <c r="R824">
        <v>2</v>
      </c>
      <c r="S824">
        <v>2</v>
      </c>
    </row>
    <row r="825" spans="1:19" hidden="1" x14ac:dyDescent="0.3">
      <c r="A825" t="s">
        <v>2112</v>
      </c>
      <c r="B825" t="s">
        <v>2113</v>
      </c>
      <c r="C825" t="s">
        <v>6622</v>
      </c>
      <c r="D825" t="s">
        <v>2114</v>
      </c>
      <c r="E825" t="s">
        <v>284</v>
      </c>
      <c r="F825" t="s">
        <v>30</v>
      </c>
      <c r="G825" s="6">
        <v>45657</v>
      </c>
      <c r="H825" t="s">
        <v>6816</v>
      </c>
      <c r="I825" t="s">
        <v>57</v>
      </c>
      <c r="J825" t="s">
        <v>78</v>
      </c>
      <c r="K825">
        <v>540</v>
      </c>
      <c r="L825">
        <v>591.66666666666697</v>
      </c>
      <c r="M825">
        <v>1.0956790123456801</v>
      </c>
      <c r="N825">
        <v>1.0956790123456801</v>
      </c>
      <c r="O825" t="s">
        <v>7067</v>
      </c>
      <c r="P825" t="s">
        <v>7068</v>
      </c>
      <c r="Q825" t="s">
        <v>2124</v>
      </c>
      <c r="R825">
        <v>2</v>
      </c>
      <c r="S825">
        <v>2</v>
      </c>
    </row>
    <row r="826" spans="1:19" hidden="1" x14ac:dyDescent="0.3">
      <c r="A826" t="s">
        <v>2112</v>
      </c>
      <c r="B826" t="s">
        <v>2113</v>
      </c>
      <c r="C826" t="s">
        <v>6622</v>
      </c>
      <c r="D826" t="s">
        <v>2114</v>
      </c>
      <c r="E826" t="s">
        <v>284</v>
      </c>
      <c r="F826" t="s">
        <v>30</v>
      </c>
      <c r="G826" s="6">
        <v>46022</v>
      </c>
      <c r="H826" t="s">
        <v>6823</v>
      </c>
      <c r="I826" t="s">
        <v>57</v>
      </c>
      <c r="J826" t="s">
        <v>103</v>
      </c>
      <c r="K826">
        <v>540</v>
      </c>
      <c r="L826">
        <v>468.89</v>
      </c>
      <c r="M826">
        <v>0.86831481481481476</v>
      </c>
      <c r="N826">
        <v>0.86831481481481476</v>
      </c>
      <c r="O826" t="s">
        <v>7067</v>
      </c>
      <c r="P826" t="s">
        <v>7069</v>
      </c>
      <c r="Q826" t="s">
        <v>2130</v>
      </c>
      <c r="R826">
        <v>2</v>
      </c>
      <c r="S826">
        <v>2</v>
      </c>
    </row>
    <row r="827" spans="1:19" hidden="1" x14ac:dyDescent="0.3">
      <c r="A827" t="s">
        <v>2131</v>
      </c>
      <c r="B827" t="s">
        <v>2132</v>
      </c>
      <c r="D827" t="s">
        <v>2133</v>
      </c>
      <c r="E827" t="s">
        <v>222</v>
      </c>
      <c r="F827" t="s">
        <v>30</v>
      </c>
      <c r="G827" s="6">
        <v>45291</v>
      </c>
      <c r="H827" t="s">
        <v>6811</v>
      </c>
      <c r="I827" t="s">
        <v>57</v>
      </c>
      <c r="J827" t="s">
        <v>47</v>
      </c>
      <c r="K827">
        <v>100</v>
      </c>
      <c r="L827">
        <v>100</v>
      </c>
      <c r="M827">
        <v>1</v>
      </c>
      <c r="N827">
        <v>1</v>
      </c>
      <c r="O827" t="s">
        <v>102</v>
      </c>
      <c r="P827" t="s">
        <v>102</v>
      </c>
      <c r="Q827" t="s">
        <v>2135</v>
      </c>
      <c r="R827">
        <v>2</v>
      </c>
      <c r="S827">
        <v>2</v>
      </c>
    </row>
    <row r="828" spans="1:19" hidden="1" x14ac:dyDescent="0.3">
      <c r="A828" t="s">
        <v>2131</v>
      </c>
      <c r="B828" t="s">
        <v>2132</v>
      </c>
      <c r="D828" t="s">
        <v>2133</v>
      </c>
      <c r="E828" t="s">
        <v>222</v>
      </c>
      <c r="F828" t="s">
        <v>30</v>
      </c>
      <c r="G828" s="6">
        <v>45657</v>
      </c>
      <c r="H828" t="s">
        <v>6816</v>
      </c>
      <c r="I828" t="s">
        <v>57</v>
      </c>
      <c r="J828" t="s">
        <v>78</v>
      </c>
      <c r="K828">
        <v>100</v>
      </c>
      <c r="L828">
        <v>100</v>
      </c>
      <c r="M828">
        <v>1</v>
      </c>
      <c r="N828">
        <v>1</v>
      </c>
      <c r="O828" t="s">
        <v>102</v>
      </c>
      <c r="P828" t="s">
        <v>102</v>
      </c>
      <c r="Q828" t="s">
        <v>2137</v>
      </c>
      <c r="R828">
        <v>2</v>
      </c>
      <c r="S828">
        <v>2</v>
      </c>
    </row>
    <row r="829" spans="1:19" hidden="1" x14ac:dyDescent="0.3">
      <c r="A829" t="s">
        <v>2138</v>
      </c>
      <c r="B829" t="s">
        <v>2139</v>
      </c>
      <c r="C829" t="s">
        <v>6681</v>
      </c>
      <c r="D829" t="s">
        <v>2133</v>
      </c>
      <c r="E829" t="s">
        <v>222</v>
      </c>
      <c r="F829" t="s">
        <v>30</v>
      </c>
      <c r="G829" s="6">
        <v>45291</v>
      </c>
      <c r="H829" t="s">
        <v>6811</v>
      </c>
      <c r="I829" t="s">
        <v>57</v>
      </c>
      <c r="J829" t="s">
        <v>47</v>
      </c>
      <c r="K829">
        <v>6</v>
      </c>
      <c r="L829">
        <v>38.650099009900998</v>
      </c>
      <c r="M829">
        <v>1.3</v>
      </c>
      <c r="N829">
        <v>6.4416831683168327</v>
      </c>
      <c r="O829" t="s">
        <v>5655</v>
      </c>
      <c r="P829" t="s">
        <v>7070</v>
      </c>
      <c r="Q829" t="s">
        <v>2141</v>
      </c>
      <c r="R829">
        <v>2</v>
      </c>
      <c r="S829">
        <v>2</v>
      </c>
    </row>
    <row r="830" spans="1:19" hidden="1" x14ac:dyDescent="0.3">
      <c r="A830" t="s">
        <v>2138</v>
      </c>
      <c r="B830" t="s">
        <v>2139</v>
      </c>
      <c r="C830" t="s">
        <v>6681</v>
      </c>
      <c r="D830" t="s">
        <v>2133</v>
      </c>
      <c r="E830" t="s">
        <v>222</v>
      </c>
      <c r="F830" t="s">
        <v>30</v>
      </c>
      <c r="G830" s="6">
        <v>45657</v>
      </c>
      <c r="H830" t="s">
        <v>6816</v>
      </c>
      <c r="I830" t="s">
        <v>57</v>
      </c>
      <c r="J830" t="s">
        <v>78</v>
      </c>
      <c r="K830">
        <v>6</v>
      </c>
      <c r="L830">
        <v>37.5777674117966</v>
      </c>
      <c r="M830">
        <v>1.3</v>
      </c>
      <c r="N830">
        <v>6.262961235299433</v>
      </c>
      <c r="O830" t="s">
        <v>5655</v>
      </c>
      <c r="P830" t="s">
        <v>7071</v>
      </c>
      <c r="Q830" t="s">
        <v>2143</v>
      </c>
      <c r="R830">
        <v>2</v>
      </c>
      <c r="S830">
        <v>2</v>
      </c>
    </row>
    <row r="831" spans="1:19" hidden="1" x14ac:dyDescent="0.3">
      <c r="A831" t="s">
        <v>2138</v>
      </c>
      <c r="B831" t="s">
        <v>2139</v>
      </c>
      <c r="C831" t="s">
        <v>6681</v>
      </c>
      <c r="D831" t="s">
        <v>2133</v>
      </c>
      <c r="E831" t="s">
        <v>222</v>
      </c>
      <c r="F831" t="s">
        <v>30</v>
      </c>
      <c r="G831" s="6">
        <v>46022</v>
      </c>
      <c r="H831" t="s">
        <v>6823</v>
      </c>
      <c r="I831" t="s">
        <v>57</v>
      </c>
      <c r="J831" t="s">
        <v>103</v>
      </c>
      <c r="K831">
        <v>16</v>
      </c>
      <c r="L831">
        <v>21</v>
      </c>
      <c r="M831">
        <v>1.3</v>
      </c>
      <c r="N831">
        <v>1.3125</v>
      </c>
      <c r="O831" t="s">
        <v>809</v>
      </c>
      <c r="P831" t="s">
        <v>1465</v>
      </c>
      <c r="Q831" t="s">
        <v>2150</v>
      </c>
      <c r="R831">
        <v>2</v>
      </c>
      <c r="S831">
        <v>2</v>
      </c>
    </row>
    <row r="832" spans="1:19" hidden="1" x14ac:dyDescent="0.3">
      <c r="A832" t="s">
        <v>2151</v>
      </c>
      <c r="B832" t="s">
        <v>2152</v>
      </c>
      <c r="D832" t="s">
        <v>2133</v>
      </c>
      <c r="E832" t="s">
        <v>222</v>
      </c>
      <c r="F832" t="s">
        <v>30</v>
      </c>
      <c r="G832" s="6">
        <v>45291</v>
      </c>
      <c r="H832" t="s">
        <v>6811</v>
      </c>
      <c r="I832" t="s">
        <v>57</v>
      </c>
      <c r="J832" t="s">
        <v>47</v>
      </c>
      <c r="K832">
        <v>100</v>
      </c>
      <c r="L832">
        <v>100</v>
      </c>
      <c r="M832">
        <v>1</v>
      </c>
      <c r="N832">
        <v>1</v>
      </c>
      <c r="O832" t="s">
        <v>102</v>
      </c>
      <c r="P832" t="s">
        <v>102</v>
      </c>
      <c r="Q832" t="s">
        <v>2154</v>
      </c>
      <c r="R832">
        <v>2</v>
      </c>
      <c r="S832">
        <v>2</v>
      </c>
    </row>
    <row r="833" spans="1:19" hidden="1" x14ac:dyDescent="0.3">
      <c r="A833" t="s">
        <v>2151</v>
      </c>
      <c r="B833" t="s">
        <v>2152</v>
      </c>
      <c r="D833" t="s">
        <v>2133</v>
      </c>
      <c r="E833" t="s">
        <v>222</v>
      </c>
      <c r="F833" t="s">
        <v>30</v>
      </c>
      <c r="G833" s="6">
        <v>45657</v>
      </c>
      <c r="H833" t="s">
        <v>6816</v>
      </c>
      <c r="I833" t="s">
        <v>57</v>
      </c>
      <c r="J833" t="s">
        <v>78</v>
      </c>
      <c r="K833">
        <v>100</v>
      </c>
      <c r="L833">
        <v>100</v>
      </c>
      <c r="M833">
        <v>1</v>
      </c>
      <c r="N833">
        <v>1</v>
      </c>
      <c r="O833" t="s">
        <v>102</v>
      </c>
      <c r="P833" t="s">
        <v>102</v>
      </c>
      <c r="Q833" t="s">
        <v>2156</v>
      </c>
      <c r="R833">
        <v>2</v>
      </c>
      <c r="S833">
        <v>2</v>
      </c>
    </row>
    <row r="834" spans="1:19" hidden="1" x14ac:dyDescent="0.3">
      <c r="A834" t="s">
        <v>2157</v>
      </c>
      <c r="B834" t="s">
        <v>2158</v>
      </c>
      <c r="C834" t="s">
        <v>6681</v>
      </c>
      <c r="D834" t="s">
        <v>2133</v>
      </c>
      <c r="E834" t="s">
        <v>222</v>
      </c>
      <c r="F834" t="s">
        <v>30</v>
      </c>
      <c r="G834" s="6">
        <v>45291</v>
      </c>
      <c r="H834" t="s">
        <v>6811</v>
      </c>
      <c r="I834" t="s">
        <v>57</v>
      </c>
      <c r="J834" t="s">
        <v>47</v>
      </c>
      <c r="K834">
        <v>6</v>
      </c>
      <c r="L834">
        <v>72.148730158730203</v>
      </c>
      <c r="M834">
        <v>1.3</v>
      </c>
      <c r="N834">
        <v>12.024788359788371</v>
      </c>
      <c r="O834" t="s">
        <v>5655</v>
      </c>
      <c r="P834" t="s">
        <v>7072</v>
      </c>
      <c r="Q834" t="s">
        <v>2160</v>
      </c>
      <c r="R834">
        <v>2</v>
      </c>
      <c r="S834">
        <v>2</v>
      </c>
    </row>
    <row r="835" spans="1:19" hidden="1" x14ac:dyDescent="0.3">
      <c r="A835" t="s">
        <v>2157</v>
      </c>
      <c r="B835" t="s">
        <v>2162</v>
      </c>
      <c r="C835" t="s">
        <v>6681</v>
      </c>
      <c r="D835" t="s">
        <v>2133</v>
      </c>
      <c r="E835" t="s">
        <v>222</v>
      </c>
      <c r="F835" t="s">
        <v>30</v>
      </c>
      <c r="G835" s="6">
        <v>45657</v>
      </c>
      <c r="H835" t="s">
        <v>6816</v>
      </c>
      <c r="I835" t="s">
        <v>57</v>
      </c>
      <c r="J835" t="s">
        <v>78</v>
      </c>
      <c r="K835">
        <v>6</v>
      </c>
      <c r="L835">
        <v>31.776694521819799</v>
      </c>
      <c r="M835">
        <v>1.3</v>
      </c>
      <c r="N835">
        <v>5.2961157536366326</v>
      </c>
      <c r="O835" t="s">
        <v>5655</v>
      </c>
      <c r="P835" t="s">
        <v>7073</v>
      </c>
      <c r="Q835" t="s">
        <v>2163</v>
      </c>
      <c r="R835">
        <v>2</v>
      </c>
      <c r="S835">
        <v>2</v>
      </c>
    </row>
    <row r="836" spans="1:19" hidden="1" x14ac:dyDescent="0.3">
      <c r="A836" t="s">
        <v>2157</v>
      </c>
      <c r="B836" t="s">
        <v>2162</v>
      </c>
      <c r="C836" t="s">
        <v>6681</v>
      </c>
      <c r="D836" t="s">
        <v>2133</v>
      </c>
      <c r="E836" t="s">
        <v>222</v>
      </c>
      <c r="F836" t="s">
        <v>30</v>
      </c>
      <c r="G836" s="6">
        <v>46022</v>
      </c>
      <c r="H836" t="s">
        <v>6823</v>
      </c>
      <c r="I836" t="s">
        <v>57</v>
      </c>
      <c r="J836" t="s">
        <v>103</v>
      </c>
      <c r="K836">
        <v>16</v>
      </c>
      <c r="L836">
        <v>44.830000000000013</v>
      </c>
      <c r="M836">
        <v>1.3</v>
      </c>
      <c r="N836">
        <v>2.8018749999999999</v>
      </c>
      <c r="O836" t="s">
        <v>809</v>
      </c>
      <c r="P836" t="s">
        <v>7074</v>
      </c>
      <c r="Q836" t="s">
        <v>2169</v>
      </c>
      <c r="R836">
        <v>2</v>
      </c>
      <c r="S836">
        <v>2</v>
      </c>
    </row>
    <row r="837" spans="1:19" hidden="1" x14ac:dyDescent="0.3">
      <c r="A837" t="s">
        <v>2170</v>
      </c>
      <c r="B837" t="s">
        <v>2171</v>
      </c>
      <c r="D837" t="s">
        <v>283</v>
      </c>
      <c r="E837" t="s">
        <v>222</v>
      </c>
      <c r="F837" t="s">
        <v>30</v>
      </c>
      <c r="G837" s="6">
        <v>45291</v>
      </c>
      <c r="H837" t="s">
        <v>6811</v>
      </c>
      <c r="I837" t="s">
        <v>57</v>
      </c>
      <c r="J837" t="s">
        <v>47</v>
      </c>
      <c r="K837">
        <v>16</v>
      </c>
      <c r="L837">
        <v>7</v>
      </c>
      <c r="M837">
        <v>0.4375</v>
      </c>
      <c r="N837">
        <v>0.4375</v>
      </c>
      <c r="O837" t="s">
        <v>809</v>
      </c>
      <c r="P837" t="s">
        <v>5558</v>
      </c>
      <c r="Q837" t="s">
        <v>2173</v>
      </c>
      <c r="R837">
        <v>2</v>
      </c>
      <c r="S837">
        <v>2</v>
      </c>
    </row>
    <row r="838" spans="1:19" hidden="1" x14ac:dyDescent="0.3">
      <c r="A838" t="s">
        <v>2170</v>
      </c>
      <c r="B838" t="s">
        <v>2171</v>
      </c>
      <c r="D838" t="s">
        <v>283</v>
      </c>
      <c r="E838" t="s">
        <v>222</v>
      </c>
      <c r="F838" t="s">
        <v>30</v>
      </c>
      <c r="G838" s="6">
        <v>45657</v>
      </c>
      <c r="H838" t="s">
        <v>6816</v>
      </c>
      <c r="I838" t="s">
        <v>57</v>
      </c>
      <c r="J838" t="s">
        <v>78</v>
      </c>
      <c r="K838">
        <v>60</v>
      </c>
      <c r="L838">
        <v>52.38</v>
      </c>
      <c r="M838">
        <v>0.873</v>
      </c>
      <c r="N838">
        <v>0.873</v>
      </c>
      <c r="O838" t="s">
        <v>2640</v>
      </c>
      <c r="P838" t="s">
        <v>5857</v>
      </c>
      <c r="Q838" t="s">
        <v>7075</v>
      </c>
      <c r="R838">
        <v>2</v>
      </c>
      <c r="S838">
        <v>2</v>
      </c>
    </row>
    <row r="839" spans="1:19" hidden="1" x14ac:dyDescent="0.3">
      <c r="A839" t="s">
        <v>2175</v>
      </c>
      <c r="B839" t="s">
        <v>2176</v>
      </c>
      <c r="D839" t="s">
        <v>2177</v>
      </c>
      <c r="E839" t="s">
        <v>284</v>
      </c>
      <c r="F839" t="s">
        <v>30</v>
      </c>
      <c r="G839" s="6">
        <v>45291</v>
      </c>
      <c r="H839" t="s">
        <v>6811</v>
      </c>
      <c r="I839" t="s">
        <v>57</v>
      </c>
      <c r="J839" t="s">
        <v>47</v>
      </c>
      <c r="K839">
        <v>83.333333333333329</v>
      </c>
      <c r="L839">
        <v>78.786666666666676</v>
      </c>
      <c r="M839">
        <v>0.94544000000000017</v>
      </c>
      <c r="N839">
        <v>0.94544000000000017</v>
      </c>
      <c r="O839" t="s">
        <v>902</v>
      </c>
      <c r="P839" t="s">
        <v>5858</v>
      </c>
      <c r="Q839" t="s">
        <v>2180</v>
      </c>
      <c r="R839">
        <v>2</v>
      </c>
      <c r="S839">
        <v>2</v>
      </c>
    </row>
    <row r="840" spans="1:19" hidden="1" x14ac:dyDescent="0.3">
      <c r="A840" t="s">
        <v>2181</v>
      </c>
      <c r="B840" t="s">
        <v>2182</v>
      </c>
      <c r="D840" t="s">
        <v>2177</v>
      </c>
      <c r="E840" t="s">
        <v>284</v>
      </c>
      <c r="F840" t="s">
        <v>108</v>
      </c>
      <c r="G840" s="6">
        <v>45291</v>
      </c>
      <c r="H840" t="s">
        <v>6811</v>
      </c>
      <c r="I840" t="s">
        <v>57</v>
      </c>
      <c r="J840" t="s">
        <v>47</v>
      </c>
      <c r="K840">
        <v>20</v>
      </c>
      <c r="L840">
        <v>0.70666666666666667</v>
      </c>
      <c r="M840">
        <v>1.3</v>
      </c>
      <c r="N840">
        <v>28.30188679245283</v>
      </c>
      <c r="O840" t="s">
        <v>1298</v>
      </c>
      <c r="P840" t="s">
        <v>5859</v>
      </c>
      <c r="Q840" t="s">
        <v>2185</v>
      </c>
      <c r="R840">
        <v>2</v>
      </c>
      <c r="S840">
        <v>2</v>
      </c>
    </row>
    <row r="841" spans="1:19" hidden="1" x14ac:dyDescent="0.3">
      <c r="A841" t="s">
        <v>2186</v>
      </c>
      <c r="B841" t="s">
        <v>2187</v>
      </c>
      <c r="D841" t="s">
        <v>2177</v>
      </c>
      <c r="E841" t="s">
        <v>222</v>
      </c>
      <c r="F841" t="s">
        <v>108</v>
      </c>
      <c r="G841" s="6">
        <v>45291</v>
      </c>
      <c r="H841" t="s">
        <v>6811</v>
      </c>
      <c r="I841" t="s">
        <v>57</v>
      </c>
      <c r="J841" t="s">
        <v>47</v>
      </c>
      <c r="L841">
        <v>1</v>
      </c>
      <c r="M841">
        <v>0</v>
      </c>
      <c r="N841">
        <v>0</v>
      </c>
      <c r="P841" t="s">
        <v>617</v>
      </c>
      <c r="Q841" t="s">
        <v>2189</v>
      </c>
      <c r="R841">
        <v>2</v>
      </c>
      <c r="S841">
        <v>2</v>
      </c>
    </row>
    <row r="842" spans="1:19" hidden="1" x14ac:dyDescent="0.3">
      <c r="A842" t="s">
        <v>2190</v>
      </c>
      <c r="B842" t="s">
        <v>2191</v>
      </c>
      <c r="D842" t="s">
        <v>2114</v>
      </c>
      <c r="E842" t="s">
        <v>29</v>
      </c>
      <c r="F842" t="s">
        <v>30</v>
      </c>
      <c r="G842" s="6">
        <v>45291</v>
      </c>
      <c r="H842" t="s">
        <v>6811</v>
      </c>
      <c r="I842" t="s">
        <v>57</v>
      </c>
      <c r="J842" t="s">
        <v>47</v>
      </c>
      <c r="K842">
        <v>66.416666666666671</v>
      </c>
      <c r="L842">
        <v>66.75</v>
      </c>
      <c r="M842">
        <v>1.005018820577164</v>
      </c>
      <c r="N842">
        <v>1.005018820577164</v>
      </c>
      <c r="O842" t="s">
        <v>7076</v>
      </c>
      <c r="P842" t="s">
        <v>7077</v>
      </c>
      <c r="Q842" t="s">
        <v>2203</v>
      </c>
      <c r="R842">
        <v>2</v>
      </c>
      <c r="S842">
        <v>2</v>
      </c>
    </row>
    <row r="843" spans="1:19" hidden="1" x14ac:dyDescent="0.3">
      <c r="A843" t="s">
        <v>2190</v>
      </c>
      <c r="B843" t="s">
        <v>2191</v>
      </c>
      <c r="D843" t="s">
        <v>2114</v>
      </c>
      <c r="E843" t="s">
        <v>29</v>
      </c>
      <c r="F843" t="s">
        <v>30</v>
      </c>
      <c r="G843" s="6">
        <v>45657</v>
      </c>
      <c r="H843" t="s">
        <v>6816</v>
      </c>
      <c r="I843" t="s">
        <v>57</v>
      </c>
      <c r="J843" t="s">
        <v>78</v>
      </c>
      <c r="K843">
        <v>100</v>
      </c>
      <c r="L843">
        <v>99.5</v>
      </c>
      <c r="M843">
        <v>0.995</v>
      </c>
      <c r="N843">
        <v>0.995</v>
      </c>
      <c r="O843" t="s">
        <v>102</v>
      </c>
      <c r="P843" t="s">
        <v>4057</v>
      </c>
      <c r="Q843" t="s">
        <v>7078</v>
      </c>
      <c r="R843">
        <v>2</v>
      </c>
      <c r="S843">
        <v>2</v>
      </c>
    </row>
    <row r="844" spans="1:19" hidden="1" x14ac:dyDescent="0.3">
      <c r="A844" t="s">
        <v>2206</v>
      </c>
      <c r="B844" t="s">
        <v>2207</v>
      </c>
      <c r="C844" t="s">
        <v>6681</v>
      </c>
      <c r="D844" t="s">
        <v>169</v>
      </c>
      <c r="E844" t="s">
        <v>233</v>
      </c>
      <c r="F844" t="s">
        <v>30</v>
      </c>
      <c r="G844" s="6">
        <v>45291</v>
      </c>
      <c r="H844" t="s">
        <v>6811</v>
      </c>
      <c r="I844" t="s">
        <v>57</v>
      </c>
      <c r="J844" t="s">
        <v>47</v>
      </c>
      <c r="K844">
        <v>100</v>
      </c>
      <c r="L844">
        <v>100</v>
      </c>
      <c r="M844">
        <v>1</v>
      </c>
      <c r="N844">
        <v>1</v>
      </c>
      <c r="O844" t="s">
        <v>102</v>
      </c>
      <c r="P844" t="s">
        <v>102</v>
      </c>
      <c r="Q844" t="s">
        <v>2211</v>
      </c>
      <c r="R844">
        <v>2</v>
      </c>
      <c r="S844">
        <v>2</v>
      </c>
    </row>
    <row r="845" spans="1:19" hidden="1" x14ac:dyDescent="0.3">
      <c r="A845" t="s">
        <v>2206</v>
      </c>
      <c r="B845" t="s">
        <v>2207</v>
      </c>
      <c r="C845" t="s">
        <v>6681</v>
      </c>
      <c r="D845" t="s">
        <v>169</v>
      </c>
      <c r="E845" t="s">
        <v>233</v>
      </c>
      <c r="F845" t="s">
        <v>30</v>
      </c>
      <c r="G845" s="6">
        <v>45657</v>
      </c>
      <c r="H845" t="s">
        <v>6816</v>
      </c>
      <c r="I845" t="s">
        <v>57</v>
      </c>
      <c r="J845" t="s">
        <v>78</v>
      </c>
      <c r="K845">
        <v>100</v>
      </c>
      <c r="L845">
        <v>100</v>
      </c>
      <c r="M845">
        <v>1</v>
      </c>
      <c r="N845">
        <v>1</v>
      </c>
      <c r="O845" t="s">
        <v>102</v>
      </c>
      <c r="P845" t="s">
        <v>102</v>
      </c>
      <c r="Q845" t="s">
        <v>2215</v>
      </c>
      <c r="R845">
        <v>2</v>
      </c>
      <c r="S845">
        <v>2</v>
      </c>
    </row>
    <row r="846" spans="1:19" hidden="1" x14ac:dyDescent="0.3">
      <c r="A846" t="s">
        <v>2206</v>
      </c>
      <c r="B846" t="s">
        <v>2207</v>
      </c>
      <c r="C846" t="s">
        <v>6681</v>
      </c>
      <c r="D846" t="s">
        <v>169</v>
      </c>
      <c r="E846" t="s">
        <v>233</v>
      </c>
      <c r="F846" t="s">
        <v>30</v>
      </c>
      <c r="G846" s="6">
        <v>46022</v>
      </c>
      <c r="H846" t="s">
        <v>6823</v>
      </c>
      <c r="I846" t="s">
        <v>57</v>
      </c>
      <c r="J846" t="s">
        <v>103</v>
      </c>
      <c r="K846">
        <v>100</v>
      </c>
      <c r="L846">
        <v>100</v>
      </c>
      <c r="M846">
        <v>1</v>
      </c>
      <c r="N846">
        <v>1</v>
      </c>
      <c r="O846" t="s">
        <v>102</v>
      </c>
      <c r="P846" t="s">
        <v>102</v>
      </c>
      <c r="Q846" t="s">
        <v>2218</v>
      </c>
      <c r="R846">
        <v>2</v>
      </c>
      <c r="S846">
        <v>2</v>
      </c>
    </row>
    <row r="847" spans="1:19" hidden="1" x14ac:dyDescent="0.3">
      <c r="A847" t="s">
        <v>2219</v>
      </c>
      <c r="B847" t="s">
        <v>2220</v>
      </c>
      <c r="C847" t="s">
        <v>6681</v>
      </c>
      <c r="D847" t="s">
        <v>169</v>
      </c>
      <c r="E847" t="s">
        <v>233</v>
      </c>
      <c r="F847" t="s">
        <v>30</v>
      </c>
      <c r="G847" s="6">
        <v>45291</v>
      </c>
      <c r="H847" t="s">
        <v>6811</v>
      </c>
      <c r="I847" t="s">
        <v>57</v>
      </c>
      <c r="J847" t="s">
        <v>47</v>
      </c>
      <c r="K847">
        <v>100</v>
      </c>
      <c r="L847">
        <v>100</v>
      </c>
      <c r="M847">
        <v>1</v>
      </c>
      <c r="N847">
        <v>1</v>
      </c>
      <c r="O847" t="s">
        <v>102</v>
      </c>
      <c r="P847" t="s">
        <v>102</v>
      </c>
      <c r="Q847" t="s">
        <v>2224</v>
      </c>
      <c r="R847">
        <v>2</v>
      </c>
      <c r="S847">
        <v>2</v>
      </c>
    </row>
    <row r="848" spans="1:19" hidden="1" x14ac:dyDescent="0.3">
      <c r="A848" t="s">
        <v>2219</v>
      </c>
      <c r="B848" t="s">
        <v>2220</v>
      </c>
      <c r="C848" t="s">
        <v>6681</v>
      </c>
      <c r="D848" t="s">
        <v>169</v>
      </c>
      <c r="E848" t="s">
        <v>233</v>
      </c>
      <c r="F848" t="s">
        <v>30</v>
      </c>
      <c r="G848" s="6">
        <v>45657</v>
      </c>
      <c r="H848" t="s">
        <v>6816</v>
      </c>
      <c r="I848" t="s">
        <v>57</v>
      </c>
      <c r="J848" t="s">
        <v>78</v>
      </c>
      <c r="K848">
        <v>100</v>
      </c>
      <c r="L848">
        <v>100</v>
      </c>
      <c r="M848">
        <v>1</v>
      </c>
      <c r="N848">
        <v>1</v>
      </c>
      <c r="O848" t="s">
        <v>102</v>
      </c>
      <c r="P848" t="s">
        <v>102</v>
      </c>
      <c r="Q848" t="s">
        <v>2228</v>
      </c>
      <c r="R848">
        <v>2</v>
      </c>
      <c r="S848">
        <v>2</v>
      </c>
    </row>
    <row r="849" spans="1:19" hidden="1" x14ac:dyDescent="0.3">
      <c r="A849" t="s">
        <v>2219</v>
      </c>
      <c r="B849" t="s">
        <v>2220</v>
      </c>
      <c r="C849" t="s">
        <v>6681</v>
      </c>
      <c r="D849" t="s">
        <v>169</v>
      </c>
      <c r="E849" t="s">
        <v>233</v>
      </c>
      <c r="F849" t="s">
        <v>30</v>
      </c>
      <c r="G849" s="6">
        <v>46022</v>
      </c>
      <c r="H849" t="s">
        <v>6823</v>
      </c>
      <c r="I849" t="s">
        <v>57</v>
      </c>
      <c r="J849" t="s">
        <v>103</v>
      </c>
      <c r="K849">
        <v>100</v>
      </c>
      <c r="L849">
        <v>100</v>
      </c>
      <c r="M849">
        <v>1</v>
      </c>
      <c r="N849">
        <v>1</v>
      </c>
      <c r="O849" t="s">
        <v>102</v>
      </c>
      <c r="P849" t="s">
        <v>102</v>
      </c>
      <c r="Q849" t="s">
        <v>2231</v>
      </c>
      <c r="R849">
        <v>2</v>
      </c>
      <c r="S849">
        <v>2</v>
      </c>
    </row>
    <row r="850" spans="1:19" hidden="1" x14ac:dyDescent="0.3">
      <c r="A850" t="s">
        <v>2232</v>
      </c>
      <c r="B850" t="s">
        <v>2233</v>
      </c>
      <c r="C850" t="s">
        <v>6681</v>
      </c>
      <c r="D850" t="s">
        <v>133</v>
      </c>
      <c r="E850" t="s">
        <v>222</v>
      </c>
      <c r="F850" t="s">
        <v>30</v>
      </c>
      <c r="G850" s="6">
        <v>45291</v>
      </c>
      <c r="H850" t="s">
        <v>6811</v>
      </c>
      <c r="I850" t="s">
        <v>57</v>
      </c>
      <c r="J850" t="s">
        <v>47</v>
      </c>
      <c r="K850">
        <v>0</v>
      </c>
      <c r="L850">
        <v>37846</v>
      </c>
      <c r="M850">
        <v>0</v>
      </c>
      <c r="N850">
        <v>0</v>
      </c>
      <c r="O850" t="s">
        <v>122</v>
      </c>
      <c r="P850" t="s">
        <v>7079</v>
      </c>
      <c r="Q850" t="s">
        <v>2235</v>
      </c>
      <c r="R850">
        <v>2</v>
      </c>
      <c r="S850">
        <v>2</v>
      </c>
    </row>
    <row r="851" spans="1:19" hidden="1" x14ac:dyDescent="0.3">
      <c r="A851" t="s">
        <v>2232</v>
      </c>
      <c r="B851" t="s">
        <v>2233</v>
      </c>
      <c r="C851" t="s">
        <v>6681</v>
      </c>
      <c r="D851" t="s">
        <v>133</v>
      </c>
      <c r="E851" t="s">
        <v>222</v>
      </c>
      <c r="F851" t="s">
        <v>30</v>
      </c>
      <c r="G851" s="6">
        <v>45657</v>
      </c>
      <c r="H851" t="s">
        <v>6816</v>
      </c>
      <c r="I851" t="s">
        <v>57</v>
      </c>
      <c r="J851" t="s">
        <v>78</v>
      </c>
      <c r="K851">
        <v>0</v>
      </c>
      <c r="L851">
        <v>18355</v>
      </c>
      <c r="M851">
        <v>0</v>
      </c>
      <c r="N851">
        <v>0</v>
      </c>
      <c r="O851" t="s">
        <v>122</v>
      </c>
      <c r="P851" t="s">
        <v>5867</v>
      </c>
      <c r="Q851" t="s">
        <v>2237</v>
      </c>
      <c r="R851">
        <v>2</v>
      </c>
      <c r="S851">
        <v>2</v>
      </c>
    </row>
    <row r="852" spans="1:19" hidden="1" x14ac:dyDescent="0.3">
      <c r="A852" t="s">
        <v>2232</v>
      </c>
      <c r="B852" t="s">
        <v>2238</v>
      </c>
      <c r="C852" t="s">
        <v>6681</v>
      </c>
      <c r="D852" t="s">
        <v>133</v>
      </c>
      <c r="E852" t="s">
        <v>222</v>
      </c>
      <c r="F852" t="s">
        <v>30</v>
      </c>
      <c r="G852" s="6">
        <v>46022</v>
      </c>
      <c r="H852" t="s">
        <v>6823</v>
      </c>
      <c r="I852" t="s">
        <v>57</v>
      </c>
      <c r="J852" t="s">
        <v>103</v>
      </c>
      <c r="L852">
        <v>53083</v>
      </c>
      <c r="M852">
        <v>0</v>
      </c>
      <c r="N852">
        <v>0</v>
      </c>
      <c r="P852" t="s">
        <v>7080</v>
      </c>
      <c r="Q852" t="s">
        <v>2244</v>
      </c>
      <c r="R852">
        <v>2</v>
      </c>
      <c r="S852">
        <v>2</v>
      </c>
    </row>
    <row r="853" spans="1:19" hidden="1" x14ac:dyDescent="0.3">
      <c r="A853" t="s">
        <v>2245</v>
      </c>
      <c r="B853" t="s">
        <v>2246</v>
      </c>
      <c r="C853" t="s">
        <v>6681</v>
      </c>
      <c r="D853" t="s">
        <v>161</v>
      </c>
      <c r="E853" t="s">
        <v>222</v>
      </c>
      <c r="F853" t="s">
        <v>30</v>
      </c>
      <c r="G853" s="6">
        <v>45291</v>
      </c>
      <c r="H853" t="s">
        <v>6811</v>
      </c>
      <c r="I853" t="s">
        <v>57</v>
      </c>
      <c r="J853" t="s">
        <v>47</v>
      </c>
      <c r="K853">
        <v>200</v>
      </c>
      <c r="L853">
        <v>155.31</v>
      </c>
      <c r="M853">
        <v>0.77654999999999996</v>
      </c>
      <c r="N853">
        <v>0.77654999999999996</v>
      </c>
      <c r="O853" t="s">
        <v>2396</v>
      </c>
      <c r="P853" t="s">
        <v>7081</v>
      </c>
      <c r="Q853" t="s">
        <v>2248</v>
      </c>
      <c r="R853">
        <v>2</v>
      </c>
      <c r="S853">
        <v>2</v>
      </c>
    </row>
    <row r="854" spans="1:19" hidden="1" x14ac:dyDescent="0.3">
      <c r="A854" t="s">
        <v>2245</v>
      </c>
      <c r="B854" t="s">
        <v>2246</v>
      </c>
      <c r="C854" t="s">
        <v>6681</v>
      </c>
      <c r="D854" t="s">
        <v>161</v>
      </c>
      <c r="E854" t="s">
        <v>222</v>
      </c>
      <c r="F854" t="s">
        <v>30</v>
      </c>
      <c r="G854" s="6">
        <v>45657</v>
      </c>
      <c r="H854" t="s">
        <v>6816</v>
      </c>
      <c r="I854" t="s">
        <v>57</v>
      </c>
      <c r="J854" t="s">
        <v>78</v>
      </c>
      <c r="K854">
        <v>190</v>
      </c>
      <c r="L854">
        <v>195.65217391304341</v>
      </c>
      <c r="M854">
        <v>1.02974828375286</v>
      </c>
      <c r="N854">
        <v>1.02974828375286</v>
      </c>
      <c r="O854" t="s">
        <v>6214</v>
      </c>
      <c r="P854" t="s">
        <v>7082</v>
      </c>
      <c r="Q854" t="s">
        <v>2250</v>
      </c>
      <c r="R854">
        <v>2</v>
      </c>
      <c r="S854">
        <v>2</v>
      </c>
    </row>
    <row r="855" spans="1:19" hidden="1" x14ac:dyDescent="0.3">
      <c r="A855" t="s">
        <v>2245</v>
      </c>
      <c r="B855" t="s">
        <v>2246</v>
      </c>
      <c r="C855" t="s">
        <v>6681</v>
      </c>
      <c r="D855" t="s">
        <v>161</v>
      </c>
      <c r="E855" t="s">
        <v>222</v>
      </c>
      <c r="F855" t="s">
        <v>30</v>
      </c>
      <c r="G855" s="6">
        <v>46022</v>
      </c>
      <c r="H855" t="s">
        <v>6823</v>
      </c>
      <c r="I855" t="s">
        <v>57</v>
      </c>
      <c r="J855" t="s">
        <v>103</v>
      </c>
      <c r="K855">
        <v>190</v>
      </c>
      <c r="L855">
        <v>190.32</v>
      </c>
      <c r="M855">
        <v>1.001684210526316</v>
      </c>
      <c r="N855">
        <v>1.001684210526316</v>
      </c>
      <c r="O855" t="s">
        <v>6214</v>
      </c>
      <c r="P855" t="s">
        <v>7083</v>
      </c>
      <c r="Q855" t="s">
        <v>2254</v>
      </c>
      <c r="R855">
        <v>2</v>
      </c>
      <c r="S855">
        <v>2</v>
      </c>
    </row>
    <row r="856" spans="1:19" hidden="1" x14ac:dyDescent="0.3">
      <c r="A856" t="s">
        <v>2255</v>
      </c>
      <c r="B856" t="s">
        <v>2256</v>
      </c>
      <c r="C856" t="s">
        <v>6681</v>
      </c>
      <c r="D856" t="s">
        <v>161</v>
      </c>
      <c r="E856" t="s">
        <v>222</v>
      </c>
      <c r="F856" t="s">
        <v>30</v>
      </c>
      <c r="G856" s="6">
        <v>45291</v>
      </c>
      <c r="H856" t="s">
        <v>6811</v>
      </c>
      <c r="I856" t="s">
        <v>57</v>
      </c>
      <c r="J856" t="s">
        <v>47</v>
      </c>
      <c r="K856">
        <v>1863</v>
      </c>
      <c r="L856">
        <v>3411</v>
      </c>
      <c r="M856">
        <v>1.3</v>
      </c>
      <c r="N856">
        <v>1.830917874396135</v>
      </c>
      <c r="O856" t="s">
        <v>5870</v>
      </c>
      <c r="P856" t="s">
        <v>7084</v>
      </c>
      <c r="Q856" t="s">
        <v>2258</v>
      </c>
      <c r="R856">
        <v>2</v>
      </c>
      <c r="S856">
        <v>2</v>
      </c>
    </row>
    <row r="857" spans="1:19" hidden="1" x14ac:dyDescent="0.3">
      <c r="A857" t="s">
        <v>2255</v>
      </c>
      <c r="B857" t="s">
        <v>2256</v>
      </c>
      <c r="C857" t="s">
        <v>6681</v>
      </c>
      <c r="D857" t="s">
        <v>161</v>
      </c>
      <c r="E857" t="s">
        <v>222</v>
      </c>
      <c r="F857" t="s">
        <v>30</v>
      </c>
      <c r="G857" s="6">
        <v>45657</v>
      </c>
      <c r="H857" t="s">
        <v>6816</v>
      </c>
      <c r="I857" t="s">
        <v>57</v>
      </c>
      <c r="J857" t="s">
        <v>78</v>
      </c>
      <c r="K857">
        <v>3400</v>
      </c>
      <c r="L857">
        <v>3122.5</v>
      </c>
      <c r="M857">
        <v>0.91838235294117643</v>
      </c>
      <c r="N857">
        <v>0.91838235294117643</v>
      </c>
      <c r="O857" t="s">
        <v>5873</v>
      </c>
      <c r="P857" t="s">
        <v>7085</v>
      </c>
      <c r="Q857" t="s">
        <v>2260</v>
      </c>
      <c r="R857">
        <v>2</v>
      </c>
      <c r="S857">
        <v>2</v>
      </c>
    </row>
    <row r="858" spans="1:19" hidden="1" x14ac:dyDescent="0.3">
      <c r="A858" t="s">
        <v>2255</v>
      </c>
      <c r="B858" t="s">
        <v>2256</v>
      </c>
      <c r="C858" t="s">
        <v>6681</v>
      </c>
      <c r="D858" t="s">
        <v>161</v>
      </c>
      <c r="E858" t="s">
        <v>222</v>
      </c>
      <c r="F858" t="s">
        <v>30</v>
      </c>
      <c r="G858" s="6">
        <v>46022</v>
      </c>
      <c r="H858" t="s">
        <v>6823</v>
      </c>
      <c r="I858" t="s">
        <v>57</v>
      </c>
      <c r="J858" t="s">
        <v>103</v>
      </c>
      <c r="K858">
        <v>100</v>
      </c>
      <c r="L858">
        <v>107.28</v>
      </c>
      <c r="M858">
        <v>1.0728</v>
      </c>
      <c r="N858">
        <v>1.0728</v>
      </c>
      <c r="O858" t="s">
        <v>102</v>
      </c>
      <c r="P858" t="s">
        <v>7086</v>
      </c>
      <c r="Q858" t="s">
        <v>2266</v>
      </c>
      <c r="R858">
        <v>2</v>
      </c>
      <c r="S858">
        <v>2</v>
      </c>
    </row>
    <row r="859" spans="1:19" hidden="1" x14ac:dyDescent="0.3">
      <c r="A859" t="s">
        <v>2267</v>
      </c>
      <c r="B859" t="s">
        <v>2268</v>
      </c>
      <c r="D859" t="s">
        <v>161</v>
      </c>
      <c r="E859" t="s">
        <v>98</v>
      </c>
      <c r="F859" t="s">
        <v>30</v>
      </c>
      <c r="G859" s="6">
        <v>45291</v>
      </c>
      <c r="H859" t="s">
        <v>6811</v>
      </c>
      <c r="I859" t="s">
        <v>57</v>
      </c>
      <c r="J859" t="s">
        <v>47</v>
      </c>
      <c r="K859">
        <v>100</v>
      </c>
      <c r="L859">
        <v>100</v>
      </c>
      <c r="M859">
        <v>1</v>
      </c>
      <c r="N859">
        <v>1</v>
      </c>
      <c r="O859" t="s">
        <v>102</v>
      </c>
      <c r="P859" t="s">
        <v>102</v>
      </c>
      <c r="Q859" t="s">
        <v>2269</v>
      </c>
      <c r="R859">
        <v>2</v>
      </c>
      <c r="S859">
        <v>2</v>
      </c>
    </row>
    <row r="860" spans="1:19" hidden="1" x14ac:dyDescent="0.3">
      <c r="A860" t="s">
        <v>2267</v>
      </c>
      <c r="B860" t="s">
        <v>2268</v>
      </c>
      <c r="D860" t="s">
        <v>161</v>
      </c>
      <c r="E860" t="s">
        <v>98</v>
      </c>
      <c r="F860" t="s">
        <v>30</v>
      </c>
      <c r="G860" s="6">
        <v>45657</v>
      </c>
      <c r="H860" t="s">
        <v>6816</v>
      </c>
      <c r="I860" t="s">
        <v>57</v>
      </c>
      <c r="J860" t="s">
        <v>78</v>
      </c>
      <c r="K860">
        <v>100</v>
      </c>
      <c r="L860">
        <v>100</v>
      </c>
      <c r="M860">
        <v>1</v>
      </c>
      <c r="N860">
        <v>1</v>
      </c>
      <c r="O860" t="s">
        <v>102</v>
      </c>
      <c r="P860" t="s">
        <v>102</v>
      </c>
      <c r="Q860" t="s">
        <v>2270</v>
      </c>
      <c r="R860">
        <v>2</v>
      </c>
      <c r="S860">
        <v>2</v>
      </c>
    </row>
    <row r="861" spans="1:19" hidden="1" x14ac:dyDescent="0.3">
      <c r="A861" t="s">
        <v>2271</v>
      </c>
      <c r="B861" t="s">
        <v>2272</v>
      </c>
      <c r="C861" t="s">
        <v>6622</v>
      </c>
      <c r="D861" t="s">
        <v>138</v>
      </c>
      <c r="E861" t="s">
        <v>233</v>
      </c>
      <c r="F861" t="s">
        <v>30</v>
      </c>
      <c r="G861" s="6">
        <v>45291</v>
      </c>
      <c r="H861" t="s">
        <v>6811</v>
      </c>
      <c r="I861" t="s">
        <v>57</v>
      </c>
      <c r="J861" t="s">
        <v>47</v>
      </c>
      <c r="K861">
        <v>100</v>
      </c>
      <c r="L861">
        <v>109.39</v>
      </c>
      <c r="M861">
        <v>1.0939000000000001</v>
      </c>
      <c r="N861">
        <v>1.0939000000000001</v>
      </c>
      <c r="O861" t="s">
        <v>102</v>
      </c>
      <c r="P861" t="s">
        <v>7087</v>
      </c>
      <c r="Q861" t="s">
        <v>2275</v>
      </c>
      <c r="R861">
        <v>2</v>
      </c>
      <c r="S861">
        <v>2</v>
      </c>
    </row>
    <row r="862" spans="1:19" hidden="1" x14ac:dyDescent="0.3">
      <c r="A862" t="s">
        <v>2271</v>
      </c>
      <c r="B862" t="s">
        <v>2272</v>
      </c>
      <c r="C862" t="s">
        <v>6622</v>
      </c>
      <c r="D862" t="s">
        <v>138</v>
      </c>
      <c r="E862" t="s">
        <v>233</v>
      </c>
      <c r="F862" t="s">
        <v>30</v>
      </c>
      <c r="G862" s="6">
        <v>45657</v>
      </c>
      <c r="H862" t="s">
        <v>6816</v>
      </c>
      <c r="I862" t="s">
        <v>57</v>
      </c>
      <c r="J862" t="s">
        <v>78</v>
      </c>
      <c r="K862">
        <v>100</v>
      </c>
      <c r="L862">
        <v>25.1175</v>
      </c>
      <c r="M862">
        <v>0.25117499999999998</v>
      </c>
      <c r="N862">
        <v>0.25117499999999998</v>
      </c>
      <c r="O862" t="s">
        <v>102</v>
      </c>
      <c r="P862" t="s">
        <v>7088</v>
      </c>
      <c r="Q862" t="s">
        <v>2279</v>
      </c>
      <c r="R862">
        <v>2</v>
      </c>
      <c r="S862">
        <v>2</v>
      </c>
    </row>
    <row r="863" spans="1:19" hidden="1" x14ac:dyDescent="0.3">
      <c r="A863" t="s">
        <v>2271</v>
      </c>
      <c r="B863" t="s">
        <v>2272</v>
      </c>
      <c r="C863" t="s">
        <v>6622</v>
      </c>
      <c r="D863" t="s">
        <v>138</v>
      </c>
      <c r="E863" t="s">
        <v>233</v>
      </c>
      <c r="F863" t="s">
        <v>30</v>
      </c>
      <c r="G863" s="6">
        <v>46022</v>
      </c>
      <c r="H863" t="s">
        <v>6823</v>
      </c>
      <c r="I863" t="s">
        <v>57</v>
      </c>
      <c r="J863" t="s">
        <v>103</v>
      </c>
      <c r="K863">
        <v>100</v>
      </c>
      <c r="L863">
        <v>108.67</v>
      </c>
      <c r="M863">
        <v>1.0867</v>
      </c>
      <c r="N863">
        <v>1.0867</v>
      </c>
      <c r="O863" t="s">
        <v>102</v>
      </c>
      <c r="P863" t="s">
        <v>2282</v>
      </c>
      <c r="Q863" t="s">
        <v>2284</v>
      </c>
      <c r="R863">
        <v>2</v>
      </c>
      <c r="S863">
        <v>2</v>
      </c>
    </row>
    <row r="864" spans="1:19" hidden="1" x14ac:dyDescent="0.3">
      <c r="A864" t="s">
        <v>2285</v>
      </c>
      <c r="B864" t="s">
        <v>2286</v>
      </c>
      <c r="D864" t="s">
        <v>663</v>
      </c>
      <c r="E864" t="s">
        <v>222</v>
      </c>
      <c r="F864" t="s">
        <v>30</v>
      </c>
      <c r="G864" s="6">
        <v>45291</v>
      </c>
      <c r="H864" t="s">
        <v>6811</v>
      </c>
      <c r="I864" t="s">
        <v>57</v>
      </c>
      <c r="J864" t="s">
        <v>47</v>
      </c>
      <c r="K864">
        <v>23</v>
      </c>
      <c r="L864">
        <v>53.5</v>
      </c>
      <c r="M864">
        <v>1.3</v>
      </c>
      <c r="N864">
        <v>2.3260869565217388</v>
      </c>
      <c r="O864" t="s">
        <v>7031</v>
      </c>
      <c r="P864" t="s">
        <v>7089</v>
      </c>
      <c r="Q864" t="s">
        <v>2288</v>
      </c>
      <c r="R864">
        <v>2</v>
      </c>
      <c r="S864">
        <v>2</v>
      </c>
    </row>
    <row r="865" spans="1:19" hidden="1" x14ac:dyDescent="0.3">
      <c r="A865" t="s">
        <v>2285</v>
      </c>
      <c r="B865" t="s">
        <v>2286</v>
      </c>
      <c r="D865" t="s">
        <v>663</v>
      </c>
      <c r="E865" t="s">
        <v>222</v>
      </c>
      <c r="F865" t="s">
        <v>30</v>
      </c>
      <c r="G865" s="6">
        <v>45657</v>
      </c>
      <c r="H865" t="s">
        <v>6816</v>
      </c>
      <c r="I865" t="s">
        <v>57</v>
      </c>
      <c r="J865" t="s">
        <v>78</v>
      </c>
      <c r="K865">
        <v>100</v>
      </c>
      <c r="L865">
        <v>262.66500000000002</v>
      </c>
      <c r="M865">
        <v>1.3</v>
      </c>
      <c r="N865">
        <v>2.6266500000000002</v>
      </c>
      <c r="O865" t="s">
        <v>102</v>
      </c>
      <c r="P865" t="s">
        <v>7090</v>
      </c>
      <c r="Q865" t="s">
        <v>2290</v>
      </c>
      <c r="R865">
        <v>2</v>
      </c>
      <c r="S865">
        <v>2</v>
      </c>
    </row>
    <row r="866" spans="1:19" hidden="1" x14ac:dyDescent="0.3">
      <c r="A866" t="s">
        <v>2291</v>
      </c>
      <c r="B866" t="s">
        <v>2292</v>
      </c>
      <c r="D866" t="s">
        <v>663</v>
      </c>
      <c r="E866" t="s">
        <v>222</v>
      </c>
      <c r="F866" t="s">
        <v>30</v>
      </c>
      <c r="G866" s="6">
        <v>45291</v>
      </c>
      <c r="H866" t="s">
        <v>6811</v>
      </c>
      <c r="I866" t="s">
        <v>57</v>
      </c>
      <c r="J866" t="s">
        <v>47</v>
      </c>
      <c r="K866">
        <v>16</v>
      </c>
      <c r="L866">
        <v>40.5</v>
      </c>
      <c r="M866">
        <v>1.3</v>
      </c>
      <c r="N866">
        <v>2.53125</v>
      </c>
      <c r="O866" t="s">
        <v>809</v>
      </c>
      <c r="P866" t="s">
        <v>7091</v>
      </c>
      <c r="Q866" t="s">
        <v>2294</v>
      </c>
      <c r="R866">
        <v>2</v>
      </c>
      <c r="S866">
        <v>2</v>
      </c>
    </row>
    <row r="867" spans="1:19" hidden="1" x14ac:dyDescent="0.3">
      <c r="A867" t="s">
        <v>2291</v>
      </c>
      <c r="B867" t="s">
        <v>2292</v>
      </c>
      <c r="D867" t="s">
        <v>663</v>
      </c>
      <c r="E867" t="s">
        <v>222</v>
      </c>
      <c r="F867" t="s">
        <v>30</v>
      </c>
      <c r="G867" s="6">
        <v>45657</v>
      </c>
      <c r="H867" t="s">
        <v>6816</v>
      </c>
      <c r="I867" t="s">
        <v>57</v>
      </c>
      <c r="J867" t="s">
        <v>78</v>
      </c>
      <c r="K867">
        <v>100</v>
      </c>
      <c r="L867">
        <v>100</v>
      </c>
      <c r="M867">
        <v>1</v>
      </c>
      <c r="N867">
        <v>1</v>
      </c>
      <c r="O867" t="s">
        <v>102</v>
      </c>
      <c r="P867" t="s">
        <v>102</v>
      </c>
      <c r="Q867" t="s">
        <v>2296</v>
      </c>
      <c r="R867">
        <v>2</v>
      </c>
      <c r="S867">
        <v>2</v>
      </c>
    </row>
    <row r="868" spans="1:19" hidden="1" x14ac:dyDescent="0.3">
      <c r="A868" t="s">
        <v>2297</v>
      </c>
      <c r="B868" t="s">
        <v>2298</v>
      </c>
      <c r="D868" t="s">
        <v>663</v>
      </c>
      <c r="E868" t="s">
        <v>222</v>
      </c>
      <c r="F868" t="s">
        <v>30</v>
      </c>
      <c r="G868" s="6">
        <v>45291</v>
      </c>
      <c r="H868" t="s">
        <v>6811</v>
      </c>
      <c r="I868" t="s">
        <v>57</v>
      </c>
      <c r="J868" t="s">
        <v>47</v>
      </c>
      <c r="K868">
        <v>32</v>
      </c>
      <c r="L868">
        <v>51.5</v>
      </c>
      <c r="M868">
        <v>1.3</v>
      </c>
      <c r="N868">
        <v>1.609375</v>
      </c>
      <c r="O868" t="s">
        <v>7092</v>
      </c>
      <c r="P868" t="s">
        <v>7093</v>
      </c>
      <c r="Q868" t="s">
        <v>2300</v>
      </c>
      <c r="R868">
        <v>2</v>
      </c>
      <c r="S868">
        <v>2</v>
      </c>
    </row>
    <row r="869" spans="1:19" hidden="1" x14ac:dyDescent="0.3">
      <c r="A869" t="s">
        <v>2297</v>
      </c>
      <c r="B869" t="s">
        <v>2302</v>
      </c>
      <c r="D869" t="s">
        <v>663</v>
      </c>
      <c r="E869" t="s">
        <v>222</v>
      </c>
      <c r="F869" t="s">
        <v>30</v>
      </c>
      <c r="G869" s="6">
        <v>45657</v>
      </c>
      <c r="H869" t="s">
        <v>6816</v>
      </c>
      <c r="I869" t="s">
        <v>57</v>
      </c>
      <c r="J869" t="s">
        <v>78</v>
      </c>
      <c r="K869">
        <v>100</v>
      </c>
      <c r="L869">
        <v>185.33500000000001</v>
      </c>
      <c r="M869">
        <v>1.3</v>
      </c>
      <c r="N869">
        <v>1.8533500000000001</v>
      </c>
      <c r="O869" t="s">
        <v>102</v>
      </c>
      <c r="P869" t="s">
        <v>7094</v>
      </c>
      <c r="Q869" t="s">
        <v>2303</v>
      </c>
      <c r="R869">
        <v>2</v>
      </c>
      <c r="S869">
        <v>2</v>
      </c>
    </row>
    <row r="870" spans="1:19" hidden="1" x14ac:dyDescent="0.3">
      <c r="A870" t="s">
        <v>2304</v>
      </c>
      <c r="B870" t="s">
        <v>2305</v>
      </c>
      <c r="D870" t="s">
        <v>663</v>
      </c>
      <c r="E870" t="s">
        <v>222</v>
      </c>
      <c r="F870" t="s">
        <v>30</v>
      </c>
      <c r="G870" s="6">
        <v>45291</v>
      </c>
      <c r="H870" t="s">
        <v>6811</v>
      </c>
      <c r="I870" t="s">
        <v>57</v>
      </c>
      <c r="J870" t="s">
        <v>47</v>
      </c>
      <c r="K870">
        <v>42</v>
      </c>
      <c r="L870">
        <v>83</v>
      </c>
      <c r="M870">
        <v>1.3</v>
      </c>
      <c r="N870">
        <v>1.9761904761904761</v>
      </c>
      <c r="O870" t="s">
        <v>1617</v>
      </c>
      <c r="P870" t="s">
        <v>4652</v>
      </c>
      <c r="Q870" t="s">
        <v>2307</v>
      </c>
      <c r="R870">
        <v>2</v>
      </c>
      <c r="S870">
        <v>2</v>
      </c>
    </row>
    <row r="871" spans="1:19" hidden="1" x14ac:dyDescent="0.3">
      <c r="A871" t="s">
        <v>2304</v>
      </c>
      <c r="B871" t="s">
        <v>2305</v>
      </c>
      <c r="D871" t="s">
        <v>663</v>
      </c>
      <c r="E871" t="s">
        <v>222</v>
      </c>
      <c r="F871" t="s">
        <v>30</v>
      </c>
      <c r="G871" s="6">
        <v>45657</v>
      </c>
      <c r="H871" t="s">
        <v>6816</v>
      </c>
      <c r="I871" t="s">
        <v>57</v>
      </c>
      <c r="J871" t="s">
        <v>78</v>
      </c>
      <c r="K871">
        <v>100</v>
      </c>
      <c r="L871">
        <v>87.344999999999999</v>
      </c>
      <c r="M871">
        <v>0.87344999999999995</v>
      </c>
      <c r="N871">
        <v>0.87344999999999995</v>
      </c>
      <c r="O871" t="s">
        <v>102</v>
      </c>
      <c r="P871" t="s">
        <v>7095</v>
      </c>
      <c r="Q871" t="s">
        <v>2309</v>
      </c>
      <c r="R871">
        <v>2</v>
      </c>
      <c r="S871">
        <v>2</v>
      </c>
    </row>
    <row r="872" spans="1:19" hidden="1" x14ac:dyDescent="0.3">
      <c r="A872" t="s">
        <v>2310</v>
      </c>
      <c r="B872" t="s">
        <v>2311</v>
      </c>
      <c r="D872" t="s">
        <v>663</v>
      </c>
      <c r="E872" t="s">
        <v>222</v>
      </c>
      <c r="F872" t="s">
        <v>30</v>
      </c>
      <c r="G872" s="6">
        <v>45291</v>
      </c>
      <c r="H872" t="s">
        <v>6811</v>
      </c>
      <c r="I872" t="s">
        <v>57</v>
      </c>
      <c r="J872" t="s">
        <v>47</v>
      </c>
      <c r="K872">
        <v>133.5</v>
      </c>
      <c r="L872">
        <v>166</v>
      </c>
      <c r="M872">
        <v>1.2434456928838951</v>
      </c>
      <c r="N872">
        <v>1.2434456928838951</v>
      </c>
      <c r="O872" t="s">
        <v>7096</v>
      </c>
      <c r="P872" t="s">
        <v>7097</v>
      </c>
      <c r="Q872" t="s">
        <v>2313</v>
      </c>
      <c r="R872">
        <v>2</v>
      </c>
      <c r="S872">
        <v>2</v>
      </c>
    </row>
    <row r="873" spans="1:19" hidden="1" x14ac:dyDescent="0.3">
      <c r="A873" t="s">
        <v>2310</v>
      </c>
      <c r="B873" t="s">
        <v>2311</v>
      </c>
      <c r="D873" t="s">
        <v>663</v>
      </c>
      <c r="E873" t="s">
        <v>222</v>
      </c>
      <c r="F873" t="s">
        <v>30</v>
      </c>
      <c r="G873" s="6">
        <v>45657</v>
      </c>
      <c r="H873" t="s">
        <v>6816</v>
      </c>
      <c r="I873" t="s">
        <v>57</v>
      </c>
      <c r="J873" t="s">
        <v>78</v>
      </c>
      <c r="K873">
        <v>100</v>
      </c>
      <c r="L873">
        <v>92.705000000000013</v>
      </c>
      <c r="M873">
        <v>0.92705000000000015</v>
      </c>
      <c r="N873">
        <v>0.92705000000000015</v>
      </c>
      <c r="O873" t="s">
        <v>102</v>
      </c>
      <c r="P873" t="s">
        <v>7098</v>
      </c>
      <c r="Q873" t="s">
        <v>2315</v>
      </c>
      <c r="R873">
        <v>2</v>
      </c>
      <c r="S873">
        <v>2</v>
      </c>
    </row>
    <row r="874" spans="1:19" hidden="1" x14ac:dyDescent="0.3">
      <c r="A874" t="s">
        <v>2316</v>
      </c>
      <c r="B874" t="s">
        <v>2317</v>
      </c>
      <c r="D874" t="s">
        <v>663</v>
      </c>
      <c r="E874" t="s">
        <v>222</v>
      </c>
      <c r="F874" t="s">
        <v>30</v>
      </c>
      <c r="G874" s="6">
        <v>45291</v>
      </c>
      <c r="H874" t="s">
        <v>6811</v>
      </c>
      <c r="I874" t="s">
        <v>57</v>
      </c>
      <c r="J874" t="s">
        <v>47</v>
      </c>
      <c r="K874">
        <v>110.5</v>
      </c>
      <c r="L874">
        <v>121.5</v>
      </c>
      <c r="M874">
        <v>1.0995475113122171</v>
      </c>
      <c r="N874">
        <v>1.0995475113122171</v>
      </c>
      <c r="O874" t="s">
        <v>7099</v>
      </c>
      <c r="P874" t="s">
        <v>7100</v>
      </c>
      <c r="Q874" t="s">
        <v>2319</v>
      </c>
      <c r="R874">
        <v>2</v>
      </c>
      <c r="S874">
        <v>2</v>
      </c>
    </row>
    <row r="875" spans="1:19" hidden="1" x14ac:dyDescent="0.3">
      <c r="A875" t="s">
        <v>2316</v>
      </c>
      <c r="B875" t="s">
        <v>2317</v>
      </c>
      <c r="D875" t="s">
        <v>663</v>
      </c>
      <c r="E875" t="s">
        <v>222</v>
      </c>
      <c r="F875" t="s">
        <v>30</v>
      </c>
      <c r="G875" s="6">
        <v>45657</v>
      </c>
      <c r="H875" t="s">
        <v>6816</v>
      </c>
      <c r="I875" t="s">
        <v>57</v>
      </c>
      <c r="J875" t="s">
        <v>78</v>
      </c>
      <c r="K875">
        <v>100</v>
      </c>
      <c r="L875">
        <v>131.5</v>
      </c>
      <c r="M875">
        <v>1.3</v>
      </c>
      <c r="N875">
        <v>1.3149999999999999</v>
      </c>
      <c r="O875" t="s">
        <v>102</v>
      </c>
      <c r="P875" t="s">
        <v>7101</v>
      </c>
      <c r="Q875" t="s">
        <v>2321</v>
      </c>
      <c r="R875">
        <v>2</v>
      </c>
      <c r="S875">
        <v>2</v>
      </c>
    </row>
    <row r="876" spans="1:19" hidden="1" x14ac:dyDescent="0.3">
      <c r="A876" t="s">
        <v>2322</v>
      </c>
      <c r="B876" t="s">
        <v>2323</v>
      </c>
      <c r="D876" t="s">
        <v>663</v>
      </c>
      <c r="E876" t="s">
        <v>222</v>
      </c>
      <c r="F876" t="s">
        <v>30</v>
      </c>
      <c r="G876" s="6">
        <v>45291</v>
      </c>
      <c r="H876" t="s">
        <v>6811</v>
      </c>
      <c r="I876" t="s">
        <v>57</v>
      </c>
      <c r="J876" t="s">
        <v>47</v>
      </c>
      <c r="K876">
        <v>14</v>
      </c>
      <c r="L876">
        <v>12.5</v>
      </c>
      <c r="M876">
        <v>0.8928571428571429</v>
      </c>
      <c r="N876">
        <v>0.8928571428571429</v>
      </c>
      <c r="O876" t="s">
        <v>3827</v>
      </c>
      <c r="P876" t="s">
        <v>6413</v>
      </c>
      <c r="Q876" t="s">
        <v>2325</v>
      </c>
      <c r="R876">
        <v>2</v>
      </c>
      <c r="S876">
        <v>2</v>
      </c>
    </row>
    <row r="877" spans="1:19" hidden="1" x14ac:dyDescent="0.3">
      <c r="A877" t="s">
        <v>2322</v>
      </c>
      <c r="B877" t="s">
        <v>2323</v>
      </c>
      <c r="D877" t="s">
        <v>663</v>
      </c>
      <c r="E877" t="s">
        <v>222</v>
      </c>
      <c r="F877" t="s">
        <v>30</v>
      </c>
      <c r="G877" s="6">
        <v>45657</v>
      </c>
      <c r="H877" t="s">
        <v>6816</v>
      </c>
      <c r="I877" t="s">
        <v>57</v>
      </c>
      <c r="J877" t="s">
        <v>78</v>
      </c>
      <c r="K877">
        <v>100</v>
      </c>
      <c r="L877">
        <v>100</v>
      </c>
      <c r="M877">
        <v>1</v>
      </c>
      <c r="N877">
        <v>1</v>
      </c>
      <c r="O877" t="s">
        <v>102</v>
      </c>
      <c r="P877" t="s">
        <v>102</v>
      </c>
      <c r="Q877" t="s">
        <v>2327</v>
      </c>
      <c r="R877">
        <v>2</v>
      </c>
      <c r="S877">
        <v>2</v>
      </c>
    </row>
    <row r="878" spans="1:19" hidden="1" x14ac:dyDescent="0.3">
      <c r="A878" t="s">
        <v>2328</v>
      </c>
      <c r="B878" t="s">
        <v>2329</v>
      </c>
      <c r="D878" t="s">
        <v>663</v>
      </c>
      <c r="E878" t="s">
        <v>222</v>
      </c>
      <c r="F878" t="s">
        <v>30</v>
      </c>
      <c r="G878" s="6">
        <v>45291</v>
      </c>
      <c r="H878" t="s">
        <v>6811</v>
      </c>
      <c r="I878" t="s">
        <v>57</v>
      </c>
      <c r="J878" t="s">
        <v>47</v>
      </c>
      <c r="K878">
        <v>11.5</v>
      </c>
      <c r="L878">
        <v>14.5</v>
      </c>
      <c r="M878">
        <v>1.2608695652173909</v>
      </c>
      <c r="N878">
        <v>1.2608695652173909</v>
      </c>
      <c r="O878" t="s">
        <v>7102</v>
      </c>
      <c r="P878" t="s">
        <v>7103</v>
      </c>
      <c r="Q878" t="s">
        <v>2331</v>
      </c>
      <c r="R878">
        <v>2</v>
      </c>
      <c r="S878">
        <v>2</v>
      </c>
    </row>
    <row r="879" spans="1:19" hidden="1" x14ac:dyDescent="0.3">
      <c r="A879" t="s">
        <v>2328</v>
      </c>
      <c r="B879" t="s">
        <v>2329</v>
      </c>
      <c r="D879" t="s">
        <v>663</v>
      </c>
      <c r="E879" t="s">
        <v>222</v>
      </c>
      <c r="F879" t="s">
        <v>30</v>
      </c>
      <c r="G879" s="6">
        <v>45657</v>
      </c>
      <c r="H879" t="s">
        <v>6816</v>
      </c>
      <c r="I879" t="s">
        <v>57</v>
      </c>
      <c r="J879" t="s">
        <v>78</v>
      </c>
      <c r="K879">
        <v>100</v>
      </c>
      <c r="L879">
        <v>142.5</v>
      </c>
      <c r="M879">
        <v>1.3</v>
      </c>
      <c r="N879">
        <v>1.425</v>
      </c>
      <c r="O879" t="s">
        <v>102</v>
      </c>
      <c r="P879" t="s">
        <v>7104</v>
      </c>
      <c r="Q879" t="s">
        <v>2333</v>
      </c>
      <c r="R879">
        <v>2</v>
      </c>
      <c r="S879">
        <v>2</v>
      </c>
    </row>
    <row r="880" spans="1:19" hidden="1" x14ac:dyDescent="0.3">
      <c r="A880" t="s">
        <v>2334</v>
      </c>
      <c r="B880" t="s">
        <v>2335</v>
      </c>
      <c r="D880" t="s">
        <v>663</v>
      </c>
      <c r="E880" t="s">
        <v>222</v>
      </c>
      <c r="F880" t="s">
        <v>30</v>
      </c>
      <c r="G880" s="6">
        <v>45291</v>
      </c>
      <c r="H880" t="s">
        <v>6811</v>
      </c>
      <c r="I880" t="s">
        <v>57</v>
      </c>
      <c r="J880" t="s">
        <v>47</v>
      </c>
      <c r="K880">
        <v>5</v>
      </c>
      <c r="L880">
        <v>7</v>
      </c>
      <c r="M880">
        <v>1.3</v>
      </c>
      <c r="N880">
        <v>1.4</v>
      </c>
      <c r="O880" t="s">
        <v>823</v>
      </c>
      <c r="P880" t="s">
        <v>5558</v>
      </c>
      <c r="Q880" t="s">
        <v>2337</v>
      </c>
      <c r="R880">
        <v>2</v>
      </c>
      <c r="S880">
        <v>2</v>
      </c>
    </row>
    <row r="881" spans="1:19" hidden="1" x14ac:dyDescent="0.3">
      <c r="A881" t="s">
        <v>2334</v>
      </c>
      <c r="B881" t="s">
        <v>2338</v>
      </c>
      <c r="D881" t="s">
        <v>663</v>
      </c>
      <c r="E881" t="s">
        <v>222</v>
      </c>
      <c r="F881" t="s">
        <v>30</v>
      </c>
      <c r="G881" s="6">
        <v>45657</v>
      </c>
      <c r="H881" t="s">
        <v>6816</v>
      </c>
      <c r="I881" t="s">
        <v>57</v>
      </c>
      <c r="J881" t="s">
        <v>78</v>
      </c>
      <c r="M881">
        <v>0</v>
      </c>
      <c r="N881">
        <v>0</v>
      </c>
      <c r="Q881" t="s">
        <v>2340</v>
      </c>
      <c r="R881">
        <v>2</v>
      </c>
      <c r="S881">
        <v>2</v>
      </c>
    </row>
    <row r="882" spans="1:19" hidden="1" x14ac:dyDescent="0.3">
      <c r="A882" t="s">
        <v>2341</v>
      </c>
      <c r="B882" t="s">
        <v>2342</v>
      </c>
      <c r="D882" t="s">
        <v>663</v>
      </c>
      <c r="E882" t="s">
        <v>222</v>
      </c>
      <c r="F882" t="s">
        <v>30</v>
      </c>
      <c r="G882" s="6">
        <v>45291</v>
      </c>
      <c r="H882" t="s">
        <v>6811</v>
      </c>
      <c r="I882" t="s">
        <v>57</v>
      </c>
      <c r="J882" t="s">
        <v>47</v>
      </c>
      <c r="K882">
        <v>10.5</v>
      </c>
      <c r="L882">
        <v>11</v>
      </c>
      <c r="M882">
        <v>1.0476190476190479</v>
      </c>
      <c r="N882">
        <v>1.0476190476190479</v>
      </c>
      <c r="O882" t="s">
        <v>6356</v>
      </c>
      <c r="P882" t="s">
        <v>3654</v>
      </c>
      <c r="Q882" t="s">
        <v>2344</v>
      </c>
      <c r="R882">
        <v>2</v>
      </c>
      <c r="S882">
        <v>2</v>
      </c>
    </row>
    <row r="883" spans="1:19" hidden="1" x14ac:dyDescent="0.3">
      <c r="A883" t="s">
        <v>2341</v>
      </c>
      <c r="B883" t="s">
        <v>2342</v>
      </c>
      <c r="D883" t="s">
        <v>663</v>
      </c>
      <c r="E883" t="s">
        <v>222</v>
      </c>
      <c r="F883" t="s">
        <v>30</v>
      </c>
      <c r="G883" s="6">
        <v>45657</v>
      </c>
      <c r="H883" t="s">
        <v>6816</v>
      </c>
      <c r="I883" t="s">
        <v>57</v>
      </c>
      <c r="J883" t="s">
        <v>78</v>
      </c>
      <c r="M883">
        <v>0</v>
      </c>
      <c r="N883">
        <v>0</v>
      </c>
      <c r="Q883" t="s">
        <v>7105</v>
      </c>
      <c r="R883">
        <v>2</v>
      </c>
      <c r="S883">
        <v>2</v>
      </c>
    </row>
    <row r="884" spans="1:19" hidden="1" x14ac:dyDescent="0.3">
      <c r="A884" t="s">
        <v>2346</v>
      </c>
      <c r="B884" t="s">
        <v>2347</v>
      </c>
      <c r="D884" t="s">
        <v>663</v>
      </c>
      <c r="E884" t="s">
        <v>98</v>
      </c>
      <c r="F884" t="s">
        <v>30</v>
      </c>
      <c r="G884" s="6">
        <v>45291</v>
      </c>
      <c r="H884" t="s">
        <v>6811</v>
      </c>
      <c r="I884" t="s">
        <v>57</v>
      </c>
      <c r="J884" t="s">
        <v>47</v>
      </c>
      <c r="K884">
        <v>12</v>
      </c>
      <c r="L884">
        <v>12</v>
      </c>
      <c r="M884">
        <v>1</v>
      </c>
      <c r="N884">
        <v>1</v>
      </c>
      <c r="O884" t="s">
        <v>3089</v>
      </c>
      <c r="P884" t="s">
        <v>3089</v>
      </c>
      <c r="Q884" t="s">
        <v>2348</v>
      </c>
      <c r="R884">
        <v>2</v>
      </c>
      <c r="S884">
        <v>2</v>
      </c>
    </row>
    <row r="885" spans="1:19" hidden="1" x14ac:dyDescent="0.3">
      <c r="A885" t="s">
        <v>2346</v>
      </c>
      <c r="B885" t="s">
        <v>2347</v>
      </c>
      <c r="D885" t="s">
        <v>663</v>
      </c>
      <c r="E885" t="s">
        <v>98</v>
      </c>
      <c r="F885" t="s">
        <v>30</v>
      </c>
      <c r="G885" s="6">
        <v>45657</v>
      </c>
      <c r="H885" t="s">
        <v>6816</v>
      </c>
      <c r="I885" t="s">
        <v>57</v>
      </c>
      <c r="J885" t="s">
        <v>78</v>
      </c>
      <c r="K885">
        <v>100</v>
      </c>
      <c r="L885">
        <v>100</v>
      </c>
      <c r="M885">
        <v>1</v>
      </c>
      <c r="N885">
        <v>1</v>
      </c>
      <c r="O885" t="s">
        <v>102</v>
      </c>
      <c r="P885" t="s">
        <v>102</v>
      </c>
      <c r="Q885" t="s">
        <v>2349</v>
      </c>
      <c r="R885">
        <v>2</v>
      </c>
      <c r="S885">
        <v>2</v>
      </c>
    </row>
    <row r="886" spans="1:19" hidden="1" x14ac:dyDescent="0.3">
      <c r="A886" t="s">
        <v>2350</v>
      </c>
      <c r="B886" t="s">
        <v>2351</v>
      </c>
      <c r="C886" t="s">
        <v>6681</v>
      </c>
      <c r="D886" t="s">
        <v>663</v>
      </c>
      <c r="E886" t="s">
        <v>222</v>
      </c>
      <c r="F886" t="s">
        <v>30</v>
      </c>
      <c r="G886" s="6">
        <v>45291</v>
      </c>
      <c r="H886" t="s">
        <v>6811</v>
      </c>
      <c r="I886" t="s">
        <v>57</v>
      </c>
      <c r="J886" t="s">
        <v>47</v>
      </c>
      <c r="K886">
        <v>80</v>
      </c>
      <c r="L886">
        <v>88.444999999999993</v>
      </c>
      <c r="M886">
        <v>1.1055625</v>
      </c>
      <c r="N886">
        <v>1.1055625</v>
      </c>
      <c r="O886" t="s">
        <v>193</v>
      </c>
      <c r="P886" t="s">
        <v>7106</v>
      </c>
      <c r="Q886" t="s">
        <v>2353</v>
      </c>
      <c r="R886">
        <v>2</v>
      </c>
      <c r="S886">
        <v>2</v>
      </c>
    </row>
    <row r="887" spans="1:19" hidden="1" x14ac:dyDescent="0.3">
      <c r="A887" t="s">
        <v>2350</v>
      </c>
      <c r="B887" t="s">
        <v>2354</v>
      </c>
      <c r="C887" t="s">
        <v>6681</v>
      </c>
      <c r="D887" t="s">
        <v>663</v>
      </c>
      <c r="E887" t="s">
        <v>98</v>
      </c>
      <c r="F887" t="s">
        <v>30</v>
      </c>
      <c r="G887" s="6">
        <v>45657</v>
      </c>
      <c r="H887" t="s">
        <v>6816</v>
      </c>
      <c r="I887" t="s">
        <v>57</v>
      </c>
      <c r="J887" t="s">
        <v>78</v>
      </c>
      <c r="K887">
        <v>80</v>
      </c>
      <c r="L887">
        <v>90.28</v>
      </c>
      <c r="M887">
        <v>1.1285000000000001</v>
      </c>
      <c r="N887">
        <v>1.1285000000000001</v>
      </c>
      <c r="O887" t="s">
        <v>193</v>
      </c>
      <c r="P887" t="s">
        <v>5898</v>
      </c>
      <c r="Q887" t="s">
        <v>2355</v>
      </c>
      <c r="R887">
        <v>2</v>
      </c>
      <c r="S887">
        <v>2</v>
      </c>
    </row>
    <row r="888" spans="1:19" hidden="1" x14ac:dyDescent="0.3">
      <c r="A888" t="s">
        <v>2350</v>
      </c>
      <c r="B888" t="s">
        <v>2354</v>
      </c>
      <c r="C888" t="s">
        <v>6681</v>
      </c>
      <c r="D888" t="s">
        <v>663</v>
      </c>
      <c r="E888" t="s">
        <v>98</v>
      </c>
      <c r="F888" t="s">
        <v>30</v>
      </c>
      <c r="G888" s="6">
        <v>46022</v>
      </c>
      <c r="H888" t="s">
        <v>6823</v>
      </c>
      <c r="I888" t="s">
        <v>57</v>
      </c>
      <c r="J888" t="s">
        <v>103</v>
      </c>
      <c r="K888">
        <v>85</v>
      </c>
      <c r="L888">
        <v>86.16</v>
      </c>
      <c r="M888">
        <v>1.0136470588235289</v>
      </c>
      <c r="N888">
        <v>1.0136470588235289</v>
      </c>
      <c r="O888" t="s">
        <v>2357</v>
      </c>
      <c r="P888" t="s">
        <v>2358</v>
      </c>
      <c r="Q888" t="s">
        <v>2359</v>
      </c>
      <c r="R888">
        <v>2</v>
      </c>
      <c r="S888">
        <v>2</v>
      </c>
    </row>
    <row r="889" spans="1:19" hidden="1" x14ac:dyDescent="0.3">
      <c r="A889" t="s">
        <v>2360</v>
      </c>
      <c r="B889" t="s">
        <v>2361</v>
      </c>
      <c r="D889" t="s">
        <v>663</v>
      </c>
      <c r="E889" t="s">
        <v>222</v>
      </c>
      <c r="F889" t="s">
        <v>30</v>
      </c>
      <c r="G889" s="6">
        <v>45291</v>
      </c>
      <c r="H889" t="s">
        <v>6811</v>
      </c>
      <c r="I889" t="s">
        <v>57</v>
      </c>
      <c r="J889" t="s">
        <v>47</v>
      </c>
      <c r="K889">
        <v>100</v>
      </c>
      <c r="L889">
        <v>90</v>
      </c>
      <c r="M889">
        <v>0.9</v>
      </c>
      <c r="N889">
        <v>0.9</v>
      </c>
      <c r="O889" t="s">
        <v>102</v>
      </c>
      <c r="P889" t="s">
        <v>256</v>
      </c>
      <c r="Q889" t="s">
        <v>2363</v>
      </c>
      <c r="R889">
        <v>2</v>
      </c>
      <c r="S889">
        <v>2</v>
      </c>
    </row>
    <row r="890" spans="1:19" hidden="1" x14ac:dyDescent="0.3">
      <c r="A890" t="s">
        <v>2360</v>
      </c>
      <c r="B890" t="s">
        <v>2361</v>
      </c>
      <c r="D890" t="s">
        <v>663</v>
      </c>
      <c r="E890" t="s">
        <v>222</v>
      </c>
      <c r="F890" t="s">
        <v>30</v>
      </c>
      <c r="G890" s="6">
        <v>45657</v>
      </c>
      <c r="H890" t="s">
        <v>6816</v>
      </c>
      <c r="I890" t="s">
        <v>57</v>
      </c>
      <c r="J890" t="s">
        <v>78</v>
      </c>
      <c r="K890">
        <v>100</v>
      </c>
      <c r="L890">
        <v>100</v>
      </c>
      <c r="M890">
        <v>1</v>
      </c>
      <c r="N890">
        <v>1</v>
      </c>
      <c r="O890" t="s">
        <v>102</v>
      </c>
      <c r="P890" t="s">
        <v>102</v>
      </c>
      <c r="Q890" t="s">
        <v>2365</v>
      </c>
      <c r="R890">
        <v>2</v>
      </c>
      <c r="S890">
        <v>2</v>
      </c>
    </row>
    <row r="891" spans="1:19" hidden="1" x14ac:dyDescent="0.3">
      <c r="A891" t="s">
        <v>2366</v>
      </c>
      <c r="B891" t="s">
        <v>2367</v>
      </c>
      <c r="D891" t="s">
        <v>663</v>
      </c>
      <c r="E891" t="s">
        <v>222</v>
      </c>
      <c r="F891" t="s">
        <v>30</v>
      </c>
      <c r="G891" s="6">
        <v>45291</v>
      </c>
      <c r="H891" t="s">
        <v>6811</v>
      </c>
      <c r="I891" t="s">
        <v>57</v>
      </c>
      <c r="J891" t="s">
        <v>47</v>
      </c>
      <c r="K891">
        <v>20.5</v>
      </c>
      <c r="L891">
        <v>14.5</v>
      </c>
      <c r="M891">
        <v>0.70731707317073167</v>
      </c>
      <c r="N891">
        <v>0.70731707317073167</v>
      </c>
      <c r="O891" t="s">
        <v>7107</v>
      </c>
      <c r="P891" t="s">
        <v>7103</v>
      </c>
      <c r="Q891" t="s">
        <v>2369</v>
      </c>
      <c r="R891">
        <v>2</v>
      </c>
      <c r="S891">
        <v>2</v>
      </c>
    </row>
    <row r="892" spans="1:19" hidden="1" x14ac:dyDescent="0.3">
      <c r="A892" t="s">
        <v>2366</v>
      </c>
      <c r="B892" t="s">
        <v>2370</v>
      </c>
      <c r="D892" t="s">
        <v>663</v>
      </c>
      <c r="E892" t="s">
        <v>222</v>
      </c>
      <c r="F892" t="s">
        <v>30</v>
      </c>
      <c r="G892" s="6">
        <v>45657</v>
      </c>
      <c r="H892" t="s">
        <v>6816</v>
      </c>
      <c r="I892" t="s">
        <v>57</v>
      </c>
      <c r="J892" t="s">
        <v>78</v>
      </c>
      <c r="K892">
        <v>100</v>
      </c>
      <c r="L892">
        <v>127.5</v>
      </c>
      <c r="M892">
        <v>1.2749999999999999</v>
      </c>
      <c r="N892">
        <v>1.2749999999999999</v>
      </c>
      <c r="O892" t="s">
        <v>102</v>
      </c>
      <c r="P892" t="s">
        <v>7108</v>
      </c>
      <c r="Q892" t="s">
        <v>2372</v>
      </c>
      <c r="R892">
        <v>2</v>
      </c>
      <c r="S892">
        <v>2</v>
      </c>
    </row>
    <row r="893" spans="1:19" hidden="1" x14ac:dyDescent="0.3">
      <c r="A893" t="s">
        <v>2373</v>
      </c>
      <c r="B893" t="s">
        <v>2374</v>
      </c>
      <c r="D893" t="s">
        <v>663</v>
      </c>
      <c r="E893" t="s">
        <v>222</v>
      </c>
      <c r="F893" t="s">
        <v>30</v>
      </c>
      <c r="G893" s="6">
        <v>45291</v>
      </c>
      <c r="H893" t="s">
        <v>6811</v>
      </c>
      <c r="I893" t="s">
        <v>57</v>
      </c>
      <c r="J893" t="s">
        <v>47</v>
      </c>
      <c r="K893">
        <v>180</v>
      </c>
      <c r="L893">
        <v>233.5</v>
      </c>
      <c r="M893">
        <v>1.2972222222222221</v>
      </c>
      <c r="N893">
        <v>1.2972222222222221</v>
      </c>
      <c r="O893" t="s">
        <v>5729</v>
      </c>
      <c r="P893" t="s">
        <v>7109</v>
      </c>
      <c r="Q893" t="s">
        <v>2376</v>
      </c>
      <c r="R893">
        <v>2</v>
      </c>
      <c r="S893">
        <v>2</v>
      </c>
    </row>
    <row r="894" spans="1:19" hidden="1" x14ac:dyDescent="0.3">
      <c r="A894" t="s">
        <v>2373</v>
      </c>
      <c r="B894" t="s">
        <v>2377</v>
      </c>
      <c r="D894" t="s">
        <v>663</v>
      </c>
      <c r="E894" t="s">
        <v>222</v>
      </c>
      <c r="F894" t="s">
        <v>30</v>
      </c>
      <c r="G894" s="6">
        <v>45657</v>
      </c>
      <c r="H894" t="s">
        <v>6816</v>
      </c>
      <c r="I894" t="s">
        <v>57</v>
      </c>
      <c r="J894" t="s">
        <v>78</v>
      </c>
      <c r="K894">
        <v>100</v>
      </c>
      <c r="L894">
        <v>304.34500000000003</v>
      </c>
      <c r="M894">
        <v>1.3</v>
      </c>
      <c r="N894">
        <v>3.04345</v>
      </c>
      <c r="O894" t="s">
        <v>102</v>
      </c>
      <c r="P894" t="s">
        <v>7110</v>
      </c>
      <c r="Q894" t="s">
        <v>2379</v>
      </c>
      <c r="R894">
        <v>2</v>
      </c>
      <c r="S894">
        <v>2</v>
      </c>
    </row>
    <row r="895" spans="1:19" hidden="1" x14ac:dyDescent="0.3">
      <c r="A895" t="s">
        <v>2380</v>
      </c>
      <c r="B895" t="s">
        <v>2381</v>
      </c>
      <c r="C895" t="s">
        <v>6622</v>
      </c>
      <c r="D895" t="s">
        <v>61</v>
      </c>
      <c r="E895" t="s">
        <v>222</v>
      </c>
      <c r="F895" t="s">
        <v>30</v>
      </c>
      <c r="G895" s="6">
        <v>44926</v>
      </c>
      <c r="H895" t="s">
        <v>6819</v>
      </c>
      <c r="I895" t="s">
        <v>57</v>
      </c>
      <c r="J895" t="s">
        <v>90</v>
      </c>
      <c r="K895">
        <v>3</v>
      </c>
      <c r="L895">
        <v>3</v>
      </c>
      <c r="M895">
        <v>1</v>
      </c>
      <c r="N895">
        <v>1</v>
      </c>
      <c r="O895" t="s">
        <v>1849</v>
      </c>
      <c r="P895" t="s">
        <v>1849</v>
      </c>
      <c r="Q895" t="s">
        <v>2382</v>
      </c>
      <c r="R895">
        <v>2</v>
      </c>
      <c r="S895">
        <v>2</v>
      </c>
    </row>
    <row r="896" spans="1:19" hidden="1" x14ac:dyDescent="0.3">
      <c r="A896" t="s">
        <v>2380</v>
      </c>
      <c r="B896" t="s">
        <v>2381</v>
      </c>
      <c r="C896" t="s">
        <v>6622</v>
      </c>
      <c r="D896" t="s">
        <v>61</v>
      </c>
      <c r="E896" t="s">
        <v>222</v>
      </c>
      <c r="F896" t="s">
        <v>30</v>
      </c>
      <c r="G896" s="6">
        <v>45291</v>
      </c>
      <c r="H896" t="s">
        <v>6811</v>
      </c>
      <c r="I896" t="s">
        <v>57</v>
      </c>
      <c r="J896" t="s">
        <v>47</v>
      </c>
      <c r="K896">
        <v>4</v>
      </c>
      <c r="L896">
        <v>4</v>
      </c>
      <c r="M896">
        <v>1</v>
      </c>
      <c r="N896">
        <v>1</v>
      </c>
      <c r="O896" t="s">
        <v>778</v>
      </c>
      <c r="P896" t="s">
        <v>778</v>
      </c>
      <c r="Q896" t="s">
        <v>2384</v>
      </c>
      <c r="R896">
        <v>2</v>
      </c>
      <c r="S896">
        <v>2</v>
      </c>
    </row>
    <row r="897" spans="1:19" hidden="1" x14ac:dyDescent="0.3">
      <c r="A897" t="s">
        <v>2380</v>
      </c>
      <c r="B897" t="s">
        <v>2381</v>
      </c>
      <c r="C897" t="s">
        <v>6622</v>
      </c>
      <c r="D897" t="s">
        <v>61</v>
      </c>
      <c r="E897" t="s">
        <v>222</v>
      </c>
      <c r="F897" t="s">
        <v>30</v>
      </c>
      <c r="G897" s="6">
        <v>45657</v>
      </c>
      <c r="H897" t="s">
        <v>6816</v>
      </c>
      <c r="I897" t="s">
        <v>57</v>
      </c>
      <c r="J897" t="s">
        <v>78</v>
      </c>
      <c r="K897">
        <v>1.5</v>
      </c>
      <c r="L897">
        <v>1.5</v>
      </c>
      <c r="M897">
        <v>1</v>
      </c>
      <c r="N897">
        <v>1</v>
      </c>
      <c r="O897" t="s">
        <v>5915</v>
      </c>
      <c r="P897" t="s">
        <v>5915</v>
      </c>
      <c r="Q897" t="s">
        <v>2386</v>
      </c>
      <c r="R897">
        <v>2</v>
      </c>
      <c r="S897">
        <v>2</v>
      </c>
    </row>
    <row r="898" spans="1:19" hidden="1" x14ac:dyDescent="0.3">
      <c r="A898" t="s">
        <v>2380</v>
      </c>
      <c r="B898" t="s">
        <v>2381</v>
      </c>
      <c r="C898" t="s">
        <v>6622</v>
      </c>
      <c r="D898" t="s">
        <v>61</v>
      </c>
      <c r="E898" t="s">
        <v>222</v>
      </c>
      <c r="F898" t="s">
        <v>30</v>
      </c>
      <c r="G898" s="6">
        <v>46022</v>
      </c>
      <c r="H898" t="s">
        <v>6823</v>
      </c>
      <c r="I898" t="s">
        <v>57</v>
      </c>
      <c r="J898" t="s">
        <v>103</v>
      </c>
      <c r="K898">
        <v>100</v>
      </c>
      <c r="L898">
        <v>100</v>
      </c>
      <c r="M898">
        <v>1</v>
      </c>
      <c r="N898">
        <v>1</v>
      </c>
      <c r="O898" t="s">
        <v>102</v>
      </c>
      <c r="P898" t="s">
        <v>102</v>
      </c>
      <c r="Q898" t="s">
        <v>2388</v>
      </c>
      <c r="R898">
        <v>2</v>
      </c>
      <c r="S898">
        <v>2</v>
      </c>
    </row>
    <row r="899" spans="1:19" hidden="1" x14ac:dyDescent="0.3">
      <c r="A899" t="s">
        <v>2389</v>
      </c>
      <c r="B899" t="s">
        <v>2390</v>
      </c>
      <c r="C899" t="s">
        <v>6622</v>
      </c>
      <c r="D899" t="s">
        <v>61</v>
      </c>
      <c r="E899" t="s">
        <v>222</v>
      </c>
      <c r="F899" t="s">
        <v>30</v>
      </c>
      <c r="G899" s="6">
        <v>45291</v>
      </c>
      <c r="H899" t="s">
        <v>6811</v>
      </c>
      <c r="I899" t="s">
        <v>57</v>
      </c>
      <c r="J899" t="s">
        <v>47</v>
      </c>
      <c r="K899">
        <v>6</v>
      </c>
      <c r="L899">
        <v>6</v>
      </c>
      <c r="M899">
        <v>1</v>
      </c>
      <c r="N899">
        <v>1</v>
      </c>
      <c r="O899" t="s">
        <v>5655</v>
      </c>
      <c r="P899" t="s">
        <v>5655</v>
      </c>
      <c r="Q899" t="s">
        <v>2392</v>
      </c>
      <c r="R899">
        <v>2</v>
      </c>
      <c r="S899">
        <v>2</v>
      </c>
    </row>
    <row r="900" spans="1:19" hidden="1" x14ac:dyDescent="0.3">
      <c r="A900" t="s">
        <v>2389</v>
      </c>
      <c r="B900" t="s">
        <v>2390</v>
      </c>
      <c r="C900" t="s">
        <v>6622</v>
      </c>
      <c r="D900" t="s">
        <v>61</v>
      </c>
      <c r="E900" t="s">
        <v>222</v>
      </c>
      <c r="F900" t="s">
        <v>30</v>
      </c>
      <c r="G900" s="6">
        <v>45657</v>
      </c>
      <c r="H900" t="s">
        <v>6816</v>
      </c>
      <c r="I900" t="s">
        <v>57</v>
      </c>
      <c r="J900" t="s">
        <v>78</v>
      </c>
      <c r="K900">
        <v>3</v>
      </c>
      <c r="L900">
        <v>3</v>
      </c>
      <c r="M900">
        <v>1</v>
      </c>
      <c r="N900">
        <v>1</v>
      </c>
      <c r="O900" t="s">
        <v>1849</v>
      </c>
      <c r="P900" t="s">
        <v>1849</v>
      </c>
      <c r="Q900" t="s">
        <v>2394</v>
      </c>
      <c r="R900">
        <v>2</v>
      </c>
      <c r="S900">
        <v>2</v>
      </c>
    </row>
    <row r="901" spans="1:19" hidden="1" x14ac:dyDescent="0.3">
      <c r="A901" t="s">
        <v>2389</v>
      </c>
      <c r="B901" t="s">
        <v>2390</v>
      </c>
      <c r="C901" t="s">
        <v>6622</v>
      </c>
      <c r="D901" t="s">
        <v>61</v>
      </c>
      <c r="E901" t="s">
        <v>222</v>
      </c>
      <c r="F901" t="s">
        <v>30</v>
      </c>
      <c r="G901" s="6">
        <v>46022</v>
      </c>
      <c r="H901" t="s">
        <v>6823</v>
      </c>
      <c r="I901" t="s">
        <v>57</v>
      </c>
      <c r="J901" t="s">
        <v>103</v>
      </c>
      <c r="K901">
        <v>100</v>
      </c>
      <c r="L901">
        <v>150</v>
      </c>
      <c r="M901">
        <v>1.3</v>
      </c>
      <c r="N901">
        <v>1.5</v>
      </c>
      <c r="O901" t="s">
        <v>102</v>
      </c>
      <c r="P901" t="s">
        <v>1969</v>
      </c>
      <c r="Q901" t="s">
        <v>2397</v>
      </c>
      <c r="R901">
        <v>2</v>
      </c>
      <c r="S901">
        <v>2</v>
      </c>
    </row>
    <row r="902" spans="1:19" hidden="1" x14ac:dyDescent="0.3">
      <c r="A902" t="s">
        <v>2398</v>
      </c>
      <c r="B902" t="s">
        <v>2399</v>
      </c>
      <c r="C902" t="s">
        <v>6622</v>
      </c>
      <c r="D902" t="s">
        <v>61</v>
      </c>
      <c r="E902" t="s">
        <v>222</v>
      </c>
      <c r="F902" t="s">
        <v>30</v>
      </c>
      <c r="G902" s="6">
        <v>44926</v>
      </c>
      <c r="H902" t="s">
        <v>6819</v>
      </c>
      <c r="I902" t="s">
        <v>57</v>
      </c>
      <c r="J902" t="s">
        <v>90</v>
      </c>
      <c r="K902">
        <v>3</v>
      </c>
      <c r="L902">
        <v>3</v>
      </c>
      <c r="M902">
        <v>1</v>
      </c>
      <c r="N902">
        <v>1</v>
      </c>
      <c r="O902" t="s">
        <v>1849</v>
      </c>
      <c r="P902" t="s">
        <v>1849</v>
      </c>
      <c r="Q902" t="s">
        <v>2401</v>
      </c>
      <c r="R902">
        <v>2</v>
      </c>
      <c r="S902">
        <v>2</v>
      </c>
    </row>
    <row r="903" spans="1:19" hidden="1" x14ac:dyDescent="0.3">
      <c r="A903" t="s">
        <v>2398</v>
      </c>
      <c r="B903" t="s">
        <v>2399</v>
      </c>
      <c r="C903" t="s">
        <v>6622</v>
      </c>
      <c r="D903" t="s">
        <v>61</v>
      </c>
      <c r="E903" t="s">
        <v>222</v>
      </c>
      <c r="F903" t="s">
        <v>30</v>
      </c>
      <c r="G903" s="6">
        <v>45291</v>
      </c>
      <c r="H903" t="s">
        <v>6811</v>
      </c>
      <c r="I903" t="s">
        <v>57</v>
      </c>
      <c r="J903" t="s">
        <v>47</v>
      </c>
      <c r="K903">
        <v>0</v>
      </c>
      <c r="L903">
        <v>0</v>
      </c>
      <c r="M903">
        <v>0</v>
      </c>
      <c r="N903">
        <v>0</v>
      </c>
      <c r="O903" t="s">
        <v>122</v>
      </c>
      <c r="P903" t="s">
        <v>122</v>
      </c>
      <c r="Q903" t="s">
        <v>2403</v>
      </c>
      <c r="R903">
        <v>2</v>
      </c>
      <c r="S903">
        <v>2</v>
      </c>
    </row>
    <row r="904" spans="1:19" hidden="1" x14ac:dyDescent="0.3">
      <c r="A904" t="s">
        <v>2398</v>
      </c>
      <c r="B904" t="s">
        <v>2399</v>
      </c>
      <c r="C904" t="s">
        <v>6622</v>
      </c>
      <c r="D904" t="s">
        <v>61</v>
      </c>
      <c r="E904" t="s">
        <v>222</v>
      </c>
      <c r="F904" t="s">
        <v>30</v>
      </c>
      <c r="G904" s="6">
        <v>45657</v>
      </c>
      <c r="H904" t="s">
        <v>6816</v>
      </c>
      <c r="I904" t="s">
        <v>57</v>
      </c>
      <c r="J904" t="s">
        <v>78</v>
      </c>
      <c r="K904">
        <v>3</v>
      </c>
      <c r="L904">
        <v>3</v>
      </c>
      <c r="M904">
        <v>1</v>
      </c>
      <c r="N904">
        <v>1</v>
      </c>
      <c r="O904" t="s">
        <v>1849</v>
      </c>
      <c r="P904" t="s">
        <v>1849</v>
      </c>
      <c r="Q904" t="s">
        <v>2405</v>
      </c>
      <c r="R904">
        <v>2</v>
      </c>
      <c r="S904">
        <v>2</v>
      </c>
    </row>
    <row r="905" spans="1:19" hidden="1" x14ac:dyDescent="0.3">
      <c r="A905" t="s">
        <v>2398</v>
      </c>
      <c r="B905" t="s">
        <v>2406</v>
      </c>
      <c r="C905" t="s">
        <v>6622</v>
      </c>
      <c r="D905" t="s">
        <v>61</v>
      </c>
      <c r="E905" t="s">
        <v>222</v>
      </c>
      <c r="F905" t="s">
        <v>30</v>
      </c>
      <c r="G905" s="6">
        <v>46022</v>
      </c>
      <c r="H905" t="s">
        <v>6823</v>
      </c>
      <c r="I905" t="s">
        <v>57</v>
      </c>
      <c r="J905" t="s">
        <v>103</v>
      </c>
      <c r="L905">
        <v>100</v>
      </c>
      <c r="M905">
        <v>0</v>
      </c>
      <c r="N905">
        <v>0</v>
      </c>
      <c r="P905" t="s">
        <v>102</v>
      </c>
      <c r="Q905" t="s">
        <v>2408</v>
      </c>
      <c r="R905">
        <v>2</v>
      </c>
      <c r="S905">
        <v>2</v>
      </c>
    </row>
    <row r="906" spans="1:19" hidden="1" x14ac:dyDescent="0.3">
      <c r="A906" t="s">
        <v>2409</v>
      </c>
      <c r="B906" t="s">
        <v>2410</v>
      </c>
      <c r="D906" t="s">
        <v>61</v>
      </c>
      <c r="E906" t="s">
        <v>222</v>
      </c>
      <c r="F906" t="s">
        <v>30</v>
      </c>
      <c r="G906" s="6">
        <v>44926</v>
      </c>
      <c r="H906" t="s">
        <v>6819</v>
      </c>
      <c r="I906" t="s">
        <v>57</v>
      </c>
      <c r="J906" t="s">
        <v>90</v>
      </c>
      <c r="K906">
        <v>6</v>
      </c>
      <c r="L906">
        <v>2</v>
      </c>
      <c r="M906">
        <v>0.33333333333333331</v>
      </c>
      <c r="N906">
        <v>0.33333333333333331</v>
      </c>
      <c r="O906" t="s">
        <v>5655</v>
      </c>
      <c r="P906" t="s">
        <v>569</v>
      </c>
      <c r="Q906" t="s">
        <v>2411</v>
      </c>
      <c r="R906">
        <v>2</v>
      </c>
      <c r="S906">
        <v>2</v>
      </c>
    </row>
    <row r="907" spans="1:19" hidden="1" x14ac:dyDescent="0.3">
      <c r="A907" t="s">
        <v>2409</v>
      </c>
      <c r="B907" t="s">
        <v>2410</v>
      </c>
      <c r="D907" t="s">
        <v>61</v>
      </c>
      <c r="E907" t="s">
        <v>222</v>
      </c>
      <c r="F907" t="s">
        <v>30</v>
      </c>
      <c r="G907" s="6">
        <v>45291</v>
      </c>
      <c r="H907" t="s">
        <v>6811</v>
      </c>
      <c r="I907" t="s">
        <v>57</v>
      </c>
      <c r="J907" t="s">
        <v>47</v>
      </c>
      <c r="K907">
        <v>1</v>
      </c>
      <c r="L907">
        <v>1</v>
      </c>
      <c r="M907">
        <v>1</v>
      </c>
      <c r="N907">
        <v>1</v>
      </c>
      <c r="O907" t="s">
        <v>617</v>
      </c>
      <c r="P907" t="s">
        <v>617</v>
      </c>
      <c r="Q907" t="s">
        <v>2412</v>
      </c>
      <c r="R907">
        <v>2</v>
      </c>
      <c r="S907">
        <v>2</v>
      </c>
    </row>
    <row r="908" spans="1:19" hidden="1" x14ac:dyDescent="0.3">
      <c r="A908" t="s">
        <v>2409</v>
      </c>
      <c r="B908" t="s">
        <v>2410</v>
      </c>
      <c r="D908" t="s">
        <v>61</v>
      </c>
      <c r="E908" t="s">
        <v>222</v>
      </c>
      <c r="F908" t="s">
        <v>30</v>
      </c>
      <c r="G908" s="6">
        <v>45657</v>
      </c>
      <c r="H908" t="s">
        <v>6816</v>
      </c>
      <c r="I908" t="s">
        <v>57</v>
      </c>
      <c r="J908" t="s">
        <v>78</v>
      </c>
      <c r="K908">
        <v>0</v>
      </c>
      <c r="L908">
        <v>0</v>
      </c>
      <c r="M908">
        <v>0</v>
      </c>
      <c r="N908">
        <v>0</v>
      </c>
      <c r="O908" t="s">
        <v>122</v>
      </c>
      <c r="P908" t="s">
        <v>122</v>
      </c>
      <c r="Q908" t="s">
        <v>5905</v>
      </c>
      <c r="R908">
        <v>2</v>
      </c>
      <c r="S908">
        <v>2</v>
      </c>
    </row>
    <row r="909" spans="1:19" hidden="1" x14ac:dyDescent="0.3">
      <c r="A909" t="s">
        <v>2414</v>
      </c>
      <c r="B909" t="s">
        <v>2415</v>
      </c>
      <c r="D909" t="s">
        <v>61</v>
      </c>
      <c r="E909" t="s">
        <v>222</v>
      </c>
      <c r="F909" t="s">
        <v>30</v>
      </c>
      <c r="G909" s="6">
        <v>44926</v>
      </c>
      <c r="H909" t="s">
        <v>6819</v>
      </c>
      <c r="I909" t="s">
        <v>57</v>
      </c>
      <c r="J909" t="s">
        <v>90</v>
      </c>
      <c r="K909">
        <v>2</v>
      </c>
      <c r="L909">
        <v>2</v>
      </c>
      <c r="M909">
        <v>1</v>
      </c>
      <c r="N909">
        <v>1</v>
      </c>
      <c r="O909" t="s">
        <v>569</v>
      </c>
      <c r="P909" t="s">
        <v>569</v>
      </c>
      <c r="Q909" t="s">
        <v>2416</v>
      </c>
      <c r="R909">
        <v>2</v>
      </c>
      <c r="S909">
        <v>2</v>
      </c>
    </row>
    <row r="910" spans="1:19" hidden="1" x14ac:dyDescent="0.3">
      <c r="A910" t="s">
        <v>2414</v>
      </c>
      <c r="B910" t="s">
        <v>2415</v>
      </c>
      <c r="D910" t="s">
        <v>61</v>
      </c>
      <c r="E910" t="s">
        <v>222</v>
      </c>
      <c r="F910" t="s">
        <v>30</v>
      </c>
      <c r="G910" s="6">
        <v>45291</v>
      </c>
      <c r="H910" t="s">
        <v>6811</v>
      </c>
      <c r="I910" t="s">
        <v>57</v>
      </c>
      <c r="J910" t="s">
        <v>47</v>
      </c>
      <c r="K910">
        <v>1</v>
      </c>
      <c r="L910">
        <v>1</v>
      </c>
      <c r="M910">
        <v>1</v>
      </c>
      <c r="N910">
        <v>1</v>
      </c>
      <c r="O910" t="s">
        <v>617</v>
      </c>
      <c r="P910" t="s">
        <v>617</v>
      </c>
      <c r="Q910" t="s">
        <v>2417</v>
      </c>
      <c r="R910">
        <v>2</v>
      </c>
      <c r="S910">
        <v>2</v>
      </c>
    </row>
    <row r="911" spans="1:19" hidden="1" x14ac:dyDescent="0.3">
      <c r="A911" t="s">
        <v>2414</v>
      </c>
      <c r="B911" t="s">
        <v>2415</v>
      </c>
      <c r="D911" t="s">
        <v>61</v>
      </c>
      <c r="E911" t="s">
        <v>222</v>
      </c>
      <c r="F911" t="s">
        <v>30</v>
      </c>
      <c r="G911" s="6">
        <v>45657</v>
      </c>
      <c r="H911" t="s">
        <v>6816</v>
      </c>
      <c r="I911" t="s">
        <v>57</v>
      </c>
      <c r="J911" t="s">
        <v>78</v>
      </c>
      <c r="K911">
        <v>5</v>
      </c>
      <c r="L911">
        <v>5</v>
      </c>
      <c r="M911">
        <v>1</v>
      </c>
      <c r="N911">
        <v>1</v>
      </c>
      <c r="O911" t="s">
        <v>823</v>
      </c>
      <c r="P911" t="s">
        <v>823</v>
      </c>
      <c r="Q911" t="s">
        <v>2418</v>
      </c>
      <c r="R911">
        <v>2</v>
      </c>
      <c r="S911">
        <v>2</v>
      </c>
    </row>
    <row r="912" spans="1:19" hidden="1" x14ac:dyDescent="0.3">
      <c r="A912" t="s">
        <v>2419</v>
      </c>
      <c r="B912" t="s">
        <v>2420</v>
      </c>
      <c r="C912" t="s">
        <v>6681</v>
      </c>
      <c r="D912" t="s">
        <v>87</v>
      </c>
      <c r="E912" t="s">
        <v>98</v>
      </c>
      <c r="F912" t="s">
        <v>30</v>
      </c>
      <c r="G912" s="6">
        <v>45291</v>
      </c>
      <c r="H912" t="s">
        <v>6811</v>
      </c>
      <c r="I912" t="s">
        <v>57</v>
      </c>
      <c r="J912" t="s">
        <v>47</v>
      </c>
      <c r="K912">
        <v>5</v>
      </c>
      <c r="L912">
        <v>5</v>
      </c>
      <c r="M912">
        <v>1</v>
      </c>
      <c r="N912">
        <v>1</v>
      </c>
      <c r="O912" t="s">
        <v>823</v>
      </c>
      <c r="P912" t="s">
        <v>823</v>
      </c>
      <c r="Q912" t="s">
        <v>2421</v>
      </c>
      <c r="R912">
        <v>2</v>
      </c>
      <c r="S912">
        <v>2</v>
      </c>
    </row>
    <row r="913" spans="1:19" hidden="1" x14ac:dyDescent="0.3">
      <c r="A913" t="s">
        <v>2419</v>
      </c>
      <c r="B913" t="s">
        <v>2420</v>
      </c>
      <c r="C913" t="s">
        <v>6681</v>
      </c>
      <c r="D913" t="s">
        <v>87</v>
      </c>
      <c r="E913" t="s">
        <v>98</v>
      </c>
      <c r="F913" t="s">
        <v>30</v>
      </c>
      <c r="G913" s="6">
        <v>45657</v>
      </c>
      <c r="H913" t="s">
        <v>6816</v>
      </c>
      <c r="I913" t="s">
        <v>57</v>
      </c>
      <c r="J913" t="s">
        <v>78</v>
      </c>
      <c r="K913">
        <v>0</v>
      </c>
      <c r="M913">
        <v>0</v>
      </c>
      <c r="N913">
        <v>0</v>
      </c>
      <c r="O913" t="s">
        <v>122</v>
      </c>
      <c r="Q913" t="s">
        <v>2422</v>
      </c>
      <c r="R913">
        <v>2</v>
      </c>
      <c r="S913">
        <v>2</v>
      </c>
    </row>
    <row r="914" spans="1:19" hidden="1" x14ac:dyDescent="0.3">
      <c r="A914" t="s">
        <v>2419</v>
      </c>
      <c r="B914" t="s">
        <v>2423</v>
      </c>
      <c r="C914" t="s">
        <v>6681</v>
      </c>
      <c r="D914" t="s">
        <v>87</v>
      </c>
      <c r="E914" t="s">
        <v>98</v>
      </c>
      <c r="F914" t="s">
        <v>30</v>
      </c>
      <c r="G914" s="6">
        <v>46022</v>
      </c>
      <c r="H914" t="s">
        <v>6823</v>
      </c>
      <c r="I914" t="s">
        <v>57</v>
      </c>
      <c r="J914" t="s">
        <v>103</v>
      </c>
      <c r="L914">
        <v>100</v>
      </c>
      <c r="M914">
        <v>0</v>
      </c>
      <c r="N914">
        <v>0</v>
      </c>
      <c r="P914" t="s">
        <v>102</v>
      </c>
      <c r="Q914" t="s">
        <v>2424</v>
      </c>
      <c r="R914">
        <v>2</v>
      </c>
      <c r="S914">
        <v>2</v>
      </c>
    </row>
    <row r="915" spans="1:19" hidden="1" x14ac:dyDescent="0.3">
      <c r="A915" t="s">
        <v>2425</v>
      </c>
      <c r="B915" t="s">
        <v>2426</v>
      </c>
      <c r="C915" t="s">
        <v>6622</v>
      </c>
      <c r="D915" t="s">
        <v>87</v>
      </c>
      <c r="E915" t="s">
        <v>222</v>
      </c>
      <c r="F915" t="s">
        <v>30</v>
      </c>
      <c r="G915" s="6">
        <v>44926</v>
      </c>
      <c r="H915" t="s">
        <v>6819</v>
      </c>
      <c r="I915" t="s">
        <v>57</v>
      </c>
      <c r="J915" t="s">
        <v>90</v>
      </c>
      <c r="K915">
        <v>0</v>
      </c>
      <c r="L915">
        <v>0</v>
      </c>
      <c r="M915">
        <v>0</v>
      </c>
      <c r="N915">
        <v>0</v>
      </c>
      <c r="O915" t="s">
        <v>122</v>
      </c>
      <c r="P915" t="s">
        <v>122</v>
      </c>
      <c r="Q915" t="s">
        <v>2427</v>
      </c>
      <c r="R915">
        <v>2</v>
      </c>
      <c r="S915">
        <v>2</v>
      </c>
    </row>
    <row r="916" spans="1:19" hidden="1" x14ac:dyDescent="0.3">
      <c r="A916" t="s">
        <v>2425</v>
      </c>
      <c r="B916" t="s">
        <v>2426</v>
      </c>
      <c r="C916" t="s">
        <v>6622</v>
      </c>
      <c r="D916" t="s">
        <v>87</v>
      </c>
      <c r="E916" t="s">
        <v>222</v>
      </c>
      <c r="F916" t="s">
        <v>30</v>
      </c>
      <c r="G916" s="6">
        <v>45291</v>
      </c>
      <c r="H916" t="s">
        <v>6811</v>
      </c>
      <c r="I916" t="s">
        <v>57</v>
      </c>
      <c r="J916" t="s">
        <v>47</v>
      </c>
      <c r="K916">
        <v>2</v>
      </c>
      <c r="L916">
        <v>2</v>
      </c>
      <c r="M916">
        <v>1</v>
      </c>
      <c r="N916">
        <v>1</v>
      </c>
      <c r="O916" t="s">
        <v>569</v>
      </c>
      <c r="P916" t="s">
        <v>569</v>
      </c>
      <c r="Q916" t="s">
        <v>2429</v>
      </c>
      <c r="R916">
        <v>2</v>
      </c>
      <c r="S916">
        <v>2</v>
      </c>
    </row>
    <row r="917" spans="1:19" hidden="1" x14ac:dyDescent="0.3">
      <c r="A917" t="s">
        <v>2425</v>
      </c>
      <c r="B917" t="s">
        <v>2426</v>
      </c>
      <c r="C917" t="s">
        <v>6622</v>
      </c>
      <c r="D917" t="s">
        <v>87</v>
      </c>
      <c r="E917" t="s">
        <v>222</v>
      </c>
      <c r="F917" t="s">
        <v>30</v>
      </c>
      <c r="G917" s="6">
        <v>45657</v>
      </c>
      <c r="H917" t="s">
        <v>6816</v>
      </c>
      <c r="I917" t="s">
        <v>57</v>
      </c>
      <c r="J917" t="s">
        <v>78</v>
      </c>
      <c r="K917">
        <v>0</v>
      </c>
      <c r="L917">
        <v>0</v>
      </c>
      <c r="M917">
        <v>0</v>
      </c>
      <c r="N917">
        <v>0</v>
      </c>
      <c r="O917" t="s">
        <v>122</v>
      </c>
      <c r="P917" t="s">
        <v>122</v>
      </c>
      <c r="Q917" t="s">
        <v>2431</v>
      </c>
      <c r="R917">
        <v>2</v>
      </c>
      <c r="S917">
        <v>2</v>
      </c>
    </row>
    <row r="918" spans="1:19" hidden="1" x14ac:dyDescent="0.3">
      <c r="A918" t="s">
        <v>2425</v>
      </c>
      <c r="B918" t="s">
        <v>2432</v>
      </c>
      <c r="C918" t="s">
        <v>6622</v>
      </c>
      <c r="D918" t="s">
        <v>87</v>
      </c>
      <c r="E918" t="s">
        <v>222</v>
      </c>
      <c r="F918" t="s">
        <v>30</v>
      </c>
      <c r="G918" s="6">
        <v>46022</v>
      </c>
      <c r="H918" t="s">
        <v>6823</v>
      </c>
      <c r="I918" t="s">
        <v>57</v>
      </c>
      <c r="J918" t="s">
        <v>103</v>
      </c>
      <c r="K918">
        <v>100</v>
      </c>
      <c r="L918">
        <v>100</v>
      </c>
      <c r="M918">
        <v>1</v>
      </c>
      <c r="N918">
        <v>1</v>
      </c>
      <c r="O918" t="s">
        <v>102</v>
      </c>
      <c r="P918" t="s">
        <v>102</v>
      </c>
      <c r="Q918" t="s">
        <v>2434</v>
      </c>
      <c r="R918">
        <v>2</v>
      </c>
      <c r="S918">
        <v>2</v>
      </c>
    </row>
    <row r="919" spans="1:19" hidden="1" x14ac:dyDescent="0.3">
      <c r="A919" t="s">
        <v>2435</v>
      </c>
      <c r="B919" t="s">
        <v>2436</v>
      </c>
      <c r="D919" t="s">
        <v>2437</v>
      </c>
      <c r="E919" t="s">
        <v>98</v>
      </c>
      <c r="F919" t="s">
        <v>30</v>
      </c>
      <c r="G919" s="6">
        <v>45291</v>
      </c>
      <c r="H919" t="s">
        <v>6811</v>
      </c>
      <c r="I919" t="s">
        <v>57</v>
      </c>
      <c r="J919" t="s">
        <v>47</v>
      </c>
      <c r="K919">
        <v>800</v>
      </c>
      <c r="L919">
        <v>1035</v>
      </c>
      <c r="M919">
        <v>1.29375</v>
      </c>
      <c r="N919">
        <v>1.29375</v>
      </c>
      <c r="O919" t="s">
        <v>1144</v>
      </c>
      <c r="P919" t="s">
        <v>5906</v>
      </c>
      <c r="Q919" t="s">
        <v>2438</v>
      </c>
      <c r="R919">
        <v>2</v>
      </c>
      <c r="S919">
        <v>2</v>
      </c>
    </row>
    <row r="920" spans="1:19" hidden="1" x14ac:dyDescent="0.3">
      <c r="A920" t="s">
        <v>2435</v>
      </c>
      <c r="B920" t="s">
        <v>2436</v>
      </c>
      <c r="D920" t="s">
        <v>2437</v>
      </c>
      <c r="E920" t="s">
        <v>98</v>
      </c>
      <c r="F920" t="s">
        <v>30</v>
      </c>
      <c r="G920" s="6">
        <v>45657</v>
      </c>
      <c r="H920" t="s">
        <v>6816</v>
      </c>
      <c r="I920" t="s">
        <v>57</v>
      </c>
      <c r="J920" t="s">
        <v>78</v>
      </c>
      <c r="K920">
        <v>100</v>
      </c>
      <c r="L920">
        <v>157</v>
      </c>
      <c r="M920">
        <v>1.3</v>
      </c>
      <c r="N920">
        <v>1.57</v>
      </c>
      <c r="O920" t="s">
        <v>102</v>
      </c>
      <c r="P920" t="s">
        <v>5907</v>
      </c>
      <c r="Q920" t="s">
        <v>2439</v>
      </c>
      <c r="R920">
        <v>2</v>
      </c>
      <c r="S920">
        <v>2</v>
      </c>
    </row>
    <row r="921" spans="1:19" hidden="1" x14ac:dyDescent="0.3">
      <c r="A921" t="s">
        <v>2440</v>
      </c>
      <c r="B921" t="s">
        <v>2441</v>
      </c>
      <c r="D921" t="s">
        <v>2437</v>
      </c>
      <c r="E921" t="s">
        <v>98</v>
      </c>
      <c r="F921" t="s">
        <v>30</v>
      </c>
      <c r="G921" s="6">
        <v>45291</v>
      </c>
      <c r="H921" t="s">
        <v>6811</v>
      </c>
      <c r="I921" t="s">
        <v>57</v>
      </c>
      <c r="J921" t="s">
        <v>47</v>
      </c>
      <c r="K921">
        <v>3000</v>
      </c>
      <c r="L921">
        <v>3315</v>
      </c>
      <c r="M921">
        <v>1.105</v>
      </c>
      <c r="N921">
        <v>1.105</v>
      </c>
      <c r="O921" t="s">
        <v>5908</v>
      </c>
      <c r="P921" t="s">
        <v>5909</v>
      </c>
      <c r="Q921" t="s">
        <v>2442</v>
      </c>
      <c r="R921">
        <v>2</v>
      </c>
      <c r="S921">
        <v>2</v>
      </c>
    </row>
    <row r="922" spans="1:19" hidden="1" x14ac:dyDescent="0.3">
      <c r="A922" t="s">
        <v>2440</v>
      </c>
      <c r="B922" t="s">
        <v>2441</v>
      </c>
      <c r="D922" t="s">
        <v>2437</v>
      </c>
      <c r="E922" t="s">
        <v>98</v>
      </c>
      <c r="F922" t="s">
        <v>30</v>
      </c>
      <c r="G922" s="6">
        <v>45657</v>
      </c>
      <c r="H922" t="s">
        <v>6816</v>
      </c>
      <c r="I922" t="s">
        <v>57</v>
      </c>
      <c r="J922" t="s">
        <v>78</v>
      </c>
      <c r="K922">
        <v>100</v>
      </c>
      <c r="L922">
        <v>106.63</v>
      </c>
      <c r="M922">
        <v>1.0663</v>
      </c>
      <c r="N922">
        <v>1.0663</v>
      </c>
      <c r="O922" t="s">
        <v>102</v>
      </c>
      <c r="P922" t="s">
        <v>5910</v>
      </c>
      <c r="Q922" t="s">
        <v>2443</v>
      </c>
      <c r="R922">
        <v>2</v>
      </c>
      <c r="S922">
        <v>2</v>
      </c>
    </row>
    <row r="923" spans="1:19" hidden="1" x14ac:dyDescent="0.3">
      <c r="A923" t="s">
        <v>2444</v>
      </c>
      <c r="B923" t="s">
        <v>2445</v>
      </c>
      <c r="D923" t="s">
        <v>2437</v>
      </c>
      <c r="E923" t="s">
        <v>98</v>
      </c>
      <c r="F923" t="s">
        <v>30</v>
      </c>
      <c r="G923" s="6">
        <v>45291</v>
      </c>
      <c r="H923" t="s">
        <v>6811</v>
      </c>
      <c r="I923" t="s">
        <v>57</v>
      </c>
      <c r="J923" t="s">
        <v>47</v>
      </c>
      <c r="L923">
        <v>81</v>
      </c>
      <c r="M923">
        <v>0</v>
      </c>
      <c r="N923">
        <v>0</v>
      </c>
      <c r="P923" t="s">
        <v>1054</v>
      </c>
      <c r="Q923" t="s">
        <v>2446</v>
      </c>
      <c r="R923">
        <v>2</v>
      </c>
      <c r="S923">
        <v>2</v>
      </c>
    </row>
    <row r="924" spans="1:19" hidden="1" x14ac:dyDescent="0.3">
      <c r="A924" t="s">
        <v>2444</v>
      </c>
      <c r="B924" t="s">
        <v>2445</v>
      </c>
      <c r="D924" t="s">
        <v>2437</v>
      </c>
      <c r="E924" t="s">
        <v>98</v>
      </c>
      <c r="F924" t="s">
        <v>30</v>
      </c>
      <c r="G924" s="6">
        <v>45657</v>
      </c>
      <c r="H924" t="s">
        <v>6816</v>
      </c>
      <c r="I924" t="s">
        <v>57</v>
      </c>
      <c r="J924" t="s">
        <v>78</v>
      </c>
      <c r="K924">
        <v>0</v>
      </c>
      <c r="L924">
        <v>82</v>
      </c>
      <c r="M924">
        <v>0</v>
      </c>
      <c r="N924">
        <v>0</v>
      </c>
      <c r="O924" t="s">
        <v>122</v>
      </c>
      <c r="P924" t="s">
        <v>5879</v>
      </c>
      <c r="Q924" t="s">
        <v>2447</v>
      </c>
      <c r="R924">
        <v>2</v>
      </c>
      <c r="S924">
        <v>2</v>
      </c>
    </row>
    <row r="925" spans="1:19" hidden="1" x14ac:dyDescent="0.3">
      <c r="A925" t="s">
        <v>2448</v>
      </c>
      <c r="B925" t="s">
        <v>2449</v>
      </c>
      <c r="C925" t="s">
        <v>6622</v>
      </c>
      <c r="D925" t="s">
        <v>262</v>
      </c>
      <c r="E925" t="s">
        <v>222</v>
      </c>
      <c r="F925" t="s">
        <v>108</v>
      </c>
      <c r="G925" s="6">
        <v>44926</v>
      </c>
      <c r="H925" t="s">
        <v>6819</v>
      </c>
      <c r="I925" t="s">
        <v>57</v>
      </c>
      <c r="J925" t="s">
        <v>90</v>
      </c>
      <c r="K925">
        <v>1.6</v>
      </c>
      <c r="L925">
        <v>1.7749999999999999</v>
      </c>
      <c r="M925">
        <v>0.90140845070422548</v>
      </c>
      <c r="N925">
        <v>0.90140845070422548</v>
      </c>
      <c r="O925" t="s">
        <v>501</v>
      </c>
      <c r="P925" t="s">
        <v>7111</v>
      </c>
      <c r="Q925" t="s">
        <v>2451</v>
      </c>
      <c r="R925">
        <v>2</v>
      </c>
      <c r="S925">
        <v>2</v>
      </c>
    </row>
    <row r="926" spans="1:19" hidden="1" x14ac:dyDescent="0.3">
      <c r="A926" t="s">
        <v>2448</v>
      </c>
      <c r="B926" t="s">
        <v>2449</v>
      </c>
      <c r="C926" t="s">
        <v>6622</v>
      </c>
      <c r="D926" t="s">
        <v>262</v>
      </c>
      <c r="E926" t="s">
        <v>222</v>
      </c>
      <c r="F926" t="s">
        <v>108</v>
      </c>
      <c r="G926" s="6">
        <v>45291</v>
      </c>
      <c r="H926" t="s">
        <v>6811</v>
      </c>
      <c r="I926" t="s">
        <v>57</v>
      </c>
      <c r="J926" t="s">
        <v>47</v>
      </c>
      <c r="K926">
        <v>1.8</v>
      </c>
      <c r="L926">
        <v>1.4350000000000001</v>
      </c>
      <c r="M926">
        <v>1.254355400696864</v>
      </c>
      <c r="N926">
        <v>1.254355400696864</v>
      </c>
      <c r="O926" t="s">
        <v>5911</v>
      </c>
      <c r="P926" t="s">
        <v>7112</v>
      </c>
      <c r="Q926" t="s">
        <v>2453</v>
      </c>
      <c r="R926">
        <v>2</v>
      </c>
      <c r="S926">
        <v>2</v>
      </c>
    </row>
    <row r="927" spans="1:19" hidden="1" x14ac:dyDescent="0.3">
      <c r="A927" t="s">
        <v>2448</v>
      </c>
      <c r="B927" t="s">
        <v>2449</v>
      </c>
      <c r="C927" t="s">
        <v>6622</v>
      </c>
      <c r="D927" t="s">
        <v>262</v>
      </c>
      <c r="E927" t="s">
        <v>222</v>
      </c>
      <c r="F927" t="s">
        <v>108</v>
      </c>
      <c r="G927" s="6">
        <v>45657</v>
      </c>
      <c r="H927" t="s">
        <v>6816</v>
      </c>
      <c r="I927" t="s">
        <v>57</v>
      </c>
      <c r="J927" t="s">
        <v>78</v>
      </c>
      <c r="K927">
        <v>1.65</v>
      </c>
      <c r="L927">
        <v>1.1499999999999999</v>
      </c>
      <c r="M927">
        <v>1.3</v>
      </c>
      <c r="N927">
        <v>1.4347826086956521</v>
      </c>
      <c r="O927" t="s">
        <v>1930</v>
      </c>
      <c r="P927" t="s">
        <v>7113</v>
      </c>
      <c r="Q927" t="s">
        <v>2455</v>
      </c>
      <c r="R927">
        <v>2</v>
      </c>
      <c r="S927">
        <v>2</v>
      </c>
    </row>
    <row r="928" spans="1:19" hidden="1" x14ac:dyDescent="0.3">
      <c r="A928" t="s">
        <v>2448</v>
      </c>
      <c r="B928" t="s">
        <v>2449</v>
      </c>
      <c r="C928" t="s">
        <v>6622</v>
      </c>
      <c r="D928" t="s">
        <v>262</v>
      </c>
      <c r="E928" t="s">
        <v>222</v>
      </c>
      <c r="F928" t="s">
        <v>108</v>
      </c>
      <c r="G928" s="6">
        <v>46022</v>
      </c>
      <c r="H928" t="s">
        <v>6823</v>
      </c>
      <c r="I928" t="s">
        <v>57</v>
      </c>
      <c r="J928" t="s">
        <v>103</v>
      </c>
      <c r="K928">
        <v>1.18</v>
      </c>
      <c r="L928">
        <v>0.89</v>
      </c>
      <c r="M928">
        <v>1.3</v>
      </c>
      <c r="N928">
        <v>1.3258426966292129</v>
      </c>
      <c r="O928" t="s">
        <v>2457</v>
      </c>
      <c r="P928" t="s">
        <v>7114</v>
      </c>
      <c r="Q928" t="s">
        <v>2462</v>
      </c>
      <c r="R928">
        <v>2</v>
      </c>
      <c r="S928">
        <v>2</v>
      </c>
    </row>
    <row r="929" spans="1:19" hidden="1" x14ac:dyDescent="0.3">
      <c r="A929" t="s">
        <v>2463</v>
      </c>
      <c r="B929" t="s">
        <v>2464</v>
      </c>
      <c r="C929" t="s">
        <v>6681</v>
      </c>
      <c r="D929" t="s">
        <v>262</v>
      </c>
      <c r="E929" t="s">
        <v>98</v>
      </c>
      <c r="F929" t="s">
        <v>30</v>
      </c>
      <c r="G929" s="6">
        <v>44926</v>
      </c>
      <c r="H929" t="s">
        <v>6819</v>
      </c>
      <c r="I929" t="s">
        <v>57</v>
      </c>
      <c r="J929" t="s">
        <v>90</v>
      </c>
      <c r="K929">
        <v>86</v>
      </c>
      <c r="L929">
        <v>86</v>
      </c>
      <c r="M929">
        <v>1</v>
      </c>
      <c r="N929">
        <v>1</v>
      </c>
      <c r="O929" t="s">
        <v>4410</v>
      </c>
      <c r="P929" t="s">
        <v>4410</v>
      </c>
      <c r="Q929" t="s">
        <v>2465</v>
      </c>
      <c r="R929">
        <v>2</v>
      </c>
      <c r="S929">
        <v>2</v>
      </c>
    </row>
    <row r="930" spans="1:19" hidden="1" x14ac:dyDescent="0.3">
      <c r="A930" t="s">
        <v>2463</v>
      </c>
      <c r="B930" t="s">
        <v>2464</v>
      </c>
      <c r="C930" t="s">
        <v>6681</v>
      </c>
      <c r="D930" t="s">
        <v>262</v>
      </c>
      <c r="E930" t="s">
        <v>98</v>
      </c>
      <c r="F930" t="s">
        <v>30</v>
      </c>
      <c r="G930" s="6">
        <v>45291</v>
      </c>
      <c r="H930" t="s">
        <v>6811</v>
      </c>
      <c r="I930" t="s">
        <v>57</v>
      </c>
      <c r="J930" t="s">
        <v>47</v>
      </c>
      <c r="K930">
        <v>88</v>
      </c>
      <c r="L930">
        <v>88.39</v>
      </c>
      <c r="M930">
        <v>1.0044318181818179</v>
      </c>
      <c r="N930">
        <v>1.0044318181818179</v>
      </c>
      <c r="O930" t="s">
        <v>4404</v>
      </c>
      <c r="P930" t="s">
        <v>5918</v>
      </c>
      <c r="Q930" t="s">
        <v>2466</v>
      </c>
      <c r="R930">
        <v>2</v>
      </c>
      <c r="S930">
        <v>2</v>
      </c>
    </row>
    <row r="931" spans="1:19" hidden="1" x14ac:dyDescent="0.3">
      <c r="A931" t="s">
        <v>2463</v>
      </c>
      <c r="B931" t="s">
        <v>2464</v>
      </c>
      <c r="C931" t="s">
        <v>6681</v>
      </c>
      <c r="D931" t="s">
        <v>262</v>
      </c>
      <c r="E931" t="s">
        <v>98</v>
      </c>
      <c r="F931" t="s">
        <v>30</v>
      </c>
      <c r="G931" s="6">
        <v>45657</v>
      </c>
      <c r="H931" t="s">
        <v>6816</v>
      </c>
      <c r="I931" t="s">
        <v>57</v>
      </c>
      <c r="J931" t="s">
        <v>78</v>
      </c>
      <c r="K931">
        <v>88</v>
      </c>
      <c r="L931">
        <v>88.84</v>
      </c>
      <c r="M931">
        <v>1.009545454545455</v>
      </c>
      <c r="N931">
        <v>1.009545454545455</v>
      </c>
      <c r="O931" t="s">
        <v>4404</v>
      </c>
      <c r="P931" t="s">
        <v>5919</v>
      </c>
      <c r="Q931" t="s">
        <v>2467</v>
      </c>
      <c r="R931">
        <v>2</v>
      </c>
      <c r="S931">
        <v>2</v>
      </c>
    </row>
    <row r="932" spans="1:19" hidden="1" x14ac:dyDescent="0.3">
      <c r="A932" t="s">
        <v>2463</v>
      </c>
      <c r="B932" t="s">
        <v>2464</v>
      </c>
      <c r="C932" t="s">
        <v>6681</v>
      </c>
      <c r="D932" t="s">
        <v>262</v>
      </c>
      <c r="E932" t="s">
        <v>98</v>
      </c>
      <c r="F932" t="s">
        <v>30</v>
      </c>
      <c r="G932" s="6">
        <v>46022</v>
      </c>
      <c r="H932" t="s">
        <v>6823</v>
      </c>
      <c r="I932" t="s">
        <v>57</v>
      </c>
      <c r="J932" t="s">
        <v>103</v>
      </c>
      <c r="K932">
        <v>89</v>
      </c>
      <c r="L932">
        <v>90.1</v>
      </c>
      <c r="M932">
        <v>1.0123595505617979</v>
      </c>
      <c r="N932">
        <v>1.0123595505617979</v>
      </c>
      <c r="O932" t="s">
        <v>280</v>
      </c>
      <c r="P932" t="s">
        <v>1732</v>
      </c>
      <c r="Q932" t="s">
        <v>2468</v>
      </c>
      <c r="R932">
        <v>2</v>
      </c>
      <c r="S932">
        <v>2</v>
      </c>
    </row>
    <row r="933" spans="1:19" hidden="1" x14ac:dyDescent="0.3">
      <c r="A933" t="s">
        <v>2469</v>
      </c>
      <c r="B933" t="s">
        <v>2470</v>
      </c>
      <c r="D933" t="s">
        <v>262</v>
      </c>
      <c r="E933" t="s">
        <v>98</v>
      </c>
      <c r="F933" t="s">
        <v>30</v>
      </c>
      <c r="G933" s="6">
        <v>45291</v>
      </c>
      <c r="H933" t="s">
        <v>6811</v>
      </c>
      <c r="I933" t="s">
        <v>57</v>
      </c>
      <c r="J933" t="s">
        <v>47</v>
      </c>
      <c r="K933">
        <v>80</v>
      </c>
      <c r="L933">
        <v>93.85</v>
      </c>
      <c r="M933">
        <v>1.173125</v>
      </c>
      <c r="N933">
        <v>1.173125</v>
      </c>
      <c r="O933" t="s">
        <v>193</v>
      </c>
      <c r="P933" t="s">
        <v>5920</v>
      </c>
      <c r="Q933" t="s">
        <v>2471</v>
      </c>
      <c r="R933">
        <v>2</v>
      </c>
      <c r="S933">
        <v>2</v>
      </c>
    </row>
    <row r="934" spans="1:19" hidden="1" x14ac:dyDescent="0.3">
      <c r="A934" t="s">
        <v>2469</v>
      </c>
      <c r="B934" t="s">
        <v>2470</v>
      </c>
      <c r="D934" t="s">
        <v>262</v>
      </c>
      <c r="E934" t="s">
        <v>98</v>
      </c>
      <c r="F934" t="s">
        <v>30</v>
      </c>
      <c r="G934" s="6">
        <v>45657</v>
      </c>
      <c r="H934" t="s">
        <v>6816</v>
      </c>
      <c r="I934" t="s">
        <v>57</v>
      </c>
      <c r="J934" t="s">
        <v>78</v>
      </c>
      <c r="K934">
        <v>82</v>
      </c>
      <c r="L934">
        <v>80.95</v>
      </c>
      <c r="M934">
        <v>0.9871951219512195</v>
      </c>
      <c r="N934">
        <v>0.9871951219512195</v>
      </c>
      <c r="O934" t="s">
        <v>5879</v>
      </c>
      <c r="P934" t="s">
        <v>5921</v>
      </c>
      <c r="Q934" t="s">
        <v>2472</v>
      </c>
      <c r="R934">
        <v>2</v>
      </c>
      <c r="S934">
        <v>2</v>
      </c>
    </row>
    <row r="935" spans="1:19" hidden="1" x14ac:dyDescent="0.3">
      <c r="A935" t="s">
        <v>2473</v>
      </c>
      <c r="B935" t="s">
        <v>2474</v>
      </c>
      <c r="C935" t="s">
        <v>6681</v>
      </c>
      <c r="D935" t="s">
        <v>672</v>
      </c>
      <c r="E935" t="s">
        <v>98</v>
      </c>
      <c r="F935" t="s">
        <v>108</v>
      </c>
      <c r="G935" s="6">
        <v>45291</v>
      </c>
      <c r="H935" t="s">
        <v>6811</v>
      </c>
      <c r="I935" t="s">
        <v>57</v>
      </c>
      <c r="J935" t="s">
        <v>47</v>
      </c>
      <c r="M935">
        <v>0</v>
      </c>
      <c r="N935">
        <v>0</v>
      </c>
      <c r="Q935" t="s">
        <v>2475</v>
      </c>
      <c r="R935">
        <v>2</v>
      </c>
      <c r="S935">
        <v>2</v>
      </c>
    </row>
    <row r="936" spans="1:19" hidden="1" x14ac:dyDescent="0.3">
      <c r="A936" t="s">
        <v>2473</v>
      </c>
      <c r="B936" t="s">
        <v>2474</v>
      </c>
      <c r="C936" t="s">
        <v>6681</v>
      </c>
      <c r="D936" t="s">
        <v>672</v>
      </c>
      <c r="E936" t="s">
        <v>98</v>
      </c>
      <c r="F936" t="s">
        <v>108</v>
      </c>
      <c r="G936" s="6">
        <v>45657</v>
      </c>
      <c r="H936" t="s">
        <v>6816</v>
      </c>
      <c r="I936" t="s">
        <v>57</v>
      </c>
      <c r="J936" t="s">
        <v>78</v>
      </c>
      <c r="K936">
        <v>2</v>
      </c>
      <c r="L936">
        <v>0.79</v>
      </c>
      <c r="M936">
        <v>1.3</v>
      </c>
      <c r="N936">
        <v>2.5316455696202529</v>
      </c>
      <c r="O936" t="s">
        <v>569</v>
      </c>
      <c r="P936" t="s">
        <v>5922</v>
      </c>
      <c r="Q936" t="s">
        <v>2476</v>
      </c>
      <c r="R936">
        <v>2</v>
      </c>
      <c r="S936">
        <v>2</v>
      </c>
    </row>
    <row r="937" spans="1:19" hidden="1" x14ac:dyDescent="0.3">
      <c r="A937" t="s">
        <v>2473</v>
      </c>
      <c r="B937" t="s">
        <v>2474</v>
      </c>
      <c r="C937" t="s">
        <v>6681</v>
      </c>
      <c r="D937" t="s">
        <v>672</v>
      </c>
      <c r="E937" t="s">
        <v>98</v>
      </c>
      <c r="F937" t="s">
        <v>108</v>
      </c>
      <c r="G937" s="6">
        <v>46022</v>
      </c>
      <c r="H937" t="s">
        <v>6823</v>
      </c>
      <c r="I937" t="s">
        <v>57</v>
      </c>
      <c r="J937" t="s">
        <v>103</v>
      </c>
      <c r="L937">
        <v>0.36</v>
      </c>
      <c r="M937">
        <v>0</v>
      </c>
      <c r="N937">
        <v>0</v>
      </c>
      <c r="P937" t="s">
        <v>2478</v>
      </c>
      <c r="Q937" t="s">
        <v>2479</v>
      </c>
      <c r="R937">
        <v>2</v>
      </c>
      <c r="S937">
        <v>2</v>
      </c>
    </row>
    <row r="938" spans="1:19" hidden="1" x14ac:dyDescent="0.3">
      <c r="A938" t="s">
        <v>2480</v>
      </c>
      <c r="B938" t="s">
        <v>2481</v>
      </c>
      <c r="C938" t="s">
        <v>6622</v>
      </c>
      <c r="D938" t="s">
        <v>87</v>
      </c>
      <c r="E938" t="s">
        <v>222</v>
      </c>
      <c r="F938" t="s">
        <v>30</v>
      </c>
      <c r="G938" s="6">
        <v>45291</v>
      </c>
      <c r="H938" t="s">
        <v>6811</v>
      </c>
      <c r="I938" t="s">
        <v>57</v>
      </c>
      <c r="J938" t="s">
        <v>47</v>
      </c>
      <c r="K938">
        <v>3</v>
      </c>
      <c r="L938">
        <v>3</v>
      </c>
      <c r="M938">
        <v>1</v>
      </c>
      <c r="N938">
        <v>1</v>
      </c>
      <c r="O938" t="s">
        <v>1849</v>
      </c>
      <c r="P938" t="s">
        <v>1849</v>
      </c>
      <c r="Q938" t="s">
        <v>2483</v>
      </c>
      <c r="R938">
        <v>2</v>
      </c>
      <c r="S938">
        <v>2</v>
      </c>
    </row>
    <row r="939" spans="1:19" hidden="1" x14ac:dyDescent="0.3">
      <c r="A939" t="s">
        <v>2480</v>
      </c>
      <c r="B939" t="s">
        <v>2481</v>
      </c>
      <c r="C939" t="s">
        <v>6622</v>
      </c>
      <c r="D939" t="s">
        <v>87</v>
      </c>
      <c r="E939" t="s">
        <v>222</v>
      </c>
      <c r="F939" t="s">
        <v>30</v>
      </c>
      <c r="G939" s="6">
        <v>45657</v>
      </c>
      <c r="H939" t="s">
        <v>6816</v>
      </c>
      <c r="I939" t="s">
        <v>57</v>
      </c>
      <c r="J939" t="s">
        <v>78</v>
      </c>
      <c r="K939">
        <v>100</v>
      </c>
      <c r="L939">
        <v>100</v>
      </c>
      <c r="M939">
        <v>1</v>
      </c>
      <c r="N939">
        <v>1</v>
      </c>
      <c r="O939" t="s">
        <v>102</v>
      </c>
      <c r="P939" t="s">
        <v>102</v>
      </c>
      <c r="Q939" t="s">
        <v>2485</v>
      </c>
      <c r="R939">
        <v>2</v>
      </c>
      <c r="S939">
        <v>2</v>
      </c>
    </row>
    <row r="940" spans="1:19" hidden="1" x14ac:dyDescent="0.3">
      <c r="A940" t="s">
        <v>2480</v>
      </c>
      <c r="B940" t="s">
        <v>2486</v>
      </c>
      <c r="C940" t="s">
        <v>6622</v>
      </c>
      <c r="D940" t="s">
        <v>87</v>
      </c>
      <c r="E940" t="s">
        <v>222</v>
      </c>
      <c r="F940" t="s">
        <v>30</v>
      </c>
      <c r="G940" s="6">
        <v>46022</v>
      </c>
      <c r="H940" t="s">
        <v>6823</v>
      </c>
      <c r="I940" t="s">
        <v>57</v>
      </c>
      <c r="J940" t="s">
        <v>103</v>
      </c>
      <c r="K940">
        <v>100</v>
      </c>
      <c r="M940">
        <v>0</v>
      </c>
      <c r="N940">
        <v>0</v>
      </c>
      <c r="O940" t="s">
        <v>102</v>
      </c>
      <c r="Q940" t="s">
        <v>2488</v>
      </c>
      <c r="R940">
        <v>2</v>
      </c>
      <c r="S940">
        <v>2</v>
      </c>
    </row>
    <row r="941" spans="1:19" hidden="1" x14ac:dyDescent="0.3">
      <c r="A941" t="s">
        <v>2489</v>
      </c>
      <c r="B941" t="s">
        <v>2490</v>
      </c>
      <c r="C941" t="s">
        <v>6622</v>
      </c>
      <c r="D941" t="s">
        <v>87</v>
      </c>
      <c r="E941" t="s">
        <v>222</v>
      </c>
      <c r="F941" t="s">
        <v>30</v>
      </c>
      <c r="G941" s="6">
        <v>45291</v>
      </c>
      <c r="H941" t="s">
        <v>6811</v>
      </c>
      <c r="I941" t="s">
        <v>57</v>
      </c>
      <c r="J941" t="s">
        <v>47</v>
      </c>
      <c r="K941">
        <v>5</v>
      </c>
      <c r="L941">
        <v>5</v>
      </c>
      <c r="M941">
        <v>1</v>
      </c>
      <c r="N941">
        <v>1</v>
      </c>
      <c r="O941" t="s">
        <v>823</v>
      </c>
      <c r="P941" t="s">
        <v>823</v>
      </c>
      <c r="Q941" t="s">
        <v>2492</v>
      </c>
      <c r="R941">
        <v>2</v>
      </c>
      <c r="S941">
        <v>2</v>
      </c>
    </row>
    <row r="942" spans="1:19" hidden="1" x14ac:dyDescent="0.3">
      <c r="A942" t="s">
        <v>2489</v>
      </c>
      <c r="B942" t="s">
        <v>2490</v>
      </c>
      <c r="C942" t="s">
        <v>6622</v>
      </c>
      <c r="D942" t="s">
        <v>87</v>
      </c>
      <c r="E942" t="s">
        <v>222</v>
      </c>
      <c r="F942" t="s">
        <v>30</v>
      </c>
      <c r="G942" s="6">
        <v>45657</v>
      </c>
      <c r="H942" t="s">
        <v>6816</v>
      </c>
      <c r="I942" t="s">
        <v>57</v>
      </c>
      <c r="J942" t="s">
        <v>78</v>
      </c>
      <c r="K942">
        <v>3</v>
      </c>
      <c r="L942">
        <v>3</v>
      </c>
      <c r="M942">
        <v>1</v>
      </c>
      <c r="N942">
        <v>1</v>
      </c>
      <c r="O942" t="s">
        <v>1849</v>
      </c>
      <c r="P942" t="s">
        <v>1849</v>
      </c>
      <c r="Q942" t="s">
        <v>2495</v>
      </c>
      <c r="R942">
        <v>2</v>
      </c>
      <c r="S942">
        <v>2</v>
      </c>
    </row>
    <row r="943" spans="1:19" hidden="1" x14ac:dyDescent="0.3">
      <c r="A943" t="s">
        <v>2489</v>
      </c>
      <c r="B943" t="s">
        <v>2496</v>
      </c>
      <c r="C943" t="s">
        <v>6622</v>
      </c>
      <c r="D943" t="s">
        <v>87</v>
      </c>
      <c r="E943" t="s">
        <v>222</v>
      </c>
      <c r="F943" t="s">
        <v>30</v>
      </c>
      <c r="G943" s="6">
        <v>46022</v>
      </c>
      <c r="H943" t="s">
        <v>6823</v>
      </c>
      <c r="I943" t="s">
        <v>57</v>
      </c>
      <c r="J943" t="s">
        <v>103</v>
      </c>
      <c r="K943">
        <v>100</v>
      </c>
      <c r="L943">
        <v>100</v>
      </c>
      <c r="M943">
        <v>1</v>
      </c>
      <c r="N943">
        <v>1</v>
      </c>
      <c r="O943" t="s">
        <v>102</v>
      </c>
      <c r="P943" t="s">
        <v>102</v>
      </c>
      <c r="Q943" t="s">
        <v>2498</v>
      </c>
      <c r="R943">
        <v>2</v>
      </c>
      <c r="S943">
        <v>2</v>
      </c>
    </row>
    <row r="944" spans="1:19" hidden="1" x14ac:dyDescent="0.3">
      <c r="A944" t="s">
        <v>2499</v>
      </c>
      <c r="B944" t="s">
        <v>2500</v>
      </c>
      <c r="C944" t="s">
        <v>6622</v>
      </c>
      <c r="D944" t="s">
        <v>2501</v>
      </c>
      <c r="E944" t="s">
        <v>98</v>
      </c>
      <c r="F944" t="s">
        <v>30</v>
      </c>
      <c r="G944" s="6">
        <v>45291</v>
      </c>
      <c r="H944" t="s">
        <v>6811</v>
      </c>
      <c r="I944" t="s">
        <v>57</v>
      </c>
      <c r="J944" t="s">
        <v>47</v>
      </c>
      <c r="K944">
        <v>30</v>
      </c>
      <c r="L944">
        <v>28.571428571428601</v>
      </c>
      <c r="M944">
        <v>0.95238095238095333</v>
      </c>
      <c r="N944">
        <v>0.95238095238095333</v>
      </c>
      <c r="O944" t="s">
        <v>2505</v>
      </c>
      <c r="P944" t="s">
        <v>5923</v>
      </c>
      <c r="Q944" t="s">
        <v>2502</v>
      </c>
      <c r="R944">
        <v>2</v>
      </c>
      <c r="S944">
        <v>2</v>
      </c>
    </row>
    <row r="945" spans="1:19" hidden="1" x14ac:dyDescent="0.3">
      <c r="A945" t="s">
        <v>2499</v>
      </c>
      <c r="B945" t="s">
        <v>2500</v>
      </c>
      <c r="C945" t="s">
        <v>6622</v>
      </c>
      <c r="D945" t="s">
        <v>2501</v>
      </c>
      <c r="E945" t="s">
        <v>98</v>
      </c>
      <c r="F945" t="s">
        <v>30</v>
      </c>
      <c r="G945" s="6">
        <v>45657</v>
      </c>
      <c r="H945" t="s">
        <v>6816</v>
      </c>
      <c r="I945" t="s">
        <v>57</v>
      </c>
      <c r="J945" t="s">
        <v>78</v>
      </c>
      <c r="K945">
        <v>30</v>
      </c>
      <c r="L945">
        <v>30.3</v>
      </c>
      <c r="M945">
        <v>1.01</v>
      </c>
      <c r="N945">
        <v>1.01</v>
      </c>
      <c r="O945" t="s">
        <v>2505</v>
      </c>
      <c r="P945" t="s">
        <v>5924</v>
      </c>
      <c r="Q945" t="s">
        <v>2503</v>
      </c>
      <c r="R945">
        <v>2</v>
      </c>
      <c r="S945">
        <v>2</v>
      </c>
    </row>
    <row r="946" spans="1:19" hidden="1" x14ac:dyDescent="0.3">
      <c r="A946" t="s">
        <v>2499</v>
      </c>
      <c r="B946" t="s">
        <v>2500</v>
      </c>
      <c r="C946" t="s">
        <v>6622</v>
      </c>
      <c r="D946" t="s">
        <v>2501</v>
      </c>
      <c r="E946" t="s">
        <v>98</v>
      </c>
      <c r="F946" t="s">
        <v>30</v>
      </c>
      <c r="G946" s="6">
        <v>46022</v>
      </c>
      <c r="H946" t="s">
        <v>6823</v>
      </c>
      <c r="I946" t="s">
        <v>57</v>
      </c>
      <c r="J946" t="s">
        <v>103</v>
      </c>
      <c r="K946">
        <v>30</v>
      </c>
      <c r="L946">
        <v>35.29</v>
      </c>
      <c r="M946">
        <v>1.176333333333333</v>
      </c>
      <c r="N946">
        <v>1.176333333333333</v>
      </c>
      <c r="O946" t="s">
        <v>2505</v>
      </c>
      <c r="P946" t="s">
        <v>2506</v>
      </c>
      <c r="Q946" t="s">
        <v>2507</v>
      </c>
      <c r="R946">
        <v>2</v>
      </c>
      <c r="S946">
        <v>2</v>
      </c>
    </row>
    <row r="947" spans="1:19" hidden="1" x14ac:dyDescent="0.3">
      <c r="A947" t="s">
        <v>2508</v>
      </c>
      <c r="B947" t="s">
        <v>2509</v>
      </c>
      <c r="D947" t="s">
        <v>251</v>
      </c>
      <c r="E947" t="s">
        <v>233</v>
      </c>
      <c r="F947" t="s">
        <v>30</v>
      </c>
      <c r="G947" s="6">
        <v>45291</v>
      </c>
      <c r="H947" t="s">
        <v>6811</v>
      </c>
      <c r="I947" t="s">
        <v>57</v>
      </c>
      <c r="J947" t="s">
        <v>47</v>
      </c>
      <c r="K947">
        <v>90</v>
      </c>
      <c r="L947">
        <v>100</v>
      </c>
      <c r="M947">
        <v>1.1111111111111109</v>
      </c>
      <c r="N947">
        <v>1.1111111111111109</v>
      </c>
      <c r="O947" t="s">
        <v>256</v>
      </c>
      <c r="P947" t="s">
        <v>102</v>
      </c>
      <c r="Q947" t="s">
        <v>2513</v>
      </c>
      <c r="R947">
        <v>2</v>
      </c>
      <c r="S947">
        <v>2</v>
      </c>
    </row>
    <row r="948" spans="1:19" hidden="1" x14ac:dyDescent="0.3">
      <c r="A948" t="s">
        <v>2508</v>
      </c>
      <c r="B948" t="s">
        <v>2509</v>
      </c>
      <c r="D948" t="s">
        <v>251</v>
      </c>
      <c r="E948" t="s">
        <v>233</v>
      </c>
      <c r="F948" t="s">
        <v>30</v>
      </c>
      <c r="G948" s="6">
        <v>45657</v>
      </c>
      <c r="H948" t="s">
        <v>6816</v>
      </c>
      <c r="I948" t="s">
        <v>57</v>
      </c>
      <c r="J948" t="s">
        <v>78</v>
      </c>
      <c r="K948">
        <v>95</v>
      </c>
      <c r="L948">
        <v>100</v>
      </c>
      <c r="M948">
        <v>1.0526315789473679</v>
      </c>
      <c r="N948">
        <v>1.0526315789473679</v>
      </c>
      <c r="O948" t="s">
        <v>838</v>
      </c>
      <c r="P948" t="s">
        <v>102</v>
      </c>
      <c r="Q948" t="s">
        <v>2517</v>
      </c>
      <c r="R948">
        <v>2</v>
      </c>
      <c r="S948">
        <v>2</v>
      </c>
    </row>
    <row r="949" spans="1:19" hidden="1" x14ac:dyDescent="0.3">
      <c r="A949" t="s">
        <v>2508</v>
      </c>
      <c r="B949" t="s">
        <v>2509</v>
      </c>
      <c r="D949" t="s">
        <v>251</v>
      </c>
      <c r="E949" t="s">
        <v>233</v>
      </c>
      <c r="F949" t="s">
        <v>30</v>
      </c>
      <c r="G949" s="6">
        <v>46022</v>
      </c>
      <c r="H949" t="s">
        <v>6823</v>
      </c>
      <c r="I949" t="s">
        <v>57</v>
      </c>
      <c r="J949" t="s">
        <v>103</v>
      </c>
      <c r="K949">
        <v>95</v>
      </c>
      <c r="L949">
        <v>100</v>
      </c>
      <c r="M949">
        <v>1.0526315789473679</v>
      </c>
      <c r="N949">
        <v>1.0526315789473679</v>
      </c>
      <c r="O949" t="s">
        <v>838</v>
      </c>
      <c r="P949" t="s">
        <v>102</v>
      </c>
      <c r="Q949" t="s">
        <v>7115</v>
      </c>
      <c r="R949">
        <v>2</v>
      </c>
      <c r="S949">
        <v>2</v>
      </c>
    </row>
    <row r="950" spans="1:19" hidden="1" x14ac:dyDescent="0.3">
      <c r="A950" t="s">
        <v>2520</v>
      </c>
      <c r="B950" t="s">
        <v>2521</v>
      </c>
      <c r="C950" t="s">
        <v>6622</v>
      </c>
      <c r="D950" t="s">
        <v>232</v>
      </c>
      <c r="E950" t="s">
        <v>222</v>
      </c>
      <c r="F950" t="s">
        <v>30</v>
      </c>
      <c r="G950" s="6">
        <v>45291</v>
      </c>
      <c r="H950" t="s">
        <v>6811</v>
      </c>
      <c r="I950" t="s">
        <v>57</v>
      </c>
      <c r="J950" t="s">
        <v>47</v>
      </c>
      <c r="K950">
        <v>750000000</v>
      </c>
      <c r="L950">
        <v>959195000</v>
      </c>
      <c r="M950">
        <v>1.278926666666667</v>
      </c>
      <c r="N950">
        <v>1.278926666666667</v>
      </c>
      <c r="O950" t="s">
        <v>5929</v>
      </c>
      <c r="P950" t="s">
        <v>7116</v>
      </c>
      <c r="Q950" t="s">
        <v>2523</v>
      </c>
      <c r="R950">
        <v>2</v>
      </c>
      <c r="S950">
        <v>2</v>
      </c>
    </row>
    <row r="951" spans="1:19" hidden="1" x14ac:dyDescent="0.3">
      <c r="A951" t="s">
        <v>2520</v>
      </c>
      <c r="B951" t="s">
        <v>2524</v>
      </c>
      <c r="C951" t="s">
        <v>6622</v>
      </c>
      <c r="D951" t="s">
        <v>232</v>
      </c>
      <c r="E951" t="s">
        <v>222</v>
      </c>
      <c r="F951" t="s">
        <v>30</v>
      </c>
      <c r="G951" s="6">
        <v>45657</v>
      </c>
      <c r="H951" t="s">
        <v>6816</v>
      </c>
      <c r="I951" t="s">
        <v>57</v>
      </c>
      <c r="J951" t="s">
        <v>78</v>
      </c>
      <c r="K951">
        <v>750000000</v>
      </c>
      <c r="L951">
        <v>836000000</v>
      </c>
      <c r="M951">
        <v>1.1146666666666669</v>
      </c>
      <c r="N951">
        <v>1.1146666666666669</v>
      </c>
      <c r="O951" t="s">
        <v>5929</v>
      </c>
      <c r="P951" t="s">
        <v>7117</v>
      </c>
      <c r="Q951" t="s">
        <v>2526</v>
      </c>
      <c r="R951">
        <v>2</v>
      </c>
      <c r="S951">
        <v>2</v>
      </c>
    </row>
    <row r="952" spans="1:19" hidden="1" x14ac:dyDescent="0.3">
      <c r="A952" t="s">
        <v>2520</v>
      </c>
      <c r="B952" t="s">
        <v>2527</v>
      </c>
      <c r="C952" t="s">
        <v>6622</v>
      </c>
      <c r="D952" t="s">
        <v>232</v>
      </c>
      <c r="E952" t="s">
        <v>222</v>
      </c>
      <c r="F952" t="s">
        <v>30</v>
      </c>
      <c r="G952" s="6">
        <v>46022</v>
      </c>
      <c r="H952" t="s">
        <v>6823</v>
      </c>
      <c r="I952" t="s">
        <v>57</v>
      </c>
      <c r="J952" t="s">
        <v>103</v>
      </c>
      <c r="K952">
        <v>100</v>
      </c>
      <c r="L952">
        <v>102.45</v>
      </c>
      <c r="M952">
        <v>1.0245</v>
      </c>
      <c r="N952">
        <v>1.0245</v>
      </c>
      <c r="O952" t="s">
        <v>102</v>
      </c>
      <c r="P952" t="s">
        <v>7118</v>
      </c>
      <c r="Q952" t="s">
        <v>2533</v>
      </c>
      <c r="R952">
        <v>2</v>
      </c>
      <c r="S952">
        <v>2</v>
      </c>
    </row>
    <row r="953" spans="1:19" hidden="1" x14ac:dyDescent="0.3">
      <c r="A953" t="s">
        <v>2534</v>
      </c>
      <c r="B953" t="s">
        <v>2535</v>
      </c>
      <c r="C953" t="s">
        <v>6622</v>
      </c>
      <c r="D953" t="s">
        <v>262</v>
      </c>
      <c r="E953" t="s">
        <v>222</v>
      </c>
      <c r="F953" t="s">
        <v>30</v>
      </c>
      <c r="G953" s="6">
        <v>45291</v>
      </c>
      <c r="H953" t="s">
        <v>6811</v>
      </c>
      <c r="I953" t="s">
        <v>57</v>
      </c>
      <c r="J953" t="s">
        <v>47</v>
      </c>
      <c r="K953">
        <v>90</v>
      </c>
      <c r="L953">
        <v>97.75</v>
      </c>
      <c r="M953">
        <v>1.086111111111111</v>
      </c>
      <c r="N953">
        <v>1.086111111111111</v>
      </c>
      <c r="O953" t="s">
        <v>256</v>
      </c>
      <c r="P953" t="s">
        <v>6397</v>
      </c>
      <c r="Q953" t="s">
        <v>2537</v>
      </c>
      <c r="R953">
        <v>2</v>
      </c>
      <c r="S953">
        <v>2</v>
      </c>
    </row>
    <row r="954" spans="1:19" hidden="1" x14ac:dyDescent="0.3">
      <c r="A954" t="s">
        <v>2534</v>
      </c>
      <c r="B954" t="s">
        <v>2535</v>
      </c>
      <c r="C954" t="s">
        <v>6622</v>
      </c>
      <c r="D954" t="s">
        <v>262</v>
      </c>
      <c r="E954" t="s">
        <v>222</v>
      </c>
      <c r="F954" t="s">
        <v>30</v>
      </c>
      <c r="G954" s="6">
        <v>45657</v>
      </c>
      <c r="H954" t="s">
        <v>6816</v>
      </c>
      <c r="I954" t="s">
        <v>57</v>
      </c>
      <c r="J954" t="s">
        <v>78</v>
      </c>
      <c r="K954">
        <v>93</v>
      </c>
      <c r="L954">
        <v>98.265000000000001</v>
      </c>
      <c r="M954">
        <v>1.056612903225806</v>
      </c>
      <c r="N954">
        <v>1.056612903225806</v>
      </c>
      <c r="O954" t="s">
        <v>971</v>
      </c>
      <c r="P954" t="s">
        <v>7119</v>
      </c>
      <c r="Q954" t="s">
        <v>2539</v>
      </c>
      <c r="R954">
        <v>2</v>
      </c>
      <c r="S954">
        <v>2</v>
      </c>
    </row>
    <row r="955" spans="1:19" hidden="1" x14ac:dyDescent="0.3">
      <c r="A955" t="s">
        <v>2534</v>
      </c>
      <c r="B955" t="s">
        <v>2535</v>
      </c>
      <c r="C955" t="s">
        <v>6622</v>
      </c>
      <c r="D955" t="s">
        <v>262</v>
      </c>
      <c r="E955" t="s">
        <v>222</v>
      </c>
      <c r="F955" t="s">
        <v>30</v>
      </c>
      <c r="G955" s="6">
        <v>46022</v>
      </c>
      <c r="H955" t="s">
        <v>6823</v>
      </c>
      <c r="I955" t="s">
        <v>57</v>
      </c>
      <c r="J955" t="s">
        <v>103</v>
      </c>
      <c r="K955">
        <v>93</v>
      </c>
      <c r="L955">
        <v>99.715000000000003</v>
      </c>
      <c r="M955">
        <v>1.0722043010752691</v>
      </c>
      <c r="N955">
        <v>1.0722043010752691</v>
      </c>
      <c r="O955" t="s">
        <v>971</v>
      </c>
      <c r="P955" t="s">
        <v>7028</v>
      </c>
      <c r="Q955" t="s">
        <v>2543</v>
      </c>
      <c r="R955">
        <v>2</v>
      </c>
      <c r="S955">
        <v>2</v>
      </c>
    </row>
    <row r="956" spans="1:19" hidden="1" x14ac:dyDescent="0.3">
      <c r="A956" t="s">
        <v>2544</v>
      </c>
      <c r="B956" t="s">
        <v>2545</v>
      </c>
      <c r="D956" t="s">
        <v>262</v>
      </c>
      <c r="E956" t="s">
        <v>98</v>
      </c>
      <c r="F956" t="s">
        <v>30</v>
      </c>
      <c r="G956" s="6">
        <v>45291</v>
      </c>
      <c r="H956" t="s">
        <v>6811</v>
      </c>
      <c r="I956" t="s">
        <v>57</v>
      </c>
      <c r="J956" t="s">
        <v>47</v>
      </c>
      <c r="L956">
        <v>94.85</v>
      </c>
      <c r="M956">
        <v>0</v>
      </c>
      <c r="N956">
        <v>0</v>
      </c>
      <c r="P956" t="s">
        <v>5935</v>
      </c>
      <c r="Q956" t="s">
        <v>2546</v>
      </c>
      <c r="R956">
        <v>2</v>
      </c>
      <c r="S956">
        <v>2</v>
      </c>
    </row>
    <row r="957" spans="1:19" hidden="1" x14ac:dyDescent="0.3">
      <c r="A957" t="s">
        <v>2547</v>
      </c>
      <c r="B957" t="s">
        <v>2548</v>
      </c>
      <c r="C957" t="s">
        <v>6681</v>
      </c>
      <c r="D957" t="s">
        <v>262</v>
      </c>
      <c r="E957" t="s">
        <v>98</v>
      </c>
      <c r="F957" t="s">
        <v>30</v>
      </c>
      <c r="G957" s="6">
        <v>45291</v>
      </c>
      <c r="H957" t="s">
        <v>6811</v>
      </c>
      <c r="I957" t="s">
        <v>57</v>
      </c>
      <c r="J957" t="s">
        <v>47</v>
      </c>
      <c r="L957">
        <v>88.24</v>
      </c>
      <c r="M957">
        <v>0</v>
      </c>
      <c r="N957">
        <v>0</v>
      </c>
      <c r="P957" t="s">
        <v>5936</v>
      </c>
      <c r="Q957" t="s">
        <v>2549</v>
      </c>
      <c r="R957">
        <v>2</v>
      </c>
      <c r="S957">
        <v>2</v>
      </c>
    </row>
    <row r="958" spans="1:19" hidden="1" x14ac:dyDescent="0.3">
      <c r="A958" t="s">
        <v>2547</v>
      </c>
      <c r="B958" t="s">
        <v>2548</v>
      </c>
      <c r="C958" t="s">
        <v>6681</v>
      </c>
      <c r="D958" t="s">
        <v>262</v>
      </c>
      <c r="E958" t="s">
        <v>98</v>
      </c>
      <c r="F958" t="s">
        <v>30</v>
      </c>
      <c r="G958" s="6">
        <v>45657</v>
      </c>
      <c r="H958" t="s">
        <v>6816</v>
      </c>
      <c r="I958" t="s">
        <v>57</v>
      </c>
      <c r="J958" t="s">
        <v>78</v>
      </c>
      <c r="K958">
        <v>85</v>
      </c>
      <c r="L958">
        <v>91.88</v>
      </c>
      <c r="M958">
        <v>1.0809411764705881</v>
      </c>
      <c r="N958">
        <v>1.0809411764705881</v>
      </c>
      <c r="O958" t="s">
        <v>2357</v>
      </c>
      <c r="P958" t="s">
        <v>5937</v>
      </c>
      <c r="Q958" t="s">
        <v>2550</v>
      </c>
      <c r="R958">
        <v>2</v>
      </c>
      <c r="S958">
        <v>2</v>
      </c>
    </row>
    <row r="959" spans="1:19" hidden="1" x14ac:dyDescent="0.3">
      <c r="A959" t="s">
        <v>2547</v>
      </c>
      <c r="B959" t="s">
        <v>2548</v>
      </c>
      <c r="C959" t="s">
        <v>6681</v>
      </c>
      <c r="D959" t="s">
        <v>262</v>
      </c>
      <c r="E959" t="s">
        <v>98</v>
      </c>
      <c r="F959" t="s">
        <v>30</v>
      </c>
      <c r="G959" s="6">
        <v>46022</v>
      </c>
      <c r="H959" t="s">
        <v>6823</v>
      </c>
      <c r="I959" t="s">
        <v>57</v>
      </c>
      <c r="J959" t="s">
        <v>103</v>
      </c>
      <c r="K959">
        <v>85</v>
      </c>
      <c r="L959">
        <v>97.28</v>
      </c>
      <c r="M959">
        <v>1.1444705882352939</v>
      </c>
      <c r="N959">
        <v>1.1444705882352939</v>
      </c>
      <c r="O959" t="s">
        <v>2357</v>
      </c>
      <c r="P959" t="s">
        <v>2552</v>
      </c>
      <c r="Q959" t="s">
        <v>2553</v>
      </c>
      <c r="R959">
        <v>2</v>
      </c>
      <c r="S959">
        <v>2</v>
      </c>
    </row>
    <row r="960" spans="1:19" hidden="1" x14ac:dyDescent="0.3">
      <c r="A960" t="s">
        <v>2554</v>
      </c>
      <c r="B960" t="s">
        <v>2555</v>
      </c>
      <c r="C960" t="s">
        <v>6681</v>
      </c>
      <c r="D960" t="s">
        <v>174</v>
      </c>
      <c r="E960" t="s">
        <v>233</v>
      </c>
      <c r="F960" t="s">
        <v>108</v>
      </c>
      <c r="G960" s="6">
        <v>45291</v>
      </c>
      <c r="H960" t="s">
        <v>6811</v>
      </c>
      <c r="I960" t="s">
        <v>57</v>
      </c>
      <c r="J960" t="s">
        <v>47</v>
      </c>
      <c r="K960">
        <v>4.9999999999999998E-7</v>
      </c>
      <c r="L960">
        <v>6.75</v>
      </c>
      <c r="M960">
        <v>7.4074074074074073E-8</v>
      </c>
      <c r="N960">
        <v>7.4074074074074073E-8</v>
      </c>
      <c r="O960" t="s">
        <v>122</v>
      </c>
      <c r="P960" t="s">
        <v>7120</v>
      </c>
      <c r="Q960" t="s">
        <v>2559</v>
      </c>
      <c r="R960">
        <v>2</v>
      </c>
      <c r="S960">
        <v>2</v>
      </c>
    </row>
    <row r="961" spans="1:19" hidden="1" x14ac:dyDescent="0.3">
      <c r="A961" t="s">
        <v>2554</v>
      </c>
      <c r="B961" t="s">
        <v>2555</v>
      </c>
      <c r="C961" t="s">
        <v>6681</v>
      </c>
      <c r="D961" t="s">
        <v>174</v>
      </c>
      <c r="E961" t="s">
        <v>233</v>
      </c>
      <c r="F961" t="s">
        <v>108</v>
      </c>
      <c r="G961" s="6">
        <v>45657</v>
      </c>
      <c r="H961" t="s">
        <v>6816</v>
      </c>
      <c r="I961" t="s">
        <v>57</v>
      </c>
      <c r="J961" t="s">
        <v>78</v>
      </c>
      <c r="K961">
        <v>5</v>
      </c>
      <c r="L961">
        <v>0.75</v>
      </c>
      <c r="M961">
        <v>1.3</v>
      </c>
      <c r="N961">
        <v>6.666666666666667</v>
      </c>
      <c r="O961" t="s">
        <v>823</v>
      </c>
      <c r="P961" t="s">
        <v>5449</v>
      </c>
      <c r="Q961" t="s">
        <v>2563</v>
      </c>
      <c r="R961">
        <v>2</v>
      </c>
      <c r="S961">
        <v>2</v>
      </c>
    </row>
    <row r="962" spans="1:19" hidden="1" x14ac:dyDescent="0.3">
      <c r="A962" t="s">
        <v>2554</v>
      </c>
      <c r="B962" t="s">
        <v>2555</v>
      </c>
      <c r="C962" t="s">
        <v>6681</v>
      </c>
      <c r="D962" t="s">
        <v>174</v>
      </c>
      <c r="E962" t="s">
        <v>233</v>
      </c>
      <c r="F962" t="s">
        <v>108</v>
      </c>
      <c r="G962" s="6">
        <v>46022</v>
      </c>
      <c r="H962" t="s">
        <v>6823</v>
      </c>
      <c r="I962" t="s">
        <v>57</v>
      </c>
      <c r="J962" t="s">
        <v>103</v>
      </c>
      <c r="K962">
        <v>5</v>
      </c>
      <c r="L962">
        <v>1</v>
      </c>
      <c r="M962">
        <v>1.3</v>
      </c>
      <c r="N962">
        <v>5</v>
      </c>
      <c r="O962" t="s">
        <v>823</v>
      </c>
      <c r="P962" t="s">
        <v>617</v>
      </c>
      <c r="Q962" t="s">
        <v>2566</v>
      </c>
      <c r="R962">
        <v>2</v>
      </c>
      <c r="S962">
        <v>2</v>
      </c>
    </row>
    <row r="963" spans="1:19" hidden="1" x14ac:dyDescent="0.3">
      <c r="A963" t="s">
        <v>2567</v>
      </c>
      <c r="B963" t="s">
        <v>2568</v>
      </c>
      <c r="C963" t="s">
        <v>6681</v>
      </c>
      <c r="D963" t="s">
        <v>174</v>
      </c>
      <c r="E963" t="s">
        <v>233</v>
      </c>
      <c r="F963" t="s">
        <v>30</v>
      </c>
      <c r="G963" s="6">
        <v>45291</v>
      </c>
      <c r="H963" t="s">
        <v>6811</v>
      </c>
      <c r="I963" t="s">
        <v>57</v>
      </c>
      <c r="J963" t="s">
        <v>47</v>
      </c>
      <c r="K963">
        <v>99</v>
      </c>
      <c r="L963">
        <v>99.91</v>
      </c>
      <c r="M963">
        <v>1.009191919191919</v>
      </c>
      <c r="N963">
        <v>1.009191919191919</v>
      </c>
      <c r="O963" t="s">
        <v>2577</v>
      </c>
      <c r="P963" t="s">
        <v>7121</v>
      </c>
      <c r="Q963" t="s">
        <v>2572</v>
      </c>
      <c r="R963">
        <v>2</v>
      </c>
      <c r="S963">
        <v>2</v>
      </c>
    </row>
    <row r="964" spans="1:19" hidden="1" x14ac:dyDescent="0.3">
      <c r="A964" t="s">
        <v>2567</v>
      </c>
      <c r="B964" t="s">
        <v>2568</v>
      </c>
      <c r="C964" t="s">
        <v>6681</v>
      </c>
      <c r="D964" t="s">
        <v>174</v>
      </c>
      <c r="E964" t="s">
        <v>233</v>
      </c>
      <c r="F964" t="s">
        <v>30</v>
      </c>
      <c r="G964" s="6">
        <v>45657</v>
      </c>
      <c r="H964" t="s">
        <v>6816</v>
      </c>
      <c r="I964" t="s">
        <v>57</v>
      </c>
      <c r="J964" t="s">
        <v>78</v>
      </c>
      <c r="K964">
        <v>99</v>
      </c>
      <c r="L964">
        <v>99.962500000000006</v>
      </c>
      <c r="M964">
        <v>1.009722222222222</v>
      </c>
      <c r="N964">
        <v>1.009722222222222</v>
      </c>
      <c r="O964" t="s">
        <v>2577</v>
      </c>
      <c r="P964" t="s">
        <v>7122</v>
      </c>
      <c r="Q964" t="s">
        <v>2576</v>
      </c>
      <c r="R964">
        <v>2</v>
      </c>
      <c r="S964">
        <v>2</v>
      </c>
    </row>
    <row r="965" spans="1:19" hidden="1" x14ac:dyDescent="0.3">
      <c r="A965" t="s">
        <v>2567</v>
      </c>
      <c r="B965" t="s">
        <v>2568</v>
      </c>
      <c r="C965" t="s">
        <v>6681</v>
      </c>
      <c r="D965" t="s">
        <v>174</v>
      </c>
      <c r="E965" t="s">
        <v>233</v>
      </c>
      <c r="F965" t="s">
        <v>30</v>
      </c>
      <c r="G965" s="6">
        <v>46022</v>
      </c>
      <c r="H965" t="s">
        <v>6823</v>
      </c>
      <c r="I965" t="s">
        <v>57</v>
      </c>
      <c r="J965" t="s">
        <v>103</v>
      </c>
      <c r="K965">
        <v>99</v>
      </c>
      <c r="L965">
        <v>100</v>
      </c>
      <c r="M965">
        <v>1.0101010101010099</v>
      </c>
      <c r="N965">
        <v>1.0101010101010099</v>
      </c>
      <c r="O965" t="s">
        <v>2577</v>
      </c>
      <c r="P965" t="s">
        <v>102</v>
      </c>
      <c r="Q965" t="s">
        <v>2580</v>
      </c>
      <c r="R965">
        <v>2</v>
      </c>
      <c r="S965">
        <v>2</v>
      </c>
    </row>
    <row r="966" spans="1:19" hidden="1" x14ac:dyDescent="0.3">
      <c r="A966" t="s">
        <v>2581</v>
      </c>
      <c r="B966" t="s">
        <v>2582</v>
      </c>
      <c r="D966" t="s">
        <v>760</v>
      </c>
      <c r="E966" t="s">
        <v>98</v>
      </c>
      <c r="F966" t="s">
        <v>30</v>
      </c>
      <c r="G966" s="6">
        <v>45291</v>
      </c>
      <c r="H966" t="s">
        <v>6811</v>
      </c>
      <c r="I966" t="s">
        <v>57</v>
      </c>
      <c r="J966" t="s">
        <v>47</v>
      </c>
      <c r="M966">
        <v>0</v>
      </c>
      <c r="N966">
        <v>0</v>
      </c>
      <c r="Q966" t="s">
        <v>2583</v>
      </c>
      <c r="R966">
        <v>2</v>
      </c>
      <c r="S966">
        <v>2</v>
      </c>
    </row>
    <row r="967" spans="1:19" hidden="1" x14ac:dyDescent="0.3">
      <c r="A967" t="s">
        <v>2584</v>
      </c>
      <c r="B967" t="s">
        <v>2585</v>
      </c>
      <c r="D967" t="s">
        <v>760</v>
      </c>
      <c r="E967" t="s">
        <v>98</v>
      </c>
      <c r="F967" t="s">
        <v>30</v>
      </c>
      <c r="G967" s="6">
        <v>45291</v>
      </c>
      <c r="H967" t="s">
        <v>6811</v>
      </c>
      <c r="I967" t="s">
        <v>57</v>
      </c>
      <c r="J967" t="s">
        <v>47</v>
      </c>
      <c r="M967">
        <v>0</v>
      </c>
      <c r="N967">
        <v>0</v>
      </c>
      <c r="Q967" t="s">
        <v>2586</v>
      </c>
      <c r="R967">
        <v>2</v>
      </c>
      <c r="S967">
        <v>2</v>
      </c>
    </row>
    <row r="968" spans="1:19" hidden="1" x14ac:dyDescent="0.3">
      <c r="A968" t="s">
        <v>2587</v>
      </c>
      <c r="B968" t="s">
        <v>2588</v>
      </c>
      <c r="C968" t="s">
        <v>6681</v>
      </c>
      <c r="D968" t="s">
        <v>174</v>
      </c>
      <c r="E968" t="s">
        <v>233</v>
      </c>
      <c r="F968" t="s">
        <v>108</v>
      </c>
      <c r="G968" s="6">
        <v>45291</v>
      </c>
      <c r="H968" t="s">
        <v>6811</v>
      </c>
      <c r="I968" t="s">
        <v>57</v>
      </c>
      <c r="J968" t="s">
        <v>47</v>
      </c>
      <c r="K968">
        <v>5</v>
      </c>
      <c r="L968">
        <v>8.3730210207456999</v>
      </c>
      <c r="M968">
        <v>0.59715603097276126</v>
      </c>
      <c r="N968">
        <v>0.59715603097276126</v>
      </c>
      <c r="O968" t="s">
        <v>823</v>
      </c>
      <c r="P968" t="s">
        <v>7123</v>
      </c>
      <c r="Q968" t="s">
        <v>2592</v>
      </c>
      <c r="R968">
        <v>2</v>
      </c>
      <c r="S968">
        <v>2</v>
      </c>
    </row>
    <row r="969" spans="1:19" hidden="1" x14ac:dyDescent="0.3">
      <c r="A969" t="s">
        <v>2587</v>
      </c>
      <c r="B969" t="s">
        <v>2588</v>
      </c>
      <c r="C969" t="s">
        <v>6681</v>
      </c>
      <c r="D969" t="s">
        <v>174</v>
      </c>
      <c r="E969" t="s">
        <v>233</v>
      </c>
      <c r="F969" t="s">
        <v>108</v>
      </c>
      <c r="G969" s="6">
        <v>45657</v>
      </c>
      <c r="H969" t="s">
        <v>6816</v>
      </c>
      <c r="I969" t="s">
        <v>57</v>
      </c>
      <c r="J969" t="s">
        <v>78</v>
      </c>
      <c r="K969">
        <v>5</v>
      </c>
      <c r="L969">
        <v>5.5525000000000002</v>
      </c>
      <c r="M969">
        <v>0.90049527239981986</v>
      </c>
      <c r="N969">
        <v>0.90049527239981986</v>
      </c>
      <c r="O969" t="s">
        <v>823</v>
      </c>
      <c r="P969" t="s">
        <v>7124</v>
      </c>
      <c r="Q969" t="s">
        <v>2596</v>
      </c>
      <c r="R969">
        <v>2</v>
      </c>
      <c r="S969">
        <v>2</v>
      </c>
    </row>
    <row r="970" spans="1:19" hidden="1" x14ac:dyDescent="0.3">
      <c r="A970" t="s">
        <v>2587</v>
      </c>
      <c r="B970" t="s">
        <v>2588</v>
      </c>
      <c r="C970" t="s">
        <v>6681</v>
      </c>
      <c r="D970" t="s">
        <v>174</v>
      </c>
      <c r="E970" t="s">
        <v>233</v>
      </c>
      <c r="F970" t="s">
        <v>108</v>
      </c>
      <c r="G970" s="6">
        <v>46022</v>
      </c>
      <c r="H970" t="s">
        <v>6823</v>
      </c>
      <c r="I970" t="s">
        <v>57</v>
      </c>
      <c r="J970" t="s">
        <v>103</v>
      </c>
      <c r="K970">
        <v>0</v>
      </c>
      <c r="L970">
        <v>0.56000000000000005</v>
      </c>
      <c r="M970">
        <v>0</v>
      </c>
      <c r="N970">
        <v>0</v>
      </c>
      <c r="O970" t="s">
        <v>122</v>
      </c>
      <c r="P970" t="s">
        <v>5945</v>
      </c>
      <c r="Q970" t="s">
        <v>7125</v>
      </c>
      <c r="R970">
        <v>2</v>
      </c>
      <c r="S970">
        <v>2</v>
      </c>
    </row>
    <row r="971" spans="1:19" hidden="1" x14ac:dyDescent="0.3">
      <c r="A971" t="s">
        <v>2603</v>
      </c>
      <c r="B971" t="s">
        <v>2604</v>
      </c>
      <c r="C971" t="s">
        <v>6681</v>
      </c>
      <c r="D971" t="s">
        <v>174</v>
      </c>
      <c r="E971" t="s">
        <v>233</v>
      </c>
      <c r="F971" t="s">
        <v>108</v>
      </c>
      <c r="G971" s="6">
        <v>45291</v>
      </c>
      <c r="H971" t="s">
        <v>6811</v>
      </c>
      <c r="I971" t="s">
        <v>57</v>
      </c>
      <c r="J971" t="s">
        <v>47</v>
      </c>
      <c r="K971">
        <v>0</v>
      </c>
      <c r="L971">
        <v>8.7021699895352758E-2</v>
      </c>
      <c r="M971">
        <v>0</v>
      </c>
      <c r="N971">
        <v>0</v>
      </c>
      <c r="O971" t="s">
        <v>122</v>
      </c>
      <c r="P971" t="s">
        <v>485</v>
      </c>
      <c r="Q971" t="s">
        <v>2608</v>
      </c>
      <c r="R971">
        <v>2</v>
      </c>
      <c r="S971">
        <v>2</v>
      </c>
    </row>
    <row r="972" spans="1:19" hidden="1" x14ac:dyDescent="0.3">
      <c r="A972" t="s">
        <v>2603</v>
      </c>
      <c r="B972" t="s">
        <v>2604</v>
      </c>
      <c r="C972" t="s">
        <v>6681</v>
      </c>
      <c r="D972" t="s">
        <v>174</v>
      </c>
      <c r="E972" t="s">
        <v>233</v>
      </c>
      <c r="F972" t="s">
        <v>108</v>
      </c>
      <c r="G972" s="6">
        <v>45657</v>
      </c>
      <c r="H972" t="s">
        <v>6816</v>
      </c>
      <c r="I972" t="s">
        <v>57</v>
      </c>
      <c r="J972" t="s">
        <v>78</v>
      </c>
      <c r="K972">
        <v>0</v>
      </c>
      <c r="L972">
        <v>0.02</v>
      </c>
      <c r="M972">
        <v>0</v>
      </c>
      <c r="N972">
        <v>0</v>
      </c>
      <c r="O972" t="s">
        <v>122</v>
      </c>
      <c r="P972" t="s">
        <v>3742</v>
      </c>
      <c r="Q972" t="s">
        <v>2612</v>
      </c>
      <c r="R972">
        <v>2</v>
      </c>
      <c r="S972">
        <v>2</v>
      </c>
    </row>
    <row r="973" spans="1:19" hidden="1" x14ac:dyDescent="0.3">
      <c r="A973" t="s">
        <v>2603</v>
      </c>
      <c r="B973" t="s">
        <v>2604</v>
      </c>
      <c r="C973" t="s">
        <v>6681</v>
      </c>
      <c r="D973" t="s">
        <v>174</v>
      </c>
      <c r="E973" t="s">
        <v>233</v>
      </c>
      <c r="F973" t="s">
        <v>108</v>
      </c>
      <c r="G973" s="6">
        <v>46022</v>
      </c>
      <c r="H973" t="s">
        <v>6823</v>
      </c>
      <c r="I973" t="s">
        <v>57</v>
      </c>
      <c r="J973" t="s">
        <v>103</v>
      </c>
      <c r="K973">
        <v>0</v>
      </c>
      <c r="L973">
        <v>5.0000000000000001E-3</v>
      </c>
      <c r="M973">
        <v>0</v>
      </c>
      <c r="N973">
        <v>0</v>
      </c>
      <c r="O973" t="s">
        <v>122</v>
      </c>
      <c r="P973" t="s">
        <v>2615</v>
      </c>
      <c r="Q973" t="s">
        <v>7126</v>
      </c>
      <c r="R973">
        <v>2</v>
      </c>
      <c r="S973">
        <v>2</v>
      </c>
    </row>
    <row r="974" spans="1:19" hidden="1" x14ac:dyDescent="0.3">
      <c r="A974" t="s">
        <v>2617</v>
      </c>
      <c r="B974" t="s">
        <v>2618</v>
      </c>
      <c r="D974" t="s">
        <v>2619</v>
      </c>
      <c r="E974" t="s">
        <v>222</v>
      </c>
      <c r="F974" t="s">
        <v>30</v>
      </c>
      <c r="G974" s="6">
        <v>45291</v>
      </c>
      <c r="H974" t="s">
        <v>6811</v>
      </c>
      <c r="I974" t="s">
        <v>57</v>
      </c>
      <c r="J974" t="s">
        <v>47</v>
      </c>
      <c r="K974">
        <v>35</v>
      </c>
      <c r="L974">
        <v>40.384615384615202</v>
      </c>
      <c r="M974">
        <v>1.1538461538461491</v>
      </c>
      <c r="N974">
        <v>1.1538461538461491</v>
      </c>
      <c r="O974" t="s">
        <v>1516</v>
      </c>
      <c r="P974" t="s">
        <v>5946</v>
      </c>
      <c r="Q974" t="s">
        <v>2621</v>
      </c>
      <c r="R974">
        <v>2</v>
      </c>
      <c r="S974">
        <v>2</v>
      </c>
    </row>
    <row r="975" spans="1:19" hidden="1" x14ac:dyDescent="0.3">
      <c r="A975" t="s">
        <v>2622</v>
      </c>
      <c r="B975" t="s">
        <v>2623</v>
      </c>
      <c r="D975" t="s">
        <v>2619</v>
      </c>
      <c r="E975" t="s">
        <v>222</v>
      </c>
      <c r="F975" t="s">
        <v>30</v>
      </c>
      <c r="G975" s="6">
        <v>45291</v>
      </c>
      <c r="H975" t="s">
        <v>6811</v>
      </c>
      <c r="I975" t="s">
        <v>57</v>
      </c>
      <c r="J975" t="s">
        <v>47</v>
      </c>
      <c r="K975">
        <v>10</v>
      </c>
      <c r="L975">
        <v>18.420000000000002</v>
      </c>
      <c r="M975">
        <v>1.3</v>
      </c>
      <c r="N975">
        <v>1.8420000000000001</v>
      </c>
      <c r="O975" t="s">
        <v>1861</v>
      </c>
      <c r="P975" t="s">
        <v>7127</v>
      </c>
      <c r="Q975" t="s">
        <v>2625</v>
      </c>
      <c r="R975">
        <v>2</v>
      </c>
      <c r="S975">
        <v>2</v>
      </c>
    </row>
    <row r="976" spans="1:19" hidden="1" x14ac:dyDescent="0.3">
      <c r="A976" t="s">
        <v>2626</v>
      </c>
      <c r="B976" t="s">
        <v>2627</v>
      </c>
      <c r="C976" t="s">
        <v>6622</v>
      </c>
      <c r="D976" t="s">
        <v>178</v>
      </c>
      <c r="E976" t="s">
        <v>98</v>
      </c>
      <c r="F976" t="s">
        <v>30</v>
      </c>
      <c r="G976" s="6">
        <v>45291</v>
      </c>
      <c r="H976" t="s">
        <v>6811</v>
      </c>
      <c r="I976" t="s">
        <v>57</v>
      </c>
      <c r="J976" t="s">
        <v>47</v>
      </c>
      <c r="K976">
        <v>1</v>
      </c>
      <c r="L976">
        <v>1.65</v>
      </c>
      <c r="M976">
        <v>1.3</v>
      </c>
      <c r="N976">
        <v>1.65</v>
      </c>
      <c r="O976" t="s">
        <v>617</v>
      </c>
      <c r="P976" t="s">
        <v>1930</v>
      </c>
      <c r="Q976" t="s">
        <v>2628</v>
      </c>
      <c r="R976">
        <v>2</v>
      </c>
      <c r="S976">
        <v>2</v>
      </c>
    </row>
    <row r="977" spans="1:19" hidden="1" x14ac:dyDescent="0.3">
      <c r="A977" t="s">
        <v>2626</v>
      </c>
      <c r="B977" t="s">
        <v>2627</v>
      </c>
      <c r="C977" t="s">
        <v>6622</v>
      </c>
      <c r="D977" t="s">
        <v>178</v>
      </c>
      <c r="E977" t="s">
        <v>98</v>
      </c>
      <c r="F977" t="s">
        <v>30</v>
      </c>
      <c r="G977" s="6">
        <v>45657</v>
      </c>
      <c r="H977" t="s">
        <v>6816</v>
      </c>
      <c r="I977" t="s">
        <v>57</v>
      </c>
      <c r="J977" t="s">
        <v>78</v>
      </c>
      <c r="K977">
        <v>0</v>
      </c>
      <c r="L977">
        <v>1.69</v>
      </c>
      <c r="M977">
        <v>0</v>
      </c>
      <c r="N977">
        <v>0</v>
      </c>
      <c r="O977" t="s">
        <v>122</v>
      </c>
      <c r="P977" t="s">
        <v>5949</v>
      </c>
      <c r="Q977" t="s">
        <v>2629</v>
      </c>
      <c r="R977">
        <v>2</v>
      </c>
      <c r="S977">
        <v>2</v>
      </c>
    </row>
    <row r="978" spans="1:19" hidden="1" x14ac:dyDescent="0.3">
      <c r="A978" t="s">
        <v>2626</v>
      </c>
      <c r="B978" t="s">
        <v>2627</v>
      </c>
      <c r="C978" t="s">
        <v>6622</v>
      </c>
      <c r="D978" t="s">
        <v>178</v>
      </c>
      <c r="E978" t="s">
        <v>98</v>
      </c>
      <c r="F978" t="s">
        <v>30</v>
      </c>
      <c r="G978" s="6">
        <v>46022</v>
      </c>
      <c r="H978" t="s">
        <v>6823</v>
      </c>
      <c r="I978" t="s">
        <v>57</v>
      </c>
      <c r="J978" t="s">
        <v>103</v>
      </c>
      <c r="L978">
        <v>1.56</v>
      </c>
      <c r="M978">
        <v>0</v>
      </c>
      <c r="N978">
        <v>0</v>
      </c>
      <c r="P978" t="s">
        <v>2631</v>
      </c>
      <c r="Q978" t="s">
        <v>2632</v>
      </c>
      <c r="R978">
        <v>2</v>
      </c>
      <c r="S978">
        <v>2</v>
      </c>
    </row>
    <row r="979" spans="1:19" hidden="1" x14ac:dyDescent="0.3">
      <c r="A979" t="s">
        <v>2633</v>
      </c>
      <c r="B979" t="s">
        <v>2634</v>
      </c>
      <c r="C979" t="s">
        <v>6622</v>
      </c>
      <c r="D979" t="s">
        <v>178</v>
      </c>
      <c r="E979" t="s">
        <v>222</v>
      </c>
      <c r="F979" t="s">
        <v>108</v>
      </c>
      <c r="G979" s="6">
        <v>45291</v>
      </c>
      <c r="H979" t="s">
        <v>6811</v>
      </c>
      <c r="I979" t="s">
        <v>57</v>
      </c>
      <c r="J979" t="s">
        <v>47</v>
      </c>
      <c r="K979">
        <v>60</v>
      </c>
      <c r="L979">
        <v>55.375</v>
      </c>
      <c r="M979">
        <v>1.0835214446952599</v>
      </c>
      <c r="N979">
        <v>1.0835214446952599</v>
      </c>
      <c r="O979" t="s">
        <v>2640</v>
      </c>
      <c r="P979" t="s">
        <v>7128</v>
      </c>
      <c r="Q979" t="s">
        <v>2636</v>
      </c>
      <c r="R979">
        <v>2</v>
      </c>
      <c r="S979">
        <v>2</v>
      </c>
    </row>
    <row r="980" spans="1:19" hidden="1" x14ac:dyDescent="0.3">
      <c r="A980" t="s">
        <v>2633</v>
      </c>
      <c r="B980" t="s">
        <v>2634</v>
      </c>
      <c r="C980" t="s">
        <v>6622</v>
      </c>
      <c r="D980" t="s">
        <v>178</v>
      </c>
      <c r="E980" t="s">
        <v>222</v>
      </c>
      <c r="F980" t="s">
        <v>108</v>
      </c>
      <c r="G980" s="6">
        <v>45657</v>
      </c>
      <c r="H980" t="s">
        <v>6816</v>
      </c>
      <c r="I980" t="s">
        <v>57</v>
      </c>
      <c r="J980" t="s">
        <v>78</v>
      </c>
      <c r="K980">
        <v>60</v>
      </c>
      <c r="L980">
        <v>59.814999999999998</v>
      </c>
      <c r="M980">
        <v>1.003092869681518</v>
      </c>
      <c r="N980">
        <v>1.003092869681518</v>
      </c>
      <c r="O980" t="s">
        <v>2640</v>
      </c>
      <c r="P980" t="s">
        <v>7129</v>
      </c>
      <c r="Q980" t="s">
        <v>2638</v>
      </c>
      <c r="R980">
        <v>2</v>
      </c>
      <c r="S980">
        <v>2</v>
      </c>
    </row>
    <row r="981" spans="1:19" hidden="1" x14ac:dyDescent="0.3">
      <c r="A981" t="s">
        <v>2633</v>
      </c>
      <c r="B981" t="s">
        <v>2634</v>
      </c>
      <c r="C981" t="s">
        <v>6622</v>
      </c>
      <c r="D981" t="s">
        <v>178</v>
      </c>
      <c r="E981" t="s">
        <v>222</v>
      </c>
      <c r="F981" t="s">
        <v>108</v>
      </c>
      <c r="G981" s="6">
        <v>46022</v>
      </c>
      <c r="H981" t="s">
        <v>6823</v>
      </c>
      <c r="I981" t="s">
        <v>57</v>
      </c>
      <c r="J981" t="s">
        <v>103</v>
      </c>
      <c r="K981">
        <v>60</v>
      </c>
      <c r="L981">
        <v>56.954999999999998</v>
      </c>
      <c r="M981">
        <v>1.053463260468791</v>
      </c>
      <c r="N981">
        <v>1.053463260468791</v>
      </c>
      <c r="O981" t="s">
        <v>2640</v>
      </c>
      <c r="P981" t="s">
        <v>7130</v>
      </c>
      <c r="Q981" t="s">
        <v>2645</v>
      </c>
      <c r="R981">
        <v>2</v>
      </c>
      <c r="S981">
        <v>2</v>
      </c>
    </row>
    <row r="982" spans="1:19" hidden="1" x14ac:dyDescent="0.3">
      <c r="A982" t="s">
        <v>2646</v>
      </c>
      <c r="B982" t="s">
        <v>2647</v>
      </c>
      <c r="C982" t="s">
        <v>6622</v>
      </c>
      <c r="D982" t="s">
        <v>178</v>
      </c>
      <c r="E982" t="s">
        <v>222</v>
      </c>
      <c r="F982" t="s">
        <v>30</v>
      </c>
      <c r="G982" s="6">
        <v>45291</v>
      </c>
      <c r="H982" t="s">
        <v>6811</v>
      </c>
      <c r="I982" t="s">
        <v>57</v>
      </c>
      <c r="J982" t="s">
        <v>47</v>
      </c>
      <c r="L982">
        <v>3.73</v>
      </c>
      <c r="M982">
        <v>0</v>
      </c>
      <c r="N982">
        <v>0</v>
      </c>
      <c r="P982" t="s">
        <v>7131</v>
      </c>
      <c r="Q982" t="s">
        <v>2649</v>
      </c>
      <c r="R982">
        <v>2</v>
      </c>
      <c r="S982">
        <v>2</v>
      </c>
    </row>
    <row r="983" spans="1:19" hidden="1" x14ac:dyDescent="0.3">
      <c r="A983" t="s">
        <v>2646</v>
      </c>
      <c r="B983" t="s">
        <v>2647</v>
      </c>
      <c r="C983" t="s">
        <v>6622</v>
      </c>
      <c r="D983" t="s">
        <v>178</v>
      </c>
      <c r="E983" t="s">
        <v>222</v>
      </c>
      <c r="F983" t="s">
        <v>30</v>
      </c>
      <c r="G983" s="6">
        <v>45657</v>
      </c>
      <c r="H983" t="s">
        <v>6816</v>
      </c>
      <c r="I983" t="s">
        <v>57</v>
      </c>
      <c r="J983" t="s">
        <v>78</v>
      </c>
      <c r="L983">
        <v>2.19</v>
      </c>
      <c r="M983">
        <v>0</v>
      </c>
      <c r="N983">
        <v>0</v>
      </c>
      <c r="P983" t="s">
        <v>7132</v>
      </c>
      <c r="Q983" t="s">
        <v>2651</v>
      </c>
      <c r="R983">
        <v>2</v>
      </c>
      <c r="S983">
        <v>2</v>
      </c>
    </row>
    <row r="984" spans="1:19" hidden="1" x14ac:dyDescent="0.3">
      <c r="A984" t="s">
        <v>2646</v>
      </c>
      <c r="B984" t="s">
        <v>2652</v>
      </c>
      <c r="C984" t="s">
        <v>6622</v>
      </c>
      <c r="D984" t="s">
        <v>178</v>
      </c>
      <c r="E984" t="s">
        <v>222</v>
      </c>
      <c r="F984" t="s">
        <v>30</v>
      </c>
      <c r="G984" s="6">
        <v>46022</v>
      </c>
      <c r="H984" t="s">
        <v>6823</v>
      </c>
      <c r="I984" t="s">
        <v>57</v>
      </c>
      <c r="J984" t="s">
        <v>103</v>
      </c>
      <c r="L984">
        <v>0.85</v>
      </c>
      <c r="M984">
        <v>0</v>
      </c>
      <c r="N984">
        <v>0</v>
      </c>
      <c r="P984" t="s">
        <v>2458</v>
      </c>
      <c r="Q984" t="s">
        <v>7133</v>
      </c>
      <c r="R984">
        <v>2</v>
      </c>
      <c r="S984">
        <v>2</v>
      </c>
    </row>
    <row r="985" spans="1:19" hidden="1" x14ac:dyDescent="0.3">
      <c r="A985" t="s">
        <v>2654</v>
      </c>
      <c r="B985" t="s">
        <v>2655</v>
      </c>
      <c r="C985" t="s">
        <v>6681</v>
      </c>
      <c r="D985" t="s">
        <v>2656</v>
      </c>
      <c r="E985" t="s">
        <v>222</v>
      </c>
      <c r="F985" t="s">
        <v>30</v>
      </c>
      <c r="G985" s="6">
        <v>45291</v>
      </c>
      <c r="H985" t="s">
        <v>6811</v>
      </c>
      <c r="I985" t="s">
        <v>57</v>
      </c>
      <c r="J985" t="s">
        <v>47</v>
      </c>
      <c r="K985">
        <v>87</v>
      </c>
      <c r="L985">
        <v>90.990000000000009</v>
      </c>
      <c r="M985">
        <v>1.0458620689655169</v>
      </c>
      <c r="N985">
        <v>1.0458620689655169</v>
      </c>
      <c r="O985" t="s">
        <v>1045</v>
      </c>
      <c r="P985" t="s">
        <v>6921</v>
      </c>
      <c r="Q985" t="s">
        <v>2658</v>
      </c>
      <c r="R985">
        <v>2</v>
      </c>
      <c r="S985">
        <v>2</v>
      </c>
    </row>
    <row r="986" spans="1:19" hidden="1" x14ac:dyDescent="0.3">
      <c r="A986" t="s">
        <v>2654</v>
      </c>
      <c r="B986" t="s">
        <v>2655</v>
      </c>
      <c r="C986" t="s">
        <v>6681</v>
      </c>
      <c r="D986" t="s">
        <v>2656</v>
      </c>
      <c r="E986" t="s">
        <v>222</v>
      </c>
      <c r="F986" t="s">
        <v>30</v>
      </c>
      <c r="G986" s="6">
        <v>45657</v>
      </c>
      <c r="H986" t="s">
        <v>6816</v>
      </c>
      <c r="I986" t="s">
        <v>57</v>
      </c>
      <c r="J986" t="s">
        <v>78</v>
      </c>
      <c r="K986">
        <v>87</v>
      </c>
      <c r="L986">
        <v>98.995000000000005</v>
      </c>
      <c r="M986">
        <v>1.1378735632183909</v>
      </c>
      <c r="N986">
        <v>1.1378735632183909</v>
      </c>
      <c r="O986" t="s">
        <v>1045</v>
      </c>
      <c r="P986" t="s">
        <v>2577</v>
      </c>
      <c r="Q986" t="s">
        <v>2660</v>
      </c>
      <c r="R986">
        <v>2</v>
      </c>
      <c r="S986">
        <v>2</v>
      </c>
    </row>
    <row r="987" spans="1:19" hidden="1" x14ac:dyDescent="0.3">
      <c r="A987" t="s">
        <v>2654</v>
      </c>
      <c r="B987" t="s">
        <v>2661</v>
      </c>
      <c r="C987" t="s">
        <v>6681</v>
      </c>
      <c r="D987" t="s">
        <v>2656</v>
      </c>
      <c r="E987" t="s">
        <v>222</v>
      </c>
      <c r="F987" t="s">
        <v>30</v>
      </c>
      <c r="G987" s="6">
        <v>46022</v>
      </c>
      <c r="H987" t="s">
        <v>6823</v>
      </c>
      <c r="I987" t="s">
        <v>57</v>
      </c>
      <c r="J987" t="s">
        <v>103</v>
      </c>
      <c r="K987">
        <v>100</v>
      </c>
      <c r="L987">
        <v>100</v>
      </c>
      <c r="M987">
        <v>1</v>
      </c>
      <c r="N987">
        <v>1</v>
      </c>
      <c r="O987" t="s">
        <v>102</v>
      </c>
      <c r="P987" t="s">
        <v>102</v>
      </c>
      <c r="Q987" t="s">
        <v>2663</v>
      </c>
      <c r="R987">
        <v>2</v>
      </c>
      <c r="S987">
        <v>2</v>
      </c>
    </row>
    <row r="988" spans="1:19" hidden="1" x14ac:dyDescent="0.3">
      <c r="A988" t="s">
        <v>2664</v>
      </c>
      <c r="B988" t="s">
        <v>2665</v>
      </c>
      <c r="C988" t="s">
        <v>6622</v>
      </c>
      <c r="D988" t="s">
        <v>1988</v>
      </c>
      <c r="E988" t="s">
        <v>222</v>
      </c>
      <c r="F988" t="s">
        <v>30</v>
      </c>
      <c r="G988" s="6">
        <v>45657</v>
      </c>
      <c r="H988" t="s">
        <v>6816</v>
      </c>
      <c r="I988" t="s">
        <v>57</v>
      </c>
      <c r="J988" t="s">
        <v>78</v>
      </c>
      <c r="K988">
        <v>80</v>
      </c>
      <c r="L988">
        <v>86</v>
      </c>
      <c r="M988">
        <v>1.075</v>
      </c>
      <c r="N988">
        <v>1.075</v>
      </c>
      <c r="O988" t="s">
        <v>193</v>
      </c>
      <c r="P988" t="s">
        <v>4410</v>
      </c>
      <c r="Q988" t="s">
        <v>2666</v>
      </c>
      <c r="R988">
        <v>2</v>
      </c>
      <c r="S988">
        <v>2</v>
      </c>
    </row>
    <row r="989" spans="1:19" hidden="1" x14ac:dyDescent="0.3">
      <c r="A989" t="s">
        <v>2664</v>
      </c>
      <c r="B989" t="s">
        <v>2667</v>
      </c>
      <c r="C989" t="s">
        <v>6622</v>
      </c>
      <c r="D989" t="s">
        <v>1988</v>
      </c>
      <c r="E989" t="s">
        <v>222</v>
      </c>
      <c r="F989" t="s">
        <v>30</v>
      </c>
      <c r="G989" s="6">
        <v>46022</v>
      </c>
      <c r="H989" t="s">
        <v>6823</v>
      </c>
      <c r="I989" t="s">
        <v>57</v>
      </c>
      <c r="J989" t="s">
        <v>103</v>
      </c>
      <c r="K989">
        <v>82.5</v>
      </c>
      <c r="L989">
        <v>89.95</v>
      </c>
      <c r="M989">
        <v>1.0903030303030301</v>
      </c>
      <c r="N989">
        <v>1.0903030303030301</v>
      </c>
      <c r="O989" t="s">
        <v>6914</v>
      </c>
      <c r="P989" t="s">
        <v>7134</v>
      </c>
      <c r="Q989" t="s">
        <v>2671</v>
      </c>
      <c r="R989">
        <v>2</v>
      </c>
      <c r="S989">
        <v>2</v>
      </c>
    </row>
    <row r="990" spans="1:19" hidden="1" x14ac:dyDescent="0.3">
      <c r="A990" t="s">
        <v>2672</v>
      </c>
      <c r="B990" t="s">
        <v>2673</v>
      </c>
      <c r="D990" t="s">
        <v>1988</v>
      </c>
      <c r="E990" t="s">
        <v>222</v>
      </c>
      <c r="F990" t="s">
        <v>30</v>
      </c>
      <c r="G990" s="6">
        <v>45291</v>
      </c>
      <c r="H990" t="s">
        <v>6811</v>
      </c>
      <c r="I990" t="s">
        <v>57</v>
      </c>
      <c r="J990" t="s">
        <v>47</v>
      </c>
      <c r="K990">
        <v>0</v>
      </c>
      <c r="L990">
        <v>0</v>
      </c>
      <c r="M990">
        <v>0</v>
      </c>
      <c r="N990">
        <v>0</v>
      </c>
      <c r="O990" t="s">
        <v>122</v>
      </c>
      <c r="P990" t="s">
        <v>122</v>
      </c>
      <c r="Q990" t="s">
        <v>2675</v>
      </c>
      <c r="R990">
        <v>2</v>
      </c>
      <c r="S990">
        <v>2</v>
      </c>
    </row>
    <row r="991" spans="1:19" hidden="1" x14ac:dyDescent="0.3">
      <c r="A991" t="s">
        <v>2676</v>
      </c>
      <c r="B991" t="s">
        <v>2677</v>
      </c>
      <c r="C991" t="s">
        <v>6622</v>
      </c>
      <c r="D991" t="s">
        <v>2678</v>
      </c>
      <c r="E991" t="s">
        <v>98</v>
      </c>
      <c r="F991" t="s">
        <v>30</v>
      </c>
      <c r="G991" s="6">
        <v>45291</v>
      </c>
      <c r="H991" t="s">
        <v>6811</v>
      </c>
      <c r="I991" t="s">
        <v>57</v>
      </c>
      <c r="J991" t="s">
        <v>47</v>
      </c>
      <c r="K991">
        <v>4.5</v>
      </c>
      <c r="L991">
        <v>4.5599999999999996</v>
      </c>
      <c r="M991">
        <v>1.013333333333333</v>
      </c>
      <c r="N991">
        <v>1.013333333333333</v>
      </c>
      <c r="O991" t="s">
        <v>5836</v>
      </c>
      <c r="P991" t="s">
        <v>5960</v>
      </c>
      <c r="Q991" t="s">
        <v>2679</v>
      </c>
      <c r="R991">
        <v>2</v>
      </c>
      <c r="S991">
        <v>2</v>
      </c>
    </row>
    <row r="992" spans="1:19" hidden="1" x14ac:dyDescent="0.3">
      <c r="A992" t="s">
        <v>2676</v>
      </c>
      <c r="B992" t="s">
        <v>2680</v>
      </c>
      <c r="C992" t="s">
        <v>6622</v>
      </c>
      <c r="D992" t="s">
        <v>2678</v>
      </c>
      <c r="E992" t="s">
        <v>98</v>
      </c>
      <c r="F992" t="s">
        <v>30</v>
      </c>
      <c r="G992" s="6">
        <v>45657</v>
      </c>
      <c r="H992" t="s">
        <v>6816</v>
      </c>
      <c r="I992" t="s">
        <v>57</v>
      </c>
      <c r="J992" t="s">
        <v>78</v>
      </c>
      <c r="K992">
        <v>0</v>
      </c>
      <c r="M992">
        <v>0</v>
      </c>
      <c r="N992">
        <v>0</v>
      </c>
      <c r="O992" t="s">
        <v>122</v>
      </c>
      <c r="Q992" t="s">
        <v>2681</v>
      </c>
      <c r="R992">
        <v>2</v>
      </c>
      <c r="S992">
        <v>2</v>
      </c>
    </row>
    <row r="993" spans="1:19" hidden="1" x14ac:dyDescent="0.3">
      <c r="A993" t="s">
        <v>2676</v>
      </c>
      <c r="B993" t="s">
        <v>2682</v>
      </c>
      <c r="C993" t="s">
        <v>6622</v>
      </c>
      <c r="D993" t="s">
        <v>2678</v>
      </c>
      <c r="E993" t="s">
        <v>98</v>
      </c>
      <c r="F993" t="s">
        <v>30</v>
      </c>
      <c r="G993" s="6">
        <v>46022</v>
      </c>
      <c r="H993" t="s">
        <v>6823</v>
      </c>
      <c r="I993" t="s">
        <v>57</v>
      </c>
      <c r="J993" t="s">
        <v>103</v>
      </c>
      <c r="K993">
        <v>4.5999999999999996</v>
      </c>
      <c r="L993">
        <v>4.78</v>
      </c>
      <c r="M993">
        <v>1.0391304347826089</v>
      </c>
      <c r="N993">
        <v>1.0391304347826089</v>
      </c>
      <c r="O993" t="s">
        <v>2068</v>
      </c>
      <c r="P993" t="s">
        <v>2684</v>
      </c>
      <c r="Q993" t="s">
        <v>2685</v>
      </c>
      <c r="R993">
        <v>2</v>
      </c>
      <c r="S993">
        <v>2</v>
      </c>
    </row>
    <row r="994" spans="1:19" hidden="1" x14ac:dyDescent="0.3">
      <c r="A994" t="s">
        <v>2686</v>
      </c>
      <c r="B994" t="s">
        <v>2687</v>
      </c>
      <c r="C994" t="s">
        <v>6681</v>
      </c>
      <c r="D994" t="s">
        <v>2688</v>
      </c>
      <c r="E994" t="s">
        <v>222</v>
      </c>
      <c r="F994" t="s">
        <v>30</v>
      </c>
      <c r="G994" s="6">
        <v>45291</v>
      </c>
      <c r="H994" t="s">
        <v>6811</v>
      </c>
      <c r="I994" t="s">
        <v>57</v>
      </c>
      <c r="J994" t="s">
        <v>47</v>
      </c>
      <c r="K994">
        <v>100</v>
      </c>
      <c r="L994">
        <v>99.16</v>
      </c>
      <c r="M994">
        <v>0.99159999999999993</v>
      </c>
      <c r="N994">
        <v>0.99159999999999993</v>
      </c>
      <c r="O994" t="s">
        <v>102</v>
      </c>
      <c r="P994" t="s">
        <v>5961</v>
      </c>
      <c r="Q994" t="s">
        <v>2689</v>
      </c>
      <c r="R994">
        <v>2</v>
      </c>
      <c r="S994">
        <v>2</v>
      </c>
    </row>
    <row r="995" spans="1:19" hidden="1" x14ac:dyDescent="0.3">
      <c r="A995" t="s">
        <v>2686</v>
      </c>
      <c r="B995" t="s">
        <v>2687</v>
      </c>
      <c r="C995" t="s">
        <v>6681</v>
      </c>
      <c r="D995" t="s">
        <v>2688</v>
      </c>
      <c r="E995" t="s">
        <v>222</v>
      </c>
      <c r="F995" t="s">
        <v>30</v>
      </c>
      <c r="G995" s="6">
        <v>45657</v>
      </c>
      <c r="H995" t="s">
        <v>6816</v>
      </c>
      <c r="I995" t="s">
        <v>57</v>
      </c>
      <c r="J995" t="s">
        <v>78</v>
      </c>
      <c r="K995">
        <v>196</v>
      </c>
      <c r="L995">
        <v>199.07432304037999</v>
      </c>
      <c r="M995">
        <v>1.015685321634592</v>
      </c>
      <c r="N995">
        <v>1.015685321634592</v>
      </c>
      <c r="O995" t="s">
        <v>7135</v>
      </c>
      <c r="P995" t="s">
        <v>7136</v>
      </c>
      <c r="Q995" t="s">
        <v>2691</v>
      </c>
      <c r="R995">
        <v>2</v>
      </c>
      <c r="S995">
        <v>2</v>
      </c>
    </row>
    <row r="996" spans="1:19" hidden="1" x14ac:dyDescent="0.3">
      <c r="A996" t="s">
        <v>2686</v>
      </c>
      <c r="B996" t="s">
        <v>2687</v>
      </c>
      <c r="C996" t="s">
        <v>6681</v>
      </c>
      <c r="D996" t="s">
        <v>2688</v>
      </c>
      <c r="E996" t="s">
        <v>222</v>
      </c>
      <c r="F996" t="s">
        <v>30</v>
      </c>
      <c r="G996" s="6">
        <v>46022</v>
      </c>
      <c r="H996" t="s">
        <v>6823</v>
      </c>
      <c r="I996" t="s">
        <v>57</v>
      </c>
      <c r="J996" t="s">
        <v>103</v>
      </c>
      <c r="K996">
        <v>196</v>
      </c>
      <c r="L996">
        <v>199.33</v>
      </c>
      <c r="M996">
        <v>1.0169897959183669</v>
      </c>
      <c r="N996">
        <v>1.0169897959183669</v>
      </c>
      <c r="O996" t="s">
        <v>7135</v>
      </c>
      <c r="P996" t="s">
        <v>7137</v>
      </c>
      <c r="Q996" t="s">
        <v>2697</v>
      </c>
      <c r="R996">
        <v>2</v>
      </c>
      <c r="S996">
        <v>2</v>
      </c>
    </row>
    <row r="997" spans="1:19" hidden="1" x14ac:dyDescent="0.3">
      <c r="A997" t="s">
        <v>2698</v>
      </c>
      <c r="B997" t="s">
        <v>2699</v>
      </c>
      <c r="C997" t="s">
        <v>6681</v>
      </c>
      <c r="D997" t="s">
        <v>2688</v>
      </c>
      <c r="E997" t="s">
        <v>222</v>
      </c>
      <c r="F997" t="s">
        <v>30</v>
      </c>
      <c r="G997" s="6">
        <v>45291</v>
      </c>
      <c r="H997" t="s">
        <v>6811</v>
      </c>
      <c r="I997" t="s">
        <v>57</v>
      </c>
      <c r="J997" t="s">
        <v>47</v>
      </c>
      <c r="K997">
        <v>100</v>
      </c>
      <c r="L997">
        <v>100</v>
      </c>
      <c r="M997">
        <v>1</v>
      </c>
      <c r="N997">
        <v>1</v>
      </c>
      <c r="O997" t="s">
        <v>102</v>
      </c>
      <c r="P997" t="s">
        <v>102</v>
      </c>
      <c r="Q997" t="s">
        <v>2700</v>
      </c>
      <c r="R997">
        <v>2</v>
      </c>
      <c r="S997">
        <v>2</v>
      </c>
    </row>
    <row r="998" spans="1:19" hidden="1" x14ac:dyDescent="0.3">
      <c r="A998" t="s">
        <v>2698</v>
      </c>
      <c r="B998" t="s">
        <v>2699</v>
      </c>
      <c r="C998" t="s">
        <v>6681</v>
      </c>
      <c r="D998" t="s">
        <v>2688</v>
      </c>
      <c r="E998" t="s">
        <v>222</v>
      </c>
      <c r="F998" t="s">
        <v>30</v>
      </c>
      <c r="G998" s="6">
        <v>45657</v>
      </c>
      <c r="H998" t="s">
        <v>6816</v>
      </c>
      <c r="I998" t="s">
        <v>57</v>
      </c>
      <c r="J998" t="s">
        <v>78</v>
      </c>
      <c r="K998">
        <v>100</v>
      </c>
      <c r="L998">
        <v>100</v>
      </c>
      <c r="M998">
        <v>1</v>
      </c>
      <c r="N998">
        <v>1</v>
      </c>
      <c r="O998" t="s">
        <v>102</v>
      </c>
      <c r="P998" t="s">
        <v>102</v>
      </c>
      <c r="Q998" t="s">
        <v>2702</v>
      </c>
      <c r="R998">
        <v>2</v>
      </c>
      <c r="S998">
        <v>2</v>
      </c>
    </row>
    <row r="999" spans="1:19" hidden="1" x14ac:dyDescent="0.3">
      <c r="A999" t="s">
        <v>2698</v>
      </c>
      <c r="B999" t="s">
        <v>2699</v>
      </c>
      <c r="C999" t="s">
        <v>6681</v>
      </c>
      <c r="D999" t="s">
        <v>2688</v>
      </c>
      <c r="E999" t="s">
        <v>222</v>
      </c>
      <c r="F999" t="s">
        <v>30</v>
      </c>
      <c r="G999" s="6">
        <v>46022</v>
      </c>
      <c r="H999" t="s">
        <v>6823</v>
      </c>
      <c r="I999" t="s">
        <v>57</v>
      </c>
      <c r="J999" t="s">
        <v>103</v>
      </c>
      <c r="K999">
        <v>100</v>
      </c>
      <c r="L999">
        <v>100</v>
      </c>
      <c r="M999">
        <v>1</v>
      </c>
      <c r="N999">
        <v>1</v>
      </c>
      <c r="O999" t="s">
        <v>102</v>
      </c>
      <c r="P999" t="s">
        <v>102</v>
      </c>
      <c r="Q999" t="s">
        <v>2704</v>
      </c>
      <c r="R999">
        <v>2</v>
      </c>
      <c r="S999">
        <v>2</v>
      </c>
    </row>
    <row r="1000" spans="1:19" hidden="1" x14ac:dyDescent="0.3">
      <c r="A1000" t="s">
        <v>2705</v>
      </c>
      <c r="B1000" t="s">
        <v>2706</v>
      </c>
      <c r="C1000" t="s">
        <v>6681</v>
      </c>
      <c r="D1000" t="s">
        <v>2678</v>
      </c>
      <c r="E1000" t="s">
        <v>222</v>
      </c>
      <c r="F1000" t="s">
        <v>108</v>
      </c>
      <c r="G1000" s="6">
        <v>45291</v>
      </c>
      <c r="H1000" t="s">
        <v>6811</v>
      </c>
      <c r="I1000" t="s">
        <v>57</v>
      </c>
      <c r="J1000" t="s">
        <v>47</v>
      </c>
      <c r="K1000">
        <v>0</v>
      </c>
      <c r="L1000">
        <v>54311.5</v>
      </c>
      <c r="M1000">
        <v>0</v>
      </c>
      <c r="N1000">
        <v>0</v>
      </c>
      <c r="O1000" t="s">
        <v>122</v>
      </c>
      <c r="P1000" t="s">
        <v>7138</v>
      </c>
      <c r="Q1000" t="s">
        <v>2708</v>
      </c>
      <c r="R1000">
        <v>2</v>
      </c>
      <c r="S1000">
        <v>2</v>
      </c>
    </row>
    <row r="1001" spans="1:19" hidden="1" x14ac:dyDescent="0.3">
      <c r="A1001" t="s">
        <v>2705</v>
      </c>
      <c r="B1001" t="s">
        <v>2706</v>
      </c>
      <c r="C1001" t="s">
        <v>6681</v>
      </c>
      <c r="D1001" t="s">
        <v>2678</v>
      </c>
      <c r="E1001" t="s">
        <v>222</v>
      </c>
      <c r="F1001" t="s">
        <v>30</v>
      </c>
      <c r="G1001" s="6">
        <v>45657</v>
      </c>
      <c r="H1001" t="s">
        <v>6816</v>
      </c>
      <c r="I1001" t="s">
        <v>57</v>
      </c>
      <c r="J1001" t="s">
        <v>78</v>
      </c>
      <c r="K1001">
        <v>15897</v>
      </c>
      <c r="L1001">
        <v>18045.544999999998</v>
      </c>
      <c r="M1001">
        <v>1.135154117129018</v>
      </c>
      <c r="N1001">
        <v>1.135154117129018</v>
      </c>
      <c r="O1001" t="s">
        <v>7139</v>
      </c>
      <c r="P1001" t="s">
        <v>7140</v>
      </c>
      <c r="Q1001" t="s">
        <v>2710</v>
      </c>
      <c r="R1001">
        <v>2</v>
      </c>
      <c r="S1001">
        <v>2</v>
      </c>
    </row>
    <row r="1002" spans="1:19" hidden="1" x14ac:dyDescent="0.3">
      <c r="A1002" t="s">
        <v>2705</v>
      </c>
      <c r="B1002" t="s">
        <v>2706</v>
      </c>
      <c r="C1002" t="s">
        <v>6681</v>
      </c>
      <c r="D1002" t="s">
        <v>2678</v>
      </c>
      <c r="E1002" t="s">
        <v>222</v>
      </c>
      <c r="F1002" t="s">
        <v>30</v>
      </c>
      <c r="G1002" s="6">
        <v>46022</v>
      </c>
      <c r="H1002" t="s">
        <v>6823</v>
      </c>
      <c r="I1002" t="s">
        <v>57</v>
      </c>
      <c r="J1002" t="s">
        <v>103</v>
      </c>
      <c r="K1002">
        <v>100</v>
      </c>
      <c r="L1002">
        <v>86</v>
      </c>
      <c r="M1002">
        <v>0.86</v>
      </c>
      <c r="N1002">
        <v>0.86</v>
      </c>
      <c r="O1002" t="s">
        <v>102</v>
      </c>
      <c r="P1002" t="s">
        <v>4410</v>
      </c>
      <c r="Q1002" t="s">
        <v>2716</v>
      </c>
      <c r="R1002">
        <v>2</v>
      </c>
      <c r="S1002">
        <v>2</v>
      </c>
    </row>
    <row r="1003" spans="1:19" hidden="1" x14ac:dyDescent="0.3">
      <c r="A1003" t="s">
        <v>2717</v>
      </c>
      <c r="B1003" t="s">
        <v>2718</v>
      </c>
      <c r="D1003" t="s">
        <v>2688</v>
      </c>
      <c r="E1003" t="s">
        <v>222</v>
      </c>
      <c r="F1003" t="s">
        <v>30</v>
      </c>
      <c r="G1003" s="6">
        <v>45291</v>
      </c>
      <c r="H1003" t="s">
        <v>6811</v>
      </c>
      <c r="I1003" t="s">
        <v>57</v>
      </c>
      <c r="J1003" t="s">
        <v>47</v>
      </c>
      <c r="K1003">
        <v>100</v>
      </c>
      <c r="L1003">
        <v>100</v>
      </c>
      <c r="M1003">
        <v>1</v>
      </c>
      <c r="N1003">
        <v>1</v>
      </c>
      <c r="O1003" t="s">
        <v>102</v>
      </c>
      <c r="P1003" t="s">
        <v>102</v>
      </c>
      <c r="Q1003" t="s">
        <v>2719</v>
      </c>
      <c r="R1003">
        <v>2</v>
      </c>
      <c r="S1003">
        <v>2</v>
      </c>
    </row>
    <row r="1004" spans="1:19" hidden="1" x14ac:dyDescent="0.3">
      <c r="A1004" t="s">
        <v>2720</v>
      </c>
      <c r="B1004" t="s">
        <v>2721</v>
      </c>
      <c r="C1004" t="s">
        <v>6681</v>
      </c>
      <c r="D1004" t="s">
        <v>2688</v>
      </c>
      <c r="E1004" t="s">
        <v>98</v>
      </c>
      <c r="F1004" t="s">
        <v>30</v>
      </c>
      <c r="G1004" s="6">
        <v>45291</v>
      </c>
      <c r="H1004" t="s">
        <v>6811</v>
      </c>
      <c r="I1004" t="s">
        <v>57</v>
      </c>
      <c r="J1004" t="s">
        <v>47</v>
      </c>
      <c r="K1004">
        <v>100</v>
      </c>
      <c r="L1004">
        <v>100</v>
      </c>
      <c r="M1004">
        <v>1</v>
      </c>
      <c r="N1004">
        <v>1</v>
      </c>
      <c r="O1004" t="s">
        <v>102</v>
      </c>
      <c r="P1004" t="s">
        <v>102</v>
      </c>
      <c r="Q1004" t="s">
        <v>2722</v>
      </c>
      <c r="R1004">
        <v>2</v>
      </c>
      <c r="S1004">
        <v>2</v>
      </c>
    </row>
    <row r="1005" spans="1:19" hidden="1" x14ac:dyDescent="0.3">
      <c r="A1005" t="s">
        <v>2720</v>
      </c>
      <c r="B1005" t="s">
        <v>2721</v>
      </c>
      <c r="C1005" t="s">
        <v>6681</v>
      </c>
      <c r="D1005" t="s">
        <v>2688</v>
      </c>
      <c r="E1005" t="s">
        <v>98</v>
      </c>
      <c r="F1005" t="s">
        <v>30</v>
      </c>
      <c r="G1005" s="6">
        <v>45657</v>
      </c>
      <c r="H1005" t="s">
        <v>6816</v>
      </c>
      <c r="I1005" t="s">
        <v>57</v>
      </c>
      <c r="J1005" t="s">
        <v>78</v>
      </c>
      <c r="K1005">
        <v>100</v>
      </c>
      <c r="L1005">
        <v>100</v>
      </c>
      <c r="M1005">
        <v>1</v>
      </c>
      <c r="N1005">
        <v>1</v>
      </c>
      <c r="O1005" t="s">
        <v>102</v>
      </c>
      <c r="P1005" t="s">
        <v>102</v>
      </c>
      <c r="Q1005" t="s">
        <v>2723</v>
      </c>
      <c r="R1005">
        <v>2</v>
      </c>
      <c r="S1005">
        <v>2</v>
      </c>
    </row>
    <row r="1006" spans="1:19" hidden="1" x14ac:dyDescent="0.3">
      <c r="A1006" t="s">
        <v>2720</v>
      </c>
      <c r="B1006" t="s">
        <v>2721</v>
      </c>
      <c r="C1006" t="s">
        <v>6681</v>
      </c>
      <c r="D1006" t="s">
        <v>2688</v>
      </c>
      <c r="E1006" t="s">
        <v>98</v>
      </c>
      <c r="F1006" t="s">
        <v>30</v>
      </c>
      <c r="G1006" s="6">
        <v>46022</v>
      </c>
      <c r="H1006" t="s">
        <v>6823</v>
      </c>
      <c r="I1006" t="s">
        <v>57</v>
      </c>
      <c r="J1006" t="s">
        <v>103</v>
      </c>
      <c r="K1006">
        <v>100</v>
      </c>
      <c r="L1006">
        <v>100</v>
      </c>
      <c r="M1006">
        <v>1</v>
      </c>
      <c r="N1006">
        <v>1</v>
      </c>
      <c r="O1006" t="s">
        <v>102</v>
      </c>
      <c r="P1006" t="s">
        <v>102</v>
      </c>
      <c r="Q1006" t="s">
        <v>2724</v>
      </c>
      <c r="R1006">
        <v>2</v>
      </c>
      <c r="S1006">
        <v>2</v>
      </c>
    </row>
    <row r="1007" spans="1:19" hidden="1" x14ac:dyDescent="0.3">
      <c r="A1007" t="s">
        <v>2725</v>
      </c>
      <c r="B1007" t="s">
        <v>2726</v>
      </c>
      <c r="C1007" t="s">
        <v>6622</v>
      </c>
      <c r="D1007" t="s">
        <v>2678</v>
      </c>
      <c r="E1007" t="s">
        <v>98</v>
      </c>
      <c r="F1007" t="s">
        <v>30</v>
      </c>
      <c r="G1007" s="6">
        <v>44926</v>
      </c>
      <c r="H1007" t="s">
        <v>6819</v>
      </c>
      <c r="I1007" t="s">
        <v>57</v>
      </c>
      <c r="J1007" t="s">
        <v>90</v>
      </c>
      <c r="K1007">
        <v>5.7</v>
      </c>
      <c r="L1007">
        <v>6.7</v>
      </c>
      <c r="M1007">
        <v>1.1754385964912279</v>
      </c>
      <c r="N1007">
        <v>1.1754385964912279</v>
      </c>
      <c r="O1007" t="s">
        <v>5968</v>
      </c>
      <c r="P1007" t="s">
        <v>5969</v>
      </c>
      <c r="Q1007" t="s">
        <v>2727</v>
      </c>
      <c r="R1007">
        <v>2</v>
      </c>
      <c r="S1007">
        <v>2</v>
      </c>
    </row>
    <row r="1008" spans="1:19" hidden="1" x14ac:dyDescent="0.3">
      <c r="A1008" t="s">
        <v>2725</v>
      </c>
      <c r="B1008" t="s">
        <v>2728</v>
      </c>
      <c r="C1008" t="s">
        <v>6622</v>
      </c>
      <c r="D1008" t="s">
        <v>2678</v>
      </c>
      <c r="E1008" t="s">
        <v>98</v>
      </c>
      <c r="F1008" t="s">
        <v>30</v>
      </c>
      <c r="G1008" s="6">
        <v>45291</v>
      </c>
      <c r="H1008" t="s">
        <v>6811</v>
      </c>
      <c r="I1008" t="s">
        <v>57</v>
      </c>
      <c r="J1008" t="s">
        <v>47</v>
      </c>
      <c r="K1008">
        <v>5</v>
      </c>
      <c r="L1008">
        <v>6.25</v>
      </c>
      <c r="M1008">
        <v>1.25</v>
      </c>
      <c r="N1008">
        <v>1.25</v>
      </c>
      <c r="O1008" t="s">
        <v>823</v>
      </c>
      <c r="P1008" t="s">
        <v>5773</v>
      </c>
      <c r="Q1008" t="s">
        <v>2729</v>
      </c>
      <c r="R1008">
        <v>2</v>
      </c>
      <c r="S1008">
        <v>2</v>
      </c>
    </row>
    <row r="1009" spans="1:19" hidden="1" x14ac:dyDescent="0.3">
      <c r="A1009" t="s">
        <v>2725</v>
      </c>
      <c r="B1009" t="s">
        <v>2726</v>
      </c>
      <c r="C1009" t="s">
        <v>6622</v>
      </c>
      <c r="D1009" t="s">
        <v>2678</v>
      </c>
      <c r="E1009" t="s">
        <v>98</v>
      </c>
      <c r="F1009" t="s">
        <v>30</v>
      </c>
      <c r="G1009" s="6">
        <v>45657</v>
      </c>
      <c r="H1009" t="s">
        <v>6816</v>
      </c>
      <c r="I1009" t="s">
        <v>57</v>
      </c>
      <c r="J1009" t="s">
        <v>78</v>
      </c>
      <c r="K1009">
        <v>5</v>
      </c>
      <c r="L1009">
        <v>4.96</v>
      </c>
      <c r="M1009">
        <v>0.99199999999999999</v>
      </c>
      <c r="N1009">
        <v>0.99199999999999999</v>
      </c>
      <c r="O1009" t="s">
        <v>823</v>
      </c>
      <c r="P1009" t="s">
        <v>5970</v>
      </c>
      <c r="Q1009" t="s">
        <v>2730</v>
      </c>
      <c r="R1009">
        <v>2</v>
      </c>
      <c r="S1009">
        <v>2</v>
      </c>
    </row>
    <row r="1010" spans="1:19" hidden="1" x14ac:dyDescent="0.3">
      <c r="A1010" t="s">
        <v>2725</v>
      </c>
      <c r="B1010" t="s">
        <v>2726</v>
      </c>
      <c r="C1010" t="s">
        <v>6622</v>
      </c>
      <c r="D1010" t="s">
        <v>2678</v>
      </c>
      <c r="E1010" t="s">
        <v>98</v>
      </c>
      <c r="F1010" t="s">
        <v>30</v>
      </c>
      <c r="G1010" s="6">
        <v>46022</v>
      </c>
      <c r="H1010" t="s">
        <v>6823</v>
      </c>
      <c r="I1010" t="s">
        <v>57</v>
      </c>
      <c r="J1010" t="s">
        <v>103</v>
      </c>
      <c r="K1010">
        <v>5</v>
      </c>
      <c r="L1010">
        <v>3.82</v>
      </c>
      <c r="M1010">
        <v>0.76400000000000001</v>
      </c>
      <c r="N1010">
        <v>0.76400000000000001</v>
      </c>
      <c r="O1010" t="s">
        <v>823</v>
      </c>
      <c r="P1010" t="s">
        <v>2732</v>
      </c>
      <c r="Q1010" t="s">
        <v>2733</v>
      </c>
      <c r="R1010">
        <v>2</v>
      </c>
      <c r="S1010">
        <v>2</v>
      </c>
    </row>
    <row r="1011" spans="1:19" hidden="1" x14ac:dyDescent="0.3">
      <c r="A1011" t="s">
        <v>2734</v>
      </c>
      <c r="B1011" t="s">
        <v>2735</v>
      </c>
      <c r="C1011" t="s">
        <v>6681</v>
      </c>
      <c r="D1011" t="s">
        <v>2736</v>
      </c>
      <c r="E1011" t="s">
        <v>233</v>
      </c>
      <c r="F1011" t="s">
        <v>30</v>
      </c>
      <c r="G1011" s="6">
        <v>45291</v>
      </c>
      <c r="H1011" t="s">
        <v>6811</v>
      </c>
      <c r="I1011" t="s">
        <v>57</v>
      </c>
      <c r="J1011" t="s">
        <v>47</v>
      </c>
      <c r="K1011">
        <v>90</v>
      </c>
      <c r="L1011">
        <v>94.5</v>
      </c>
      <c r="M1011">
        <v>1.05</v>
      </c>
      <c r="N1011">
        <v>1.05</v>
      </c>
      <c r="O1011" t="s">
        <v>256</v>
      </c>
      <c r="P1011" t="s">
        <v>5379</v>
      </c>
      <c r="Q1011" t="s">
        <v>2738</v>
      </c>
      <c r="R1011">
        <v>2</v>
      </c>
      <c r="S1011">
        <v>2</v>
      </c>
    </row>
    <row r="1012" spans="1:19" hidden="1" x14ac:dyDescent="0.3">
      <c r="A1012" t="s">
        <v>2734</v>
      </c>
      <c r="B1012" t="s">
        <v>2735</v>
      </c>
      <c r="C1012" t="s">
        <v>6681</v>
      </c>
      <c r="D1012" t="s">
        <v>2736</v>
      </c>
      <c r="E1012" t="s">
        <v>233</v>
      </c>
      <c r="F1012" t="s">
        <v>30</v>
      </c>
      <c r="G1012" s="6">
        <v>45657</v>
      </c>
      <c r="H1012" t="s">
        <v>6816</v>
      </c>
      <c r="I1012" t="s">
        <v>57</v>
      </c>
      <c r="J1012" t="s">
        <v>78</v>
      </c>
      <c r="K1012">
        <v>90</v>
      </c>
      <c r="L1012">
        <v>94.25</v>
      </c>
      <c r="M1012">
        <v>1.0472222222222221</v>
      </c>
      <c r="N1012">
        <v>1.0472222222222221</v>
      </c>
      <c r="O1012" t="s">
        <v>256</v>
      </c>
      <c r="P1012" t="s">
        <v>7141</v>
      </c>
      <c r="Q1012" t="s">
        <v>2742</v>
      </c>
      <c r="R1012">
        <v>2</v>
      </c>
      <c r="S1012">
        <v>2</v>
      </c>
    </row>
    <row r="1013" spans="1:19" hidden="1" x14ac:dyDescent="0.3">
      <c r="A1013" t="s">
        <v>2734</v>
      </c>
      <c r="B1013" t="s">
        <v>2735</v>
      </c>
      <c r="C1013" t="s">
        <v>6681</v>
      </c>
      <c r="D1013" t="s">
        <v>2736</v>
      </c>
      <c r="E1013" t="s">
        <v>233</v>
      </c>
      <c r="F1013" t="s">
        <v>30</v>
      </c>
      <c r="G1013" s="6">
        <v>46022</v>
      </c>
      <c r="H1013" t="s">
        <v>6823</v>
      </c>
      <c r="I1013" t="s">
        <v>57</v>
      </c>
      <c r="J1013" t="s">
        <v>103</v>
      </c>
      <c r="K1013">
        <v>93</v>
      </c>
      <c r="L1013">
        <v>95</v>
      </c>
      <c r="M1013">
        <v>1.021505376344086</v>
      </c>
      <c r="N1013">
        <v>1.021505376344086</v>
      </c>
      <c r="O1013" t="s">
        <v>971</v>
      </c>
      <c r="P1013" t="s">
        <v>838</v>
      </c>
      <c r="Q1013" t="s">
        <v>2745</v>
      </c>
      <c r="R1013">
        <v>2</v>
      </c>
      <c r="S1013">
        <v>2</v>
      </c>
    </row>
    <row r="1014" spans="1:19" hidden="1" x14ac:dyDescent="0.3">
      <c r="A1014" t="s">
        <v>2746</v>
      </c>
      <c r="B1014" t="s">
        <v>2747</v>
      </c>
      <c r="C1014" t="s">
        <v>6622</v>
      </c>
      <c r="D1014" t="s">
        <v>2678</v>
      </c>
      <c r="E1014" t="s">
        <v>222</v>
      </c>
      <c r="F1014" t="s">
        <v>30</v>
      </c>
      <c r="G1014" s="6">
        <v>45291</v>
      </c>
      <c r="H1014" t="s">
        <v>6811</v>
      </c>
      <c r="I1014" t="s">
        <v>57</v>
      </c>
      <c r="J1014" t="s">
        <v>47</v>
      </c>
      <c r="K1014">
        <v>0</v>
      </c>
      <c r="L1014">
        <v>174</v>
      </c>
      <c r="M1014">
        <v>0</v>
      </c>
      <c r="N1014">
        <v>0</v>
      </c>
      <c r="O1014" t="s">
        <v>122</v>
      </c>
      <c r="P1014" t="s">
        <v>7142</v>
      </c>
      <c r="Q1014" t="s">
        <v>2749</v>
      </c>
      <c r="R1014">
        <v>2</v>
      </c>
      <c r="S1014">
        <v>2</v>
      </c>
    </row>
    <row r="1015" spans="1:19" hidden="1" x14ac:dyDescent="0.3">
      <c r="A1015" t="s">
        <v>2746</v>
      </c>
      <c r="B1015" t="s">
        <v>2747</v>
      </c>
      <c r="C1015" t="s">
        <v>6622</v>
      </c>
      <c r="D1015" t="s">
        <v>2678</v>
      </c>
      <c r="E1015" t="s">
        <v>222</v>
      </c>
      <c r="F1015" t="s">
        <v>30</v>
      </c>
      <c r="G1015" s="6">
        <v>45657</v>
      </c>
      <c r="H1015" t="s">
        <v>6816</v>
      </c>
      <c r="I1015" t="s">
        <v>57</v>
      </c>
      <c r="J1015" t="s">
        <v>78</v>
      </c>
      <c r="K1015">
        <v>180</v>
      </c>
      <c r="L1015">
        <v>132.30000000000001</v>
      </c>
      <c r="M1015">
        <v>0.7350000000000001</v>
      </c>
      <c r="N1015">
        <v>0.7350000000000001</v>
      </c>
      <c r="O1015" t="s">
        <v>5729</v>
      </c>
      <c r="P1015" t="s">
        <v>7143</v>
      </c>
      <c r="Q1015" t="s">
        <v>2751</v>
      </c>
      <c r="R1015">
        <v>2</v>
      </c>
      <c r="S1015">
        <v>2</v>
      </c>
    </row>
    <row r="1016" spans="1:19" hidden="1" x14ac:dyDescent="0.3">
      <c r="A1016" t="s">
        <v>2746</v>
      </c>
      <c r="B1016" t="s">
        <v>2747</v>
      </c>
      <c r="C1016" t="s">
        <v>6622</v>
      </c>
      <c r="D1016" t="s">
        <v>2678</v>
      </c>
      <c r="E1016" t="s">
        <v>222</v>
      </c>
      <c r="F1016" t="s">
        <v>30</v>
      </c>
      <c r="G1016" s="6">
        <v>46022</v>
      </c>
      <c r="H1016" t="s">
        <v>6823</v>
      </c>
      <c r="I1016" t="s">
        <v>57</v>
      </c>
      <c r="J1016" t="s">
        <v>103</v>
      </c>
      <c r="K1016">
        <v>200</v>
      </c>
      <c r="L1016">
        <v>197.15</v>
      </c>
      <c r="M1016">
        <v>0.98575000000000002</v>
      </c>
      <c r="N1016">
        <v>0.98575000000000002</v>
      </c>
      <c r="O1016" t="s">
        <v>2396</v>
      </c>
      <c r="P1016" t="s">
        <v>7144</v>
      </c>
      <c r="Q1016" t="s">
        <v>2755</v>
      </c>
      <c r="R1016">
        <v>2</v>
      </c>
      <c r="S1016">
        <v>2</v>
      </c>
    </row>
    <row r="1017" spans="1:19" hidden="1" x14ac:dyDescent="0.3">
      <c r="A1017" t="s">
        <v>2756</v>
      </c>
      <c r="B1017" t="s">
        <v>2757</v>
      </c>
      <c r="D1017" t="s">
        <v>2678</v>
      </c>
      <c r="E1017" t="s">
        <v>222</v>
      </c>
      <c r="F1017" t="s">
        <v>30</v>
      </c>
      <c r="G1017" s="6">
        <v>45291</v>
      </c>
      <c r="H1017" t="s">
        <v>6811</v>
      </c>
      <c r="I1017" t="s">
        <v>57</v>
      </c>
      <c r="J1017" t="s">
        <v>47</v>
      </c>
      <c r="K1017">
        <v>0</v>
      </c>
      <c r="L1017">
        <v>0</v>
      </c>
      <c r="M1017">
        <v>0</v>
      </c>
      <c r="N1017">
        <v>0</v>
      </c>
      <c r="O1017" t="s">
        <v>122</v>
      </c>
      <c r="P1017" t="s">
        <v>122</v>
      </c>
      <c r="Q1017" t="s">
        <v>2759</v>
      </c>
      <c r="R1017">
        <v>2</v>
      </c>
      <c r="S1017">
        <v>2</v>
      </c>
    </row>
    <row r="1018" spans="1:19" hidden="1" x14ac:dyDescent="0.3">
      <c r="A1018" t="s">
        <v>2760</v>
      </c>
      <c r="B1018" t="s">
        <v>2761</v>
      </c>
      <c r="C1018" t="s">
        <v>6622</v>
      </c>
      <c r="D1018" t="s">
        <v>2678</v>
      </c>
      <c r="E1018" t="s">
        <v>222</v>
      </c>
      <c r="F1018" t="s">
        <v>30</v>
      </c>
      <c r="G1018" s="6">
        <v>45291</v>
      </c>
      <c r="H1018" t="s">
        <v>6811</v>
      </c>
      <c r="I1018" t="s">
        <v>57</v>
      </c>
      <c r="J1018" t="s">
        <v>47</v>
      </c>
      <c r="K1018">
        <v>2750000000</v>
      </c>
      <c r="L1018">
        <v>4759426071</v>
      </c>
      <c r="M1018">
        <v>1.3</v>
      </c>
      <c r="N1018">
        <v>1.730700389454545</v>
      </c>
      <c r="O1018" t="s">
        <v>5973</v>
      </c>
      <c r="P1018" t="s">
        <v>7145</v>
      </c>
      <c r="Q1018" t="s">
        <v>2763</v>
      </c>
      <c r="R1018">
        <v>2</v>
      </c>
      <c r="S1018">
        <v>2</v>
      </c>
    </row>
    <row r="1019" spans="1:19" hidden="1" x14ac:dyDescent="0.3">
      <c r="A1019" t="s">
        <v>2760</v>
      </c>
      <c r="B1019" t="s">
        <v>2761</v>
      </c>
      <c r="C1019" t="s">
        <v>6622</v>
      </c>
      <c r="D1019" t="s">
        <v>2678</v>
      </c>
      <c r="E1019" t="s">
        <v>222</v>
      </c>
      <c r="F1019" t="s">
        <v>30</v>
      </c>
      <c r="G1019" s="6">
        <v>45657</v>
      </c>
      <c r="H1019" t="s">
        <v>6816</v>
      </c>
      <c r="I1019" t="s">
        <v>57</v>
      </c>
      <c r="J1019" t="s">
        <v>78</v>
      </c>
      <c r="K1019">
        <v>797172533.03250003</v>
      </c>
      <c r="L1019">
        <v>1486717486.5</v>
      </c>
      <c r="M1019">
        <v>1.3</v>
      </c>
      <c r="N1019">
        <v>1.8649883493155781</v>
      </c>
      <c r="O1019" t="s">
        <v>7146</v>
      </c>
      <c r="P1019" t="s">
        <v>7147</v>
      </c>
      <c r="Q1019" t="s">
        <v>2765</v>
      </c>
      <c r="R1019">
        <v>2</v>
      </c>
      <c r="S1019">
        <v>2</v>
      </c>
    </row>
    <row r="1020" spans="1:19" hidden="1" x14ac:dyDescent="0.3">
      <c r="A1020" t="s">
        <v>2760</v>
      </c>
      <c r="B1020" t="s">
        <v>2761</v>
      </c>
      <c r="C1020" t="s">
        <v>6622</v>
      </c>
      <c r="D1020" t="s">
        <v>2678</v>
      </c>
      <c r="E1020" t="s">
        <v>222</v>
      </c>
      <c r="F1020" t="s">
        <v>30</v>
      </c>
      <c r="G1020" s="6">
        <v>46022</v>
      </c>
      <c r="H1020" t="s">
        <v>6823</v>
      </c>
      <c r="I1020" t="s">
        <v>57</v>
      </c>
      <c r="J1020" t="s">
        <v>103</v>
      </c>
      <c r="K1020">
        <v>100</v>
      </c>
      <c r="L1020">
        <v>78.555000000000007</v>
      </c>
      <c r="M1020">
        <v>0.78555000000000008</v>
      </c>
      <c r="N1020">
        <v>0.78555000000000008</v>
      </c>
      <c r="O1020" t="s">
        <v>102</v>
      </c>
      <c r="P1020" t="s">
        <v>7148</v>
      </c>
      <c r="Q1020" t="s">
        <v>2771</v>
      </c>
      <c r="R1020">
        <v>2</v>
      </c>
      <c r="S1020">
        <v>2</v>
      </c>
    </row>
    <row r="1021" spans="1:19" hidden="1" x14ac:dyDescent="0.3">
      <c r="A1021" t="s">
        <v>2772</v>
      </c>
      <c r="B1021" t="s">
        <v>2773</v>
      </c>
      <c r="C1021" t="s">
        <v>6681</v>
      </c>
      <c r="D1021" t="s">
        <v>2736</v>
      </c>
      <c r="E1021" t="s">
        <v>233</v>
      </c>
      <c r="F1021" t="s">
        <v>30</v>
      </c>
      <c r="G1021" s="6">
        <v>45291</v>
      </c>
      <c r="H1021" t="s">
        <v>6811</v>
      </c>
      <c r="I1021" t="s">
        <v>57</v>
      </c>
      <c r="J1021" t="s">
        <v>47</v>
      </c>
      <c r="K1021">
        <v>87</v>
      </c>
      <c r="L1021">
        <v>95.5</v>
      </c>
      <c r="M1021">
        <v>1.0977011494252871</v>
      </c>
      <c r="N1021">
        <v>1.0977011494252871</v>
      </c>
      <c r="O1021" t="s">
        <v>1045</v>
      </c>
      <c r="P1021" t="s">
        <v>4640</v>
      </c>
      <c r="Q1021" t="s">
        <v>2775</v>
      </c>
      <c r="R1021">
        <v>2</v>
      </c>
      <c r="S1021">
        <v>2</v>
      </c>
    </row>
    <row r="1022" spans="1:19" hidden="1" x14ac:dyDescent="0.3">
      <c r="A1022" t="s">
        <v>2772</v>
      </c>
      <c r="B1022" t="s">
        <v>2773</v>
      </c>
      <c r="C1022" t="s">
        <v>6681</v>
      </c>
      <c r="D1022" t="s">
        <v>2736</v>
      </c>
      <c r="E1022" t="s">
        <v>233</v>
      </c>
      <c r="F1022" t="s">
        <v>30</v>
      </c>
      <c r="G1022" s="6">
        <v>45657</v>
      </c>
      <c r="H1022" t="s">
        <v>6816</v>
      </c>
      <c r="I1022" t="s">
        <v>57</v>
      </c>
      <c r="J1022" t="s">
        <v>78</v>
      </c>
      <c r="K1022">
        <v>87</v>
      </c>
      <c r="L1022">
        <v>91.75</v>
      </c>
      <c r="M1022">
        <v>1.054597701149425</v>
      </c>
      <c r="N1022">
        <v>1.054597701149425</v>
      </c>
      <c r="O1022" t="s">
        <v>1045</v>
      </c>
      <c r="P1022" t="s">
        <v>7149</v>
      </c>
      <c r="Q1022" t="s">
        <v>2779</v>
      </c>
      <c r="R1022">
        <v>2</v>
      </c>
      <c r="S1022">
        <v>2</v>
      </c>
    </row>
    <row r="1023" spans="1:19" hidden="1" x14ac:dyDescent="0.3">
      <c r="A1023" t="s">
        <v>2772</v>
      </c>
      <c r="B1023" t="s">
        <v>2773</v>
      </c>
      <c r="C1023" t="s">
        <v>6681</v>
      </c>
      <c r="D1023" t="s">
        <v>2736</v>
      </c>
      <c r="E1023" t="s">
        <v>233</v>
      </c>
      <c r="F1023" t="s">
        <v>30</v>
      </c>
      <c r="G1023" s="6">
        <v>46022</v>
      </c>
      <c r="H1023" t="s">
        <v>6823</v>
      </c>
      <c r="I1023" t="s">
        <v>57</v>
      </c>
      <c r="J1023" t="s">
        <v>103</v>
      </c>
      <c r="K1023">
        <v>90</v>
      </c>
      <c r="L1023">
        <v>95</v>
      </c>
      <c r="M1023">
        <v>1.055555555555556</v>
      </c>
      <c r="N1023">
        <v>1.055555555555556</v>
      </c>
      <c r="O1023" t="s">
        <v>256</v>
      </c>
      <c r="P1023" t="s">
        <v>838</v>
      </c>
      <c r="Q1023" t="s">
        <v>2783</v>
      </c>
      <c r="R1023">
        <v>2</v>
      </c>
      <c r="S1023">
        <v>2</v>
      </c>
    </row>
    <row r="1024" spans="1:19" hidden="1" x14ac:dyDescent="0.3">
      <c r="A1024" t="s">
        <v>2784</v>
      </c>
      <c r="B1024" t="s">
        <v>2785</v>
      </c>
      <c r="C1024" t="s">
        <v>6622</v>
      </c>
      <c r="D1024" t="s">
        <v>129</v>
      </c>
      <c r="E1024" t="s">
        <v>233</v>
      </c>
      <c r="F1024" t="s">
        <v>30</v>
      </c>
      <c r="G1024" s="6">
        <v>45291</v>
      </c>
      <c r="H1024" t="s">
        <v>6811</v>
      </c>
      <c r="I1024" t="s">
        <v>57</v>
      </c>
      <c r="J1024" t="s">
        <v>47</v>
      </c>
      <c r="K1024">
        <v>100</v>
      </c>
      <c r="L1024">
        <v>98.616666666666674</v>
      </c>
      <c r="M1024">
        <v>0.98616666666666675</v>
      </c>
      <c r="N1024">
        <v>0.98616666666666675</v>
      </c>
      <c r="O1024" t="s">
        <v>102</v>
      </c>
      <c r="P1024" t="s">
        <v>7150</v>
      </c>
      <c r="Q1024" t="s">
        <v>2788</v>
      </c>
      <c r="R1024">
        <v>2</v>
      </c>
      <c r="S1024">
        <v>2</v>
      </c>
    </row>
    <row r="1025" spans="1:19" hidden="1" x14ac:dyDescent="0.3">
      <c r="A1025" t="s">
        <v>2784</v>
      </c>
      <c r="B1025" t="s">
        <v>2785</v>
      </c>
      <c r="C1025" t="s">
        <v>6622</v>
      </c>
      <c r="D1025" t="s">
        <v>129</v>
      </c>
      <c r="E1025" t="s">
        <v>233</v>
      </c>
      <c r="F1025" t="s">
        <v>30</v>
      </c>
      <c r="G1025" s="6">
        <v>45657</v>
      </c>
      <c r="H1025" t="s">
        <v>6816</v>
      </c>
      <c r="I1025" t="s">
        <v>57</v>
      </c>
      <c r="J1025" t="s">
        <v>78</v>
      </c>
      <c r="K1025">
        <v>100</v>
      </c>
      <c r="L1025">
        <v>73.857500000000002</v>
      </c>
      <c r="M1025">
        <v>0.73857499999999998</v>
      </c>
      <c r="N1025">
        <v>0.73857499999999998</v>
      </c>
      <c r="O1025" t="s">
        <v>102</v>
      </c>
      <c r="P1025" t="s">
        <v>7151</v>
      </c>
      <c r="Q1025" t="s">
        <v>2792</v>
      </c>
      <c r="R1025">
        <v>2</v>
      </c>
      <c r="S1025">
        <v>2</v>
      </c>
    </row>
    <row r="1026" spans="1:19" hidden="1" x14ac:dyDescent="0.3">
      <c r="A1026" t="s">
        <v>2784</v>
      </c>
      <c r="B1026" t="s">
        <v>2785</v>
      </c>
      <c r="C1026" t="s">
        <v>6622</v>
      </c>
      <c r="D1026" t="s">
        <v>129</v>
      </c>
      <c r="E1026" t="s">
        <v>233</v>
      </c>
      <c r="F1026" t="s">
        <v>30</v>
      </c>
      <c r="G1026" s="6">
        <v>46022</v>
      </c>
      <c r="H1026" t="s">
        <v>6823</v>
      </c>
      <c r="I1026" t="s">
        <v>57</v>
      </c>
      <c r="J1026" t="s">
        <v>103</v>
      </c>
      <c r="K1026">
        <v>100</v>
      </c>
      <c r="L1026">
        <v>104.605</v>
      </c>
      <c r="M1026">
        <v>1.0460499999999999</v>
      </c>
      <c r="N1026">
        <v>1.0460499999999999</v>
      </c>
      <c r="O1026" t="s">
        <v>102</v>
      </c>
      <c r="P1026" t="s">
        <v>5985</v>
      </c>
      <c r="Q1026" t="s">
        <v>2799</v>
      </c>
      <c r="R1026">
        <v>2</v>
      </c>
      <c r="S1026">
        <v>2</v>
      </c>
    </row>
    <row r="1027" spans="1:19" hidden="1" x14ac:dyDescent="0.3">
      <c r="A1027" t="s">
        <v>2800</v>
      </c>
      <c r="B1027" t="s">
        <v>2801</v>
      </c>
      <c r="D1027" t="s">
        <v>2688</v>
      </c>
      <c r="E1027" t="s">
        <v>222</v>
      </c>
      <c r="F1027" t="s">
        <v>30</v>
      </c>
      <c r="G1027" s="6">
        <v>45291</v>
      </c>
      <c r="H1027" t="s">
        <v>6811</v>
      </c>
      <c r="I1027" t="s">
        <v>57</v>
      </c>
      <c r="J1027" t="s">
        <v>47</v>
      </c>
      <c r="K1027">
        <v>100</v>
      </c>
      <c r="L1027">
        <v>100</v>
      </c>
      <c r="M1027">
        <v>1</v>
      </c>
      <c r="N1027">
        <v>1</v>
      </c>
      <c r="O1027" t="s">
        <v>102</v>
      </c>
      <c r="P1027" t="s">
        <v>102</v>
      </c>
      <c r="Q1027" t="s">
        <v>2802</v>
      </c>
      <c r="R1027">
        <v>2</v>
      </c>
      <c r="S1027">
        <v>2</v>
      </c>
    </row>
    <row r="1028" spans="1:19" hidden="1" x14ac:dyDescent="0.3">
      <c r="A1028" t="s">
        <v>2803</v>
      </c>
      <c r="B1028" t="s">
        <v>2804</v>
      </c>
      <c r="C1028" t="s">
        <v>6681</v>
      </c>
      <c r="D1028" t="s">
        <v>2688</v>
      </c>
      <c r="E1028" t="s">
        <v>222</v>
      </c>
      <c r="F1028" t="s">
        <v>30</v>
      </c>
      <c r="G1028" s="6">
        <v>45291</v>
      </c>
      <c r="H1028" t="s">
        <v>6811</v>
      </c>
      <c r="I1028" t="s">
        <v>57</v>
      </c>
      <c r="J1028" t="s">
        <v>47</v>
      </c>
      <c r="K1028">
        <v>100</v>
      </c>
      <c r="L1028">
        <v>100</v>
      </c>
      <c r="M1028">
        <v>1</v>
      </c>
      <c r="N1028">
        <v>1</v>
      </c>
      <c r="O1028" t="s">
        <v>102</v>
      </c>
      <c r="P1028" t="s">
        <v>102</v>
      </c>
      <c r="Q1028" t="s">
        <v>2805</v>
      </c>
      <c r="R1028">
        <v>2</v>
      </c>
      <c r="S1028">
        <v>2</v>
      </c>
    </row>
    <row r="1029" spans="1:19" hidden="1" x14ac:dyDescent="0.3">
      <c r="A1029" t="s">
        <v>2803</v>
      </c>
      <c r="B1029" t="s">
        <v>2804</v>
      </c>
      <c r="C1029" t="s">
        <v>6681</v>
      </c>
      <c r="D1029" t="s">
        <v>2688</v>
      </c>
      <c r="E1029" t="s">
        <v>222</v>
      </c>
      <c r="F1029" t="s">
        <v>30</v>
      </c>
      <c r="G1029" s="6">
        <v>45657</v>
      </c>
      <c r="H1029" t="s">
        <v>6816</v>
      </c>
      <c r="I1029" t="s">
        <v>57</v>
      </c>
      <c r="J1029" t="s">
        <v>78</v>
      </c>
      <c r="K1029">
        <v>100</v>
      </c>
      <c r="L1029">
        <v>100</v>
      </c>
      <c r="M1029">
        <v>1</v>
      </c>
      <c r="N1029">
        <v>1</v>
      </c>
      <c r="O1029" t="s">
        <v>102</v>
      </c>
      <c r="P1029" t="s">
        <v>102</v>
      </c>
      <c r="Q1029" t="s">
        <v>2807</v>
      </c>
      <c r="R1029">
        <v>2</v>
      </c>
      <c r="S1029">
        <v>2</v>
      </c>
    </row>
    <row r="1030" spans="1:19" hidden="1" x14ac:dyDescent="0.3">
      <c r="A1030" t="s">
        <v>2803</v>
      </c>
      <c r="B1030" t="s">
        <v>2804</v>
      </c>
      <c r="C1030" t="s">
        <v>6681</v>
      </c>
      <c r="D1030" t="s">
        <v>2688</v>
      </c>
      <c r="E1030" t="s">
        <v>222</v>
      </c>
      <c r="F1030" t="s">
        <v>30</v>
      </c>
      <c r="G1030" s="6">
        <v>46022</v>
      </c>
      <c r="H1030" t="s">
        <v>6823</v>
      </c>
      <c r="I1030" t="s">
        <v>57</v>
      </c>
      <c r="J1030" t="s">
        <v>103</v>
      </c>
      <c r="K1030">
        <v>100</v>
      </c>
      <c r="L1030">
        <v>100</v>
      </c>
      <c r="M1030">
        <v>1</v>
      </c>
      <c r="N1030">
        <v>1</v>
      </c>
      <c r="O1030" t="s">
        <v>102</v>
      </c>
      <c r="P1030" t="s">
        <v>102</v>
      </c>
      <c r="Q1030" t="s">
        <v>2809</v>
      </c>
      <c r="R1030">
        <v>2</v>
      </c>
      <c r="S1030">
        <v>2</v>
      </c>
    </row>
    <row r="1031" spans="1:19" hidden="1" x14ac:dyDescent="0.3">
      <c r="A1031" t="s">
        <v>2810</v>
      </c>
      <c r="B1031" t="s">
        <v>2811</v>
      </c>
      <c r="C1031" t="s">
        <v>6622</v>
      </c>
      <c r="D1031" t="s">
        <v>225</v>
      </c>
      <c r="E1031" t="s">
        <v>222</v>
      </c>
      <c r="F1031" t="s">
        <v>30</v>
      </c>
      <c r="G1031" s="6">
        <v>44926</v>
      </c>
      <c r="H1031" t="s">
        <v>6819</v>
      </c>
      <c r="I1031" t="s">
        <v>57</v>
      </c>
      <c r="J1031" t="s">
        <v>90</v>
      </c>
      <c r="K1031">
        <v>8032</v>
      </c>
      <c r="L1031">
        <v>12070</v>
      </c>
      <c r="M1031">
        <v>1.3</v>
      </c>
      <c r="N1031">
        <v>1.502739043824701</v>
      </c>
      <c r="O1031" t="s">
        <v>7152</v>
      </c>
      <c r="P1031" t="s">
        <v>7153</v>
      </c>
      <c r="Q1031" t="s">
        <v>5990</v>
      </c>
      <c r="R1031">
        <v>2</v>
      </c>
      <c r="S1031">
        <v>2</v>
      </c>
    </row>
    <row r="1032" spans="1:19" hidden="1" x14ac:dyDescent="0.3">
      <c r="A1032" t="s">
        <v>2810</v>
      </c>
      <c r="B1032" t="s">
        <v>2811</v>
      </c>
      <c r="C1032" t="s">
        <v>6622</v>
      </c>
      <c r="D1032" t="s">
        <v>225</v>
      </c>
      <c r="E1032" t="s">
        <v>222</v>
      </c>
      <c r="F1032" t="s">
        <v>30</v>
      </c>
      <c r="G1032" s="6">
        <v>45291</v>
      </c>
      <c r="H1032" t="s">
        <v>6811</v>
      </c>
      <c r="I1032" t="s">
        <v>57</v>
      </c>
      <c r="J1032" t="s">
        <v>47</v>
      </c>
      <c r="K1032">
        <v>17434.856986359271</v>
      </c>
      <c r="L1032">
        <v>19786.514691999979</v>
      </c>
      <c r="M1032">
        <v>1.1348825348828839</v>
      </c>
      <c r="N1032">
        <v>1.1348825348828839</v>
      </c>
      <c r="O1032" t="s">
        <v>7154</v>
      </c>
      <c r="P1032" t="s">
        <v>7155</v>
      </c>
      <c r="Q1032" t="s">
        <v>2815</v>
      </c>
      <c r="R1032">
        <v>2</v>
      </c>
      <c r="S1032">
        <v>2</v>
      </c>
    </row>
    <row r="1033" spans="1:19" hidden="1" x14ac:dyDescent="0.3">
      <c r="A1033" t="s">
        <v>2810</v>
      </c>
      <c r="B1033" t="s">
        <v>2817</v>
      </c>
      <c r="C1033" t="s">
        <v>6622</v>
      </c>
      <c r="D1033" t="s">
        <v>225</v>
      </c>
      <c r="E1033" t="s">
        <v>222</v>
      </c>
      <c r="F1033" t="s">
        <v>30</v>
      </c>
      <c r="G1033" s="6">
        <v>45657</v>
      </c>
      <c r="H1033" t="s">
        <v>6816</v>
      </c>
      <c r="I1033" t="s">
        <v>57</v>
      </c>
      <c r="J1033" t="s">
        <v>78</v>
      </c>
      <c r="K1033">
        <v>20573.534909999998</v>
      </c>
      <c r="L1033">
        <v>22085.070961000001</v>
      </c>
      <c r="M1033">
        <v>1.0734699242309249</v>
      </c>
      <c r="N1033">
        <v>1.0734699242309249</v>
      </c>
      <c r="O1033" t="s">
        <v>7156</v>
      </c>
      <c r="P1033" t="s">
        <v>7157</v>
      </c>
      <c r="Q1033" t="s">
        <v>2818</v>
      </c>
      <c r="R1033">
        <v>2</v>
      </c>
      <c r="S1033">
        <v>2</v>
      </c>
    </row>
    <row r="1034" spans="1:19" hidden="1" x14ac:dyDescent="0.3">
      <c r="A1034" t="s">
        <v>2810</v>
      </c>
      <c r="B1034" t="s">
        <v>2817</v>
      </c>
      <c r="C1034" t="s">
        <v>6622</v>
      </c>
      <c r="D1034" t="s">
        <v>225</v>
      </c>
      <c r="E1034" t="s">
        <v>222</v>
      </c>
      <c r="F1034" t="s">
        <v>30</v>
      </c>
      <c r="G1034" s="6">
        <v>46022</v>
      </c>
      <c r="H1034" t="s">
        <v>6823</v>
      </c>
      <c r="I1034" t="s">
        <v>57</v>
      </c>
      <c r="J1034" t="s">
        <v>103</v>
      </c>
      <c r="K1034">
        <v>95</v>
      </c>
      <c r="L1034">
        <v>117.69</v>
      </c>
      <c r="M1034">
        <v>1.238842105263158</v>
      </c>
      <c r="N1034">
        <v>1.238842105263158</v>
      </c>
      <c r="O1034" t="s">
        <v>838</v>
      </c>
      <c r="P1034" t="s">
        <v>7158</v>
      </c>
      <c r="Q1034" t="s">
        <v>2824</v>
      </c>
      <c r="R1034">
        <v>2</v>
      </c>
      <c r="S1034">
        <v>2</v>
      </c>
    </row>
    <row r="1035" spans="1:19" hidden="1" x14ac:dyDescent="0.3">
      <c r="A1035" t="s">
        <v>2825</v>
      </c>
      <c r="B1035" t="s">
        <v>2826</v>
      </c>
      <c r="C1035" t="s">
        <v>6622</v>
      </c>
      <c r="D1035" t="s">
        <v>225</v>
      </c>
      <c r="E1035" t="s">
        <v>222</v>
      </c>
      <c r="F1035" t="s">
        <v>108</v>
      </c>
      <c r="G1035" s="6">
        <v>45291</v>
      </c>
      <c r="H1035" t="s">
        <v>6811</v>
      </c>
      <c r="I1035" t="s">
        <v>57</v>
      </c>
      <c r="J1035" t="s">
        <v>47</v>
      </c>
      <c r="K1035">
        <v>9859.4567643531263</v>
      </c>
      <c r="L1035">
        <v>4607.0032839999994</v>
      </c>
      <c r="M1035">
        <v>1.3</v>
      </c>
      <c r="N1035">
        <v>2.1401019614192069</v>
      </c>
      <c r="O1035" t="s">
        <v>7159</v>
      </c>
      <c r="P1035" t="s">
        <v>7160</v>
      </c>
      <c r="Q1035" t="s">
        <v>2828</v>
      </c>
      <c r="R1035">
        <v>2</v>
      </c>
      <c r="S1035">
        <v>2</v>
      </c>
    </row>
    <row r="1036" spans="1:19" hidden="1" x14ac:dyDescent="0.3">
      <c r="A1036" t="s">
        <v>2825</v>
      </c>
      <c r="B1036" t="s">
        <v>2826</v>
      </c>
      <c r="C1036" t="s">
        <v>6622</v>
      </c>
      <c r="D1036" t="s">
        <v>225</v>
      </c>
      <c r="E1036" t="s">
        <v>222</v>
      </c>
      <c r="F1036" t="s">
        <v>108</v>
      </c>
      <c r="G1036" s="6">
        <v>45657</v>
      </c>
      <c r="H1036" t="s">
        <v>6816</v>
      </c>
      <c r="I1036" t="s">
        <v>57</v>
      </c>
      <c r="J1036" t="s">
        <v>78</v>
      </c>
      <c r="K1036">
        <v>2284.2012005000001</v>
      </c>
      <c r="L1036">
        <v>1140.2437525</v>
      </c>
      <c r="M1036">
        <v>1.3</v>
      </c>
      <c r="N1036">
        <v>2.0032569312411121</v>
      </c>
      <c r="O1036" t="s">
        <v>7161</v>
      </c>
      <c r="P1036" t="s">
        <v>7162</v>
      </c>
      <c r="Q1036" t="s">
        <v>2830</v>
      </c>
      <c r="R1036">
        <v>2</v>
      </c>
      <c r="S1036">
        <v>2</v>
      </c>
    </row>
    <row r="1037" spans="1:19" hidden="1" x14ac:dyDescent="0.3">
      <c r="A1037" t="s">
        <v>2825</v>
      </c>
      <c r="B1037" t="s">
        <v>2826</v>
      </c>
      <c r="C1037" t="s">
        <v>6622</v>
      </c>
      <c r="D1037" t="s">
        <v>225</v>
      </c>
      <c r="E1037" t="s">
        <v>98</v>
      </c>
      <c r="F1037" t="s">
        <v>30</v>
      </c>
      <c r="G1037" s="6">
        <v>46022</v>
      </c>
      <c r="H1037" t="s">
        <v>6823</v>
      </c>
      <c r="I1037" t="s">
        <v>57</v>
      </c>
      <c r="J1037" t="s">
        <v>103</v>
      </c>
      <c r="K1037">
        <v>100</v>
      </c>
      <c r="L1037">
        <v>107.11</v>
      </c>
      <c r="M1037">
        <v>1.0710999999999999</v>
      </c>
      <c r="N1037">
        <v>1.0710999999999999</v>
      </c>
      <c r="O1037" t="s">
        <v>102</v>
      </c>
      <c r="P1037" t="s">
        <v>2832</v>
      </c>
      <c r="Q1037" t="s">
        <v>2833</v>
      </c>
      <c r="R1037">
        <v>2</v>
      </c>
      <c r="S1037">
        <v>2</v>
      </c>
    </row>
    <row r="1038" spans="1:19" hidden="1" x14ac:dyDescent="0.3">
      <c r="A1038" t="s">
        <v>2834</v>
      </c>
      <c r="B1038" t="s">
        <v>2835</v>
      </c>
      <c r="D1038" t="s">
        <v>266</v>
      </c>
      <c r="E1038" t="s">
        <v>29</v>
      </c>
      <c r="F1038" t="s">
        <v>30</v>
      </c>
      <c r="G1038" s="6">
        <v>45291</v>
      </c>
      <c r="H1038" t="s">
        <v>6811</v>
      </c>
      <c r="I1038" t="s">
        <v>57</v>
      </c>
      <c r="J1038" t="s">
        <v>47</v>
      </c>
      <c r="K1038">
        <v>92</v>
      </c>
      <c r="L1038">
        <v>95.577500000000001</v>
      </c>
      <c r="M1038">
        <v>1.038885869565217</v>
      </c>
      <c r="N1038">
        <v>1.038885869565217</v>
      </c>
      <c r="O1038" t="s">
        <v>4634</v>
      </c>
      <c r="P1038" t="s">
        <v>7163</v>
      </c>
      <c r="Q1038" t="s">
        <v>2847</v>
      </c>
      <c r="R1038">
        <v>2</v>
      </c>
      <c r="S1038">
        <v>2</v>
      </c>
    </row>
    <row r="1039" spans="1:19" hidden="1" x14ac:dyDescent="0.3">
      <c r="A1039" t="s">
        <v>2834</v>
      </c>
      <c r="B1039" t="s">
        <v>2835</v>
      </c>
      <c r="D1039" t="s">
        <v>270</v>
      </c>
      <c r="E1039" t="s">
        <v>29</v>
      </c>
      <c r="F1039" t="s">
        <v>30</v>
      </c>
      <c r="G1039" s="6">
        <v>45657</v>
      </c>
      <c r="H1039" t="s">
        <v>6816</v>
      </c>
      <c r="I1039" t="s">
        <v>57</v>
      </c>
      <c r="J1039" t="s">
        <v>78</v>
      </c>
      <c r="K1039">
        <v>84.333333333333329</v>
      </c>
      <c r="L1039">
        <v>16.416666666666671</v>
      </c>
      <c r="M1039">
        <v>0.1946640316205534</v>
      </c>
      <c r="N1039">
        <v>0.1946640316205534</v>
      </c>
      <c r="O1039" t="s">
        <v>7164</v>
      </c>
      <c r="P1039" t="s">
        <v>7165</v>
      </c>
      <c r="Q1039" t="s">
        <v>2859</v>
      </c>
      <c r="R1039">
        <v>2</v>
      </c>
      <c r="S1039">
        <v>2</v>
      </c>
    </row>
    <row r="1040" spans="1:19" hidden="1" x14ac:dyDescent="0.3">
      <c r="A1040" t="s">
        <v>2860</v>
      </c>
      <c r="B1040" t="s">
        <v>2861</v>
      </c>
      <c r="C1040" t="s">
        <v>6622</v>
      </c>
      <c r="D1040" t="s">
        <v>2862</v>
      </c>
      <c r="E1040" t="s">
        <v>222</v>
      </c>
      <c r="F1040" t="s">
        <v>30</v>
      </c>
      <c r="G1040" s="6">
        <v>44926</v>
      </c>
      <c r="H1040" t="s">
        <v>6819</v>
      </c>
      <c r="I1040" t="s">
        <v>57</v>
      </c>
      <c r="J1040" t="s">
        <v>90</v>
      </c>
      <c r="K1040">
        <v>10000</v>
      </c>
      <c r="L1040">
        <v>10345.5</v>
      </c>
      <c r="M1040">
        <v>1.0345500000000001</v>
      </c>
      <c r="N1040">
        <v>1.0345500000000001</v>
      </c>
      <c r="O1040" t="s">
        <v>7166</v>
      </c>
      <c r="P1040" t="s">
        <v>7167</v>
      </c>
      <c r="Q1040" t="s">
        <v>2864</v>
      </c>
      <c r="R1040">
        <v>2</v>
      </c>
      <c r="S1040">
        <v>2</v>
      </c>
    </row>
    <row r="1041" spans="1:19" hidden="1" x14ac:dyDescent="0.3">
      <c r="A1041" t="s">
        <v>2860</v>
      </c>
      <c r="B1041" t="s">
        <v>2861</v>
      </c>
      <c r="C1041" t="s">
        <v>6622</v>
      </c>
      <c r="D1041" t="s">
        <v>2862</v>
      </c>
      <c r="E1041" t="s">
        <v>222</v>
      </c>
      <c r="F1041" t="s">
        <v>30</v>
      </c>
      <c r="G1041" s="6">
        <v>45291</v>
      </c>
      <c r="H1041" t="s">
        <v>6811</v>
      </c>
      <c r="I1041" t="s">
        <v>57</v>
      </c>
      <c r="J1041" t="s">
        <v>47</v>
      </c>
      <c r="K1041">
        <v>11003</v>
      </c>
      <c r="L1041">
        <v>11595.5</v>
      </c>
      <c r="M1041">
        <v>1.053848950286286</v>
      </c>
      <c r="N1041">
        <v>1.053848950286286</v>
      </c>
      <c r="O1041" t="s">
        <v>7168</v>
      </c>
      <c r="P1041" t="s">
        <v>7169</v>
      </c>
      <c r="Q1041" t="s">
        <v>2866</v>
      </c>
      <c r="R1041">
        <v>2</v>
      </c>
      <c r="S1041">
        <v>2</v>
      </c>
    </row>
    <row r="1042" spans="1:19" hidden="1" x14ac:dyDescent="0.3">
      <c r="A1042" t="s">
        <v>2860</v>
      </c>
      <c r="B1042" t="s">
        <v>2861</v>
      </c>
      <c r="C1042" t="s">
        <v>6622</v>
      </c>
      <c r="D1042" t="s">
        <v>2862</v>
      </c>
      <c r="E1042" t="s">
        <v>222</v>
      </c>
      <c r="F1042" t="s">
        <v>30</v>
      </c>
      <c r="G1042" s="6">
        <v>45657</v>
      </c>
      <c r="H1042" t="s">
        <v>6816</v>
      </c>
      <c r="I1042" t="s">
        <v>57</v>
      </c>
      <c r="J1042" t="s">
        <v>78</v>
      </c>
      <c r="K1042">
        <v>12132.5</v>
      </c>
      <c r="L1042">
        <v>11778</v>
      </c>
      <c r="M1042">
        <v>0.97078096023078508</v>
      </c>
      <c r="N1042">
        <v>0.97078096023078508</v>
      </c>
      <c r="O1042" t="s">
        <v>7170</v>
      </c>
      <c r="P1042" t="s">
        <v>7171</v>
      </c>
      <c r="Q1042" t="s">
        <v>2868</v>
      </c>
      <c r="R1042">
        <v>2</v>
      </c>
      <c r="S1042">
        <v>2</v>
      </c>
    </row>
    <row r="1043" spans="1:19" hidden="1" x14ac:dyDescent="0.3">
      <c r="A1043" t="s">
        <v>2860</v>
      </c>
      <c r="B1043" t="s">
        <v>2861</v>
      </c>
      <c r="C1043" t="s">
        <v>6622</v>
      </c>
      <c r="D1043" t="s">
        <v>2862</v>
      </c>
      <c r="E1043" t="s">
        <v>222</v>
      </c>
      <c r="F1043" t="s">
        <v>30</v>
      </c>
      <c r="G1043" s="6">
        <v>46022</v>
      </c>
      <c r="H1043" t="s">
        <v>6823</v>
      </c>
      <c r="I1043" t="s">
        <v>57</v>
      </c>
      <c r="J1043" t="s">
        <v>103</v>
      </c>
      <c r="K1043">
        <v>100</v>
      </c>
      <c r="L1043">
        <v>103.26</v>
      </c>
      <c r="M1043">
        <v>1.0326</v>
      </c>
      <c r="N1043">
        <v>1.0326</v>
      </c>
      <c r="O1043" t="s">
        <v>102</v>
      </c>
      <c r="P1043" t="s">
        <v>7172</v>
      </c>
      <c r="Q1043" t="s">
        <v>2874</v>
      </c>
      <c r="R1043">
        <v>2</v>
      </c>
      <c r="S1043">
        <v>2</v>
      </c>
    </row>
    <row r="1044" spans="1:19" hidden="1" x14ac:dyDescent="0.3">
      <c r="A1044" t="s">
        <v>2875</v>
      </c>
      <c r="B1044" t="s">
        <v>2876</v>
      </c>
      <c r="D1044" t="s">
        <v>2862</v>
      </c>
      <c r="E1044" t="s">
        <v>222</v>
      </c>
      <c r="F1044" t="s">
        <v>30</v>
      </c>
      <c r="G1044" s="6">
        <v>45291</v>
      </c>
      <c r="H1044" t="s">
        <v>6811</v>
      </c>
      <c r="I1044" t="s">
        <v>57</v>
      </c>
      <c r="J1044" t="s">
        <v>47</v>
      </c>
      <c r="K1044">
        <v>24692.058551499998</v>
      </c>
      <c r="L1044">
        <v>25547.316026</v>
      </c>
      <c r="M1044">
        <v>1.034636945020853</v>
      </c>
      <c r="N1044">
        <v>1.034636945020853</v>
      </c>
      <c r="O1044" t="s">
        <v>7173</v>
      </c>
      <c r="P1044" t="s">
        <v>7174</v>
      </c>
      <c r="Q1044" t="s">
        <v>2878</v>
      </c>
      <c r="R1044">
        <v>2</v>
      </c>
      <c r="S1044">
        <v>2</v>
      </c>
    </row>
    <row r="1045" spans="1:19" hidden="1" x14ac:dyDescent="0.3">
      <c r="A1045" t="s">
        <v>2875</v>
      </c>
      <c r="B1045" t="s">
        <v>2876</v>
      </c>
      <c r="D1045" t="s">
        <v>2862</v>
      </c>
      <c r="E1045" t="s">
        <v>222</v>
      </c>
      <c r="F1045" t="s">
        <v>30</v>
      </c>
      <c r="G1045" s="6">
        <v>45657</v>
      </c>
      <c r="H1045" t="s">
        <v>6816</v>
      </c>
      <c r="I1045" t="s">
        <v>57</v>
      </c>
      <c r="J1045" t="s">
        <v>78</v>
      </c>
      <c r="K1045">
        <v>14848.134935</v>
      </c>
      <c r="L1045">
        <v>14264.2764565</v>
      </c>
      <c r="M1045">
        <v>0.96067799214810945</v>
      </c>
      <c r="N1045">
        <v>0.96067799214810945</v>
      </c>
      <c r="O1045" t="s">
        <v>7175</v>
      </c>
      <c r="P1045" t="s">
        <v>7176</v>
      </c>
      <c r="Q1045" t="s">
        <v>2880</v>
      </c>
      <c r="R1045">
        <v>2</v>
      </c>
      <c r="S1045">
        <v>2</v>
      </c>
    </row>
    <row r="1046" spans="1:19" hidden="1" x14ac:dyDescent="0.3">
      <c r="A1046" t="s">
        <v>2881</v>
      </c>
      <c r="B1046" t="s">
        <v>2882</v>
      </c>
      <c r="C1046" t="s">
        <v>6622</v>
      </c>
      <c r="D1046" t="s">
        <v>2862</v>
      </c>
      <c r="E1046" t="s">
        <v>222</v>
      </c>
      <c r="F1046" t="s">
        <v>30</v>
      </c>
      <c r="G1046" s="6">
        <v>44926</v>
      </c>
      <c r="H1046" t="s">
        <v>6819</v>
      </c>
      <c r="I1046" t="s">
        <v>57</v>
      </c>
      <c r="J1046" t="s">
        <v>90</v>
      </c>
      <c r="K1046">
        <v>1206</v>
      </c>
      <c r="L1046">
        <v>1226</v>
      </c>
      <c r="M1046">
        <v>1.016583747927031</v>
      </c>
      <c r="N1046">
        <v>1.016583747927031</v>
      </c>
      <c r="O1046" t="s">
        <v>7177</v>
      </c>
      <c r="P1046" t="s">
        <v>7178</v>
      </c>
      <c r="Q1046" t="s">
        <v>2884</v>
      </c>
      <c r="R1046">
        <v>2</v>
      </c>
      <c r="S1046">
        <v>2</v>
      </c>
    </row>
    <row r="1047" spans="1:19" hidden="1" x14ac:dyDescent="0.3">
      <c r="A1047" t="s">
        <v>2881</v>
      </c>
      <c r="B1047" t="s">
        <v>2882</v>
      </c>
      <c r="C1047" t="s">
        <v>6622</v>
      </c>
      <c r="D1047" t="s">
        <v>2862</v>
      </c>
      <c r="E1047" t="s">
        <v>222</v>
      </c>
      <c r="F1047" t="s">
        <v>30</v>
      </c>
      <c r="G1047" s="6">
        <v>45291</v>
      </c>
      <c r="H1047" t="s">
        <v>6811</v>
      </c>
      <c r="I1047" t="s">
        <v>57</v>
      </c>
      <c r="J1047" t="s">
        <v>47</v>
      </c>
      <c r="K1047">
        <v>1298</v>
      </c>
      <c r="L1047">
        <v>1408.5</v>
      </c>
      <c r="M1047">
        <v>1.085130970724191</v>
      </c>
      <c r="N1047">
        <v>1.085130970724191</v>
      </c>
      <c r="O1047" t="s">
        <v>7179</v>
      </c>
      <c r="P1047" t="s">
        <v>1159</v>
      </c>
      <c r="Q1047" t="s">
        <v>2886</v>
      </c>
      <c r="R1047">
        <v>2</v>
      </c>
      <c r="S1047">
        <v>2</v>
      </c>
    </row>
    <row r="1048" spans="1:19" hidden="1" x14ac:dyDescent="0.3">
      <c r="A1048" t="s">
        <v>2881</v>
      </c>
      <c r="B1048" t="s">
        <v>2882</v>
      </c>
      <c r="C1048" t="s">
        <v>6622</v>
      </c>
      <c r="D1048" t="s">
        <v>2862</v>
      </c>
      <c r="E1048" t="s">
        <v>222</v>
      </c>
      <c r="F1048" t="s">
        <v>30</v>
      </c>
      <c r="G1048" s="6">
        <v>45657</v>
      </c>
      <c r="H1048" t="s">
        <v>6816</v>
      </c>
      <c r="I1048" t="s">
        <v>57</v>
      </c>
      <c r="J1048" t="s">
        <v>78</v>
      </c>
      <c r="K1048">
        <v>1291.5</v>
      </c>
      <c r="L1048">
        <v>1271</v>
      </c>
      <c r="M1048">
        <v>0.98412698412698407</v>
      </c>
      <c r="N1048">
        <v>0.98412698412698407</v>
      </c>
      <c r="O1048" t="s">
        <v>7180</v>
      </c>
      <c r="P1048" t="s">
        <v>1153</v>
      </c>
      <c r="Q1048" t="s">
        <v>2888</v>
      </c>
      <c r="R1048">
        <v>2</v>
      </c>
      <c r="S1048">
        <v>2</v>
      </c>
    </row>
    <row r="1049" spans="1:19" hidden="1" x14ac:dyDescent="0.3">
      <c r="A1049" t="s">
        <v>2881</v>
      </c>
      <c r="B1049" t="s">
        <v>2882</v>
      </c>
      <c r="C1049" t="s">
        <v>6622</v>
      </c>
      <c r="D1049" t="s">
        <v>2862</v>
      </c>
      <c r="E1049" t="s">
        <v>222</v>
      </c>
      <c r="F1049" t="s">
        <v>30</v>
      </c>
      <c r="G1049" s="6">
        <v>46022</v>
      </c>
      <c r="H1049" t="s">
        <v>6823</v>
      </c>
      <c r="I1049" t="s">
        <v>57</v>
      </c>
      <c r="J1049" t="s">
        <v>103</v>
      </c>
      <c r="K1049">
        <v>100</v>
      </c>
      <c r="L1049">
        <v>105.94</v>
      </c>
      <c r="M1049">
        <v>1.0593999999999999</v>
      </c>
      <c r="N1049">
        <v>1.0593999999999999</v>
      </c>
      <c r="O1049" t="s">
        <v>102</v>
      </c>
      <c r="P1049" t="s">
        <v>7181</v>
      </c>
      <c r="Q1049" t="s">
        <v>2894</v>
      </c>
      <c r="R1049">
        <v>2</v>
      </c>
      <c r="S1049">
        <v>2</v>
      </c>
    </row>
    <row r="1050" spans="1:19" hidden="1" x14ac:dyDescent="0.3">
      <c r="A1050" t="s">
        <v>2895</v>
      </c>
      <c r="B1050" t="s">
        <v>2896</v>
      </c>
      <c r="C1050" t="s">
        <v>6622</v>
      </c>
      <c r="D1050" t="s">
        <v>2862</v>
      </c>
      <c r="E1050" t="s">
        <v>222</v>
      </c>
      <c r="F1050" t="s">
        <v>30</v>
      </c>
      <c r="G1050" s="6">
        <v>44926</v>
      </c>
      <c r="H1050" t="s">
        <v>6819</v>
      </c>
      <c r="I1050" t="s">
        <v>57</v>
      </c>
      <c r="J1050" t="s">
        <v>90</v>
      </c>
      <c r="K1050">
        <v>7643</v>
      </c>
      <c r="L1050">
        <v>7733.5</v>
      </c>
      <c r="M1050">
        <v>1.0118409001700901</v>
      </c>
      <c r="N1050">
        <v>1.0118409001700901</v>
      </c>
      <c r="O1050" t="s">
        <v>7182</v>
      </c>
      <c r="P1050" t="s">
        <v>7183</v>
      </c>
      <c r="Q1050" t="s">
        <v>2898</v>
      </c>
      <c r="R1050">
        <v>2</v>
      </c>
      <c r="S1050">
        <v>2</v>
      </c>
    </row>
    <row r="1051" spans="1:19" hidden="1" x14ac:dyDescent="0.3">
      <c r="A1051" t="s">
        <v>2895</v>
      </c>
      <c r="B1051" t="s">
        <v>2896</v>
      </c>
      <c r="C1051" t="s">
        <v>6622</v>
      </c>
      <c r="D1051" t="s">
        <v>2862</v>
      </c>
      <c r="E1051" t="s">
        <v>222</v>
      </c>
      <c r="F1051" t="s">
        <v>30</v>
      </c>
      <c r="G1051" s="6">
        <v>45291</v>
      </c>
      <c r="H1051" t="s">
        <v>6811</v>
      </c>
      <c r="I1051" t="s">
        <v>57</v>
      </c>
      <c r="J1051" t="s">
        <v>47</v>
      </c>
      <c r="K1051">
        <v>8366.5</v>
      </c>
      <c r="L1051">
        <v>8538</v>
      </c>
      <c r="M1051">
        <v>1.0204984163031141</v>
      </c>
      <c r="N1051">
        <v>1.0204984163031141</v>
      </c>
      <c r="O1051" t="s">
        <v>7184</v>
      </c>
      <c r="P1051" t="s">
        <v>7185</v>
      </c>
      <c r="Q1051" t="s">
        <v>2900</v>
      </c>
      <c r="R1051">
        <v>2</v>
      </c>
      <c r="S1051">
        <v>2</v>
      </c>
    </row>
    <row r="1052" spans="1:19" hidden="1" x14ac:dyDescent="0.3">
      <c r="A1052" t="s">
        <v>2895</v>
      </c>
      <c r="B1052" t="s">
        <v>2896</v>
      </c>
      <c r="C1052" t="s">
        <v>6622</v>
      </c>
      <c r="D1052" t="s">
        <v>2862</v>
      </c>
      <c r="E1052" t="s">
        <v>222</v>
      </c>
      <c r="F1052" t="s">
        <v>30</v>
      </c>
      <c r="G1052" s="6">
        <v>45657</v>
      </c>
      <c r="H1052" t="s">
        <v>6816</v>
      </c>
      <c r="I1052" t="s">
        <v>57</v>
      </c>
      <c r="J1052" t="s">
        <v>78</v>
      </c>
      <c r="K1052">
        <v>9220</v>
      </c>
      <c r="L1052">
        <v>8821</v>
      </c>
      <c r="M1052">
        <v>0.95672451193058572</v>
      </c>
      <c r="N1052">
        <v>0.95672451193058572</v>
      </c>
      <c r="O1052" t="s">
        <v>7186</v>
      </c>
      <c r="P1052" t="s">
        <v>7187</v>
      </c>
      <c r="Q1052" t="s">
        <v>2902</v>
      </c>
      <c r="R1052">
        <v>2</v>
      </c>
      <c r="S1052">
        <v>2</v>
      </c>
    </row>
    <row r="1053" spans="1:19" hidden="1" x14ac:dyDescent="0.3">
      <c r="A1053" t="s">
        <v>2895</v>
      </c>
      <c r="B1053" t="s">
        <v>2896</v>
      </c>
      <c r="C1053" t="s">
        <v>6622</v>
      </c>
      <c r="D1053" t="s">
        <v>2862</v>
      </c>
      <c r="E1053" t="s">
        <v>222</v>
      </c>
      <c r="F1053" t="s">
        <v>30</v>
      </c>
      <c r="G1053" s="6">
        <v>46022</v>
      </c>
      <c r="H1053" t="s">
        <v>6823</v>
      </c>
      <c r="I1053" t="s">
        <v>57</v>
      </c>
      <c r="J1053" t="s">
        <v>103</v>
      </c>
      <c r="K1053">
        <v>100</v>
      </c>
      <c r="L1053">
        <v>98.53</v>
      </c>
      <c r="M1053">
        <v>0.98530000000000006</v>
      </c>
      <c r="N1053">
        <v>0.98530000000000006</v>
      </c>
      <c r="O1053" t="s">
        <v>102</v>
      </c>
      <c r="P1053" t="s">
        <v>7188</v>
      </c>
      <c r="Q1053" t="s">
        <v>2908</v>
      </c>
      <c r="R1053">
        <v>2</v>
      </c>
      <c r="S1053">
        <v>2</v>
      </c>
    </row>
    <row r="1054" spans="1:19" hidden="1" x14ac:dyDescent="0.3">
      <c r="A1054" t="s">
        <v>2909</v>
      </c>
      <c r="B1054" t="s">
        <v>2910</v>
      </c>
      <c r="C1054" t="s">
        <v>6681</v>
      </c>
      <c r="D1054" t="s">
        <v>2862</v>
      </c>
      <c r="E1054" t="s">
        <v>222</v>
      </c>
      <c r="F1054" t="s">
        <v>30</v>
      </c>
      <c r="G1054" s="6">
        <v>44926</v>
      </c>
      <c r="H1054" t="s">
        <v>6819</v>
      </c>
      <c r="I1054" t="s">
        <v>57</v>
      </c>
      <c r="J1054" t="s">
        <v>90</v>
      </c>
      <c r="K1054">
        <v>884</v>
      </c>
      <c r="L1054">
        <v>1092</v>
      </c>
      <c r="M1054">
        <v>1.2352941176470591</v>
      </c>
      <c r="N1054">
        <v>1.2352941176470591</v>
      </c>
      <c r="O1054" t="s">
        <v>7189</v>
      </c>
      <c r="P1054" t="s">
        <v>7190</v>
      </c>
      <c r="Q1054" t="s">
        <v>2912</v>
      </c>
      <c r="R1054">
        <v>2</v>
      </c>
      <c r="S1054">
        <v>2</v>
      </c>
    </row>
    <row r="1055" spans="1:19" hidden="1" x14ac:dyDescent="0.3">
      <c r="A1055" t="s">
        <v>2909</v>
      </c>
      <c r="B1055" t="s">
        <v>2910</v>
      </c>
      <c r="C1055" t="s">
        <v>6681</v>
      </c>
      <c r="D1055" t="s">
        <v>2862</v>
      </c>
      <c r="E1055" t="s">
        <v>222</v>
      </c>
      <c r="F1055" t="s">
        <v>30</v>
      </c>
      <c r="G1055" s="6">
        <v>45291</v>
      </c>
      <c r="H1055" t="s">
        <v>6811</v>
      </c>
      <c r="I1055" t="s">
        <v>57</v>
      </c>
      <c r="J1055" t="s">
        <v>47</v>
      </c>
      <c r="K1055">
        <v>1087.5</v>
      </c>
      <c r="L1055">
        <v>1352</v>
      </c>
      <c r="M1055">
        <v>1.243218390804598</v>
      </c>
      <c r="N1055">
        <v>1.243218390804598</v>
      </c>
      <c r="O1055" t="s">
        <v>7191</v>
      </c>
      <c r="P1055" t="s">
        <v>7192</v>
      </c>
      <c r="Q1055" t="s">
        <v>2914</v>
      </c>
      <c r="R1055">
        <v>2</v>
      </c>
      <c r="S1055">
        <v>2</v>
      </c>
    </row>
    <row r="1056" spans="1:19" hidden="1" x14ac:dyDescent="0.3">
      <c r="A1056" t="s">
        <v>2909</v>
      </c>
      <c r="B1056" t="s">
        <v>2910</v>
      </c>
      <c r="C1056" t="s">
        <v>6681</v>
      </c>
      <c r="D1056" t="s">
        <v>2862</v>
      </c>
      <c r="E1056" t="s">
        <v>222</v>
      </c>
      <c r="F1056" t="s">
        <v>30</v>
      </c>
      <c r="G1056" s="6">
        <v>45657</v>
      </c>
      <c r="H1056" t="s">
        <v>6816</v>
      </c>
      <c r="I1056" t="s">
        <v>57</v>
      </c>
      <c r="J1056" t="s">
        <v>78</v>
      </c>
      <c r="K1056">
        <v>1315.5</v>
      </c>
      <c r="L1056">
        <v>1411.5</v>
      </c>
      <c r="M1056">
        <v>1.0729760547320411</v>
      </c>
      <c r="N1056">
        <v>1.0729760547320411</v>
      </c>
      <c r="O1056" t="s">
        <v>7193</v>
      </c>
      <c r="P1056" t="s">
        <v>7194</v>
      </c>
      <c r="Q1056" t="s">
        <v>2916</v>
      </c>
      <c r="R1056">
        <v>2</v>
      </c>
      <c r="S1056">
        <v>2</v>
      </c>
    </row>
    <row r="1057" spans="1:19" hidden="1" x14ac:dyDescent="0.3">
      <c r="A1057" t="s">
        <v>2909</v>
      </c>
      <c r="B1057" t="s">
        <v>2910</v>
      </c>
      <c r="C1057" t="s">
        <v>6681</v>
      </c>
      <c r="D1057" t="s">
        <v>2862</v>
      </c>
      <c r="E1057" t="s">
        <v>222</v>
      </c>
      <c r="F1057" t="s">
        <v>30</v>
      </c>
      <c r="G1057" s="6">
        <v>46022</v>
      </c>
      <c r="H1057" t="s">
        <v>6823</v>
      </c>
      <c r="I1057" t="s">
        <v>57</v>
      </c>
      <c r="J1057" t="s">
        <v>103</v>
      </c>
      <c r="K1057">
        <v>100</v>
      </c>
      <c r="L1057">
        <v>132.41499999999999</v>
      </c>
      <c r="M1057">
        <v>1.3</v>
      </c>
      <c r="N1057">
        <v>1.3241499999999999</v>
      </c>
      <c r="O1057" t="s">
        <v>102</v>
      </c>
      <c r="P1057" t="s">
        <v>7195</v>
      </c>
      <c r="Q1057" t="s">
        <v>2922</v>
      </c>
      <c r="R1057">
        <v>2</v>
      </c>
      <c r="S1057">
        <v>2</v>
      </c>
    </row>
    <row r="1058" spans="1:19" hidden="1" x14ac:dyDescent="0.3">
      <c r="A1058" t="s">
        <v>2923</v>
      </c>
      <c r="B1058" t="s">
        <v>2924</v>
      </c>
      <c r="C1058" t="s">
        <v>6681</v>
      </c>
      <c r="D1058" t="s">
        <v>2862</v>
      </c>
      <c r="E1058" t="s">
        <v>222</v>
      </c>
      <c r="F1058" t="s">
        <v>30</v>
      </c>
      <c r="G1058" s="6">
        <v>44926</v>
      </c>
      <c r="H1058" t="s">
        <v>6819</v>
      </c>
      <c r="I1058" t="s">
        <v>57</v>
      </c>
      <c r="J1058" t="s">
        <v>90</v>
      </c>
      <c r="K1058">
        <v>267</v>
      </c>
      <c r="L1058">
        <v>243.5</v>
      </c>
      <c r="M1058">
        <v>0.91198501872659177</v>
      </c>
      <c r="N1058">
        <v>0.91198501872659177</v>
      </c>
      <c r="O1058" t="s">
        <v>7196</v>
      </c>
      <c r="P1058" t="s">
        <v>7197</v>
      </c>
      <c r="Q1058" t="s">
        <v>2926</v>
      </c>
      <c r="R1058">
        <v>2</v>
      </c>
      <c r="S1058">
        <v>2</v>
      </c>
    </row>
    <row r="1059" spans="1:19" hidden="1" x14ac:dyDescent="0.3">
      <c r="A1059" t="s">
        <v>2923</v>
      </c>
      <c r="B1059" t="s">
        <v>2924</v>
      </c>
      <c r="C1059" t="s">
        <v>6681</v>
      </c>
      <c r="D1059" t="s">
        <v>2862</v>
      </c>
      <c r="E1059" t="s">
        <v>222</v>
      </c>
      <c r="F1059" t="s">
        <v>30</v>
      </c>
      <c r="G1059" s="6">
        <v>45291</v>
      </c>
      <c r="H1059" t="s">
        <v>6811</v>
      </c>
      <c r="I1059" t="s">
        <v>57</v>
      </c>
      <c r="J1059" t="s">
        <v>47</v>
      </c>
      <c r="K1059">
        <v>250.5</v>
      </c>
      <c r="L1059">
        <v>278</v>
      </c>
      <c r="M1059">
        <v>1.1097804391217569</v>
      </c>
      <c r="N1059">
        <v>1.1097804391217569</v>
      </c>
      <c r="O1059" t="s">
        <v>7198</v>
      </c>
      <c r="P1059" t="s">
        <v>5545</v>
      </c>
      <c r="Q1059" t="s">
        <v>2928</v>
      </c>
      <c r="R1059">
        <v>2</v>
      </c>
      <c r="S1059">
        <v>2</v>
      </c>
    </row>
    <row r="1060" spans="1:19" hidden="1" x14ac:dyDescent="0.3">
      <c r="A1060" t="s">
        <v>2923</v>
      </c>
      <c r="B1060" t="s">
        <v>2924</v>
      </c>
      <c r="C1060" t="s">
        <v>6681</v>
      </c>
      <c r="D1060" t="s">
        <v>2862</v>
      </c>
      <c r="E1060" t="s">
        <v>222</v>
      </c>
      <c r="F1060" t="s">
        <v>30</v>
      </c>
      <c r="G1060" s="6">
        <v>45657</v>
      </c>
      <c r="H1060" t="s">
        <v>6816</v>
      </c>
      <c r="I1060" t="s">
        <v>57</v>
      </c>
      <c r="J1060" t="s">
        <v>78</v>
      </c>
      <c r="K1060">
        <v>305.5</v>
      </c>
      <c r="L1060">
        <v>289.5</v>
      </c>
      <c r="M1060">
        <v>0.94762684124386254</v>
      </c>
      <c r="N1060">
        <v>0.94762684124386254</v>
      </c>
      <c r="O1060" t="s">
        <v>7199</v>
      </c>
      <c r="P1060" t="s">
        <v>7200</v>
      </c>
      <c r="Q1060" t="s">
        <v>2930</v>
      </c>
      <c r="R1060">
        <v>2</v>
      </c>
      <c r="S1060">
        <v>2</v>
      </c>
    </row>
    <row r="1061" spans="1:19" hidden="1" x14ac:dyDescent="0.3">
      <c r="A1061" t="s">
        <v>2923</v>
      </c>
      <c r="B1061" t="s">
        <v>2924</v>
      </c>
      <c r="C1061" t="s">
        <v>6681</v>
      </c>
      <c r="D1061" t="s">
        <v>2862</v>
      </c>
      <c r="E1061" t="s">
        <v>222</v>
      </c>
      <c r="F1061" t="s">
        <v>30</v>
      </c>
      <c r="G1061" s="6">
        <v>46022</v>
      </c>
      <c r="H1061" t="s">
        <v>6823</v>
      </c>
      <c r="I1061" t="s">
        <v>57</v>
      </c>
      <c r="J1061" t="s">
        <v>103</v>
      </c>
      <c r="K1061">
        <v>100</v>
      </c>
      <c r="L1061">
        <v>102.08</v>
      </c>
      <c r="M1061">
        <v>1.0207999999999999</v>
      </c>
      <c r="N1061">
        <v>1.0207999999999999</v>
      </c>
      <c r="O1061" t="s">
        <v>102</v>
      </c>
      <c r="P1061" t="s">
        <v>7201</v>
      </c>
      <c r="Q1061" t="s">
        <v>2934</v>
      </c>
      <c r="R1061">
        <v>2</v>
      </c>
      <c r="S1061">
        <v>2</v>
      </c>
    </row>
    <row r="1062" spans="1:19" hidden="1" x14ac:dyDescent="0.3">
      <c r="A1062" t="s">
        <v>2935</v>
      </c>
      <c r="B1062" t="s">
        <v>2936</v>
      </c>
      <c r="C1062" t="s">
        <v>6622</v>
      </c>
      <c r="D1062" t="s">
        <v>2937</v>
      </c>
      <c r="E1062" t="s">
        <v>222</v>
      </c>
      <c r="F1062" t="s">
        <v>30</v>
      </c>
      <c r="G1062" s="6">
        <v>44926</v>
      </c>
      <c r="H1062" t="s">
        <v>6819</v>
      </c>
      <c r="I1062" t="s">
        <v>57</v>
      </c>
      <c r="J1062" t="s">
        <v>90</v>
      </c>
      <c r="K1062">
        <v>6680.5</v>
      </c>
      <c r="L1062">
        <v>7366.1735599999993</v>
      </c>
      <c r="M1062">
        <v>1.1026380600254471</v>
      </c>
      <c r="N1062">
        <v>1.1026380600254471</v>
      </c>
      <c r="O1062" t="s">
        <v>7202</v>
      </c>
      <c r="P1062" t="s">
        <v>7203</v>
      </c>
      <c r="Q1062" t="s">
        <v>2939</v>
      </c>
      <c r="R1062">
        <v>2</v>
      </c>
      <c r="S1062">
        <v>2</v>
      </c>
    </row>
    <row r="1063" spans="1:19" hidden="1" x14ac:dyDescent="0.3">
      <c r="A1063" t="s">
        <v>2935</v>
      </c>
      <c r="B1063" t="s">
        <v>2936</v>
      </c>
      <c r="C1063" t="s">
        <v>6622</v>
      </c>
      <c r="D1063" t="s">
        <v>2937</v>
      </c>
      <c r="E1063" t="s">
        <v>222</v>
      </c>
      <c r="F1063" t="s">
        <v>30</v>
      </c>
      <c r="G1063" s="6">
        <v>45291</v>
      </c>
      <c r="H1063" t="s">
        <v>6811</v>
      </c>
      <c r="I1063" t="s">
        <v>57</v>
      </c>
      <c r="J1063" t="s">
        <v>47</v>
      </c>
      <c r="K1063">
        <v>9706.4634999999998</v>
      </c>
      <c r="L1063">
        <v>11585.469143</v>
      </c>
      <c r="M1063">
        <v>1.1935829298693601</v>
      </c>
      <c r="N1063">
        <v>1.1935829298693601</v>
      </c>
      <c r="O1063" t="s">
        <v>7204</v>
      </c>
      <c r="P1063" t="s">
        <v>7205</v>
      </c>
      <c r="Q1063" t="s">
        <v>2941</v>
      </c>
      <c r="R1063">
        <v>2</v>
      </c>
      <c r="S1063">
        <v>2</v>
      </c>
    </row>
    <row r="1064" spans="1:19" hidden="1" x14ac:dyDescent="0.3">
      <c r="A1064" t="s">
        <v>2935</v>
      </c>
      <c r="B1064" t="s">
        <v>2936</v>
      </c>
      <c r="C1064" t="s">
        <v>6622</v>
      </c>
      <c r="D1064" t="s">
        <v>2937</v>
      </c>
      <c r="E1064" t="s">
        <v>222</v>
      </c>
      <c r="F1064" t="s">
        <v>30</v>
      </c>
      <c r="G1064" s="6">
        <v>45657</v>
      </c>
      <c r="H1064" t="s">
        <v>6816</v>
      </c>
      <c r="I1064" t="s">
        <v>57</v>
      </c>
      <c r="J1064" t="s">
        <v>78</v>
      </c>
      <c r="K1064">
        <v>10474.4759725</v>
      </c>
      <c r="L1064">
        <v>9713.0004559999998</v>
      </c>
      <c r="M1064">
        <v>0.9273018031165281</v>
      </c>
      <c r="N1064">
        <v>0.9273018031165281</v>
      </c>
      <c r="O1064" t="s">
        <v>7206</v>
      </c>
      <c r="P1064" t="s">
        <v>7207</v>
      </c>
      <c r="Q1064" t="s">
        <v>2943</v>
      </c>
      <c r="R1064">
        <v>2</v>
      </c>
      <c r="S1064">
        <v>2</v>
      </c>
    </row>
    <row r="1065" spans="1:19" hidden="1" x14ac:dyDescent="0.3">
      <c r="A1065" t="s">
        <v>2935</v>
      </c>
      <c r="B1065" t="s">
        <v>2936</v>
      </c>
      <c r="C1065" t="s">
        <v>6622</v>
      </c>
      <c r="D1065" t="s">
        <v>2937</v>
      </c>
      <c r="E1065" t="s">
        <v>222</v>
      </c>
      <c r="F1065" t="s">
        <v>30</v>
      </c>
      <c r="G1065" s="6">
        <v>46022</v>
      </c>
      <c r="H1065" t="s">
        <v>6823</v>
      </c>
      <c r="I1065" t="s">
        <v>57</v>
      </c>
      <c r="J1065" t="s">
        <v>103</v>
      </c>
      <c r="K1065">
        <v>100</v>
      </c>
      <c r="L1065">
        <v>113.905</v>
      </c>
      <c r="M1065">
        <v>1.1390499999999999</v>
      </c>
      <c r="N1065">
        <v>1.1390499999999999</v>
      </c>
      <c r="O1065" t="s">
        <v>102</v>
      </c>
      <c r="P1065" t="s">
        <v>7208</v>
      </c>
      <c r="Q1065" t="s">
        <v>2949</v>
      </c>
      <c r="R1065">
        <v>2</v>
      </c>
      <c r="S1065">
        <v>2</v>
      </c>
    </row>
    <row r="1066" spans="1:19" hidden="1" x14ac:dyDescent="0.3">
      <c r="A1066" t="s">
        <v>2950</v>
      </c>
      <c r="B1066" t="s">
        <v>2951</v>
      </c>
      <c r="C1066" t="s">
        <v>6622</v>
      </c>
      <c r="D1066" t="s">
        <v>2937</v>
      </c>
      <c r="E1066" t="s">
        <v>222</v>
      </c>
      <c r="F1066" t="s">
        <v>30</v>
      </c>
      <c r="G1066" s="6">
        <v>45291</v>
      </c>
      <c r="H1066" t="s">
        <v>6811</v>
      </c>
      <c r="I1066" t="s">
        <v>57</v>
      </c>
      <c r="J1066" t="s">
        <v>47</v>
      </c>
      <c r="K1066">
        <v>8782.5149999999994</v>
      </c>
      <c r="L1066">
        <v>12139.120171</v>
      </c>
      <c r="M1066">
        <v>1.3</v>
      </c>
      <c r="N1066">
        <v>1.3821917948332569</v>
      </c>
      <c r="O1066" t="s">
        <v>6087</v>
      </c>
      <c r="P1066" t="s">
        <v>6088</v>
      </c>
      <c r="Q1066" t="s">
        <v>2952</v>
      </c>
      <c r="R1066">
        <v>2</v>
      </c>
      <c r="S1066">
        <v>2</v>
      </c>
    </row>
    <row r="1067" spans="1:19" hidden="1" x14ac:dyDescent="0.3">
      <c r="A1067" t="s">
        <v>2950</v>
      </c>
      <c r="B1067" t="s">
        <v>2951</v>
      </c>
      <c r="C1067" t="s">
        <v>6622</v>
      </c>
      <c r="D1067" t="s">
        <v>2937</v>
      </c>
      <c r="E1067" t="s">
        <v>222</v>
      </c>
      <c r="F1067" t="s">
        <v>30</v>
      </c>
      <c r="G1067" s="6">
        <v>45657</v>
      </c>
      <c r="H1067" t="s">
        <v>6816</v>
      </c>
      <c r="I1067" t="s">
        <v>57</v>
      </c>
      <c r="J1067" t="s">
        <v>78</v>
      </c>
      <c r="K1067">
        <v>15507.4931</v>
      </c>
      <c r="L1067">
        <v>13733.393754000001</v>
      </c>
      <c r="M1067">
        <v>0.88559728290319217</v>
      </c>
      <c r="N1067">
        <v>0.88559728290319217</v>
      </c>
      <c r="O1067" t="s">
        <v>6085</v>
      </c>
      <c r="P1067" t="s">
        <v>7209</v>
      </c>
      <c r="Q1067" t="s">
        <v>2954</v>
      </c>
      <c r="R1067">
        <v>2</v>
      </c>
      <c r="S1067">
        <v>2</v>
      </c>
    </row>
    <row r="1068" spans="1:19" hidden="1" x14ac:dyDescent="0.3">
      <c r="A1068" t="s">
        <v>2950</v>
      </c>
      <c r="B1068" t="s">
        <v>2951</v>
      </c>
      <c r="C1068" t="s">
        <v>6622</v>
      </c>
      <c r="D1068" t="s">
        <v>2937</v>
      </c>
      <c r="E1068" t="s">
        <v>222</v>
      </c>
      <c r="F1068" t="s">
        <v>30</v>
      </c>
      <c r="G1068" s="6">
        <v>46022</v>
      </c>
      <c r="H1068" t="s">
        <v>6823</v>
      </c>
      <c r="I1068" t="s">
        <v>57</v>
      </c>
      <c r="J1068" t="s">
        <v>103</v>
      </c>
      <c r="K1068">
        <v>200</v>
      </c>
      <c r="L1068">
        <v>225.46</v>
      </c>
      <c r="M1068">
        <v>1.1273</v>
      </c>
      <c r="N1068">
        <v>1.1273</v>
      </c>
      <c r="O1068" t="s">
        <v>2396</v>
      </c>
      <c r="P1068" t="s">
        <v>7210</v>
      </c>
      <c r="Q1068" t="s">
        <v>2958</v>
      </c>
      <c r="R1068">
        <v>2</v>
      </c>
      <c r="S1068">
        <v>2</v>
      </c>
    </row>
    <row r="1069" spans="1:19" hidden="1" x14ac:dyDescent="0.3">
      <c r="A1069" t="s">
        <v>2959</v>
      </c>
      <c r="B1069" t="s">
        <v>7211</v>
      </c>
      <c r="C1069" t="s">
        <v>6622</v>
      </c>
      <c r="D1069" t="s">
        <v>2937</v>
      </c>
      <c r="E1069" t="s">
        <v>222</v>
      </c>
      <c r="F1069" t="s">
        <v>30</v>
      </c>
      <c r="G1069" s="6">
        <v>44926</v>
      </c>
      <c r="H1069">
        <v>2022</v>
      </c>
      <c r="I1069" t="s">
        <v>57</v>
      </c>
      <c r="J1069" t="s">
        <v>90</v>
      </c>
      <c r="K1069">
        <v>894.40692300000001</v>
      </c>
      <c r="L1069">
        <v>894.40692300000001</v>
      </c>
      <c r="M1069">
        <v>1</v>
      </c>
      <c r="N1069">
        <v>1</v>
      </c>
      <c r="O1069" t="s">
        <v>335</v>
      </c>
      <c r="P1069" t="s">
        <v>335</v>
      </c>
      <c r="Q1069" t="s">
        <v>7212</v>
      </c>
      <c r="R1069">
        <v>0</v>
      </c>
      <c r="S1069">
        <v>0</v>
      </c>
    </row>
    <row r="1070" spans="1:19" hidden="1" x14ac:dyDescent="0.3">
      <c r="A1070" t="s">
        <v>2959</v>
      </c>
      <c r="B1070" t="s">
        <v>2960</v>
      </c>
      <c r="D1070" t="s">
        <v>2937</v>
      </c>
      <c r="E1070" t="s">
        <v>222</v>
      </c>
      <c r="F1070" t="s">
        <v>30</v>
      </c>
      <c r="G1070" s="6">
        <v>45291</v>
      </c>
      <c r="H1070" t="s">
        <v>6811</v>
      </c>
      <c r="I1070" t="s">
        <v>57</v>
      </c>
      <c r="J1070" t="s">
        <v>47</v>
      </c>
      <c r="K1070">
        <v>1357.778</v>
      </c>
      <c r="L1070">
        <v>3779.9283479999999</v>
      </c>
      <c r="M1070">
        <v>1.3</v>
      </c>
      <c r="N1070">
        <v>2.7839074929774972</v>
      </c>
      <c r="O1070" t="s">
        <v>6092</v>
      </c>
      <c r="P1070" t="s">
        <v>6093</v>
      </c>
      <c r="Q1070" t="s">
        <v>2961</v>
      </c>
      <c r="R1070">
        <v>2</v>
      </c>
      <c r="S1070">
        <v>2</v>
      </c>
    </row>
    <row r="1071" spans="1:19" hidden="1" x14ac:dyDescent="0.3">
      <c r="A1071" t="s">
        <v>2959</v>
      </c>
      <c r="B1071" t="s">
        <v>2960</v>
      </c>
      <c r="D1071" t="s">
        <v>2937</v>
      </c>
      <c r="E1071" t="s">
        <v>222</v>
      </c>
      <c r="F1071" t="s">
        <v>30</v>
      </c>
      <c r="G1071" s="6">
        <v>45657</v>
      </c>
      <c r="H1071" t="s">
        <v>6816</v>
      </c>
      <c r="I1071" t="s">
        <v>57</v>
      </c>
      <c r="J1071" t="s">
        <v>78</v>
      </c>
      <c r="K1071">
        <v>2120.957233099999</v>
      </c>
      <c r="L1071">
        <v>2885.2947869999998</v>
      </c>
      <c r="M1071">
        <v>1.3</v>
      </c>
      <c r="N1071">
        <v>1.3603738642022689</v>
      </c>
      <c r="O1071" t="s">
        <v>7213</v>
      </c>
      <c r="P1071" t="s">
        <v>7214</v>
      </c>
      <c r="Q1071" t="s">
        <v>2963</v>
      </c>
      <c r="R1071">
        <v>2</v>
      </c>
      <c r="S1071">
        <v>2</v>
      </c>
    </row>
    <row r="1072" spans="1:19" hidden="1" x14ac:dyDescent="0.3">
      <c r="A1072" t="s">
        <v>2959</v>
      </c>
      <c r="B1072" t="s">
        <v>2960</v>
      </c>
      <c r="D1072" t="s">
        <v>2937</v>
      </c>
      <c r="E1072" t="s">
        <v>222</v>
      </c>
      <c r="F1072" t="s">
        <v>30</v>
      </c>
      <c r="G1072" s="6">
        <v>46022</v>
      </c>
      <c r="H1072" t="s">
        <v>6823</v>
      </c>
      <c r="I1072" t="s">
        <v>57</v>
      </c>
      <c r="J1072" t="s">
        <v>103</v>
      </c>
      <c r="K1072">
        <v>1392.56187</v>
      </c>
      <c r="L1072">
        <v>1610.582185</v>
      </c>
      <c r="M1072">
        <v>1.1565605950419999</v>
      </c>
      <c r="N1072">
        <v>1.1565605950419999</v>
      </c>
      <c r="O1072" t="s">
        <v>6098</v>
      </c>
      <c r="P1072" t="s">
        <v>6099</v>
      </c>
      <c r="Q1072" t="s">
        <v>7215</v>
      </c>
      <c r="R1072">
        <v>2</v>
      </c>
      <c r="S1072">
        <v>2</v>
      </c>
    </row>
    <row r="1073" spans="1:19" hidden="1" x14ac:dyDescent="0.3">
      <c r="A1073" t="s">
        <v>2959</v>
      </c>
      <c r="B1073" t="s">
        <v>2960</v>
      </c>
      <c r="C1073" t="s">
        <v>6622</v>
      </c>
      <c r="D1073" t="s">
        <v>2937</v>
      </c>
      <c r="E1073" t="s">
        <v>222</v>
      </c>
      <c r="F1073" t="s">
        <v>30</v>
      </c>
      <c r="G1073" s="6">
        <v>46023</v>
      </c>
      <c r="H1073" t="s">
        <v>6623</v>
      </c>
      <c r="I1073" t="s">
        <v>6623</v>
      </c>
      <c r="J1073" t="s">
        <v>6623</v>
      </c>
      <c r="K1073">
        <v>9719.0247152000011</v>
      </c>
      <c r="L1073">
        <v>15764.228111</v>
      </c>
      <c r="M1073">
        <v>1.3</v>
      </c>
      <c r="N1073">
        <v>1.621996915631426</v>
      </c>
      <c r="O1073" t="s">
        <v>335</v>
      </c>
      <c r="P1073" t="s">
        <v>335</v>
      </c>
      <c r="Q1073" t="s">
        <v>7216</v>
      </c>
      <c r="R1073">
        <v>0</v>
      </c>
      <c r="S1073">
        <v>0</v>
      </c>
    </row>
    <row r="1074" spans="1:19" hidden="1" x14ac:dyDescent="0.3">
      <c r="A1074" t="s">
        <v>2965</v>
      </c>
      <c r="B1074" t="s">
        <v>7217</v>
      </c>
      <c r="C1074" t="s">
        <v>6622</v>
      </c>
      <c r="D1074" t="s">
        <v>2937</v>
      </c>
      <c r="E1074" t="s">
        <v>222</v>
      </c>
      <c r="F1074" t="s">
        <v>30</v>
      </c>
      <c r="G1074" s="6">
        <v>44926</v>
      </c>
      <c r="H1074">
        <v>2022</v>
      </c>
      <c r="I1074" t="s">
        <v>57</v>
      </c>
      <c r="J1074" t="s">
        <v>90</v>
      </c>
      <c r="K1074">
        <v>5335.242827</v>
      </c>
      <c r="L1074">
        <v>5335.242827</v>
      </c>
      <c r="M1074">
        <v>1</v>
      </c>
      <c r="N1074">
        <v>1</v>
      </c>
      <c r="O1074" t="s">
        <v>335</v>
      </c>
      <c r="P1074" t="s">
        <v>335</v>
      </c>
      <c r="Q1074" t="s">
        <v>7218</v>
      </c>
      <c r="R1074">
        <v>0</v>
      </c>
      <c r="S1074">
        <v>0</v>
      </c>
    </row>
    <row r="1075" spans="1:19" hidden="1" x14ac:dyDescent="0.3">
      <c r="A1075" t="s">
        <v>2965</v>
      </c>
      <c r="B1075" t="s">
        <v>2966</v>
      </c>
      <c r="D1075" t="s">
        <v>2937</v>
      </c>
      <c r="E1075" t="s">
        <v>222</v>
      </c>
      <c r="F1075" t="s">
        <v>30</v>
      </c>
      <c r="G1075" s="6">
        <v>45291</v>
      </c>
      <c r="H1075" t="s">
        <v>6811</v>
      </c>
      <c r="I1075" t="s">
        <v>57</v>
      </c>
      <c r="J1075" t="s">
        <v>47</v>
      </c>
      <c r="K1075">
        <v>7082.0029999999997</v>
      </c>
      <c r="L1075">
        <v>9868.4183170000015</v>
      </c>
      <c r="M1075">
        <v>1.3</v>
      </c>
      <c r="N1075">
        <v>1.393450174618678</v>
      </c>
      <c r="O1075" t="s">
        <v>6101</v>
      </c>
      <c r="P1075" t="s">
        <v>6102</v>
      </c>
      <c r="Q1075" t="s">
        <v>2967</v>
      </c>
      <c r="R1075">
        <v>2</v>
      </c>
      <c r="S1075">
        <v>2</v>
      </c>
    </row>
    <row r="1076" spans="1:19" hidden="1" x14ac:dyDescent="0.3">
      <c r="A1076" t="s">
        <v>2965</v>
      </c>
      <c r="B1076" t="s">
        <v>2966</v>
      </c>
      <c r="D1076" t="s">
        <v>2937</v>
      </c>
      <c r="E1076" t="s">
        <v>222</v>
      </c>
      <c r="F1076" t="s">
        <v>30</v>
      </c>
      <c r="G1076" s="6">
        <v>45657</v>
      </c>
      <c r="H1076" t="s">
        <v>6816</v>
      </c>
      <c r="I1076" t="s">
        <v>57</v>
      </c>
      <c r="J1076" t="s">
        <v>78</v>
      </c>
      <c r="K1076">
        <v>5193.0457505499999</v>
      </c>
      <c r="L1076">
        <v>3543.1208940000001</v>
      </c>
      <c r="M1076">
        <v>0.6822818561967694</v>
      </c>
      <c r="N1076">
        <v>0.6822818561967694</v>
      </c>
      <c r="O1076" t="s">
        <v>7219</v>
      </c>
      <c r="P1076" t="s">
        <v>7220</v>
      </c>
      <c r="Q1076" t="s">
        <v>2969</v>
      </c>
      <c r="R1076">
        <v>2</v>
      </c>
      <c r="S1076">
        <v>2</v>
      </c>
    </row>
    <row r="1077" spans="1:19" hidden="1" x14ac:dyDescent="0.3">
      <c r="A1077" t="s">
        <v>2965</v>
      </c>
      <c r="B1077" t="s">
        <v>2966</v>
      </c>
      <c r="D1077" t="s">
        <v>2937</v>
      </c>
      <c r="E1077" t="s">
        <v>222</v>
      </c>
      <c r="F1077" t="s">
        <v>30</v>
      </c>
      <c r="G1077" s="6">
        <v>46022</v>
      </c>
      <c r="H1077" t="s">
        <v>6823</v>
      </c>
      <c r="I1077" t="s">
        <v>57</v>
      </c>
      <c r="J1077" t="s">
        <v>103</v>
      </c>
      <c r="K1077">
        <v>2655.6515559999998</v>
      </c>
      <c r="L1077">
        <v>3358.9061839999999</v>
      </c>
      <c r="M1077">
        <v>1.264814345244621</v>
      </c>
      <c r="N1077">
        <v>1.264814345244621</v>
      </c>
      <c r="O1077" t="s">
        <v>6107</v>
      </c>
      <c r="P1077" t="s">
        <v>6108</v>
      </c>
      <c r="Q1077" t="s">
        <v>7221</v>
      </c>
      <c r="R1077">
        <v>2</v>
      </c>
      <c r="S1077">
        <v>2</v>
      </c>
    </row>
    <row r="1078" spans="1:19" hidden="1" x14ac:dyDescent="0.3">
      <c r="A1078" t="s">
        <v>2965</v>
      </c>
      <c r="B1078" t="s">
        <v>7217</v>
      </c>
      <c r="C1078" t="s">
        <v>6622</v>
      </c>
      <c r="D1078" t="s">
        <v>2937</v>
      </c>
      <c r="E1078" t="s">
        <v>222</v>
      </c>
      <c r="F1078" t="s">
        <v>30</v>
      </c>
      <c r="G1078" s="6">
        <v>46023</v>
      </c>
      <c r="H1078" t="s">
        <v>6623</v>
      </c>
      <c r="I1078" t="s">
        <v>6623</v>
      </c>
      <c r="J1078" t="s">
        <v>6623</v>
      </c>
      <c r="K1078">
        <v>27575.2022841</v>
      </c>
      <c r="L1078">
        <v>26848.239661</v>
      </c>
      <c r="M1078">
        <v>0.97363708829366713</v>
      </c>
      <c r="N1078">
        <v>0.97363708829366713</v>
      </c>
      <c r="O1078" t="s">
        <v>335</v>
      </c>
      <c r="P1078" t="s">
        <v>335</v>
      </c>
      <c r="Q1078" t="s">
        <v>7222</v>
      </c>
      <c r="R1078">
        <v>0</v>
      </c>
      <c r="S1078">
        <v>0</v>
      </c>
    </row>
    <row r="1079" spans="1:19" hidden="1" x14ac:dyDescent="0.3">
      <c r="A1079" t="s">
        <v>2971</v>
      </c>
      <c r="B1079" t="s">
        <v>2972</v>
      </c>
      <c r="C1079" t="s">
        <v>6622</v>
      </c>
      <c r="D1079" t="s">
        <v>2937</v>
      </c>
      <c r="E1079" t="s">
        <v>222</v>
      </c>
      <c r="F1079" t="s">
        <v>30</v>
      </c>
      <c r="G1079" s="6">
        <v>44926</v>
      </c>
      <c r="H1079">
        <v>2022</v>
      </c>
      <c r="I1079" t="s">
        <v>57</v>
      </c>
      <c r="J1079" t="s">
        <v>90</v>
      </c>
      <c r="K1079">
        <v>3805.6621409999998</v>
      </c>
      <c r="L1079">
        <v>3805.6621409999998</v>
      </c>
      <c r="M1079">
        <v>1</v>
      </c>
      <c r="N1079">
        <v>1</v>
      </c>
      <c r="O1079" t="s">
        <v>335</v>
      </c>
      <c r="P1079" t="s">
        <v>335</v>
      </c>
      <c r="Q1079" t="s">
        <v>7223</v>
      </c>
      <c r="R1079">
        <v>0</v>
      </c>
      <c r="S1079">
        <v>0</v>
      </c>
    </row>
    <row r="1080" spans="1:19" hidden="1" x14ac:dyDescent="0.3">
      <c r="A1080" t="s">
        <v>2971</v>
      </c>
      <c r="B1080" t="s">
        <v>2972</v>
      </c>
      <c r="D1080" t="s">
        <v>2937</v>
      </c>
      <c r="E1080" t="s">
        <v>222</v>
      </c>
      <c r="F1080" t="s">
        <v>30</v>
      </c>
      <c r="G1080" s="6">
        <v>45291</v>
      </c>
      <c r="H1080" t="s">
        <v>6811</v>
      </c>
      <c r="I1080" t="s">
        <v>57</v>
      </c>
      <c r="J1080" t="s">
        <v>47</v>
      </c>
      <c r="K1080">
        <v>5657.94</v>
      </c>
      <c r="L1080">
        <v>4048.733862</v>
      </c>
      <c r="M1080">
        <v>0.71558444628256934</v>
      </c>
      <c r="N1080">
        <v>0.71558444628256934</v>
      </c>
      <c r="O1080" t="s">
        <v>6110</v>
      </c>
      <c r="P1080" t="s">
        <v>6111</v>
      </c>
      <c r="Q1080" t="s">
        <v>2973</v>
      </c>
      <c r="R1080">
        <v>2</v>
      </c>
      <c r="S1080">
        <v>2</v>
      </c>
    </row>
    <row r="1081" spans="1:19" hidden="1" x14ac:dyDescent="0.3">
      <c r="A1081" t="s">
        <v>2971</v>
      </c>
      <c r="B1081" t="s">
        <v>2972</v>
      </c>
      <c r="D1081" t="s">
        <v>2937</v>
      </c>
      <c r="E1081" t="s">
        <v>222</v>
      </c>
      <c r="F1081" t="s">
        <v>30</v>
      </c>
      <c r="G1081" s="6">
        <v>45657</v>
      </c>
      <c r="H1081" t="s">
        <v>6816</v>
      </c>
      <c r="I1081" t="s">
        <v>57</v>
      </c>
      <c r="J1081" t="s">
        <v>78</v>
      </c>
      <c r="K1081">
        <v>3160.4729888500001</v>
      </c>
      <c r="L1081">
        <v>3284.5847749999998</v>
      </c>
      <c r="M1081">
        <v>1.0392700037582541</v>
      </c>
      <c r="N1081">
        <v>1.0392700037582541</v>
      </c>
      <c r="O1081" t="s">
        <v>7224</v>
      </c>
      <c r="P1081" t="s">
        <v>7225</v>
      </c>
      <c r="Q1081" t="s">
        <v>2975</v>
      </c>
      <c r="R1081">
        <v>2</v>
      </c>
      <c r="S1081">
        <v>2</v>
      </c>
    </row>
    <row r="1082" spans="1:19" hidden="1" x14ac:dyDescent="0.3">
      <c r="A1082" t="s">
        <v>2971</v>
      </c>
      <c r="B1082" t="s">
        <v>2972</v>
      </c>
      <c r="D1082" t="s">
        <v>2937</v>
      </c>
      <c r="E1082" t="s">
        <v>222</v>
      </c>
      <c r="F1082" t="s">
        <v>30</v>
      </c>
      <c r="G1082" s="6">
        <v>46022</v>
      </c>
      <c r="H1082" t="s">
        <v>6823</v>
      </c>
      <c r="I1082" t="s">
        <v>57</v>
      </c>
      <c r="J1082" t="s">
        <v>103</v>
      </c>
      <c r="K1082">
        <v>2797.6638859999998</v>
      </c>
      <c r="L1082">
        <v>3821.45975</v>
      </c>
      <c r="M1082">
        <v>1.3</v>
      </c>
      <c r="N1082">
        <v>1.365946699002426</v>
      </c>
      <c r="O1082" t="s">
        <v>6116</v>
      </c>
      <c r="P1082" t="s">
        <v>6117</v>
      </c>
      <c r="Q1082" t="s">
        <v>7226</v>
      </c>
      <c r="R1082">
        <v>2</v>
      </c>
      <c r="S1082">
        <v>2</v>
      </c>
    </row>
    <row r="1083" spans="1:19" hidden="1" x14ac:dyDescent="0.3">
      <c r="A1083" t="s">
        <v>2971</v>
      </c>
      <c r="B1083" t="s">
        <v>2972</v>
      </c>
      <c r="C1083" t="s">
        <v>6622</v>
      </c>
      <c r="D1083" t="s">
        <v>2937</v>
      </c>
      <c r="E1083" t="s">
        <v>222</v>
      </c>
      <c r="F1083" t="s">
        <v>30</v>
      </c>
      <c r="G1083" s="6">
        <v>46023</v>
      </c>
      <c r="H1083" t="s">
        <v>6623</v>
      </c>
      <c r="I1083" t="s">
        <v>6623</v>
      </c>
      <c r="J1083" t="s">
        <v>6623</v>
      </c>
      <c r="K1083">
        <v>19404.541402700001</v>
      </c>
      <c r="L1083">
        <v>18628.315503000002</v>
      </c>
      <c r="M1083">
        <v>0.95999771993622085</v>
      </c>
      <c r="N1083">
        <v>0.95999771993622085</v>
      </c>
      <c r="O1083" t="s">
        <v>335</v>
      </c>
      <c r="P1083" t="s">
        <v>335</v>
      </c>
      <c r="Q1083" t="s">
        <v>7227</v>
      </c>
      <c r="R1083">
        <v>0</v>
      </c>
      <c r="S1083">
        <v>0</v>
      </c>
    </row>
    <row r="1084" spans="1:19" hidden="1" x14ac:dyDescent="0.3">
      <c r="A1084" t="s">
        <v>2977</v>
      </c>
      <c r="B1084" t="s">
        <v>2978</v>
      </c>
      <c r="D1084" t="s">
        <v>28</v>
      </c>
      <c r="E1084" t="s">
        <v>222</v>
      </c>
      <c r="F1084" t="s">
        <v>30</v>
      </c>
      <c r="G1084" s="6">
        <v>45291</v>
      </c>
      <c r="H1084" t="s">
        <v>6811</v>
      </c>
      <c r="I1084" t="s">
        <v>57</v>
      </c>
      <c r="J1084" t="s">
        <v>47</v>
      </c>
      <c r="K1084">
        <v>19</v>
      </c>
      <c r="L1084">
        <v>19</v>
      </c>
      <c r="M1084">
        <v>1</v>
      </c>
      <c r="N1084">
        <v>1</v>
      </c>
      <c r="O1084" t="s">
        <v>4734</v>
      </c>
      <c r="P1084" t="s">
        <v>4734</v>
      </c>
      <c r="Q1084" t="s">
        <v>2980</v>
      </c>
      <c r="R1084">
        <v>2</v>
      </c>
      <c r="S1084">
        <v>2</v>
      </c>
    </row>
    <row r="1085" spans="1:19" hidden="1" x14ac:dyDescent="0.3">
      <c r="A1085" t="s">
        <v>2981</v>
      </c>
      <c r="B1085" t="s">
        <v>2982</v>
      </c>
      <c r="D1085" t="s">
        <v>28</v>
      </c>
      <c r="E1085" t="s">
        <v>222</v>
      </c>
      <c r="F1085" t="s">
        <v>30</v>
      </c>
      <c r="G1085" s="6">
        <v>45291</v>
      </c>
      <c r="H1085" t="s">
        <v>6811</v>
      </c>
      <c r="I1085" t="s">
        <v>57</v>
      </c>
      <c r="J1085" t="s">
        <v>47</v>
      </c>
      <c r="K1085">
        <v>46.5</v>
      </c>
      <c r="L1085">
        <v>46.5</v>
      </c>
      <c r="M1085">
        <v>1</v>
      </c>
      <c r="N1085">
        <v>1</v>
      </c>
      <c r="O1085" t="s">
        <v>7228</v>
      </c>
      <c r="P1085" t="s">
        <v>7228</v>
      </c>
      <c r="Q1085" t="s">
        <v>2984</v>
      </c>
      <c r="R1085">
        <v>2</v>
      </c>
      <c r="S1085">
        <v>2</v>
      </c>
    </row>
    <row r="1086" spans="1:19" hidden="1" x14ac:dyDescent="0.3">
      <c r="A1086" t="s">
        <v>2985</v>
      </c>
      <c r="B1086" t="s">
        <v>2986</v>
      </c>
      <c r="C1086" t="s">
        <v>6622</v>
      </c>
      <c r="D1086" t="s">
        <v>730</v>
      </c>
      <c r="E1086" t="s">
        <v>222</v>
      </c>
      <c r="F1086" t="s">
        <v>30</v>
      </c>
      <c r="G1086" s="6">
        <v>45291</v>
      </c>
      <c r="H1086" t="s">
        <v>6811</v>
      </c>
      <c r="I1086" t="s">
        <v>57</v>
      </c>
      <c r="J1086" t="s">
        <v>47</v>
      </c>
      <c r="K1086">
        <v>91</v>
      </c>
      <c r="L1086">
        <v>85.101666666666659</v>
      </c>
      <c r="M1086">
        <v>0.93518315018315012</v>
      </c>
      <c r="N1086">
        <v>0.93518315018315012</v>
      </c>
      <c r="O1086" t="s">
        <v>5460</v>
      </c>
      <c r="P1086" t="s">
        <v>7229</v>
      </c>
      <c r="Q1086" t="s">
        <v>2988</v>
      </c>
      <c r="R1086">
        <v>2</v>
      </c>
      <c r="S1086">
        <v>2</v>
      </c>
    </row>
    <row r="1087" spans="1:19" hidden="1" x14ac:dyDescent="0.3">
      <c r="A1087" t="s">
        <v>2985</v>
      </c>
      <c r="B1087" t="s">
        <v>2986</v>
      </c>
      <c r="C1087" t="s">
        <v>6622</v>
      </c>
      <c r="D1087" t="s">
        <v>730</v>
      </c>
      <c r="E1087" t="s">
        <v>222</v>
      </c>
      <c r="F1087" t="s">
        <v>30</v>
      </c>
      <c r="G1087" s="6">
        <v>45657</v>
      </c>
      <c r="H1087" t="s">
        <v>6816</v>
      </c>
      <c r="I1087" t="s">
        <v>57</v>
      </c>
      <c r="J1087" t="s">
        <v>78</v>
      </c>
      <c r="K1087">
        <v>85</v>
      </c>
      <c r="L1087">
        <v>42.216666666666647</v>
      </c>
      <c r="M1087">
        <v>0.49666666666666642</v>
      </c>
      <c r="N1087">
        <v>0.49666666666666642</v>
      </c>
      <c r="O1087" t="s">
        <v>2357</v>
      </c>
      <c r="P1087" t="s">
        <v>7230</v>
      </c>
      <c r="Q1087" t="s">
        <v>2990</v>
      </c>
      <c r="R1087">
        <v>2</v>
      </c>
      <c r="S1087">
        <v>2</v>
      </c>
    </row>
    <row r="1088" spans="1:19" hidden="1" x14ac:dyDescent="0.3">
      <c r="A1088" t="s">
        <v>2985</v>
      </c>
      <c r="B1088" t="s">
        <v>2986</v>
      </c>
      <c r="C1088" t="s">
        <v>6622</v>
      </c>
      <c r="D1088" t="s">
        <v>2991</v>
      </c>
      <c r="E1088" t="s">
        <v>222</v>
      </c>
      <c r="F1088" t="s">
        <v>30</v>
      </c>
      <c r="G1088" s="6">
        <v>46022</v>
      </c>
      <c r="H1088" t="s">
        <v>6823</v>
      </c>
      <c r="I1088" t="s">
        <v>57</v>
      </c>
      <c r="J1088" t="s">
        <v>103</v>
      </c>
      <c r="L1088">
        <v>0</v>
      </c>
      <c r="M1088">
        <v>0</v>
      </c>
      <c r="N1088">
        <v>0</v>
      </c>
      <c r="P1088" t="s">
        <v>122</v>
      </c>
      <c r="Q1088" t="s">
        <v>7231</v>
      </c>
      <c r="R1088">
        <v>2</v>
      </c>
      <c r="S1088">
        <v>2</v>
      </c>
    </row>
    <row r="1089" spans="1:19" hidden="1" x14ac:dyDescent="0.3">
      <c r="A1089" t="s">
        <v>2993</v>
      </c>
      <c r="B1089" t="s">
        <v>2994</v>
      </c>
      <c r="C1089" t="s">
        <v>6622</v>
      </c>
      <c r="D1089" t="s">
        <v>129</v>
      </c>
      <c r="E1089" t="s">
        <v>233</v>
      </c>
      <c r="F1089" t="s">
        <v>30</v>
      </c>
      <c r="G1089" s="6">
        <v>45291</v>
      </c>
      <c r="H1089" t="s">
        <v>6811</v>
      </c>
      <c r="I1089" t="s">
        <v>57</v>
      </c>
      <c r="J1089" t="s">
        <v>47</v>
      </c>
      <c r="K1089">
        <v>100</v>
      </c>
      <c r="L1089">
        <v>101.65666666666669</v>
      </c>
      <c r="M1089">
        <v>1.0165666666666671</v>
      </c>
      <c r="N1089">
        <v>1.0165666666666671</v>
      </c>
      <c r="O1089" t="s">
        <v>102</v>
      </c>
      <c r="P1089" t="s">
        <v>7232</v>
      </c>
      <c r="Q1089" t="s">
        <v>2997</v>
      </c>
      <c r="R1089">
        <v>2</v>
      </c>
      <c r="S1089">
        <v>2</v>
      </c>
    </row>
    <row r="1090" spans="1:19" hidden="1" x14ac:dyDescent="0.3">
      <c r="A1090" t="s">
        <v>2993</v>
      </c>
      <c r="B1090" t="s">
        <v>2994</v>
      </c>
      <c r="C1090" t="s">
        <v>6622</v>
      </c>
      <c r="D1090" t="s">
        <v>129</v>
      </c>
      <c r="E1090" t="s">
        <v>233</v>
      </c>
      <c r="F1090" t="s">
        <v>30</v>
      </c>
      <c r="G1090" s="6">
        <v>45657</v>
      </c>
      <c r="H1090" t="s">
        <v>6816</v>
      </c>
      <c r="I1090" t="s">
        <v>57</v>
      </c>
      <c r="J1090" t="s">
        <v>78</v>
      </c>
      <c r="K1090">
        <v>100</v>
      </c>
      <c r="L1090">
        <v>90.864999999999995</v>
      </c>
      <c r="M1090">
        <v>0.90864999999999996</v>
      </c>
      <c r="N1090">
        <v>0.90864999999999996</v>
      </c>
      <c r="O1090" t="s">
        <v>102</v>
      </c>
      <c r="P1090" t="s">
        <v>7233</v>
      </c>
      <c r="Q1090" t="s">
        <v>3001</v>
      </c>
      <c r="R1090">
        <v>2</v>
      </c>
      <c r="S1090">
        <v>2</v>
      </c>
    </row>
    <row r="1091" spans="1:19" hidden="1" x14ac:dyDescent="0.3">
      <c r="A1091" t="s">
        <v>2993</v>
      </c>
      <c r="B1091" t="s">
        <v>2994</v>
      </c>
      <c r="C1091" t="s">
        <v>6622</v>
      </c>
      <c r="D1091" t="s">
        <v>129</v>
      </c>
      <c r="E1091" t="s">
        <v>233</v>
      </c>
      <c r="F1091" t="s">
        <v>30</v>
      </c>
      <c r="G1091" s="6">
        <v>46022</v>
      </c>
      <c r="H1091" t="s">
        <v>6823</v>
      </c>
      <c r="I1091" t="s">
        <v>57</v>
      </c>
      <c r="J1091" t="s">
        <v>103</v>
      </c>
      <c r="K1091">
        <v>100</v>
      </c>
      <c r="L1091">
        <v>122.06</v>
      </c>
      <c r="M1091">
        <v>1.2205999999999999</v>
      </c>
      <c r="N1091">
        <v>1.2205999999999999</v>
      </c>
      <c r="O1091" t="s">
        <v>102</v>
      </c>
      <c r="P1091" t="s">
        <v>6126</v>
      </c>
      <c r="Q1091" t="s">
        <v>3008</v>
      </c>
      <c r="R1091">
        <v>2</v>
      </c>
      <c r="S1091">
        <v>2</v>
      </c>
    </row>
    <row r="1092" spans="1:19" hidden="1" x14ac:dyDescent="0.3">
      <c r="A1092" t="s">
        <v>3009</v>
      </c>
      <c r="B1092" t="s">
        <v>3013</v>
      </c>
      <c r="D1092" t="s">
        <v>3011</v>
      </c>
      <c r="E1092" t="s">
        <v>233</v>
      </c>
      <c r="F1092" t="s">
        <v>30</v>
      </c>
      <c r="G1092" s="6">
        <v>45291</v>
      </c>
      <c r="H1092" t="s">
        <v>6811</v>
      </c>
      <c r="I1092" t="s">
        <v>57</v>
      </c>
      <c r="J1092" t="s">
        <v>47</v>
      </c>
      <c r="K1092">
        <v>78.64</v>
      </c>
      <c r="L1092">
        <v>81.142499999999998</v>
      </c>
      <c r="M1092">
        <v>1.031822227873856</v>
      </c>
      <c r="N1092">
        <v>1.031822227873856</v>
      </c>
      <c r="O1092" t="s">
        <v>7234</v>
      </c>
      <c r="P1092" t="s">
        <v>7235</v>
      </c>
      <c r="Q1092" t="s">
        <v>3015</v>
      </c>
      <c r="R1092">
        <v>2</v>
      </c>
      <c r="S1092">
        <v>2</v>
      </c>
    </row>
    <row r="1093" spans="1:19" hidden="1" x14ac:dyDescent="0.3">
      <c r="A1093" t="s">
        <v>3009</v>
      </c>
      <c r="B1093" t="s">
        <v>3013</v>
      </c>
      <c r="D1093" t="s">
        <v>3011</v>
      </c>
      <c r="E1093" t="s">
        <v>233</v>
      </c>
      <c r="F1093" t="s">
        <v>30</v>
      </c>
      <c r="G1093" s="6">
        <v>45657</v>
      </c>
      <c r="H1093" t="s">
        <v>6816</v>
      </c>
      <c r="I1093" t="s">
        <v>57</v>
      </c>
      <c r="J1093" t="s">
        <v>78</v>
      </c>
      <c r="K1093">
        <v>45.28</v>
      </c>
      <c r="L1093">
        <v>48.465000000000003</v>
      </c>
      <c r="M1093">
        <v>1.070340106007067</v>
      </c>
      <c r="N1093">
        <v>1.070340106007067</v>
      </c>
      <c r="O1093" t="s">
        <v>6129</v>
      </c>
      <c r="P1093" t="s">
        <v>6130</v>
      </c>
      <c r="Q1093" t="s">
        <v>7236</v>
      </c>
      <c r="R1093">
        <v>2</v>
      </c>
      <c r="S1093">
        <v>2</v>
      </c>
    </row>
    <row r="1094" spans="1:19" hidden="1" x14ac:dyDescent="0.3">
      <c r="A1094" t="s">
        <v>7237</v>
      </c>
      <c r="B1094" t="s">
        <v>3013</v>
      </c>
      <c r="C1094" t="s">
        <v>6622</v>
      </c>
      <c r="D1094" t="s">
        <v>3011</v>
      </c>
      <c r="E1094" t="s">
        <v>233</v>
      </c>
      <c r="F1094" t="s">
        <v>30</v>
      </c>
      <c r="G1094" s="6">
        <v>45291</v>
      </c>
      <c r="H1094">
        <v>2023</v>
      </c>
      <c r="I1094" t="s">
        <v>57</v>
      </c>
      <c r="J1094" t="s">
        <v>47</v>
      </c>
      <c r="K1094">
        <v>100</v>
      </c>
      <c r="L1094">
        <v>100</v>
      </c>
      <c r="M1094">
        <v>1</v>
      </c>
      <c r="N1094">
        <v>1</v>
      </c>
      <c r="O1094" t="s">
        <v>31</v>
      </c>
      <c r="P1094" t="s">
        <v>31</v>
      </c>
      <c r="Q1094" t="s">
        <v>3016</v>
      </c>
      <c r="R1094">
        <v>0</v>
      </c>
      <c r="S1094">
        <v>0</v>
      </c>
    </row>
    <row r="1095" spans="1:19" hidden="1" x14ac:dyDescent="0.3">
      <c r="A1095" t="s">
        <v>7237</v>
      </c>
      <c r="B1095" t="s">
        <v>3013</v>
      </c>
      <c r="C1095" t="s">
        <v>6622</v>
      </c>
      <c r="D1095" t="s">
        <v>3011</v>
      </c>
      <c r="E1095" t="s">
        <v>233</v>
      </c>
      <c r="F1095" t="s">
        <v>30</v>
      </c>
      <c r="G1095" s="6">
        <v>45657</v>
      </c>
      <c r="H1095">
        <v>2024</v>
      </c>
      <c r="I1095" t="s">
        <v>57</v>
      </c>
      <c r="J1095" t="s">
        <v>78</v>
      </c>
      <c r="O1095" t="s">
        <v>31</v>
      </c>
      <c r="P1095" t="s">
        <v>31</v>
      </c>
      <c r="Q1095" t="s">
        <v>7238</v>
      </c>
      <c r="R1095">
        <v>0</v>
      </c>
      <c r="S1095">
        <v>0</v>
      </c>
    </row>
    <row r="1096" spans="1:19" hidden="1" x14ac:dyDescent="0.3">
      <c r="A1096" t="s">
        <v>3019</v>
      </c>
      <c r="B1096" t="s">
        <v>3020</v>
      </c>
      <c r="D1096" t="s">
        <v>3011</v>
      </c>
      <c r="E1096" t="s">
        <v>233</v>
      </c>
      <c r="F1096" t="s">
        <v>30</v>
      </c>
      <c r="G1096" s="6">
        <v>45291</v>
      </c>
      <c r="H1096" t="s">
        <v>6811</v>
      </c>
      <c r="I1096" t="s">
        <v>57</v>
      </c>
      <c r="J1096" t="s">
        <v>47</v>
      </c>
      <c r="K1096">
        <v>84.789999999999992</v>
      </c>
      <c r="L1096">
        <v>86.25</v>
      </c>
      <c r="M1096">
        <v>1.017219011675905</v>
      </c>
      <c r="N1096">
        <v>1.017219011675905</v>
      </c>
      <c r="O1096" t="s">
        <v>7239</v>
      </c>
      <c r="P1096" t="s">
        <v>6309</v>
      </c>
      <c r="Q1096" t="s">
        <v>3022</v>
      </c>
      <c r="R1096">
        <v>2</v>
      </c>
      <c r="S1096">
        <v>2</v>
      </c>
    </row>
    <row r="1097" spans="1:19" hidden="1" x14ac:dyDescent="0.3">
      <c r="A1097" t="s">
        <v>3019</v>
      </c>
      <c r="B1097" t="s">
        <v>3020</v>
      </c>
      <c r="D1097" t="s">
        <v>3011</v>
      </c>
      <c r="E1097" t="s">
        <v>233</v>
      </c>
      <c r="F1097" t="s">
        <v>30</v>
      </c>
      <c r="G1097" s="6">
        <v>45657</v>
      </c>
      <c r="H1097" t="s">
        <v>6816</v>
      </c>
      <c r="I1097" t="s">
        <v>57</v>
      </c>
      <c r="J1097" t="s">
        <v>78</v>
      </c>
      <c r="K1097">
        <v>48.5</v>
      </c>
      <c r="L1097">
        <v>41.97</v>
      </c>
      <c r="M1097">
        <v>0.86536082474226805</v>
      </c>
      <c r="N1097">
        <v>0.86536082474226805</v>
      </c>
      <c r="O1097" t="s">
        <v>6133</v>
      </c>
      <c r="P1097" t="s">
        <v>6134</v>
      </c>
      <c r="Q1097" t="s">
        <v>7240</v>
      </c>
      <c r="R1097">
        <v>2</v>
      </c>
      <c r="S1097">
        <v>2</v>
      </c>
    </row>
    <row r="1098" spans="1:19" hidden="1" x14ac:dyDescent="0.3">
      <c r="A1098" t="s">
        <v>3024</v>
      </c>
      <c r="B1098" t="s">
        <v>3025</v>
      </c>
      <c r="D1098" t="s">
        <v>3011</v>
      </c>
      <c r="E1098" t="s">
        <v>233</v>
      </c>
      <c r="F1098" t="s">
        <v>30</v>
      </c>
      <c r="G1098" s="6">
        <v>45291</v>
      </c>
      <c r="H1098" t="s">
        <v>6811</v>
      </c>
      <c r="I1098" t="s">
        <v>57</v>
      </c>
      <c r="J1098" t="s">
        <v>47</v>
      </c>
      <c r="K1098">
        <v>86.134999999999991</v>
      </c>
      <c r="L1098">
        <v>85.10499999999999</v>
      </c>
      <c r="M1098">
        <v>0.9880420270505601</v>
      </c>
      <c r="N1098">
        <v>0.9880420270505601</v>
      </c>
      <c r="O1098" t="s">
        <v>7241</v>
      </c>
      <c r="P1098" t="s">
        <v>7229</v>
      </c>
      <c r="Q1098" t="s">
        <v>3027</v>
      </c>
      <c r="R1098">
        <v>2</v>
      </c>
      <c r="S1098">
        <v>2</v>
      </c>
    </row>
    <row r="1099" spans="1:19" hidden="1" x14ac:dyDescent="0.3">
      <c r="A1099" t="s">
        <v>3024</v>
      </c>
      <c r="B1099" t="s">
        <v>3025</v>
      </c>
      <c r="D1099" t="s">
        <v>3011</v>
      </c>
      <c r="E1099" t="s">
        <v>233</v>
      </c>
      <c r="F1099" t="s">
        <v>30</v>
      </c>
      <c r="G1099" s="6">
        <v>45657</v>
      </c>
      <c r="H1099" t="s">
        <v>6816</v>
      </c>
      <c r="I1099" t="s">
        <v>57</v>
      </c>
      <c r="J1099" t="s">
        <v>78</v>
      </c>
      <c r="K1099">
        <v>36.78</v>
      </c>
      <c r="L1099">
        <v>44.65</v>
      </c>
      <c r="M1099">
        <v>1.213974986405655</v>
      </c>
      <c r="N1099">
        <v>1.213974986405655</v>
      </c>
      <c r="O1099" t="s">
        <v>6137</v>
      </c>
      <c r="P1099" t="s">
        <v>6138</v>
      </c>
      <c r="Q1099" t="s">
        <v>7242</v>
      </c>
      <c r="R1099">
        <v>2</v>
      </c>
      <c r="S1099">
        <v>2</v>
      </c>
    </row>
    <row r="1100" spans="1:19" hidden="1" x14ac:dyDescent="0.3">
      <c r="A1100" t="s">
        <v>3029</v>
      </c>
      <c r="B1100" t="s">
        <v>3030</v>
      </c>
      <c r="D1100" t="s">
        <v>3011</v>
      </c>
      <c r="E1100" t="s">
        <v>233</v>
      </c>
      <c r="F1100" t="s">
        <v>30</v>
      </c>
      <c r="G1100" s="6">
        <v>45291</v>
      </c>
      <c r="H1100" t="s">
        <v>6811</v>
      </c>
      <c r="I1100" t="s">
        <v>57</v>
      </c>
      <c r="J1100" t="s">
        <v>47</v>
      </c>
      <c r="K1100">
        <v>83.16</v>
      </c>
      <c r="L1100">
        <v>86.5</v>
      </c>
      <c r="M1100">
        <v>1.0401635401635401</v>
      </c>
      <c r="N1100">
        <v>1.0401635401635401</v>
      </c>
      <c r="O1100" t="s">
        <v>7243</v>
      </c>
      <c r="P1100" t="s">
        <v>6405</v>
      </c>
      <c r="Q1100" t="s">
        <v>3032</v>
      </c>
      <c r="R1100">
        <v>2</v>
      </c>
      <c r="S1100">
        <v>2</v>
      </c>
    </row>
    <row r="1101" spans="1:19" hidden="1" x14ac:dyDescent="0.3">
      <c r="A1101" t="s">
        <v>3029</v>
      </c>
      <c r="B1101" t="s">
        <v>3030</v>
      </c>
      <c r="D1101" t="s">
        <v>3011</v>
      </c>
      <c r="E1101" t="s">
        <v>233</v>
      </c>
      <c r="F1101" t="s">
        <v>30</v>
      </c>
      <c r="G1101" s="6">
        <v>45657</v>
      </c>
      <c r="H1101" t="s">
        <v>6816</v>
      </c>
      <c r="I1101" t="s">
        <v>57</v>
      </c>
      <c r="J1101" t="s">
        <v>78</v>
      </c>
      <c r="K1101">
        <v>34.4</v>
      </c>
      <c r="L1101">
        <v>35.71</v>
      </c>
      <c r="M1101">
        <v>1.038081395348837</v>
      </c>
      <c r="N1101">
        <v>1.038081395348837</v>
      </c>
      <c r="O1101" t="s">
        <v>6140</v>
      </c>
      <c r="P1101" t="s">
        <v>6141</v>
      </c>
      <c r="Q1101" t="s">
        <v>7244</v>
      </c>
      <c r="R1101">
        <v>2</v>
      </c>
      <c r="S1101">
        <v>2</v>
      </c>
    </row>
    <row r="1102" spans="1:19" hidden="1" x14ac:dyDescent="0.3">
      <c r="A1102" t="s">
        <v>3034</v>
      </c>
      <c r="B1102" t="s">
        <v>3035</v>
      </c>
      <c r="D1102" t="s">
        <v>3011</v>
      </c>
      <c r="E1102" t="s">
        <v>233</v>
      </c>
      <c r="F1102" t="s">
        <v>30</v>
      </c>
      <c r="G1102" s="6">
        <v>45291</v>
      </c>
      <c r="H1102" t="s">
        <v>6811</v>
      </c>
      <c r="I1102" t="s">
        <v>57</v>
      </c>
      <c r="J1102" t="s">
        <v>47</v>
      </c>
      <c r="K1102">
        <v>83.905000000000001</v>
      </c>
      <c r="L1102">
        <v>88.44</v>
      </c>
      <c r="M1102">
        <v>1.054049222334783</v>
      </c>
      <c r="N1102">
        <v>1.054049222334783</v>
      </c>
      <c r="O1102" t="s">
        <v>7245</v>
      </c>
      <c r="P1102" t="s">
        <v>7106</v>
      </c>
      <c r="Q1102" t="s">
        <v>3037</v>
      </c>
      <c r="R1102">
        <v>2</v>
      </c>
      <c r="S1102">
        <v>2</v>
      </c>
    </row>
    <row r="1103" spans="1:19" hidden="1" x14ac:dyDescent="0.3">
      <c r="A1103" t="s">
        <v>3034</v>
      </c>
      <c r="B1103" t="s">
        <v>3035</v>
      </c>
      <c r="D1103" t="s">
        <v>3011</v>
      </c>
      <c r="E1103" t="s">
        <v>233</v>
      </c>
      <c r="F1103" t="s">
        <v>30</v>
      </c>
      <c r="G1103" s="6">
        <v>45657</v>
      </c>
      <c r="H1103" t="s">
        <v>6816</v>
      </c>
      <c r="I1103" t="s">
        <v>57</v>
      </c>
      <c r="J1103" t="s">
        <v>78</v>
      </c>
      <c r="K1103">
        <v>44.99</v>
      </c>
      <c r="L1103">
        <v>60.75</v>
      </c>
      <c r="M1103">
        <v>1.3</v>
      </c>
      <c r="N1103">
        <v>1.3503000666814851</v>
      </c>
      <c r="O1103" t="s">
        <v>6144</v>
      </c>
      <c r="P1103" t="s">
        <v>6145</v>
      </c>
      <c r="Q1103" t="s">
        <v>7246</v>
      </c>
      <c r="R1103">
        <v>2</v>
      </c>
      <c r="S1103">
        <v>2</v>
      </c>
    </row>
    <row r="1104" spans="1:19" hidden="1" x14ac:dyDescent="0.3">
      <c r="A1104" t="s">
        <v>3039</v>
      </c>
      <c r="B1104" t="s">
        <v>3040</v>
      </c>
      <c r="D1104" t="s">
        <v>3011</v>
      </c>
      <c r="E1104" t="s">
        <v>233</v>
      </c>
      <c r="F1104" t="s">
        <v>30</v>
      </c>
      <c r="G1104" s="6">
        <v>45291</v>
      </c>
      <c r="H1104" t="s">
        <v>6811</v>
      </c>
      <c r="I1104" t="s">
        <v>57</v>
      </c>
      <c r="J1104" t="s">
        <v>47</v>
      </c>
      <c r="K1104">
        <v>82.44</v>
      </c>
      <c r="L1104">
        <v>89.164999999999992</v>
      </c>
      <c r="M1104">
        <v>1.081574478408539</v>
      </c>
      <c r="N1104">
        <v>1.081574478408539</v>
      </c>
      <c r="O1104" t="s">
        <v>7247</v>
      </c>
      <c r="P1104" t="s">
        <v>7248</v>
      </c>
      <c r="Q1104" t="s">
        <v>3042</v>
      </c>
      <c r="R1104">
        <v>2</v>
      </c>
      <c r="S1104">
        <v>2</v>
      </c>
    </row>
    <row r="1105" spans="1:19" hidden="1" x14ac:dyDescent="0.3">
      <c r="A1105" t="s">
        <v>3039</v>
      </c>
      <c r="B1105" t="s">
        <v>3040</v>
      </c>
      <c r="D1105" t="s">
        <v>3011</v>
      </c>
      <c r="E1105" t="s">
        <v>233</v>
      </c>
      <c r="F1105" t="s">
        <v>30</v>
      </c>
      <c r="G1105" s="6">
        <v>45657</v>
      </c>
      <c r="H1105" t="s">
        <v>6816</v>
      </c>
      <c r="I1105" t="s">
        <v>57</v>
      </c>
      <c r="J1105" t="s">
        <v>78</v>
      </c>
      <c r="K1105">
        <v>31.84</v>
      </c>
      <c r="L1105">
        <v>39.01</v>
      </c>
      <c r="M1105">
        <v>1.2251884422110551</v>
      </c>
      <c r="N1105">
        <v>1.2251884422110551</v>
      </c>
      <c r="O1105" t="s">
        <v>6148</v>
      </c>
      <c r="P1105" t="s">
        <v>6149</v>
      </c>
      <c r="Q1105" t="s">
        <v>7249</v>
      </c>
      <c r="R1105">
        <v>2</v>
      </c>
      <c r="S1105">
        <v>2</v>
      </c>
    </row>
    <row r="1106" spans="1:19" hidden="1" x14ac:dyDescent="0.3">
      <c r="A1106" t="s">
        <v>3044</v>
      </c>
      <c r="B1106" t="s">
        <v>3045</v>
      </c>
      <c r="D1106" t="s">
        <v>3011</v>
      </c>
      <c r="E1106" t="s">
        <v>233</v>
      </c>
      <c r="F1106" t="s">
        <v>30</v>
      </c>
      <c r="G1106" s="6">
        <v>45291</v>
      </c>
      <c r="H1106" t="s">
        <v>6811</v>
      </c>
      <c r="I1106" t="s">
        <v>57</v>
      </c>
      <c r="J1106" t="s">
        <v>47</v>
      </c>
      <c r="K1106">
        <v>75.694999999999993</v>
      </c>
      <c r="L1106">
        <v>73.394999999999996</v>
      </c>
      <c r="M1106">
        <v>0.96961490190897681</v>
      </c>
      <c r="N1106">
        <v>0.96961490190897681</v>
      </c>
      <c r="O1106" t="s">
        <v>7250</v>
      </c>
      <c r="P1106" t="s">
        <v>7251</v>
      </c>
      <c r="Q1106" t="s">
        <v>3047</v>
      </c>
      <c r="R1106">
        <v>2</v>
      </c>
      <c r="S1106">
        <v>2</v>
      </c>
    </row>
    <row r="1107" spans="1:19" hidden="1" x14ac:dyDescent="0.3">
      <c r="A1107" t="s">
        <v>3044</v>
      </c>
      <c r="B1107" t="s">
        <v>3045</v>
      </c>
      <c r="D1107" t="s">
        <v>3011</v>
      </c>
      <c r="E1107" t="s">
        <v>233</v>
      </c>
      <c r="F1107" t="s">
        <v>30</v>
      </c>
      <c r="G1107" s="6">
        <v>45657</v>
      </c>
      <c r="H1107" t="s">
        <v>6816</v>
      </c>
      <c r="I1107" t="s">
        <v>57</v>
      </c>
      <c r="J1107" t="s">
        <v>78</v>
      </c>
      <c r="K1107">
        <v>65.739999999999995</v>
      </c>
      <c r="L1107">
        <v>68.33</v>
      </c>
      <c r="M1107">
        <v>1.0393976270155161</v>
      </c>
      <c r="N1107">
        <v>1.0393976270155161</v>
      </c>
      <c r="O1107" t="s">
        <v>6153</v>
      </c>
      <c r="P1107" t="s">
        <v>6154</v>
      </c>
      <c r="Q1107" t="s">
        <v>7252</v>
      </c>
      <c r="R1107">
        <v>2</v>
      </c>
      <c r="S1107">
        <v>2</v>
      </c>
    </row>
    <row r="1108" spans="1:19" hidden="1" x14ac:dyDescent="0.3">
      <c r="A1108" t="s">
        <v>3049</v>
      </c>
      <c r="B1108" t="s">
        <v>3050</v>
      </c>
      <c r="D1108" t="s">
        <v>3011</v>
      </c>
      <c r="E1108" t="s">
        <v>233</v>
      </c>
      <c r="F1108" t="s">
        <v>30</v>
      </c>
      <c r="G1108" s="6">
        <v>45291</v>
      </c>
      <c r="H1108" t="s">
        <v>6811</v>
      </c>
      <c r="I1108" t="s">
        <v>57</v>
      </c>
      <c r="J1108" t="s">
        <v>47</v>
      </c>
      <c r="K1108">
        <v>77.164999999999992</v>
      </c>
      <c r="L1108">
        <v>83.5</v>
      </c>
      <c r="M1108">
        <v>1.0820968055465561</v>
      </c>
      <c r="N1108">
        <v>1.0820968055465561</v>
      </c>
      <c r="O1108" t="s">
        <v>7253</v>
      </c>
      <c r="P1108" t="s">
        <v>5402</v>
      </c>
      <c r="Q1108" t="s">
        <v>3052</v>
      </c>
      <c r="R1108">
        <v>2</v>
      </c>
      <c r="S1108">
        <v>2</v>
      </c>
    </row>
    <row r="1109" spans="1:19" hidden="1" x14ac:dyDescent="0.3">
      <c r="A1109" t="s">
        <v>3049</v>
      </c>
      <c r="B1109" t="s">
        <v>3050</v>
      </c>
      <c r="D1109" t="s">
        <v>3011</v>
      </c>
      <c r="E1109" t="s">
        <v>233</v>
      </c>
      <c r="F1109" t="s">
        <v>30</v>
      </c>
      <c r="G1109" s="6">
        <v>45657</v>
      </c>
      <c r="H1109" t="s">
        <v>6816</v>
      </c>
      <c r="I1109" t="s">
        <v>57</v>
      </c>
      <c r="J1109" t="s">
        <v>78</v>
      </c>
      <c r="K1109">
        <v>50.22</v>
      </c>
      <c r="L1109">
        <v>52.92</v>
      </c>
      <c r="M1109">
        <v>1.053763440860215</v>
      </c>
      <c r="N1109">
        <v>1.053763440860215</v>
      </c>
      <c r="O1109" t="s">
        <v>6156</v>
      </c>
      <c r="P1109" t="s">
        <v>6157</v>
      </c>
      <c r="Q1109" t="s">
        <v>7254</v>
      </c>
      <c r="R1109">
        <v>2</v>
      </c>
      <c r="S1109">
        <v>2</v>
      </c>
    </row>
    <row r="1110" spans="1:19" hidden="1" x14ac:dyDescent="0.3">
      <c r="A1110" t="s">
        <v>3054</v>
      </c>
      <c r="B1110" t="s">
        <v>3055</v>
      </c>
      <c r="D1110" t="s">
        <v>3011</v>
      </c>
      <c r="E1110" t="s">
        <v>233</v>
      </c>
      <c r="F1110" t="s">
        <v>30</v>
      </c>
      <c r="G1110" s="6">
        <v>45291</v>
      </c>
      <c r="H1110" t="s">
        <v>6811</v>
      </c>
      <c r="I1110" t="s">
        <v>57</v>
      </c>
      <c r="J1110" t="s">
        <v>47</v>
      </c>
      <c r="K1110">
        <v>80.19</v>
      </c>
      <c r="L1110">
        <v>86.53</v>
      </c>
      <c r="M1110">
        <v>1.0790622272103749</v>
      </c>
      <c r="N1110">
        <v>1.0790622272103749</v>
      </c>
      <c r="O1110" t="s">
        <v>7255</v>
      </c>
      <c r="P1110" t="s">
        <v>6240</v>
      </c>
      <c r="Q1110" t="s">
        <v>3057</v>
      </c>
      <c r="R1110">
        <v>2</v>
      </c>
      <c r="S1110">
        <v>2</v>
      </c>
    </row>
    <row r="1111" spans="1:19" hidden="1" x14ac:dyDescent="0.3">
      <c r="A1111" t="s">
        <v>3054</v>
      </c>
      <c r="B1111" t="s">
        <v>3055</v>
      </c>
      <c r="D1111" t="s">
        <v>3011</v>
      </c>
      <c r="E1111" t="s">
        <v>233</v>
      </c>
      <c r="F1111" t="s">
        <v>30</v>
      </c>
      <c r="G1111" s="6">
        <v>45657</v>
      </c>
      <c r="H1111" t="s">
        <v>6816</v>
      </c>
      <c r="I1111" t="s">
        <v>57</v>
      </c>
      <c r="J1111" t="s">
        <v>78</v>
      </c>
      <c r="K1111">
        <v>58.85</v>
      </c>
      <c r="L1111">
        <v>65.08</v>
      </c>
      <c r="M1111">
        <v>1.1058623619371279</v>
      </c>
      <c r="N1111">
        <v>1.1058623619371279</v>
      </c>
      <c r="O1111" t="s">
        <v>6160</v>
      </c>
      <c r="P1111" t="s">
        <v>6161</v>
      </c>
      <c r="Q1111" t="s">
        <v>7256</v>
      </c>
      <c r="R1111">
        <v>2</v>
      </c>
      <c r="S1111">
        <v>2</v>
      </c>
    </row>
    <row r="1112" spans="1:19" hidden="1" x14ac:dyDescent="0.3">
      <c r="A1112" t="s">
        <v>3059</v>
      </c>
      <c r="B1112" t="s">
        <v>3060</v>
      </c>
      <c r="D1112" t="s">
        <v>3011</v>
      </c>
      <c r="E1112" t="s">
        <v>233</v>
      </c>
      <c r="F1112" t="s">
        <v>30</v>
      </c>
      <c r="G1112" s="6">
        <v>45291</v>
      </c>
      <c r="H1112" t="s">
        <v>6811</v>
      </c>
      <c r="I1112" t="s">
        <v>57</v>
      </c>
      <c r="J1112" t="s">
        <v>47</v>
      </c>
      <c r="K1112">
        <v>84.825000000000003</v>
      </c>
      <c r="L1112">
        <v>84.375</v>
      </c>
      <c r="M1112">
        <v>0.99469496021220161</v>
      </c>
      <c r="N1112">
        <v>0.99469496021220161</v>
      </c>
      <c r="O1112" t="s">
        <v>7257</v>
      </c>
      <c r="P1112" t="s">
        <v>7258</v>
      </c>
      <c r="Q1112" t="s">
        <v>3062</v>
      </c>
      <c r="R1112">
        <v>2</v>
      </c>
      <c r="S1112">
        <v>2</v>
      </c>
    </row>
    <row r="1113" spans="1:19" hidden="1" x14ac:dyDescent="0.3">
      <c r="A1113" t="s">
        <v>3059</v>
      </c>
      <c r="B1113" t="s">
        <v>3060</v>
      </c>
      <c r="D1113" t="s">
        <v>3011</v>
      </c>
      <c r="E1113" t="s">
        <v>233</v>
      </c>
      <c r="F1113" t="s">
        <v>30</v>
      </c>
      <c r="G1113" s="6">
        <v>45657</v>
      </c>
      <c r="H1113" t="s">
        <v>6816</v>
      </c>
      <c r="I1113" t="s">
        <v>57</v>
      </c>
      <c r="J1113" t="s">
        <v>78</v>
      </c>
      <c r="K1113">
        <v>44.13</v>
      </c>
      <c r="L1113">
        <v>58.56</v>
      </c>
      <c r="M1113">
        <v>1.3</v>
      </c>
      <c r="N1113">
        <v>1.326988443235894</v>
      </c>
      <c r="O1113" t="s">
        <v>6163</v>
      </c>
      <c r="P1113" t="s">
        <v>6164</v>
      </c>
      <c r="Q1113" t="s">
        <v>7259</v>
      </c>
      <c r="R1113">
        <v>2</v>
      </c>
      <c r="S1113">
        <v>2</v>
      </c>
    </row>
    <row r="1114" spans="1:19" hidden="1" x14ac:dyDescent="0.3">
      <c r="A1114" t="s">
        <v>3064</v>
      </c>
      <c r="B1114" t="s">
        <v>3065</v>
      </c>
      <c r="D1114" t="s">
        <v>3011</v>
      </c>
      <c r="E1114" t="s">
        <v>233</v>
      </c>
      <c r="F1114" t="s">
        <v>30</v>
      </c>
      <c r="G1114" s="6">
        <v>45291</v>
      </c>
      <c r="H1114" t="s">
        <v>6811</v>
      </c>
      <c r="I1114" t="s">
        <v>57</v>
      </c>
      <c r="J1114" t="s">
        <v>47</v>
      </c>
      <c r="K1114">
        <v>80.710000000000008</v>
      </c>
      <c r="L1114">
        <v>83.835000000000008</v>
      </c>
      <c r="M1114">
        <v>1.0387188700284971</v>
      </c>
      <c r="N1114">
        <v>1.0387188700284971</v>
      </c>
      <c r="O1114" t="s">
        <v>7260</v>
      </c>
      <c r="P1114" t="s">
        <v>7261</v>
      </c>
      <c r="Q1114" t="s">
        <v>3067</v>
      </c>
      <c r="R1114">
        <v>2</v>
      </c>
      <c r="S1114">
        <v>2</v>
      </c>
    </row>
    <row r="1115" spans="1:19" hidden="1" x14ac:dyDescent="0.3">
      <c r="A1115" t="s">
        <v>3064</v>
      </c>
      <c r="B1115" t="s">
        <v>3065</v>
      </c>
      <c r="D1115" t="s">
        <v>3011</v>
      </c>
      <c r="E1115" t="s">
        <v>233</v>
      </c>
      <c r="F1115" t="s">
        <v>30</v>
      </c>
      <c r="G1115" s="6">
        <v>45657</v>
      </c>
      <c r="H1115" t="s">
        <v>6816</v>
      </c>
      <c r="I1115" t="s">
        <v>57</v>
      </c>
      <c r="J1115" t="s">
        <v>78</v>
      </c>
      <c r="K1115">
        <v>44.29</v>
      </c>
      <c r="L1115">
        <v>44.65</v>
      </c>
      <c r="M1115">
        <v>1.008128245653646</v>
      </c>
      <c r="N1115">
        <v>1.008128245653646</v>
      </c>
      <c r="O1115" t="s">
        <v>6167</v>
      </c>
      <c r="P1115" t="s">
        <v>6138</v>
      </c>
      <c r="Q1115" t="s">
        <v>7262</v>
      </c>
      <c r="R1115">
        <v>2</v>
      </c>
      <c r="S1115">
        <v>2</v>
      </c>
    </row>
    <row r="1116" spans="1:19" hidden="1" x14ac:dyDescent="0.3">
      <c r="A1116" t="s">
        <v>3069</v>
      </c>
      <c r="B1116" t="s">
        <v>3070</v>
      </c>
      <c r="D1116" t="s">
        <v>3071</v>
      </c>
      <c r="E1116" t="s">
        <v>222</v>
      </c>
      <c r="F1116" t="s">
        <v>30</v>
      </c>
      <c r="G1116" s="6">
        <v>45291</v>
      </c>
      <c r="H1116" t="s">
        <v>6811</v>
      </c>
      <c r="I1116" t="s">
        <v>57</v>
      </c>
      <c r="J1116" t="s">
        <v>47</v>
      </c>
      <c r="K1116">
        <v>100</v>
      </c>
      <c r="L1116">
        <v>100</v>
      </c>
      <c r="M1116">
        <v>1</v>
      </c>
      <c r="N1116">
        <v>1</v>
      </c>
      <c r="O1116" t="s">
        <v>102</v>
      </c>
      <c r="P1116" t="s">
        <v>102</v>
      </c>
      <c r="Q1116" t="s">
        <v>3073</v>
      </c>
      <c r="R1116">
        <v>2</v>
      </c>
      <c r="S1116">
        <v>2</v>
      </c>
    </row>
    <row r="1117" spans="1:19" hidden="1" x14ac:dyDescent="0.3">
      <c r="A1117" t="s">
        <v>3069</v>
      </c>
      <c r="B1117" t="s">
        <v>3070</v>
      </c>
      <c r="D1117" t="s">
        <v>3071</v>
      </c>
      <c r="E1117" t="s">
        <v>222</v>
      </c>
      <c r="F1117" t="s">
        <v>30</v>
      </c>
      <c r="G1117" s="6">
        <v>45657</v>
      </c>
      <c r="H1117" t="s">
        <v>6816</v>
      </c>
      <c r="I1117" t="s">
        <v>57</v>
      </c>
      <c r="J1117" t="s">
        <v>78</v>
      </c>
      <c r="K1117">
        <v>96</v>
      </c>
      <c r="L1117">
        <v>100</v>
      </c>
      <c r="M1117">
        <v>1.041666666666667</v>
      </c>
      <c r="N1117">
        <v>1.041666666666667</v>
      </c>
      <c r="O1117" t="s">
        <v>668</v>
      </c>
      <c r="P1117" t="s">
        <v>102</v>
      </c>
      <c r="Q1117" t="s">
        <v>3075</v>
      </c>
      <c r="R1117">
        <v>2</v>
      </c>
      <c r="S1117">
        <v>2</v>
      </c>
    </row>
    <row r="1118" spans="1:19" hidden="1" x14ac:dyDescent="0.3">
      <c r="A1118" t="s">
        <v>3076</v>
      </c>
      <c r="B1118" t="s">
        <v>3077</v>
      </c>
      <c r="C1118" t="s">
        <v>6622</v>
      </c>
      <c r="D1118" t="s">
        <v>3071</v>
      </c>
      <c r="E1118" t="s">
        <v>222</v>
      </c>
      <c r="F1118" t="s">
        <v>30</v>
      </c>
      <c r="G1118" s="6">
        <v>45291</v>
      </c>
      <c r="H1118" t="s">
        <v>6811</v>
      </c>
      <c r="I1118" t="s">
        <v>57</v>
      </c>
      <c r="J1118" t="s">
        <v>47</v>
      </c>
      <c r="K1118">
        <v>365000000</v>
      </c>
      <c r="L1118">
        <v>708574118.5</v>
      </c>
      <c r="M1118">
        <v>1.3</v>
      </c>
      <c r="N1118">
        <v>1.941298954794521</v>
      </c>
      <c r="O1118" t="s">
        <v>7263</v>
      </c>
      <c r="P1118" t="s">
        <v>7264</v>
      </c>
      <c r="Q1118" t="s">
        <v>3079</v>
      </c>
      <c r="R1118">
        <v>2</v>
      </c>
      <c r="S1118">
        <v>2</v>
      </c>
    </row>
    <row r="1119" spans="1:19" hidden="1" x14ac:dyDescent="0.3">
      <c r="A1119" t="s">
        <v>3076</v>
      </c>
      <c r="B1119" t="s">
        <v>3077</v>
      </c>
      <c r="C1119" t="s">
        <v>6622</v>
      </c>
      <c r="D1119" t="s">
        <v>3071</v>
      </c>
      <c r="E1119" t="s">
        <v>222</v>
      </c>
      <c r="F1119" t="s">
        <v>30</v>
      </c>
      <c r="G1119" s="6">
        <v>45657</v>
      </c>
      <c r="H1119" t="s">
        <v>6816</v>
      </c>
      <c r="I1119" t="s">
        <v>57</v>
      </c>
      <c r="J1119" t="s">
        <v>78</v>
      </c>
      <c r="K1119">
        <v>170500050</v>
      </c>
      <c r="L1119">
        <v>167276269.69499999</v>
      </c>
      <c r="M1119">
        <v>0.98109220316944179</v>
      </c>
      <c r="N1119">
        <v>0.98109220316944179</v>
      </c>
      <c r="O1119" t="s">
        <v>7265</v>
      </c>
      <c r="P1119" t="s">
        <v>7266</v>
      </c>
      <c r="Q1119" t="s">
        <v>3081</v>
      </c>
      <c r="R1119">
        <v>2</v>
      </c>
      <c r="S1119">
        <v>2</v>
      </c>
    </row>
    <row r="1120" spans="1:19" hidden="1" x14ac:dyDescent="0.3">
      <c r="A1120" t="s">
        <v>3076</v>
      </c>
      <c r="B1120" t="s">
        <v>3077</v>
      </c>
      <c r="C1120" t="s">
        <v>6622</v>
      </c>
      <c r="D1120" t="s">
        <v>3071</v>
      </c>
      <c r="E1120" t="s">
        <v>98</v>
      </c>
      <c r="F1120" t="s">
        <v>30</v>
      </c>
      <c r="G1120" s="6">
        <v>46022</v>
      </c>
      <c r="H1120" t="s">
        <v>6823</v>
      </c>
      <c r="I1120" t="s">
        <v>57</v>
      </c>
      <c r="J1120" t="s">
        <v>103</v>
      </c>
      <c r="K1120">
        <v>100</v>
      </c>
      <c r="L1120">
        <v>100.8</v>
      </c>
      <c r="M1120">
        <v>1.008</v>
      </c>
      <c r="N1120">
        <v>1.008</v>
      </c>
      <c r="O1120" t="s">
        <v>102</v>
      </c>
      <c r="P1120" t="s">
        <v>3083</v>
      </c>
      <c r="Q1120" t="s">
        <v>3084</v>
      </c>
      <c r="R1120">
        <v>2</v>
      </c>
      <c r="S1120">
        <v>2</v>
      </c>
    </row>
    <row r="1121" spans="1:19" hidden="1" x14ac:dyDescent="0.3">
      <c r="A1121" t="s">
        <v>3085</v>
      </c>
      <c r="B1121" t="s">
        <v>3086</v>
      </c>
      <c r="C1121" t="s">
        <v>6681</v>
      </c>
      <c r="D1121" t="s">
        <v>3071</v>
      </c>
      <c r="E1121" t="s">
        <v>98</v>
      </c>
      <c r="F1121" t="s">
        <v>30</v>
      </c>
      <c r="G1121" s="6">
        <v>45291</v>
      </c>
      <c r="H1121" t="s">
        <v>6811</v>
      </c>
      <c r="I1121" t="s">
        <v>57</v>
      </c>
      <c r="J1121" t="s">
        <v>47</v>
      </c>
      <c r="K1121">
        <v>15</v>
      </c>
      <c r="L1121">
        <v>15.45</v>
      </c>
      <c r="M1121">
        <v>1.03</v>
      </c>
      <c r="N1121">
        <v>1.03</v>
      </c>
      <c r="O1121" t="s">
        <v>3932</v>
      </c>
      <c r="P1121" t="s">
        <v>6175</v>
      </c>
      <c r="Q1121" t="s">
        <v>3087</v>
      </c>
      <c r="R1121">
        <v>2</v>
      </c>
      <c r="S1121">
        <v>2</v>
      </c>
    </row>
    <row r="1122" spans="1:19" hidden="1" x14ac:dyDescent="0.3">
      <c r="A1122" t="s">
        <v>3085</v>
      </c>
      <c r="B1122" t="s">
        <v>3086</v>
      </c>
      <c r="C1122" t="s">
        <v>6681</v>
      </c>
      <c r="D1122" t="s">
        <v>3071</v>
      </c>
      <c r="E1122" t="s">
        <v>98</v>
      </c>
      <c r="F1122" t="s">
        <v>108</v>
      </c>
      <c r="G1122" s="6">
        <v>45657</v>
      </c>
      <c r="H1122" t="s">
        <v>6816</v>
      </c>
      <c r="I1122" t="s">
        <v>57</v>
      </c>
      <c r="J1122" t="s">
        <v>78</v>
      </c>
      <c r="K1122">
        <v>15</v>
      </c>
      <c r="L1122">
        <v>13</v>
      </c>
      <c r="M1122">
        <v>1.153846153846154</v>
      </c>
      <c r="N1122">
        <v>1.153846153846154</v>
      </c>
      <c r="O1122" t="s">
        <v>3932</v>
      </c>
      <c r="P1122" t="s">
        <v>5550</v>
      </c>
      <c r="Q1122" t="s">
        <v>3088</v>
      </c>
      <c r="R1122">
        <v>2</v>
      </c>
      <c r="S1122">
        <v>2</v>
      </c>
    </row>
    <row r="1123" spans="1:19" hidden="1" x14ac:dyDescent="0.3">
      <c r="A1123" t="s">
        <v>3085</v>
      </c>
      <c r="B1123" t="s">
        <v>3086</v>
      </c>
      <c r="C1123" t="s">
        <v>6681</v>
      </c>
      <c r="D1123" t="s">
        <v>3071</v>
      </c>
      <c r="E1123" t="s">
        <v>98</v>
      </c>
      <c r="F1123" t="s">
        <v>108</v>
      </c>
      <c r="G1123" s="6">
        <v>46022</v>
      </c>
      <c r="H1123" t="s">
        <v>6823</v>
      </c>
      <c r="I1123" t="s">
        <v>57</v>
      </c>
      <c r="J1123" t="s">
        <v>103</v>
      </c>
      <c r="L1123">
        <v>12</v>
      </c>
      <c r="M1123">
        <v>0</v>
      </c>
      <c r="N1123">
        <v>0</v>
      </c>
      <c r="P1123" t="s">
        <v>3089</v>
      </c>
      <c r="Q1123" t="s">
        <v>3090</v>
      </c>
      <c r="R1123">
        <v>2</v>
      </c>
      <c r="S1123">
        <v>2</v>
      </c>
    </row>
    <row r="1124" spans="1:19" hidden="1" x14ac:dyDescent="0.3">
      <c r="A1124" t="s">
        <v>3091</v>
      </c>
      <c r="B1124" t="s">
        <v>3092</v>
      </c>
      <c r="C1124" t="s">
        <v>6622</v>
      </c>
      <c r="D1124" t="s">
        <v>3093</v>
      </c>
      <c r="E1124" t="s">
        <v>222</v>
      </c>
      <c r="F1124" t="s">
        <v>30</v>
      </c>
      <c r="G1124" s="6">
        <v>45291</v>
      </c>
      <c r="H1124" t="s">
        <v>6811</v>
      </c>
      <c r="I1124" t="s">
        <v>57</v>
      </c>
      <c r="J1124" t="s">
        <v>47</v>
      </c>
      <c r="K1124">
        <v>175</v>
      </c>
      <c r="L1124">
        <v>547</v>
      </c>
      <c r="M1124">
        <v>1.3</v>
      </c>
      <c r="N1124">
        <v>3.1257142857142859</v>
      </c>
      <c r="O1124" t="s">
        <v>5737</v>
      </c>
      <c r="P1124" t="s">
        <v>7267</v>
      </c>
      <c r="Q1124" t="s">
        <v>3095</v>
      </c>
      <c r="R1124">
        <v>2</v>
      </c>
      <c r="S1124">
        <v>2</v>
      </c>
    </row>
    <row r="1125" spans="1:19" hidden="1" x14ac:dyDescent="0.3">
      <c r="A1125" t="s">
        <v>3091</v>
      </c>
      <c r="B1125" t="s">
        <v>3092</v>
      </c>
      <c r="C1125" t="s">
        <v>6622</v>
      </c>
      <c r="D1125" t="s">
        <v>3093</v>
      </c>
      <c r="E1125" t="s">
        <v>222</v>
      </c>
      <c r="F1125" t="s">
        <v>30</v>
      </c>
      <c r="G1125" s="6">
        <v>45657</v>
      </c>
      <c r="H1125" t="s">
        <v>6816</v>
      </c>
      <c r="I1125" t="s">
        <v>57</v>
      </c>
      <c r="J1125" t="s">
        <v>78</v>
      </c>
      <c r="K1125">
        <v>500</v>
      </c>
      <c r="L1125">
        <v>776.5</v>
      </c>
      <c r="M1125">
        <v>1.3</v>
      </c>
      <c r="N1125">
        <v>1.5529999999999999</v>
      </c>
      <c r="O1125" t="s">
        <v>6178</v>
      </c>
      <c r="P1125" t="s">
        <v>7268</v>
      </c>
      <c r="Q1125" t="s">
        <v>3097</v>
      </c>
      <c r="R1125">
        <v>2</v>
      </c>
      <c r="S1125">
        <v>2</v>
      </c>
    </row>
    <row r="1126" spans="1:19" hidden="1" x14ac:dyDescent="0.3">
      <c r="A1126" t="s">
        <v>3091</v>
      </c>
      <c r="B1126" t="s">
        <v>3092</v>
      </c>
      <c r="C1126" t="s">
        <v>6622</v>
      </c>
      <c r="D1126" t="s">
        <v>3093</v>
      </c>
      <c r="E1126" t="s">
        <v>233</v>
      </c>
      <c r="F1126" t="s">
        <v>30</v>
      </c>
      <c r="G1126" s="6">
        <v>46022</v>
      </c>
      <c r="H1126" t="s">
        <v>6823</v>
      </c>
      <c r="I1126" t="s">
        <v>57</v>
      </c>
      <c r="J1126" t="s">
        <v>103</v>
      </c>
      <c r="K1126">
        <v>100</v>
      </c>
      <c r="L1126">
        <v>153.95333333333329</v>
      </c>
      <c r="M1126">
        <v>1.3</v>
      </c>
      <c r="N1126">
        <v>1.539533333333333</v>
      </c>
      <c r="O1126" t="s">
        <v>102</v>
      </c>
      <c r="P1126" t="s">
        <v>7269</v>
      </c>
      <c r="Q1126" t="s">
        <v>3106</v>
      </c>
      <c r="R1126">
        <v>2</v>
      </c>
      <c r="S1126">
        <v>2</v>
      </c>
    </row>
    <row r="1127" spans="1:19" hidden="1" x14ac:dyDescent="0.3">
      <c r="A1127" t="s">
        <v>3107</v>
      </c>
      <c r="B1127" t="s">
        <v>3108</v>
      </c>
      <c r="C1127" t="s">
        <v>6681</v>
      </c>
      <c r="D1127" t="s">
        <v>3093</v>
      </c>
      <c r="E1127" t="s">
        <v>222</v>
      </c>
      <c r="F1127" t="s">
        <v>30</v>
      </c>
      <c r="G1127" s="6">
        <v>45291</v>
      </c>
      <c r="H1127" t="s">
        <v>6811</v>
      </c>
      <c r="I1127" t="s">
        <v>57</v>
      </c>
      <c r="J1127" t="s">
        <v>47</v>
      </c>
      <c r="K1127">
        <v>17.5</v>
      </c>
      <c r="L1127">
        <v>49</v>
      </c>
      <c r="M1127">
        <v>1.3</v>
      </c>
      <c r="N1127">
        <v>2.8</v>
      </c>
      <c r="O1127" t="s">
        <v>7270</v>
      </c>
      <c r="P1127" t="s">
        <v>6294</v>
      </c>
      <c r="Q1127" t="s">
        <v>3110</v>
      </c>
      <c r="R1127">
        <v>2</v>
      </c>
      <c r="S1127">
        <v>2</v>
      </c>
    </row>
    <row r="1128" spans="1:19" hidden="1" x14ac:dyDescent="0.3">
      <c r="A1128" t="s">
        <v>3107</v>
      </c>
      <c r="B1128" t="s">
        <v>3111</v>
      </c>
      <c r="C1128" t="s">
        <v>6681</v>
      </c>
      <c r="D1128" t="s">
        <v>3093</v>
      </c>
      <c r="E1128" t="s">
        <v>222</v>
      </c>
      <c r="F1128" t="s">
        <v>30</v>
      </c>
      <c r="G1128" s="6">
        <v>45657</v>
      </c>
      <c r="H1128" t="s">
        <v>6816</v>
      </c>
      <c r="I1128" t="s">
        <v>57</v>
      </c>
      <c r="J1128" t="s">
        <v>78</v>
      </c>
      <c r="K1128">
        <v>90</v>
      </c>
      <c r="L1128">
        <v>116.5</v>
      </c>
      <c r="M1128">
        <v>1.294444444444445</v>
      </c>
      <c r="N1128">
        <v>1.294444444444445</v>
      </c>
      <c r="O1128" t="s">
        <v>256</v>
      </c>
      <c r="P1128" t="s">
        <v>7271</v>
      </c>
      <c r="Q1128" t="s">
        <v>3113</v>
      </c>
      <c r="R1128">
        <v>2</v>
      </c>
      <c r="S1128">
        <v>2</v>
      </c>
    </row>
    <row r="1129" spans="1:19" hidden="1" x14ac:dyDescent="0.3">
      <c r="A1129" t="s">
        <v>3107</v>
      </c>
      <c r="B1129" t="s">
        <v>3111</v>
      </c>
      <c r="C1129" t="s">
        <v>6681</v>
      </c>
      <c r="D1129" t="s">
        <v>3093</v>
      </c>
      <c r="E1129" t="s">
        <v>233</v>
      </c>
      <c r="F1129" t="s">
        <v>30</v>
      </c>
      <c r="G1129" s="6">
        <v>46022</v>
      </c>
      <c r="H1129" t="s">
        <v>6823</v>
      </c>
      <c r="I1129" t="s">
        <v>57</v>
      </c>
      <c r="J1129" t="s">
        <v>103</v>
      </c>
      <c r="K1129">
        <v>100</v>
      </c>
      <c r="L1129">
        <v>210.13</v>
      </c>
      <c r="M1129">
        <v>1.3</v>
      </c>
      <c r="N1129">
        <v>2.1013000000000002</v>
      </c>
      <c r="O1129" t="s">
        <v>102</v>
      </c>
      <c r="P1129" t="s">
        <v>7272</v>
      </c>
      <c r="Q1129" t="s">
        <v>3122</v>
      </c>
      <c r="R1129">
        <v>2</v>
      </c>
      <c r="S1129">
        <v>2</v>
      </c>
    </row>
    <row r="1130" spans="1:19" hidden="1" x14ac:dyDescent="0.3">
      <c r="A1130" t="s">
        <v>3123</v>
      </c>
      <c r="B1130" t="s">
        <v>3124</v>
      </c>
      <c r="D1130" t="s">
        <v>3071</v>
      </c>
      <c r="E1130" t="s">
        <v>222</v>
      </c>
      <c r="F1130" t="s">
        <v>30</v>
      </c>
      <c r="G1130" s="6">
        <v>45291</v>
      </c>
      <c r="H1130" t="s">
        <v>6811</v>
      </c>
      <c r="I1130" t="s">
        <v>57</v>
      </c>
      <c r="J1130" t="s">
        <v>47</v>
      </c>
      <c r="K1130">
        <v>80</v>
      </c>
      <c r="L1130">
        <v>88.89</v>
      </c>
      <c r="M1130">
        <v>1.1111249999999999</v>
      </c>
      <c r="N1130">
        <v>1.1111249999999999</v>
      </c>
      <c r="O1130" t="s">
        <v>193</v>
      </c>
      <c r="P1130" t="s">
        <v>440</v>
      </c>
      <c r="Q1130" t="s">
        <v>3125</v>
      </c>
      <c r="R1130">
        <v>2</v>
      </c>
      <c r="S1130">
        <v>2</v>
      </c>
    </row>
    <row r="1131" spans="1:19" hidden="1" x14ac:dyDescent="0.3">
      <c r="A1131" t="s">
        <v>3123</v>
      </c>
      <c r="B1131" t="s">
        <v>3124</v>
      </c>
      <c r="D1131" t="s">
        <v>3126</v>
      </c>
      <c r="E1131" t="s">
        <v>222</v>
      </c>
      <c r="F1131" t="s">
        <v>30</v>
      </c>
      <c r="G1131" s="6">
        <v>45657</v>
      </c>
      <c r="H1131" t="s">
        <v>6816</v>
      </c>
      <c r="I1131" t="s">
        <v>57</v>
      </c>
      <c r="J1131" t="s">
        <v>78</v>
      </c>
      <c r="K1131">
        <v>80</v>
      </c>
      <c r="L1131">
        <v>88.1</v>
      </c>
      <c r="M1131">
        <v>1.1012500000000001</v>
      </c>
      <c r="N1131">
        <v>1.1012500000000001</v>
      </c>
      <c r="O1131" t="s">
        <v>193</v>
      </c>
      <c r="P1131" t="s">
        <v>5390</v>
      </c>
      <c r="Q1131" t="s">
        <v>5314</v>
      </c>
      <c r="R1131">
        <v>2</v>
      </c>
      <c r="S1131">
        <v>2</v>
      </c>
    </row>
    <row r="1132" spans="1:19" hidden="1" x14ac:dyDescent="0.3">
      <c r="A1132" t="s">
        <v>3128</v>
      </c>
      <c r="B1132" t="s">
        <v>3129</v>
      </c>
      <c r="C1132" t="s">
        <v>6681</v>
      </c>
      <c r="D1132" t="s">
        <v>3071</v>
      </c>
      <c r="E1132" t="s">
        <v>222</v>
      </c>
      <c r="F1132" t="s">
        <v>30</v>
      </c>
      <c r="G1132" s="6">
        <v>45291</v>
      </c>
      <c r="H1132" t="s">
        <v>6811</v>
      </c>
      <c r="I1132" t="s">
        <v>57</v>
      </c>
      <c r="J1132" t="s">
        <v>47</v>
      </c>
      <c r="K1132">
        <v>80</v>
      </c>
      <c r="L1132">
        <v>92.014999999999986</v>
      </c>
      <c r="M1132">
        <v>1.1501874999999999</v>
      </c>
      <c r="N1132">
        <v>1.1501874999999999</v>
      </c>
      <c r="O1132" t="s">
        <v>193</v>
      </c>
      <c r="P1132" t="s">
        <v>5728</v>
      </c>
      <c r="Q1132" t="s">
        <v>3131</v>
      </c>
      <c r="R1132">
        <v>2</v>
      </c>
      <c r="S1132">
        <v>2</v>
      </c>
    </row>
    <row r="1133" spans="1:19" hidden="1" x14ac:dyDescent="0.3">
      <c r="A1133" t="s">
        <v>3128</v>
      </c>
      <c r="B1133" t="s">
        <v>3129</v>
      </c>
      <c r="C1133" t="s">
        <v>6681</v>
      </c>
      <c r="D1133" t="s">
        <v>3126</v>
      </c>
      <c r="E1133" t="s">
        <v>222</v>
      </c>
      <c r="F1133" t="s">
        <v>30</v>
      </c>
      <c r="G1133" s="6">
        <v>45657</v>
      </c>
      <c r="H1133" t="s">
        <v>6816</v>
      </c>
      <c r="I1133" t="s">
        <v>57</v>
      </c>
      <c r="J1133" t="s">
        <v>78</v>
      </c>
      <c r="K1133">
        <v>80</v>
      </c>
      <c r="L1133">
        <v>91.47999999999999</v>
      </c>
      <c r="M1133">
        <v>1.1435</v>
      </c>
      <c r="N1133">
        <v>1.1435</v>
      </c>
      <c r="O1133" t="s">
        <v>193</v>
      </c>
      <c r="P1133" t="s">
        <v>7273</v>
      </c>
      <c r="Q1133" t="s">
        <v>3133</v>
      </c>
      <c r="R1133">
        <v>2</v>
      </c>
      <c r="S1133">
        <v>2</v>
      </c>
    </row>
    <row r="1134" spans="1:19" hidden="1" x14ac:dyDescent="0.3">
      <c r="A1134" t="s">
        <v>3128</v>
      </c>
      <c r="B1134" t="s">
        <v>3134</v>
      </c>
      <c r="C1134" t="s">
        <v>6681</v>
      </c>
      <c r="D1134" t="s">
        <v>3126</v>
      </c>
      <c r="E1134" t="s">
        <v>222</v>
      </c>
      <c r="F1134" t="s">
        <v>30</v>
      </c>
      <c r="G1134" s="6">
        <v>46022</v>
      </c>
      <c r="H1134" t="s">
        <v>6823</v>
      </c>
      <c r="I1134" t="s">
        <v>57</v>
      </c>
      <c r="J1134" t="s">
        <v>103</v>
      </c>
      <c r="K1134">
        <v>90</v>
      </c>
      <c r="L1134">
        <v>95.7</v>
      </c>
      <c r="M1134">
        <v>1.063333333333333</v>
      </c>
      <c r="N1134">
        <v>1.063333333333333</v>
      </c>
      <c r="O1134" t="s">
        <v>256</v>
      </c>
      <c r="P1134" t="s">
        <v>7274</v>
      </c>
      <c r="Q1134" t="s">
        <v>3140</v>
      </c>
      <c r="R1134">
        <v>2</v>
      </c>
      <c r="S1134">
        <v>2</v>
      </c>
    </row>
    <row r="1135" spans="1:19" hidden="1" x14ac:dyDescent="0.3">
      <c r="A1135" t="s">
        <v>3141</v>
      </c>
      <c r="B1135" t="s">
        <v>3142</v>
      </c>
      <c r="C1135" t="s">
        <v>6681</v>
      </c>
      <c r="D1135" t="s">
        <v>3143</v>
      </c>
      <c r="E1135" t="s">
        <v>222</v>
      </c>
      <c r="F1135" t="s">
        <v>30</v>
      </c>
      <c r="G1135" s="6">
        <v>45291</v>
      </c>
      <c r="H1135" t="s">
        <v>6811</v>
      </c>
      <c r="I1135" t="s">
        <v>57</v>
      </c>
      <c r="J1135" t="s">
        <v>47</v>
      </c>
      <c r="K1135">
        <v>1000</v>
      </c>
      <c r="L1135">
        <v>2456</v>
      </c>
      <c r="M1135">
        <v>1.3</v>
      </c>
      <c r="N1135">
        <v>2.456</v>
      </c>
      <c r="O1135" t="s">
        <v>6187</v>
      </c>
      <c r="P1135" t="s">
        <v>7275</v>
      </c>
      <c r="Q1135" t="s">
        <v>3145</v>
      </c>
      <c r="R1135">
        <v>2</v>
      </c>
      <c r="S1135">
        <v>2</v>
      </c>
    </row>
    <row r="1136" spans="1:19" hidden="1" x14ac:dyDescent="0.3">
      <c r="A1136" t="s">
        <v>3141</v>
      </c>
      <c r="B1136" t="s">
        <v>3142</v>
      </c>
      <c r="C1136" t="s">
        <v>6681</v>
      </c>
      <c r="D1136" t="s">
        <v>3143</v>
      </c>
      <c r="E1136" t="s">
        <v>222</v>
      </c>
      <c r="F1136" t="s">
        <v>30</v>
      </c>
      <c r="G1136" s="6">
        <v>45657</v>
      </c>
      <c r="H1136" t="s">
        <v>6816</v>
      </c>
      <c r="I1136" t="s">
        <v>57</v>
      </c>
      <c r="J1136" t="s">
        <v>78</v>
      </c>
      <c r="K1136">
        <v>1250</v>
      </c>
      <c r="L1136">
        <v>2739</v>
      </c>
      <c r="M1136">
        <v>1.3</v>
      </c>
      <c r="N1136">
        <v>2.1911999999999998</v>
      </c>
      <c r="O1136" t="s">
        <v>6190</v>
      </c>
      <c r="P1136" t="s">
        <v>7276</v>
      </c>
      <c r="Q1136" t="s">
        <v>3147</v>
      </c>
      <c r="R1136">
        <v>2</v>
      </c>
      <c r="S1136">
        <v>2</v>
      </c>
    </row>
    <row r="1137" spans="1:19" hidden="1" x14ac:dyDescent="0.3">
      <c r="A1137" t="s">
        <v>3141</v>
      </c>
      <c r="B1137" t="s">
        <v>3142</v>
      </c>
      <c r="C1137" t="s">
        <v>6681</v>
      </c>
      <c r="D1137" t="s">
        <v>3143</v>
      </c>
      <c r="E1137" t="s">
        <v>222</v>
      </c>
      <c r="F1137" t="s">
        <v>30</v>
      </c>
      <c r="G1137" s="6">
        <v>46022</v>
      </c>
      <c r="H1137" t="s">
        <v>6823</v>
      </c>
      <c r="I1137" t="s">
        <v>57</v>
      </c>
      <c r="J1137" t="s">
        <v>103</v>
      </c>
      <c r="K1137">
        <v>100</v>
      </c>
      <c r="L1137">
        <v>164.10499999999999</v>
      </c>
      <c r="M1137">
        <v>1.3</v>
      </c>
      <c r="N1137">
        <v>1.6410499999999999</v>
      </c>
      <c r="O1137" t="s">
        <v>102</v>
      </c>
      <c r="P1137" t="s">
        <v>7277</v>
      </c>
      <c r="Q1137" t="s">
        <v>3153</v>
      </c>
      <c r="R1137">
        <v>2</v>
      </c>
      <c r="S1137">
        <v>2</v>
      </c>
    </row>
    <row r="1138" spans="1:19" hidden="1" x14ac:dyDescent="0.3">
      <c r="A1138" t="s">
        <v>3154</v>
      </c>
      <c r="B1138" t="s">
        <v>3155</v>
      </c>
      <c r="C1138" t="s">
        <v>6681</v>
      </c>
      <c r="D1138" t="s">
        <v>3143</v>
      </c>
      <c r="E1138" t="s">
        <v>222</v>
      </c>
      <c r="F1138" t="s">
        <v>30</v>
      </c>
      <c r="G1138" s="6">
        <v>45291</v>
      </c>
      <c r="H1138" t="s">
        <v>6811</v>
      </c>
      <c r="I1138" t="s">
        <v>57</v>
      </c>
      <c r="J1138" t="s">
        <v>47</v>
      </c>
      <c r="K1138">
        <v>500</v>
      </c>
      <c r="L1138">
        <v>667</v>
      </c>
      <c r="M1138">
        <v>1.3</v>
      </c>
      <c r="N1138">
        <v>1.3340000000000001</v>
      </c>
      <c r="O1138" t="s">
        <v>6178</v>
      </c>
      <c r="P1138" t="s">
        <v>7278</v>
      </c>
      <c r="Q1138" t="s">
        <v>3157</v>
      </c>
      <c r="R1138">
        <v>2</v>
      </c>
      <c r="S1138">
        <v>2</v>
      </c>
    </row>
    <row r="1139" spans="1:19" hidden="1" x14ac:dyDescent="0.3">
      <c r="A1139" t="s">
        <v>3154</v>
      </c>
      <c r="B1139" t="s">
        <v>3158</v>
      </c>
      <c r="C1139" t="s">
        <v>6681</v>
      </c>
      <c r="D1139" t="s">
        <v>3143</v>
      </c>
      <c r="E1139" t="s">
        <v>222</v>
      </c>
      <c r="F1139" t="s">
        <v>30</v>
      </c>
      <c r="G1139" s="6">
        <v>45657</v>
      </c>
      <c r="H1139" t="s">
        <v>6816</v>
      </c>
      <c r="I1139" t="s">
        <v>57</v>
      </c>
      <c r="J1139" t="s">
        <v>78</v>
      </c>
      <c r="K1139">
        <v>625</v>
      </c>
      <c r="L1139">
        <v>696</v>
      </c>
      <c r="M1139">
        <v>1.1135999999999999</v>
      </c>
      <c r="N1139">
        <v>1.1135999999999999</v>
      </c>
      <c r="O1139" t="s">
        <v>6195</v>
      </c>
      <c r="P1139" t="s">
        <v>6196</v>
      </c>
      <c r="Q1139" t="s">
        <v>3160</v>
      </c>
      <c r="R1139">
        <v>2</v>
      </c>
      <c r="S1139">
        <v>2</v>
      </c>
    </row>
    <row r="1140" spans="1:19" hidden="1" x14ac:dyDescent="0.3">
      <c r="A1140" t="s">
        <v>3154</v>
      </c>
      <c r="B1140" t="s">
        <v>3158</v>
      </c>
      <c r="C1140" t="s">
        <v>6681</v>
      </c>
      <c r="D1140" t="s">
        <v>3143</v>
      </c>
      <c r="E1140" t="s">
        <v>222</v>
      </c>
      <c r="F1140" t="s">
        <v>30</v>
      </c>
      <c r="G1140" s="6">
        <v>46022</v>
      </c>
      <c r="H1140" t="s">
        <v>6823</v>
      </c>
      <c r="I1140" t="s">
        <v>57</v>
      </c>
      <c r="J1140" t="s">
        <v>103</v>
      </c>
      <c r="K1140">
        <v>100</v>
      </c>
      <c r="L1140">
        <v>104.53</v>
      </c>
      <c r="M1140">
        <v>1.0452999999999999</v>
      </c>
      <c r="N1140">
        <v>1.0452999999999999</v>
      </c>
      <c r="O1140" t="s">
        <v>102</v>
      </c>
      <c r="P1140" t="s">
        <v>7279</v>
      </c>
      <c r="Q1140" t="s">
        <v>3166</v>
      </c>
      <c r="R1140">
        <v>2</v>
      </c>
      <c r="S1140">
        <v>2</v>
      </c>
    </row>
    <row r="1141" spans="1:19" hidden="1" x14ac:dyDescent="0.3">
      <c r="A1141" t="s">
        <v>3167</v>
      </c>
      <c r="B1141" t="s">
        <v>3168</v>
      </c>
      <c r="D1141" t="s">
        <v>187</v>
      </c>
      <c r="E1141" t="s">
        <v>29</v>
      </c>
      <c r="F1141" t="s">
        <v>30</v>
      </c>
      <c r="G1141" s="6">
        <v>44926</v>
      </c>
      <c r="H1141" t="s">
        <v>6819</v>
      </c>
      <c r="I1141" t="s">
        <v>57</v>
      </c>
      <c r="J1141" t="s">
        <v>90</v>
      </c>
      <c r="K1141">
        <v>39</v>
      </c>
      <c r="L1141">
        <v>37</v>
      </c>
      <c r="M1141">
        <v>0.94871794871794868</v>
      </c>
      <c r="N1141">
        <v>0.94871794871794868</v>
      </c>
      <c r="O1141" t="s">
        <v>6197</v>
      </c>
      <c r="P1141" t="s">
        <v>5593</v>
      </c>
      <c r="Q1141" t="s">
        <v>3169</v>
      </c>
      <c r="R1141">
        <v>2</v>
      </c>
      <c r="S1141">
        <v>2</v>
      </c>
    </row>
    <row r="1142" spans="1:19" hidden="1" x14ac:dyDescent="0.3">
      <c r="A1142" t="s">
        <v>3167</v>
      </c>
      <c r="B1142" t="s">
        <v>3168</v>
      </c>
      <c r="D1142" t="s">
        <v>3170</v>
      </c>
      <c r="E1142" t="s">
        <v>29</v>
      </c>
      <c r="F1142" t="s">
        <v>30</v>
      </c>
      <c r="G1142" s="6">
        <v>45291</v>
      </c>
      <c r="H1142" t="s">
        <v>6811</v>
      </c>
      <c r="I1142" t="s">
        <v>57</v>
      </c>
      <c r="J1142" t="s">
        <v>47</v>
      </c>
      <c r="K1142">
        <v>88.583333333333329</v>
      </c>
      <c r="L1142">
        <v>88.75</v>
      </c>
      <c r="M1142">
        <v>1.001881467544685</v>
      </c>
      <c r="N1142">
        <v>1.001881467544685</v>
      </c>
      <c r="O1142" t="s">
        <v>7280</v>
      </c>
      <c r="P1142" t="s">
        <v>7281</v>
      </c>
      <c r="Q1142" t="s">
        <v>3182</v>
      </c>
      <c r="R1142">
        <v>2</v>
      </c>
      <c r="S1142">
        <v>2</v>
      </c>
    </row>
    <row r="1143" spans="1:19" hidden="1" x14ac:dyDescent="0.3">
      <c r="A1143" t="s">
        <v>3183</v>
      </c>
      <c r="B1143" t="s">
        <v>3184</v>
      </c>
      <c r="C1143" t="s">
        <v>6681</v>
      </c>
      <c r="D1143" t="s">
        <v>3143</v>
      </c>
      <c r="E1143" t="s">
        <v>222</v>
      </c>
      <c r="F1143" t="s">
        <v>30</v>
      </c>
      <c r="G1143" s="6">
        <v>45291</v>
      </c>
      <c r="H1143" t="s">
        <v>6811</v>
      </c>
      <c r="I1143" t="s">
        <v>57</v>
      </c>
      <c r="J1143" t="s">
        <v>47</v>
      </c>
      <c r="K1143">
        <v>35</v>
      </c>
      <c r="L1143">
        <v>88</v>
      </c>
      <c r="M1143">
        <v>1.3</v>
      </c>
      <c r="N1143">
        <v>2.5142857142857138</v>
      </c>
      <c r="O1143" t="s">
        <v>1516</v>
      </c>
      <c r="P1143" t="s">
        <v>4404</v>
      </c>
      <c r="Q1143" t="s">
        <v>3186</v>
      </c>
      <c r="R1143">
        <v>2</v>
      </c>
      <c r="S1143">
        <v>2</v>
      </c>
    </row>
    <row r="1144" spans="1:19" hidden="1" x14ac:dyDescent="0.3">
      <c r="A1144" t="s">
        <v>3183</v>
      </c>
      <c r="B1144" t="s">
        <v>3184</v>
      </c>
      <c r="C1144" t="s">
        <v>6681</v>
      </c>
      <c r="D1144" t="s">
        <v>3143</v>
      </c>
      <c r="E1144" t="s">
        <v>222</v>
      </c>
      <c r="F1144" t="s">
        <v>30</v>
      </c>
      <c r="G1144" s="6">
        <v>45657</v>
      </c>
      <c r="H1144" t="s">
        <v>6816</v>
      </c>
      <c r="I1144" t="s">
        <v>57</v>
      </c>
      <c r="J1144" t="s">
        <v>78</v>
      </c>
      <c r="K1144">
        <v>44</v>
      </c>
      <c r="L1144">
        <v>147</v>
      </c>
      <c r="M1144">
        <v>1.3</v>
      </c>
      <c r="N1144">
        <v>3.3409090909090908</v>
      </c>
      <c r="O1144" t="s">
        <v>6201</v>
      </c>
      <c r="P1144" t="s">
        <v>7282</v>
      </c>
      <c r="Q1144" t="s">
        <v>3188</v>
      </c>
      <c r="R1144">
        <v>2</v>
      </c>
      <c r="S1144">
        <v>2</v>
      </c>
    </row>
    <row r="1145" spans="1:19" hidden="1" x14ac:dyDescent="0.3">
      <c r="A1145" t="s">
        <v>3183</v>
      </c>
      <c r="B1145" t="s">
        <v>3184</v>
      </c>
      <c r="C1145" t="s">
        <v>6681</v>
      </c>
      <c r="D1145" t="s">
        <v>3143</v>
      </c>
      <c r="E1145" t="s">
        <v>222</v>
      </c>
      <c r="F1145" t="s">
        <v>30</v>
      </c>
      <c r="G1145" s="6">
        <v>46022</v>
      </c>
      <c r="H1145" t="s">
        <v>6823</v>
      </c>
      <c r="I1145" t="s">
        <v>57</v>
      </c>
      <c r="J1145" t="s">
        <v>103</v>
      </c>
      <c r="K1145">
        <v>100</v>
      </c>
      <c r="L1145">
        <v>125.07</v>
      </c>
      <c r="M1145">
        <v>1.2506999999999999</v>
      </c>
      <c r="N1145">
        <v>1.2506999999999999</v>
      </c>
      <c r="O1145" t="s">
        <v>102</v>
      </c>
      <c r="P1145" t="s">
        <v>7283</v>
      </c>
      <c r="Q1145" t="s">
        <v>3194</v>
      </c>
      <c r="R1145">
        <v>2</v>
      </c>
      <c r="S1145">
        <v>2</v>
      </c>
    </row>
    <row r="1146" spans="1:19" hidden="1" x14ac:dyDescent="0.3">
      <c r="A1146" t="s">
        <v>3195</v>
      </c>
      <c r="B1146" t="s">
        <v>3196</v>
      </c>
      <c r="C1146" t="s">
        <v>6681</v>
      </c>
      <c r="D1146" t="s">
        <v>3197</v>
      </c>
      <c r="E1146" t="s">
        <v>222</v>
      </c>
      <c r="F1146" t="s">
        <v>30</v>
      </c>
      <c r="G1146" s="6">
        <v>45291</v>
      </c>
      <c r="H1146" t="s">
        <v>6811</v>
      </c>
      <c r="I1146" t="s">
        <v>57</v>
      </c>
      <c r="J1146" t="s">
        <v>47</v>
      </c>
      <c r="K1146">
        <v>8</v>
      </c>
      <c r="L1146">
        <v>8.5</v>
      </c>
      <c r="M1146">
        <v>1.0625</v>
      </c>
      <c r="N1146">
        <v>1.0625</v>
      </c>
      <c r="O1146" t="s">
        <v>2145</v>
      </c>
      <c r="P1146" t="s">
        <v>7284</v>
      </c>
      <c r="Q1146" t="s">
        <v>3199</v>
      </c>
      <c r="R1146">
        <v>2</v>
      </c>
      <c r="S1146">
        <v>2</v>
      </c>
    </row>
    <row r="1147" spans="1:19" hidden="1" x14ac:dyDescent="0.3">
      <c r="A1147" t="s">
        <v>3195</v>
      </c>
      <c r="B1147" t="s">
        <v>3196</v>
      </c>
      <c r="C1147" t="s">
        <v>6681</v>
      </c>
      <c r="D1147" t="s">
        <v>3197</v>
      </c>
      <c r="E1147" t="s">
        <v>222</v>
      </c>
      <c r="F1147" t="s">
        <v>30</v>
      </c>
      <c r="G1147" s="6">
        <v>45657</v>
      </c>
      <c r="H1147" t="s">
        <v>6816</v>
      </c>
      <c r="I1147" t="s">
        <v>57</v>
      </c>
      <c r="J1147" t="s">
        <v>78</v>
      </c>
      <c r="K1147">
        <v>8</v>
      </c>
      <c r="L1147">
        <v>8.5</v>
      </c>
      <c r="M1147">
        <v>1.0625</v>
      </c>
      <c r="N1147">
        <v>1.0625</v>
      </c>
      <c r="O1147" t="s">
        <v>2145</v>
      </c>
      <c r="P1147" t="s">
        <v>7284</v>
      </c>
      <c r="Q1147" t="s">
        <v>3201</v>
      </c>
      <c r="R1147">
        <v>2</v>
      </c>
      <c r="S1147">
        <v>2</v>
      </c>
    </row>
    <row r="1148" spans="1:19" hidden="1" x14ac:dyDescent="0.3">
      <c r="A1148" t="s">
        <v>3195</v>
      </c>
      <c r="B1148" t="s">
        <v>3196</v>
      </c>
      <c r="C1148" t="s">
        <v>6681</v>
      </c>
      <c r="D1148" t="s">
        <v>3197</v>
      </c>
      <c r="E1148" t="s">
        <v>222</v>
      </c>
      <c r="F1148" t="s">
        <v>30</v>
      </c>
      <c r="G1148" s="6">
        <v>46022</v>
      </c>
      <c r="H1148" t="s">
        <v>6823</v>
      </c>
      <c r="I1148" t="s">
        <v>57</v>
      </c>
      <c r="J1148" t="s">
        <v>103</v>
      </c>
      <c r="K1148">
        <v>100</v>
      </c>
      <c r="L1148">
        <v>100</v>
      </c>
      <c r="M1148">
        <v>1</v>
      </c>
      <c r="N1148">
        <v>1</v>
      </c>
      <c r="O1148" t="s">
        <v>102</v>
      </c>
      <c r="P1148" t="s">
        <v>102</v>
      </c>
      <c r="Q1148" t="s">
        <v>3203</v>
      </c>
      <c r="R1148">
        <v>2</v>
      </c>
      <c r="S1148">
        <v>2</v>
      </c>
    </row>
    <row r="1149" spans="1:19" hidden="1" x14ac:dyDescent="0.3">
      <c r="A1149" t="s">
        <v>3204</v>
      </c>
      <c r="B1149" t="s">
        <v>3205</v>
      </c>
      <c r="C1149" t="s">
        <v>6622</v>
      </c>
      <c r="D1149" t="s">
        <v>3197</v>
      </c>
      <c r="E1149" t="s">
        <v>98</v>
      </c>
      <c r="F1149" t="s">
        <v>30</v>
      </c>
      <c r="G1149" s="6">
        <v>45291</v>
      </c>
      <c r="H1149" t="s">
        <v>6811</v>
      </c>
      <c r="I1149" t="s">
        <v>57</v>
      </c>
      <c r="J1149" t="s">
        <v>47</v>
      </c>
      <c r="L1149">
        <v>21000</v>
      </c>
      <c r="M1149">
        <v>0</v>
      </c>
      <c r="N1149">
        <v>0</v>
      </c>
      <c r="P1149" t="s">
        <v>6202</v>
      </c>
      <c r="Q1149" t="s">
        <v>3206</v>
      </c>
      <c r="R1149">
        <v>2</v>
      </c>
      <c r="S1149">
        <v>2</v>
      </c>
    </row>
    <row r="1150" spans="1:19" hidden="1" x14ac:dyDescent="0.3">
      <c r="A1150" t="s">
        <v>3204</v>
      </c>
      <c r="B1150" t="s">
        <v>3205</v>
      </c>
      <c r="C1150" t="s">
        <v>6622</v>
      </c>
      <c r="D1150" t="s">
        <v>3197</v>
      </c>
      <c r="E1150" t="s">
        <v>98</v>
      </c>
      <c r="F1150" t="s">
        <v>30</v>
      </c>
      <c r="G1150" s="6">
        <v>45657</v>
      </c>
      <c r="H1150" t="s">
        <v>6816</v>
      </c>
      <c r="I1150" t="s">
        <v>57</v>
      </c>
      <c r="J1150" t="s">
        <v>78</v>
      </c>
      <c r="K1150">
        <v>3</v>
      </c>
      <c r="L1150">
        <v>4.76</v>
      </c>
      <c r="M1150">
        <v>1.3</v>
      </c>
      <c r="N1150">
        <v>1.5866666666666669</v>
      </c>
      <c r="O1150" t="s">
        <v>1849</v>
      </c>
      <c r="P1150" t="s">
        <v>6203</v>
      </c>
      <c r="Q1150" t="s">
        <v>3207</v>
      </c>
      <c r="R1150">
        <v>2</v>
      </c>
      <c r="S1150">
        <v>2</v>
      </c>
    </row>
    <row r="1151" spans="1:19" hidden="1" x14ac:dyDescent="0.3">
      <c r="A1151" t="s">
        <v>3204</v>
      </c>
      <c r="B1151" t="s">
        <v>3205</v>
      </c>
      <c r="C1151" t="s">
        <v>6622</v>
      </c>
      <c r="D1151" t="s">
        <v>3197</v>
      </c>
      <c r="E1151" t="s">
        <v>98</v>
      </c>
      <c r="F1151" t="s">
        <v>30</v>
      </c>
      <c r="G1151" s="6">
        <v>46022</v>
      </c>
      <c r="H1151" t="s">
        <v>6823</v>
      </c>
      <c r="I1151" t="s">
        <v>57</v>
      </c>
      <c r="J1151" t="s">
        <v>103</v>
      </c>
      <c r="L1151">
        <v>22.73</v>
      </c>
      <c r="M1151">
        <v>0</v>
      </c>
      <c r="N1151">
        <v>0</v>
      </c>
      <c r="P1151" t="s">
        <v>3209</v>
      </c>
      <c r="Q1151" t="s">
        <v>3210</v>
      </c>
      <c r="R1151">
        <v>2</v>
      </c>
      <c r="S1151">
        <v>2</v>
      </c>
    </row>
    <row r="1152" spans="1:19" hidden="1" x14ac:dyDescent="0.3">
      <c r="A1152" t="s">
        <v>3211</v>
      </c>
      <c r="B1152" t="s">
        <v>3212</v>
      </c>
      <c r="C1152" t="s">
        <v>6622</v>
      </c>
      <c r="D1152" t="s">
        <v>3197</v>
      </c>
      <c r="E1152" t="s">
        <v>222</v>
      </c>
      <c r="F1152" t="s">
        <v>30</v>
      </c>
      <c r="G1152" s="6">
        <v>45291</v>
      </c>
      <c r="H1152" t="s">
        <v>6811</v>
      </c>
      <c r="I1152" t="s">
        <v>57</v>
      </c>
      <c r="J1152" t="s">
        <v>47</v>
      </c>
      <c r="L1152">
        <v>14220</v>
      </c>
      <c r="M1152">
        <v>0</v>
      </c>
      <c r="N1152">
        <v>0</v>
      </c>
      <c r="P1152" t="s">
        <v>6205</v>
      </c>
      <c r="Q1152" t="s">
        <v>3214</v>
      </c>
      <c r="R1152">
        <v>2</v>
      </c>
      <c r="S1152">
        <v>2</v>
      </c>
    </row>
    <row r="1153" spans="1:19" hidden="1" x14ac:dyDescent="0.3">
      <c r="A1153" t="s">
        <v>3211</v>
      </c>
      <c r="B1153" t="s">
        <v>3212</v>
      </c>
      <c r="C1153" t="s">
        <v>6622</v>
      </c>
      <c r="D1153" t="s">
        <v>3197</v>
      </c>
      <c r="E1153" t="s">
        <v>222</v>
      </c>
      <c r="F1153" t="s">
        <v>30</v>
      </c>
      <c r="G1153" s="6">
        <v>45657</v>
      </c>
      <c r="H1153" t="s">
        <v>6816</v>
      </c>
      <c r="I1153" t="s">
        <v>57</v>
      </c>
      <c r="J1153" t="s">
        <v>78</v>
      </c>
      <c r="L1153">
        <v>14495</v>
      </c>
      <c r="M1153">
        <v>0</v>
      </c>
      <c r="N1153">
        <v>0</v>
      </c>
      <c r="P1153" t="s">
        <v>6207</v>
      </c>
      <c r="Q1153" t="s">
        <v>3216</v>
      </c>
      <c r="R1153">
        <v>2</v>
      </c>
      <c r="S1153">
        <v>2</v>
      </c>
    </row>
    <row r="1154" spans="1:19" hidden="1" x14ac:dyDescent="0.3">
      <c r="A1154" t="s">
        <v>3211</v>
      </c>
      <c r="B1154" t="s">
        <v>3217</v>
      </c>
      <c r="C1154" t="s">
        <v>6622</v>
      </c>
      <c r="D1154" t="s">
        <v>3197</v>
      </c>
      <c r="E1154" t="s">
        <v>222</v>
      </c>
      <c r="F1154" t="s">
        <v>30</v>
      </c>
      <c r="G1154" s="6">
        <v>46022</v>
      </c>
      <c r="H1154" t="s">
        <v>6823</v>
      </c>
      <c r="I1154" t="s">
        <v>57</v>
      </c>
      <c r="J1154" t="s">
        <v>103</v>
      </c>
      <c r="L1154">
        <v>12510</v>
      </c>
      <c r="M1154">
        <v>0</v>
      </c>
      <c r="N1154">
        <v>0</v>
      </c>
      <c r="P1154" t="s">
        <v>3222</v>
      </c>
      <c r="Q1154" t="s">
        <v>3223</v>
      </c>
      <c r="R1154">
        <v>2</v>
      </c>
      <c r="S1154">
        <v>2</v>
      </c>
    </row>
    <row r="1155" spans="1:19" hidden="1" x14ac:dyDescent="0.3">
      <c r="A1155" t="s">
        <v>3224</v>
      </c>
      <c r="B1155" t="s">
        <v>3225</v>
      </c>
      <c r="D1155" t="s">
        <v>3197</v>
      </c>
      <c r="E1155" t="s">
        <v>222</v>
      </c>
      <c r="F1155" t="s">
        <v>108</v>
      </c>
      <c r="G1155" s="6">
        <v>45291</v>
      </c>
      <c r="H1155" t="s">
        <v>6811</v>
      </c>
      <c r="I1155" t="s">
        <v>57</v>
      </c>
      <c r="J1155" t="s">
        <v>47</v>
      </c>
      <c r="K1155">
        <v>20</v>
      </c>
      <c r="L1155">
        <v>1.655</v>
      </c>
      <c r="M1155">
        <v>1.3</v>
      </c>
      <c r="N1155">
        <v>12.08459214501511</v>
      </c>
      <c r="O1155" t="s">
        <v>1298</v>
      </c>
      <c r="P1155" t="s">
        <v>7285</v>
      </c>
      <c r="Q1155" t="s">
        <v>3227</v>
      </c>
      <c r="R1155">
        <v>2</v>
      </c>
      <c r="S1155">
        <v>2</v>
      </c>
    </row>
    <row r="1156" spans="1:19" hidden="1" x14ac:dyDescent="0.3">
      <c r="A1156" t="s">
        <v>3224</v>
      </c>
      <c r="B1156" t="s">
        <v>3225</v>
      </c>
      <c r="D1156" t="s">
        <v>3197</v>
      </c>
      <c r="E1156" t="s">
        <v>222</v>
      </c>
      <c r="F1156" t="s">
        <v>108</v>
      </c>
      <c r="G1156" s="6">
        <v>45657</v>
      </c>
      <c r="H1156" t="s">
        <v>6816</v>
      </c>
      <c r="I1156" t="s">
        <v>57</v>
      </c>
      <c r="J1156" t="s">
        <v>78</v>
      </c>
      <c r="K1156">
        <v>10</v>
      </c>
      <c r="L1156">
        <v>5.9349999999999996</v>
      </c>
      <c r="M1156">
        <v>1.3</v>
      </c>
      <c r="N1156">
        <v>1.684919966301601</v>
      </c>
      <c r="O1156" t="s">
        <v>1861</v>
      </c>
      <c r="P1156" t="s">
        <v>7286</v>
      </c>
      <c r="Q1156" t="s">
        <v>3229</v>
      </c>
      <c r="R1156">
        <v>2</v>
      </c>
      <c r="S1156">
        <v>2</v>
      </c>
    </row>
    <row r="1157" spans="1:19" hidden="1" x14ac:dyDescent="0.3">
      <c r="A1157" t="s">
        <v>3230</v>
      </c>
      <c r="B1157" t="s">
        <v>3231</v>
      </c>
      <c r="D1157" t="s">
        <v>3197</v>
      </c>
      <c r="E1157" t="s">
        <v>222</v>
      </c>
      <c r="F1157" t="s">
        <v>30</v>
      </c>
      <c r="G1157" s="6">
        <v>45291</v>
      </c>
      <c r="H1157" t="s">
        <v>6811</v>
      </c>
      <c r="I1157" t="s">
        <v>57</v>
      </c>
      <c r="J1157" t="s">
        <v>47</v>
      </c>
      <c r="K1157">
        <v>37.5</v>
      </c>
      <c r="L1157">
        <v>46</v>
      </c>
      <c r="M1157">
        <v>1.226666666666667</v>
      </c>
      <c r="N1157">
        <v>1.226666666666667</v>
      </c>
      <c r="O1157" t="s">
        <v>7287</v>
      </c>
      <c r="P1157" t="s">
        <v>6306</v>
      </c>
      <c r="Q1157" t="s">
        <v>3233</v>
      </c>
      <c r="R1157">
        <v>2</v>
      </c>
      <c r="S1157">
        <v>2</v>
      </c>
    </row>
    <row r="1158" spans="1:19" hidden="1" x14ac:dyDescent="0.3">
      <c r="A1158" t="s">
        <v>3230</v>
      </c>
      <c r="B1158" t="s">
        <v>3234</v>
      </c>
      <c r="D1158" t="s">
        <v>3197</v>
      </c>
      <c r="E1158" t="s">
        <v>222</v>
      </c>
      <c r="F1158" t="s">
        <v>30</v>
      </c>
      <c r="G1158" s="6">
        <v>45657</v>
      </c>
      <c r="H1158" t="s">
        <v>6816</v>
      </c>
      <c r="I1158" t="s">
        <v>57</v>
      </c>
      <c r="J1158" t="s">
        <v>78</v>
      </c>
      <c r="K1158">
        <v>100</v>
      </c>
      <c r="L1158">
        <v>95</v>
      </c>
      <c r="M1158">
        <v>0.95</v>
      </c>
      <c r="N1158">
        <v>0.95</v>
      </c>
      <c r="O1158" t="s">
        <v>102</v>
      </c>
      <c r="P1158" t="s">
        <v>838</v>
      </c>
      <c r="Q1158" t="s">
        <v>3236</v>
      </c>
      <c r="R1158">
        <v>2</v>
      </c>
      <c r="S1158">
        <v>2</v>
      </c>
    </row>
    <row r="1159" spans="1:19" hidden="1" x14ac:dyDescent="0.3">
      <c r="A1159" t="s">
        <v>3237</v>
      </c>
      <c r="B1159" t="s">
        <v>3238</v>
      </c>
      <c r="D1159" t="s">
        <v>61</v>
      </c>
      <c r="E1159" t="s">
        <v>222</v>
      </c>
      <c r="F1159" t="s">
        <v>30</v>
      </c>
      <c r="G1159" s="6">
        <v>45291</v>
      </c>
      <c r="H1159" t="s">
        <v>6811</v>
      </c>
      <c r="I1159" t="s">
        <v>57</v>
      </c>
      <c r="J1159" t="s">
        <v>47</v>
      </c>
      <c r="K1159">
        <v>5</v>
      </c>
      <c r="L1159">
        <v>5</v>
      </c>
      <c r="M1159">
        <v>1</v>
      </c>
      <c r="N1159">
        <v>1</v>
      </c>
      <c r="O1159" t="s">
        <v>823</v>
      </c>
      <c r="P1159" t="s">
        <v>823</v>
      </c>
      <c r="Q1159" t="s">
        <v>3239</v>
      </c>
      <c r="R1159">
        <v>2</v>
      </c>
      <c r="S1159">
        <v>2</v>
      </c>
    </row>
    <row r="1160" spans="1:19" hidden="1" x14ac:dyDescent="0.3">
      <c r="A1160" t="s">
        <v>3237</v>
      </c>
      <c r="B1160" t="s">
        <v>3238</v>
      </c>
      <c r="D1160" t="s">
        <v>87</v>
      </c>
      <c r="E1160" t="s">
        <v>222</v>
      </c>
      <c r="F1160" t="s">
        <v>30</v>
      </c>
      <c r="G1160" s="6">
        <v>45657</v>
      </c>
      <c r="H1160" t="s">
        <v>6816</v>
      </c>
      <c r="I1160" t="s">
        <v>57</v>
      </c>
      <c r="J1160" t="s">
        <v>78</v>
      </c>
      <c r="K1160">
        <v>0</v>
      </c>
      <c r="L1160">
        <v>3</v>
      </c>
      <c r="M1160">
        <v>0</v>
      </c>
      <c r="N1160">
        <v>0</v>
      </c>
      <c r="O1160" t="s">
        <v>122</v>
      </c>
      <c r="P1160" t="s">
        <v>1849</v>
      </c>
      <c r="Q1160" t="s">
        <v>3241</v>
      </c>
      <c r="R1160">
        <v>2</v>
      </c>
      <c r="S1160">
        <v>2</v>
      </c>
    </row>
    <row r="1161" spans="1:19" hidden="1" x14ac:dyDescent="0.3">
      <c r="A1161" t="s">
        <v>3242</v>
      </c>
      <c r="B1161" t="s">
        <v>3243</v>
      </c>
      <c r="D1161" t="s">
        <v>61</v>
      </c>
      <c r="E1161" t="s">
        <v>222</v>
      </c>
      <c r="F1161" t="s">
        <v>30</v>
      </c>
      <c r="G1161" s="6">
        <v>45291</v>
      </c>
      <c r="H1161" t="s">
        <v>6811</v>
      </c>
      <c r="I1161" t="s">
        <v>57</v>
      </c>
      <c r="J1161" t="s">
        <v>47</v>
      </c>
      <c r="K1161">
        <v>3</v>
      </c>
      <c r="L1161">
        <v>3</v>
      </c>
      <c r="M1161">
        <v>1</v>
      </c>
      <c r="N1161">
        <v>1</v>
      </c>
      <c r="O1161" t="s">
        <v>1849</v>
      </c>
      <c r="P1161" t="s">
        <v>1849</v>
      </c>
      <c r="Q1161" t="s">
        <v>3244</v>
      </c>
      <c r="R1161">
        <v>2</v>
      </c>
      <c r="S1161">
        <v>2</v>
      </c>
    </row>
    <row r="1162" spans="1:19" hidden="1" x14ac:dyDescent="0.3">
      <c r="A1162" t="s">
        <v>3242</v>
      </c>
      <c r="B1162" t="s">
        <v>3243</v>
      </c>
      <c r="D1162" t="s">
        <v>87</v>
      </c>
      <c r="E1162" t="s">
        <v>222</v>
      </c>
      <c r="F1162" t="s">
        <v>30</v>
      </c>
      <c r="G1162" s="6">
        <v>45657</v>
      </c>
      <c r="H1162" t="s">
        <v>6816</v>
      </c>
      <c r="I1162" t="s">
        <v>57</v>
      </c>
      <c r="J1162" t="s">
        <v>78</v>
      </c>
      <c r="K1162">
        <v>100</v>
      </c>
      <c r="M1162">
        <v>0</v>
      </c>
      <c r="N1162">
        <v>0</v>
      </c>
      <c r="O1162" t="s">
        <v>102</v>
      </c>
      <c r="Q1162" t="s">
        <v>3246</v>
      </c>
      <c r="R1162">
        <v>2</v>
      </c>
      <c r="S1162">
        <v>2</v>
      </c>
    </row>
    <row r="1163" spans="1:19" hidden="1" x14ac:dyDescent="0.3">
      <c r="A1163" t="s">
        <v>3247</v>
      </c>
      <c r="B1163" t="s">
        <v>3248</v>
      </c>
      <c r="C1163" t="s">
        <v>6622</v>
      </c>
      <c r="D1163" t="s">
        <v>61</v>
      </c>
      <c r="E1163" t="s">
        <v>222</v>
      </c>
      <c r="F1163" t="s">
        <v>30</v>
      </c>
      <c r="G1163" s="6">
        <v>45291</v>
      </c>
      <c r="H1163" t="s">
        <v>6811</v>
      </c>
      <c r="I1163" t="s">
        <v>57</v>
      </c>
      <c r="J1163" t="s">
        <v>47</v>
      </c>
      <c r="K1163">
        <v>12</v>
      </c>
      <c r="L1163">
        <v>12</v>
      </c>
      <c r="M1163">
        <v>1</v>
      </c>
      <c r="N1163">
        <v>1</v>
      </c>
      <c r="O1163" t="s">
        <v>3089</v>
      </c>
      <c r="P1163" t="s">
        <v>3089</v>
      </c>
      <c r="Q1163" t="s">
        <v>3249</v>
      </c>
      <c r="R1163">
        <v>2</v>
      </c>
      <c r="S1163">
        <v>2</v>
      </c>
    </row>
    <row r="1164" spans="1:19" hidden="1" x14ac:dyDescent="0.3">
      <c r="A1164" t="s">
        <v>3247</v>
      </c>
      <c r="B1164" t="s">
        <v>3248</v>
      </c>
      <c r="C1164" t="s">
        <v>6622</v>
      </c>
      <c r="D1164" t="s">
        <v>61</v>
      </c>
      <c r="E1164" t="s">
        <v>222</v>
      </c>
      <c r="F1164" t="s">
        <v>30</v>
      </c>
      <c r="G1164" s="6">
        <v>45657</v>
      </c>
      <c r="H1164" t="s">
        <v>6816</v>
      </c>
      <c r="I1164" t="s">
        <v>57</v>
      </c>
      <c r="J1164" t="s">
        <v>78</v>
      </c>
      <c r="K1164">
        <v>100</v>
      </c>
      <c r="L1164">
        <v>100</v>
      </c>
      <c r="M1164">
        <v>1</v>
      </c>
      <c r="N1164">
        <v>1</v>
      </c>
      <c r="O1164" t="s">
        <v>102</v>
      </c>
      <c r="P1164" t="s">
        <v>102</v>
      </c>
      <c r="Q1164" t="s">
        <v>3251</v>
      </c>
      <c r="R1164">
        <v>2</v>
      </c>
      <c r="S1164">
        <v>2</v>
      </c>
    </row>
    <row r="1165" spans="1:19" hidden="1" x14ac:dyDescent="0.3">
      <c r="A1165" t="s">
        <v>3247</v>
      </c>
      <c r="B1165" t="s">
        <v>3248</v>
      </c>
      <c r="C1165" t="s">
        <v>6622</v>
      </c>
      <c r="D1165" t="s">
        <v>61</v>
      </c>
      <c r="E1165" t="s">
        <v>222</v>
      </c>
      <c r="F1165" t="s">
        <v>30</v>
      </c>
      <c r="G1165" s="6">
        <v>46022</v>
      </c>
      <c r="H1165" t="s">
        <v>6823</v>
      </c>
      <c r="I1165" t="s">
        <v>57</v>
      </c>
      <c r="J1165" t="s">
        <v>103</v>
      </c>
      <c r="K1165">
        <v>200</v>
      </c>
      <c r="L1165">
        <v>200</v>
      </c>
      <c r="M1165">
        <v>1</v>
      </c>
      <c r="N1165">
        <v>1</v>
      </c>
      <c r="O1165" t="s">
        <v>2396</v>
      </c>
      <c r="P1165" t="s">
        <v>2396</v>
      </c>
      <c r="Q1165" t="s">
        <v>3253</v>
      </c>
      <c r="R1165">
        <v>2</v>
      </c>
      <c r="S1165">
        <v>2</v>
      </c>
    </row>
    <row r="1166" spans="1:19" hidden="1" x14ac:dyDescent="0.3">
      <c r="A1166" t="s">
        <v>3254</v>
      </c>
      <c r="B1166" t="s">
        <v>3255</v>
      </c>
      <c r="C1166" t="s">
        <v>6681</v>
      </c>
      <c r="D1166" t="s">
        <v>184</v>
      </c>
      <c r="E1166" t="s">
        <v>233</v>
      </c>
      <c r="F1166" t="s">
        <v>30</v>
      </c>
      <c r="G1166" s="6">
        <v>45291</v>
      </c>
      <c r="H1166" t="s">
        <v>6811</v>
      </c>
      <c r="I1166" t="s">
        <v>57</v>
      </c>
      <c r="J1166" t="s">
        <v>47</v>
      </c>
      <c r="K1166">
        <v>160</v>
      </c>
      <c r="L1166">
        <v>203.71885459278499</v>
      </c>
      <c r="M1166">
        <v>1.2732428412049059</v>
      </c>
      <c r="N1166">
        <v>1.2732428412049059</v>
      </c>
      <c r="O1166" t="s">
        <v>6212</v>
      </c>
      <c r="P1166" t="s">
        <v>6213</v>
      </c>
      <c r="Q1166" t="s">
        <v>3257</v>
      </c>
      <c r="R1166">
        <v>2</v>
      </c>
      <c r="S1166">
        <v>2</v>
      </c>
    </row>
    <row r="1167" spans="1:19" hidden="1" x14ac:dyDescent="0.3">
      <c r="A1167" t="s">
        <v>3254</v>
      </c>
      <c r="B1167" t="s">
        <v>3255</v>
      </c>
      <c r="C1167" t="s">
        <v>6681</v>
      </c>
      <c r="D1167" t="s">
        <v>184</v>
      </c>
      <c r="E1167" t="s">
        <v>233</v>
      </c>
      <c r="F1167" t="s">
        <v>30</v>
      </c>
      <c r="G1167" s="6">
        <v>45657</v>
      </c>
      <c r="H1167" t="s">
        <v>6816</v>
      </c>
      <c r="I1167" t="s">
        <v>57</v>
      </c>
      <c r="J1167" t="s">
        <v>78</v>
      </c>
      <c r="K1167">
        <v>380</v>
      </c>
      <c r="L1167">
        <v>390.09854275977659</v>
      </c>
      <c r="M1167">
        <v>1.0265751125257281</v>
      </c>
      <c r="N1167">
        <v>1.0265751125257281</v>
      </c>
      <c r="O1167" t="s">
        <v>7288</v>
      </c>
      <c r="P1167" t="s">
        <v>7289</v>
      </c>
      <c r="Q1167" t="s">
        <v>3261</v>
      </c>
      <c r="R1167">
        <v>2</v>
      </c>
      <c r="S1167">
        <v>2</v>
      </c>
    </row>
    <row r="1168" spans="1:19" hidden="1" x14ac:dyDescent="0.3">
      <c r="A1168" t="s">
        <v>3254</v>
      </c>
      <c r="B1168" t="s">
        <v>3255</v>
      </c>
      <c r="C1168" t="s">
        <v>6681</v>
      </c>
      <c r="D1168" t="s">
        <v>184</v>
      </c>
      <c r="E1168" t="s">
        <v>233</v>
      </c>
      <c r="F1168" t="s">
        <v>30</v>
      </c>
      <c r="G1168" s="6">
        <v>46022</v>
      </c>
      <c r="H1168" t="s">
        <v>6823</v>
      </c>
      <c r="I1168" t="s">
        <v>57</v>
      </c>
      <c r="J1168" t="s">
        <v>103</v>
      </c>
      <c r="K1168">
        <v>190</v>
      </c>
      <c r="L1168">
        <v>100</v>
      </c>
      <c r="M1168">
        <v>0.52631578947368418</v>
      </c>
      <c r="N1168">
        <v>0.52631578947368418</v>
      </c>
      <c r="O1168" t="s">
        <v>6214</v>
      </c>
      <c r="P1168" t="s">
        <v>102</v>
      </c>
      <c r="Q1168" t="s">
        <v>7290</v>
      </c>
      <c r="R1168">
        <v>2</v>
      </c>
      <c r="S1168">
        <v>2</v>
      </c>
    </row>
    <row r="1169" spans="1:19" hidden="1" x14ac:dyDescent="0.3">
      <c r="A1169" t="s">
        <v>3264</v>
      </c>
      <c r="B1169" t="s">
        <v>3265</v>
      </c>
      <c r="D1169" t="s">
        <v>184</v>
      </c>
      <c r="E1169" t="s">
        <v>233</v>
      </c>
      <c r="F1169" t="s">
        <v>30</v>
      </c>
      <c r="G1169" s="6">
        <v>45291</v>
      </c>
      <c r="H1169" t="s">
        <v>6811</v>
      </c>
      <c r="I1169" t="s">
        <v>57</v>
      </c>
      <c r="J1169" t="s">
        <v>47</v>
      </c>
      <c r="K1169">
        <v>90</v>
      </c>
      <c r="L1169">
        <v>90.31</v>
      </c>
      <c r="M1169">
        <v>1.0034444444444439</v>
      </c>
      <c r="N1169">
        <v>1.0034444444444439</v>
      </c>
      <c r="O1169" t="s">
        <v>256</v>
      </c>
      <c r="P1169" t="s">
        <v>6217</v>
      </c>
      <c r="Q1169" t="s">
        <v>3267</v>
      </c>
      <c r="R1169">
        <v>2</v>
      </c>
      <c r="S1169">
        <v>2</v>
      </c>
    </row>
    <row r="1170" spans="1:19" hidden="1" x14ac:dyDescent="0.3">
      <c r="A1170" t="s">
        <v>3268</v>
      </c>
      <c r="B1170" t="s">
        <v>3269</v>
      </c>
      <c r="D1170" t="s">
        <v>3093</v>
      </c>
      <c r="E1170" t="s">
        <v>222</v>
      </c>
      <c r="F1170" t="s">
        <v>30</v>
      </c>
      <c r="G1170" s="6">
        <v>45291</v>
      </c>
      <c r="H1170" t="s">
        <v>6811</v>
      </c>
      <c r="I1170" t="s">
        <v>57</v>
      </c>
      <c r="J1170" t="s">
        <v>47</v>
      </c>
      <c r="K1170">
        <v>100</v>
      </c>
      <c r="L1170">
        <v>100</v>
      </c>
      <c r="M1170">
        <v>1</v>
      </c>
      <c r="N1170">
        <v>1</v>
      </c>
      <c r="O1170" t="s">
        <v>102</v>
      </c>
      <c r="P1170" t="s">
        <v>102</v>
      </c>
      <c r="Q1170" t="s">
        <v>3271</v>
      </c>
      <c r="R1170">
        <v>2</v>
      </c>
      <c r="S1170">
        <v>2</v>
      </c>
    </row>
    <row r="1171" spans="1:19" hidden="1" x14ac:dyDescent="0.3">
      <c r="A1171" t="s">
        <v>3272</v>
      </c>
      <c r="B1171" t="s">
        <v>3273</v>
      </c>
      <c r="D1171" t="s">
        <v>3093</v>
      </c>
      <c r="E1171" t="s">
        <v>98</v>
      </c>
      <c r="F1171" t="s">
        <v>30</v>
      </c>
      <c r="G1171" s="6">
        <v>45291</v>
      </c>
      <c r="H1171" t="s">
        <v>6811</v>
      </c>
      <c r="I1171" t="s">
        <v>57</v>
      </c>
      <c r="J1171" t="s">
        <v>47</v>
      </c>
      <c r="K1171">
        <v>100</v>
      </c>
      <c r="L1171">
        <v>100</v>
      </c>
      <c r="M1171">
        <v>1</v>
      </c>
      <c r="N1171">
        <v>1</v>
      </c>
      <c r="O1171" t="s">
        <v>102</v>
      </c>
      <c r="P1171" t="s">
        <v>102</v>
      </c>
      <c r="Q1171" t="s">
        <v>3274</v>
      </c>
      <c r="R1171">
        <v>2</v>
      </c>
      <c r="S1171">
        <v>2</v>
      </c>
    </row>
    <row r="1172" spans="1:19" hidden="1" x14ac:dyDescent="0.3">
      <c r="A1172" t="s">
        <v>3272</v>
      </c>
      <c r="B1172" t="s">
        <v>3275</v>
      </c>
      <c r="D1172" t="s">
        <v>3093</v>
      </c>
      <c r="E1172" t="s">
        <v>98</v>
      </c>
      <c r="F1172" t="s">
        <v>30</v>
      </c>
      <c r="G1172" s="6">
        <v>45657</v>
      </c>
      <c r="H1172" t="s">
        <v>6816</v>
      </c>
      <c r="I1172" t="s">
        <v>57</v>
      </c>
      <c r="J1172" t="s">
        <v>78</v>
      </c>
      <c r="K1172">
        <v>100</v>
      </c>
      <c r="L1172">
        <v>100</v>
      </c>
      <c r="M1172">
        <v>1</v>
      </c>
      <c r="N1172">
        <v>1</v>
      </c>
      <c r="O1172" t="s">
        <v>102</v>
      </c>
      <c r="P1172" t="s">
        <v>102</v>
      </c>
      <c r="Q1172" t="s">
        <v>3276</v>
      </c>
      <c r="R1172">
        <v>2</v>
      </c>
      <c r="S1172">
        <v>2</v>
      </c>
    </row>
    <row r="1173" spans="1:19" hidden="1" x14ac:dyDescent="0.3">
      <c r="A1173" t="s">
        <v>3277</v>
      </c>
      <c r="B1173" t="s">
        <v>3278</v>
      </c>
      <c r="C1173" t="s">
        <v>6681</v>
      </c>
      <c r="D1173" t="s">
        <v>3093</v>
      </c>
      <c r="E1173" t="s">
        <v>98</v>
      </c>
      <c r="F1173" t="s">
        <v>30</v>
      </c>
      <c r="G1173" s="6">
        <v>45291</v>
      </c>
      <c r="H1173" t="s">
        <v>6811</v>
      </c>
      <c r="I1173" t="s">
        <v>57</v>
      </c>
      <c r="J1173" t="s">
        <v>47</v>
      </c>
      <c r="L1173">
        <v>2</v>
      </c>
      <c r="M1173">
        <v>0</v>
      </c>
      <c r="N1173">
        <v>0</v>
      </c>
      <c r="P1173" t="s">
        <v>569</v>
      </c>
      <c r="Q1173" t="s">
        <v>3279</v>
      </c>
      <c r="R1173">
        <v>2</v>
      </c>
      <c r="S1173">
        <v>2</v>
      </c>
    </row>
    <row r="1174" spans="1:19" hidden="1" x14ac:dyDescent="0.3">
      <c r="A1174" t="s">
        <v>3277</v>
      </c>
      <c r="B1174" t="s">
        <v>3280</v>
      </c>
      <c r="C1174" t="s">
        <v>6681</v>
      </c>
      <c r="D1174" t="s">
        <v>3093</v>
      </c>
      <c r="E1174" t="s">
        <v>98</v>
      </c>
      <c r="F1174" t="s">
        <v>30</v>
      </c>
      <c r="G1174" s="6">
        <v>45657</v>
      </c>
      <c r="H1174" t="s">
        <v>6816</v>
      </c>
      <c r="I1174" t="s">
        <v>57</v>
      </c>
      <c r="J1174" t="s">
        <v>78</v>
      </c>
      <c r="K1174">
        <v>100</v>
      </c>
      <c r="L1174">
        <v>100</v>
      </c>
      <c r="M1174">
        <v>1</v>
      </c>
      <c r="N1174">
        <v>1</v>
      </c>
      <c r="O1174" t="s">
        <v>102</v>
      </c>
      <c r="P1174" t="s">
        <v>102</v>
      </c>
      <c r="Q1174" t="s">
        <v>3281</v>
      </c>
      <c r="R1174">
        <v>2</v>
      </c>
      <c r="S1174">
        <v>2</v>
      </c>
    </row>
    <row r="1175" spans="1:19" hidden="1" x14ac:dyDescent="0.3">
      <c r="A1175" t="s">
        <v>3277</v>
      </c>
      <c r="B1175" t="s">
        <v>3280</v>
      </c>
      <c r="C1175" t="s">
        <v>6681</v>
      </c>
      <c r="D1175" t="s">
        <v>3093</v>
      </c>
      <c r="E1175" t="s">
        <v>98</v>
      </c>
      <c r="F1175" t="s">
        <v>30</v>
      </c>
      <c r="G1175" s="6">
        <v>46022</v>
      </c>
      <c r="H1175" t="s">
        <v>6823</v>
      </c>
      <c r="I1175" t="s">
        <v>57</v>
      </c>
      <c r="J1175" t="s">
        <v>103</v>
      </c>
      <c r="K1175">
        <v>100</v>
      </c>
      <c r="M1175">
        <v>0</v>
      </c>
      <c r="N1175">
        <v>0</v>
      </c>
      <c r="O1175" t="s">
        <v>102</v>
      </c>
      <c r="Q1175" t="s">
        <v>3282</v>
      </c>
      <c r="R1175">
        <v>2</v>
      </c>
      <c r="S1175">
        <v>2</v>
      </c>
    </row>
    <row r="1176" spans="1:19" hidden="1" x14ac:dyDescent="0.3">
      <c r="A1176" t="s">
        <v>3283</v>
      </c>
      <c r="B1176" t="s">
        <v>3284</v>
      </c>
      <c r="C1176" t="s">
        <v>6622</v>
      </c>
      <c r="E1176" t="s">
        <v>233</v>
      </c>
      <c r="F1176" t="s">
        <v>30</v>
      </c>
      <c r="G1176" s="6">
        <v>45291</v>
      </c>
      <c r="H1176" t="s">
        <v>6811</v>
      </c>
      <c r="I1176" t="s">
        <v>57</v>
      </c>
      <c r="J1176" t="s">
        <v>47</v>
      </c>
      <c r="K1176">
        <v>100</v>
      </c>
      <c r="L1176">
        <v>99.973333333333315</v>
      </c>
      <c r="M1176">
        <v>0.99973333333333314</v>
      </c>
      <c r="N1176">
        <v>0.99973333333333314</v>
      </c>
      <c r="O1176" t="s">
        <v>102</v>
      </c>
      <c r="P1176" t="s">
        <v>7291</v>
      </c>
      <c r="Q1176" t="s">
        <v>3287</v>
      </c>
      <c r="R1176">
        <v>2</v>
      </c>
      <c r="S1176">
        <v>2</v>
      </c>
    </row>
    <row r="1177" spans="1:19" hidden="1" x14ac:dyDescent="0.3">
      <c r="A1177" t="s">
        <v>3283</v>
      </c>
      <c r="B1177" t="s">
        <v>3284</v>
      </c>
      <c r="C1177" t="s">
        <v>6622</v>
      </c>
      <c r="D1177" t="s">
        <v>129</v>
      </c>
      <c r="E1177" t="s">
        <v>233</v>
      </c>
      <c r="F1177" t="s">
        <v>30</v>
      </c>
      <c r="G1177" s="6">
        <v>45657</v>
      </c>
      <c r="H1177" t="s">
        <v>6816</v>
      </c>
      <c r="I1177" t="s">
        <v>57</v>
      </c>
      <c r="J1177" t="s">
        <v>78</v>
      </c>
      <c r="K1177">
        <v>100</v>
      </c>
      <c r="L1177">
        <v>74.685000000000002</v>
      </c>
      <c r="M1177">
        <v>0.74685000000000001</v>
      </c>
      <c r="N1177">
        <v>0.74685000000000001</v>
      </c>
      <c r="O1177" t="s">
        <v>102</v>
      </c>
      <c r="P1177" t="s">
        <v>7292</v>
      </c>
      <c r="Q1177" t="s">
        <v>3291</v>
      </c>
      <c r="R1177">
        <v>2</v>
      </c>
      <c r="S1177">
        <v>2</v>
      </c>
    </row>
    <row r="1178" spans="1:19" hidden="1" x14ac:dyDescent="0.3">
      <c r="A1178" t="s">
        <v>3283</v>
      </c>
      <c r="B1178" t="s">
        <v>3284</v>
      </c>
      <c r="C1178" t="s">
        <v>6622</v>
      </c>
      <c r="D1178" t="s">
        <v>129</v>
      </c>
      <c r="E1178" t="s">
        <v>233</v>
      </c>
      <c r="F1178" t="s">
        <v>30</v>
      </c>
      <c r="G1178" s="6">
        <v>46022</v>
      </c>
      <c r="H1178" t="s">
        <v>6823</v>
      </c>
      <c r="I1178" t="s">
        <v>57</v>
      </c>
      <c r="J1178" t="s">
        <v>103</v>
      </c>
      <c r="K1178">
        <v>100</v>
      </c>
      <c r="L1178">
        <v>109.67</v>
      </c>
      <c r="M1178">
        <v>1.0967</v>
      </c>
      <c r="N1178">
        <v>1.0967</v>
      </c>
      <c r="O1178" t="s">
        <v>102</v>
      </c>
      <c r="P1178" t="s">
        <v>6222</v>
      </c>
      <c r="Q1178" t="s">
        <v>3298</v>
      </c>
      <c r="R1178">
        <v>2</v>
      </c>
      <c r="S1178">
        <v>2</v>
      </c>
    </row>
    <row r="1179" spans="1:19" hidden="1" x14ac:dyDescent="0.3">
      <c r="A1179" t="s">
        <v>3299</v>
      </c>
      <c r="B1179" t="s">
        <v>3300</v>
      </c>
      <c r="D1179" t="s">
        <v>3011</v>
      </c>
      <c r="E1179" t="s">
        <v>233</v>
      </c>
      <c r="F1179" t="s">
        <v>30</v>
      </c>
      <c r="G1179" s="6">
        <v>45291</v>
      </c>
      <c r="H1179" t="s">
        <v>6811</v>
      </c>
      <c r="I1179" t="s">
        <v>57</v>
      </c>
      <c r="J1179" t="s">
        <v>47</v>
      </c>
      <c r="K1179">
        <v>85.5</v>
      </c>
      <c r="L1179">
        <v>88.875</v>
      </c>
      <c r="M1179">
        <v>1.0394736842105261</v>
      </c>
      <c r="N1179">
        <v>1.0394736842105261</v>
      </c>
      <c r="O1179" t="s">
        <v>7293</v>
      </c>
      <c r="P1179" t="s">
        <v>7294</v>
      </c>
      <c r="Q1179" t="s">
        <v>3302</v>
      </c>
      <c r="R1179">
        <v>2</v>
      </c>
      <c r="S1179">
        <v>2</v>
      </c>
    </row>
    <row r="1180" spans="1:19" hidden="1" x14ac:dyDescent="0.3">
      <c r="A1180" t="s">
        <v>3299</v>
      </c>
      <c r="B1180" t="s">
        <v>3300</v>
      </c>
      <c r="D1180" t="s">
        <v>3011</v>
      </c>
      <c r="E1180" t="s">
        <v>233</v>
      </c>
      <c r="F1180" t="s">
        <v>30</v>
      </c>
      <c r="G1180" s="6">
        <v>45657</v>
      </c>
      <c r="H1180" t="s">
        <v>6816</v>
      </c>
      <c r="I1180" t="s">
        <v>57</v>
      </c>
      <c r="J1180" t="s">
        <v>78</v>
      </c>
      <c r="K1180">
        <v>40.79</v>
      </c>
      <c r="L1180">
        <v>42.33</v>
      </c>
      <c r="M1180">
        <v>1.037754351556754</v>
      </c>
      <c r="N1180">
        <v>1.037754351556754</v>
      </c>
      <c r="O1180" t="s">
        <v>6224</v>
      </c>
      <c r="P1180" t="s">
        <v>6225</v>
      </c>
      <c r="Q1180" t="s">
        <v>7295</v>
      </c>
      <c r="R1180">
        <v>2</v>
      </c>
      <c r="S1180">
        <v>2</v>
      </c>
    </row>
    <row r="1181" spans="1:19" hidden="1" x14ac:dyDescent="0.3">
      <c r="A1181" t="s">
        <v>3304</v>
      </c>
      <c r="B1181" t="s">
        <v>3305</v>
      </c>
      <c r="D1181" t="s">
        <v>3011</v>
      </c>
      <c r="E1181" t="s">
        <v>233</v>
      </c>
      <c r="F1181" t="s">
        <v>30</v>
      </c>
      <c r="G1181" s="6">
        <v>45291</v>
      </c>
      <c r="H1181" t="s">
        <v>6811</v>
      </c>
      <c r="I1181" t="s">
        <v>57</v>
      </c>
      <c r="J1181" t="s">
        <v>47</v>
      </c>
      <c r="K1181">
        <v>87</v>
      </c>
      <c r="L1181">
        <v>71.2</v>
      </c>
      <c r="M1181">
        <v>0.81839080459770119</v>
      </c>
      <c r="N1181">
        <v>0.81839080459770119</v>
      </c>
      <c r="O1181" t="s">
        <v>1045</v>
      </c>
      <c r="P1181" t="s">
        <v>7296</v>
      </c>
      <c r="Q1181" t="s">
        <v>3307</v>
      </c>
      <c r="R1181">
        <v>2</v>
      </c>
      <c r="S1181">
        <v>2</v>
      </c>
    </row>
    <row r="1182" spans="1:19" hidden="1" x14ac:dyDescent="0.3">
      <c r="A1182" t="s">
        <v>3304</v>
      </c>
      <c r="B1182" t="s">
        <v>3305</v>
      </c>
      <c r="D1182" t="s">
        <v>3011</v>
      </c>
      <c r="E1182" t="s">
        <v>233</v>
      </c>
      <c r="F1182" t="s">
        <v>30</v>
      </c>
      <c r="G1182" s="6">
        <v>45657</v>
      </c>
      <c r="H1182" t="s">
        <v>6816</v>
      </c>
      <c r="I1182" t="s">
        <v>57</v>
      </c>
      <c r="J1182" t="s">
        <v>78</v>
      </c>
      <c r="K1182">
        <v>92.24</v>
      </c>
      <c r="L1182">
        <v>88</v>
      </c>
      <c r="M1182">
        <v>0.95403295750216832</v>
      </c>
      <c r="N1182">
        <v>0.95403295750216832</v>
      </c>
      <c r="O1182" t="s">
        <v>6227</v>
      </c>
      <c r="P1182" t="s">
        <v>4404</v>
      </c>
      <c r="Q1182" t="s">
        <v>7297</v>
      </c>
      <c r="R1182">
        <v>2</v>
      </c>
      <c r="S1182">
        <v>2</v>
      </c>
    </row>
    <row r="1183" spans="1:19" hidden="1" x14ac:dyDescent="0.3">
      <c r="A1183" t="s">
        <v>3309</v>
      </c>
      <c r="B1183" t="s">
        <v>3310</v>
      </c>
      <c r="D1183" t="s">
        <v>3011</v>
      </c>
      <c r="E1183" t="s">
        <v>233</v>
      </c>
      <c r="F1183" t="s">
        <v>30</v>
      </c>
      <c r="G1183" s="6">
        <v>45291</v>
      </c>
      <c r="H1183" t="s">
        <v>6811</v>
      </c>
      <c r="I1183" t="s">
        <v>57</v>
      </c>
      <c r="J1183" t="s">
        <v>47</v>
      </c>
      <c r="K1183">
        <v>76</v>
      </c>
      <c r="L1183">
        <v>81.914999999999992</v>
      </c>
      <c r="M1183">
        <v>1.0778289473684211</v>
      </c>
      <c r="N1183">
        <v>1.0778289473684211</v>
      </c>
      <c r="O1183" t="s">
        <v>5576</v>
      </c>
      <c r="P1183" t="s">
        <v>5587</v>
      </c>
      <c r="Q1183" t="s">
        <v>3312</v>
      </c>
      <c r="R1183">
        <v>2</v>
      </c>
      <c r="S1183">
        <v>2</v>
      </c>
    </row>
    <row r="1184" spans="1:19" hidden="1" x14ac:dyDescent="0.3">
      <c r="A1184" t="s">
        <v>3309</v>
      </c>
      <c r="B1184" t="s">
        <v>3310</v>
      </c>
      <c r="D1184" t="s">
        <v>3011</v>
      </c>
      <c r="E1184" t="s">
        <v>233</v>
      </c>
      <c r="F1184" t="s">
        <v>30</v>
      </c>
      <c r="G1184" s="6">
        <v>45657</v>
      </c>
      <c r="H1184" t="s">
        <v>6816</v>
      </c>
      <c r="I1184" t="s">
        <v>57</v>
      </c>
      <c r="J1184" t="s">
        <v>78</v>
      </c>
      <c r="K1184">
        <v>51.84</v>
      </c>
      <c r="L1184">
        <v>48.34</v>
      </c>
      <c r="M1184">
        <v>0.93248456790123457</v>
      </c>
      <c r="N1184">
        <v>0.93248456790123457</v>
      </c>
      <c r="O1184" t="s">
        <v>6230</v>
      </c>
      <c r="P1184" t="s">
        <v>6231</v>
      </c>
      <c r="Q1184" t="s">
        <v>7298</v>
      </c>
      <c r="R1184">
        <v>2</v>
      </c>
      <c r="S1184">
        <v>2</v>
      </c>
    </row>
    <row r="1185" spans="1:19" hidden="1" x14ac:dyDescent="0.3">
      <c r="A1185" t="s">
        <v>3314</v>
      </c>
      <c r="B1185" t="s">
        <v>3315</v>
      </c>
      <c r="D1185" t="s">
        <v>3011</v>
      </c>
      <c r="E1185" t="s">
        <v>233</v>
      </c>
      <c r="F1185" t="s">
        <v>30</v>
      </c>
      <c r="G1185" s="6">
        <v>45291</v>
      </c>
      <c r="H1185" t="s">
        <v>6811</v>
      </c>
      <c r="I1185" t="s">
        <v>57</v>
      </c>
      <c r="J1185" t="s">
        <v>47</v>
      </c>
      <c r="K1185">
        <v>85</v>
      </c>
      <c r="L1185">
        <v>91.375</v>
      </c>
      <c r="M1185">
        <v>1.075</v>
      </c>
      <c r="N1185">
        <v>1.075</v>
      </c>
      <c r="O1185" t="s">
        <v>2357</v>
      </c>
      <c r="P1185" t="s">
        <v>7299</v>
      </c>
      <c r="Q1185" t="s">
        <v>3317</v>
      </c>
      <c r="R1185">
        <v>2</v>
      </c>
      <c r="S1185">
        <v>2</v>
      </c>
    </row>
    <row r="1186" spans="1:19" hidden="1" x14ac:dyDescent="0.3">
      <c r="A1186" t="s">
        <v>3314</v>
      </c>
      <c r="B1186" t="s">
        <v>3315</v>
      </c>
      <c r="D1186" t="s">
        <v>3011</v>
      </c>
      <c r="E1186" t="s">
        <v>233</v>
      </c>
      <c r="F1186" t="s">
        <v>30</v>
      </c>
      <c r="G1186" s="6">
        <v>45657</v>
      </c>
      <c r="H1186" t="s">
        <v>6816</v>
      </c>
      <c r="I1186" t="s">
        <v>57</v>
      </c>
      <c r="J1186" t="s">
        <v>78</v>
      </c>
      <c r="K1186">
        <v>81.790000000000006</v>
      </c>
      <c r="L1186">
        <v>80</v>
      </c>
      <c r="M1186">
        <v>0.97811468394669265</v>
      </c>
      <c r="N1186">
        <v>0.97811468394669265</v>
      </c>
      <c r="O1186" t="s">
        <v>6233</v>
      </c>
      <c r="P1186" t="s">
        <v>193</v>
      </c>
      <c r="Q1186" t="s">
        <v>7300</v>
      </c>
      <c r="R1186">
        <v>2</v>
      </c>
      <c r="S1186">
        <v>2</v>
      </c>
    </row>
    <row r="1187" spans="1:19" hidden="1" x14ac:dyDescent="0.3">
      <c r="A1187" t="s">
        <v>3319</v>
      </c>
      <c r="B1187" t="s">
        <v>3320</v>
      </c>
      <c r="E1187" t="s">
        <v>233</v>
      </c>
      <c r="F1187" t="s">
        <v>30</v>
      </c>
      <c r="G1187" s="6">
        <v>45291</v>
      </c>
      <c r="H1187" t="s">
        <v>6811</v>
      </c>
      <c r="I1187" t="s">
        <v>57</v>
      </c>
      <c r="J1187" t="s">
        <v>47</v>
      </c>
      <c r="K1187">
        <v>70.5</v>
      </c>
      <c r="L1187">
        <v>77</v>
      </c>
      <c r="M1187">
        <v>1.0921985815602839</v>
      </c>
      <c r="N1187">
        <v>1.0921985815602839</v>
      </c>
      <c r="O1187" t="s">
        <v>7301</v>
      </c>
      <c r="P1187" t="s">
        <v>4331</v>
      </c>
      <c r="Q1187" t="s">
        <v>3322</v>
      </c>
      <c r="R1187">
        <v>2</v>
      </c>
      <c r="S1187">
        <v>2</v>
      </c>
    </row>
    <row r="1188" spans="1:19" hidden="1" x14ac:dyDescent="0.3">
      <c r="A1188" t="s">
        <v>3319</v>
      </c>
      <c r="B1188" t="s">
        <v>3320</v>
      </c>
      <c r="E1188" t="s">
        <v>233</v>
      </c>
      <c r="F1188" t="s">
        <v>30</v>
      </c>
      <c r="G1188" s="6">
        <v>45657</v>
      </c>
      <c r="H1188" t="s">
        <v>6816</v>
      </c>
      <c r="I1188" t="s">
        <v>57</v>
      </c>
      <c r="J1188" t="s">
        <v>78</v>
      </c>
      <c r="K1188">
        <v>65.83</v>
      </c>
      <c r="L1188">
        <v>65.63</v>
      </c>
      <c r="M1188">
        <v>0.99696187148716386</v>
      </c>
      <c r="N1188">
        <v>0.99696187148716386</v>
      </c>
      <c r="O1188" t="s">
        <v>6234</v>
      </c>
      <c r="P1188" t="s">
        <v>6235</v>
      </c>
      <c r="Q1188" t="s">
        <v>7302</v>
      </c>
      <c r="R1188">
        <v>2</v>
      </c>
      <c r="S1188">
        <v>2</v>
      </c>
    </row>
    <row r="1189" spans="1:19" hidden="1" x14ac:dyDescent="0.3">
      <c r="A1189" t="s">
        <v>3324</v>
      </c>
      <c r="B1189" t="s">
        <v>3325</v>
      </c>
      <c r="D1189" t="s">
        <v>262</v>
      </c>
      <c r="E1189" t="s">
        <v>233</v>
      </c>
      <c r="F1189" t="s">
        <v>30</v>
      </c>
      <c r="G1189" s="6">
        <v>45291</v>
      </c>
      <c r="H1189" t="s">
        <v>6811</v>
      </c>
      <c r="I1189" t="s">
        <v>57</v>
      </c>
      <c r="J1189" t="s">
        <v>47</v>
      </c>
      <c r="K1189">
        <v>78</v>
      </c>
      <c r="L1189">
        <v>82.254999999999995</v>
      </c>
      <c r="M1189">
        <v>1.0545512820512819</v>
      </c>
      <c r="N1189">
        <v>1.0545512820512819</v>
      </c>
      <c r="O1189" t="s">
        <v>5377</v>
      </c>
      <c r="P1189" t="s">
        <v>7303</v>
      </c>
      <c r="Q1189" t="s">
        <v>3327</v>
      </c>
      <c r="R1189">
        <v>2</v>
      </c>
      <c r="S1189">
        <v>2</v>
      </c>
    </row>
    <row r="1190" spans="1:19" hidden="1" x14ac:dyDescent="0.3">
      <c r="A1190" t="s">
        <v>3324</v>
      </c>
      <c r="B1190" t="s">
        <v>3325</v>
      </c>
      <c r="D1190" t="s">
        <v>262</v>
      </c>
      <c r="E1190" t="s">
        <v>233</v>
      </c>
      <c r="F1190" t="s">
        <v>30</v>
      </c>
      <c r="G1190" s="6">
        <v>45657</v>
      </c>
      <c r="H1190" t="s">
        <v>6816</v>
      </c>
      <c r="I1190" t="s">
        <v>57</v>
      </c>
      <c r="J1190" t="s">
        <v>78</v>
      </c>
      <c r="K1190">
        <v>51.58</v>
      </c>
      <c r="L1190">
        <v>62.5</v>
      </c>
      <c r="M1190">
        <v>1.211709965102753</v>
      </c>
      <c r="N1190">
        <v>1.211709965102753</v>
      </c>
      <c r="O1190" t="s">
        <v>6238</v>
      </c>
      <c r="P1190" t="s">
        <v>6239</v>
      </c>
      <c r="Q1190" t="s">
        <v>7304</v>
      </c>
      <c r="R1190">
        <v>2</v>
      </c>
      <c r="S1190">
        <v>2</v>
      </c>
    </row>
    <row r="1191" spans="1:19" hidden="1" x14ac:dyDescent="0.3">
      <c r="A1191" t="s">
        <v>3329</v>
      </c>
      <c r="B1191" t="s">
        <v>3330</v>
      </c>
      <c r="D1191" t="s">
        <v>3331</v>
      </c>
      <c r="E1191" t="s">
        <v>233</v>
      </c>
      <c r="F1191" t="s">
        <v>30</v>
      </c>
      <c r="G1191" s="6">
        <v>45291</v>
      </c>
      <c r="H1191" t="s">
        <v>6811</v>
      </c>
      <c r="I1191" t="s">
        <v>57</v>
      </c>
      <c r="J1191" t="s">
        <v>47</v>
      </c>
      <c r="K1191">
        <v>76</v>
      </c>
      <c r="L1191">
        <v>71.265000000000001</v>
      </c>
      <c r="M1191">
        <v>0.93769736842105267</v>
      </c>
      <c r="N1191">
        <v>0.93769736842105267</v>
      </c>
      <c r="O1191" t="s">
        <v>5576</v>
      </c>
      <c r="P1191" t="s">
        <v>7305</v>
      </c>
      <c r="Q1191" t="s">
        <v>3333</v>
      </c>
      <c r="R1191">
        <v>2</v>
      </c>
      <c r="S1191">
        <v>2</v>
      </c>
    </row>
    <row r="1192" spans="1:19" hidden="1" x14ac:dyDescent="0.3">
      <c r="A1192" t="s">
        <v>3329</v>
      </c>
      <c r="B1192" t="s">
        <v>3330</v>
      </c>
      <c r="D1192" t="s">
        <v>3331</v>
      </c>
      <c r="E1192" t="s">
        <v>233</v>
      </c>
      <c r="F1192" t="s">
        <v>30</v>
      </c>
      <c r="G1192" s="6">
        <v>45657</v>
      </c>
      <c r="H1192" t="s">
        <v>6816</v>
      </c>
      <c r="I1192" t="s">
        <v>57</v>
      </c>
      <c r="J1192" t="s">
        <v>78</v>
      </c>
      <c r="K1192">
        <v>65.95</v>
      </c>
      <c r="L1192">
        <v>62.83</v>
      </c>
      <c r="M1192">
        <v>0.95269143290371483</v>
      </c>
      <c r="N1192">
        <v>0.95269143290371483</v>
      </c>
      <c r="O1192" t="s">
        <v>6241</v>
      </c>
      <c r="P1192" t="s">
        <v>6242</v>
      </c>
      <c r="Q1192" t="s">
        <v>7306</v>
      </c>
      <c r="R1192">
        <v>2</v>
      </c>
      <c r="S1192">
        <v>2</v>
      </c>
    </row>
    <row r="1193" spans="1:19" hidden="1" x14ac:dyDescent="0.3">
      <c r="A1193" t="s">
        <v>3335</v>
      </c>
      <c r="B1193" t="s">
        <v>3336</v>
      </c>
      <c r="D1193" t="s">
        <v>184</v>
      </c>
      <c r="E1193" t="s">
        <v>233</v>
      </c>
      <c r="F1193" t="s">
        <v>30</v>
      </c>
      <c r="G1193" s="6">
        <v>45291</v>
      </c>
      <c r="H1193" t="s">
        <v>6811</v>
      </c>
      <c r="I1193" t="s">
        <v>57</v>
      </c>
      <c r="J1193" t="s">
        <v>47</v>
      </c>
      <c r="K1193">
        <v>83</v>
      </c>
      <c r="L1193">
        <v>80.3</v>
      </c>
      <c r="M1193">
        <v>0.96746987951807228</v>
      </c>
      <c r="N1193">
        <v>0.96746987951807228</v>
      </c>
      <c r="O1193" t="s">
        <v>4652</v>
      </c>
      <c r="P1193" t="s">
        <v>7307</v>
      </c>
      <c r="Q1193" t="s">
        <v>3338</v>
      </c>
      <c r="R1193">
        <v>2</v>
      </c>
      <c r="S1193">
        <v>2</v>
      </c>
    </row>
    <row r="1194" spans="1:19" hidden="1" x14ac:dyDescent="0.3">
      <c r="A1194" t="s">
        <v>3335</v>
      </c>
      <c r="B1194" t="s">
        <v>3336</v>
      </c>
      <c r="D1194" t="s">
        <v>184</v>
      </c>
      <c r="E1194" t="s">
        <v>233</v>
      </c>
      <c r="F1194" t="s">
        <v>30</v>
      </c>
      <c r="G1194" s="6">
        <v>45657</v>
      </c>
      <c r="H1194" t="s">
        <v>6816</v>
      </c>
      <c r="I1194" t="s">
        <v>57</v>
      </c>
      <c r="J1194" t="s">
        <v>78</v>
      </c>
      <c r="K1194">
        <v>79.25</v>
      </c>
      <c r="L1194">
        <v>85.57</v>
      </c>
      <c r="M1194">
        <v>1.079747634069401</v>
      </c>
      <c r="N1194">
        <v>1.079747634069401</v>
      </c>
      <c r="O1194" t="s">
        <v>6244</v>
      </c>
      <c r="P1194" t="s">
        <v>6245</v>
      </c>
      <c r="Q1194" t="s">
        <v>7308</v>
      </c>
      <c r="R1194">
        <v>2</v>
      </c>
      <c r="S1194">
        <v>2</v>
      </c>
    </row>
    <row r="1195" spans="1:19" hidden="1" x14ac:dyDescent="0.3">
      <c r="A1195" t="s">
        <v>3340</v>
      </c>
      <c r="B1195" t="s">
        <v>3341</v>
      </c>
      <c r="D1195" t="s">
        <v>184</v>
      </c>
      <c r="E1195" t="s">
        <v>233</v>
      </c>
      <c r="F1195" t="s">
        <v>30</v>
      </c>
      <c r="G1195" s="6">
        <v>45657</v>
      </c>
      <c r="H1195" t="s">
        <v>6816</v>
      </c>
      <c r="I1195" t="s">
        <v>57</v>
      </c>
      <c r="J1195" t="s">
        <v>78</v>
      </c>
      <c r="K1195">
        <v>52.19</v>
      </c>
      <c r="L1195">
        <v>45</v>
      </c>
      <c r="M1195">
        <v>0.8622341444721211</v>
      </c>
      <c r="N1195">
        <v>0.8622341444721211</v>
      </c>
      <c r="O1195" t="s">
        <v>6246</v>
      </c>
      <c r="P1195" t="s">
        <v>5882</v>
      </c>
      <c r="Q1195" t="s">
        <v>7309</v>
      </c>
      <c r="R1195">
        <v>2</v>
      </c>
      <c r="S1195">
        <v>2</v>
      </c>
    </row>
    <row r="1196" spans="1:19" hidden="1" x14ac:dyDescent="0.3">
      <c r="A1196" t="s">
        <v>3343</v>
      </c>
      <c r="B1196" t="s">
        <v>3344</v>
      </c>
      <c r="C1196" t="s">
        <v>6622</v>
      </c>
      <c r="E1196" t="s">
        <v>233</v>
      </c>
      <c r="F1196" t="s">
        <v>30</v>
      </c>
      <c r="G1196" s="6">
        <v>45291</v>
      </c>
      <c r="H1196" t="s">
        <v>6811</v>
      </c>
      <c r="I1196" t="s">
        <v>57</v>
      </c>
      <c r="J1196" t="s">
        <v>47</v>
      </c>
      <c r="K1196">
        <v>100</v>
      </c>
      <c r="L1196">
        <v>94.67</v>
      </c>
      <c r="M1196">
        <v>0.94669999999999999</v>
      </c>
      <c r="N1196">
        <v>0.94669999999999999</v>
      </c>
      <c r="O1196" t="s">
        <v>102</v>
      </c>
      <c r="P1196" t="s">
        <v>5862</v>
      </c>
      <c r="Q1196" t="s">
        <v>3347</v>
      </c>
      <c r="R1196">
        <v>2</v>
      </c>
      <c r="S1196">
        <v>2</v>
      </c>
    </row>
    <row r="1197" spans="1:19" hidden="1" x14ac:dyDescent="0.3">
      <c r="A1197" t="s">
        <v>3343</v>
      </c>
      <c r="B1197" t="s">
        <v>3344</v>
      </c>
      <c r="C1197" t="s">
        <v>6622</v>
      </c>
      <c r="D1197" t="s">
        <v>129</v>
      </c>
      <c r="E1197" t="s">
        <v>233</v>
      </c>
      <c r="F1197" t="s">
        <v>30</v>
      </c>
      <c r="G1197" s="6">
        <v>45657</v>
      </c>
      <c r="H1197" t="s">
        <v>6816</v>
      </c>
      <c r="I1197" t="s">
        <v>57</v>
      </c>
      <c r="J1197" t="s">
        <v>78</v>
      </c>
      <c r="K1197">
        <v>100</v>
      </c>
      <c r="L1197">
        <v>66.572500000000005</v>
      </c>
      <c r="M1197">
        <v>0.66572500000000001</v>
      </c>
      <c r="N1197">
        <v>0.66572500000000001</v>
      </c>
      <c r="O1197" t="s">
        <v>102</v>
      </c>
      <c r="P1197" t="s">
        <v>7310</v>
      </c>
      <c r="Q1197" t="s">
        <v>3351</v>
      </c>
      <c r="R1197">
        <v>2</v>
      </c>
      <c r="S1197">
        <v>2</v>
      </c>
    </row>
    <row r="1198" spans="1:19" hidden="1" x14ac:dyDescent="0.3">
      <c r="A1198" t="s">
        <v>3343</v>
      </c>
      <c r="B1198" t="s">
        <v>3344</v>
      </c>
      <c r="C1198" t="s">
        <v>6622</v>
      </c>
      <c r="D1198" t="s">
        <v>129</v>
      </c>
      <c r="E1198" t="s">
        <v>233</v>
      </c>
      <c r="F1198" t="s">
        <v>30</v>
      </c>
      <c r="G1198" s="6">
        <v>46022</v>
      </c>
      <c r="H1198" t="s">
        <v>6823</v>
      </c>
      <c r="I1198" t="s">
        <v>57</v>
      </c>
      <c r="J1198" t="s">
        <v>103</v>
      </c>
      <c r="K1198">
        <v>100</v>
      </c>
      <c r="L1198">
        <v>100.6</v>
      </c>
      <c r="M1198">
        <v>1.006</v>
      </c>
      <c r="N1198">
        <v>1.006</v>
      </c>
      <c r="O1198" t="s">
        <v>102</v>
      </c>
      <c r="P1198" t="s">
        <v>6251</v>
      </c>
      <c r="Q1198" t="s">
        <v>3358</v>
      </c>
      <c r="R1198">
        <v>2</v>
      </c>
      <c r="S1198">
        <v>2</v>
      </c>
    </row>
    <row r="1199" spans="1:19" hidden="1" x14ac:dyDescent="0.3">
      <c r="A1199" t="s">
        <v>3359</v>
      </c>
      <c r="B1199" t="s">
        <v>3362</v>
      </c>
      <c r="D1199" t="s">
        <v>266</v>
      </c>
      <c r="E1199" t="s">
        <v>233</v>
      </c>
      <c r="F1199" t="s">
        <v>30</v>
      </c>
      <c r="G1199" s="6">
        <v>45291</v>
      </c>
      <c r="H1199" t="s">
        <v>6811</v>
      </c>
      <c r="I1199" t="s">
        <v>57</v>
      </c>
      <c r="J1199" t="s">
        <v>47</v>
      </c>
      <c r="K1199">
        <v>80.25</v>
      </c>
      <c r="L1199">
        <v>68.297499999999999</v>
      </c>
      <c r="M1199">
        <v>0.8510591900311526</v>
      </c>
      <c r="N1199">
        <v>0.8510591900311526</v>
      </c>
      <c r="O1199" t="s">
        <v>7311</v>
      </c>
      <c r="P1199" t="s">
        <v>7312</v>
      </c>
      <c r="Q1199" t="s">
        <v>3364</v>
      </c>
      <c r="R1199">
        <v>2</v>
      </c>
      <c r="S1199">
        <v>2</v>
      </c>
    </row>
    <row r="1200" spans="1:19" hidden="1" x14ac:dyDescent="0.3">
      <c r="A1200" t="s">
        <v>3359</v>
      </c>
      <c r="B1200" t="s">
        <v>3362</v>
      </c>
      <c r="D1200" t="s">
        <v>266</v>
      </c>
      <c r="E1200" t="s">
        <v>233</v>
      </c>
      <c r="F1200" t="s">
        <v>30</v>
      </c>
      <c r="G1200" s="6">
        <v>45657</v>
      </c>
      <c r="H1200" t="s">
        <v>6816</v>
      </c>
      <c r="I1200" t="s">
        <v>57</v>
      </c>
      <c r="J1200" t="s">
        <v>78</v>
      </c>
      <c r="K1200">
        <v>78.680000000000007</v>
      </c>
      <c r="L1200">
        <v>65.67</v>
      </c>
      <c r="M1200">
        <v>0.83464667005592263</v>
      </c>
      <c r="N1200">
        <v>0.83464667005592263</v>
      </c>
      <c r="O1200" t="s">
        <v>6255</v>
      </c>
      <c r="P1200" t="s">
        <v>6256</v>
      </c>
      <c r="Q1200" t="s">
        <v>7313</v>
      </c>
      <c r="R1200">
        <v>2</v>
      </c>
      <c r="S1200">
        <v>2</v>
      </c>
    </row>
    <row r="1201" spans="1:19" hidden="1" x14ac:dyDescent="0.3">
      <c r="A1201" t="s">
        <v>3359</v>
      </c>
      <c r="B1201" t="s">
        <v>3360</v>
      </c>
      <c r="C1201" t="s">
        <v>6622</v>
      </c>
      <c r="D1201" t="s">
        <v>5209</v>
      </c>
      <c r="E1201" t="s">
        <v>233</v>
      </c>
      <c r="F1201" t="s">
        <v>30</v>
      </c>
      <c r="G1201" s="6">
        <v>45838</v>
      </c>
      <c r="H1201">
        <v>2025</v>
      </c>
      <c r="I1201" t="s">
        <v>44</v>
      </c>
      <c r="J1201" t="s">
        <v>244</v>
      </c>
      <c r="K1201">
        <v>63</v>
      </c>
      <c r="L1201">
        <v>62</v>
      </c>
      <c r="M1201">
        <v>0.98412698412698407</v>
      </c>
      <c r="N1201">
        <v>0.98412698412698407</v>
      </c>
      <c r="O1201" t="s">
        <v>31</v>
      </c>
      <c r="P1201" t="s">
        <v>31</v>
      </c>
      <c r="Q1201" t="s">
        <v>7314</v>
      </c>
      <c r="R1201">
        <v>0</v>
      </c>
      <c r="S1201">
        <v>0</v>
      </c>
    </row>
    <row r="1202" spans="1:19" hidden="1" x14ac:dyDescent="0.3">
      <c r="A1202" t="s">
        <v>7315</v>
      </c>
      <c r="B1202" t="s">
        <v>3362</v>
      </c>
      <c r="C1202" t="s">
        <v>6622</v>
      </c>
      <c r="D1202" t="s">
        <v>266</v>
      </c>
      <c r="E1202" t="s">
        <v>233</v>
      </c>
      <c r="F1202" t="s">
        <v>30</v>
      </c>
      <c r="G1202" s="6">
        <v>45291</v>
      </c>
      <c r="H1202">
        <v>2023</v>
      </c>
      <c r="I1202" t="s">
        <v>57</v>
      </c>
      <c r="J1202" t="s">
        <v>47</v>
      </c>
      <c r="K1202">
        <v>100</v>
      </c>
      <c r="L1202">
        <v>84.33</v>
      </c>
      <c r="M1202">
        <v>0.84329999999999994</v>
      </c>
      <c r="N1202">
        <v>0.84329999999999994</v>
      </c>
      <c r="O1202" t="s">
        <v>31</v>
      </c>
      <c r="P1202" t="s">
        <v>31</v>
      </c>
      <c r="Q1202" t="s">
        <v>3365</v>
      </c>
      <c r="R1202">
        <v>0</v>
      </c>
      <c r="S1202">
        <v>0</v>
      </c>
    </row>
    <row r="1203" spans="1:19" hidden="1" x14ac:dyDescent="0.3">
      <c r="A1203" t="s">
        <v>7315</v>
      </c>
      <c r="B1203" t="s">
        <v>3362</v>
      </c>
      <c r="C1203" t="s">
        <v>6622</v>
      </c>
      <c r="D1203" t="s">
        <v>266</v>
      </c>
      <c r="E1203" t="s">
        <v>233</v>
      </c>
      <c r="F1203" t="s">
        <v>30</v>
      </c>
      <c r="G1203" s="6">
        <v>45657</v>
      </c>
      <c r="H1203">
        <v>2024</v>
      </c>
      <c r="I1203" t="s">
        <v>57</v>
      </c>
      <c r="J1203" t="s">
        <v>78</v>
      </c>
      <c r="O1203" t="s">
        <v>215</v>
      </c>
      <c r="P1203" t="s">
        <v>215</v>
      </c>
      <c r="Q1203" t="s">
        <v>7316</v>
      </c>
      <c r="R1203">
        <v>0</v>
      </c>
      <c r="S1203">
        <v>0</v>
      </c>
    </row>
    <row r="1204" spans="1:19" hidden="1" x14ac:dyDescent="0.3">
      <c r="A1204" t="s">
        <v>7315</v>
      </c>
      <c r="B1204" t="s">
        <v>3362</v>
      </c>
      <c r="C1204" t="s">
        <v>6622</v>
      </c>
      <c r="D1204" t="s">
        <v>266</v>
      </c>
      <c r="E1204" t="s">
        <v>233</v>
      </c>
      <c r="F1204" t="s">
        <v>30</v>
      </c>
      <c r="G1204" s="6">
        <v>45838</v>
      </c>
      <c r="H1204">
        <v>2025</v>
      </c>
      <c r="I1204" t="s">
        <v>44</v>
      </c>
      <c r="J1204" t="s">
        <v>244</v>
      </c>
      <c r="K1204">
        <v>64</v>
      </c>
      <c r="L1204">
        <v>62</v>
      </c>
      <c r="M1204">
        <v>0.96875</v>
      </c>
      <c r="N1204">
        <v>0.96875</v>
      </c>
      <c r="O1204" t="s">
        <v>31</v>
      </c>
      <c r="P1204" t="s">
        <v>31</v>
      </c>
      <c r="Q1204" t="s">
        <v>7317</v>
      </c>
      <c r="R1204">
        <v>0</v>
      </c>
      <c r="S1204">
        <v>0</v>
      </c>
    </row>
    <row r="1205" spans="1:19" hidden="1" x14ac:dyDescent="0.3">
      <c r="A1205" t="s">
        <v>3368</v>
      </c>
      <c r="B1205" t="s">
        <v>3369</v>
      </c>
      <c r="D1205" t="s">
        <v>2688</v>
      </c>
      <c r="E1205" t="s">
        <v>233</v>
      </c>
      <c r="F1205" t="s">
        <v>30</v>
      </c>
      <c r="G1205" s="6">
        <v>45657</v>
      </c>
      <c r="H1205" t="s">
        <v>6816</v>
      </c>
      <c r="I1205" t="s">
        <v>57</v>
      </c>
      <c r="J1205" t="s">
        <v>78</v>
      </c>
      <c r="K1205">
        <v>100</v>
      </c>
      <c r="L1205">
        <v>97</v>
      </c>
      <c r="M1205">
        <v>0.97</v>
      </c>
      <c r="N1205">
        <v>0.97</v>
      </c>
      <c r="O1205" t="s">
        <v>102</v>
      </c>
      <c r="P1205" t="s">
        <v>1005</v>
      </c>
      <c r="Q1205" t="s">
        <v>7318</v>
      </c>
      <c r="R1205">
        <v>2</v>
      </c>
      <c r="S1205">
        <v>2</v>
      </c>
    </row>
    <row r="1206" spans="1:19" hidden="1" x14ac:dyDescent="0.3">
      <c r="A1206" t="s">
        <v>3368</v>
      </c>
      <c r="B1206" t="s">
        <v>3369</v>
      </c>
      <c r="C1206" t="s">
        <v>6622</v>
      </c>
      <c r="D1206" t="s">
        <v>5209</v>
      </c>
      <c r="E1206" t="s">
        <v>233</v>
      </c>
      <c r="F1206" t="s">
        <v>30</v>
      </c>
      <c r="G1206" s="6">
        <v>45838</v>
      </c>
      <c r="H1206">
        <v>2025</v>
      </c>
      <c r="I1206" t="s">
        <v>44</v>
      </c>
      <c r="J1206" t="s">
        <v>244</v>
      </c>
      <c r="K1206">
        <v>62</v>
      </c>
      <c r="L1206">
        <v>56</v>
      </c>
      <c r="M1206">
        <v>0.90322580645161288</v>
      </c>
      <c r="N1206">
        <v>0.90322580645161288</v>
      </c>
      <c r="O1206" t="s">
        <v>31</v>
      </c>
      <c r="P1206" t="s">
        <v>31</v>
      </c>
      <c r="Q1206" t="s">
        <v>7319</v>
      </c>
      <c r="R1206">
        <v>0</v>
      </c>
      <c r="S1206">
        <v>0</v>
      </c>
    </row>
    <row r="1207" spans="1:19" hidden="1" x14ac:dyDescent="0.3">
      <c r="A1207" t="s">
        <v>3371</v>
      </c>
      <c r="B1207" t="s">
        <v>3372</v>
      </c>
      <c r="D1207" t="s">
        <v>730</v>
      </c>
      <c r="E1207" t="s">
        <v>233</v>
      </c>
      <c r="F1207" t="s">
        <v>30</v>
      </c>
      <c r="G1207" s="6">
        <v>45657</v>
      </c>
      <c r="H1207" t="s">
        <v>6816</v>
      </c>
      <c r="I1207" t="s">
        <v>57</v>
      </c>
      <c r="J1207" t="s">
        <v>78</v>
      </c>
      <c r="K1207">
        <v>87.8</v>
      </c>
      <c r="L1207">
        <v>77.5</v>
      </c>
      <c r="M1207">
        <v>0.88268792710706157</v>
      </c>
      <c r="N1207">
        <v>0.88268792710706157</v>
      </c>
      <c r="O1207" t="s">
        <v>6257</v>
      </c>
      <c r="P1207" t="s">
        <v>6143</v>
      </c>
      <c r="Q1207" t="s">
        <v>7320</v>
      </c>
      <c r="R1207">
        <v>2</v>
      </c>
      <c r="S1207">
        <v>2</v>
      </c>
    </row>
    <row r="1208" spans="1:19" hidden="1" x14ac:dyDescent="0.3">
      <c r="A1208" t="s">
        <v>3371</v>
      </c>
      <c r="B1208" t="s">
        <v>3372</v>
      </c>
      <c r="C1208" t="s">
        <v>6681</v>
      </c>
      <c r="D1208" t="s">
        <v>730</v>
      </c>
      <c r="E1208" t="s">
        <v>233</v>
      </c>
      <c r="F1208" t="s">
        <v>30</v>
      </c>
      <c r="G1208" s="6">
        <v>45838</v>
      </c>
      <c r="H1208">
        <v>2025</v>
      </c>
      <c r="I1208" t="s">
        <v>44</v>
      </c>
      <c r="J1208" t="s">
        <v>244</v>
      </c>
      <c r="K1208">
        <v>98</v>
      </c>
      <c r="L1208">
        <v>86</v>
      </c>
      <c r="M1208">
        <v>0.87755102040816324</v>
      </c>
      <c r="N1208">
        <v>0.87755102040816324</v>
      </c>
      <c r="O1208" t="s">
        <v>31</v>
      </c>
      <c r="P1208" t="s">
        <v>31</v>
      </c>
      <c r="Q1208" t="s">
        <v>7321</v>
      </c>
      <c r="R1208">
        <v>0</v>
      </c>
      <c r="S1208">
        <v>0</v>
      </c>
    </row>
    <row r="1209" spans="1:19" hidden="1" x14ac:dyDescent="0.3">
      <c r="A1209" t="s">
        <v>3374</v>
      </c>
      <c r="B1209" t="s">
        <v>3375</v>
      </c>
      <c r="D1209" t="s">
        <v>717</v>
      </c>
      <c r="E1209" t="s">
        <v>233</v>
      </c>
      <c r="F1209" t="s">
        <v>30</v>
      </c>
      <c r="G1209" s="6">
        <v>45657</v>
      </c>
      <c r="H1209" t="s">
        <v>6816</v>
      </c>
      <c r="I1209" t="s">
        <v>57</v>
      </c>
      <c r="J1209" t="s">
        <v>78</v>
      </c>
      <c r="K1209">
        <v>100</v>
      </c>
      <c r="L1209">
        <v>85</v>
      </c>
      <c r="M1209">
        <v>0.85</v>
      </c>
      <c r="N1209">
        <v>0.85</v>
      </c>
      <c r="O1209" t="s">
        <v>102</v>
      </c>
      <c r="P1209" t="s">
        <v>2357</v>
      </c>
      <c r="Q1209" t="s">
        <v>7322</v>
      </c>
      <c r="R1209">
        <v>2</v>
      </c>
      <c r="S1209">
        <v>2</v>
      </c>
    </row>
    <row r="1210" spans="1:19" hidden="1" x14ac:dyDescent="0.3">
      <c r="A1210" t="s">
        <v>3374</v>
      </c>
      <c r="B1210" t="s">
        <v>3375</v>
      </c>
      <c r="C1210" t="s">
        <v>6622</v>
      </c>
      <c r="D1210" t="s">
        <v>717</v>
      </c>
      <c r="E1210" t="s">
        <v>233</v>
      </c>
      <c r="F1210" t="s">
        <v>30</v>
      </c>
      <c r="G1210" s="6">
        <v>45838</v>
      </c>
      <c r="H1210">
        <v>2025</v>
      </c>
      <c r="I1210" t="s">
        <v>44</v>
      </c>
      <c r="J1210" t="s">
        <v>244</v>
      </c>
      <c r="K1210">
        <v>81</v>
      </c>
      <c r="L1210">
        <v>81</v>
      </c>
      <c r="M1210">
        <v>1</v>
      </c>
      <c r="N1210">
        <v>1</v>
      </c>
      <c r="O1210" t="s">
        <v>31</v>
      </c>
      <c r="P1210" t="s">
        <v>31</v>
      </c>
      <c r="Q1210" t="s">
        <v>7323</v>
      </c>
      <c r="R1210">
        <v>0</v>
      </c>
      <c r="S1210">
        <v>0</v>
      </c>
    </row>
    <row r="1211" spans="1:19" hidden="1" x14ac:dyDescent="0.3">
      <c r="A1211" t="s">
        <v>3377</v>
      </c>
      <c r="B1211" t="s">
        <v>3378</v>
      </c>
      <c r="D1211" t="s">
        <v>266</v>
      </c>
      <c r="E1211" t="s">
        <v>233</v>
      </c>
      <c r="F1211" t="s">
        <v>30</v>
      </c>
      <c r="G1211" s="6">
        <v>45657</v>
      </c>
      <c r="H1211" t="s">
        <v>6816</v>
      </c>
      <c r="I1211" t="s">
        <v>57</v>
      </c>
      <c r="J1211" t="s">
        <v>78</v>
      </c>
      <c r="K1211">
        <v>27.99</v>
      </c>
      <c r="L1211">
        <v>26.66</v>
      </c>
      <c r="M1211">
        <v>0.95248302965344767</v>
      </c>
      <c r="N1211">
        <v>0.95248302965344767</v>
      </c>
      <c r="O1211" t="s">
        <v>6258</v>
      </c>
      <c r="P1211" t="s">
        <v>6259</v>
      </c>
      <c r="Q1211" t="s">
        <v>7324</v>
      </c>
      <c r="R1211">
        <v>2</v>
      </c>
      <c r="S1211">
        <v>2</v>
      </c>
    </row>
    <row r="1212" spans="1:19" hidden="1" x14ac:dyDescent="0.3">
      <c r="A1212" t="s">
        <v>3377</v>
      </c>
      <c r="B1212" t="s">
        <v>3378</v>
      </c>
      <c r="C1212" t="s">
        <v>6622</v>
      </c>
      <c r="D1212" t="s">
        <v>266</v>
      </c>
      <c r="E1212" t="s">
        <v>233</v>
      </c>
      <c r="F1212" t="s">
        <v>30</v>
      </c>
      <c r="G1212" s="6">
        <v>45838</v>
      </c>
      <c r="H1212">
        <v>2025</v>
      </c>
      <c r="I1212" t="s">
        <v>44</v>
      </c>
      <c r="J1212" t="s">
        <v>244</v>
      </c>
      <c r="K1212">
        <v>71</v>
      </c>
      <c r="L1212">
        <v>73</v>
      </c>
      <c r="M1212">
        <v>1</v>
      </c>
      <c r="N1212">
        <v>1</v>
      </c>
      <c r="O1212" t="s">
        <v>31</v>
      </c>
      <c r="P1212" t="s">
        <v>31</v>
      </c>
      <c r="Q1212" t="s">
        <v>7325</v>
      </c>
      <c r="R1212">
        <v>0</v>
      </c>
      <c r="S1212">
        <v>0</v>
      </c>
    </row>
    <row r="1213" spans="1:19" hidden="1" x14ac:dyDescent="0.3">
      <c r="A1213" t="s">
        <v>3380</v>
      </c>
      <c r="B1213" t="s">
        <v>3381</v>
      </c>
      <c r="D1213" t="s">
        <v>717</v>
      </c>
      <c r="E1213" t="s">
        <v>233</v>
      </c>
      <c r="F1213" t="s">
        <v>30</v>
      </c>
      <c r="G1213" s="6">
        <v>45291</v>
      </c>
      <c r="H1213" t="s">
        <v>6811</v>
      </c>
      <c r="I1213" t="s">
        <v>57</v>
      </c>
      <c r="J1213" t="s">
        <v>47</v>
      </c>
      <c r="K1213">
        <v>94</v>
      </c>
      <c r="L1213">
        <v>97</v>
      </c>
      <c r="M1213">
        <v>1.031914893617021</v>
      </c>
      <c r="N1213">
        <v>1.031914893617021</v>
      </c>
      <c r="O1213" t="s">
        <v>194</v>
      </c>
      <c r="P1213" t="s">
        <v>1005</v>
      </c>
      <c r="Q1213" t="s">
        <v>3383</v>
      </c>
      <c r="R1213">
        <v>2</v>
      </c>
      <c r="S1213">
        <v>2</v>
      </c>
    </row>
    <row r="1214" spans="1:19" hidden="1" x14ac:dyDescent="0.3">
      <c r="A1214" t="s">
        <v>3380</v>
      </c>
      <c r="B1214" t="s">
        <v>3381</v>
      </c>
      <c r="D1214" t="s">
        <v>717</v>
      </c>
      <c r="E1214" t="s">
        <v>233</v>
      </c>
      <c r="F1214" t="s">
        <v>30</v>
      </c>
      <c r="G1214" s="6">
        <v>45657</v>
      </c>
      <c r="H1214" t="s">
        <v>6816</v>
      </c>
      <c r="I1214" t="s">
        <v>57</v>
      </c>
      <c r="J1214" t="s">
        <v>78</v>
      </c>
      <c r="K1214">
        <v>79.88</v>
      </c>
      <c r="L1214">
        <v>68.599999999999994</v>
      </c>
      <c r="M1214">
        <v>0.85878818227341014</v>
      </c>
      <c r="N1214">
        <v>0.85878818227341014</v>
      </c>
      <c r="O1214" t="s">
        <v>6260</v>
      </c>
      <c r="P1214" t="s">
        <v>6261</v>
      </c>
      <c r="Q1214" t="s">
        <v>7326</v>
      </c>
      <c r="R1214">
        <v>2</v>
      </c>
      <c r="S1214">
        <v>2</v>
      </c>
    </row>
    <row r="1215" spans="1:19" hidden="1" x14ac:dyDescent="0.3">
      <c r="A1215" t="s">
        <v>3380</v>
      </c>
      <c r="B1215" t="s">
        <v>3381</v>
      </c>
      <c r="C1215" t="s">
        <v>6622</v>
      </c>
      <c r="D1215" t="s">
        <v>717</v>
      </c>
      <c r="E1215" t="s">
        <v>233</v>
      </c>
      <c r="F1215" t="s">
        <v>30</v>
      </c>
      <c r="G1215" s="6">
        <v>45838</v>
      </c>
      <c r="H1215">
        <v>2025</v>
      </c>
      <c r="I1215" t="s">
        <v>44</v>
      </c>
      <c r="J1215" t="s">
        <v>244</v>
      </c>
      <c r="K1215">
        <v>87</v>
      </c>
      <c r="L1215">
        <v>77</v>
      </c>
      <c r="M1215">
        <v>0.88505747126436785</v>
      </c>
      <c r="N1215">
        <v>0.88505747126436785</v>
      </c>
      <c r="O1215" t="s">
        <v>31</v>
      </c>
      <c r="P1215" t="s">
        <v>31</v>
      </c>
      <c r="Q1215" t="s">
        <v>7327</v>
      </c>
      <c r="R1215">
        <v>0</v>
      </c>
      <c r="S1215">
        <v>0</v>
      </c>
    </row>
    <row r="1216" spans="1:19" hidden="1" x14ac:dyDescent="0.3">
      <c r="A1216" t="s">
        <v>3385</v>
      </c>
      <c r="B1216" t="s">
        <v>3386</v>
      </c>
      <c r="D1216" t="s">
        <v>2619</v>
      </c>
      <c r="E1216" t="s">
        <v>233</v>
      </c>
      <c r="F1216" t="s">
        <v>30</v>
      </c>
      <c r="G1216" s="6">
        <v>45291</v>
      </c>
      <c r="H1216" t="s">
        <v>6811</v>
      </c>
      <c r="I1216" t="s">
        <v>57</v>
      </c>
      <c r="J1216" t="s">
        <v>47</v>
      </c>
      <c r="K1216">
        <v>79</v>
      </c>
      <c r="L1216">
        <v>74</v>
      </c>
      <c r="M1216">
        <v>0.93670886075949367</v>
      </c>
      <c r="N1216">
        <v>0.93670886075949367</v>
      </c>
      <c r="O1216" t="s">
        <v>5370</v>
      </c>
      <c r="P1216" t="s">
        <v>272</v>
      </c>
      <c r="Q1216" t="s">
        <v>3388</v>
      </c>
      <c r="R1216">
        <v>2</v>
      </c>
      <c r="S1216">
        <v>2</v>
      </c>
    </row>
    <row r="1217" spans="1:19" hidden="1" x14ac:dyDescent="0.3">
      <c r="A1217" t="s">
        <v>3385</v>
      </c>
      <c r="B1217" t="s">
        <v>3386</v>
      </c>
      <c r="D1217" t="s">
        <v>2619</v>
      </c>
      <c r="E1217" t="s">
        <v>233</v>
      </c>
      <c r="F1217" t="s">
        <v>30</v>
      </c>
      <c r="G1217" s="6">
        <v>45657</v>
      </c>
      <c r="H1217" t="s">
        <v>6816</v>
      </c>
      <c r="I1217" t="s">
        <v>57</v>
      </c>
      <c r="J1217" t="s">
        <v>78</v>
      </c>
      <c r="K1217">
        <v>53.64</v>
      </c>
      <c r="L1217">
        <v>40</v>
      </c>
      <c r="M1217">
        <v>0.74571215510812827</v>
      </c>
      <c r="N1217">
        <v>0.74571215510812827</v>
      </c>
      <c r="O1217" t="s">
        <v>6263</v>
      </c>
      <c r="P1217" t="s">
        <v>1620</v>
      </c>
      <c r="Q1217" t="s">
        <v>7328</v>
      </c>
      <c r="R1217">
        <v>2</v>
      </c>
      <c r="S1217">
        <v>2</v>
      </c>
    </row>
    <row r="1218" spans="1:19" hidden="1" x14ac:dyDescent="0.3">
      <c r="A1218" t="s">
        <v>3385</v>
      </c>
      <c r="B1218" t="s">
        <v>3386</v>
      </c>
      <c r="C1218" t="s">
        <v>6622</v>
      </c>
      <c r="D1218" t="s">
        <v>2619</v>
      </c>
      <c r="E1218" t="s">
        <v>233</v>
      </c>
      <c r="F1218" t="s">
        <v>30</v>
      </c>
      <c r="G1218" s="6">
        <v>45838</v>
      </c>
      <c r="H1218">
        <v>2025</v>
      </c>
      <c r="I1218" t="s">
        <v>44</v>
      </c>
      <c r="J1218" t="s">
        <v>244</v>
      </c>
      <c r="K1218">
        <v>51</v>
      </c>
      <c r="L1218">
        <v>61</v>
      </c>
      <c r="M1218">
        <v>1</v>
      </c>
      <c r="N1218">
        <v>1</v>
      </c>
      <c r="O1218" t="s">
        <v>31</v>
      </c>
      <c r="P1218" t="s">
        <v>31</v>
      </c>
      <c r="Q1218" t="s">
        <v>7329</v>
      </c>
      <c r="R1218">
        <v>0</v>
      </c>
      <c r="S1218">
        <v>0</v>
      </c>
    </row>
    <row r="1219" spans="1:19" hidden="1" x14ac:dyDescent="0.3">
      <c r="A1219" t="s">
        <v>3390</v>
      </c>
      <c r="B1219" t="s">
        <v>3391</v>
      </c>
      <c r="D1219" t="s">
        <v>150</v>
      </c>
      <c r="E1219" t="s">
        <v>233</v>
      </c>
      <c r="F1219" t="s">
        <v>30</v>
      </c>
      <c r="G1219" s="6">
        <v>45291</v>
      </c>
      <c r="H1219" t="s">
        <v>6811</v>
      </c>
      <c r="I1219" t="s">
        <v>57</v>
      </c>
      <c r="J1219" t="s">
        <v>47</v>
      </c>
      <c r="K1219">
        <v>60</v>
      </c>
      <c r="L1219">
        <v>62</v>
      </c>
      <c r="M1219">
        <v>1.033333333333333</v>
      </c>
      <c r="N1219">
        <v>1.033333333333333</v>
      </c>
      <c r="O1219" t="s">
        <v>2640</v>
      </c>
      <c r="P1219" t="s">
        <v>6211</v>
      </c>
      <c r="Q1219" t="s">
        <v>3393</v>
      </c>
      <c r="R1219">
        <v>2</v>
      </c>
      <c r="S1219">
        <v>2</v>
      </c>
    </row>
    <row r="1220" spans="1:19" hidden="1" x14ac:dyDescent="0.3">
      <c r="A1220" t="s">
        <v>3390</v>
      </c>
      <c r="B1220" t="s">
        <v>3391</v>
      </c>
      <c r="D1220" t="s">
        <v>150</v>
      </c>
      <c r="E1220" t="s">
        <v>233</v>
      </c>
      <c r="F1220" t="s">
        <v>30</v>
      </c>
      <c r="G1220" s="6">
        <v>45657</v>
      </c>
      <c r="H1220" t="s">
        <v>6816</v>
      </c>
      <c r="I1220" t="s">
        <v>57</v>
      </c>
      <c r="J1220" t="s">
        <v>78</v>
      </c>
      <c r="K1220">
        <v>36.049999999999997</v>
      </c>
      <c r="L1220">
        <v>43.92</v>
      </c>
      <c r="M1220">
        <v>1.2183079056865469</v>
      </c>
      <c r="N1220">
        <v>1.2183079056865469</v>
      </c>
      <c r="O1220" t="s">
        <v>6264</v>
      </c>
      <c r="P1220" t="s">
        <v>6265</v>
      </c>
      <c r="Q1220" t="s">
        <v>7330</v>
      </c>
      <c r="R1220">
        <v>2</v>
      </c>
      <c r="S1220">
        <v>2</v>
      </c>
    </row>
    <row r="1221" spans="1:19" hidden="1" x14ac:dyDescent="0.3">
      <c r="A1221" t="s">
        <v>3390</v>
      </c>
      <c r="B1221" t="s">
        <v>7331</v>
      </c>
      <c r="C1221" t="s">
        <v>6622</v>
      </c>
      <c r="D1221" t="s">
        <v>150</v>
      </c>
      <c r="E1221" t="s">
        <v>233</v>
      </c>
      <c r="F1221" t="s">
        <v>30</v>
      </c>
      <c r="G1221" s="6">
        <v>45838</v>
      </c>
      <c r="H1221">
        <v>2025</v>
      </c>
      <c r="I1221" t="s">
        <v>44</v>
      </c>
      <c r="J1221" t="s">
        <v>244</v>
      </c>
      <c r="K1221">
        <v>67</v>
      </c>
      <c r="L1221">
        <v>67</v>
      </c>
      <c r="M1221">
        <v>1</v>
      </c>
      <c r="N1221">
        <v>1</v>
      </c>
      <c r="O1221" t="s">
        <v>31</v>
      </c>
      <c r="P1221" t="s">
        <v>31</v>
      </c>
      <c r="Q1221" t="s">
        <v>7332</v>
      </c>
      <c r="R1221">
        <v>0</v>
      </c>
      <c r="S1221">
        <v>0</v>
      </c>
    </row>
    <row r="1222" spans="1:19" hidden="1" x14ac:dyDescent="0.3">
      <c r="A1222" t="s">
        <v>3395</v>
      </c>
      <c r="B1222" t="s">
        <v>3396</v>
      </c>
      <c r="D1222" t="s">
        <v>649</v>
      </c>
      <c r="E1222" t="s">
        <v>233</v>
      </c>
      <c r="F1222" t="s">
        <v>30</v>
      </c>
      <c r="G1222" s="6">
        <v>45291</v>
      </c>
      <c r="H1222" t="s">
        <v>6811</v>
      </c>
      <c r="I1222" t="s">
        <v>57</v>
      </c>
      <c r="J1222" t="s">
        <v>47</v>
      </c>
      <c r="K1222">
        <v>77</v>
      </c>
      <c r="L1222">
        <v>76.5</v>
      </c>
      <c r="M1222">
        <v>0.99350649350649356</v>
      </c>
      <c r="N1222">
        <v>0.99350649350649356</v>
      </c>
      <c r="O1222" t="s">
        <v>4331</v>
      </c>
      <c r="P1222" t="s">
        <v>7333</v>
      </c>
      <c r="Q1222" t="s">
        <v>3398</v>
      </c>
      <c r="R1222">
        <v>2</v>
      </c>
      <c r="S1222">
        <v>2</v>
      </c>
    </row>
    <row r="1223" spans="1:19" hidden="1" x14ac:dyDescent="0.3">
      <c r="A1223" t="s">
        <v>3395</v>
      </c>
      <c r="B1223" t="s">
        <v>3396</v>
      </c>
      <c r="D1223" t="s">
        <v>649</v>
      </c>
      <c r="E1223" t="s">
        <v>233</v>
      </c>
      <c r="F1223" t="s">
        <v>30</v>
      </c>
      <c r="G1223" s="6">
        <v>45657</v>
      </c>
      <c r="H1223" t="s">
        <v>6816</v>
      </c>
      <c r="I1223" t="s">
        <v>57</v>
      </c>
      <c r="J1223" t="s">
        <v>78</v>
      </c>
      <c r="K1223">
        <v>81.239999999999995</v>
      </c>
      <c r="L1223">
        <v>86.67</v>
      </c>
      <c r="M1223">
        <v>1.066838995568685</v>
      </c>
      <c r="N1223">
        <v>1.066838995568685</v>
      </c>
      <c r="O1223" t="s">
        <v>4611</v>
      </c>
      <c r="P1223" t="s">
        <v>5403</v>
      </c>
      <c r="Q1223" t="s">
        <v>7334</v>
      </c>
      <c r="R1223">
        <v>2</v>
      </c>
      <c r="S1223">
        <v>2</v>
      </c>
    </row>
    <row r="1224" spans="1:19" hidden="1" x14ac:dyDescent="0.3">
      <c r="A1224" t="s">
        <v>3395</v>
      </c>
      <c r="B1224" t="s">
        <v>3396</v>
      </c>
      <c r="C1224" t="s">
        <v>6622</v>
      </c>
      <c r="D1224" t="s">
        <v>649</v>
      </c>
      <c r="E1224" t="s">
        <v>233</v>
      </c>
      <c r="F1224" t="s">
        <v>30</v>
      </c>
      <c r="G1224" s="6">
        <v>45838</v>
      </c>
      <c r="H1224">
        <v>2025</v>
      </c>
      <c r="I1224" t="s">
        <v>44</v>
      </c>
      <c r="J1224" t="s">
        <v>244</v>
      </c>
      <c r="K1224">
        <v>73</v>
      </c>
      <c r="L1224">
        <v>62</v>
      </c>
      <c r="M1224">
        <v>0.84931506849315064</v>
      </c>
      <c r="N1224">
        <v>0.84931506849315064</v>
      </c>
      <c r="O1224" t="s">
        <v>31</v>
      </c>
      <c r="P1224" t="s">
        <v>31</v>
      </c>
      <c r="Q1224" t="s">
        <v>7335</v>
      </c>
      <c r="R1224">
        <v>0</v>
      </c>
      <c r="S1224">
        <v>0</v>
      </c>
    </row>
    <row r="1225" spans="1:19" hidden="1" x14ac:dyDescent="0.3">
      <c r="A1225" t="s">
        <v>3400</v>
      </c>
      <c r="B1225" t="s">
        <v>3401</v>
      </c>
      <c r="D1225" t="s">
        <v>2678</v>
      </c>
      <c r="E1225" t="s">
        <v>233</v>
      </c>
      <c r="F1225" t="s">
        <v>30</v>
      </c>
      <c r="G1225" s="6">
        <v>45291</v>
      </c>
      <c r="H1225" t="s">
        <v>6811</v>
      </c>
      <c r="I1225" t="s">
        <v>57</v>
      </c>
      <c r="J1225" t="s">
        <v>47</v>
      </c>
      <c r="K1225">
        <v>81</v>
      </c>
      <c r="L1225">
        <v>75.5</v>
      </c>
      <c r="M1225">
        <v>0.9320987654320988</v>
      </c>
      <c r="N1225">
        <v>0.9320987654320988</v>
      </c>
      <c r="O1225" t="s">
        <v>1054</v>
      </c>
      <c r="P1225" t="s">
        <v>6499</v>
      </c>
      <c r="Q1225" t="s">
        <v>3403</v>
      </c>
      <c r="R1225">
        <v>2</v>
      </c>
      <c r="S1225">
        <v>2</v>
      </c>
    </row>
    <row r="1226" spans="1:19" hidden="1" x14ac:dyDescent="0.3">
      <c r="A1226" t="s">
        <v>3400</v>
      </c>
      <c r="B1226" t="s">
        <v>3401</v>
      </c>
      <c r="D1226" t="s">
        <v>2678</v>
      </c>
      <c r="E1226" t="s">
        <v>233</v>
      </c>
      <c r="F1226" t="s">
        <v>30</v>
      </c>
      <c r="G1226" s="6">
        <v>45657</v>
      </c>
      <c r="H1226" t="s">
        <v>6816</v>
      </c>
      <c r="I1226" t="s">
        <v>57</v>
      </c>
      <c r="J1226" t="s">
        <v>78</v>
      </c>
      <c r="K1226">
        <v>71.25</v>
      </c>
      <c r="L1226">
        <v>52.22</v>
      </c>
      <c r="M1226">
        <v>0.7329122807017544</v>
      </c>
      <c r="N1226">
        <v>0.7329122807017544</v>
      </c>
      <c r="O1226" t="s">
        <v>6266</v>
      </c>
      <c r="P1226" t="s">
        <v>6267</v>
      </c>
      <c r="Q1226" t="s">
        <v>7336</v>
      </c>
      <c r="R1226">
        <v>2</v>
      </c>
      <c r="S1226">
        <v>2</v>
      </c>
    </row>
    <row r="1227" spans="1:19" hidden="1" x14ac:dyDescent="0.3">
      <c r="A1227" t="s">
        <v>3400</v>
      </c>
      <c r="B1227" t="s">
        <v>3401</v>
      </c>
      <c r="C1227" t="s">
        <v>6622</v>
      </c>
      <c r="D1227" t="s">
        <v>2678</v>
      </c>
      <c r="E1227" t="s">
        <v>233</v>
      </c>
      <c r="F1227" t="s">
        <v>30</v>
      </c>
      <c r="G1227" s="6">
        <v>45838</v>
      </c>
      <c r="H1227">
        <v>2025</v>
      </c>
      <c r="I1227" t="s">
        <v>44</v>
      </c>
      <c r="J1227" t="s">
        <v>244</v>
      </c>
      <c r="K1227">
        <v>83</v>
      </c>
      <c r="L1227">
        <v>70</v>
      </c>
      <c r="M1227">
        <v>0.84337349397590367</v>
      </c>
      <c r="N1227">
        <v>0.84337349397590367</v>
      </c>
      <c r="O1227" t="s">
        <v>31</v>
      </c>
      <c r="P1227" t="s">
        <v>31</v>
      </c>
      <c r="Q1227" t="s">
        <v>7337</v>
      </c>
      <c r="R1227">
        <v>0</v>
      </c>
      <c r="S1227">
        <v>0</v>
      </c>
    </row>
    <row r="1228" spans="1:19" hidden="1" x14ac:dyDescent="0.3">
      <c r="A1228" t="s">
        <v>3405</v>
      </c>
      <c r="B1228" t="s">
        <v>3406</v>
      </c>
      <c r="D1228" t="s">
        <v>266</v>
      </c>
      <c r="E1228" t="s">
        <v>233</v>
      </c>
      <c r="F1228" t="s">
        <v>30</v>
      </c>
      <c r="G1228" s="6">
        <v>45657</v>
      </c>
      <c r="H1228" t="s">
        <v>6816</v>
      </c>
      <c r="I1228" t="s">
        <v>57</v>
      </c>
      <c r="J1228" t="s">
        <v>78</v>
      </c>
      <c r="K1228">
        <v>46.98</v>
      </c>
      <c r="L1228">
        <v>57.83</v>
      </c>
      <c r="M1228">
        <v>1.230949340144742</v>
      </c>
      <c r="N1228">
        <v>1.230949340144742</v>
      </c>
      <c r="O1228" t="s">
        <v>6268</v>
      </c>
      <c r="P1228" t="s">
        <v>6269</v>
      </c>
      <c r="Q1228" t="s">
        <v>7338</v>
      </c>
      <c r="R1228">
        <v>2</v>
      </c>
      <c r="S1228">
        <v>2</v>
      </c>
    </row>
    <row r="1229" spans="1:19" hidden="1" x14ac:dyDescent="0.3">
      <c r="A1229" t="s">
        <v>3405</v>
      </c>
      <c r="B1229" t="s">
        <v>3406</v>
      </c>
      <c r="C1229" t="s">
        <v>6622</v>
      </c>
      <c r="D1229" t="s">
        <v>266</v>
      </c>
      <c r="E1229" t="s">
        <v>233</v>
      </c>
      <c r="F1229" t="s">
        <v>30</v>
      </c>
      <c r="G1229" s="6">
        <v>45838</v>
      </c>
      <c r="H1229">
        <v>2025</v>
      </c>
      <c r="I1229" t="s">
        <v>44</v>
      </c>
      <c r="J1229" t="s">
        <v>244</v>
      </c>
      <c r="K1229">
        <v>64</v>
      </c>
      <c r="L1229">
        <v>66</v>
      </c>
      <c r="M1229">
        <v>1</v>
      </c>
      <c r="N1229">
        <v>1</v>
      </c>
      <c r="O1229" t="s">
        <v>31</v>
      </c>
      <c r="P1229" t="s">
        <v>31</v>
      </c>
      <c r="Q1229" t="s">
        <v>7339</v>
      </c>
      <c r="R1229">
        <v>0</v>
      </c>
      <c r="S1229">
        <v>0</v>
      </c>
    </row>
    <row r="1230" spans="1:19" hidden="1" x14ac:dyDescent="0.3">
      <c r="A1230" t="s">
        <v>3408</v>
      </c>
      <c r="B1230" t="s">
        <v>3409</v>
      </c>
      <c r="E1230" t="s">
        <v>233</v>
      </c>
      <c r="F1230" t="s">
        <v>30</v>
      </c>
      <c r="G1230" s="6">
        <v>45657</v>
      </c>
      <c r="H1230" t="s">
        <v>6816</v>
      </c>
      <c r="I1230" t="s">
        <v>57</v>
      </c>
      <c r="J1230" t="s">
        <v>78</v>
      </c>
      <c r="K1230">
        <v>53.64</v>
      </c>
      <c r="L1230">
        <v>48.5</v>
      </c>
      <c r="M1230">
        <v>0.90417598806860555</v>
      </c>
      <c r="N1230">
        <v>0.90417598806860555</v>
      </c>
      <c r="O1230" t="s">
        <v>6263</v>
      </c>
      <c r="P1230" t="s">
        <v>6133</v>
      </c>
      <c r="Q1230" t="s">
        <v>7340</v>
      </c>
      <c r="R1230">
        <v>2</v>
      </c>
      <c r="S1230">
        <v>2</v>
      </c>
    </row>
    <row r="1231" spans="1:19" hidden="1" x14ac:dyDescent="0.3">
      <c r="A1231" t="s">
        <v>3411</v>
      </c>
      <c r="B1231" t="s">
        <v>3412</v>
      </c>
      <c r="D1231" t="s">
        <v>266</v>
      </c>
      <c r="E1231" t="s">
        <v>233</v>
      </c>
      <c r="F1231" t="s">
        <v>30</v>
      </c>
      <c r="G1231" s="6">
        <v>45657</v>
      </c>
      <c r="H1231" t="s">
        <v>6816</v>
      </c>
      <c r="I1231" t="s">
        <v>57</v>
      </c>
      <c r="J1231" t="s">
        <v>78</v>
      </c>
      <c r="K1231">
        <v>64.53</v>
      </c>
      <c r="L1231">
        <v>54.67</v>
      </c>
      <c r="M1231">
        <v>0.84720285138695184</v>
      </c>
      <c r="N1231">
        <v>0.84720285138695184</v>
      </c>
      <c r="O1231" t="s">
        <v>6270</v>
      </c>
      <c r="P1231" t="s">
        <v>6271</v>
      </c>
      <c r="Q1231" t="s">
        <v>7341</v>
      </c>
      <c r="R1231">
        <v>2</v>
      </c>
      <c r="S1231">
        <v>2</v>
      </c>
    </row>
    <row r="1232" spans="1:19" hidden="1" x14ac:dyDescent="0.3">
      <c r="A1232" t="s">
        <v>3411</v>
      </c>
      <c r="B1232" t="s">
        <v>3412</v>
      </c>
      <c r="C1232" t="s">
        <v>6622</v>
      </c>
      <c r="D1232" t="s">
        <v>266</v>
      </c>
      <c r="E1232" t="s">
        <v>233</v>
      </c>
      <c r="F1232" t="s">
        <v>30</v>
      </c>
      <c r="G1232" s="6">
        <v>45838</v>
      </c>
      <c r="H1232">
        <v>2025</v>
      </c>
      <c r="I1232" t="s">
        <v>44</v>
      </c>
      <c r="J1232" t="s">
        <v>244</v>
      </c>
      <c r="K1232">
        <v>67</v>
      </c>
      <c r="L1232">
        <v>65</v>
      </c>
      <c r="M1232">
        <v>0.97014925373134331</v>
      </c>
      <c r="N1232">
        <v>0.97014925373134331</v>
      </c>
      <c r="O1232" t="s">
        <v>31</v>
      </c>
      <c r="P1232" t="s">
        <v>31</v>
      </c>
      <c r="Q1232" t="s">
        <v>7342</v>
      </c>
      <c r="R1232">
        <v>0</v>
      </c>
      <c r="S1232">
        <v>0</v>
      </c>
    </row>
    <row r="1233" spans="1:19" hidden="1" x14ac:dyDescent="0.3">
      <c r="A1233" t="s">
        <v>3414</v>
      </c>
      <c r="B1233" t="s">
        <v>3415</v>
      </c>
      <c r="C1233" t="s">
        <v>6622</v>
      </c>
      <c r="E1233" t="s">
        <v>233</v>
      </c>
      <c r="F1233" t="s">
        <v>30</v>
      </c>
      <c r="G1233" s="6">
        <v>45291</v>
      </c>
      <c r="H1233" t="s">
        <v>6811</v>
      </c>
      <c r="I1233" t="s">
        <v>57</v>
      </c>
      <c r="J1233" t="s">
        <v>47</v>
      </c>
      <c r="K1233">
        <v>100</v>
      </c>
      <c r="L1233">
        <v>93.973333333333343</v>
      </c>
      <c r="M1233">
        <v>0.93973333333333342</v>
      </c>
      <c r="N1233">
        <v>0.93973333333333342</v>
      </c>
      <c r="O1233" t="s">
        <v>102</v>
      </c>
      <c r="P1233" t="s">
        <v>7343</v>
      </c>
      <c r="Q1233" t="s">
        <v>3418</v>
      </c>
      <c r="R1233">
        <v>2</v>
      </c>
      <c r="S1233">
        <v>2</v>
      </c>
    </row>
    <row r="1234" spans="1:19" hidden="1" x14ac:dyDescent="0.3">
      <c r="A1234" t="s">
        <v>3414</v>
      </c>
      <c r="B1234" t="s">
        <v>3415</v>
      </c>
      <c r="C1234" t="s">
        <v>6622</v>
      </c>
      <c r="D1234" t="s">
        <v>129</v>
      </c>
      <c r="E1234" t="s">
        <v>233</v>
      </c>
      <c r="F1234" t="s">
        <v>30</v>
      </c>
      <c r="G1234" s="6">
        <v>45657</v>
      </c>
      <c r="H1234" t="s">
        <v>6816</v>
      </c>
      <c r="I1234" t="s">
        <v>57</v>
      </c>
      <c r="J1234" t="s">
        <v>78</v>
      </c>
      <c r="K1234">
        <v>100</v>
      </c>
      <c r="L1234">
        <v>84.847499999999997</v>
      </c>
      <c r="M1234">
        <v>0.84847499999999998</v>
      </c>
      <c r="N1234">
        <v>0.84847499999999998</v>
      </c>
      <c r="O1234" t="s">
        <v>102</v>
      </c>
      <c r="P1234" t="s">
        <v>7344</v>
      </c>
      <c r="Q1234" t="s">
        <v>3422</v>
      </c>
      <c r="R1234">
        <v>2</v>
      </c>
      <c r="S1234">
        <v>2</v>
      </c>
    </row>
    <row r="1235" spans="1:19" hidden="1" x14ac:dyDescent="0.3">
      <c r="A1235" t="s">
        <v>3414</v>
      </c>
      <c r="B1235" t="s">
        <v>3415</v>
      </c>
      <c r="C1235" t="s">
        <v>6622</v>
      </c>
      <c r="D1235" t="s">
        <v>129</v>
      </c>
      <c r="E1235" t="s">
        <v>233</v>
      </c>
      <c r="F1235" t="s">
        <v>30</v>
      </c>
      <c r="G1235" s="6">
        <v>46022</v>
      </c>
      <c r="H1235" t="s">
        <v>6823</v>
      </c>
      <c r="I1235" t="s">
        <v>57</v>
      </c>
      <c r="J1235" t="s">
        <v>103</v>
      </c>
      <c r="K1235">
        <v>100</v>
      </c>
      <c r="L1235">
        <v>140.08000000000001</v>
      </c>
      <c r="M1235">
        <v>1.3</v>
      </c>
      <c r="N1235">
        <v>1.4008</v>
      </c>
      <c r="O1235" t="s">
        <v>102</v>
      </c>
      <c r="P1235" t="s">
        <v>6274</v>
      </c>
      <c r="Q1235" t="s">
        <v>3429</v>
      </c>
      <c r="R1235">
        <v>2</v>
      </c>
      <c r="S1235">
        <v>2</v>
      </c>
    </row>
    <row r="1236" spans="1:19" hidden="1" x14ac:dyDescent="0.3">
      <c r="A1236" t="s">
        <v>3430</v>
      </c>
      <c r="B1236" t="s">
        <v>3431</v>
      </c>
      <c r="D1236" t="s">
        <v>2862</v>
      </c>
      <c r="E1236" t="s">
        <v>233</v>
      </c>
      <c r="F1236" t="s">
        <v>30</v>
      </c>
      <c r="G1236" s="6">
        <v>45291</v>
      </c>
      <c r="H1236" t="s">
        <v>6811</v>
      </c>
      <c r="I1236" t="s">
        <v>57</v>
      </c>
      <c r="J1236" t="s">
        <v>47</v>
      </c>
      <c r="K1236">
        <v>81.5</v>
      </c>
      <c r="L1236">
        <v>81</v>
      </c>
      <c r="M1236">
        <v>0.99386503067484666</v>
      </c>
      <c r="N1236">
        <v>0.99386503067484666</v>
      </c>
      <c r="O1236" t="s">
        <v>7345</v>
      </c>
      <c r="P1236" t="s">
        <v>1054</v>
      </c>
      <c r="Q1236" t="s">
        <v>3433</v>
      </c>
      <c r="R1236">
        <v>2</v>
      </c>
      <c r="S1236">
        <v>2</v>
      </c>
    </row>
    <row r="1237" spans="1:19" hidden="1" x14ac:dyDescent="0.3">
      <c r="A1237" t="s">
        <v>3430</v>
      </c>
      <c r="B1237" t="s">
        <v>3431</v>
      </c>
      <c r="D1237" t="s">
        <v>2862</v>
      </c>
      <c r="E1237" t="s">
        <v>233</v>
      </c>
      <c r="F1237" t="s">
        <v>30</v>
      </c>
      <c r="G1237" s="6">
        <v>45657</v>
      </c>
      <c r="H1237" t="s">
        <v>6816</v>
      </c>
      <c r="I1237" t="s">
        <v>57</v>
      </c>
      <c r="J1237" t="s">
        <v>78</v>
      </c>
      <c r="K1237">
        <v>60.93</v>
      </c>
      <c r="L1237">
        <v>61.45</v>
      </c>
      <c r="M1237">
        <v>1.0085343837190219</v>
      </c>
      <c r="N1237">
        <v>1.0085343837190219</v>
      </c>
      <c r="O1237" t="s">
        <v>6275</v>
      </c>
      <c r="P1237" t="s">
        <v>6276</v>
      </c>
      <c r="Q1237" t="s">
        <v>7346</v>
      </c>
      <c r="R1237">
        <v>2</v>
      </c>
      <c r="S1237">
        <v>2</v>
      </c>
    </row>
    <row r="1238" spans="1:19" hidden="1" x14ac:dyDescent="0.3">
      <c r="A1238" t="s">
        <v>3430</v>
      </c>
      <c r="B1238" t="s">
        <v>7347</v>
      </c>
      <c r="C1238" t="s">
        <v>6622</v>
      </c>
      <c r="D1238" t="s">
        <v>2862</v>
      </c>
      <c r="E1238" t="s">
        <v>233</v>
      </c>
      <c r="F1238" t="s">
        <v>30</v>
      </c>
      <c r="G1238" s="6">
        <v>45838</v>
      </c>
      <c r="H1238">
        <v>2025</v>
      </c>
      <c r="I1238" t="s">
        <v>44</v>
      </c>
      <c r="J1238" t="s">
        <v>244</v>
      </c>
      <c r="K1238">
        <v>62</v>
      </c>
      <c r="L1238">
        <v>73</v>
      </c>
      <c r="M1238">
        <v>1</v>
      </c>
      <c r="N1238">
        <v>1</v>
      </c>
      <c r="O1238" t="s">
        <v>31</v>
      </c>
      <c r="P1238" t="s">
        <v>31</v>
      </c>
      <c r="Q1238" t="s">
        <v>7348</v>
      </c>
      <c r="R1238">
        <v>0</v>
      </c>
      <c r="S1238">
        <v>0</v>
      </c>
    </row>
    <row r="1239" spans="1:19" hidden="1" x14ac:dyDescent="0.3">
      <c r="A1239" t="s">
        <v>3435</v>
      </c>
      <c r="B1239" t="s">
        <v>3436</v>
      </c>
      <c r="D1239" t="s">
        <v>3437</v>
      </c>
      <c r="E1239" t="s">
        <v>233</v>
      </c>
      <c r="F1239" t="s">
        <v>30</v>
      </c>
      <c r="G1239" s="6">
        <v>45291</v>
      </c>
      <c r="H1239" t="s">
        <v>6811</v>
      </c>
      <c r="I1239" t="s">
        <v>57</v>
      </c>
      <c r="J1239" t="s">
        <v>47</v>
      </c>
      <c r="K1239">
        <v>89</v>
      </c>
      <c r="L1239">
        <v>84.5</v>
      </c>
      <c r="M1239">
        <v>0.949438202247191</v>
      </c>
      <c r="N1239">
        <v>0.949438202247191</v>
      </c>
      <c r="O1239" t="s">
        <v>280</v>
      </c>
      <c r="P1239" t="s">
        <v>5816</v>
      </c>
      <c r="Q1239" t="s">
        <v>3439</v>
      </c>
      <c r="R1239">
        <v>2</v>
      </c>
      <c r="S1239">
        <v>2</v>
      </c>
    </row>
    <row r="1240" spans="1:19" hidden="1" x14ac:dyDescent="0.3">
      <c r="A1240" t="s">
        <v>3435</v>
      </c>
      <c r="B1240" t="s">
        <v>3436</v>
      </c>
      <c r="D1240" t="s">
        <v>3437</v>
      </c>
      <c r="E1240" t="s">
        <v>233</v>
      </c>
      <c r="F1240" t="s">
        <v>30</v>
      </c>
      <c r="G1240" s="6">
        <v>45657</v>
      </c>
      <c r="H1240" t="s">
        <v>6816</v>
      </c>
      <c r="I1240" t="s">
        <v>57</v>
      </c>
      <c r="J1240" t="s">
        <v>78</v>
      </c>
      <c r="K1240">
        <v>42.89</v>
      </c>
      <c r="L1240">
        <v>41.67</v>
      </c>
      <c r="M1240">
        <v>0.97155514105852181</v>
      </c>
      <c r="N1240">
        <v>0.97155514105852181</v>
      </c>
      <c r="O1240" t="s">
        <v>6277</v>
      </c>
      <c r="P1240" t="s">
        <v>6278</v>
      </c>
      <c r="Q1240" t="s">
        <v>7349</v>
      </c>
      <c r="R1240">
        <v>2</v>
      </c>
      <c r="S1240">
        <v>2</v>
      </c>
    </row>
    <row r="1241" spans="1:19" hidden="1" x14ac:dyDescent="0.3">
      <c r="A1241" t="s">
        <v>3435</v>
      </c>
      <c r="B1241" t="s">
        <v>7350</v>
      </c>
      <c r="C1241" t="s">
        <v>6622</v>
      </c>
      <c r="D1241" t="s">
        <v>3437</v>
      </c>
      <c r="E1241" t="s">
        <v>233</v>
      </c>
      <c r="F1241" t="s">
        <v>30</v>
      </c>
      <c r="G1241" s="6">
        <v>45838</v>
      </c>
      <c r="H1241">
        <v>2025</v>
      </c>
      <c r="I1241" t="s">
        <v>44</v>
      </c>
      <c r="J1241" t="s">
        <v>244</v>
      </c>
      <c r="K1241">
        <v>99</v>
      </c>
      <c r="L1241">
        <v>66</v>
      </c>
      <c r="M1241">
        <v>0.66666666666666663</v>
      </c>
      <c r="N1241">
        <v>0.66666666666666663</v>
      </c>
      <c r="O1241" t="s">
        <v>31</v>
      </c>
      <c r="P1241" t="s">
        <v>31</v>
      </c>
      <c r="Q1241" t="s">
        <v>7351</v>
      </c>
      <c r="R1241">
        <v>0</v>
      </c>
      <c r="S1241">
        <v>0</v>
      </c>
    </row>
    <row r="1242" spans="1:19" hidden="1" x14ac:dyDescent="0.3">
      <c r="A1242" t="s">
        <v>3441</v>
      </c>
      <c r="B1242" t="s">
        <v>3442</v>
      </c>
      <c r="D1242" t="s">
        <v>3437</v>
      </c>
      <c r="E1242" t="s">
        <v>233</v>
      </c>
      <c r="F1242" t="s">
        <v>30</v>
      </c>
      <c r="G1242" s="6">
        <v>45657</v>
      </c>
      <c r="H1242" t="s">
        <v>6816</v>
      </c>
      <c r="I1242" t="s">
        <v>57</v>
      </c>
      <c r="J1242" t="s">
        <v>78</v>
      </c>
      <c r="K1242">
        <v>42.15</v>
      </c>
      <c r="L1242">
        <v>90</v>
      </c>
      <c r="M1242">
        <v>1.3</v>
      </c>
      <c r="N1242">
        <v>2.1352313167259789</v>
      </c>
      <c r="O1242" t="s">
        <v>6279</v>
      </c>
      <c r="P1242" t="s">
        <v>256</v>
      </c>
      <c r="Q1242" t="s">
        <v>7352</v>
      </c>
      <c r="R1242">
        <v>2</v>
      </c>
      <c r="S1242">
        <v>2</v>
      </c>
    </row>
    <row r="1243" spans="1:19" hidden="1" x14ac:dyDescent="0.3">
      <c r="A1243" t="s">
        <v>3441</v>
      </c>
      <c r="B1243" t="s">
        <v>7353</v>
      </c>
      <c r="C1243" t="s">
        <v>6622</v>
      </c>
      <c r="D1243" t="s">
        <v>2937</v>
      </c>
      <c r="E1243" t="s">
        <v>233</v>
      </c>
      <c r="F1243" t="s">
        <v>30</v>
      </c>
      <c r="G1243" s="6">
        <v>45838</v>
      </c>
      <c r="H1243">
        <v>2025</v>
      </c>
      <c r="I1243" t="s">
        <v>44</v>
      </c>
      <c r="J1243" t="s">
        <v>244</v>
      </c>
      <c r="K1243">
        <v>40</v>
      </c>
      <c r="L1243">
        <v>40</v>
      </c>
      <c r="M1243">
        <v>1</v>
      </c>
      <c r="N1243">
        <v>1</v>
      </c>
      <c r="O1243" t="s">
        <v>31</v>
      </c>
      <c r="P1243" t="s">
        <v>31</v>
      </c>
      <c r="Q1243" t="s">
        <v>7354</v>
      </c>
      <c r="R1243">
        <v>0</v>
      </c>
      <c r="S1243">
        <v>0</v>
      </c>
    </row>
    <row r="1244" spans="1:19" hidden="1" x14ac:dyDescent="0.3">
      <c r="A1244" t="s">
        <v>3444</v>
      </c>
      <c r="B1244" t="s">
        <v>3445</v>
      </c>
      <c r="D1244" t="s">
        <v>3437</v>
      </c>
      <c r="E1244" t="s">
        <v>233</v>
      </c>
      <c r="F1244" t="s">
        <v>30</v>
      </c>
      <c r="G1244" s="6">
        <v>45657</v>
      </c>
      <c r="H1244" t="s">
        <v>6816</v>
      </c>
      <c r="I1244" t="s">
        <v>57</v>
      </c>
      <c r="J1244" t="s">
        <v>78</v>
      </c>
      <c r="K1244">
        <v>58.9</v>
      </c>
      <c r="L1244">
        <v>60</v>
      </c>
      <c r="M1244">
        <v>1.0186757215619699</v>
      </c>
      <c r="N1244">
        <v>1.0186757215619699</v>
      </c>
      <c r="O1244" t="s">
        <v>4583</v>
      </c>
      <c r="P1244" t="s">
        <v>2640</v>
      </c>
      <c r="Q1244" t="s">
        <v>7355</v>
      </c>
      <c r="R1244">
        <v>2</v>
      </c>
      <c r="S1244">
        <v>2</v>
      </c>
    </row>
    <row r="1245" spans="1:19" hidden="1" x14ac:dyDescent="0.3">
      <c r="A1245" t="s">
        <v>3444</v>
      </c>
      <c r="B1245" t="s">
        <v>7356</v>
      </c>
      <c r="C1245" t="s">
        <v>6622</v>
      </c>
      <c r="D1245" t="s">
        <v>2937</v>
      </c>
      <c r="E1245" t="s">
        <v>233</v>
      </c>
      <c r="F1245" t="s">
        <v>30</v>
      </c>
      <c r="G1245" s="6">
        <v>45838</v>
      </c>
      <c r="H1245">
        <v>2025</v>
      </c>
      <c r="I1245" t="s">
        <v>44</v>
      </c>
      <c r="J1245" t="s">
        <v>244</v>
      </c>
      <c r="K1245">
        <v>58</v>
      </c>
      <c r="L1245">
        <v>100</v>
      </c>
      <c r="M1245">
        <v>1</v>
      </c>
      <c r="N1245">
        <v>1</v>
      </c>
      <c r="O1245" t="s">
        <v>31</v>
      </c>
      <c r="P1245" t="s">
        <v>31</v>
      </c>
      <c r="Q1245" t="s">
        <v>7357</v>
      </c>
      <c r="R1245">
        <v>0</v>
      </c>
      <c r="S1245">
        <v>0</v>
      </c>
    </row>
    <row r="1246" spans="1:19" hidden="1" x14ac:dyDescent="0.3">
      <c r="A1246" t="s">
        <v>3447</v>
      </c>
      <c r="B1246" t="s">
        <v>3448</v>
      </c>
      <c r="D1246" t="s">
        <v>3437</v>
      </c>
      <c r="E1246" t="s">
        <v>233</v>
      </c>
      <c r="F1246" t="s">
        <v>30</v>
      </c>
      <c r="G1246" s="6">
        <v>45657</v>
      </c>
      <c r="H1246" t="s">
        <v>6816</v>
      </c>
      <c r="I1246" t="s">
        <v>57</v>
      </c>
      <c r="J1246" t="s">
        <v>78</v>
      </c>
      <c r="K1246">
        <v>36.28</v>
      </c>
      <c r="L1246">
        <v>35</v>
      </c>
      <c r="M1246">
        <v>0.96471885336273422</v>
      </c>
      <c r="N1246">
        <v>0.96471885336273422</v>
      </c>
      <c r="O1246" t="s">
        <v>6280</v>
      </c>
      <c r="P1246" t="s">
        <v>1516</v>
      </c>
      <c r="Q1246" t="s">
        <v>7358</v>
      </c>
      <c r="R1246">
        <v>2</v>
      </c>
      <c r="S1246">
        <v>2</v>
      </c>
    </row>
    <row r="1247" spans="1:19" hidden="1" x14ac:dyDescent="0.3">
      <c r="A1247" t="s">
        <v>3447</v>
      </c>
      <c r="B1247" t="s">
        <v>7359</v>
      </c>
      <c r="C1247" t="s">
        <v>6622</v>
      </c>
      <c r="D1247" t="s">
        <v>3437</v>
      </c>
      <c r="E1247" t="s">
        <v>233</v>
      </c>
      <c r="F1247" t="s">
        <v>30</v>
      </c>
      <c r="G1247" s="6">
        <v>45838</v>
      </c>
      <c r="H1247">
        <v>2025</v>
      </c>
      <c r="I1247" t="s">
        <v>44</v>
      </c>
      <c r="J1247" t="s">
        <v>244</v>
      </c>
      <c r="K1247">
        <v>53</v>
      </c>
      <c r="L1247">
        <v>51</v>
      </c>
      <c r="M1247">
        <v>0.96226415094339623</v>
      </c>
      <c r="N1247">
        <v>0.96226415094339623</v>
      </c>
      <c r="O1247" t="s">
        <v>31</v>
      </c>
      <c r="P1247" t="s">
        <v>31</v>
      </c>
      <c r="Q1247" t="s">
        <v>7360</v>
      </c>
      <c r="R1247">
        <v>0</v>
      </c>
      <c r="S1247">
        <v>0</v>
      </c>
    </row>
    <row r="1248" spans="1:19" hidden="1" x14ac:dyDescent="0.3">
      <c r="A1248" t="s">
        <v>3450</v>
      </c>
      <c r="B1248" t="s">
        <v>3451</v>
      </c>
      <c r="D1248" t="s">
        <v>3437</v>
      </c>
      <c r="E1248" t="s">
        <v>233</v>
      </c>
      <c r="F1248" t="s">
        <v>30</v>
      </c>
      <c r="G1248" s="6">
        <v>45657</v>
      </c>
      <c r="H1248" t="s">
        <v>6816</v>
      </c>
      <c r="I1248" t="s">
        <v>57</v>
      </c>
      <c r="J1248" t="s">
        <v>78</v>
      </c>
      <c r="K1248">
        <v>57.55</v>
      </c>
      <c r="L1248">
        <v>61.67</v>
      </c>
      <c r="M1248">
        <v>1.0715899218071241</v>
      </c>
      <c r="N1248">
        <v>1.0715899218071241</v>
      </c>
      <c r="O1248" t="s">
        <v>6281</v>
      </c>
      <c r="P1248" t="s">
        <v>5455</v>
      </c>
      <c r="Q1248" t="s">
        <v>7361</v>
      </c>
      <c r="R1248">
        <v>2</v>
      </c>
      <c r="S1248">
        <v>2</v>
      </c>
    </row>
    <row r="1249" spans="1:19" hidden="1" x14ac:dyDescent="0.3">
      <c r="A1249" t="s">
        <v>3450</v>
      </c>
      <c r="B1249" t="s">
        <v>7362</v>
      </c>
      <c r="C1249" t="s">
        <v>6622</v>
      </c>
      <c r="D1249" t="s">
        <v>3437</v>
      </c>
      <c r="E1249" t="s">
        <v>233</v>
      </c>
      <c r="F1249" t="s">
        <v>30</v>
      </c>
      <c r="G1249" s="6">
        <v>45838</v>
      </c>
      <c r="H1249">
        <v>2025</v>
      </c>
      <c r="I1249" t="s">
        <v>44</v>
      </c>
      <c r="J1249" t="s">
        <v>244</v>
      </c>
      <c r="K1249">
        <v>100</v>
      </c>
      <c r="L1249">
        <v>80</v>
      </c>
      <c r="M1249">
        <v>0.8</v>
      </c>
      <c r="N1249">
        <v>0.8</v>
      </c>
      <c r="O1249" t="s">
        <v>31</v>
      </c>
      <c r="P1249" t="s">
        <v>31</v>
      </c>
      <c r="Q1249" t="s">
        <v>7363</v>
      </c>
      <c r="R1249">
        <v>0</v>
      </c>
      <c r="S1249">
        <v>0</v>
      </c>
    </row>
    <row r="1250" spans="1:19" hidden="1" x14ac:dyDescent="0.3">
      <c r="A1250" t="s">
        <v>3453</v>
      </c>
      <c r="B1250" t="s">
        <v>3454</v>
      </c>
      <c r="D1250" t="s">
        <v>2937</v>
      </c>
      <c r="E1250" t="s">
        <v>233</v>
      </c>
      <c r="F1250" t="s">
        <v>30</v>
      </c>
      <c r="G1250" s="6">
        <v>45291</v>
      </c>
      <c r="H1250" t="s">
        <v>6811</v>
      </c>
      <c r="I1250" t="s">
        <v>57</v>
      </c>
      <c r="J1250" t="s">
        <v>47</v>
      </c>
      <c r="K1250">
        <v>79</v>
      </c>
      <c r="L1250">
        <v>77.25</v>
      </c>
      <c r="M1250">
        <v>0.97784810126582278</v>
      </c>
      <c r="N1250">
        <v>0.97784810126582278</v>
      </c>
      <c r="O1250" t="s">
        <v>5370</v>
      </c>
      <c r="P1250" t="s">
        <v>7364</v>
      </c>
      <c r="Q1250" t="s">
        <v>3456</v>
      </c>
      <c r="R1250">
        <v>2</v>
      </c>
      <c r="S1250">
        <v>2</v>
      </c>
    </row>
    <row r="1251" spans="1:19" hidden="1" x14ac:dyDescent="0.3">
      <c r="A1251" t="s">
        <v>3457</v>
      </c>
      <c r="B1251" t="s">
        <v>3458</v>
      </c>
      <c r="D1251" t="s">
        <v>3331</v>
      </c>
      <c r="E1251" t="s">
        <v>233</v>
      </c>
      <c r="F1251" t="s">
        <v>30</v>
      </c>
      <c r="G1251" s="6">
        <v>45291</v>
      </c>
      <c r="H1251" t="s">
        <v>6811</v>
      </c>
      <c r="I1251" t="s">
        <v>57</v>
      </c>
      <c r="J1251" t="s">
        <v>47</v>
      </c>
      <c r="K1251">
        <v>97</v>
      </c>
      <c r="L1251">
        <v>95.44</v>
      </c>
      <c r="M1251">
        <v>0.9839175257731958</v>
      </c>
      <c r="N1251">
        <v>0.9839175257731958</v>
      </c>
      <c r="O1251" t="s">
        <v>1005</v>
      </c>
      <c r="P1251" t="s">
        <v>7365</v>
      </c>
      <c r="Q1251" t="s">
        <v>3460</v>
      </c>
      <c r="R1251">
        <v>2</v>
      </c>
      <c r="S1251">
        <v>2</v>
      </c>
    </row>
    <row r="1252" spans="1:19" hidden="1" x14ac:dyDescent="0.3">
      <c r="A1252" t="s">
        <v>3461</v>
      </c>
      <c r="B1252" t="s">
        <v>3462</v>
      </c>
      <c r="C1252" t="s">
        <v>6622</v>
      </c>
      <c r="E1252" t="s">
        <v>233</v>
      </c>
      <c r="F1252" t="s">
        <v>30</v>
      </c>
      <c r="G1252" s="6">
        <v>45291</v>
      </c>
      <c r="H1252" t="s">
        <v>6811</v>
      </c>
      <c r="I1252" t="s">
        <v>57</v>
      </c>
      <c r="J1252" t="s">
        <v>47</v>
      </c>
      <c r="K1252">
        <v>100</v>
      </c>
      <c r="L1252">
        <v>99.606666666666669</v>
      </c>
      <c r="M1252">
        <v>0.99606666666666666</v>
      </c>
      <c r="N1252">
        <v>0.99606666666666666</v>
      </c>
      <c r="O1252" t="s">
        <v>102</v>
      </c>
      <c r="P1252" t="s">
        <v>7366</v>
      </c>
      <c r="Q1252" t="s">
        <v>3465</v>
      </c>
      <c r="R1252">
        <v>2</v>
      </c>
      <c r="S1252">
        <v>2</v>
      </c>
    </row>
    <row r="1253" spans="1:19" hidden="1" x14ac:dyDescent="0.3">
      <c r="A1253" t="s">
        <v>3461</v>
      </c>
      <c r="B1253" t="s">
        <v>3462</v>
      </c>
      <c r="C1253" t="s">
        <v>6622</v>
      </c>
      <c r="D1253" t="s">
        <v>129</v>
      </c>
      <c r="E1253" t="s">
        <v>233</v>
      </c>
      <c r="F1253" t="s">
        <v>30</v>
      </c>
      <c r="G1253" s="6">
        <v>45657</v>
      </c>
      <c r="H1253" t="s">
        <v>6816</v>
      </c>
      <c r="I1253" t="s">
        <v>57</v>
      </c>
      <c r="J1253" t="s">
        <v>78</v>
      </c>
      <c r="K1253">
        <v>100</v>
      </c>
      <c r="L1253">
        <v>77.83</v>
      </c>
      <c r="M1253">
        <v>0.77829999999999999</v>
      </c>
      <c r="N1253">
        <v>0.77829999999999999</v>
      </c>
      <c r="O1253" t="s">
        <v>102</v>
      </c>
      <c r="P1253" t="s">
        <v>7367</v>
      </c>
      <c r="Q1253" t="s">
        <v>3469</v>
      </c>
      <c r="R1253">
        <v>2</v>
      </c>
      <c r="S1253">
        <v>2</v>
      </c>
    </row>
    <row r="1254" spans="1:19" hidden="1" x14ac:dyDescent="0.3">
      <c r="A1254" t="s">
        <v>3461</v>
      </c>
      <c r="B1254" t="s">
        <v>3462</v>
      </c>
      <c r="C1254" t="s">
        <v>6622</v>
      </c>
      <c r="D1254" t="s">
        <v>129</v>
      </c>
      <c r="E1254" t="s">
        <v>233</v>
      </c>
      <c r="F1254" t="s">
        <v>30</v>
      </c>
      <c r="G1254" s="6">
        <v>46022</v>
      </c>
      <c r="H1254" t="s">
        <v>6823</v>
      </c>
      <c r="I1254" t="s">
        <v>57</v>
      </c>
      <c r="J1254" t="s">
        <v>103</v>
      </c>
      <c r="K1254">
        <v>100</v>
      </c>
      <c r="L1254">
        <v>97.48</v>
      </c>
      <c r="M1254">
        <v>0.9748</v>
      </c>
      <c r="N1254">
        <v>0.9748</v>
      </c>
      <c r="O1254" t="s">
        <v>102</v>
      </c>
      <c r="P1254" t="s">
        <v>6286</v>
      </c>
      <c r="Q1254" t="s">
        <v>3476</v>
      </c>
      <c r="R1254">
        <v>2</v>
      </c>
      <c r="S1254">
        <v>2</v>
      </c>
    </row>
    <row r="1255" spans="1:19" hidden="1" x14ac:dyDescent="0.3">
      <c r="A1255" t="s">
        <v>3477</v>
      </c>
      <c r="B1255" t="s">
        <v>3478</v>
      </c>
      <c r="D1255" t="s">
        <v>174</v>
      </c>
      <c r="E1255" t="s">
        <v>233</v>
      </c>
      <c r="F1255" t="s">
        <v>30</v>
      </c>
      <c r="G1255" s="6">
        <v>45291</v>
      </c>
      <c r="H1255" t="s">
        <v>6811</v>
      </c>
      <c r="I1255" t="s">
        <v>57</v>
      </c>
      <c r="J1255" t="s">
        <v>47</v>
      </c>
      <c r="K1255">
        <v>75</v>
      </c>
      <c r="L1255">
        <v>75</v>
      </c>
      <c r="M1255">
        <v>1</v>
      </c>
      <c r="N1255">
        <v>1</v>
      </c>
      <c r="O1255" t="s">
        <v>4302</v>
      </c>
      <c r="P1255" t="s">
        <v>4302</v>
      </c>
      <c r="Q1255" t="s">
        <v>3480</v>
      </c>
      <c r="R1255">
        <v>2</v>
      </c>
      <c r="S1255">
        <v>2</v>
      </c>
    </row>
    <row r="1256" spans="1:19" hidden="1" x14ac:dyDescent="0.3">
      <c r="A1256" t="s">
        <v>3477</v>
      </c>
      <c r="B1256" t="s">
        <v>3478</v>
      </c>
      <c r="D1256" t="s">
        <v>174</v>
      </c>
      <c r="E1256" t="s">
        <v>233</v>
      </c>
      <c r="F1256" t="s">
        <v>30</v>
      </c>
      <c r="G1256" s="6">
        <v>45657</v>
      </c>
      <c r="H1256" t="s">
        <v>6816</v>
      </c>
      <c r="I1256" t="s">
        <v>57</v>
      </c>
      <c r="J1256" t="s">
        <v>78</v>
      </c>
      <c r="K1256">
        <v>59.24</v>
      </c>
      <c r="L1256">
        <v>58.73</v>
      </c>
      <c r="M1256">
        <v>0.99139095205941918</v>
      </c>
      <c r="N1256">
        <v>0.99139095205941918</v>
      </c>
      <c r="O1256" t="s">
        <v>6287</v>
      </c>
      <c r="P1256" t="s">
        <v>6288</v>
      </c>
      <c r="Q1256" t="s">
        <v>7368</v>
      </c>
      <c r="R1256">
        <v>2</v>
      </c>
      <c r="S1256">
        <v>2</v>
      </c>
    </row>
    <row r="1257" spans="1:19" hidden="1" x14ac:dyDescent="0.3">
      <c r="A1257" t="s">
        <v>3477</v>
      </c>
      <c r="B1257" t="s">
        <v>3478</v>
      </c>
      <c r="C1257" t="s">
        <v>6622</v>
      </c>
      <c r="D1257" t="s">
        <v>174</v>
      </c>
      <c r="E1257" t="s">
        <v>233</v>
      </c>
      <c r="F1257" t="s">
        <v>30</v>
      </c>
      <c r="G1257" s="6">
        <v>45838</v>
      </c>
      <c r="H1257">
        <v>2025</v>
      </c>
      <c r="I1257" t="s">
        <v>44</v>
      </c>
      <c r="J1257" t="s">
        <v>244</v>
      </c>
      <c r="K1257">
        <v>67</v>
      </c>
      <c r="L1257">
        <v>79</v>
      </c>
      <c r="M1257">
        <v>1</v>
      </c>
      <c r="N1257">
        <v>1</v>
      </c>
      <c r="O1257" t="s">
        <v>31</v>
      </c>
      <c r="P1257" t="s">
        <v>31</v>
      </c>
      <c r="Q1257" t="s">
        <v>7369</v>
      </c>
      <c r="R1257">
        <v>0</v>
      </c>
      <c r="S1257">
        <v>0</v>
      </c>
    </row>
    <row r="1258" spans="1:19" hidden="1" x14ac:dyDescent="0.3">
      <c r="A1258" t="s">
        <v>3482</v>
      </c>
      <c r="B1258" t="s">
        <v>3483</v>
      </c>
      <c r="D1258" t="s">
        <v>251</v>
      </c>
      <c r="E1258" t="s">
        <v>233</v>
      </c>
      <c r="F1258" t="s">
        <v>30</v>
      </c>
      <c r="G1258" s="6">
        <v>45291</v>
      </c>
      <c r="H1258" t="s">
        <v>6811</v>
      </c>
      <c r="I1258" t="s">
        <v>57</v>
      </c>
      <c r="J1258" t="s">
        <v>47</v>
      </c>
      <c r="K1258">
        <v>81.5</v>
      </c>
      <c r="L1258">
        <v>69.835000000000008</v>
      </c>
      <c r="M1258">
        <v>0.85687116564417187</v>
      </c>
      <c r="N1258">
        <v>0.85687116564417187</v>
      </c>
      <c r="O1258" t="s">
        <v>7345</v>
      </c>
      <c r="P1258" t="s">
        <v>7370</v>
      </c>
      <c r="Q1258" t="s">
        <v>3485</v>
      </c>
      <c r="R1258">
        <v>2</v>
      </c>
      <c r="S1258">
        <v>2</v>
      </c>
    </row>
    <row r="1259" spans="1:19" hidden="1" x14ac:dyDescent="0.3">
      <c r="A1259" t="s">
        <v>3482</v>
      </c>
      <c r="B1259" t="s">
        <v>3483</v>
      </c>
      <c r="D1259" t="s">
        <v>251</v>
      </c>
      <c r="E1259" t="s">
        <v>233</v>
      </c>
      <c r="F1259" t="s">
        <v>30</v>
      </c>
      <c r="G1259" s="6">
        <v>45657</v>
      </c>
      <c r="H1259" t="s">
        <v>6816</v>
      </c>
      <c r="I1259" t="s">
        <v>57</v>
      </c>
      <c r="J1259" t="s">
        <v>78</v>
      </c>
      <c r="K1259">
        <v>70.150000000000006</v>
      </c>
      <c r="L1259">
        <v>83.25</v>
      </c>
      <c r="M1259">
        <v>1.186742694226657</v>
      </c>
      <c r="N1259">
        <v>1.186742694226657</v>
      </c>
      <c r="O1259" t="s">
        <v>6290</v>
      </c>
      <c r="P1259" t="s">
        <v>6291</v>
      </c>
      <c r="Q1259" t="s">
        <v>7371</v>
      </c>
      <c r="R1259">
        <v>2</v>
      </c>
      <c r="S1259">
        <v>2</v>
      </c>
    </row>
    <row r="1260" spans="1:19" hidden="1" x14ac:dyDescent="0.3">
      <c r="A1260" t="s">
        <v>3482</v>
      </c>
      <c r="B1260" t="s">
        <v>3483</v>
      </c>
      <c r="C1260" t="s">
        <v>6622</v>
      </c>
      <c r="D1260" t="s">
        <v>251</v>
      </c>
      <c r="E1260" t="s">
        <v>233</v>
      </c>
      <c r="F1260" t="s">
        <v>30</v>
      </c>
      <c r="G1260" s="6">
        <v>45838</v>
      </c>
      <c r="H1260">
        <v>2025</v>
      </c>
      <c r="I1260" t="s">
        <v>44</v>
      </c>
      <c r="J1260" t="s">
        <v>244</v>
      </c>
      <c r="K1260">
        <v>72</v>
      </c>
      <c r="L1260">
        <v>64</v>
      </c>
      <c r="M1260">
        <v>0.88888888888888884</v>
      </c>
      <c r="N1260">
        <v>0.88888888888888884</v>
      </c>
      <c r="O1260" t="s">
        <v>31</v>
      </c>
      <c r="P1260" t="s">
        <v>31</v>
      </c>
      <c r="Q1260" t="s">
        <v>7372</v>
      </c>
      <c r="R1260">
        <v>0</v>
      </c>
      <c r="S1260">
        <v>0</v>
      </c>
    </row>
    <row r="1261" spans="1:19" hidden="1" x14ac:dyDescent="0.3">
      <c r="A1261" t="s">
        <v>3487</v>
      </c>
      <c r="B1261" t="s">
        <v>3488</v>
      </c>
      <c r="D1261" t="s">
        <v>225</v>
      </c>
      <c r="E1261" t="s">
        <v>233</v>
      </c>
      <c r="F1261" t="s">
        <v>30</v>
      </c>
      <c r="G1261" s="6">
        <v>45291</v>
      </c>
      <c r="H1261" t="s">
        <v>6811</v>
      </c>
      <c r="I1261" t="s">
        <v>57</v>
      </c>
      <c r="J1261" t="s">
        <v>47</v>
      </c>
      <c r="K1261">
        <v>78</v>
      </c>
      <c r="L1261">
        <v>83.875</v>
      </c>
      <c r="M1261">
        <v>1.075320512820513</v>
      </c>
      <c r="N1261">
        <v>1.075320512820513</v>
      </c>
      <c r="O1261" t="s">
        <v>5377</v>
      </c>
      <c r="P1261" t="s">
        <v>7373</v>
      </c>
      <c r="Q1261" t="s">
        <v>3490</v>
      </c>
      <c r="R1261">
        <v>2</v>
      </c>
      <c r="S1261">
        <v>2</v>
      </c>
    </row>
    <row r="1262" spans="1:19" hidden="1" x14ac:dyDescent="0.3">
      <c r="A1262" t="s">
        <v>3487</v>
      </c>
      <c r="B1262" t="s">
        <v>3488</v>
      </c>
      <c r="D1262" t="s">
        <v>225</v>
      </c>
      <c r="E1262" t="s">
        <v>233</v>
      </c>
      <c r="F1262" t="s">
        <v>30</v>
      </c>
      <c r="G1262" s="6">
        <v>45657</v>
      </c>
      <c r="H1262" t="s">
        <v>6816</v>
      </c>
      <c r="I1262" t="s">
        <v>57</v>
      </c>
      <c r="J1262" t="s">
        <v>78</v>
      </c>
      <c r="K1262">
        <v>36.979999999999997</v>
      </c>
      <c r="L1262">
        <v>52.24</v>
      </c>
      <c r="M1262">
        <v>1.3</v>
      </c>
      <c r="N1262">
        <v>1.4126554894537591</v>
      </c>
      <c r="O1262" t="s">
        <v>6292</v>
      </c>
      <c r="P1262" t="s">
        <v>6293</v>
      </c>
      <c r="Q1262" t="s">
        <v>7374</v>
      </c>
      <c r="R1262">
        <v>2</v>
      </c>
      <c r="S1262">
        <v>2</v>
      </c>
    </row>
    <row r="1263" spans="1:19" hidden="1" x14ac:dyDescent="0.3">
      <c r="A1263" t="s">
        <v>3487</v>
      </c>
      <c r="B1263" t="s">
        <v>3488</v>
      </c>
      <c r="C1263" t="s">
        <v>6622</v>
      </c>
      <c r="D1263" t="s">
        <v>225</v>
      </c>
      <c r="E1263" t="s">
        <v>233</v>
      </c>
      <c r="F1263" t="s">
        <v>30</v>
      </c>
      <c r="G1263" s="6">
        <v>45838</v>
      </c>
      <c r="H1263">
        <v>2025</v>
      </c>
      <c r="I1263" t="s">
        <v>44</v>
      </c>
      <c r="J1263" t="s">
        <v>244</v>
      </c>
      <c r="K1263">
        <v>75</v>
      </c>
      <c r="L1263">
        <v>84</v>
      </c>
      <c r="M1263">
        <v>1</v>
      </c>
      <c r="N1263">
        <v>1</v>
      </c>
      <c r="O1263" t="s">
        <v>31</v>
      </c>
      <c r="P1263" t="s">
        <v>31</v>
      </c>
      <c r="Q1263" t="s">
        <v>7375</v>
      </c>
      <c r="R1263">
        <v>0</v>
      </c>
      <c r="S1263">
        <v>0</v>
      </c>
    </row>
    <row r="1264" spans="1:19" hidden="1" x14ac:dyDescent="0.3">
      <c r="A1264" t="s">
        <v>3492</v>
      </c>
      <c r="B1264" t="s">
        <v>3493</v>
      </c>
      <c r="D1264" t="s">
        <v>169</v>
      </c>
      <c r="E1264" t="s">
        <v>233</v>
      </c>
      <c r="F1264" t="s">
        <v>30</v>
      </c>
      <c r="G1264" s="6">
        <v>45291</v>
      </c>
      <c r="H1264" t="s">
        <v>6811</v>
      </c>
      <c r="I1264" t="s">
        <v>57</v>
      </c>
      <c r="J1264" t="s">
        <v>47</v>
      </c>
      <c r="K1264">
        <v>72</v>
      </c>
      <c r="L1264">
        <v>71.585000000000008</v>
      </c>
      <c r="M1264">
        <v>0.99423611111111121</v>
      </c>
      <c r="N1264">
        <v>0.99423611111111121</v>
      </c>
      <c r="O1264" t="s">
        <v>5763</v>
      </c>
      <c r="P1264" t="s">
        <v>7376</v>
      </c>
      <c r="Q1264" t="s">
        <v>3495</v>
      </c>
      <c r="R1264">
        <v>2</v>
      </c>
      <c r="S1264">
        <v>2</v>
      </c>
    </row>
    <row r="1265" spans="1:19" hidden="1" x14ac:dyDescent="0.3">
      <c r="A1265" t="s">
        <v>3492</v>
      </c>
      <c r="B1265" t="s">
        <v>3493</v>
      </c>
      <c r="D1265" t="s">
        <v>169</v>
      </c>
      <c r="E1265" t="s">
        <v>233</v>
      </c>
      <c r="F1265" t="s">
        <v>30</v>
      </c>
      <c r="G1265" s="6">
        <v>45657</v>
      </c>
      <c r="H1265" t="s">
        <v>6816</v>
      </c>
      <c r="I1265" t="s">
        <v>57</v>
      </c>
      <c r="J1265" t="s">
        <v>78</v>
      </c>
      <c r="K1265">
        <v>39.619999999999997</v>
      </c>
      <c r="L1265">
        <v>43.31</v>
      </c>
      <c r="M1265">
        <v>1.093134780413932</v>
      </c>
      <c r="N1265">
        <v>1.093134780413932</v>
      </c>
      <c r="O1265" t="s">
        <v>3943</v>
      </c>
      <c r="P1265" t="s">
        <v>6296</v>
      </c>
      <c r="Q1265" t="s">
        <v>7377</v>
      </c>
      <c r="R1265">
        <v>2</v>
      </c>
      <c r="S1265">
        <v>2</v>
      </c>
    </row>
    <row r="1266" spans="1:19" hidden="1" x14ac:dyDescent="0.3">
      <c r="A1266" t="s">
        <v>3492</v>
      </c>
      <c r="B1266" t="s">
        <v>3493</v>
      </c>
      <c r="C1266" t="s">
        <v>6622</v>
      </c>
      <c r="D1266" t="s">
        <v>169</v>
      </c>
      <c r="E1266" t="s">
        <v>233</v>
      </c>
      <c r="F1266" t="s">
        <v>30</v>
      </c>
      <c r="G1266" s="6">
        <v>45838</v>
      </c>
      <c r="H1266">
        <v>2025</v>
      </c>
      <c r="I1266" t="s">
        <v>44</v>
      </c>
      <c r="J1266" t="s">
        <v>244</v>
      </c>
      <c r="K1266">
        <v>54</v>
      </c>
      <c r="L1266">
        <v>48</v>
      </c>
      <c r="M1266">
        <v>0.88888888888888884</v>
      </c>
      <c r="N1266">
        <v>0.88888888888888884</v>
      </c>
      <c r="O1266" t="s">
        <v>31</v>
      </c>
      <c r="P1266" t="s">
        <v>31</v>
      </c>
      <c r="Q1266" t="s">
        <v>7378</v>
      </c>
      <c r="R1266">
        <v>0</v>
      </c>
      <c r="S1266">
        <v>0</v>
      </c>
    </row>
    <row r="1267" spans="1:19" hidden="1" x14ac:dyDescent="0.3">
      <c r="A1267" t="s">
        <v>3497</v>
      </c>
      <c r="B1267" t="s">
        <v>3498</v>
      </c>
      <c r="D1267" t="s">
        <v>232</v>
      </c>
      <c r="E1267" t="s">
        <v>233</v>
      </c>
      <c r="F1267" t="s">
        <v>30</v>
      </c>
      <c r="G1267" s="6">
        <v>45291</v>
      </c>
      <c r="H1267" t="s">
        <v>6811</v>
      </c>
      <c r="I1267" t="s">
        <v>57</v>
      </c>
      <c r="J1267" t="s">
        <v>47</v>
      </c>
      <c r="K1267">
        <v>81</v>
      </c>
      <c r="L1267">
        <v>81.5</v>
      </c>
      <c r="M1267">
        <v>1.0061728395061731</v>
      </c>
      <c r="N1267">
        <v>1.0061728395061731</v>
      </c>
      <c r="O1267" t="s">
        <v>1054</v>
      </c>
      <c r="P1267" t="s">
        <v>7345</v>
      </c>
      <c r="Q1267" t="s">
        <v>3500</v>
      </c>
      <c r="R1267">
        <v>2</v>
      </c>
      <c r="S1267">
        <v>2</v>
      </c>
    </row>
    <row r="1268" spans="1:19" hidden="1" x14ac:dyDescent="0.3">
      <c r="A1268" t="s">
        <v>3497</v>
      </c>
      <c r="B1268" t="s">
        <v>3498</v>
      </c>
      <c r="D1268" t="s">
        <v>232</v>
      </c>
      <c r="E1268" t="s">
        <v>233</v>
      </c>
      <c r="F1268" t="s">
        <v>30</v>
      </c>
      <c r="G1268" s="6">
        <v>45657</v>
      </c>
      <c r="H1268" t="s">
        <v>6816</v>
      </c>
      <c r="I1268" t="s">
        <v>57</v>
      </c>
      <c r="J1268" t="s">
        <v>78</v>
      </c>
      <c r="K1268">
        <v>48.75</v>
      </c>
      <c r="L1268">
        <v>48.75</v>
      </c>
      <c r="M1268">
        <v>1</v>
      </c>
      <c r="N1268">
        <v>1</v>
      </c>
      <c r="O1268" t="s">
        <v>6298</v>
      </c>
      <c r="P1268" t="s">
        <v>6298</v>
      </c>
      <c r="Q1268" t="s">
        <v>7379</v>
      </c>
      <c r="R1268">
        <v>2</v>
      </c>
      <c r="S1268">
        <v>2</v>
      </c>
    </row>
    <row r="1269" spans="1:19" hidden="1" x14ac:dyDescent="0.3">
      <c r="A1269" t="s">
        <v>3497</v>
      </c>
      <c r="B1269" t="s">
        <v>3498</v>
      </c>
      <c r="C1269" t="s">
        <v>6622</v>
      </c>
      <c r="D1269" t="s">
        <v>232</v>
      </c>
      <c r="E1269" t="s">
        <v>233</v>
      </c>
      <c r="F1269" t="s">
        <v>30</v>
      </c>
      <c r="G1269" s="6">
        <v>45838</v>
      </c>
      <c r="H1269">
        <v>2025</v>
      </c>
      <c r="I1269" t="s">
        <v>44</v>
      </c>
      <c r="J1269" t="s">
        <v>244</v>
      </c>
      <c r="K1269">
        <v>55</v>
      </c>
      <c r="L1269">
        <v>50</v>
      </c>
      <c r="M1269">
        <v>0.90909090909090906</v>
      </c>
      <c r="N1269">
        <v>0.90909090909090906</v>
      </c>
      <c r="O1269" t="s">
        <v>31</v>
      </c>
      <c r="P1269" t="s">
        <v>31</v>
      </c>
      <c r="Q1269" t="s">
        <v>7380</v>
      </c>
      <c r="R1269">
        <v>0</v>
      </c>
      <c r="S1269">
        <v>0</v>
      </c>
    </row>
    <row r="1270" spans="1:19" hidden="1" x14ac:dyDescent="0.3">
      <c r="A1270" t="s">
        <v>3502</v>
      </c>
      <c r="B1270" t="s">
        <v>3503</v>
      </c>
      <c r="E1270" t="s">
        <v>233</v>
      </c>
      <c r="F1270" t="s">
        <v>30</v>
      </c>
      <c r="G1270" s="6">
        <v>45291</v>
      </c>
      <c r="H1270" t="s">
        <v>6811</v>
      </c>
      <c r="I1270" t="s">
        <v>57</v>
      </c>
      <c r="J1270" t="s">
        <v>47</v>
      </c>
      <c r="K1270">
        <v>76</v>
      </c>
      <c r="L1270">
        <v>80.875</v>
      </c>
      <c r="M1270">
        <v>1.0641447368421051</v>
      </c>
      <c r="N1270">
        <v>1.0641447368421051</v>
      </c>
      <c r="O1270" t="s">
        <v>5576</v>
      </c>
      <c r="P1270" t="s">
        <v>5780</v>
      </c>
      <c r="Q1270" t="s">
        <v>3505</v>
      </c>
      <c r="R1270">
        <v>2</v>
      </c>
      <c r="S1270">
        <v>2</v>
      </c>
    </row>
    <row r="1271" spans="1:19" hidden="1" x14ac:dyDescent="0.3">
      <c r="A1271" t="s">
        <v>3502</v>
      </c>
      <c r="B1271" t="s">
        <v>3503</v>
      </c>
      <c r="E1271" t="s">
        <v>233</v>
      </c>
      <c r="F1271" t="s">
        <v>30</v>
      </c>
      <c r="G1271" s="6">
        <v>45657</v>
      </c>
      <c r="H1271" t="s">
        <v>6816</v>
      </c>
      <c r="I1271" t="s">
        <v>57</v>
      </c>
      <c r="J1271" t="s">
        <v>78</v>
      </c>
      <c r="K1271">
        <v>47.2</v>
      </c>
      <c r="L1271">
        <v>49.23</v>
      </c>
      <c r="M1271">
        <v>1.0430084745762711</v>
      </c>
      <c r="N1271">
        <v>1.0430084745762711</v>
      </c>
      <c r="O1271" t="s">
        <v>6299</v>
      </c>
      <c r="P1271" t="s">
        <v>6300</v>
      </c>
      <c r="Q1271" t="s">
        <v>7381</v>
      </c>
      <c r="R1271">
        <v>2</v>
      </c>
      <c r="S1271">
        <v>2</v>
      </c>
    </row>
    <row r="1272" spans="1:19" hidden="1" x14ac:dyDescent="0.3">
      <c r="A1272" t="s">
        <v>3502</v>
      </c>
      <c r="B1272" t="s">
        <v>3503</v>
      </c>
      <c r="C1272" t="s">
        <v>6622</v>
      </c>
      <c r="E1272" t="s">
        <v>233</v>
      </c>
      <c r="F1272" t="s">
        <v>30</v>
      </c>
      <c r="G1272" s="6">
        <v>45838</v>
      </c>
      <c r="H1272">
        <v>2025</v>
      </c>
      <c r="I1272" t="s">
        <v>44</v>
      </c>
      <c r="J1272" t="s">
        <v>244</v>
      </c>
      <c r="K1272">
        <v>55</v>
      </c>
      <c r="L1272">
        <v>60</v>
      </c>
      <c r="M1272">
        <v>1</v>
      </c>
      <c r="N1272">
        <v>1</v>
      </c>
      <c r="O1272" t="s">
        <v>31</v>
      </c>
      <c r="P1272" t="s">
        <v>31</v>
      </c>
      <c r="Q1272" t="s">
        <v>7382</v>
      </c>
      <c r="R1272">
        <v>0</v>
      </c>
      <c r="S1272">
        <v>0</v>
      </c>
    </row>
    <row r="1273" spans="1:19" hidden="1" x14ac:dyDescent="0.3">
      <c r="A1273" t="s">
        <v>3507</v>
      </c>
      <c r="B1273" t="s">
        <v>3508</v>
      </c>
      <c r="C1273" t="s">
        <v>6622</v>
      </c>
      <c r="E1273" t="s">
        <v>233</v>
      </c>
      <c r="F1273" t="s">
        <v>30</v>
      </c>
      <c r="G1273" s="6">
        <v>45291</v>
      </c>
      <c r="H1273" t="s">
        <v>6811</v>
      </c>
      <c r="I1273" t="s">
        <v>57</v>
      </c>
      <c r="J1273" t="s">
        <v>47</v>
      </c>
      <c r="K1273">
        <v>100</v>
      </c>
      <c r="L1273">
        <v>95.256666666666661</v>
      </c>
      <c r="M1273">
        <v>0.95256666666666656</v>
      </c>
      <c r="N1273">
        <v>0.95256666666666656</v>
      </c>
      <c r="O1273" t="s">
        <v>102</v>
      </c>
      <c r="P1273" t="s">
        <v>3136</v>
      </c>
      <c r="Q1273" t="s">
        <v>3511</v>
      </c>
      <c r="R1273">
        <v>2</v>
      </c>
      <c r="S1273">
        <v>2</v>
      </c>
    </row>
    <row r="1274" spans="1:19" hidden="1" x14ac:dyDescent="0.3">
      <c r="A1274" t="s">
        <v>3507</v>
      </c>
      <c r="B1274" t="s">
        <v>3508</v>
      </c>
      <c r="C1274" t="s">
        <v>6622</v>
      </c>
      <c r="D1274" t="s">
        <v>129</v>
      </c>
      <c r="E1274" t="s">
        <v>233</v>
      </c>
      <c r="F1274" t="s">
        <v>30</v>
      </c>
      <c r="G1274" s="6">
        <v>45657</v>
      </c>
      <c r="H1274" t="s">
        <v>6816</v>
      </c>
      <c r="I1274" t="s">
        <v>57</v>
      </c>
      <c r="J1274" t="s">
        <v>78</v>
      </c>
      <c r="K1274">
        <v>100</v>
      </c>
      <c r="L1274">
        <v>75.872500000000002</v>
      </c>
      <c r="M1274">
        <v>0.75872499999999998</v>
      </c>
      <c r="N1274">
        <v>0.75872499999999998</v>
      </c>
      <c r="O1274" t="s">
        <v>102</v>
      </c>
      <c r="P1274" t="s">
        <v>7383</v>
      </c>
      <c r="Q1274" t="s">
        <v>3515</v>
      </c>
      <c r="R1274">
        <v>2</v>
      </c>
      <c r="S1274">
        <v>2</v>
      </c>
    </row>
    <row r="1275" spans="1:19" hidden="1" x14ac:dyDescent="0.3">
      <c r="A1275" t="s">
        <v>3507</v>
      </c>
      <c r="B1275" t="s">
        <v>3508</v>
      </c>
      <c r="C1275" t="s">
        <v>6622</v>
      </c>
      <c r="D1275" t="s">
        <v>129</v>
      </c>
      <c r="E1275" t="s">
        <v>233</v>
      </c>
      <c r="F1275" t="s">
        <v>30</v>
      </c>
      <c r="G1275" s="6">
        <v>46022</v>
      </c>
      <c r="H1275" t="s">
        <v>6823</v>
      </c>
      <c r="I1275" t="s">
        <v>57</v>
      </c>
      <c r="J1275" t="s">
        <v>103</v>
      </c>
      <c r="K1275">
        <v>100</v>
      </c>
      <c r="L1275">
        <v>176.26499999999999</v>
      </c>
      <c r="M1275">
        <v>1.3</v>
      </c>
      <c r="N1275">
        <v>1.7626500000000001</v>
      </c>
      <c r="O1275" t="s">
        <v>102</v>
      </c>
      <c r="P1275" t="s">
        <v>6305</v>
      </c>
      <c r="Q1275" t="s">
        <v>3522</v>
      </c>
      <c r="R1275">
        <v>2</v>
      </c>
      <c r="S1275">
        <v>2</v>
      </c>
    </row>
    <row r="1276" spans="1:19" hidden="1" x14ac:dyDescent="0.3">
      <c r="A1276" t="s">
        <v>3523</v>
      </c>
      <c r="B1276" t="s">
        <v>3524</v>
      </c>
      <c r="D1276" t="s">
        <v>61</v>
      </c>
      <c r="E1276" t="s">
        <v>233</v>
      </c>
      <c r="F1276" t="s">
        <v>30</v>
      </c>
      <c r="G1276" s="6">
        <v>45291</v>
      </c>
      <c r="H1276" t="s">
        <v>6811</v>
      </c>
      <c r="I1276" t="s">
        <v>57</v>
      </c>
      <c r="J1276" t="s">
        <v>47</v>
      </c>
      <c r="K1276">
        <v>71.5</v>
      </c>
      <c r="L1276">
        <v>66.75</v>
      </c>
      <c r="M1276">
        <v>0.93356643356643354</v>
      </c>
      <c r="N1276">
        <v>0.93356643356643354</v>
      </c>
      <c r="O1276" t="s">
        <v>7384</v>
      </c>
      <c r="P1276" t="s">
        <v>7077</v>
      </c>
      <c r="Q1276" t="s">
        <v>3526</v>
      </c>
      <c r="R1276">
        <v>2</v>
      </c>
      <c r="S1276">
        <v>2</v>
      </c>
    </row>
    <row r="1277" spans="1:19" hidden="1" x14ac:dyDescent="0.3">
      <c r="A1277" t="s">
        <v>3523</v>
      </c>
      <c r="B1277" t="s">
        <v>3524</v>
      </c>
      <c r="D1277" t="s">
        <v>61</v>
      </c>
      <c r="E1277" t="s">
        <v>233</v>
      </c>
      <c r="F1277" t="s">
        <v>30</v>
      </c>
      <c r="G1277" s="6">
        <v>45657</v>
      </c>
      <c r="H1277" t="s">
        <v>6816</v>
      </c>
      <c r="I1277" t="s">
        <v>57</v>
      </c>
      <c r="J1277" t="s">
        <v>78</v>
      </c>
      <c r="K1277">
        <v>49.54</v>
      </c>
      <c r="L1277">
        <v>67.12</v>
      </c>
      <c r="M1277">
        <v>1.3</v>
      </c>
      <c r="N1277">
        <v>1.354864755752927</v>
      </c>
      <c r="O1277" t="s">
        <v>6307</v>
      </c>
      <c r="P1277" t="s">
        <v>6308</v>
      </c>
      <c r="Q1277" t="s">
        <v>7385</v>
      </c>
      <c r="R1277">
        <v>2</v>
      </c>
      <c r="S1277">
        <v>2</v>
      </c>
    </row>
    <row r="1278" spans="1:19" hidden="1" x14ac:dyDescent="0.3">
      <c r="A1278" t="s">
        <v>3523</v>
      </c>
      <c r="B1278" t="s">
        <v>3524</v>
      </c>
      <c r="C1278" t="s">
        <v>6622</v>
      </c>
      <c r="D1278" t="s">
        <v>61</v>
      </c>
      <c r="E1278" t="s">
        <v>233</v>
      </c>
      <c r="F1278" t="s">
        <v>30</v>
      </c>
      <c r="G1278" s="6">
        <v>45838</v>
      </c>
      <c r="H1278">
        <v>2025</v>
      </c>
      <c r="I1278" t="s">
        <v>44</v>
      </c>
      <c r="J1278" t="s">
        <v>244</v>
      </c>
      <c r="K1278">
        <v>53</v>
      </c>
      <c r="L1278">
        <v>56</v>
      </c>
      <c r="M1278">
        <v>1</v>
      </c>
      <c r="N1278">
        <v>1</v>
      </c>
      <c r="O1278" t="s">
        <v>31</v>
      </c>
      <c r="P1278" t="s">
        <v>31</v>
      </c>
      <c r="Q1278" t="s">
        <v>7386</v>
      </c>
      <c r="R1278">
        <v>0</v>
      </c>
      <c r="S1278">
        <v>0</v>
      </c>
    </row>
    <row r="1279" spans="1:19" hidden="1" x14ac:dyDescent="0.3">
      <c r="A1279" t="s">
        <v>3528</v>
      </c>
      <c r="B1279" t="s">
        <v>3529</v>
      </c>
      <c r="D1279" t="s">
        <v>760</v>
      </c>
      <c r="E1279" t="s">
        <v>233</v>
      </c>
      <c r="F1279" t="s">
        <v>30</v>
      </c>
      <c r="G1279" s="6">
        <v>45291</v>
      </c>
      <c r="H1279" t="s">
        <v>6811</v>
      </c>
      <c r="I1279" t="s">
        <v>57</v>
      </c>
      <c r="J1279" t="s">
        <v>47</v>
      </c>
      <c r="K1279">
        <v>69.5</v>
      </c>
      <c r="L1279">
        <v>53.125</v>
      </c>
      <c r="M1279">
        <v>0.76438848920863312</v>
      </c>
      <c r="N1279">
        <v>0.76438848920863312</v>
      </c>
      <c r="O1279" t="s">
        <v>7387</v>
      </c>
      <c r="P1279" t="s">
        <v>7388</v>
      </c>
      <c r="Q1279" t="s">
        <v>3531</v>
      </c>
      <c r="R1279">
        <v>2</v>
      </c>
      <c r="S1279">
        <v>2</v>
      </c>
    </row>
    <row r="1280" spans="1:19" hidden="1" x14ac:dyDescent="0.3">
      <c r="A1280" t="s">
        <v>3528</v>
      </c>
      <c r="B1280" t="s">
        <v>3529</v>
      </c>
      <c r="D1280" t="s">
        <v>760</v>
      </c>
      <c r="E1280" t="s">
        <v>233</v>
      </c>
      <c r="F1280" t="s">
        <v>30</v>
      </c>
      <c r="G1280" s="6">
        <v>45657</v>
      </c>
      <c r="H1280" t="s">
        <v>6816</v>
      </c>
      <c r="I1280" t="s">
        <v>57</v>
      </c>
      <c r="J1280" t="s">
        <v>78</v>
      </c>
      <c r="K1280">
        <v>89.58</v>
      </c>
      <c r="L1280">
        <v>61</v>
      </c>
      <c r="M1280">
        <v>0.68095557043983035</v>
      </c>
      <c r="N1280">
        <v>0.68095557043983035</v>
      </c>
      <c r="O1280" t="s">
        <v>6310</v>
      </c>
      <c r="P1280" t="s">
        <v>5971</v>
      </c>
      <c r="Q1280" t="s">
        <v>7389</v>
      </c>
      <c r="R1280">
        <v>2</v>
      </c>
      <c r="S1280">
        <v>2</v>
      </c>
    </row>
    <row r="1281" spans="1:19" hidden="1" x14ac:dyDescent="0.3">
      <c r="A1281" t="s">
        <v>3528</v>
      </c>
      <c r="B1281" t="s">
        <v>3529</v>
      </c>
      <c r="C1281" t="s">
        <v>6622</v>
      </c>
      <c r="D1281" t="s">
        <v>760</v>
      </c>
      <c r="E1281" t="s">
        <v>233</v>
      </c>
      <c r="F1281" t="s">
        <v>30</v>
      </c>
      <c r="G1281" s="6">
        <v>45838</v>
      </c>
      <c r="H1281">
        <v>2025</v>
      </c>
      <c r="I1281" t="s">
        <v>44</v>
      </c>
      <c r="J1281" t="s">
        <v>244</v>
      </c>
      <c r="K1281">
        <v>32</v>
      </c>
      <c r="L1281">
        <v>32</v>
      </c>
      <c r="M1281">
        <v>1</v>
      </c>
      <c r="N1281">
        <v>1</v>
      </c>
      <c r="O1281" t="s">
        <v>31</v>
      </c>
      <c r="P1281" t="s">
        <v>31</v>
      </c>
      <c r="Q1281" t="s">
        <v>7390</v>
      </c>
      <c r="R1281">
        <v>0</v>
      </c>
      <c r="S1281">
        <v>0</v>
      </c>
    </row>
    <row r="1282" spans="1:19" hidden="1" x14ac:dyDescent="0.3">
      <c r="A1282" t="s">
        <v>3533</v>
      </c>
      <c r="B1282" t="s">
        <v>3534</v>
      </c>
      <c r="D1282" t="s">
        <v>663</v>
      </c>
      <c r="E1282" t="s">
        <v>233</v>
      </c>
      <c r="F1282" t="s">
        <v>30</v>
      </c>
      <c r="G1282" s="6">
        <v>45291</v>
      </c>
      <c r="H1282" t="s">
        <v>6811</v>
      </c>
      <c r="I1282" t="s">
        <v>57</v>
      </c>
      <c r="J1282" t="s">
        <v>47</v>
      </c>
      <c r="K1282">
        <v>78</v>
      </c>
      <c r="L1282">
        <v>76.974999999999994</v>
      </c>
      <c r="M1282">
        <v>0.98685897435897429</v>
      </c>
      <c r="N1282">
        <v>0.98685897435897429</v>
      </c>
      <c r="O1282" t="s">
        <v>5377</v>
      </c>
      <c r="P1282" t="s">
        <v>7391</v>
      </c>
      <c r="Q1282" t="s">
        <v>3536</v>
      </c>
      <c r="R1282">
        <v>2</v>
      </c>
      <c r="S1282">
        <v>2</v>
      </c>
    </row>
    <row r="1283" spans="1:19" hidden="1" x14ac:dyDescent="0.3">
      <c r="A1283" t="s">
        <v>3533</v>
      </c>
      <c r="B1283" t="s">
        <v>3534</v>
      </c>
      <c r="D1283" t="s">
        <v>663</v>
      </c>
      <c r="E1283" t="s">
        <v>233</v>
      </c>
      <c r="F1283" t="s">
        <v>30</v>
      </c>
      <c r="G1283" s="6">
        <v>45657</v>
      </c>
      <c r="H1283" t="s">
        <v>6816</v>
      </c>
      <c r="I1283" t="s">
        <v>57</v>
      </c>
      <c r="J1283" t="s">
        <v>78</v>
      </c>
      <c r="K1283">
        <v>42.15</v>
      </c>
      <c r="L1283">
        <v>45</v>
      </c>
      <c r="M1283">
        <v>1.067615658362989</v>
      </c>
      <c r="N1283">
        <v>1.067615658362989</v>
      </c>
      <c r="O1283" t="s">
        <v>6279</v>
      </c>
      <c r="P1283" t="s">
        <v>5882</v>
      </c>
      <c r="Q1283" t="s">
        <v>7392</v>
      </c>
      <c r="R1283">
        <v>2</v>
      </c>
      <c r="S1283">
        <v>2</v>
      </c>
    </row>
    <row r="1284" spans="1:19" hidden="1" x14ac:dyDescent="0.3">
      <c r="A1284" t="s">
        <v>3533</v>
      </c>
      <c r="B1284" t="s">
        <v>3534</v>
      </c>
      <c r="C1284" t="s">
        <v>6622</v>
      </c>
      <c r="D1284" t="s">
        <v>663</v>
      </c>
      <c r="E1284" t="s">
        <v>233</v>
      </c>
      <c r="F1284" t="s">
        <v>30</v>
      </c>
      <c r="G1284" s="6">
        <v>45838</v>
      </c>
      <c r="H1284">
        <v>2025</v>
      </c>
      <c r="I1284" t="s">
        <v>44</v>
      </c>
      <c r="J1284" t="s">
        <v>244</v>
      </c>
      <c r="K1284">
        <v>75</v>
      </c>
      <c r="L1284">
        <v>75</v>
      </c>
      <c r="M1284">
        <v>1</v>
      </c>
      <c r="N1284">
        <v>1</v>
      </c>
      <c r="O1284" t="s">
        <v>31</v>
      </c>
      <c r="P1284" t="s">
        <v>31</v>
      </c>
      <c r="Q1284" t="s">
        <v>7393</v>
      </c>
      <c r="R1284">
        <v>0</v>
      </c>
      <c r="S1284">
        <v>0</v>
      </c>
    </row>
    <row r="1285" spans="1:19" hidden="1" x14ac:dyDescent="0.3">
      <c r="A1285" t="s">
        <v>3538</v>
      </c>
      <c r="B1285" t="s">
        <v>3539</v>
      </c>
      <c r="D1285" t="s">
        <v>842</v>
      </c>
      <c r="E1285" t="s">
        <v>233</v>
      </c>
      <c r="F1285" t="s">
        <v>30</v>
      </c>
      <c r="G1285" s="6">
        <v>45291</v>
      </c>
      <c r="H1285" t="s">
        <v>6811</v>
      </c>
      <c r="I1285" t="s">
        <v>57</v>
      </c>
      <c r="J1285" t="s">
        <v>47</v>
      </c>
      <c r="K1285">
        <v>83.5</v>
      </c>
      <c r="L1285">
        <v>80.39</v>
      </c>
      <c r="M1285">
        <v>0.96275449101796406</v>
      </c>
      <c r="N1285">
        <v>0.96275449101796406</v>
      </c>
      <c r="O1285" t="s">
        <v>5402</v>
      </c>
      <c r="P1285" t="s">
        <v>5573</v>
      </c>
      <c r="Q1285" t="s">
        <v>3541</v>
      </c>
      <c r="R1285">
        <v>2</v>
      </c>
      <c r="S1285">
        <v>2</v>
      </c>
    </row>
    <row r="1286" spans="1:19" hidden="1" x14ac:dyDescent="0.3">
      <c r="A1286" t="s">
        <v>3538</v>
      </c>
      <c r="B1286" t="s">
        <v>3539</v>
      </c>
      <c r="D1286" t="s">
        <v>842</v>
      </c>
      <c r="E1286" t="s">
        <v>233</v>
      </c>
      <c r="F1286" t="s">
        <v>30</v>
      </c>
      <c r="G1286" s="6">
        <v>45657</v>
      </c>
      <c r="H1286" t="s">
        <v>6816</v>
      </c>
      <c r="I1286" t="s">
        <v>57</v>
      </c>
      <c r="J1286" t="s">
        <v>78</v>
      </c>
      <c r="K1286">
        <v>51.88</v>
      </c>
      <c r="L1286">
        <v>57</v>
      </c>
      <c r="M1286">
        <v>1.098689282960678</v>
      </c>
      <c r="N1286">
        <v>1.098689282960678</v>
      </c>
      <c r="O1286" t="s">
        <v>6313</v>
      </c>
      <c r="P1286" t="s">
        <v>5368</v>
      </c>
      <c r="Q1286" t="s">
        <v>7394</v>
      </c>
      <c r="R1286">
        <v>2</v>
      </c>
      <c r="S1286">
        <v>2</v>
      </c>
    </row>
    <row r="1287" spans="1:19" hidden="1" x14ac:dyDescent="0.3">
      <c r="A1287" t="s">
        <v>3538</v>
      </c>
      <c r="B1287" t="s">
        <v>3539</v>
      </c>
      <c r="C1287" t="s">
        <v>6622</v>
      </c>
      <c r="D1287" t="s">
        <v>842</v>
      </c>
      <c r="E1287" t="s">
        <v>233</v>
      </c>
      <c r="F1287" t="s">
        <v>30</v>
      </c>
      <c r="G1287" s="6">
        <v>45838</v>
      </c>
      <c r="H1287">
        <v>2025</v>
      </c>
      <c r="I1287" t="s">
        <v>44</v>
      </c>
      <c r="J1287" t="s">
        <v>244</v>
      </c>
      <c r="K1287">
        <v>57</v>
      </c>
      <c r="L1287">
        <v>66</v>
      </c>
      <c r="M1287">
        <v>1</v>
      </c>
      <c r="N1287">
        <v>1</v>
      </c>
      <c r="O1287" t="s">
        <v>31</v>
      </c>
      <c r="P1287" t="s">
        <v>31</v>
      </c>
      <c r="Q1287" t="s">
        <v>7395</v>
      </c>
      <c r="R1287">
        <v>0</v>
      </c>
      <c r="S1287">
        <v>0</v>
      </c>
    </row>
    <row r="1288" spans="1:19" hidden="1" x14ac:dyDescent="0.3">
      <c r="A1288" t="s">
        <v>3543</v>
      </c>
      <c r="B1288" t="s">
        <v>3544</v>
      </c>
      <c r="D1288" t="s">
        <v>1997</v>
      </c>
      <c r="E1288" t="s">
        <v>233</v>
      </c>
      <c r="F1288" t="s">
        <v>30</v>
      </c>
      <c r="G1288" s="6">
        <v>45291</v>
      </c>
      <c r="H1288" t="s">
        <v>6811</v>
      </c>
      <c r="I1288" t="s">
        <v>57</v>
      </c>
      <c r="J1288" t="s">
        <v>47</v>
      </c>
      <c r="K1288">
        <v>78</v>
      </c>
      <c r="L1288">
        <v>85</v>
      </c>
      <c r="M1288">
        <v>1.0897435897435901</v>
      </c>
      <c r="N1288">
        <v>1.0897435897435901</v>
      </c>
      <c r="O1288" t="s">
        <v>5377</v>
      </c>
      <c r="P1288" t="s">
        <v>2357</v>
      </c>
      <c r="Q1288" t="s">
        <v>3546</v>
      </c>
      <c r="R1288">
        <v>2</v>
      </c>
      <c r="S1288">
        <v>2</v>
      </c>
    </row>
    <row r="1289" spans="1:19" hidden="1" x14ac:dyDescent="0.3">
      <c r="A1289" t="s">
        <v>3543</v>
      </c>
      <c r="B1289" t="s">
        <v>3544</v>
      </c>
      <c r="D1289" t="s">
        <v>1997</v>
      </c>
      <c r="E1289" t="s">
        <v>233</v>
      </c>
      <c r="F1289" t="s">
        <v>30</v>
      </c>
      <c r="G1289" s="6">
        <v>45657</v>
      </c>
      <c r="H1289" t="s">
        <v>6816</v>
      </c>
      <c r="I1289" t="s">
        <v>57</v>
      </c>
      <c r="J1289" t="s">
        <v>78</v>
      </c>
      <c r="K1289">
        <v>75.790000000000006</v>
      </c>
      <c r="L1289">
        <v>65.5</v>
      </c>
      <c r="M1289">
        <v>0.86423010951312829</v>
      </c>
      <c r="N1289">
        <v>0.86423010951312829</v>
      </c>
      <c r="O1289" t="s">
        <v>6314</v>
      </c>
      <c r="P1289" t="s">
        <v>6315</v>
      </c>
      <c r="Q1289" t="s">
        <v>7396</v>
      </c>
      <c r="R1289">
        <v>2</v>
      </c>
      <c r="S1289">
        <v>2</v>
      </c>
    </row>
    <row r="1290" spans="1:19" hidden="1" x14ac:dyDescent="0.3">
      <c r="A1290" t="s">
        <v>3548</v>
      </c>
      <c r="B1290" t="s">
        <v>3549</v>
      </c>
      <c r="D1290" t="s">
        <v>28</v>
      </c>
      <c r="E1290" t="s">
        <v>233</v>
      </c>
      <c r="F1290" t="s">
        <v>30</v>
      </c>
      <c r="G1290" s="6">
        <v>45291</v>
      </c>
      <c r="H1290" t="s">
        <v>6811</v>
      </c>
      <c r="I1290" t="s">
        <v>57</v>
      </c>
      <c r="J1290" t="s">
        <v>47</v>
      </c>
      <c r="K1290">
        <v>78</v>
      </c>
      <c r="L1290">
        <v>83</v>
      </c>
      <c r="M1290">
        <v>1.0641025641025641</v>
      </c>
      <c r="N1290">
        <v>1.0641025641025641</v>
      </c>
      <c r="O1290" t="s">
        <v>5377</v>
      </c>
      <c r="P1290" t="s">
        <v>4652</v>
      </c>
      <c r="Q1290" t="s">
        <v>3551</v>
      </c>
      <c r="R1290">
        <v>2</v>
      </c>
      <c r="S1290">
        <v>2</v>
      </c>
    </row>
    <row r="1291" spans="1:19" hidden="1" x14ac:dyDescent="0.3">
      <c r="A1291" t="s">
        <v>3548</v>
      </c>
      <c r="B1291" t="s">
        <v>3549</v>
      </c>
      <c r="D1291" t="s">
        <v>28</v>
      </c>
      <c r="E1291" t="s">
        <v>233</v>
      </c>
      <c r="F1291" t="s">
        <v>30</v>
      </c>
      <c r="G1291" s="6">
        <v>45657</v>
      </c>
      <c r="H1291" t="s">
        <v>6816</v>
      </c>
      <c r="I1291" t="s">
        <v>57</v>
      </c>
      <c r="J1291" t="s">
        <v>78</v>
      </c>
      <c r="K1291">
        <v>19.57</v>
      </c>
      <c r="L1291">
        <v>16.25</v>
      </c>
      <c r="M1291">
        <v>0.83035258048032701</v>
      </c>
      <c r="N1291">
        <v>0.83035258048032701</v>
      </c>
      <c r="O1291" t="s">
        <v>6316</v>
      </c>
      <c r="P1291" t="s">
        <v>6317</v>
      </c>
      <c r="Q1291" t="s">
        <v>7397</v>
      </c>
      <c r="R1291">
        <v>2</v>
      </c>
      <c r="S1291">
        <v>2</v>
      </c>
    </row>
    <row r="1292" spans="1:19" hidden="1" x14ac:dyDescent="0.3">
      <c r="A1292" t="s">
        <v>3548</v>
      </c>
      <c r="B1292" t="s">
        <v>3549</v>
      </c>
      <c r="C1292" t="s">
        <v>6622</v>
      </c>
      <c r="D1292" t="s">
        <v>28</v>
      </c>
      <c r="E1292" t="s">
        <v>233</v>
      </c>
      <c r="F1292" t="s">
        <v>30</v>
      </c>
      <c r="G1292" s="6">
        <v>45838</v>
      </c>
      <c r="H1292">
        <v>2025</v>
      </c>
      <c r="I1292" t="s">
        <v>44</v>
      </c>
      <c r="J1292" t="s">
        <v>244</v>
      </c>
      <c r="K1292">
        <v>78</v>
      </c>
      <c r="L1292">
        <v>78</v>
      </c>
      <c r="M1292">
        <v>1</v>
      </c>
      <c r="N1292">
        <v>1</v>
      </c>
      <c r="O1292" t="s">
        <v>31</v>
      </c>
      <c r="P1292" t="s">
        <v>31</v>
      </c>
      <c r="Q1292" t="s">
        <v>7398</v>
      </c>
      <c r="R1292">
        <v>0</v>
      </c>
      <c r="S1292">
        <v>0</v>
      </c>
    </row>
    <row r="1293" spans="1:19" hidden="1" x14ac:dyDescent="0.3">
      <c r="A1293" t="s">
        <v>3553</v>
      </c>
      <c r="B1293" t="s">
        <v>3554</v>
      </c>
      <c r="D1293" t="s">
        <v>3011</v>
      </c>
      <c r="E1293" t="s">
        <v>233</v>
      </c>
      <c r="F1293" t="s">
        <v>30</v>
      </c>
      <c r="G1293" s="6">
        <v>45291</v>
      </c>
      <c r="H1293" t="s">
        <v>6811</v>
      </c>
      <c r="I1293" t="s">
        <v>57</v>
      </c>
      <c r="J1293" t="s">
        <v>47</v>
      </c>
      <c r="K1293">
        <v>80.5</v>
      </c>
      <c r="L1293">
        <v>84.5</v>
      </c>
      <c r="M1293">
        <v>1.0496894409937889</v>
      </c>
      <c r="N1293">
        <v>1.0496894409937889</v>
      </c>
      <c r="O1293" t="s">
        <v>6199</v>
      </c>
      <c r="P1293" t="s">
        <v>5816</v>
      </c>
      <c r="Q1293" t="s">
        <v>3556</v>
      </c>
      <c r="R1293">
        <v>2</v>
      </c>
      <c r="S1293">
        <v>2</v>
      </c>
    </row>
    <row r="1294" spans="1:19" hidden="1" x14ac:dyDescent="0.3">
      <c r="A1294" t="s">
        <v>3553</v>
      </c>
      <c r="B1294" t="s">
        <v>3554</v>
      </c>
      <c r="D1294" t="s">
        <v>3011</v>
      </c>
      <c r="E1294" t="s">
        <v>233</v>
      </c>
      <c r="F1294" t="s">
        <v>30</v>
      </c>
      <c r="G1294" s="6">
        <v>45657</v>
      </c>
      <c r="H1294" t="s">
        <v>6816</v>
      </c>
      <c r="I1294" t="s">
        <v>57</v>
      </c>
      <c r="J1294" t="s">
        <v>78</v>
      </c>
      <c r="K1294">
        <v>64.13</v>
      </c>
      <c r="L1294">
        <v>67.98</v>
      </c>
      <c r="M1294">
        <v>1.060034305317324</v>
      </c>
      <c r="N1294">
        <v>1.060034305317324</v>
      </c>
      <c r="O1294" t="s">
        <v>6318</v>
      </c>
      <c r="P1294" t="s">
        <v>6319</v>
      </c>
      <c r="Q1294" t="s">
        <v>7399</v>
      </c>
      <c r="R1294">
        <v>2</v>
      </c>
      <c r="S1294">
        <v>2</v>
      </c>
    </row>
    <row r="1295" spans="1:19" hidden="1" x14ac:dyDescent="0.3">
      <c r="A1295" t="s">
        <v>3553</v>
      </c>
      <c r="B1295" t="s">
        <v>3554</v>
      </c>
      <c r="C1295" t="s">
        <v>6622</v>
      </c>
      <c r="D1295" t="s">
        <v>3011</v>
      </c>
      <c r="E1295" t="s">
        <v>233</v>
      </c>
      <c r="F1295" t="s">
        <v>30</v>
      </c>
      <c r="G1295" s="6">
        <v>45838</v>
      </c>
      <c r="H1295">
        <v>2025</v>
      </c>
      <c r="I1295" t="s">
        <v>44</v>
      </c>
      <c r="J1295" t="s">
        <v>244</v>
      </c>
      <c r="K1295">
        <v>72</v>
      </c>
      <c r="L1295">
        <v>71</v>
      </c>
      <c r="M1295">
        <v>0.98611111111111116</v>
      </c>
      <c r="N1295">
        <v>0.98611111111111116</v>
      </c>
      <c r="O1295" t="s">
        <v>31</v>
      </c>
      <c r="P1295" t="s">
        <v>31</v>
      </c>
      <c r="Q1295" t="s">
        <v>7400</v>
      </c>
      <c r="R1295">
        <v>0</v>
      </c>
      <c r="S1295">
        <v>0</v>
      </c>
    </row>
    <row r="1296" spans="1:19" hidden="1" x14ac:dyDescent="0.3">
      <c r="A1296" t="s">
        <v>3558</v>
      </c>
      <c r="B1296" t="s">
        <v>3559</v>
      </c>
      <c r="D1296" t="s">
        <v>3011</v>
      </c>
      <c r="E1296" t="s">
        <v>233</v>
      </c>
      <c r="F1296" t="s">
        <v>30</v>
      </c>
      <c r="G1296" s="6">
        <v>45291</v>
      </c>
      <c r="H1296" t="s">
        <v>6811</v>
      </c>
      <c r="I1296" t="s">
        <v>57</v>
      </c>
      <c r="J1296" t="s">
        <v>47</v>
      </c>
      <c r="K1296">
        <v>82</v>
      </c>
      <c r="L1296">
        <v>81.87</v>
      </c>
      <c r="M1296">
        <v>0.99841463414634157</v>
      </c>
      <c r="N1296">
        <v>0.99841463414634157</v>
      </c>
      <c r="O1296" t="s">
        <v>5879</v>
      </c>
      <c r="P1296" t="s">
        <v>7401</v>
      </c>
      <c r="Q1296" t="s">
        <v>3561</v>
      </c>
      <c r="R1296">
        <v>2</v>
      </c>
      <c r="S1296">
        <v>2</v>
      </c>
    </row>
    <row r="1297" spans="1:19" hidden="1" x14ac:dyDescent="0.3">
      <c r="A1297" t="s">
        <v>3558</v>
      </c>
      <c r="B1297" t="s">
        <v>3559</v>
      </c>
      <c r="D1297" t="s">
        <v>3011</v>
      </c>
      <c r="E1297" t="s">
        <v>233</v>
      </c>
      <c r="F1297" t="s">
        <v>30</v>
      </c>
      <c r="G1297" s="6">
        <v>45657</v>
      </c>
      <c r="H1297" t="s">
        <v>6816</v>
      </c>
      <c r="I1297" t="s">
        <v>57</v>
      </c>
      <c r="J1297" t="s">
        <v>78</v>
      </c>
      <c r="K1297">
        <v>59.61</v>
      </c>
      <c r="L1297">
        <v>65.25</v>
      </c>
      <c r="M1297">
        <v>1.0946149974836441</v>
      </c>
      <c r="N1297">
        <v>1.0946149974836441</v>
      </c>
      <c r="O1297" t="s">
        <v>6320</v>
      </c>
      <c r="P1297" t="s">
        <v>6321</v>
      </c>
      <c r="Q1297" t="s">
        <v>7402</v>
      </c>
      <c r="R1297">
        <v>2</v>
      </c>
      <c r="S1297">
        <v>2</v>
      </c>
    </row>
    <row r="1298" spans="1:19" hidden="1" x14ac:dyDescent="0.3">
      <c r="A1298" t="s">
        <v>3558</v>
      </c>
      <c r="B1298" t="s">
        <v>3559</v>
      </c>
      <c r="C1298" t="s">
        <v>6622</v>
      </c>
      <c r="D1298" t="s">
        <v>3011</v>
      </c>
      <c r="E1298" t="s">
        <v>233</v>
      </c>
      <c r="F1298" t="s">
        <v>30</v>
      </c>
      <c r="G1298" s="6">
        <v>45838</v>
      </c>
      <c r="H1298">
        <v>2025</v>
      </c>
      <c r="I1298" t="s">
        <v>44</v>
      </c>
      <c r="J1298" t="s">
        <v>244</v>
      </c>
      <c r="K1298">
        <v>73</v>
      </c>
      <c r="L1298">
        <v>70</v>
      </c>
      <c r="M1298">
        <v>0.95890410958904104</v>
      </c>
      <c r="N1298">
        <v>0.95890410958904104</v>
      </c>
      <c r="O1298" t="s">
        <v>31</v>
      </c>
      <c r="P1298" t="s">
        <v>31</v>
      </c>
      <c r="Q1298" t="s">
        <v>7403</v>
      </c>
      <c r="R1298">
        <v>0</v>
      </c>
      <c r="S1298">
        <v>0</v>
      </c>
    </row>
    <row r="1299" spans="1:19" hidden="1" x14ac:dyDescent="0.3">
      <c r="A1299" t="s">
        <v>3563</v>
      </c>
      <c r="B1299" t="s">
        <v>3564</v>
      </c>
      <c r="D1299" t="s">
        <v>3011</v>
      </c>
      <c r="E1299" t="s">
        <v>233</v>
      </c>
      <c r="F1299" t="s">
        <v>30</v>
      </c>
      <c r="G1299" s="6">
        <v>45291</v>
      </c>
      <c r="H1299" t="s">
        <v>6811</v>
      </c>
      <c r="I1299" t="s">
        <v>57</v>
      </c>
      <c r="J1299" t="s">
        <v>47</v>
      </c>
      <c r="K1299">
        <v>85.5</v>
      </c>
      <c r="L1299">
        <v>92</v>
      </c>
      <c r="M1299">
        <v>1.076023391812865</v>
      </c>
      <c r="N1299">
        <v>1.076023391812865</v>
      </c>
      <c r="O1299" t="s">
        <v>7293</v>
      </c>
      <c r="P1299" t="s">
        <v>4634</v>
      </c>
      <c r="Q1299" t="s">
        <v>3566</v>
      </c>
      <c r="R1299">
        <v>2</v>
      </c>
      <c r="S1299">
        <v>2</v>
      </c>
    </row>
    <row r="1300" spans="1:19" hidden="1" x14ac:dyDescent="0.3">
      <c r="A1300" t="s">
        <v>3563</v>
      </c>
      <c r="B1300" t="s">
        <v>3564</v>
      </c>
      <c r="D1300" t="s">
        <v>3011</v>
      </c>
      <c r="E1300" t="s">
        <v>233</v>
      </c>
      <c r="F1300" t="s">
        <v>30</v>
      </c>
      <c r="G1300" s="6">
        <v>45657</v>
      </c>
      <c r="H1300" t="s">
        <v>6816</v>
      </c>
      <c r="I1300" t="s">
        <v>57</v>
      </c>
      <c r="J1300" t="s">
        <v>78</v>
      </c>
      <c r="K1300">
        <v>46.42</v>
      </c>
      <c r="L1300">
        <v>47.33</v>
      </c>
      <c r="M1300">
        <v>1.0196036191296849</v>
      </c>
      <c r="N1300">
        <v>1.0196036191296849</v>
      </c>
      <c r="O1300" t="s">
        <v>6322</v>
      </c>
      <c r="P1300" t="s">
        <v>6323</v>
      </c>
      <c r="Q1300" t="s">
        <v>7404</v>
      </c>
      <c r="R1300">
        <v>2</v>
      </c>
      <c r="S1300">
        <v>2</v>
      </c>
    </row>
    <row r="1301" spans="1:19" hidden="1" x14ac:dyDescent="0.3">
      <c r="A1301" t="s">
        <v>3563</v>
      </c>
      <c r="B1301" t="s">
        <v>3564</v>
      </c>
      <c r="C1301" t="s">
        <v>6622</v>
      </c>
      <c r="D1301" t="s">
        <v>3011</v>
      </c>
      <c r="E1301" t="s">
        <v>233</v>
      </c>
      <c r="F1301" t="s">
        <v>30</v>
      </c>
      <c r="G1301" s="6">
        <v>45838</v>
      </c>
      <c r="H1301">
        <v>2025</v>
      </c>
      <c r="I1301" t="s">
        <v>44</v>
      </c>
      <c r="J1301" t="s">
        <v>244</v>
      </c>
      <c r="K1301">
        <v>76</v>
      </c>
      <c r="L1301">
        <v>86</v>
      </c>
      <c r="M1301">
        <v>1</v>
      </c>
      <c r="N1301">
        <v>1</v>
      </c>
      <c r="O1301" t="s">
        <v>31</v>
      </c>
      <c r="P1301" t="s">
        <v>31</v>
      </c>
      <c r="Q1301" t="s">
        <v>7405</v>
      </c>
      <c r="R1301">
        <v>0</v>
      </c>
      <c r="S1301">
        <v>0</v>
      </c>
    </row>
    <row r="1302" spans="1:19" hidden="1" x14ac:dyDescent="0.3">
      <c r="A1302" t="s">
        <v>3568</v>
      </c>
      <c r="B1302" t="s">
        <v>3569</v>
      </c>
      <c r="E1302" t="s">
        <v>233</v>
      </c>
      <c r="F1302" t="s">
        <v>30</v>
      </c>
      <c r="G1302" s="6">
        <v>45291</v>
      </c>
      <c r="H1302" t="s">
        <v>6811</v>
      </c>
      <c r="I1302" t="s">
        <v>57</v>
      </c>
      <c r="J1302" t="s">
        <v>47</v>
      </c>
      <c r="K1302">
        <v>100</v>
      </c>
      <c r="L1302">
        <v>96.736666666666665</v>
      </c>
      <c r="M1302">
        <v>0.9673666666666666</v>
      </c>
      <c r="N1302">
        <v>0.9673666666666666</v>
      </c>
      <c r="O1302" t="s">
        <v>102</v>
      </c>
      <c r="P1302" t="s">
        <v>7406</v>
      </c>
      <c r="Q1302" t="s">
        <v>3572</v>
      </c>
      <c r="R1302">
        <v>2</v>
      </c>
      <c r="S1302">
        <v>2</v>
      </c>
    </row>
    <row r="1303" spans="1:19" hidden="1" x14ac:dyDescent="0.3">
      <c r="A1303" t="s">
        <v>3573</v>
      </c>
      <c r="B1303" t="s">
        <v>3574</v>
      </c>
      <c r="C1303" t="s">
        <v>6622</v>
      </c>
      <c r="E1303" t="s">
        <v>233</v>
      </c>
      <c r="F1303" t="s">
        <v>30</v>
      </c>
      <c r="G1303" s="6">
        <v>45291</v>
      </c>
      <c r="H1303" t="s">
        <v>6811</v>
      </c>
      <c r="I1303" t="s">
        <v>57</v>
      </c>
      <c r="J1303" t="s">
        <v>47</v>
      </c>
      <c r="K1303">
        <v>100</v>
      </c>
      <c r="L1303">
        <v>102.52</v>
      </c>
      <c r="M1303">
        <v>1.0251999999999999</v>
      </c>
      <c r="N1303">
        <v>1.0251999999999999</v>
      </c>
      <c r="O1303" t="s">
        <v>102</v>
      </c>
      <c r="P1303" t="s">
        <v>7407</v>
      </c>
      <c r="Q1303" t="s">
        <v>3577</v>
      </c>
      <c r="R1303">
        <v>2</v>
      </c>
      <c r="S1303">
        <v>2</v>
      </c>
    </row>
    <row r="1304" spans="1:19" hidden="1" x14ac:dyDescent="0.3">
      <c r="A1304" t="s">
        <v>3573</v>
      </c>
      <c r="B1304" t="s">
        <v>3574</v>
      </c>
      <c r="C1304" t="s">
        <v>6622</v>
      </c>
      <c r="D1304" t="s">
        <v>129</v>
      </c>
      <c r="E1304" t="s">
        <v>233</v>
      </c>
      <c r="F1304" t="s">
        <v>30</v>
      </c>
      <c r="G1304" s="6">
        <v>45657</v>
      </c>
      <c r="H1304" t="s">
        <v>6816</v>
      </c>
      <c r="I1304" t="s">
        <v>57</v>
      </c>
      <c r="J1304" t="s">
        <v>78</v>
      </c>
      <c r="K1304">
        <v>100</v>
      </c>
      <c r="L1304">
        <v>64.023333333333326</v>
      </c>
      <c r="M1304">
        <v>0.64023333333333321</v>
      </c>
      <c r="N1304">
        <v>0.64023333333333321</v>
      </c>
      <c r="O1304" t="s">
        <v>102</v>
      </c>
      <c r="P1304" t="s">
        <v>7408</v>
      </c>
      <c r="Q1304" t="s">
        <v>3581</v>
      </c>
      <c r="R1304">
        <v>2</v>
      </c>
      <c r="S1304">
        <v>2</v>
      </c>
    </row>
    <row r="1305" spans="1:19" hidden="1" x14ac:dyDescent="0.3">
      <c r="A1305" t="s">
        <v>3573</v>
      </c>
      <c r="B1305" t="s">
        <v>3574</v>
      </c>
      <c r="C1305" t="s">
        <v>6622</v>
      </c>
      <c r="D1305" t="s">
        <v>129</v>
      </c>
      <c r="E1305" t="s">
        <v>233</v>
      </c>
      <c r="F1305" t="s">
        <v>30</v>
      </c>
      <c r="G1305" s="6">
        <v>46022</v>
      </c>
      <c r="H1305" t="s">
        <v>6823</v>
      </c>
      <c r="I1305" t="s">
        <v>57</v>
      </c>
      <c r="J1305" t="s">
        <v>103</v>
      </c>
      <c r="K1305">
        <v>100</v>
      </c>
      <c r="L1305">
        <v>115.36</v>
      </c>
      <c r="M1305">
        <v>1.1536</v>
      </c>
      <c r="N1305">
        <v>1.1536</v>
      </c>
      <c r="O1305" t="s">
        <v>102</v>
      </c>
      <c r="P1305" t="s">
        <v>6328</v>
      </c>
      <c r="Q1305" t="s">
        <v>3588</v>
      </c>
      <c r="R1305">
        <v>2</v>
      </c>
      <c r="S1305">
        <v>2</v>
      </c>
    </row>
    <row r="1306" spans="1:19" hidden="1" x14ac:dyDescent="0.3">
      <c r="A1306" t="s">
        <v>3589</v>
      </c>
      <c r="B1306" t="s">
        <v>3590</v>
      </c>
      <c r="D1306" t="s">
        <v>309</v>
      </c>
      <c r="E1306" t="s">
        <v>233</v>
      </c>
      <c r="F1306" t="s">
        <v>30</v>
      </c>
      <c r="G1306" s="6">
        <v>45291</v>
      </c>
      <c r="H1306" t="s">
        <v>6811</v>
      </c>
      <c r="I1306" t="s">
        <v>57</v>
      </c>
      <c r="J1306" t="s">
        <v>47</v>
      </c>
      <c r="K1306">
        <v>75.400000000000006</v>
      </c>
      <c r="L1306">
        <v>73.734999999999999</v>
      </c>
      <c r="M1306">
        <v>0.97791777188328899</v>
      </c>
      <c r="N1306">
        <v>0.97791777188328899</v>
      </c>
      <c r="O1306" t="s">
        <v>7409</v>
      </c>
      <c r="P1306" t="s">
        <v>7410</v>
      </c>
      <c r="Q1306" t="s">
        <v>3592</v>
      </c>
      <c r="R1306">
        <v>2</v>
      </c>
      <c r="S1306">
        <v>2</v>
      </c>
    </row>
    <row r="1307" spans="1:19" hidden="1" x14ac:dyDescent="0.3">
      <c r="A1307" t="s">
        <v>3589</v>
      </c>
      <c r="B1307" t="s">
        <v>3590</v>
      </c>
      <c r="D1307" t="s">
        <v>309</v>
      </c>
      <c r="E1307" t="s">
        <v>233</v>
      </c>
      <c r="F1307" t="s">
        <v>30</v>
      </c>
      <c r="G1307" s="6">
        <v>45657</v>
      </c>
      <c r="H1307" t="s">
        <v>6816</v>
      </c>
      <c r="I1307" t="s">
        <v>57</v>
      </c>
      <c r="J1307" t="s">
        <v>78</v>
      </c>
      <c r="K1307">
        <v>72.38</v>
      </c>
      <c r="L1307">
        <v>70.209999999999994</v>
      </c>
      <c r="M1307">
        <v>0.97001934235976783</v>
      </c>
      <c r="N1307">
        <v>0.97001934235976783</v>
      </c>
      <c r="O1307" t="s">
        <v>6331</v>
      </c>
      <c r="P1307" t="s">
        <v>6136</v>
      </c>
      <c r="Q1307" t="s">
        <v>7411</v>
      </c>
      <c r="R1307">
        <v>2</v>
      </c>
      <c r="S1307">
        <v>2</v>
      </c>
    </row>
    <row r="1308" spans="1:19" hidden="1" x14ac:dyDescent="0.3">
      <c r="A1308" t="s">
        <v>3589</v>
      </c>
      <c r="B1308" t="s">
        <v>3590</v>
      </c>
      <c r="C1308" t="s">
        <v>3589</v>
      </c>
      <c r="D1308" t="s">
        <v>3590</v>
      </c>
      <c r="E1308" t="s">
        <v>3589</v>
      </c>
      <c r="F1308" t="s">
        <v>3590</v>
      </c>
      <c r="G1308" s="6">
        <v>45838</v>
      </c>
      <c r="H1308">
        <v>2025</v>
      </c>
      <c r="I1308" t="s">
        <v>44</v>
      </c>
      <c r="J1308" t="s">
        <v>244</v>
      </c>
      <c r="K1308">
        <v>58</v>
      </c>
      <c r="L1308">
        <v>54</v>
      </c>
      <c r="M1308">
        <v>0.93103448275862066</v>
      </c>
      <c r="N1308">
        <v>0.93103448275862066</v>
      </c>
      <c r="O1308" t="s">
        <v>31</v>
      </c>
      <c r="P1308" t="s">
        <v>31</v>
      </c>
      <c r="Q1308" t="s">
        <v>7412</v>
      </c>
      <c r="R1308">
        <v>0</v>
      </c>
      <c r="S1308">
        <v>0</v>
      </c>
    </row>
    <row r="1309" spans="1:19" hidden="1" x14ac:dyDescent="0.3">
      <c r="A1309" t="s">
        <v>3594</v>
      </c>
      <c r="B1309" t="s">
        <v>3595</v>
      </c>
      <c r="D1309" t="s">
        <v>299</v>
      </c>
      <c r="E1309" t="s">
        <v>233</v>
      </c>
      <c r="F1309" t="s">
        <v>30</v>
      </c>
      <c r="G1309" s="6">
        <v>45291</v>
      </c>
      <c r="H1309" t="s">
        <v>6811</v>
      </c>
      <c r="I1309" t="s">
        <v>57</v>
      </c>
      <c r="J1309" t="s">
        <v>47</v>
      </c>
      <c r="K1309">
        <v>65.930000000000007</v>
      </c>
      <c r="L1309">
        <v>77</v>
      </c>
      <c r="M1309">
        <v>1.1679053541635069</v>
      </c>
      <c r="N1309">
        <v>1.1679053541635069</v>
      </c>
      <c r="O1309" t="s">
        <v>7413</v>
      </c>
      <c r="P1309" t="s">
        <v>4331</v>
      </c>
      <c r="Q1309" t="s">
        <v>3597</v>
      </c>
      <c r="R1309">
        <v>2</v>
      </c>
      <c r="S1309">
        <v>2</v>
      </c>
    </row>
    <row r="1310" spans="1:19" hidden="1" x14ac:dyDescent="0.3">
      <c r="A1310" t="s">
        <v>3594</v>
      </c>
      <c r="B1310" t="s">
        <v>3595</v>
      </c>
      <c r="D1310" t="s">
        <v>299</v>
      </c>
      <c r="E1310" t="s">
        <v>233</v>
      </c>
      <c r="F1310" t="s">
        <v>30</v>
      </c>
      <c r="G1310" s="6">
        <v>45657</v>
      </c>
      <c r="H1310" t="s">
        <v>6816</v>
      </c>
      <c r="I1310" t="s">
        <v>57</v>
      </c>
      <c r="J1310" t="s">
        <v>78</v>
      </c>
      <c r="K1310">
        <v>23.26</v>
      </c>
      <c r="L1310">
        <v>25.92</v>
      </c>
      <c r="M1310">
        <v>1.114359415305245</v>
      </c>
      <c r="N1310">
        <v>1.114359415305245</v>
      </c>
      <c r="O1310" t="s">
        <v>6333</v>
      </c>
      <c r="P1310" t="s">
        <v>6334</v>
      </c>
      <c r="Q1310" t="s">
        <v>7414</v>
      </c>
      <c r="R1310">
        <v>2</v>
      </c>
      <c r="S1310">
        <v>2</v>
      </c>
    </row>
    <row r="1311" spans="1:19" hidden="1" x14ac:dyDescent="0.3">
      <c r="A1311" t="s">
        <v>3594</v>
      </c>
      <c r="B1311" t="s">
        <v>3595</v>
      </c>
      <c r="C1311" t="s">
        <v>6622</v>
      </c>
      <c r="D1311" t="s">
        <v>299</v>
      </c>
      <c r="E1311" t="s">
        <v>233</v>
      </c>
      <c r="F1311" t="s">
        <v>30</v>
      </c>
      <c r="G1311" s="6">
        <v>45838</v>
      </c>
      <c r="H1311">
        <v>2025</v>
      </c>
      <c r="I1311" t="s">
        <v>44</v>
      </c>
      <c r="J1311" t="s">
        <v>244</v>
      </c>
      <c r="K1311">
        <v>23</v>
      </c>
      <c r="L1311">
        <v>31</v>
      </c>
      <c r="M1311">
        <v>1</v>
      </c>
      <c r="N1311">
        <v>1</v>
      </c>
      <c r="O1311" t="s">
        <v>31</v>
      </c>
      <c r="P1311" t="s">
        <v>31</v>
      </c>
      <c r="Q1311" t="s">
        <v>7415</v>
      </c>
      <c r="R1311">
        <v>0</v>
      </c>
      <c r="S1311">
        <v>0</v>
      </c>
    </row>
    <row r="1312" spans="1:19" hidden="1" x14ac:dyDescent="0.3">
      <c r="A1312" t="s">
        <v>3599</v>
      </c>
      <c r="B1312" t="s">
        <v>3600</v>
      </c>
      <c r="D1312" t="s">
        <v>2177</v>
      </c>
      <c r="E1312" t="s">
        <v>233</v>
      </c>
      <c r="F1312" t="s">
        <v>30</v>
      </c>
      <c r="G1312" s="6">
        <v>45291</v>
      </c>
      <c r="H1312" t="s">
        <v>6811</v>
      </c>
      <c r="I1312" t="s">
        <v>57</v>
      </c>
      <c r="J1312" t="s">
        <v>47</v>
      </c>
      <c r="K1312">
        <v>57.53</v>
      </c>
      <c r="L1312">
        <v>58.65</v>
      </c>
      <c r="M1312">
        <v>1.019468103598123</v>
      </c>
      <c r="N1312">
        <v>1.019468103598123</v>
      </c>
      <c r="O1312" t="s">
        <v>7416</v>
      </c>
      <c r="P1312" t="s">
        <v>7417</v>
      </c>
      <c r="Q1312" t="s">
        <v>3602</v>
      </c>
      <c r="R1312">
        <v>2</v>
      </c>
      <c r="S1312">
        <v>2</v>
      </c>
    </row>
    <row r="1313" spans="1:19" hidden="1" x14ac:dyDescent="0.3">
      <c r="A1313" t="s">
        <v>3599</v>
      </c>
      <c r="B1313" t="s">
        <v>3600</v>
      </c>
      <c r="D1313" t="s">
        <v>2177</v>
      </c>
      <c r="E1313" t="s">
        <v>233</v>
      </c>
      <c r="F1313" t="s">
        <v>30</v>
      </c>
      <c r="G1313" s="6">
        <v>45657</v>
      </c>
      <c r="H1313" t="s">
        <v>6816</v>
      </c>
      <c r="I1313" t="s">
        <v>57</v>
      </c>
      <c r="J1313" t="s">
        <v>78</v>
      </c>
      <c r="K1313">
        <v>64.03</v>
      </c>
      <c r="L1313">
        <v>66.25</v>
      </c>
      <c r="M1313">
        <v>1.034671247852569</v>
      </c>
      <c r="N1313">
        <v>1.034671247852569</v>
      </c>
      <c r="O1313" t="s">
        <v>6337</v>
      </c>
      <c r="P1313" t="s">
        <v>6338</v>
      </c>
      <c r="Q1313" t="s">
        <v>7418</v>
      </c>
      <c r="R1313">
        <v>2</v>
      </c>
      <c r="S1313">
        <v>2</v>
      </c>
    </row>
    <row r="1314" spans="1:19" hidden="1" x14ac:dyDescent="0.3">
      <c r="A1314" t="s">
        <v>3599</v>
      </c>
      <c r="B1314" t="s">
        <v>3600</v>
      </c>
      <c r="C1314" t="s">
        <v>6622</v>
      </c>
      <c r="D1314" t="s">
        <v>2177</v>
      </c>
      <c r="E1314" t="s">
        <v>233</v>
      </c>
      <c r="F1314" t="s">
        <v>30</v>
      </c>
      <c r="G1314" s="6">
        <v>45838</v>
      </c>
      <c r="H1314">
        <v>2025</v>
      </c>
      <c r="I1314" t="s">
        <v>44</v>
      </c>
      <c r="J1314" t="s">
        <v>244</v>
      </c>
      <c r="K1314">
        <v>56</v>
      </c>
      <c r="L1314">
        <v>64</v>
      </c>
      <c r="M1314">
        <v>1</v>
      </c>
      <c r="N1314">
        <v>1</v>
      </c>
      <c r="O1314" t="s">
        <v>31</v>
      </c>
      <c r="P1314" t="s">
        <v>31</v>
      </c>
      <c r="Q1314" t="s">
        <v>7419</v>
      </c>
      <c r="R1314">
        <v>0</v>
      </c>
      <c r="S1314">
        <v>0</v>
      </c>
    </row>
    <row r="1315" spans="1:19" hidden="1" x14ac:dyDescent="0.3">
      <c r="A1315" t="s">
        <v>3604</v>
      </c>
      <c r="B1315" t="s">
        <v>3605</v>
      </c>
      <c r="D1315" t="s">
        <v>283</v>
      </c>
      <c r="E1315" t="s">
        <v>233</v>
      </c>
      <c r="F1315" t="s">
        <v>30</v>
      </c>
      <c r="G1315" s="6">
        <v>45291</v>
      </c>
      <c r="H1315" t="s">
        <v>6811</v>
      </c>
      <c r="I1315" t="s">
        <v>57</v>
      </c>
      <c r="J1315" t="s">
        <v>47</v>
      </c>
      <c r="K1315">
        <v>78.914999999999992</v>
      </c>
      <c r="L1315">
        <v>73.86</v>
      </c>
      <c r="M1315">
        <v>0.93594373693214228</v>
      </c>
      <c r="N1315">
        <v>0.93594373693214228</v>
      </c>
      <c r="O1315" t="s">
        <v>7420</v>
      </c>
      <c r="P1315" t="s">
        <v>7151</v>
      </c>
      <c r="Q1315" t="s">
        <v>3607</v>
      </c>
      <c r="R1315">
        <v>2</v>
      </c>
      <c r="S1315">
        <v>2</v>
      </c>
    </row>
    <row r="1316" spans="1:19" hidden="1" x14ac:dyDescent="0.3">
      <c r="A1316" t="s">
        <v>3604</v>
      </c>
      <c r="B1316" t="s">
        <v>3605</v>
      </c>
      <c r="D1316" t="s">
        <v>283</v>
      </c>
      <c r="E1316" t="s">
        <v>233</v>
      </c>
      <c r="F1316" t="s">
        <v>30</v>
      </c>
      <c r="G1316" s="6">
        <v>45657</v>
      </c>
      <c r="H1316" t="s">
        <v>6816</v>
      </c>
      <c r="I1316" t="s">
        <v>57</v>
      </c>
      <c r="J1316" t="s">
        <v>78</v>
      </c>
      <c r="K1316">
        <v>58.34</v>
      </c>
      <c r="L1316">
        <v>45.5</v>
      </c>
      <c r="M1316">
        <v>0.77991086732944803</v>
      </c>
      <c r="N1316">
        <v>0.77991086732944803</v>
      </c>
      <c r="O1316" t="s">
        <v>6340</v>
      </c>
      <c r="P1316" t="s">
        <v>6341</v>
      </c>
      <c r="Q1316" t="s">
        <v>7421</v>
      </c>
      <c r="R1316">
        <v>2</v>
      </c>
      <c r="S1316">
        <v>2</v>
      </c>
    </row>
    <row r="1317" spans="1:19" hidden="1" x14ac:dyDescent="0.3">
      <c r="A1317" t="s">
        <v>3604</v>
      </c>
      <c r="B1317" t="s">
        <v>3605</v>
      </c>
      <c r="C1317" t="s">
        <v>6622</v>
      </c>
      <c r="D1317" t="s">
        <v>283</v>
      </c>
      <c r="E1317" t="s">
        <v>233</v>
      </c>
      <c r="F1317" t="s">
        <v>30</v>
      </c>
      <c r="G1317" s="6">
        <v>45838</v>
      </c>
      <c r="H1317">
        <v>2025</v>
      </c>
      <c r="I1317" t="s">
        <v>44</v>
      </c>
      <c r="J1317" t="s">
        <v>244</v>
      </c>
      <c r="K1317">
        <v>39</v>
      </c>
      <c r="L1317">
        <v>42</v>
      </c>
      <c r="M1317">
        <v>1</v>
      </c>
      <c r="N1317">
        <v>1</v>
      </c>
      <c r="O1317" t="s">
        <v>31</v>
      </c>
      <c r="P1317" t="s">
        <v>31</v>
      </c>
      <c r="Q1317" t="s">
        <v>7422</v>
      </c>
      <c r="R1317">
        <v>0</v>
      </c>
      <c r="S1317">
        <v>0</v>
      </c>
    </row>
    <row r="1318" spans="1:19" hidden="1" x14ac:dyDescent="0.3">
      <c r="A1318" t="s">
        <v>3609</v>
      </c>
      <c r="B1318" t="s">
        <v>3610</v>
      </c>
      <c r="D1318" t="s">
        <v>129</v>
      </c>
      <c r="E1318" t="s">
        <v>233</v>
      </c>
      <c r="F1318" t="s">
        <v>30</v>
      </c>
      <c r="G1318" s="6">
        <v>45291</v>
      </c>
      <c r="H1318" t="s">
        <v>6811</v>
      </c>
      <c r="I1318" t="s">
        <v>57</v>
      </c>
      <c r="J1318" t="s">
        <v>47</v>
      </c>
      <c r="K1318">
        <v>69.685000000000002</v>
      </c>
      <c r="L1318">
        <v>70.575000000000003</v>
      </c>
      <c r="M1318">
        <v>1.012771758628112</v>
      </c>
      <c r="N1318">
        <v>1.012771758628112</v>
      </c>
      <c r="O1318" t="s">
        <v>7423</v>
      </c>
      <c r="P1318" t="s">
        <v>7424</v>
      </c>
      <c r="Q1318" t="s">
        <v>3612</v>
      </c>
      <c r="R1318">
        <v>2</v>
      </c>
      <c r="S1318">
        <v>2</v>
      </c>
    </row>
    <row r="1319" spans="1:19" hidden="1" x14ac:dyDescent="0.3">
      <c r="A1319" t="s">
        <v>3609</v>
      </c>
      <c r="B1319" t="s">
        <v>3610</v>
      </c>
      <c r="D1319" t="s">
        <v>129</v>
      </c>
      <c r="E1319" t="s">
        <v>233</v>
      </c>
      <c r="F1319" t="s">
        <v>30</v>
      </c>
      <c r="G1319" s="6">
        <v>45657</v>
      </c>
      <c r="H1319" t="s">
        <v>6816</v>
      </c>
      <c r="I1319" t="s">
        <v>57</v>
      </c>
      <c r="J1319" t="s">
        <v>78</v>
      </c>
      <c r="K1319">
        <v>58.4</v>
      </c>
      <c r="L1319">
        <v>53.96</v>
      </c>
      <c r="M1319">
        <v>0.92397260273972603</v>
      </c>
      <c r="N1319">
        <v>0.92397260273972603</v>
      </c>
      <c r="O1319" t="s">
        <v>6344</v>
      </c>
      <c r="P1319" t="s">
        <v>6345</v>
      </c>
      <c r="Q1319" t="s">
        <v>7425</v>
      </c>
      <c r="R1319">
        <v>2</v>
      </c>
      <c r="S1319">
        <v>2</v>
      </c>
    </row>
    <row r="1320" spans="1:19" hidden="1" x14ac:dyDescent="0.3">
      <c r="A1320" t="s">
        <v>3609</v>
      </c>
      <c r="B1320" t="s">
        <v>3610</v>
      </c>
      <c r="C1320" t="s">
        <v>6622</v>
      </c>
      <c r="D1320" t="s">
        <v>129</v>
      </c>
      <c r="E1320" t="s">
        <v>233</v>
      </c>
      <c r="F1320" t="s">
        <v>30</v>
      </c>
      <c r="G1320" s="6">
        <v>45838</v>
      </c>
      <c r="H1320">
        <v>2025</v>
      </c>
      <c r="I1320" t="s">
        <v>44</v>
      </c>
      <c r="J1320" t="s">
        <v>244</v>
      </c>
      <c r="K1320">
        <v>68.72</v>
      </c>
      <c r="L1320">
        <v>68.39</v>
      </c>
      <c r="M1320">
        <v>0.99519790454016299</v>
      </c>
      <c r="N1320">
        <v>0.99519790454016299</v>
      </c>
      <c r="O1320" t="s">
        <v>31</v>
      </c>
      <c r="P1320" t="s">
        <v>31</v>
      </c>
      <c r="Q1320" t="s">
        <v>7426</v>
      </c>
      <c r="R1320">
        <v>0</v>
      </c>
      <c r="S1320">
        <v>0</v>
      </c>
    </row>
    <row r="1321" spans="1:19" hidden="1" x14ac:dyDescent="0.3">
      <c r="A1321" t="s">
        <v>3614</v>
      </c>
      <c r="B1321" t="s">
        <v>3615</v>
      </c>
      <c r="D1321" t="s">
        <v>3616</v>
      </c>
      <c r="E1321" t="s">
        <v>233</v>
      </c>
      <c r="F1321" t="s">
        <v>30</v>
      </c>
      <c r="G1321" s="6">
        <v>45657</v>
      </c>
      <c r="H1321" t="s">
        <v>6816</v>
      </c>
      <c r="I1321" t="s">
        <v>57</v>
      </c>
      <c r="J1321" t="s">
        <v>78</v>
      </c>
      <c r="K1321">
        <v>44.68</v>
      </c>
      <c r="L1321">
        <v>25</v>
      </c>
      <c r="M1321">
        <v>0.55953446732318712</v>
      </c>
      <c r="N1321">
        <v>0.55953446732318712</v>
      </c>
      <c r="O1321" t="s">
        <v>6346</v>
      </c>
      <c r="P1321" t="s">
        <v>5588</v>
      </c>
      <c r="Q1321" t="s">
        <v>7427</v>
      </c>
      <c r="R1321">
        <v>2</v>
      </c>
      <c r="S1321">
        <v>2</v>
      </c>
    </row>
    <row r="1322" spans="1:19" hidden="1" x14ac:dyDescent="0.3">
      <c r="A1322" t="s">
        <v>3614</v>
      </c>
      <c r="B1322" t="s">
        <v>3615</v>
      </c>
      <c r="C1322" t="s">
        <v>6622</v>
      </c>
      <c r="D1322" t="s">
        <v>3616</v>
      </c>
      <c r="E1322" t="s">
        <v>233</v>
      </c>
      <c r="F1322" t="s">
        <v>30</v>
      </c>
      <c r="G1322" s="6">
        <v>45838</v>
      </c>
      <c r="H1322">
        <v>2025</v>
      </c>
      <c r="I1322" t="s">
        <v>44</v>
      </c>
      <c r="J1322" t="s">
        <v>244</v>
      </c>
      <c r="K1322">
        <v>57</v>
      </c>
      <c r="L1322">
        <v>58</v>
      </c>
      <c r="M1322">
        <v>1</v>
      </c>
      <c r="N1322">
        <v>1</v>
      </c>
      <c r="O1322" t="s">
        <v>31</v>
      </c>
      <c r="P1322" t="s">
        <v>31</v>
      </c>
      <c r="Q1322" t="s">
        <v>7428</v>
      </c>
      <c r="R1322">
        <v>0</v>
      </c>
      <c r="S1322">
        <v>0</v>
      </c>
    </row>
    <row r="1323" spans="1:19" hidden="1" x14ac:dyDescent="0.3">
      <c r="A1323" t="s">
        <v>3618</v>
      </c>
      <c r="B1323" t="s">
        <v>3619</v>
      </c>
      <c r="D1323" t="s">
        <v>3437</v>
      </c>
      <c r="E1323" t="s">
        <v>222</v>
      </c>
      <c r="F1323" t="s">
        <v>30</v>
      </c>
      <c r="G1323" s="6">
        <v>45291</v>
      </c>
      <c r="H1323" t="s">
        <v>6811</v>
      </c>
      <c r="I1323" t="s">
        <v>57</v>
      </c>
      <c r="J1323" t="s">
        <v>47</v>
      </c>
      <c r="K1323">
        <v>100636</v>
      </c>
      <c r="L1323">
        <v>138100.5</v>
      </c>
      <c r="M1323">
        <v>1.3</v>
      </c>
      <c r="N1323">
        <v>1.372277316268532</v>
      </c>
      <c r="O1323" t="s">
        <v>7429</v>
      </c>
      <c r="P1323" t="s">
        <v>7430</v>
      </c>
      <c r="Q1323" t="s">
        <v>3621</v>
      </c>
      <c r="R1323">
        <v>2</v>
      </c>
      <c r="S1323">
        <v>2</v>
      </c>
    </row>
    <row r="1324" spans="1:19" hidden="1" x14ac:dyDescent="0.3">
      <c r="A1324" t="s">
        <v>3618</v>
      </c>
      <c r="B1324" t="s">
        <v>3619</v>
      </c>
      <c r="D1324" t="s">
        <v>3437</v>
      </c>
      <c r="E1324" t="s">
        <v>222</v>
      </c>
      <c r="F1324" t="s">
        <v>30</v>
      </c>
      <c r="G1324" s="6">
        <v>45657</v>
      </c>
      <c r="H1324" t="s">
        <v>6816</v>
      </c>
      <c r="I1324" t="s">
        <v>57</v>
      </c>
      <c r="J1324" t="s">
        <v>78</v>
      </c>
      <c r="K1324">
        <v>73571.5</v>
      </c>
      <c r="L1324">
        <v>88930.72</v>
      </c>
      <c r="M1324">
        <v>1.2087658944020441</v>
      </c>
      <c r="N1324">
        <v>1.2087658944020441</v>
      </c>
      <c r="O1324" t="s">
        <v>7431</v>
      </c>
      <c r="P1324" t="s">
        <v>7432</v>
      </c>
      <c r="Q1324" t="s">
        <v>3623</v>
      </c>
      <c r="R1324">
        <v>2</v>
      </c>
      <c r="S1324">
        <v>2</v>
      </c>
    </row>
    <row r="1325" spans="1:19" hidden="1" x14ac:dyDescent="0.3">
      <c r="A1325" t="s">
        <v>3624</v>
      </c>
      <c r="B1325" t="s">
        <v>3625</v>
      </c>
      <c r="C1325" t="s">
        <v>6622</v>
      </c>
      <c r="D1325" t="s">
        <v>3437</v>
      </c>
      <c r="E1325" t="s">
        <v>222</v>
      </c>
      <c r="F1325" t="s">
        <v>30</v>
      </c>
      <c r="G1325" s="6">
        <v>45291</v>
      </c>
      <c r="H1325" t="s">
        <v>6811</v>
      </c>
      <c r="I1325" t="s">
        <v>57</v>
      </c>
      <c r="J1325" t="s">
        <v>47</v>
      </c>
      <c r="K1325">
        <v>11.1</v>
      </c>
      <c r="L1325">
        <v>11.505000000000001</v>
      </c>
      <c r="M1325">
        <v>1.036486486486486</v>
      </c>
      <c r="N1325">
        <v>1.036486486486486</v>
      </c>
      <c r="O1325" t="s">
        <v>7433</v>
      </c>
      <c r="P1325" t="s">
        <v>7102</v>
      </c>
      <c r="Q1325" t="s">
        <v>3627</v>
      </c>
      <c r="R1325">
        <v>2</v>
      </c>
      <c r="S1325">
        <v>2</v>
      </c>
    </row>
    <row r="1326" spans="1:19" hidden="1" x14ac:dyDescent="0.3">
      <c r="A1326" t="s">
        <v>3624</v>
      </c>
      <c r="B1326" t="s">
        <v>3625</v>
      </c>
      <c r="C1326" t="s">
        <v>6622</v>
      </c>
      <c r="D1326" t="s">
        <v>3437</v>
      </c>
      <c r="E1326" t="s">
        <v>222</v>
      </c>
      <c r="F1326" t="s">
        <v>30</v>
      </c>
      <c r="G1326" s="6">
        <v>45657</v>
      </c>
      <c r="H1326" t="s">
        <v>6816</v>
      </c>
      <c r="I1326" t="s">
        <v>57</v>
      </c>
      <c r="J1326" t="s">
        <v>78</v>
      </c>
      <c r="K1326">
        <v>8.629999999999999</v>
      </c>
      <c r="L1326">
        <v>8.4049999999999994</v>
      </c>
      <c r="M1326">
        <v>0.973928157589803</v>
      </c>
      <c r="N1326">
        <v>0.973928157589803</v>
      </c>
      <c r="O1326" t="s">
        <v>7434</v>
      </c>
      <c r="P1326" t="s">
        <v>6364</v>
      </c>
      <c r="Q1326" t="s">
        <v>3629</v>
      </c>
      <c r="R1326">
        <v>2</v>
      </c>
      <c r="S1326">
        <v>2</v>
      </c>
    </row>
    <row r="1327" spans="1:19" hidden="1" x14ac:dyDescent="0.3">
      <c r="A1327" t="s">
        <v>3624</v>
      </c>
      <c r="B1327" t="s">
        <v>3625</v>
      </c>
      <c r="C1327" t="s">
        <v>6622</v>
      </c>
      <c r="D1327" t="s">
        <v>3437</v>
      </c>
      <c r="E1327" t="s">
        <v>222</v>
      </c>
      <c r="F1327" t="s">
        <v>30</v>
      </c>
      <c r="G1327" s="6">
        <v>46022</v>
      </c>
      <c r="H1327" t="s">
        <v>6823</v>
      </c>
      <c r="I1327" t="s">
        <v>57</v>
      </c>
      <c r="J1327" t="s">
        <v>103</v>
      </c>
      <c r="K1327">
        <v>7.7549999999999999</v>
      </c>
      <c r="L1327">
        <v>8.0350000000000001</v>
      </c>
      <c r="M1327">
        <v>1.036105738233398</v>
      </c>
      <c r="N1327">
        <v>1.036105738233398</v>
      </c>
      <c r="O1327" t="s">
        <v>7435</v>
      </c>
      <c r="P1327" t="s">
        <v>7436</v>
      </c>
      <c r="Q1327" t="s">
        <v>3637</v>
      </c>
      <c r="R1327">
        <v>2</v>
      </c>
      <c r="S1327">
        <v>2</v>
      </c>
    </row>
    <row r="1328" spans="1:19" hidden="1" x14ac:dyDescent="0.3">
      <c r="A1328" t="s">
        <v>3638</v>
      </c>
      <c r="B1328" t="s">
        <v>3639</v>
      </c>
      <c r="C1328" t="s">
        <v>6622</v>
      </c>
      <c r="D1328" t="s">
        <v>3437</v>
      </c>
      <c r="E1328" t="s">
        <v>98</v>
      </c>
      <c r="F1328" t="s">
        <v>30</v>
      </c>
      <c r="G1328" s="6">
        <v>44926</v>
      </c>
      <c r="H1328" t="s">
        <v>6819</v>
      </c>
      <c r="I1328" t="s">
        <v>57</v>
      </c>
      <c r="J1328" t="s">
        <v>90</v>
      </c>
      <c r="K1328">
        <v>8.8000000000000007</v>
      </c>
      <c r="L1328">
        <v>7.8</v>
      </c>
      <c r="M1328">
        <v>0.88636363636363624</v>
      </c>
      <c r="N1328">
        <v>0.88636363636363624</v>
      </c>
      <c r="O1328" t="s">
        <v>6362</v>
      </c>
      <c r="P1328" t="s">
        <v>6363</v>
      </c>
      <c r="Q1328" t="s">
        <v>3640</v>
      </c>
      <c r="R1328">
        <v>2</v>
      </c>
      <c r="S1328">
        <v>2</v>
      </c>
    </row>
    <row r="1329" spans="1:19" hidden="1" x14ac:dyDescent="0.3">
      <c r="A1329" t="s">
        <v>3638</v>
      </c>
      <c r="B1329" t="s">
        <v>3639</v>
      </c>
      <c r="C1329" t="s">
        <v>6622</v>
      </c>
      <c r="D1329" t="s">
        <v>3437</v>
      </c>
      <c r="E1329" t="s">
        <v>98</v>
      </c>
      <c r="F1329" t="s">
        <v>30</v>
      </c>
      <c r="G1329" s="6">
        <v>45291</v>
      </c>
      <c r="H1329" t="s">
        <v>6811</v>
      </c>
      <c r="I1329" t="s">
        <v>57</v>
      </c>
      <c r="J1329" t="s">
        <v>47</v>
      </c>
      <c r="K1329">
        <v>8.4</v>
      </c>
      <c r="L1329">
        <v>7.9</v>
      </c>
      <c r="M1329">
        <v>0.94047619047619047</v>
      </c>
      <c r="N1329">
        <v>0.94047619047619047</v>
      </c>
      <c r="O1329" t="s">
        <v>6364</v>
      </c>
      <c r="P1329" t="s">
        <v>6365</v>
      </c>
      <c r="Q1329" t="s">
        <v>3641</v>
      </c>
      <c r="R1329">
        <v>2</v>
      </c>
      <c r="S1329">
        <v>2</v>
      </c>
    </row>
    <row r="1330" spans="1:19" hidden="1" x14ac:dyDescent="0.3">
      <c r="A1330" t="s">
        <v>3638</v>
      </c>
      <c r="B1330" t="s">
        <v>3639</v>
      </c>
      <c r="C1330" t="s">
        <v>6622</v>
      </c>
      <c r="D1330" t="s">
        <v>3437</v>
      </c>
      <c r="E1330" t="s">
        <v>98</v>
      </c>
      <c r="F1330" t="s">
        <v>30</v>
      </c>
      <c r="G1330" s="6">
        <v>45657</v>
      </c>
      <c r="H1330" t="s">
        <v>6816</v>
      </c>
      <c r="I1330" t="s">
        <v>57</v>
      </c>
      <c r="J1330" t="s">
        <v>78</v>
      </c>
      <c r="K1330">
        <v>8.3000000000000007</v>
      </c>
      <c r="L1330">
        <v>12.3</v>
      </c>
      <c r="M1330">
        <v>1.3</v>
      </c>
      <c r="N1330">
        <v>1.481927710843373</v>
      </c>
      <c r="O1330" t="s">
        <v>6366</v>
      </c>
      <c r="P1330" t="s">
        <v>3644</v>
      </c>
      <c r="Q1330" t="s">
        <v>3642</v>
      </c>
      <c r="R1330">
        <v>2</v>
      </c>
      <c r="S1330">
        <v>2</v>
      </c>
    </row>
    <row r="1331" spans="1:19" hidden="1" x14ac:dyDescent="0.3">
      <c r="A1331" t="s">
        <v>3638</v>
      </c>
      <c r="B1331" t="s">
        <v>3639</v>
      </c>
      <c r="C1331" t="s">
        <v>6622</v>
      </c>
      <c r="D1331" t="s">
        <v>3437</v>
      </c>
      <c r="E1331" t="s">
        <v>98</v>
      </c>
      <c r="F1331" t="s">
        <v>30</v>
      </c>
      <c r="G1331" s="6">
        <v>46022</v>
      </c>
      <c r="H1331" t="s">
        <v>6823</v>
      </c>
      <c r="I1331" t="s">
        <v>57</v>
      </c>
      <c r="J1331" t="s">
        <v>103</v>
      </c>
      <c r="K1331">
        <v>12.3</v>
      </c>
      <c r="L1331">
        <v>15.1</v>
      </c>
      <c r="M1331">
        <v>1.2276422764227639</v>
      </c>
      <c r="N1331">
        <v>1.2276422764227639</v>
      </c>
      <c r="O1331" t="s">
        <v>3644</v>
      </c>
      <c r="P1331" t="s">
        <v>3645</v>
      </c>
      <c r="Q1331" t="s">
        <v>3646</v>
      </c>
      <c r="R1331">
        <v>2</v>
      </c>
      <c r="S1331">
        <v>2</v>
      </c>
    </row>
    <row r="1332" spans="1:19" hidden="1" x14ac:dyDescent="0.3">
      <c r="A1332" t="s">
        <v>3647</v>
      </c>
      <c r="B1332" t="s">
        <v>3648</v>
      </c>
      <c r="C1332" t="s">
        <v>6622</v>
      </c>
      <c r="D1332" t="s">
        <v>3437</v>
      </c>
      <c r="E1332" t="s">
        <v>98</v>
      </c>
      <c r="F1332" t="s">
        <v>30</v>
      </c>
      <c r="G1332" s="6">
        <v>44926</v>
      </c>
      <c r="H1332" t="s">
        <v>6819</v>
      </c>
      <c r="I1332" t="s">
        <v>57</v>
      </c>
      <c r="J1332" t="s">
        <v>90</v>
      </c>
      <c r="K1332">
        <v>6.5</v>
      </c>
      <c r="L1332">
        <v>5</v>
      </c>
      <c r="M1332">
        <v>0.76923076923076927</v>
      </c>
      <c r="N1332">
        <v>0.76923076923076927</v>
      </c>
      <c r="O1332" t="s">
        <v>5938</v>
      </c>
      <c r="P1332" t="s">
        <v>823</v>
      </c>
      <c r="Q1332" t="s">
        <v>3649</v>
      </c>
      <c r="R1332">
        <v>2</v>
      </c>
      <c r="S1332">
        <v>2</v>
      </c>
    </row>
    <row r="1333" spans="1:19" hidden="1" x14ac:dyDescent="0.3">
      <c r="A1333" t="s">
        <v>3647</v>
      </c>
      <c r="B1333" t="s">
        <v>3648</v>
      </c>
      <c r="C1333" t="s">
        <v>6622</v>
      </c>
      <c r="D1333" t="s">
        <v>3437</v>
      </c>
      <c r="E1333" t="s">
        <v>98</v>
      </c>
      <c r="F1333" t="s">
        <v>30</v>
      </c>
      <c r="G1333" s="6">
        <v>45291</v>
      </c>
      <c r="H1333" t="s">
        <v>6811</v>
      </c>
      <c r="I1333" t="s">
        <v>57</v>
      </c>
      <c r="J1333" t="s">
        <v>47</v>
      </c>
      <c r="K1333">
        <v>6</v>
      </c>
      <c r="L1333">
        <v>6</v>
      </c>
      <c r="M1333">
        <v>1</v>
      </c>
      <c r="N1333">
        <v>1</v>
      </c>
      <c r="O1333" t="s">
        <v>5655</v>
      </c>
      <c r="P1333" t="s">
        <v>5655</v>
      </c>
      <c r="Q1333" t="s">
        <v>3650</v>
      </c>
      <c r="R1333">
        <v>2</v>
      </c>
      <c r="S1333">
        <v>2</v>
      </c>
    </row>
    <row r="1334" spans="1:19" hidden="1" x14ac:dyDescent="0.3">
      <c r="A1334" t="s">
        <v>3647</v>
      </c>
      <c r="B1334" t="s">
        <v>3648</v>
      </c>
      <c r="C1334" t="s">
        <v>6622</v>
      </c>
      <c r="D1334" t="s">
        <v>3437</v>
      </c>
      <c r="E1334" t="s">
        <v>98</v>
      </c>
      <c r="F1334" t="s">
        <v>30</v>
      </c>
      <c r="G1334" s="6">
        <v>45657</v>
      </c>
      <c r="H1334" t="s">
        <v>6816</v>
      </c>
      <c r="I1334" t="s">
        <v>57</v>
      </c>
      <c r="J1334" t="s">
        <v>78</v>
      </c>
      <c r="K1334">
        <v>7</v>
      </c>
      <c r="L1334">
        <v>9</v>
      </c>
      <c r="M1334">
        <v>1.285714285714286</v>
      </c>
      <c r="N1334">
        <v>1.285714285714286</v>
      </c>
      <c r="O1334" t="s">
        <v>5558</v>
      </c>
      <c r="P1334" t="s">
        <v>3653</v>
      </c>
      <c r="Q1334" t="s">
        <v>3651</v>
      </c>
      <c r="R1334">
        <v>2</v>
      </c>
      <c r="S1334">
        <v>2</v>
      </c>
    </row>
    <row r="1335" spans="1:19" hidden="1" x14ac:dyDescent="0.3">
      <c r="A1335" t="s">
        <v>3647</v>
      </c>
      <c r="B1335" t="s">
        <v>3652</v>
      </c>
      <c r="C1335" t="s">
        <v>6622</v>
      </c>
      <c r="D1335" t="s">
        <v>3437</v>
      </c>
      <c r="E1335" t="s">
        <v>98</v>
      </c>
      <c r="F1335" t="s">
        <v>30</v>
      </c>
      <c r="G1335" s="6">
        <v>46022</v>
      </c>
      <c r="H1335" t="s">
        <v>6823</v>
      </c>
      <c r="I1335" t="s">
        <v>57</v>
      </c>
      <c r="J1335" t="s">
        <v>103</v>
      </c>
      <c r="K1335">
        <v>9</v>
      </c>
      <c r="L1335">
        <v>11</v>
      </c>
      <c r="M1335">
        <v>1.2222222222222221</v>
      </c>
      <c r="N1335">
        <v>1.2222222222222221</v>
      </c>
      <c r="O1335" t="s">
        <v>3653</v>
      </c>
      <c r="P1335" t="s">
        <v>3654</v>
      </c>
      <c r="Q1335" t="s">
        <v>3655</v>
      </c>
      <c r="R1335">
        <v>2</v>
      </c>
      <c r="S1335">
        <v>2</v>
      </c>
    </row>
    <row r="1336" spans="1:19" hidden="1" x14ac:dyDescent="0.3">
      <c r="A1336" t="s">
        <v>3656</v>
      </c>
      <c r="B1336" t="s">
        <v>3657</v>
      </c>
      <c r="D1336" t="s">
        <v>2937</v>
      </c>
      <c r="E1336" t="s">
        <v>98</v>
      </c>
      <c r="F1336" t="s">
        <v>30</v>
      </c>
      <c r="G1336" s="6">
        <v>45291</v>
      </c>
      <c r="H1336" t="s">
        <v>6811</v>
      </c>
      <c r="I1336" t="s">
        <v>57</v>
      </c>
      <c r="J1336" t="s">
        <v>47</v>
      </c>
      <c r="K1336">
        <v>5500</v>
      </c>
      <c r="L1336">
        <v>5785</v>
      </c>
      <c r="M1336">
        <v>1.051818181818182</v>
      </c>
      <c r="N1336">
        <v>1.051818181818182</v>
      </c>
      <c r="O1336" t="s">
        <v>6367</v>
      </c>
      <c r="P1336" t="s">
        <v>6368</v>
      </c>
      <c r="Q1336" t="s">
        <v>3658</v>
      </c>
      <c r="R1336">
        <v>2</v>
      </c>
      <c r="S1336">
        <v>2</v>
      </c>
    </row>
    <row r="1337" spans="1:19" hidden="1" x14ac:dyDescent="0.3">
      <c r="A1337" t="s">
        <v>3656</v>
      </c>
      <c r="B1337" t="s">
        <v>3657</v>
      </c>
      <c r="D1337" t="s">
        <v>2937</v>
      </c>
      <c r="E1337" t="s">
        <v>222</v>
      </c>
      <c r="F1337" t="s">
        <v>30</v>
      </c>
      <c r="G1337" s="6">
        <v>45657</v>
      </c>
      <c r="H1337" t="s">
        <v>6816</v>
      </c>
      <c r="I1337" t="s">
        <v>57</v>
      </c>
      <c r="J1337" t="s">
        <v>78</v>
      </c>
      <c r="K1337">
        <v>100</v>
      </c>
      <c r="L1337">
        <v>112.69</v>
      </c>
      <c r="M1337">
        <v>1.1269</v>
      </c>
      <c r="N1337">
        <v>1.1269</v>
      </c>
      <c r="O1337" t="s">
        <v>102</v>
      </c>
      <c r="P1337" t="s">
        <v>7437</v>
      </c>
      <c r="Q1337" t="s">
        <v>3660</v>
      </c>
      <c r="R1337">
        <v>2</v>
      </c>
      <c r="S1337">
        <v>2</v>
      </c>
    </row>
    <row r="1338" spans="1:19" hidden="1" x14ac:dyDescent="0.3">
      <c r="A1338" t="s">
        <v>3661</v>
      </c>
      <c r="B1338" t="s">
        <v>3662</v>
      </c>
      <c r="C1338" t="s">
        <v>6681</v>
      </c>
      <c r="D1338" t="s">
        <v>165</v>
      </c>
      <c r="E1338" t="s">
        <v>222</v>
      </c>
      <c r="F1338" t="s">
        <v>30</v>
      </c>
      <c r="G1338" s="6">
        <v>45291</v>
      </c>
      <c r="H1338" t="s">
        <v>6811</v>
      </c>
      <c r="I1338" t="s">
        <v>57</v>
      </c>
      <c r="J1338" t="s">
        <v>47</v>
      </c>
      <c r="L1338">
        <v>89.64500000000001</v>
      </c>
      <c r="M1338">
        <v>0</v>
      </c>
      <c r="N1338">
        <v>0</v>
      </c>
      <c r="P1338" t="s">
        <v>7438</v>
      </c>
      <c r="Q1338" t="s">
        <v>3664</v>
      </c>
      <c r="R1338">
        <v>2</v>
      </c>
      <c r="S1338">
        <v>2</v>
      </c>
    </row>
    <row r="1339" spans="1:19" hidden="1" x14ac:dyDescent="0.3">
      <c r="A1339" t="s">
        <v>3661</v>
      </c>
      <c r="B1339" t="s">
        <v>3662</v>
      </c>
      <c r="C1339" t="s">
        <v>6681</v>
      </c>
      <c r="D1339" t="s">
        <v>165</v>
      </c>
      <c r="E1339" t="s">
        <v>222</v>
      </c>
      <c r="F1339" t="s">
        <v>30</v>
      </c>
      <c r="G1339" s="6">
        <v>45657</v>
      </c>
      <c r="H1339" t="s">
        <v>6816</v>
      </c>
      <c r="I1339" t="s">
        <v>57</v>
      </c>
      <c r="J1339" t="s">
        <v>78</v>
      </c>
      <c r="K1339">
        <v>85</v>
      </c>
      <c r="L1339">
        <v>77.055000000000007</v>
      </c>
      <c r="M1339">
        <v>0.90652941176470592</v>
      </c>
      <c r="N1339">
        <v>0.90652941176470592</v>
      </c>
      <c r="O1339" t="s">
        <v>2357</v>
      </c>
      <c r="P1339" t="s">
        <v>7439</v>
      </c>
      <c r="Q1339" t="s">
        <v>3666</v>
      </c>
      <c r="R1339">
        <v>2</v>
      </c>
      <c r="S1339">
        <v>2</v>
      </c>
    </row>
    <row r="1340" spans="1:19" hidden="1" x14ac:dyDescent="0.3">
      <c r="A1340" t="s">
        <v>3667</v>
      </c>
      <c r="B1340" t="s">
        <v>3668</v>
      </c>
      <c r="C1340" t="s">
        <v>6681</v>
      </c>
      <c r="D1340" t="s">
        <v>299</v>
      </c>
      <c r="E1340" t="s">
        <v>222</v>
      </c>
      <c r="F1340" t="s">
        <v>108</v>
      </c>
      <c r="G1340" s="6">
        <v>45291</v>
      </c>
      <c r="H1340" t="s">
        <v>6811</v>
      </c>
      <c r="I1340" t="s">
        <v>57</v>
      </c>
      <c r="J1340" t="s">
        <v>47</v>
      </c>
      <c r="K1340">
        <v>0.2</v>
      </c>
      <c r="L1340">
        <v>0.17</v>
      </c>
      <c r="M1340">
        <v>1.1764705882352939</v>
      </c>
      <c r="N1340">
        <v>1.1764705882352939</v>
      </c>
      <c r="O1340" t="s">
        <v>484</v>
      </c>
      <c r="P1340" t="s">
        <v>3745</v>
      </c>
      <c r="Q1340" t="s">
        <v>3670</v>
      </c>
      <c r="R1340">
        <v>2</v>
      </c>
      <c r="S1340">
        <v>2</v>
      </c>
    </row>
    <row r="1341" spans="1:19" hidden="1" x14ac:dyDescent="0.3">
      <c r="A1341" t="s">
        <v>3667</v>
      </c>
      <c r="B1341" t="s">
        <v>3668</v>
      </c>
      <c r="C1341" t="s">
        <v>6681</v>
      </c>
      <c r="D1341" t="s">
        <v>299</v>
      </c>
      <c r="E1341" t="s">
        <v>222</v>
      </c>
      <c r="F1341" t="s">
        <v>108</v>
      </c>
      <c r="G1341" s="6">
        <v>45657</v>
      </c>
      <c r="H1341" t="s">
        <v>6816</v>
      </c>
      <c r="I1341" t="s">
        <v>57</v>
      </c>
      <c r="J1341" t="s">
        <v>78</v>
      </c>
      <c r="K1341">
        <v>0.2</v>
      </c>
      <c r="L1341">
        <v>0.185</v>
      </c>
      <c r="M1341">
        <v>1.0810810810810809</v>
      </c>
      <c r="N1341">
        <v>1.0810810810810809</v>
      </c>
      <c r="O1341" t="s">
        <v>484</v>
      </c>
      <c r="P1341" t="s">
        <v>6848</v>
      </c>
      <c r="Q1341" t="s">
        <v>3672</v>
      </c>
      <c r="R1341">
        <v>2</v>
      </c>
      <c r="S1341">
        <v>2</v>
      </c>
    </row>
    <row r="1342" spans="1:19" hidden="1" x14ac:dyDescent="0.3">
      <c r="A1342" t="s">
        <v>3667</v>
      </c>
      <c r="B1342" t="s">
        <v>3668</v>
      </c>
      <c r="C1342" t="s">
        <v>6681</v>
      </c>
      <c r="D1342" t="s">
        <v>299</v>
      </c>
      <c r="E1342" t="s">
        <v>222</v>
      </c>
      <c r="F1342" t="s">
        <v>108</v>
      </c>
      <c r="G1342" s="6">
        <v>46022</v>
      </c>
      <c r="H1342" t="s">
        <v>6823</v>
      </c>
      <c r="I1342" t="s">
        <v>57</v>
      </c>
      <c r="J1342" t="s">
        <v>103</v>
      </c>
      <c r="K1342">
        <v>0.2</v>
      </c>
      <c r="L1342">
        <v>0.14499999999999999</v>
      </c>
      <c r="M1342">
        <v>1.3</v>
      </c>
      <c r="N1342">
        <v>1.3793103448275861</v>
      </c>
      <c r="O1342" t="s">
        <v>484</v>
      </c>
      <c r="P1342" t="s">
        <v>3677</v>
      </c>
      <c r="Q1342" t="s">
        <v>3678</v>
      </c>
      <c r="R1342">
        <v>2</v>
      </c>
      <c r="S1342">
        <v>2</v>
      </c>
    </row>
    <row r="1343" spans="1:19" hidden="1" x14ac:dyDescent="0.3">
      <c r="A1343" t="s">
        <v>3679</v>
      </c>
      <c r="B1343" t="s">
        <v>3680</v>
      </c>
      <c r="C1343" t="s">
        <v>6681</v>
      </c>
      <c r="D1343" t="s">
        <v>299</v>
      </c>
      <c r="E1343" t="s">
        <v>222</v>
      </c>
      <c r="F1343" t="s">
        <v>108</v>
      </c>
      <c r="G1343" s="6">
        <v>45291</v>
      </c>
      <c r="H1343" t="s">
        <v>6811</v>
      </c>
      <c r="I1343" t="s">
        <v>57</v>
      </c>
      <c r="J1343" t="s">
        <v>47</v>
      </c>
      <c r="K1343">
        <v>40</v>
      </c>
      <c r="L1343">
        <v>36.22</v>
      </c>
      <c r="M1343">
        <v>1.104362230811706</v>
      </c>
      <c r="N1343">
        <v>1.104362230811706</v>
      </c>
      <c r="O1343" t="s">
        <v>1620</v>
      </c>
      <c r="P1343" t="s">
        <v>7440</v>
      </c>
      <c r="Q1343" t="s">
        <v>3682</v>
      </c>
      <c r="R1343">
        <v>2</v>
      </c>
      <c r="S1343">
        <v>2</v>
      </c>
    </row>
    <row r="1344" spans="1:19" hidden="1" x14ac:dyDescent="0.3">
      <c r="A1344" t="s">
        <v>3679</v>
      </c>
      <c r="B1344" t="s">
        <v>3680</v>
      </c>
      <c r="C1344" t="s">
        <v>6681</v>
      </c>
      <c r="D1344" t="s">
        <v>299</v>
      </c>
      <c r="E1344" t="s">
        <v>222</v>
      </c>
      <c r="F1344" t="s">
        <v>108</v>
      </c>
      <c r="G1344" s="6">
        <v>45657</v>
      </c>
      <c r="H1344" t="s">
        <v>6816</v>
      </c>
      <c r="I1344" t="s">
        <v>57</v>
      </c>
      <c r="J1344" t="s">
        <v>78</v>
      </c>
      <c r="K1344">
        <v>40</v>
      </c>
      <c r="L1344">
        <v>35.11</v>
      </c>
      <c r="M1344">
        <v>1.1392765593847911</v>
      </c>
      <c r="N1344">
        <v>1.1392765593847911</v>
      </c>
      <c r="O1344" t="s">
        <v>1620</v>
      </c>
      <c r="P1344" t="s">
        <v>7441</v>
      </c>
      <c r="Q1344" t="s">
        <v>3684</v>
      </c>
      <c r="R1344">
        <v>2</v>
      </c>
      <c r="S1344">
        <v>2</v>
      </c>
    </row>
    <row r="1345" spans="1:19" hidden="1" x14ac:dyDescent="0.3">
      <c r="A1345" t="s">
        <v>3679</v>
      </c>
      <c r="B1345" t="s">
        <v>3680</v>
      </c>
      <c r="C1345" t="s">
        <v>6681</v>
      </c>
      <c r="D1345" t="s">
        <v>299</v>
      </c>
      <c r="E1345" t="s">
        <v>222</v>
      </c>
      <c r="F1345" t="s">
        <v>108</v>
      </c>
      <c r="G1345" s="6">
        <v>46022</v>
      </c>
      <c r="H1345" t="s">
        <v>6823</v>
      </c>
      <c r="I1345" t="s">
        <v>57</v>
      </c>
      <c r="J1345" t="s">
        <v>103</v>
      </c>
      <c r="K1345">
        <v>2</v>
      </c>
      <c r="L1345">
        <v>33</v>
      </c>
      <c r="M1345">
        <v>6.0606060606060608E-2</v>
      </c>
      <c r="N1345">
        <v>6.0606060606060608E-2</v>
      </c>
      <c r="O1345" t="s">
        <v>569</v>
      </c>
      <c r="P1345" t="s">
        <v>1613</v>
      </c>
      <c r="Q1345" t="s">
        <v>3690</v>
      </c>
      <c r="R1345">
        <v>2</v>
      </c>
      <c r="S1345">
        <v>2</v>
      </c>
    </row>
    <row r="1346" spans="1:19" hidden="1" x14ac:dyDescent="0.3">
      <c r="A1346" t="s">
        <v>3691</v>
      </c>
      <c r="B1346" t="s">
        <v>3692</v>
      </c>
      <c r="C1346" t="s">
        <v>6681</v>
      </c>
      <c r="D1346" t="s">
        <v>299</v>
      </c>
      <c r="E1346" t="s">
        <v>222</v>
      </c>
      <c r="F1346" t="s">
        <v>108</v>
      </c>
      <c r="G1346" s="6">
        <v>45291</v>
      </c>
      <c r="H1346" t="s">
        <v>6811</v>
      </c>
      <c r="I1346" t="s">
        <v>57</v>
      </c>
      <c r="J1346" t="s">
        <v>47</v>
      </c>
      <c r="K1346">
        <v>1.52</v>
      </c>
      <c r="L1346">
        <v>1.06</v>
      </c>
      <c r="M1346">
        <v>1.3</v>
      </c>
      <c r="N1346">
        <v>1.4339622641509431</v>
      </c>
      <c r="O1346" t="s">
        <v>7442</v>
      </c>
      <c r="P1346" t="s">
        <v>7443</v>
      </c>
      <c r="Q1346" t="s">
        <v>3694</v>
      </c>
      <c r="R1346">
        <v>2</v>
      </c>
      <c r="S1346">
        <v>2</v>
      </c>
    </row>
    <row r="1347" spans="1:19" hidden="1" x14ac:dyDescent="0.3">
      <c r="A1347" t="s">
        <v>3691</v>
      </c>
      <c r="B1347" t="s">
        <v>3692</v>
      </c>
      <c r="C1347" t="s">
        <v>6681</v>
      </c>
      <c r="D1347" t="s">
        <v>299</v>
      </c>
      <c r="E1347" t="s">
        <v>222</v>
      </c>
      <c r="F1347" t="s">
        <v>108</v>
      </c>
      <c r="G1347" s="6">
        <v>45657</v>
      </c>
      <c r="H1347" t="s">
        <v>6816</v>
      </c>
      <c r="I1347" t="s">
        <v>57</v>
      </c>
      <c r="J1347" t="s">
        <v>78</v>
      </c>
      <c r="K1347">
        <v>1.52</v>
      </c>
      <c r="L1347">
        <v>1.33</v>
      </c>
      <c r="M1347">
        <v>1.142857142857143</v>
      </c>
      <c r="N1347">
        <v>1.142857142857143</v>
      </c>
      <c r="O1347" t="s">
        <v>7442</v>
      </c>
      <c r="P1347" t="s">
        <v>7444</v>
      </c>
      <c r="Q1347" t="s">
        <v>3696</v>
      </c>
      <c r="R1347">
        <v>2</v>
      </c>
      <c r="S1347">
        <v>2</v>
      </c>
    </row>
    <row r="1348" spans="1:19" hidden="1" x14ac:dyDescent="0.3">
      <c r="A1348" t="s">
        <v>3691</v>
      </c>
      <c r="B1348" t="s">
        <v>3692</v>
      </c>
      <c r="C1348" t="s">
        <v>6681</v>
      </c>
      <c r="D1348" t="s">
        <v>299</v>
      </c>
      <c r="E1348" t="s">
        <v>222</v>
      </c>
      <c r="F1348" t="s">
        <v>108</v>
      </c>
      <c r="G1348" s="6">
        <v>46022</v>
      </c>
      <c r="H1348" t="s">
        <v>6823</v>
      </c>
      <c r="I1348" t="s">
        <v>57</v>
      </c>
      <c r="J1348" t="s">
        <v>103</v>
      </c>
      <c r="K1348">
        <v>1.52</v>
      </c>
      <c r="L1348">
        <v>0.59</v>
      </c>
      <c r="M1348">
        <v>1.3</v>
      </c>
      <c r="N1348">
        <v>2.5762711864406782</v>
      </c>
      <c r="O1348" t="s">
        <v>7442</v>
      </c>
      <c r="P1348" t="s">
        <v>3699</v>
      </c>
      <c r="Q1348" t="s">
        <v>3701</v>
      </c>
      <c r="R1348">
        <v>2</v>
      </c>
      <c r="S1348">
        <v>2</v>
      </c>
    </row>
    <row r="1349" spans="1:19" hidden="1" x14ac:dyDescent="0.3">
      <c r="A1349" t="s">
        <v>3702</v>
      </c>
      <c r="B1349" t="s">
        <v>3703</v>
      </c>
      <c r="C1349" t="s">
        <v>6622</v>
      </c>
      <c r="D1349" t="s">
        <v>225</v>
      </c>
      <c r="E1349" t="s">
        <v>222</v>
      </c>
      <c r="F1349" t="s">
        <v>30</v>
      </c>
      <c r="G1349" s="6">
        <v>45291</v>
      </c>
      <c r="H1349" t="s">
        <v>6811</v>
      </c>
      <c r="I1349" t="s">
        <v>57</v>
      </c>
      <c r="J1349" t="s">
        <v>47</v>
      </c>
      <c r="K1349">
        <v>190</v>
      </c>
      <c r="L1349">
        <v>206</v>
      </c>
      <c r="M1349">
        <v>1.08421052631579</v>
      </c>
      <c r="N1349">
        <v>1.08421052631579</v>
      </c>
      <c r="O1349" t="s">
        <v>6214</v>
      </c>
      <c r="P1349" t="s">
        <v>7445</v>
      </c>
      <c r="Q1349" t="s">
        <v>3705</v>
      </c>
      <c r="R1349">
        <v>2</v>
      </c>
      <c r="S1349">
        <v>2</v>
      </c>
    </row>
    <row r="1350" spans="1:19" hidden="1" x14ac:dyDescent="0.3">
      <c r="A1350" t="s">
        <v>3702</v>
      </c>
      <c r="B1350" t="s">
        <v>3703</v>
      </c>
      <c r="C1350" t="s">
        <v>6622</v>
      </c>
      <c r="D1350" t="s">
        <v>225</v>
      </c>
      <c r="E1350" t="s">
        <v>222</v>
      </c>
      <c r="F1350" t="s">
        <v>30</v>
      </c>
      <c r="G1350" s="6">
        <v>45657</v>
      </c>
      <c r="H1350" t="s">
        <v>6816</v>
      </c>
      <c r="I1350" t="s">
        <v>57</v>
      </c>
      <c r="J1350" t="s">
        <v>78</v>
      </c>
      <c r="K1350">
        <v>190</v>
      </c>
      <c r="L1350">
        <v>204.81749197103699</v>
      </c>
      <c r="M1350">
        <v>1.077986799847563</v>
      </c>
      <c r="N1350">
        <v>1.077986799847563</v>
      </c>
      <c r="O1350" t="s">
        <v>6214</v>
      </c>
      <c r="P1350" t="s">
        <v>7446</v>
      </c>
      <c r="Q1350" t="s">
        <v>3707</v>
      </c>
      <c r="R1350">
        <v>2</v>
      </c>
      <c r="S1350">
        <v>2</v>
      </c>
    </row>
    <row r="1351" spans="1:19" hidden="1" x14ac:dyDescent="0.3">
      <c r="A1351" t="s">
        <v>3702</v>
      </c>
      <c r="B1351" t="s">
        <v>3703</v>
      </c>
      <c r="C1351" t="s">
        <v>6622</v>
      </c>
      <c r="D1351" t="s">
        <v>225</v>
      </c>
      <c r="E1351" t="s">
        <v>222</v>
      </c>
      <c r="F1351" t="s">
        <v>30</v>
      </c>
      <c r="G1351" s="6">
        <v>46022</v>
      </c>
      <c r="H1351" t="s">
        <v>6823</v>
      </c>
      <c r="I1351" t="s">
        <v>57</v>
      </c>
      <c r="J1351" t="s">
        <v>103</v>
      </c>
      <c r="K1351">
        <v>190</v>
      </c>
      <c r="L1351">
        <v>222.55</v>
      </c>
      <c r="M1351">
        <v>1.1713157894736841</v>
      </c>
      <c r="N1351">
        <v>1.1713157894736841</v>
      </c>
      <c r="O1351" t="s">
        <v>6214</v>
      </c>
      <c r="P1351" t="s">
        <v>7447</v>
      </c>
      <c r="Q1351" t="s">
        <v>3711</v>
      </c>
      <c r="R1351">
        <v>2</v>
      </c>
      <c r="S1351">
        <v>2</v>
      </c>
    </row>
    <row r="1352" spans="1:19" hidden="1" x14ac:dyDescent="0.3">
      <c r="A1352" t="s">
        <v>3712</v>
      </c>
      <c r="B1352" t="s">
        <v>3713</v>
      </c>
      <c r="C1352" t="s">
        <v>6681</v>
      </c>
      <c r="D1352" t="s">
        <v>97</v>
      </c>
      <c r="E1352" t="s">
        <v>233</v>
      </c>
      <c r="F1352" t="s">
        <v>30</v>
      </c>
      <c r="G1352" s="6">
        <v>45291</v>
      </c>
      <c r="H1352" t="s">
        <v>6811</v>
      </c>
      <c r="I1352" t="s">
        <v>57</v>
      </c>
      <c r="J1352" t="s">
        <v>47</v>
      </c>
      <c r="K1352">
        <v>100</v>
      </c>
      <c r="L1352">
        <v>100</v>
      </c>
      <c r="M1352">
        <v>1</v>
      </c>
      <c r="N1352">
        <v>1</v>
      </c>
      <c r="O1352" t="s">
        <v>102</v>
      </c>
      <c r="P1352" t="s">
        <v>102</v>
      </c>
      <c r="Q1352" t="s">
        <v>3715</v>
      </c>
      <c r="R1352">
        <v>2</v>
      </c>
      <c r="S1352">
        <v>2</v>
      </c>
    </row>
    <row r="1353" spans="1:19" hidden="1" x14ac:dyDescent="0.3">
      <c r="A1353" t="s">
        <v>3712</v>
      </c>
      <c r="B1353" t="s">
        <v>3713</v>
      </c>
      <c r="C1353" t="s">
        <v>6681</v>
      </c>
      <c r="D1353" t="s">
        <v>97</v>
      </c>
      <c r="E1353" t="s">
        <v>233</v>
      </c>
      <c r="F1353" t="s">
        <v>30</v>
      </c>
      <c r="G1353" s="6">
        <v>45657</v>
      </c>
      <c r="H1353" t="s">
        <v>6816</v>
      </c>
      <c r="I1353" t="s">
        <v>57</v>
      </c>
      <c r="J1353" t="s">
        <v>78</v>
      </c>
      <c r="K1353">
        <v>100</v>
      </c>
      <c r="L1353">
        <v>100</v>
      </c>
      <c r="M1353">
        <v>1</v>
      </c>
      <c r="N1353">
        <v>1</v>
      </c>
      <c r="O1353" t="s">
        <v>102</v>
      </c>
      <c r="P1353" t="s">
        <v>102</v>
      </c>
      <c r="Q1353" t="s">
        <v>3719</v>
      </c>
      <c r="R1353">
        <v>2</v>
      </c>
      <c r="S1353">
        <v>2</v>
      </c>
    </row>
    <row r="1354" spans="1:19" hidden="1" x14ac:dyDescent="0.3">
      <c r="A1354" t="s">
        <v>3712</v>
      </c>
      <c r="B1354" t="s">
        <v>3713</v>
      </c>
      <c r="C1354" t="s">
        <v>6681</v>
      </c>
      <c r="D1354" t="s">
        <v>97</v>
      </c>
      <c r="E1354" t="s">
        <v>233</v>
      </c>
      <c r="F1354" t="s">
        <v>30</v>
      </c>
      <c r="G1354" s="6">
        <v>46022</v>
      </c>
      <c r="H1354" t="s">
        <v>6823</v>
      </c>
      <c r="I1354" t="s">
        <v>57</v>
      </c>
      <c r="J1354" t="s">
        <v>103</v>
      </c>
      <c r="K1354">
        <v>100</v>
      </c>
      <c r="L1354">
        <v>100</v>
      </c>
      <c r="M1354">
        <v>1</v>
      </c>
      <c r="N1354">
        <v>1</v>
      </c>
      <c r="O1354" t="s">
        <v>102</v>
      </c>
      <c r="P1354" t="s">
        <v>102</v>
      </c>
      <c r="Q1354" t="s">
        <v>3722</v>
      </c>
      <c r="R1354">
        <v>2</v>
      </c>
      <c r="S1354">
        <v>2</v>
      </c>
    </row>
    <row r="1355" spans="1:19" hidden="1" x14ac:dyDescent="0.3">
      <c r="A1355" t="s">
        <v>3723</v>
      </c>
      <c r="B1355" t="s">
        <v>3724</v>
      </c>
      <c r="C1355" t="s">
        <v>6681</v>
      </c>
      <c r="D1355" t="s">
        <v>97</v>
      </c>
      <c r="E1355" t="s">
        <v>233</v>
      </c>
      <c r="F1355" t="s">
        <v>30</v>
      </c>
      <c r="G1355" s="6">
        <v>45291</v>
      </c>
      <c r="H1355" t="s">
        <v>6811</v>
      </c>
      <c r="I1355" t="s">
        <v>57</v>
      </c>
      <c r="J1355" t="s">
        <v>47</v>
      </c>
      <c r="K1355">
        <v>90</v>
      </c>
      <c r="L1355">
        <v>99.384999999999991</v>
      </c>
      <c r="M1355">
        <v>1.1042777777777779</v>
      </c>
      <c r="N1355">
        <v>1.1042777777777779</v>
      </c>
      <c r="O1355" t="s">
        <v>256</v>
      </c>
      <c r="P1355" t="s">
        <v>4519</v>
      </c>
      <c r="Q1355" t="s">
        <v>3726</v>
      </c>
      <c r="R1355">
        <v>2</v>
      </c>
      <c r="S1355">
        <v>2</v>
      </c>
    </row>
    <row r="1356" spans="1:19" hidden="1" x14ac:dyDescent="0.3">
      <c r="A1356" t="s">
        <v>3723</v>
      </c>
      <c r="B1356" t="s">
        <v>3724</v>
      </c>
      <c r="C1356" t="s">
        <v>6681</v>
      </c>
      <c r="D1356" t="s">
        <v>97</v>
      </c>
      <c r="E1356" t="s">
        <v>233</v>
      </c>
      <c r="F1356" t="s">
        <v>30</v>
      </c>
      <c r="G1356" s="6">
        <v>45657</v>
      </c>
      <c r="H1356" t="s">
        <v>6816</v>
      </c>
      <c r="I1356" t="s">
        <v>57</v>
      </c>
      <c r="J1356" t="s">
        <v>78</v>
      </c>
      <c r="K1356">
        <v>90</v>
      </c>
      <c r="L1356">
        <v>100</v>
      </c>
      <c r="M1356">
        <v>1.1111111111111109</v>
      </c>
      <c r="N1356">
        <v>1.1111111111111109</v>
      </c>
      <c r="O1356" t="s">
        <v>256</v>
      </c>
      <c r="P1356" t="s">
        <v>102</v>
      </c>
      <c r="Q1356" t="s">
        <v>3730</v>
      </c>
      <c r="R1356">
        <v>2</v>
      </c>
      <c r="S1356">
        <v>2</v>
      </c>
    </row>
    <row r="1357" spans="1:19" hidden="1" x14ac:dyDescent="0.3">
      <c r="A1357" t="s">
        <v>3723</v>
      </c>
      <c r="B1357" t="s">
        <v>3724</v>
      </c>
      <c r="C1357" t="s">
        <v>6681</v>
      </c>
      <c r="D1357" t="s">
        <v>97</v>
      </c>
      <c r="E1357" t="s">
        <v>233</v>
      </c>
      <c r="F1357" t="s">
        <v>30</v>
      </c>
      <c r="G1357" s="6">
        <v>46022</v>
      </c>
      <c r="H1357" t="s">
        <v>6823</v>
      </c>
      <c r="I1357" t="s">
        <v>57</v>
      </c>
      <c r="J1357" t="s">
        <v>103</v>
      </c>
      <c r="K1357">
        <v>90</v>
      </c>
      <c r="L1357">
        <v>100</v>
      </c>
      <c r="M1357">
        <v>1.1111111111111109</v>
      </c>
      <c r="N1357">
        <v>1.1111111111111109</v>
      </c>
      <c r="O1357" t="s">
        <v>256</v>
      </c>
      <c r="P1357" t="s">
        <v>102</v>
      </c>
      <c r="Q1357" t="s">
        <v>3733</v>
      </c>
      <c r="R1357">
        <v>2</v>
      </c>
      <c r="S1357">
        <v>2</v>
      </c>
    </row>
    <row r="1358" spans="1:19" hidden="1" x14ac:dyDescent="0.3">
      <c r="A1358" t="s">
        <v>3734</v>
      </c>
      <c r="B1358" t="s">
        <v>3735</v>
      </c>
      <c r="C1358" t="s">
        <v>6681</v>
      </c>
      <c r="D1358" t="s">
        <v>299</v>
      </c>
      <c r="E1358" t="s">
        <v>222</v>
      </c>
      <c r="F1358" t="s">
        <v>108</v>
      </c>
      <c r="G1358" s="6">
        <v>45291</v>
      </c>
      <c r="H1358" t="s">
        <v>6811</v>
      </c>
      <c r="I1358" t="s">
        <v>57</v>
      </c>
      <c r="J1358" t="s">
        <v>47</v>
      </c>
      <c r="K1358">
        <v>0.1</v>
      </c>
      <c r="L1358">
        <v>0.08</v>
      </c>
      <c r="M1358">
        <v>1.25</v>
      </c>
      <c r="N1358">
        <v>1.25</v>
      </c>
      <c r="O1358" t="s">
        <v>5447</v>
      </c>
      <c r="P1358" t="s">
        <v>495</v>
      </c>
      <c r="Q1358" t="s">
        <v>3737</v>
      </c>
      <c r="R1358">
        <v>2</v>
      </c>
      <c r="S1358">
        <v>2</v>
      </c>
    </row>
    <row r="1359" spans="1:19" hidden="1" x14ac:dyDescent="0.3">
      <c r="A1359" t="s">
        <v>3734</v>
      </c>
      <c r="B1359" t="s">
        <v>3735</v>
      </c>
      <c r="C1359" t="s">
        <v>6681</v>
      </c>
      <c r="D1359" t="s">
        <v>299</v>
      </c>
      <c r="E1359" t="s">
        <v>222</v>
      </c>
      <c r="F1359" t="s">
        <v>108</v>
      </c>
      <c r="G1359" s="6">
        <v>45657</v>
      </c>
      <c r="H1359" t="s">
        <v>6816</v>
      </c>
      <c r="I1359" t="s">
        <v>57</v>
      </c>
      <c r="J1359" t="s">
        <v>78</v>
      </c>
      <c r="K1359">
        <v>0.1</v>
      </c>
      <c r="L1359">
        <v>0.21</v>
      </c>
      <c r="M1359">
        <v>0.47619047619047622</v>
      </c>
      <c r="N1359">
        <v>0.47619047619047622</v>
      </c>
      <c r="O1359" t="s">
        <v>5447</v>
      </c>
      <c r="P1359" t="s">
        <v>114</v>
      </c>
      <c r="Q1359" t="s">
        <v>3739</v>
      </c>
      <c r="R1359">
        <v>2</v>
      </c>
      <c r="S1359">
        <v>2</v>
      </c>
    </row>
    <row r="1360" spans="1:19" hidden="1" x14ac:dyDescent="0.3">
      <c r="A1360" t="s">
        <v>3734</v>
      </c>
      <c r="B1360" t="s">
        <v>3735</v>
      </c>
      <c r="C1360" t="s">
        <v>6681</v>
      </c>
      <c r="D1360" t="s">
        <v>299</v>
      </c>
      <c r="E1360" t="s">
        <v>222</v>
      </c>
      <c r="F1360" t="s">
        <v>108</v>
      </c>
      <c r="G1360" s="6">
        <v>46022</v>
      </c>
      <c r="H1360" t="s">
        <v>6823</v>
      </c>
      <c r="I1360" t="s">
        <v>57</v>
      </c>
      <c r="J1360" t="s">
        <v>103</v>
      </c>
      <c r="K1360">
        <v>0.1</v>
      </c>
      <c r="L1360">
        <v>0.19</v>
      </c>
      <c r="M1360">
        <v>0.52631578947368418</v>
      </c>
      <c r="N1360">
        <v>0.52631578947368418</v>
      </c>
      <c r="O1360" t="s">
        <v>5447</v>
      </c>
      <c r="P1360" t="s">
        <v>7448</v>
      </c>
      <c r="Q1360" t="s">
        <v>3746</v>
      </c>
      <c r="R1360">
        <v>2</v>
      </c>
      <c r="S1360">
        <v>2</v>
      </c>
    </row>
    <row r="1361" spans="1:19" hidden="1" x14ac:dyDescent="0.3">
      <c r="A1361" t="s">
        <v>3747</v>
      </c>
      <c r="B1361" t="s">
        <v>3748</v>
      </c>
      <c r="C1361" t="s">
        <v>6681</v>
      </c>
      <c r="D1361" t="s">
        <v>299</v>
      </c>
      <c r="E1361" t="s">
        <v>29</v>
      </c>
      <c r="F1361" t="s">
        <v>108</v>
      </c>
      <c r="G1361" s="6">
        <v>45291</v>
      </c>
      <c r="H1361" t="s">
        <v>6811</v>
      </c>
      <c r="I1361" t="s">
        <v>57</v>
      </c>
      <c r="J1361" t="s">
        <v>47</v>
      </c>
      <c r="K1361">
        <v>800</v>
      </c>
      <c r="L1361">
        <v>830.5</v>
      </c>
      <c r="M1361">
        <v>0.96327513546056598</v>
      </c>
      <c r="N1361">
        <v>0.96327513546056598</v>
      </c>
      <c r="O1361" t="s">
        <v>1144</v>
      </c>
      <c r="P1361" t="s">
        <v>6383</v>
      </c>
      <c r="Q1361" t="s">
        <v>3752</v>
      </c>
      <c r="R1361">
        <v>2</v>
      </c>
      <c r="S1361">
        <v>2</v>
      </c>
    </row>
    <row r="1362" spans="1:19" hidden="1" x14ac:dyDescent="0.3">
      <c r="A1362" t="s">
        <v>3747</v>
      </c>
      <c r="B1362" t="s">
        <v>3748</v>
      </c>
      <c r="C1362" t="s">
        <v>6681</v>
      </c>
      <c r="D1362" t="s">
        <v>299</v>
      </c>
      <c r="E1362" t="s">
        <v>29</v>
      </c>
      <c r="F1362" t="s">
        <v>108</v>
      </c>
      <c r="G1362" s="6">
        <v>45657</v>
      </c>
      <c r="H1362" t="s">
        <v>6816</v>
      </c>
      <c r="I1362" t="s">
        <v>57</v>
      </c>
      <c r="J1362" t="s">
        <v>78</v>
      </c>
      <c r="K1362">
        <v>2400</v>
      </c>
      <c r="L1362">
        <v>9798.09</v>
      </c>
      <c r="M1362">
        <v>0.24494569860044149</v>
      </c>
      <c r="N1362">
        <v>0.24494569860044149</v>
      </c>
      <c r="O1362" t="s">
        <v>7449</v>
      </c>
      <c r="P1362" t="s">
        <v>7450</v>
      </c>
      <c r="Q1362" t="s">
        <v>3764</v>
      </c>
      <c r="R1362">
        <v>2</v>
      </c>
      <c r="S1362">
        <v>2</v>
      </c>
    </row>
    <row r="1363" spans="1:19" hidden="1" x14ac:dyDescent="0.3">
      <c r="A1363" t="s">
        <v>3747</v>
      </c>
      <c r="B1363" t="s">
        <v>3748</v>
      </c>
      <c r="C1363" t="s">
        <v>6681</v>
      </c>
      <c r="D1363" t="s">
        <v>299</v>
      </c>
      <c r="E1363" t="s">
        <v>29</v>
      </c>
      <c r="F1363" t="s">
        <v>108</v>
      </c>
      <c r="G1363" s="6">
        <v>46022</v>
      </c>
      <c r="H1363" t="s">
        <v>6823</v>
      </c>
      <c r="I1363" t="s">
        <v>57</v>
      </c>
      <c r="J1363" t="s">
        <v>103</v>
      </c>
      <c r="K1363">
        <v>2200</v>
      </c>
      <c r="L1363">
        <v>7673.83</v>
      </c>
      <c r="M1363">
        <v>0.2866886548177377</v>
      </c>
      <c r="N1363">
        <v>0.2866886548177377</v>
      </c>
      <c r="O1363" t="s">
        <v>7451</v>
      </c>
      <c r="P1363" t="s">
        <v>7452</v>
      </c>
      <c r="Q1363" t="s">
        <v>3795</v>
      </c>
      <c r="R1363">
        <v>2</v>
      </c>
      <c r="S1363">
        <v>2</v>
      </c>
    </row>
    <row r="1364" spans="1:19" hidden="1" x14ac:dyDescent="0.3">
      <c r="A1364" t="s">
        <v>3796</v>
      </c>
      <c r="B1364" t="s">
        <v>3797</v>
      </c>
      <c r="C1364" t="s">
        <v>6681</v>
      </c>
      <c r="D1364" t="s">
        <v>299</v>
      </c>
      <c r="E1364" t="s">
        <v>222</v>
      </c>
      <c r="F1364" t="s">
        <v>30</v>
      </c>
      <c r="G1364" s="6">
        <v>45657</v>
      </c>
      <c r="H1364" t="s">
        <v>6816</v>
      </c>
      <c r="I1364" t="s">
        <v>57</v>
      </c>
      <c r="J1364" t="s">
        <v>78</v>
      </c>
      <c r="K1364">
        <v>200</v>
      </c>
      <c r="L1364">
        <v>17.748578505712</v>
      </c>
      <c r="M1364">
        <v>8.8742892528560019E-2</v>
      </c>
      <c r="N1364">
        <v>8.8742892528560019E-2</v>
      </c>
      <c r="O1364" t="s">
        <v>2396</v>
      </c>
      <c r="P1364" t="s">
        <v>7453</v>
      </c>
      <c r="Q1364" t="s">
        <v>3799</v>
      </c>
      <c r="R1364">
        <v>2</v>
      </c>
      <c r="S1364">
        <v>2</v>
      </c>
    </row>
    <row r="1365" spans="1:19" hidden="1" x14ac:dyDescent="0.3">
      <c r="A1365" t="s">
        <v>3796</v>
      </c>
      <c r="B1365" t="s">
        <v>3797</v>
      </c>
      <c r="C1365" t="s">
        <v>6681</v>
      </c>
      <c r="D1365" t="s">
        <v>299</v>
      </c>
      <c r="E1365" t="s">
        <v>222</v>
      </c>
      <c r="F1365" t="s">
        <v>30</v>
      </c>
      <c r="G1365" s="6">
        <v>46022</v>
      </c>
      <c r="H1365" t="s">
        <v>6823</v>
      </c>
      <c r="I1365" t="s">
        <v>57</v>
      </c>
      <c r="J1365" t="s">
        <v>103</v>
      </c>
      <c r="K1365">
        <v>200</v>
      </c>
      <c r="L1365">
        <v>-635.99</v>
      </c>
      <c r="M1365">
        <v>0</v>
      </c>
      <c r="N1365">
        <v>-3.1799499999999998</v>
      </c>
      <c r="O1365" t="s">
        <v>2396</v>
      </c>
      <c r="P1365" t="s">
        <v>7454</v>
      </c>
      <c r="Q1365" t="s">
        <v>3805</v>
      </c>
      <c r="R1365">
        <v>2</v>
      </c>
      <c r="S1365">
        <v>2</v>
      </c>
    </row>
    <row r="1366" spans="1:19" hidden="1" x14ac:dyDescent="0.3">
      <c r="A1366" t="s">
        <v>3806</v>
      </c>
      <c r="B1366" t="s">
        <v>863</v>
      </c>
      <c r="C1366" t="s">
        <v>6681</v>
      </c>
      <c r="D1366" t="s">
        <v>309</v>
      </c>
      <c r="E1366" t="s">
        <v>29</v>
      </c>
      <c r="F1366" t="s">
        <v>108</v>
      </c>
      <c r="G1366" s="6">
        <v>45291</v>
      </c>
      <c r="H1366" t="s">
        <v>6811</v>
      </c>
      <c r="I1366" t="s">
        <v>57</v>
      </c>
      <c r="J1366" t="s">
        <v>47</v>
      </c>
      <c r="K1366">
        <v>126</v>
      </c>
      <c r="L1366">
        <v>66.410000000000011</v>
      </c>
      <c r="M1366">
        <v>1.3</v>
      </c>
      <c r="N1366">
        <v>1.897304622797771</v>
      </c>
      <c r="O1366" t="s">
        <v>5706</v>
      </c>
      <c r="P1366" t="s">
        <v>6391</v>
      </c>
      <c r="Q1366" t="s">
        <v>3813</v>
      </c>
      <c r="R1366">
        <v>2</v>
      </c>
      <c r="S1366">
        <v>2</v>
      </c>
    </row>
    <row r="1367" spans="1:19" hidden="1" x14ac:dyDescent="0.3">
      <c r="A1367" t="s">
        <v>3806</v>
      </c>
      <c r="B1367" t="s">
        <v>863</v>
      </c>
      <c r="C1367" t="s">
        <v>6681</v>
      </c>
      <c r="D1367" t="s">
        <v>309</v>
      </c>
      <c r="E1367" t="s">
        <v>29</v>
      </c>
      <c r="F1367" t="s">
        <v>108</v>
      </c>
      <c r="G1367" s="6">
        <v>45657</v>
      </c>
      <c r="H1367" t="s">
        <v>6816</v>
      </c>
      <c r="I1367" t="s">
        <v>57</v>
      </c>
      <c r="J1367" t="s">
        <v>78</v>
      </c>
      <c r="K1367">
        <v>168</v>
      </c>
      <c r="L1367">
        <v>132.77000000000001</v>
      </c>
      <c r="M1367">
        <v>1.2653460872184981</v>
      </c>
      <c r="N1367">
        <v>1.2653460872184981</v>
      </c>
      <c r="O1367" t="s">
        <v>7455</v>
      </c>
      <c r="P1367" t="s">
        <v>7456</v>
      </c>
      <c r="Q1367" t="s">
        <v>3825</v>
      </c>
      <c r="R1367">
        <v>2</v>
      </c>
      <c r="S1367">
        <v>2</v>
      </c>
    </row>
    <row r="1368" spans="1:19" hidden="1" x14ac:dyDescent="0.3">
      <c r="A1368" t="s">
        <v>3806</v>
      </c>
      <c r="B1368" t="s">
        <v>863</v>
      </c>
      <c r="C1368" t="s">
        <v>6681</v>
      </c>
      <c r="D1368" t="s">
        <v>309</v>
      </c>
      <c r="E1368" t="s">
        <v>29</v>
      </c>
      <c r="F1368" t="s">
        <v>108</v>
      </c>
      <c r="G1368" s="6">
        <v>46022</v>
      </c>
      <c r="H1368" t="s">
        <v>6823</v>
      </c>
      <c r="I1368" t="s">
        <v>57</v>
      </c>
      <c r="J1368" t="s">
        <v>103</v>
      </c>
      <c r="K1368">
        <v>154</v>
      </c>
      <c r="L1368">
        <v>114.6</v>
      </c>
      <c r="M1368">
        <v>1.3</v>
      </c>
      <c r="N1368">
        <v>1.3438045375218151</v>
      </c>
      <c r="O1368" t="s">
        <v>7457</v>
      </c>
      <c r="P1368" t="s">
        <v>7458</v>
      </c>
      <c r="Q1368" t="s">
        <v>3857</v>
      </c>
      <c r="R1368">
        <v>2</v>
      </c>
      <c r="S1368">
        <v>2</v>
      </c>
    </row>
    <row r="1369" spans="1:19" hidden="1" x14ac:dyDescent="0.3">
      <c r="A1369" t="s">
        <v>3806</v>
      </c>
      <c r="B1369" t="s">
        <v>863</v>
      </c>
      <c r="C1369" t="s">
        <v>6681</v>
      </c>
      <c r="D1369" t="s">
        <v>309</v>
      </c>
      <c r="E1369" t="s">
        <v>29</v>
      </c>
      <c r="F1369" t="s">
        <v>108</v>
      </c>
      <c r="G1369" s="6">
        <v>46387</v>
      </c>
      <c r="H1369" t="s">
        <v>6841</v>
      </c>
      <c r="I1369" t="s">
        <v>57</v>
      </c>
      <c r="J1369" t="s">
        <v>6842</v>
      </c>
      <c r="K1369">
        <v>14</v>
      </c>
      <c r="M1369">
        <v>0</v>
      </c>
      <c r="N1369">
        <v>0</v>
      </c>
      <c r="O1369" t="s">
        <v>3827</v>
      </c>
      <c r="Q1369" t="s">
        <v>7459</v>
      </c>
      <c r="R1369">
        <v>2</v>
      </c>
      <c r="S1369">
        <v>2</v>
      </c>
    </row>
    <row r="1370" spans="1:19" hidden="1" x14ac:dyDescent="0.3">
      <c r="A1370" t="s">
        <v>3859</v>
      </c>
      <c r="B1370" t="s">
        <v>3861</v>
      </c>
      <c r="C1370" t="s">
        <v>6622</v>
      </c>
      <c r="D1370" t="s">
        <v>2177</v>
      </c>
      <c r="E1370" t="s">
        <v>98</v>
      </c>
      <c r="F1370" t="s">
        <v>30</v>
      </c>
      <c r="G1370" s="6">
        <v>45291</v>
      </c>
      <c r="H1370" t="s">
        <v>6811</v>
      </c>
      <c r="I1370" t="s">
        <v>57</v>
      </c>
      <c r="J1370" t="s">
        <v>47</v>
      </c>
      <c r="K1370">
        <v>80</v>
      </c>
      <c r="L1370">
        <v>96.239806704922998</v>
      </c>
      <c r="M1370">
        <v>1.202997583811537</v>
      </c>
      <c r="N1370">
        <v>1.202997583811537</v>
      </c>
      <c r="O1370" t="s">
        <v>193</v>
      </c>
      <c r="P1370" t="s">
        <v>6396</v>
      </c>
      <c r="Q1370" t="s">
        <v>3862</v>
      </c>
      <c r="R1370">
        <v>2</v>
      </c>
      <c r="S1370">
        <v>2</v>
      </c>
    </row>
    <row r="1371" spans="1:19" hidden="1" x14ac:dyDescent="0.3">
      <c r="A1371" t="s">
        <v>3859</v>
      </c>
      <c r="B1371" t="s">
        <v>3861</v>
      </c>
      <c r="C1371" t="s">
        <v>6622</v>
      </c>
      <c r="D1371" t="s">
        <v>2177</v>
      </c>
      <c r="E1371" t="s">
        <v>98</v>
      </c>
      <c r="F1371" t="s">
        <v>30</v>
      </c>
      <c r="G1371" s="6">
        <v>45657</v>
      </c>
      <c r="H1371" t="s">
        <v>6816</v>
      </c>
      <c r="I1371" t="s">
        <v>57</v>
      </c>
      <c r="J1371" t="s">
        <v>78</v>
      </c>
      <c r="K1371">
        <v>80</v>
      </c>
      <c r="L1371">
        <v>84</v>
      </c>
      <c r="M1371">
        <v>1.05</v>
      </c>
      <c r="N1371">
        <v>1.05</v>
      </c>
      <c r="O1371" t="s">
        <v>193</v>
      </c>
      <c r="P1371" t="s">
        <v>6232</v>
      </c>
      <c r="Q1371" t="s">
        <v>3863</v>
      </c>
      <c r="R1371">
        <v>2</v>
      </c>
      <c r="S1371">
        <v>2</v>
      </c>
    </row>
    <row r="1372" spans="1:19" hidden="1" x14ac:dyDescent="0.3">
      <c r="A1372" t="s">
        <v>3859</v>
      </c>
      <c r="B1372" t="s">
        <v>3861</v>
      </c>
      <c r="C1372" t="s">
        <v>6622</v>
      </c>
      <c r="D1372" t="s">
        <v>2177</v>
      </c>
      <c r="E1372" t="s">
        <v>98</v>
      </c>
      <c r="F1372" t="s">
        <v>30</v>
      </c>
      <c r="G1372" s="6">
        <v>46022</v>
      </c>
      <c r="H1372" t="s">
        <v>6823</v>
      </c>
      <c r="I1372" t="s">
        <v>57</v>
      </c>
      <c r="J1372" t="s">
        <v>103</v>
      </c>
      <c r="K1372">
        <v>80</v>
      </c>
      <c r="L1372">
        <v>99</v>
      </c>
      <c r="M1372">
        <v>1.2375</v>
      </c>
      <c r="N1372">
        <v>1.2375</v>
      </c>
      <c r="O1372" t="s">
        <v>193</v>
      </c>
      <c r="P1372" t="s">
        <v>2577</v>
      </c>
      <c r="Q1372" t="s">
        <v>3865</v>
      </c>
      <c r="R1372">
        <v>2</v>
      </c>
      <c r="S1372">
        <v>2</v>
      </c>
    </row>
    <row r="1373" spans="1:19" hidden="1" x14ac:dyDescent="0.3">
      <c r="A1373" t="s">
        <v>3866</v>
      </c>
      <c r="B1373" t="s">
        <v>3867</v>
      </c>
      <c r="D1373" t="s">
        <v>2688</v>
      </c>
      <c r="E1373" t="s">
        <v>222</v>
      </c>
      <c r="F1373" t="s">
        <v>30</v>
      </c>
      <c r="G1373" s="6">
        <v>45291</v>
      </c>
      <c r="H1373" t="s">
        <v>6811</v>
      </c>
      <c r="I1373" t="s">
        <v>57</v>
      </c>
      <c r="J1373" t="s">
        <v>47</v>
      </c>
      <c r="K1373">
        <v>100</v>
      </c>
      <c r="L1373">
        <v>100</v>
      </c>
      <c r="M1373">
        <v>1</v>
      </c>
      <c r="N1373">
        <v>1</v>
      </c>
      <c r="O1373" t="s">
        <v>102</v>
      </c>
      <c r="P1373" t="s">
        <v>102</v>
      </c>
      <c r="Q1373" t="s">
        <v>3868</v>
      </c>
      <c r="R1373">
        <v>2</v>
      </c>
      <c r="S1373">
        <v>2</v>
      </c>
    </row>
    <row r="1374" spans="1:19" hidden="1" x14ac:dyDescent="0.3">
      <c r="A1374" t="s">
        <v>3869</v>
      </c>
      <c r="B1374" t="s">
        <v>3870</v>
      </c>
      <c r="C1374" t="s">
        <v>6681</v>
      </c>
      <c r="D1374" t="s">
        <v>2688</v>
      </c>
      <c r="E1374" t="s">
        <v>222</v>
      </c>
      <c r="F1374" t="s">
        <v>30</v>
      </c>
      <c r="G1374" s="6">
        <v>45291</v>
      </c>
      <c r="H1374" t="s">
        <v>6811</v>
      </c>
      <c r="I1374" t="s">
        <v>57</v>
      </c>
      <c r="J1374" t="s">
        <v>47</v>
      </c>
      <c r="K1374">
        <v>100</v>
      </c>
      <c r="L1374">
        <v>100</v>
      </c>
      <c r="M1374">
        <v>1</v>
      </c>
      <c r="N1374">
        <v>1</v>
      </c>
      <c r="O1374" t="s">
        <v>102</v>
      </c>
      <c r="P1374" t="s">
        <v>102</v>
      </c>
      <c r="Q1374" t="s">
        <v>3871</v>
      </c>
      <c r="R1374">
        <v>2</v>
      </c>
      <c r="S1374">
        <v>2</v>
      </c>
    </row>
    <row r="1375" spans="1:19" hidden="1" x14ac:dyDescent="0.3">
      <c r="A1375" t="s">
        <v>3869</v>
      </c>
      <c r="B1375" t="s">
        <v>3870</v>
      </c>
      <c r="C1375" t="s">
        <v>6681</v>
      </c>
      <c r="D1375" t="s">
        <v>2688</v>
      </c>
      <c r="E1375" t="s">
        <v>222</v>
      </c>
      <c r="F1375" t="s">
        <v>30</v>
      </c>
      <c r="G1375" s="6">
        <v>45657</v>
      </c>
      <c r="H1375" t="s">
        <v>6816</v>
      </c>
      <c r="I1375" t="s">
        <v>57</v>
      </c>
      <c r="J1375" t="s">
        <v>78</v>
      </c>
      <c r="K1375">
        <v>100</v>
      </c>
      <c r="L1375">
        <v>100</v>
      </c>
      <c r="M1375">
        <v>1</v>
      </c>
      <c r="N1375">
        <v>1</v>
      </c>
      <c r="O1375" t="s">
        <v>102</v>
      </c>
      <c r="P1375" t="s">
        <v>102</v>
      </c>
      <c r="Q1375" t="s">
        <v>3873</v>
      </c>
      <c r="R1375">
        <v>2</v>
      </c>
      <c r="S1375">
        <v>2</v>
      </c>
    </row>
    <row r="1376" spans="1:19" hidden="1" x14ac:dyDescent="0.3">
      <c r="A1376" t="s">
        <v>3869</v>
      </c>
      <c r="B1376" t="s">
        <v>3870</v>
      </c>
      <c r="C1376" t="s">
        <v>6681</v>
      </c>
      <c r="D1376" t="s">
        <v>2688</v>
      </c>
      <c r="E1376" t="s">
        <v>222</v>
      </c>
      <c r="F1376" t="s">
        <v>30</v>
      </c>
      <c r="G1376" s="6">
        <v>46022</v>
      </c>
      <c r="H1376" t="s">
        <v>6823</v>
      </c>
      <c r="I1376" t="s">
        <v>57</v>
      </c>
      <c r="J1376" t="s">
        <v>103</v>
      </c>
      <c r="K1376">
        <v>100</v>
      </c>
      <c r="L1376">
        <v>100</v>
      </c>
      <c r="M1376">
        <v>1</v>
      </c>
      <c r="N1376">
        <v>1</v>
      </c>
      <c r="O1376" t="s">
        <v>102</v>
      </c>
      <c r="P1376" t="s">
        <v>102</v>
      </c>
      <c r="Q1376" t="s">
        <v>3875</v>
      </c>
      <c r="R1376">
        <v>2</v>
      </c>
      <c r="S1376">
        <v>2</v>
      </c>
    </row>
    <row r="1377" spans="1:19" hidden="1" x14ac:dyDescent="0.3">
      <c r="A1377" t="s">
        <v>3876</v>
      </c>
      <c r="B1377" t="s">
        <v>3877</v>
      </c>
      <c r="C1377" t="s">
        <v>6681</v>
      </c>
      <c r="D1377" t="s">
        <v>2688</v>
      </c>
      <c r="E1377" t="s">
        <v>222</v>
      </c>
      <c r="F1377" t="s">
        <v>30</v>
      </c>
      <c r="G1377" s="6">
        <v>45291</v>
      </c>
      <c r="H1377" t="s">
        <v>6811</v>
      </c>
      <c r="I1377" t="s">
        <v>57</v>
      </c>
      <c r="J1377" t="s">
        <v>47</v>
      </c>
      <c r="K1377">
        <v>98</v>
      </c>
      <c r="L1377">
        <v>97.75</v>
      </c>
      <c r="M1377">
        <v>0.99744897959183676</v>
      </c>
      <c r="N1377">
        <v>0.99744897959183676</v>
      </c>
      <c r="O1377" t="s">
        <v>312</v>
      </c>
      <c r="P1377" t="s">
        <v>6397</v>
      </c>
      <c r="Q1377" t="s">
        <v>3878</v>
      </c>
      <c r="R1377">
        <v>2</v>
      </c>
      <c r="S1377">
        <v>2</v>
      </c>
    </row>
    <row r="1378" spans="1:19" hidden="1" x14ac:dyDescent="0.3">
      <c r="A1378" t="s">
        <v>3876</v>
      </c>
      <c r="B1378" t="s">
        <v>3877</v>
      </c>
      <c r="C1378" t="s">
        <v>6681</v>
      </c>
      <c r="D1378" t="s">
        <v>2688</v>
      </c>
      <c r="E1378" t="s">
        <v>222</v>
      </c>
      <c r="F1378" t="s">
        <v>30</v>
      </c>
      <c r="G1378" s="6">
        <v>45657</v>
      </c>
      <c r="H1378" t="s">
        <v>6816</v>
      </c>
      <c r="I1378" t="s">
        <v>57</v>
      </c>
      <c r="J1378" t="s">
        <v>78</v>
      </c>
      <c r="K1378">
        <v>196</v>
      </c>
      <c r="L1378">
        <v>198.97</v>
      </c>
      <c r="M1378">
        <v>1.0151530612244899</v>
      </c>
      <c r="N1378">
        <v>1.0151530612244899</v>
      </c>
      <c r="O1378" t="s">
        <v>7135</v>
      </c>
      <c r="P1378" t="s">
        <v>7460</v>
      </c>
      <c r="Q1378" t="s">
        <v>3880</v>
      </c>
      <c r="R1378">
        <v>2</v>
      </c>
      <c r="S1378">
        <v>2</v>
      </c>
    </row>
    <row r="1379" spans="1:19" hidden="1" x14ac:dyDescent="0.3">
      <c r="A1379" t="s">
        <v>3876</v>
      </c>
      <c r="B1379" t="s">
        <v>3877</v>
      </c>
      <c r="C1379" t="s">
        <v>6681</v>
      </c>
      <c r="D1379" t="s">
        <v>2688</v>
      </c>
      <c r="E1379" t="s">
        <v>222</v>
      </c>
      <c r="F1379" t="s">
        <v>30</v>
      </c>
      <c r="G1379" s="6">
        <v>46022</v>
      </c>
      <c r="H1379" t="s">
        <v>6823</v>
      </c>
      <c r="I1379" t="s">
        <v>57</v>
      </c>
      <c r="J1379" t="s">
        <v>103</v>
      </c>
      <c r="K1379">
        <v>196</v>
      </c>
      <c r="L1379">
        <v>199.51</v>
      </c>
      <c r="M1379">
        <v>1.017908163265306</v>
      </c>
      <c r="N1379">
        <v>1.017908163265306</v>
      </c>
      <c r="O1379" t="s">
        <v>7135</v>
      </c>
      <c r="P1379" t="s">
        <v>7461</v>
      </c>
      <c r="Q1379" t="s">
        <v>3886</v>
      </c>
      <c r="R1379">
        <v>2</v>
      </c>
      <c r="S1379">
        <v>2</v>
      </c>
    </row>
    <row r="1380" spans="1:19" hidden="1" x14ac:dyDescent="0.3">
      <c r="A1380" t="s">
        <v>3887</v>
      </c>
      <c r="B1380" t="s">
        <v>3888</v>
      </c>
      <c r="D1380" t="s">
        <v>187</v>
      </c>
      <c r="E1380" t="s">
        <v>29</v>
      </c>
      <c r="F1380" t="s">
        <v>30</v>
      </c>
      <c r="G1380" s="6">
        <v>45657</v>
      </c>
      <c r="H1380" t="s">
        <v>6816</v>
      </c>
      <c r="I1380" t="s">
        <v>57</v>
      </c>
      <c r="J1380" t="s">
        <v>78</v>
      </c>
      <c r="K1380">
        <v>90</v>
      </c>
      <c r="L1380">
        <v>95.467027572561832</v>
      </c>
      <c r="M1380">
        <v>1.0607447508062431</v>
      </c>
      <c r="N1380">
        <v>1.0607447508062431</v>
      </c>
      <c r="O1380" t="s">
        <v>256</v>
      </c>
      <c r="P1380" t="s">
        <v>7462</v>
      </c>
      <c r="Q1380" t="s">
        <v>3900</v>
      </c>
      <c r="R1380">
        <v>2</v>
      </c>
      <c r="S1380">
        <v>2</v>
      </c>
    </row>
    <row r="1381" spans="1:19" hidden="1" x14ac:dyDescent="0.3">
      <c r="A1381" t="s">
        <v>3901</v>
      </c>
      <c r="B1381" t="s">
        <v>3902</v>
      </c>
      <c r="D1381" t="s">
        <v>663</v>
      </c>
      <c r="E1381" t="s">
        <v>222</v>
      </c>
      <c r="F1381" t="s">
        <v>30</v>
      </c>
      <c r="G1381" s="6">
        <v>45657</v>
      </c>
      <c r="H1381" t="s">
        <v>6816</v>
      </c>
      <c r="I1381" t="s">
        <v>57</v>
      </c>
      <c r="J1381" t="s">
        <v>78</v>
      </c>
      <c r="K1381">
        <v>100</v>
      </c>
      <c r="L1381">
        <v>112.5</v>
      </c>
      <c r="M1381">
        <v>1.125</v>
      </c>
      <c r="N1381">
        <v>1.125</v>
      </c>
      <c r="O1381" t="s">
        <v>102</v>
      </c>
      <c r="P1381" t="s">
        <v>7463</v>
      </c>
      <c r="Q1381" t="s">
        <v>3904</v>
      </c>
      <c r="R1381">
        <v>2</v>
      </c>
      <c r="S1381">
        <v>2</v>
      </c>
    </row>
    <row r="1382" spans="1:19" hidden="1" x14ac:dyDescent="0.3">
      <c r="A1382" t="s">
        <v>3905</v>
      </c>
      <c r="B1382" t="s">
        <v>3906</v>
      </c>
      <c r="D1382" t="s">
        <v>663</v>
      </c>
      <c r="E1382" t="s">
        <v>222</v>
      </c>
      <c r="F1382" t="s">
        <v>30</v>
      </c>
      <c r="G1382" s="6">
        <v>45657</v>
      </c>
      <c r="H1382" t="s">
        <v>6816</v>
      </c>
      <c r="I1382" t="s">
        <v>57</v>
      </c>
      <c r="J1382" t="s">
        <v>78</v>
      </c>
      <c r="K1382">
        <v>100</v>
      </c>
      <c r="L1382">
        <v>161.66499999999999</v>
      </c>
      <c r="M1382">
        <v>1.3</v>
      </c>
      <c r="N1382">
        <v>1.6166499999999999</v>
      </c>
      <c r="O1382" t="s">
        <v>102</v>
      </c>
      <c r="P1382" t="s">
        <v>7464</v>
      </c>
      <c r="Q1382" t="s">
        <v>3908</v>
      </c>
      <c r="R1382">
        <v>2</v>
      </c>
      <c r="S1382">
        <v>2</v>
      </c>
    </row>
    <row r="1383" spans="1:19" hidden="1" x14ac:dyDescent="0.3">
      <c r="A1383" t="s">
        <v>3909</v>
      </c>
      <c r="B1383" t="s">
        <v>3910</v>
      </c>
      <c r="C1383" t="s">
        <v>6681</v>
      </c>
      <c r="D1383" t="s">
        <v>150</v>
      </c>
      <c r="E1383" t="s">
        <v>222</v>
      </c>
      <c r="F1383" t="s">
        <v>30</v>
      </c>
      <c r="G1383" s="6">
        <v>45657</v>
      </c>
      <c r="H1383" t="s">
        <v>6816</v>
      </c>
      <c r="I1383" t="s">
        <v>57</v>
      </c>
      <c r="J1383" t="s">
        <v>78</v>
      </c>
      <c r="L1383">
        <v>2.1</v>
      </c>
      <c r="M1383">
        <v>0</v>
      </c>
      <c r="N1383">
        <v>0</v>
      </c>
      <c r="P1383" t="s">
        <v>1840</v>
      </c>
      <c r="Q1383" t="s">
        <v>3911</v>
      </c>
      <c r="R1383">
        <v>2</v>
      </c>
      <c r="S1383">
        <v>2</v>
      </c>
    </row>
    <row r="1384" spans="1:19" hidden="1" x14ac:dyDescent="0.3">
      <c r="A1384" t="s">
        <v>3909</v>
      </c>
      <c r="B1384" t="s">
        <v>3910</v>
      </c>
      <c r="C1384" t="s">
        <v>6681</v>
      </c>
      <c r="D1384" t="s">
        <v>150</v>
      </c>
      <c r="E1384" t="s">
        <v>222</v>
      </c>
      <c r="F1384" t="s">
        <v>108</v>
      </c>
      <c r="G1384" s="6">
        <v>46022</v>
      </c>
      <c r="H1384" t="s">
        <v>6823</v>
      </c>
      <c r="I1384" t="s">
        <v>57</v>
      </c>
      <c r="J1384" t="s">
        <v>103</v>
      </c>
      <c r="K1384">
        <v>3</v>
      </c>
      <c r="L1384">
        <v>1.65</v>
      </c>
      <c r="M1384">
        <v>1.3</v>
      </c>
      <c r="N1384">
        <v>1.8181818181818179</v>
      </c>
      <c r="O1384" t="s">
        <v>1849</v>
      </c>
      <c r="P1384" t="s">
        <v>1930</v>
      </c>
      <c r="Q1384" t="s">
        <v>3916</v>
      </c>
      <c r="R1384">
        <v>2</v>
      </c>
      <c r="S1384">
        <v>2</v>
      </c>
    </row>
    <row r="1385" spans="1:19" hidden="1" x14ac:dyDescent="0.3">
      <c r="A1385" t="s">
        <v>3917</v>
      </c>
      <c r="B1385" t="s">
        <v>3918</v>
      </c>
      <c r="C1385" t="s">
        <v>6681</v>
      </c>
      <c r="D1385" t="s">
        <v>150</v>
      </c>
      <c r="E1385" t="s">
        <v>222</v>
      </c>
      <c r="F1385" t="s">
        <v>30</v>
      </c>
      <c r="G1385" s="6">
        <v>45657</v>
      </c>
      <c r="H1385" t="s">
        <v>6816</v>
      </c>
      <c r="I1385" t="s">
        <v>57</v>
      </c>
      <c r="J1385" t="s">
        <v>78</v>
      </c>
      <c r="K1385">
        <v>67.5</v>
      </c>
      <c r="L1385">
        <v>70.849999999999994</v>
      </c>
      <c r="M1385">
        <v>1.049629629629629</v>
      </c>
      <c r="N1385">
        <v>1.049629629629629</v>
      </c>
      <c r="O1385" t="s">
        <v>5758</v>
      </c>
      <c r="P1385" t="s">
        <v>7465</v>
      </c>
      <c r="Q1385" t="s">
        <v>3920</v>
      </c>
      <c r="R1385">
        <v>2</v>
      </c>
      <c r="S1385">
        <v>2</v>
      </c>
    </row>
    <row r="1386" spans="1:19" hidden="1" x14ac:dyDescent="0.3">
      <c r="A1386" t="s">
        <v>3917</v>
      </c>
      <c r="B1386" t="s">
        <v>3918</v>
      </c>
      <c r="C1386" t="s">
        <v>6681</v>
      </c>
      <c r="D1386" t="s">
        <v>150</v>
      </c>
      <c r="E1386" t="s">
        <v>222</v>
      </c>
      <c r="F1386" t="s">
        <v>30</v>
      </c>
      <c r="G1386" s="6">
        <v>46022</v>
      </c>
      <c r="H1386" t="s">
        <v>6823</v>
      </c>
      <c r="I1386" t="s">
        <v>57</v>
      </c>
      <c r="J1386" t="s">
        <v>103</v>
      </c>
      <c r="K1386">
        <v>70</v>
      </c>
      <c r="L1386">
        <v>80.5</v>
      </c>
      <c r="M1386">
        <v>1.1499999999999999</v>
      </c>
      <c r="N1386">
        <v>1.1499999999999999</v>
      </c>
      <c r="O1386" t="s">
        <v>3922</v>
      </c>
      <c r="P1386" t="s">
        <v>6199</v>
      </c>
      <c r="Q1386" t="s">
        <v>3927</v>
      </c>
      <c r="R1386">
        <v>2</v>
      </c>
      <c r="S1386">
        <v>2</v>
      </c>
    </row>
    <row r="1387" spans="1:19" hidden="1" x14ac:dyDescent="0.3">
      <c r="A1387" t="s">
        <v>3928</v>
      </c>
      <c r="B1387" t="s">
        <v>2162</v>
      </c>
      <c r="C1387" t="s">
        <v>6681</v>
      </c>
      <c r="D1387" t="s">
        <v>672</v>
      </c>
      <c r="E1387" t="s">
        <v>222</v>
      </c>
      <c r="F1387" t="s">
        <v>30</v>
      </c>
      <c r="G1387" s="6">
        <v>45657</v>
      </c>
      <c r="H1387" t="s">
        <v>6816</v>
      </c>
      <c r="I1387" t="s">
        <v>57</v>
      </c>
      <c r="J1387" t="s">
        <v>78</v>
      </c>
      <c r="K1387">
        <v>15</v>
      </c>
      <c r="L1387">
        <v>23.6</v>
      </c>
      <c r="M1387">
        <v>1.3</v>
      </c>
      <c r="N1387">
        <v>1.573333333333333</v>
      </c>
      <c r="O1387" t="s">
        <v>3932</v>
      </c>
      <c r="P1387" t="s">
        <v>7466</v>
      </c>
      <c r="Q1387" t="s">
        <v>3930</v>
      </c>
      <c r="R1387">
        <v>2</v>
      </c>
      <c r="S1387">
        <v>2</v>
      </c>
    </row>
    <row r="1388" spans="1:19" hidden="1" x14ac:dyDescent="0.3">
      <c r="A1388" t="s">
        <v>3928</v>
      </c>
      <c r="B1388" t="s">
        <v>2162</v>
      </c>
      <c r="C1388" t="s">
        <v>6681</v>
      </c>
      <c r="D1388" t="s">
        <v>672</v>
      </c>
      <c r="E1388" t="s">
        <v>222</v>
      </c>
      <c r="F1388" t="s">
        <v>30</v>
      </c>
      <c r="G1388" s="6">
        <v>46022</v>
      </c>
      <c r="H1388" t="s">
        <v>6823</v>
      </c>
      <c r="I1388" t="s">
        <v>57</v>
      </c>
      <c r="J1388" t="s">
        <v>103</v>
      </c>
      <c r="K1388">
        <v>15</v>
      </c>
      <c r="L1388">
        <v>15.775</v>
      </c>
      <c r="M1388">
        <v>1.051666666666667</v>
      </c>
      <c r="N1388">
        <v>1.051666666666667</v>
      </c>
      <c r="O1388" t="s">
        <v>3932</v>
      </c>
      <c r="P1388" t="s">
        <v>7467</v>
      </c>
      <c r="Q1388" t="s">
        <v>3937</v>
      </c>
      <c r="R1388">
        <v>2</v>
      </c>
      <c r="S1388">
        <v>2</v>
      </c>
    </row>
    <row r="1389" spans="1:19" hidden="1" x14ac:dyDescent="0.3">
      <c r="A1389" t="s">
        <v>3938</v>
      </c>
      <c r="B1389" t="s">
        <v>3939</v>
      </c>
      <c r="C1389" t="s">
        <v>6681</v>
      </c>
      <c r="D1389" t="s">
        <v>672</v>
      </c>
      <c r="E1389" t="s">
        <v>222</v>
      </c>
      <c r="F1389" t="s">
        <v>30</v>
      </c>
      <c r="G1389" s="6">
        <v>45657</v>
      </c>
      <c r="H1389" t="s">
        <v>6816</v>
      </c>
      <c r="I1389" t="s">
        <v>57</v>
      </c>
      <c r="J1389" t="s">
        <v>78</v>
      </c>
      <c r="K1389">
        <v>9</v>
      </c>
      <c r="L1389">
        <v>14.125</v>
      </c>
      <c r="M1389">
        <v>1.3</v>
      </c>
      <c r="N1389">
        <v>1.569444444444444</v>
      </c>
      <c r="O1389" t="s">
        <v>3653</v>
      </c>
      <c r="P1389" t="s">
        <v>7468</v>
      </c>
      <c r="Q1389" t="s">
        <v>3941</v>
      </c>
      <c r="R1389">
        <v>2</v>
      </c>
      <c r="S1389">
        <v>2</v>
      </c>
    </row>
    <row r="1390" spans="1:19" hidden="1" x14ac:dyDescent="0.3">
      <c r="A1390" t="s">
        <v>3938</v>
      </c>
      <c r="B1390" t="s">
        <v>3939</v>
      </c>
      <c r="C1390" t="s">
        <v>6681</v>
      </c>
      <c r="D1390" t="s">
        <v>672</v>
      </c>
      <c r="E1390" t="s">
        <v>222</v>
      </c>
      <c r="F1390" t="s">
        <v>30</v>
      </c>
      <c r="G1390" s="6">
        <v>46022</v>
      </c>
      <c r="H1390" t="s">
        <v>6823</v>
      </c>
      <c r="I1390" t="s">
        <v>57</v>
      </c>
      <c r="J1390" t="s">
        <v>103</v>
      </c>
      <c r="K1390">
        <v>17</v>
      </c>
      <c r="L1390">
        <v>49.489999999999988</v>
      </c>
      <c r="M1390">
        <v>1.3</v>
      </c>
      <c r="N1390">
        <v>2.9111764705882348</v>
      </c>
      <c r="O1390" t="s">
        <v>1478</v>
      </c>
      <c r="P1390" t="s">
        <v>7469</v>
      </c>
      <c r="Q1390" t="s">
        <v>3947</v>
      </c>
      <c r="R1390">
        <v>2</v>
      </c>
      <c r="S1390">
        <v>2</v>
      </c>
    </row>
    <row r="1391" spans="1:19" hidden="1" x14ac:dyDescent="0.3">
      <c r="A1391" t="s">
        <v>3948</v>
      </c>
      <c r="B1391" t="s">
        <v>3949</v>
      </c>
      <c r="D1391" t="s">
        <v>2177</v>
      </c>
      <c r="E1391" t="s">
        <v>233</v>
      </c>
      <c r="F1391" t="s">
        <v>30</v>
      </c>
      <c r="G1391" s="6">
        <v>45657</v>
      </c>
      <c r="H1391" t="s">
        <v>6816</v>
      </c>
      <c r="I1391" t="s">
        <v>57</v>
      </c>
      <c r="J1391" t="s">
        <v>78</v>
      </c>
      <c r="K1391">
        <v>63.333333333333343</v>
      </c>
      <c r="L1391">
        <v>78.631794871794867</v>
      </c>
      <c r="M1391">
        <v>1.2415546558704449</v>
      </c>
      <c r="N1391">
        <v>1.2415546558704449</v>
      </c>
      <c r="O1391" t="s">
        <v>7470</v>
      </c>
      <c r="P1391" t="s">
        <v>7471</v>
      </c>
      <c r="Q1391" t="s">
        <v>3954</v>
      </c>
      <c r="R1391">
        <v>2</v>
      </c>
      <c r="S1391">
        <v>2</v>
      </c>
    </row>
    <row r="1392" spans="1:19" hidden="1" x14ac:dyDescent="0.3">
      <c r="A1392" t="s">
        <v>3955</v>
      </c>
      <c r="B1392" t="s">
        <v>3956</v>
      </c>
      <c r="D1392" t="s">
        <v>2177</v>
      </c>
      <c r="E1392" t="s">
        <v>233</v>
      </c>
      <c r="F1392" t="s">
        <v>108</v>
      </c>
      <c r="G1392" s="6">
        <v>45657</v>
      </c>
      <c r="H1392" t="s">
        <v>6816</v>
      </c>
      <c r="I1392" t="s">
        <v>57</v>
      </c>
      <c r="J1392" t="s">
        <v>78</v>
      </c>
      <c r="M1392">
        <v>0</v>
      </c>
      <c r="N1392">
        <v>0</v>
      </c>
      <c r="Q1392" t="s">
        <v>7472</v>
      </c>
      <c r="R1392">
        <v>2</v>
      </c>
      <c r="S1392">
        <v>2</v>
      </c>
    </row>
    <row r="1393" spans="1:19" hidden="1" x14ac:dyDescent="0.3">
      <c r="A1393" t="s">
        <v>3958</v>
      </c>
      <c r="B1393" t="s">
        <v>3959</v>
      </c>
      <c r="C1393" t="s">
        <v>6681</v>
      </c>
      <c r="D1393" t="s">
        <v>3093</v>
      </c>
      <c r="E1393" t="s">
        <v>222</v>
      </c>
      <c r="F1393" t="s">
        <v>30</v>
      </c>
      <c r="G1393" s="6">
        <v>45657</v>
      </c>
      <c r="H1393" t="s">
        <v>6816</v>
      </c>
      <c r="I1393" t="s">
        <v>57</v>
      </c>
      <c r="J1393" t="s">
        <v>78</v>
      </c>
      <c r="K1393">
        <v>0</v>
      </c>
      <c r="L1393">
        <v>38.799999999999997</v>
      </c>
      <c r="M1393">
        <v>0</v>
      </c>
      <c r="N1393">
        <v>0</v>
      </c>
      <c r="O1393" t="s">
        <v>122</v>
      </c>
      <c r="P1393" t="s">
        <v>7473</v>
      </c>
      <c r="Q1393" t="s">
        <v>3961</v>
      </c>
      <c r="R1393">
        <v>2</v>
      </c>
      <c r="S1393">
        <v>2</v>
      </c>
    </row>
    <row r="1394" spans="1:19" hidden="1" x14ac:dyDescent="0.3">
      <c r="A1394" t="s">
        <v>3958</v>
      </c>
      <c r="B1394" t="s">
        <v>3962</v>
      </c>
      <c r="C1394" t="s">
        <v>6681</v>
      </c>
      <c r="D1394" t="s">
        <v>3093</v>
      </c>
      <c r="E1394" t="s">
        <v>222</v>
      </c>
      <c r="F1394" t="s">
        <v>30</v>
      </c>
      <c r="G1394" s="6">
        <v>46022</v>
      </c>
      <c r="H1394" t="s">
        <v>6823</v>
      </c>
      <c r="I1394" t="s">
        <v>57</v>
      </c>
      <c r="J1394" t="s">
        <v>103</v>
      </c>
      <c r="K1394">
        <v>100</v>
      </c>
      <c r="L1394">
        <v>125.15</v>
      </c>
      <c r="M1394">
        <v>1.2515000000000001</v>
      </c>
      <c r="N1394">
        <v>1.2515000000000001</v>
      </c>
      <c r="O1394" t="s">
        <v>102</v>
      </c>
      <c r="P1394" t="s">
        <v>7474</v>
      </c>
      <c r="Q1394" t="s">
        <v>3968</v>
      </c>
      <c r="R1394">
        <v>2</v>
      </c>
      <c r="S1394">
        <v>2</v>
      </c>
    </row>
    <row r="1395" spans="1:19" hidden="1" x14ac:dyDescent="0.3">
      <c r="A1395" t="s">
        <v>3969</v>
      </c>
      <c r="B1395" t="s">
        <v>3970</v>
      </c>
      <c r="C1395" t="s">
        <v>6681</v>
      </c>
      <c r="D1395" t="s">
        <v>3093</v>
      </c>
      <c r="E1395" t="s">
        <v>222</v>
      </c>
      <c r="F1395" t="s">
        <v>30</v>
      </c>
      <c r="G1395" s="6">
        <v>45657</v>
      </c>
      <c r="H1395" t="s">
        <v>6816</v>
      </c>
      <c r="I1395" t="s">
        <v>57</v>
      </c>
      <c r="J1395" t="s">
        <v>78</v>
      </c>
      <c r="K1395">
        <v>100</v>
      </c>
      <c r="L1395">
        <v>160</v>
      </c>
      <c r="M1395">
        <v>1.3</v>
      </c>
      <c r="N1395">
        <v>1.6</v>
      </c>
      <c r="O1395" t="s">
        <v>102</v>
      </c>
      <c r="P1395" t="s">
        <v>6212</v>
      </c>
      <c r="Q1395" t="s">
        <v>3972</v>
      </c>
      <c r="R1395">
        <v>2</v>
      </c>
      <c r="S1395">
        <v>2</v>
      </c>
    </row>
    <row r="1396" spans="1:19" hidden="1" x14ac:dyDescent="0.3">
      <c r="A1396" t="s">
        <v>3969</v>
      </c>
      <c r="B1396" t="s">
        <v>3970</v>
      </c>
      <c r="C1396" t="s">
        <v>6681</v>
      </c>
      <c r="D1396" t="s">
        <v>3093</v>
      </c>
      <c r="E1396" t="s">
        <v>222</v>
      </c>
      <c r="F1396" t="s">
        <v>30</v>
      </c>
      <c r="G1396" s="6">
        <v>46022</v>
      </c>
      <c r="H1396" t="s">
        <v>6823</v>
      </c>
      <c r="I1396" t="s">
        <v>57</v>
      </c>
      <c r="J1396" t="s">
        <v>103</v>
      </c>
      <c r="K1396">
        <v>100</v>
      </c>
      <c r="M1396">
        <v>0</v>
      </c>
      <c r="N1396">
        <v>0</v>
      </c>
      <c r="O1396" t="s">
        <v>102</v>
      </c>
      <c r="Q1396" t="s">
        <v>3974</v>
      </c>
      <c r="R1396">
        <v>2</v>
      </c>
      <c r="S1396">
        <v>2</v>
      </c>
    </row>
    <row r="1397" spans="1:19" hidden="1" x14ac:dyDescent="0.3">
      <c r="A1397" t="s">
        <v>3975</v>
      </c>
      <c r="B1397" t="s">
        <v>3976</v>
      </c>
      <c r="C1397" t="s">
        <v>6681</v>
      </c>
      <c r="D1397" t="s">
        <v>3126</v>
      </c>
      <c r="E1397" t="s">
        <v>233</v>
      </c>
      <c r="F1397" t="s">
        <v>30</v>
      </c>
      <c r="G1397" s="6">
        <v>45657</v>
      </c>
      <c r="H1397" t="s">
        <v>6816</v>
      </c>
      <c r="I1397" t="s">
        <v>57</v>
      </c>
      <c r="J1397" t="s">
        <v>78</v>
      </c>
      <c r="K1397">
        <v>18.75</v>
      </c>
      <c r="L1397">
        <v>49.75</v>
      </c>
      <c r="M1397">
        <v>1.3</v>
      </c>
      <c r="N1397">
        <v>2.6533333333333329</v>
      </c>
      <c r="O1397" t="s">
        <v>7475</v>
      </c>
      <c r="P1397" t="s">
        <v>7476</v>
      </c>
      <c r="Q1397" t="s">
        <v>3980</v>
      </c>
      <c r="R1397">
        <v>2</v>
      </c>
      <c r="S1397">
        <v>2</v>
      </c>
    </row>
    <row r="1398" spans="1:19" hidden="1" x14ac:dyDescent="0.3">
      <c r="A1398" t="s">
        <v>3975</v>
      </c>
      <c r="B1398" t="s">
        <v>3976</v>
      </c>
      <c r="C1398" t="s">
        <v>6681</v>
      </c>
      <c r="D1398" t="s">
        <v>3126</v>
      </c>
      <c r="E1398" t="s">
        <v>233</v>
      </c>
      <c r="F1398" t="s">
        <v>30</v>
      </c>
      <c r="G1398" s="6">
        <v>46022</v>
      </c>
      <c r="H1398" t="s">
        <v>6823</v>
      </c>
      <c r="I1398" t="s">
        <v>57</v>
      </c>
      <c r="J1398" t="s">
        <v>103</v>
      </c>
      <c r="K1398">
        <v>100</v>
      </c>
      <c r="L1398">
        <v>82.666666666666671</v>
      </c>
      <c r="M1398">
        <v>0.82666666666666666</v>
      </c>
      <c r="N1398">
        <v>0.82666666666666666</v>
      </c>
      <c r="O1398" t="s">
        <v>102</v>
      </c>
      <c r="P1398" t="s">
        <v>7477</v>
      </c>
      <c r="Q1398" t="s">
        <v>3985</v>
      </c>
      <c r="R1398">
        <v>2</v>
      </c>
      <c r="S1398">
        <v>2</v>
      </c>
    </row>
    <row r="1399" spans="1:19" hidden="1" x14ac:dyDescent="0.3">
      <c r="A1399" t="s">
        <v>3986</v>
      </c>
      <c r="B1399" t="s">
        <v>3987</v>
      </c>
      <c r="D1399" t="s">
        <v>3126</v>
      </c>
      <c r="E1399" t="s">
        <v>233</v>
      </c>
      <c r="F1399" t="s">
        <v>30</v>
      </c>
      <c r="G1399" s="6">
        <v>45657</v>
      </c>
      <c r="H1399" t="s">
        <v>6816</v>
      </c>
      <c r="I1399" t="s">
        <v>57</v>
      </c>
      <c r="J1399" t="s">
        <v>78</v>
      </c>
      <c r="K1399">
        <v>0</v>
      </c>
      <c r="L1399">
        <v>88</v>
      </c>
      <c r="M1399">
        <v>0</v>
      </c>
      <c r="N1399">
        <v>0</v>
      </c>
      <c r="O1399" t="s">
        <v>122</v>
      </c>
      <c r="P1399" t="s">
        <v>4404</v>
      </c>
      <c r="Q1399" t="s">
        <v>3991</v>
      </c>
      <c r="R1399">
        <v>2</v>
      </c>
      <c r="S1399">
        <v>2</v>
      </c>
    </row>
    <row r="1400" spans="1:19" hidden="1" x14ac:dyDescent="0.3">
      <c r="A1400" t="s">
        <v>3992</v>
      </c>
      <c r="B1400" t="s">
        <v>3993</v>
      </c>
      <c r="C1400" t="s">
        <v>6622</v>
      </c>
      <c r="D1400" t="s">
        <v>3126</v>
      </c>
      <c r="E1400" t="s">
        <v>233</v>
      </c>
      <c r="F1400" t="s">
        <v>30</v>
      </c>
      <c r="G1400" s="6">
        <v>45657</v>
      </c>
      <c r="H1400" t="s">
        <v>6816</v>
      </c>
      <c r="I1400" t="s">
        <v>57</v>
      </c>
      <c r="J1400" t="s">
        <v>78</v>
      </c>
      <c r="K1400">
        <v>90</v>
      </c>
      <c r="L1400">
        <v>100</v>
      </c>
      <c r="M1400">
        <v>1.1111111111111109</v>
      </c>
      <c r="N1400">
        <v>1.1111111111111109</v>
      </c>
      <c r="O1400" t="s">
        <v>256</v>
      </c>
      <c r="P1400" t="s">
        <v>102</v>
      </c>
      <c r="Q1400" t="s">
        <v>3995</v>
      </c>
      <c r="R1400">
        <v>2</v>
      </c>
      <c r="S1400">
        <v>2</v>
      </c>
    </row>
    <row r="1401" spans="1:19" hidden="1" x14ac:dyDescent="0.3">
      <c r="A1401" t="s">
        <v>3992</v>
      </c>
      <c r="B1401" t="s">
        <v>3993</v>
      </c>
      <c r="C1401" t="s">
        <v>6622</v>
      </c>
      <c r="D1401" t="s">
        <v>3126</v>
      </c>
      <c r="E1401" t="s">
        <v>233</v>
      </c>
      <c r="F1401" t="s">
        <v>30</v>
      </c>
      <c r="G1401" s="6">
        <v>46022</v>
      </c>
      <c r="H1401" t="s">
        <v>6823</v>
      </c>
      <c r="I1401" t="s">
        <v>57</v>
      </c>
      <c r="J1401" t="s">
        <v>103</v>
      </c>
      <c r="K1401">
        <v>100</v>
      </c>
      <c r="L1401">
        <v>100</v>
      </c>
      <c r="M1401">
        <v>1</v>
      </c>
      <c r="N1401">
        <v>1</v>
      </c>
      <c r="O1401" t="s">
        <v>102</v>
      </c>
      <c r="P1401" t="s">
        <v>102</v>
      </c>
      <c r="Q1401" t="s">
        <v>3998</v>
      </c>
      <c r="R1401">
        <v>2</v>
      </c>
      <c r="S1401">
        <v>2</v>
      </c>
    </row>
    <row r="1402" spans="1:19" hidden="1" x14ac:dyDescent="0.3">
      <c r="A1402" t="s">
        <v>3999</v>
      </c>
      <c r="B1402" t="s">
        <v>4000</v>
      </c>
      <c r="C1402" t="s">
        <v>6681</v>
      </c>
      <c r="D1402" t="s">
        <v>165</v>
      </c>
      <c r="E1402" t="s">
        <v>222</v>
      </c>
      <c r="F1402" t="s">
        <v>30</v>
      </c>
      <c r="G1402" s="6">
        <v>45657</v>
      </c>
      <c r="H1402" t="s">
        <v>6816</v>
      </c>
      <c r="I1402" t="s">
        <v>57</v>
      </c>
      <c r="J1402" t="s">
        <v>78</v>
      </c>
      <c r="K1402">
        <v>100</v>
      </c>
      <c r="L1402">
        <v>97.344999999999999</v>
      </c>
      <c r="M1402">
        <v>0.97345000000000004</v>
      </c>
      <c r="N1402">
        <v>0.97345000000000004</v>
      </c>
      <c r="O1402" t="s">
        <v>102</v>
      </c>
      <c r="P1402" t="s">
        <v>5933</v>
      </c>
      <c r="Q1402" t="s">
        <v>4002</v>
      </c>
      <c r="R1402">
        <v>2</v>
      </c>
      <c r="S1402">
        <v>2</v>
      </c>
    </row>
    <row r="1403" spans="1:19" hidden="1" x14ac:dyDescent="0.3">
      <c r="A1403" t="s">
        <v>3999</v>
      </c>
      <c r="B1403" t="s">
        <v>4000</v>
      </c>
      <c r="C1403" t="s">
        <v>6681</v>
      </c>
      <c r="D1403" t="s">
        <v>165</v>
      </c>
      <c r="E1403" t="s">
        <v>233</v>
      </c>
      <c r="F1403" t="s">
        <v>30</v>
      </c>
      <c r="G1403" s="6">
        <v>46022</v>
      </c>
      <c r="H1403" t="s">
        <v>6823</v>
      </c>
      <c r="I1403" t="s">
        <v>57</v>
      </c>
      <c r="J1403" t="s">
        <v>103</v>
      </c>
      <c r="K1403">
        <v>100</v>
      </c>
      <c r="L1403">
        <v>105.185</v>
      </c>
      <c r="M1403">
        <v>1.05185</v>
      </c>
      <c r="N1403">
        <v>1.05185</v>
      </c>
      <c r="O1403" t="s">
        <v>102</v>
      </c>
      <c r="P1403" t="s">
        <v>6416</v>
      </c>
      <c r="Q1403" t="s">
        <v>4009</v>
      </c>
      <c r="R1403">
        <v>2</v>
      </c>
      <c r="S1403">
        <v>2</v>
      </c>
    </row>
    <row r="1404" spans="1:19" hidden="1" x14ac:dyDescent="0.3">
      <c r="A1404" t="s">
        <v>4010</v>
      </c>
      <c r="B1404" t="s">
        <v>4011</v>
      </c>
      <c r="C1404" t="s">
        <v>6681</v>
      </c>
      <c r="D1404" t="s">
        <v>165</v>
      </c>
      <c r="E1404" t="s">
        <v>222</v>
      </c>
      <c r="F1404" t="s">
        <v>30</v>
      </c>
      <c r="G1404" s="6">
        <v>45657</v>
      </c>
      <c r="H1404" t="s">
        <v>6816</v>
      </c>
      <c r="I1404" t="s">
        <v>57</v>
      </c>
      <c r="J1404" t="s">
        <v>78</v>
      </c>
      <c r="K1404">
        <v>100</v>
      </c>
      <c r="L1404">
        <v>80</v>
      </c>
      <c r="M1404">
        <v>0.8</v>
      </c>
      <c r="N1404">
        <v>0.8</v>
      </c>
      <c r="O1404" t="s">
        <v>102</v>
      </c>
      <c r="P1404" t="s">
        <v>193</v>
      </c>
      <c r="Q1404" t="s">
        <v>4013</v>
      </c>
      <c r="R1404">
        <v>2</v>
      </c>
      <c r="S1404">
        <v>2</v>
      </c>
    </row>
    <row r="1405" spans="1:19" hidden="1" x14ac:dyDescent="0.3">
      <c r="A1405" t="s">
        <v>4010</v>
      </c>
      <c r="B1405" t="s">
        <v>4011</v>
      </c>
      <c r="C1405" t="s">
        <v>6681</v>
      </c>
      <c r="D1405" t="s">
        <v>165</v>
      </c>
      <c r="E1405" t="s">
        <v>233</v>
      </c>
      <c r="F1405" t="s">
        <v>30</v>
      </c>
      <c r="G1405" s="6">
        <v>46022</v>
      </c>
      <c r="H1405" t="s">
        <v>6823</v>
      </c>
      <c r="I1405" t="s">
        <v>57</v>
      </c>
      <c r="J1405" t="s">
        <v>103</v>
      </c>
      <c r="K1405">
        <v>100</v>
      </c>
      <c r="L1405">
        <v>141.66499999999999</v>
      </c>
      <c r="M1405">
        <v>1.3</v>
      </c>
      <c r="N1405">
        <v>1.41665</v>
      </c>
      <c r="O1405" t="s">
        <v>102</v>
      </c>
      <c r="P1405" t="s">
        <v>6417</v>
      </c>
      <c r="Q1405" t="s">
        <v>4016</v>
      </c>
      <c r="R1405">
        <v>2</v>
      </c>
      <c r="S1405">
        <v>2</v>
      </c>
    </row>
    <row r="1406" spans="1:19" hidden="1" x14ac:dyDescent="0.3">
      <c r="A1406" t="s">
        <v>4017</v>
      </c>
      <c r="B1406" t="s">
        <v>4018</v>
      </c>
      <c r="D1406" t="s">
        <v>165</v>
      </c>
      <c r="E1406" t="s">
        <v>222</v>
      </c>
      <c r="F1406" t="s">
        <v>30</v>
      </c>
      <c r="G1406" s="6">
        <v>45657</v>
      </c>
      <c r="H1406" t="s">
        <v>6816</v>
      </c>
      <c r="I1406" t="s">
        <v>57</v>
      </c>
      <c r="J1406" t="s">
        <v>78</v>
      </c>
      <c r="L1406">
        <v>4900000</v>
      </c>
      <c r="M1406">
        <v>0</v>
      </c>
      <c r="N1406">
        <v>0</v>
      </c>
      <c r="P1406" t="s">
        <v>6418</v>
      </c>
      <c r="Q1406" t="s">
        <v>7478</v>
      </c>
      <c r="R1406">
        <v>2</v>
      </c>
      <c r="S1406">
        <v>2</v>
      </c>
    </row>
    <row r="1407" spans="1:19" hidden="1" x14ac:dyDescent="0.3">
      <c r="A1407" t="s">
        <v>4020</v>
      </c>
      <c r="B1407" t="s">
        <v>4021</v>
      </c>
      <c r="D1407" t="s">
        <v>3093</v>
      </c>
      <c r="E1407" t="s">
        <v>233</v>
      </c>
      <c r="F1407" t="s">
        <v>30</v>
      </c>
      <c r="G1407" s="6">
        <v>45657</v>
      </c>
      <c r="H1407" t="s">
        <v>6816</v>
      </c>
      <c r="I1407" t="s">
        <v>57</v>
      </c>
      <c r="J1407" t="s">
        <v>78</v>
      </c>
      <c r="K1407">
        <v>100</v>
      </c>
      <c r="L1407">
        <v>139.13</v>
      </c>
      <c r="M1407">
        <v>1.3</v>
      </c>
      <c r="N1407">
        <v>1.3913</v>
      </c>
      <c r="O1407" t="s">
        <v>102</v>
      </c>
      <c r="P1407" t="s">
        <v>7479</v>
      </c>
      <c r="Q1407" t="s">
        <v>4025</v>
      </c>
      <c r="R1407">
        <v>2</v>
      </c>
      <c r="S1407">
        <v>2</v>
      </c>
    </row>
    <row r="1408" spans="1:19" hidden="1" x14ac:dyDescent="0.3">
      <c r="A1408" t="s">
        <v>4026</v>
      </c>
      <c r="B1408" t="s">
        <v>4027</v>
      </c>
      <c r="C1408" t="s">
        <v>6681</v>
      </c>
      <c r="D1408" t="s">
        <v>262</v>
      </c>
      <c r="E1408" t="s">
        <v>98</v>
      </c>
      <c r="F1408" t="s">
        <v>30</v>
      </c>
      <c r="G1408" s="6">
        <v>45657</v>
      </c>
      <c r="H1408" t="s">
        <v>6816</v>
      </c>
      <c r="I1408" t="s">
        <v>57</v>
      </c>
      <c r="J1408" t="s">
        <v>78</v>
      </c>
      <c r="K1408">
        <v>80</v>
      </c>
      <c r="L1408">
        <v>91.44</v>
      </c>
      <c r="M1408">
        <v>1.143</v>
      </c>
      <c r="N1408">
        <v>1.143</v>
      </c>
      <c r="O1408" t="s">
        <v>193</v>
      </c>
      <c r="P1408" t="s">
        <v>6421</v>
      </c>
      <c r="Q1408" t="s">
        <v>4028</v>
      </c>
      <c r="R1408">
        <v>2</v>
      </c>
      <c r="S1408">
        <v>2</v>
      </c>
    </row>
    <row r="1409" spans="1:19" hidden="1" x14ac:dyDescent="0.3">
      <c r="A1409" t="s">
        <v>4026</v>
      </c>
      <c r="B1409" t="s">
        <v>4027</v>
      </c>
      <c r="C1409" t="s">
        <v>6681</v>
      </c>
      <c r="D1409" t="s">
        <v>262</v>
      </c>
      <c r="E1409" t="s">
        <v>98</v>
      </c>
      <c r="F1409" t="s">
        <v>30</v>
      </c>
      <c r="G1409" s="6">
        <v>46022</v>
      </c>
      <c r="H1409" t="s">
        <v>6823</v>
      </c>
      <c r="I1409" t="s">
        <v>57</v>
      </c>
      <c r="J1409" t="s">
        <v>103</v>
      </c>
      <c r="K1409">
        <v>80</v>
      </c>
      <c r="L1409">
        <v>84.18</v>
      </c>
      <c r="M1409">
        <v>1.0522499999999999</v>
      </c>
      <c r="N1409">
        <v>1.0522499999999999</v>
      </c>
      <c r="O1409" t="s">
        <v>193</v>
      </c>
      <c r="P1409" t="s">
        <v>2005</v>
      </c>
      <c r="Q1409" t="s">
        <v>4029</v>
      </c>
      <c r="R1409">
        <v>2</v>
      </c>
      <c r="S1409">
        <v>2</v>
      </c>
    </row>
    <row r="1410" spans="1:19" hidden="1" x14ac:dyDescent="0.3">
      <c r="A1410" t="s">
        <v>4030</v>
      </c>
      <c r="B1410" t="s">
        <v>4031</v>
      </c>
      <c r="D1410" t="s">
        <v>842</v>
      </c>
      <c r="E1410" t="s">
        <v>222</v>
      </c>
      <c r="F1410" t="s">
        <v>30</v>
      </c>
      <c r="G1410" s="6">
        <v>45657</v>
      </c>
      <c r="H1410" t="s">
        <v>6816</v>
      </c>
      <c r="I1410" t="s">
        <v>57</v>
      </c>
      <c r="J1410" t="s">
        <v>78</v>
      </c>
      <c r="K1410">
        <v>85</v>
      </c>
      <c r="L1410">
        <v>100</v>
      </c>
      <c r="M1410">
        <v>1.1764705882352939</v>
      </c>
      <c r="N1410">
        <v>1.1764705882352939</v>
      </c>
      <c r="O1410" t="s">
        <v>2357</v>
      </c>
      <c r="P1410" t="s">
        <v>102</v>
      </c>
      <c r="Q1410" t="s">
        <v>4033</v>
      </c>
      <c r="R1410">
        <v>2</v>
      </c>
      <c r="S1410">
        <v>2</v>
      </c>
    </row>
    <row r="1411" spans="1:19" hidden="1" x14ac:dyDescent="0.3">
      <c r="A1411" t="s">
        <v>4034</v>
      </c>
      <c r="B1411" t="s">
        <v>4035</v>
      </c>
      <c r="D1411" t="s">
        <v>262</v>
      </c>
      <c r="E1411" t="s">
        <v>222</v>
      </c>
      <c r="F1411" t="s">
        <v>30</v>
      </c>
      <c r="G1411" s="6">
        <v>45657</v>
      </c>
      <c r="H1411" t="s">
        <v>6816</v>
      </c>
      <c r="I1411" t="s">
        <v>57</v>
      </c>
      <c r="J1411" t="s">
        <v>78</v>
      </c>
      <c r="K1411">
        <v>100</v>
      </c>
      <c r="L1411">
        <v>97.5</v>
      </c>
      <c r="M1411">
        <v>0.97499999999999998</v>
      </c>
      <c r="N1411">
        <v>0.97499999999999998</v>
      </c>
      <c r="O1411" t="s">
        <v>102</v>
      </c>
      <c r="P1411" t="s">
        <v>7480</v>
      </c>
      <c r="Q1411" t="s">
        <v>4037</v>
      </c>
      <c r="R1411">
        <v>2</v>
      </c>
      <c r="S1411">
        <v>2</v>
      </c>
    </row>
    <row r="1412" spans="1:19" hidden="1" x14ac:dyDescent="0.3">
      <c r="A1412" t="s">
        <v>4038</v>
      </c>
      <c r="B1412" t="s">
        <v>4039</v>
      </c>
      <c r="D1412" t="s">
        <v>2619</v>
      </c>
      <c r="E1412" t="s">
        <v>222</v>
      </c>
      <c r="F1412" t="s">
        <v>30</v>
      </c>
      <c r="G1412" s="6">
        <v>45657</v>
      </c>
      <c r="H1412" t="s">
        <v>6816</v>
      </c>
      <c r="I1412" t="s">
        <v>57</v>
      </c>
      <c r="J1412" t="s">
        <v>78</v>
      </c>
      <c r="K1412">
        <v>87.5</v>
      </c>
      <c r="L1412">
        <v>57.344999999999999</v>
      </c>
      <c r="M1412">
        <v>0.6553714285714286</v>
      </c>
      <c r="N1412">
        <v>0.6553714285714286</v>
      </c>
      <c r="O1412" t="s">
        <v>4496</v>
      </c>
      <c r="P1412" t="s">
        <v>7481</v>
      </c>
      <c r="Q1412" t="s">
        <v>4041</v>
      </c>
      <c r="R1412">
        <v>2</v>
      </c>
      <c r="S1412">
        <v>2</v>
      </c>
    </row>
    <row r="1413" spans="1:19" hidden="1" x14ac:dyDescent="0.3">
      <c r="A1413" t="s">
        <v>4042</v>
      </c>
      <c r="B1413" t="s">
        <v>4043</v>
      </c>
      <c r="C1413" t="s">
        <v>6622</v>
      </c>
      <c r="D1413" t="s">
        <v>1988</v>
      </c>
      <c r="E1413" t="s">
        <v>222</v>
      </c>
      <c r="F1413" t="s">
        <v>30</v>
      </c>
      <c r="G1413" s="6">
        <v>45657</v>
      </c>
      <c r="H1413" t="s">
        <v>6816</v>
      </c>
      <c r="I1413" t="s">
        <v>57</v>
      </c>
      <c r="J1413" t="s">
        <v>78</v>
      </c>
      <c r="K1413">
        <v>50</v>
      </c>
      <c r="L1413">
        <v>56.7</v>
      </c>
      <c r="M1413">
        <v>1.1339999999999999</v>
      </c>
      <c r="N1413">
        <v>1.1339999999999999</v>
      </c>
      <c r="O1413" t="s">
        <v>4242</v>
      </c>
      <c r="P1413" t="s">
        <v>7482</v>
      </c>
      <c r="Q1413" t="s">
        <v>4045</v>
      </c>
      <c r="R1413">
        <v>2</v>
      </c>
      <c r="S1413">
        <v>2</v>
      </c>
    </row>
    <row r="1414" spans="1:19" hidden="1" x14ac:dyDescent="0.3">
      <c r="A1414" t="s">
        <v>4042</v>
      </c>
      <c r="B1414" t="s">
        <v>4043</v>
      </c>
      <c r="C1414" t="s">
        <v>6622</v>
      </c>
      <c r="D1414" t="s">
        <v>1988</v>
      </c>
      <c r="E1414" t="s">
        <v>222</v>
      </c>
      <c r="F1414" t="s">
        <v>30</v>
      </c>
      <c r="G1414" s="6">
        <v>46022</v>
      </c>
      <c r="H1414" t="s">
        <v>6823</v>
      </c>
      <c r="I1414" t="s">
        <v>57</v>
      </c>
      <c r="J1414" t="s">
        <v>103</v>
      </c>
      <c r="K1414">
        <v>100</v>
      </c>
      <c r="L1414">
        <v>106.55</v>
      </c>
      <c r="M1414">
        <v>1.0654999999999999</v>
      </c>
      <c r="N1414">
        <v>1.0654999999999999</v>
      </c>
      <c r="O1414" t="s">
        <v>102</v>
      </c>
      <c r="P1414" t="s">
        <v>4048</v>
      </c>
      <c r="Q1414" t="s">
        <v>4049</v>
      </c>
      <c r="R1414">
        <v>2</v>
      </c>
      <c r="S1414">
        <v>2</v>
      </c>
    </row>
    <row r="1415" spans="1:19" hidden="1" x14ac:dyDescent="0.3">
      <c r="A1415" t="s">
        <v>4050</v>
      </c>
      <c r="B1415" t="s">
        <v>4051</v>
      </c>
      <c r="C1415" t="s">
        <v>6622</v>
      </c>
      <c r="D1415" t="s">
        <v>1988</v>
      </c>
      <c r="E1415" t="s">
        <v>222</v>
      </c>
      <c r="F1415" t="s">
        <v>30</v>
      </c>
      <c r="G1415" s="6">
        <v>45657</v>
      </c>
      <c r="H1415" t="s">
        <v>6816</v>
      </c>
      <c r="I1415" t="s">
        <v>57</v>
      </c>
      <c r="J1415" t="s">
        <v>78</v>
      </c>
      <c r="K1415">
        <v>60</v>
      </c>
      <c r="L1415">
        <v>72.924999999999997</v>
      </c>
      <c r="M1415">
        <v>1.215416666666667</v>
      </c>
      <c r="N1415">
        <v>1.215416666666667</v>
      </c>
      <c r="O1415" t="s">
        <v>2640</v>
      </c>
      <c r="P1415" t="s">
        <v>7483</v>
      </c>
      <c r="Q1415" t="s">
        <v>4053</v>
      </c>
      <c r="R1415">
        <v>2</v>
      </c>
      <c r="S1415">
        <v>2</v>
      </c>
    </row>
    <row r="1416" spans="1:19" hidden="1" x14ac:dyDescent="0.3">
      <c r="A1416" t="s">
        <v>4050</v>
      </c>
      <c r="B1416" t="s">
        <v>4051</v>
      </c>
      <c r="C1416" t="s">
        <v>6622</v>
      </c>
      <c r="D1416" t="s">
        <v>1988</v>
      </c>
      <c r="E1416" t="s">
        <v>222</v>
      </c>
      <c r="F1416" t="s">
        <v>30</v>
      </c>
      <c r="G1416" s="6">
        <v>46022</v>
      </c>
      <c r="H1416" t="s">
        <v>6823</v>
      </c>
      <c r="I1416" t="s">
        <v>57</v>
      </c>
      <c r="J1416" t="s">
        <v>103</v>
      </c>
      <c r="K1416">
        <v>100</v>
      </c>
      <c r="L1416">
        <v>108.75</v>
      </c>
      <c r="M1416">
        <v>1.0874999999999999</v>
      </c>
      <c r="N1416">
        <v>1.0874999999999999</v>
      </c>
      <c r="O1416" t="s">
        <v>102</v>
      </c>
      <c r="P1416" t="s">
        <v>7484</v>
      </c>
      <c r="Q1416" t="s">
        <v>4058</v>
      </c>
      <c r="R1416">
        <v>2</v>
      </c>
      <c r="S1416">
        <v>2</v>
      </c>
    </row>
    <row r="1417" spans="1:19" hidden="1" x14ac:dyDescent="0.3">
      <c r="A1417" t="s">
        <v>4059</v>
      </c>
      <c r="B1417" t="s">
        <v>4060</v>
      </c>
      <c r="C1417" t="s">
        <v>6622</v>
      </c>
      <c r="D1417" t="s">
        <v>1988</v>
      </c>
      <c r="E1417" t="s">
        <v>222</v>
      </c>
      <c r="F1417" t="s">
        <v>108</v>
      </c>
      <c r="G1417" s="6">
        <v>45657</v>
      </c>
      <c r="H1417" t="s">
        <v>6816</v>
      </c>
      <c r="I1417" t="s">
        <v>57</v>
      </c>
      <c r="J1417" t="s">
        <v>78</v>
      </c>
      <c r="K1417">
        <v>3</v>
      </c>
      <c r="L1417">
        <v>2.7250000000000001</v>
      </c>
      <c r="M1417">
        <v>1.1009174311926611</v>
      </c>
      <c r="N1417">
        <v>1.1009174311926611</v>
      </c>
      <c r="O1417" t="s">
        <v>1849</v>
      </c>
      <c r="P1417" t="s">
        <v>7485</v>
      </c>
      <c r="Q1417" t="s">
        <v>4062</v>
      </c>
      <c r="R1417">
        <v>2</v>
      </c>
      <c r="S1417">
        <v>2</v>
      </c>
    </row>
    <row r="1418" spans="1:19" hidden="1" x14ac:dyDescent="0.3">
      <c r="A1418" t="s">
        <v>4059</v>
      </c>
      <c r="B1418" t="s">
        <v>4060</v>
      </c>
      <c r="C1418" t="s">
        <v>6622</v>
      </c>
      <c r="D1418" t="s">
        <v>1988</v>
      </c>
      <c r="E1418" t="s">
        <v>222</v>
      </c>
      <c r="F1418" t="s">
        <v>108</v>
      </c>
      <c r="G1418" s="6">
        <v>46022</v>
      </c>
      <c r="H1418" t="s">
        <v>6823</v>
      </c>
      <c r="I1418" t="s">
        <v>57</v>
      </c>
      <c r="J1418" t="s">
        <v>103</v>
      </c>
      <c r="K1418">
        <v>2.5</v>
      </c>
      <c r="L1418">
        <v>2.25</v>
      </c>
      <c r="M1418">
        <v>1.1111111111111109</v>
      </c>
      <c r="N1418">
        <v>1.1111111111111109</v>
      </c>
      <c r="O1418" t="s">
        <v>4064</v>
      </c>
      <c r="P1418" t="s">
        <v>7486</v>
      </c>
      <c r="Q1418" t="s">
        <v>4067</v>
      </c>
      <c r="R1418">
        <v>2</v>
      </c>
      <c r="S1418">
        <v>2</v>
      </c>
    </row>
    <row r="1419" spans="1:19" hidden="1" x14ac:dyDescent="0.3">
      <c r="A1419" t="s">
        <v>4068</v>
      </c>
      <c r="B1419" t="s">
        <v>4069</v>
      </c>
      <c r="C1419" t="s">
        <v>6622</v>
      </c>
      <c r="D1419" t="s">
        <v>3011</v>
      </c>
      <c r="E1419" t="s">
        <v>233</v>
      </c>
      <c r="F1419" t="s">
        <v>30</v>
      </c>
      <c r="G1419" s="6">
        <v>45291</v>
      </c>
      <c r="H1419" t="s">
        <v>6811</v>
      </c>
      <c r="I1419" t="s">
        <v>57</v>
      </c>
      <c r="J1419" t="s">
        <v>47</v>
      </c>
      <c r="K1419">
        <v>76.5</v>
      </c>
      <c r="L1419">
        <v>44</v>
      </c>
      <c r="M1419">
        <v>0.57516339869281041</v>
      </c>
      <c r="N1419">
        <v>0.57516339869281041</v>
      </c>
      <c r="O1419" t="s">
        <v>7333</v>
      </c>
      <c r="P1419" t="s">
        <v>6201</v>
      </c>
      <c r="Q1419" t="s">
        <v>6431</v>
      </c>
      <c r="R1419">
        <v>2</v>
      </c>
      <c r="S1419">
        <v>2</v>
      </c>
    </row>
    <row r="1420" spans="1:19" hidden="1" x14ac:dyDescent="0.3">
      <c r="A1420" t="s">
        <v>4068</v>
      </c>
      <c r="B1420" t="s">
        <v>3569</v>
      </c>
      <c r="C1420" t="s">
        <v>6622</v>
      </c>
      <c r="D1420" t="s">
        <v>129</v>
      </c>
      <c r="E1420" t="s">
        <v>233</v>
      </c>
      <c r="F1420" t="s">
        <v>30</v>
      </c>
      <c r="G1420" s="6">
        <v>45657</v>
      </c>
      <c r="H1420" t="s">
        <v>6816</v>
      </c>
      <c r="I1420" t="s">
        <v>57</v>
      </c>
      <c r="J1420" t="s">
        <v>78</v>
      </c>
      <c r="K1420">
        <v>100</v>
      </c>
      <c r="L1420">
        <v>101.065</v>
      </c>
      <c r="M1420">
        <v>1.01065</v>
      </c>
      <c r="N1420">
        <v>1.01065</v>
      </c>
      <c r="O1420" t="s">
        <v>102</v>
      </c>
      <c r="P1420" t="s">
        <v>7487</v>
      </c>
      <c r="Q1420" t="s">
        <v>4075</v>
      </c>
      <c r="R1420">
        <v>2</v>
      </c>
      <c r="S1420">
        <v>2</v>
      </c>
    </row>
    <row r="1421" spans="1:19" hidden="1" x14ac:dyDescent="0.3">
      <c r="A1421" t="s">
        <v>4068</v>
      </c>
      <c r="B1421" t="s">
        <v>3569</v>
      </c>
      <c r="C1421" t="s">
        <v>6622</v>
      </c>
      <c r="D1421" t="s">
        <v>129</v>
      </c>
      <c r="E1421" t="s">
        <v>233</v>
      </c>
      <c r="F1421" t="s">
        <v>30</v>
      </c>
      <c r="G1421" s="6">
        <v>46022</v>
      </c>
      <c r="H1421" t="s">
        <v>6823</v>
      </c>
      <c r="I1421" t="s">
        <v>57</v>
      </c>
      <c r="J1421" t="s">
        <v>103</v>
      </c>
      <c r="K1421">
        <v>100</v>
      </c>
      <c r="L1421">
        <v>110.77500000000001</v>
      </c>
      <c r="M1421">
        <v>1.10775</v>
      </c>
      <c r="N1421">
        <v>1.10775</v>
      </c>
      <c r="O1421" t="s">
        <v>102</v>
      </c>
      <c r="P1421" t="s">
        <v>6434</v>
      </c>
      <c r="Q1421" t="s">
        <v>4082</v>
      </c>
      <c r="R1421">
        <v>2</v>
      </c>
      <c r="S1421">
        <v>2</v>
      </c>
    </row>
    <row r="1422" spans="1:19" hidden="1" x14ac:dyDescent="0.3">
      <c r="A1422" t="s">
        <v>7488</v>
      </c>
      <c r="B1422" t="s">
        <v>4069</v>
      </c>
      <c r="C1422" t="s">
        <v>6622</v>
      </c>
      <c r="D1422" t="s">
        <v>3011</v>
      </c>
      <c r="E1422" t="s">
        <v>233</v>
      </c>
      <c r="F1422" t="s">
        <v>30</v>
      </c>
      <c r="G1422" s="6">
        <v>45291</v>
      </c>
      <c r="H1422">
        <v>2023</v>
      </c>
      <c r="I1422" t="s">
        <v>57</v>
      </c>
      <c r="J1422" t="s">
        <v>47</v>
      </c>
      <c r="K1422">
        <v>100</v>
      </c>
      <c r="L1422">
        <v>55</v>
      </c>
      <c r="M1422">
        <v>0.55000000000000004</v>
      </c>
      <c r="N1422">
        <v>0.55000000000000004</v>
      </c>
      <c r="O1422" t="s">
        <v>31</v>
      </c>
      <c r="P1422" t="s">
        <v>31</v>
      </c>
      <c r="Q1422" t="s">
        <v>4071</v>
      </c>
      <c r="R1422">
        <v>0</v>
      </c>
      <c r="S1422">
        <v>0</v>
      </c>
    </row>
    <row r="1423" spans="1:19" hidden="1" x14ac:dyDescent="0.3">
      <c r="A1423" t="s">
        <v>4083</v>
      </c>
      <c r="B1423" t="s">
        <v>4084</v>
      </c>
      <c r="D1423" t="s">
        <v>3331</v>
      </c>
      <c r="E1423" t="s">
        <v>233</v>
      </c>
      <c r="F1423" t="s">
        <v>30</v>
      </c>
      <c r="G1423" s="6">
        <v>45291</v>
      </c>
      <c r="H1423" t="s">
        <v>6811</v>
      </c>
      <c r="I1423" t="s">
        <v>57</v>
      </c>
      <c r="J1423" t="s">
        <v>47</v>
      </c>
      <c r="K1423">
        <v>79.5</v>
      </c>
      <c r="L1423">
        <v>81</v>
      </c>
      <c r="M1423">
        <v>1.0188679245283021</v>
      </c>
      <c r="N1423">
        <v>1.0188679245283021</v>
      </c>
      <c r="O1423" t="s">
        <v>6198</v>
      </c>
      <c r="P1423" t="s">
        <v>1054</v>
      </c>
      <c r="Q1423" t="s">
        <v>4086</v>
      </c>
      <c r="R1423">
        <v>2</v>
      </c>
      <c r="S1423">
        <v>2</v>
      </c>
    </row>
    <row r="1424" spans="1:19" hidden="1" x14ac:dyDescent="0.3">
      <c r="A1424" t="s">
        <v>4083</v>
      </c>
      <c r="B1424" t="s">
        <v>4088</v>
      </c>
      <c r="D1424" t="s">
        <v>3331</v>
      </c>
      <c r="E1424" t="s">
        <v>233</v>
      </c>
      <c r="F1424" t="s">
        <v>30</v>
      </c>
      <c r="G1424" s="6">
        <v>45657</v>
      </c>
      <c r="H1424" t="s">
        <v>6816</v>
      </c>
      <c r="I1424" t="s">
        <v>57</v>
      </c>
      <c r="J1424" t="s">
        <v>78</v>
      </c>
      <c r="K1424">
        <v>67.289999999999992</v>
      </c>
      <c r="L1424">
        <v>75</v>
      </c>
      <c r="M1424">
        <v>1.1145786892554621</v>
      </c>
      <c r="N1424">
        <v>1.1145786892554621</v>
      </c>
      <c r="O1424" t="s">
        <v>6436</v>
      </c>
      <c r="P1424" t="s">
        <v>4302</v>
      </c>
      <c r="Q1424" t="s">
        <v>7489</v>
      </c>
      <c r="R1424">
        <v>2</v>
      </c>
      <c r="S1424">
        <v>2</v>
      </c>
    </row>
    <row r="1425" spans="1:19" hidden="1" x14ac:dyDescent="0.3">
      <c r="A1425" t="s">
        <v>7490</v>
      </c>
      <c r="B1425" t="s">
        <v>4088</v>
      </c>
      <c r="C1425" t="s">
        <v>6622</v>
      </c>
      <c r="D1425" t="s">
        <v>3331</v>
      </c>
      <c r="E1425" t="s">
        <v>233</v>
      </c>
      <c r="F1425" t="s">
        <v>30</v>
      </c>
      <c r="G1425" s="6">
        <v>45657</v>
      </c>
      <c r="H1425">
        <v>2024</v>
      </c>
      <c r="I1425" t="s">
        <v>57</v>
      </c>
      <c r="J1425" t="s">
        <v>78</v>
      </c>
      <c r="K1425">
        <v>100</v>
      </c>
      <c r="L1425">
        <v>100</v>
      </c>
      <c r="M1425">
        <v>1</v>
      </c>
      <c r="N1425">
        <v>1</v>
      </c>
      <c r="O1425" t="s">
        <v>31</v>
      </c>
      <c r="P1425" t="s">
        <v>31</v>
      </c>
      <c r="Q1425" t="s">
        <v>7491</v>
      </c>
      <c r="R1425">
        <v>0</v>
      </c>
      <c r="S1425">
        <v>0</v>
      </c>
    </row>
    <row r="1426" spans="1:19" hidden="1" x14ac:dyDescent="0.3">
      <c r="A1426" t="s">
        <v>7490</v>
      </c>
      <c r="B1426" t="s">
        <v>4088</v>
      </c>
      <c r="C1426" t="s">
        <v>6622</v>
      </c>
      <c r="D1426" t="s">
        <v>3331</v>
      </c>
      <c r="E1426" t="s">
        <v>233</v>
      </c>
      <c r="F1426" t="s">
        <v>30</v>
      </c>
      <c r="G1426" s="6">
        <v>45838</v>
      </c>
      <c r="H1426">
        <v>2025</v>
      </c>
      <c r="I1426" t="s">
        <v>44</v>
      </c>
      <c r="J1426" t="s">
        <v>244</v>
      </c>
      <c r="K1426">
        <v>54</v>
      </c>
      <c r="L1426">
        <v>50</v>
      </c>
      <c r="M1426">
        <v>0.92592592592592593</v>
      </c>
      <c r="N1426">
        <v>0.92592592592592593</v>
      </c>
      <c r="O1426" t="s">
        <v>31</v>
      </c>
      <c r="P1426" t="s">
        <v>31</v>
      </c>
      <c r="Q1426" t="s">
        <v>7492</v>
      </c>
      <c r="R1426">
        <v>0</v>
      </c>
      <c r="S1426">
        <v>0</v>
      </c>
    </row>
    <row r="1427" spans="1:19" hidden="1" x14ac:dyDescent="0.3">
      <c r="A1427" t="s">
        <v>4090</v>
      </c>
      <c r="B1427" t="s">
        <v>4091</v>
      </c>
      <c r="D1427" t="s">
        <v>3011</v>
      </c>
      <c r="E1427" t="s">
        <v>233</v>
      </c>
      <c r="F1427" t="s">
        <v>30</v>
      </c>
      <c r="G1427" s="6">
        <v>45291</v>
      </c>
      <c r="H1427" t="s">
        <v>6811</v>
      </c>
      <c r="I1427" t="s">
        <v>57</v>
      </c>
      <c r="J1427" t="s">
        <v>47</v>
      </c>
      <c r="K1427">
        <v>81.5</v>
      </c>
      <c r="L1427">
        <v>66.664999999999992</v>
      </c>
      <c r="M1427">
        <v>0.81797546012269928</v>
      </c>
      <c r="N1427">
        <v>0.81797546012269928</v>
      </c>
      <c r="O1427" t="s">
        <v>7345</v>
      </c>
      <c r="P1427" t="s">
        <v>7493</v>
      </c>
      <c r="Q1427" t="s">
        <v>4093</v>
      </c>
      <c r="R1427">
        <v>2</v>
      </c>
      <c r="S1427">
        <v>2</v>
      </c>
    </row>
    <row r="1428" spans="1:19" hidden="1" x14ac:dyDescent="0.3">
      <c r="A1428" t="s">
        <v>4090</v>
      </c>
      <c r="B1428" t="s">
        <v>4091</v>
      </c>
      <c r="D1428" t="s">
        <v>3011</v>
      </c>
      <c r="E1428" t="s">
        <v>233</v>
      </c>
      <c r="F1428" t="s">
        <v>30</v>
      </c>
      <c r="G1428" s="6">
        <v>45657</v>
      </c>
      <c r="H1428" t="s">
        <v>6816</v>
      </c>
      <c r="I1428" t="s">
        <v>57</v>
      </c>
      <c r="J1428" t="s">
        <v>78</v>
      </c>
      <c r="K1428">
        <v>89.9</v>
      </c>
      <c r="L1428">
        <v>82</v>
      </c>
      <c r="M1428">
        <v>0.91212458286985532</v>
      </c>
      <c r="N1428">
        <v>0.91212458286985532</v>
      </c>
      <c r="O1428" t="s">
        <v>2670</v>
      </c>
      <c r="P1428" t="s">
        <v>5879</v>
      </c>
      <c r="Q1428" t="s">
        <v>7494</v>
      </c>
      <c r="R1428">
        <v>2</v>
      </c>
      <c r="S1428">
        <v>2</v>
      </c>
    </row>
    <row r="1429" spans="1:19" hidden="1" x14ac:dyDescent="0.3">
      <c r="A1429" t="s">
        <v>4090</v>
      </c>
      <c r="B1429" t="s">
        <v>4091</v>
      </c>
      <c r="C1429" t="s">
        <v>6622</v>
      </c>
      <c r="D1429" t="s">
        <v>3011</v>
      </c>
      <c r="E1429" t="s">
        <v>233</v>
      </c>
      <c r="F1429" t="s">
        <v>30</v>
      </c>
      <c r="G1429" s="6">
        <v>45838</v>
      </c>
      <c r="H1429">
        <v>2025</v>
      </c>
      <c r="I1429" t="s">
        <v>44</v>
      </c>
      <c r="J1429" t="s">
        <v>244</v>
      </c>
      <c r="K1429">
        <v>54</v>
      </c>
      <c r="L1429">
        <v>62</v>
      </c>
      <c r="M1429">
        <v>1</v>
      </c>
      <c r="N1429">
        <v>1</v>
      </c>
      <c r="O1429" t="s">
        <v>31</v>
      </c>
      <c r="P1429" t="s">
        <v>31</v>
      </c>
      <c r="Q1429" t="s">
        <v>7495</v>
      </c>
      <c r="R1429">
        <v>0</v>
      </c>
      <c r="S1429">
        <v>0</v>
      </c>
    </row>
    <row r="1430" spans="1:19" hidden="1" x14ac:dyDescent="0.3">
      <c r="A1430" t="s">
        <v>4095</v>
      </c>
      <c r="B1430" t="s">
        <v>4096</v>
      </c>
      <c r="D1430" t="s">
        <v>3011</v>
      </c>
      <c r="E1430" t="s">
        <v>233</v>
      </c>
      <c r="F1430" t="s">
        <v>30</v>
      </c>
      <c r="G1430" s="6">
        <v>45291</v>
      </c>
      <c r="H1430" t="s">
        <v>6811</v>
      </c>
      <c r="I1430" t="s">
        <v>57</v>
      </c>
      <c r="J1430" t="s">
        <v>47</v>
      </c>
      <c r="K1430">
        <v>75</v>
      </c>
      <c r="L1430">
        <v>89</v>
      </c>
      <c r="M1430">
        <v>1.186666666666667</v>
      </c>
      <c r="N1430">
        <v>1.186666666666667</v>
      </c>
      <c r="O1430" t="s">
        <v>4302</v>
      </c>
      <c r="P1430" t="s">
        <v>280</v>
      </c>
      <c r="Q1430" t="s">
        <v>4098</v>
      </c>
      <c r="R1430">
        <v>2</v>
      </c>
      <c r="S1430">
        <v>2</v>
      </c>
    </row>
    <row r="1431" spans="1:19" hidden="1" x14ac:dyDescent="0.3">
      <c r="A1431" t="s">
        <v>4095</v>
      </c>
      <c r="B1431" t="s">
        <v>4096</v>
      </c>
      <c r="D1431" t="s">
        <v>3011</v>
      </c>
      <c r="E1431" t="s">
        <v>233</v>
      </c>
      <c r="F1431" t="s">
        <v>30</v>
      </c>
      <c r="G1431" s="6">
        <v>45657</v>
      </c>
      <c r="H1431" t="s">
        <v>6816</v>
      </c>
      <c r="I1431" t="s">
        <v>57</v>
      </c>
      <c r="J1431" t="s">
        <v>78</v>
      </c>
      <c r="K1431">
        <v>39.950000000000003</v>
      </c>
      <c r="L1431">
        <v>43.61</v>
      </c>
      <c r="M1431">
        <v>1.0916145181476851</v>
      </c>
      <c r="N1431">
        <v>1.0916145181476851</v>
      </c>
      <c r="O1431" t="s">
        <v>6437</v>
      </c>
      <c r="P1431" t="s">
        <v>6438</v>
      </c>
      <c r="Q1431" t="s">
        <v>7496</v>
      </c>
      <c r="R1431">
        <v>2</v>
      </c>
      <c r="S1431">
        <v>2</v>
      </c>
    </row>
    <row r="1432" spans="1:19" hidden="1" x14ac:dyDescent="0.3">
      <c r="A1432" t="s">
        <v>4095</v>
      </c>
      <c r="B1432" t="s">
        <v>4096</v>
      </c>
      <c r="C1432" t="s">
        <v>6622</v>
      </c>
      <c r="D1432" t="s">
        <v>3011</v>
      </c>
      <c r="E1432" t="s">
        <v>233</v>
      </c>
      <c r="F1432" t="s">
        <v>30</v>
      </c>
      <c r="G1432" s="6">
        <v>45838</v>
      </c>
      <c r="H1432">
        <v>2025</v>
      </c>
      <c r="I1432" t="s">
        <v>44</v>
      </c>
      <c r="J1432" t="s">
        <v>244</v>
      </c>
      <c r="K1432">
        <v>50</v>
      </c>
      <c r="L1432">
        <v>48</v>
      </c>
      <c r="M1432">
        <v>0.96</v>
      </c>
      <c r="N1432">
        <v>0.96</v>
      </c>
      <c r="O1432" t="s">
        <v>31</v>
      </c>
      <c r="P1432" t="s">
        <v>31</v>
      </c>
      <c r="Q1432" t="s">
        <v>7497</v>
      </c>
      <c r="R1432">
        <v>0</v>
      </c>
      <c r="S1432">
        <v>0</v>
      </c>
    </row>
    <row r="1433" spans="1:19" hidden="1" x14ac:dyDescent="0.3">
      <c r="A1433" t="s">
        <v>4100</v>
      </c>
      <c r="B1433" t="s">
        <v>4101</v>
      </c>
      <c r="D1433" t="s">
        <v>3011</v>
      </c>
      <c r="E1433" t="s">
        <v>233</v>
      </c>
      <c r="F1433" t="s">
        <v>30</v>
      </c>
      <c r="G1433" s="6">
        <v>45291</v>
      </c>
      <c r="H1433" t="s">
        <v>6811</v>
      </c>
      <c r="I1433" t="s">
        <v>57</v>
      </c>
      <c r="J1433" t="s">
        <v>47</v>
      </c>
      <c r="K1433">
        <v>84</v>
      </c>
      <c r="L1433">
        <v>85.5</v>
      </c>
      <c r="M1433">
        <v>1.017857142857143</v>
      </c>
      <c r="N1433">
        <v>1.017857142857143</v>
      </c>
      <c r="O1433" t="s">
        <v>6232</v>
      </c>
      <c r="P1433" t="s">
        <v>7293</v>
      </c>
      <c r="Q1433" t="s">
        <v>4103</v>
      </c>
      <c r="R1433">
        <v>2</v>
      </c>
      <c r="S1433">
        <v>2</v>
      </c>
    </row>
    <row r="1434" spans="1:19" hidden="1" x14ac:dyDescent="0.3">
      <c r="A1434" t="s">
        <v>4100</v>
      </c>
      <c r="B1434" t="s">
        <v>4101</v>
      </c>
      <c r="D1434" t="s">
        <v>3011</v>
      </c>
      <c r="E1434" t="s">
        <v>233</v>
      </c>
      <c r="F1434" t="s">
        <v>30</v>
      </c>
      <c r="G1434" s="6">
        <v>45657</v>
      </c>
      <c r="H1434" t="s">
        <v>6816</v>
      </c>
      <c r="I1434" t="s">
        <v>57</v>
      </c>
      <c r="J1434" t="s">
        <v>78</v>
      </c>
      <c r="K1434">
        <v>29.69</v>
      </c>
      <c r="L1434">
        <v>40.36</v>
      </c>
      <c r="M1434">
        <v>1.3</v>
      </c>
      <c r="N1434">
        <v>1.3593802627147189</v>
      </c>
      <c r="O1434" t="s">
        <v>6439</v>
      </c>
      <c r="P1434" t="s">
        <v>6440</v>
      </c>
      <c r="Q1434" t="s">
        <v>7498</v>
      </c>
      <c r="R1434">
        <v>2</v>
      </c>
      <c r="S1434">
        <v>2</v>
      </c>
    </row>
    <row r="1435" spans="1:19" hidden="1" x14ac:dyDescent="0.3">
      <c r="A1435" t="s">
        <v>4100</v>
      </c>
      <c r="B1435" t="s">
        <v>4101</v>
      </c>
      <c r="C1435" t="s">
        <v>6622</v>
      </c>
      <c r="D1435" t="s">
        <v>3011</v>
      </c>
      <c r="E1435" t="s">
        <v>233</v>
      </c>
      <c r="F1435" t="s">
        <v>30</v>
      </c>
      <c r="G1435" s="6">
        <v>45838</v>
      </c>
      <c r="H1435">
        <v>2025</v>
      </c>
      <c r="I1435" t="s">
        <v>44</v>
      </c>
      <c r="J1435" t="s">
        <v>244</v>
      </c>
      <c r="K1435">
        <v>46</v>
      </c>
      <c r="L1435">
        <v>52</v>
      </c>
      <c r="M1435">
        <v>1</v>
      </c>
      <c r="N1435">
        <v>1</v>
      </c>
      <c r="O1435" t="s">
        <v>31</v>
      </c>
      <c r="P1435" t="s">
        <v>31</v>
      </c>
      <c r="Q1435" t="s">
        <v>7499</v>
      </c>
      <c r="R1435">
        <v>0</v>
      </c>
      <c r="S1435">
        <v>0</v>
      </c>
    </row>
    <row r="1436" spans="1:19" hidden="1" x14ac:dyDescent="0.3">
      <c r="A1436" t="s">
        <v>4105</v>
      </c>
      <c r="B1436" t="s">
        <v>4106</v>
      </c>
      <c r="D1436" t="s">
        <v>3011</v>
      </c>
      <c r="E1436" t="s">
        <v>233</v>
      </c>
      <c r="F1436" t="s">
        <v>30</v>
      </c>
      <c r="G1436" s="6">
        <v>45291</v>
      </c>
      <c r="H1436" t="s">
        <v>6811</v>
      </c>
      <c r="I1436" t="s">
        <v>57</v>
      </c>
      <c r="J1436" t="s">
        <v>47</v>
      </c>
      <c r="K1436">
        <v>76.5</v>
      </c>
      <c r="L1436">
        <v>81.5</v>
      </c>
      <c r="M1436">
        <v>1.065359477124183</v>
      </c>
      <c r="N1436">
        <v>1.065359477124183</v>
      </c>
      <c r="O1436" t="s">
        <v>7333</v>
      </c>
      <c r="P1436" t="s">
        <v>7345</v>
      </c>
      <c r="Q1436" t="s">
        <v>4108</v>
      </c>
      <c r="R1436">
        <v>2</v>
      </c>
      <c r="S1436">
        <v>2</v>
      </c>
    </row>
    <row r="1437" spans="1:19" hidden="1" x14ac:dyDescent="0.3">
      <c r="A1437" t="s">
        <v>4105</v>
      </c>
      <c r="B1437" t="s">
        <v>4106</v>
      </c>
      <c r="D1437" t="s">
        <v>3011</v>
      </c>
      <c r="E1437" t="s">
        <v>233</v>
      </c>
      <c r="F1437" t="s">
        <v>30</v>
      </c>
      <c r="G1437" s="6">
        <v>45657</v>
      </c>
      <c r="H1437" t="s">
        <v>6816</v>
      </c>
      <c r="I1437" t="s">
        <v>57</v>
      </c>
      <c r="J1437" t="s">
        <v>78</v>
      </c>
      <c r="K1437">
        <v>40.85</v>
      </c>
      <c r="L1437">
        <v>45.75</v>
      </c>
      <c r="M1437">
        <v>1.119951040391677</v>
      </c>
      <c r="N1437">
        <v>1.119951040391677</v>
      </c>
      <c r="O1437" t="s">
        <v>6441</v>
      </c>
      <c r="P1437" t="s">
        <v>6442</v>
      </c>
      <c r="Q1437" t="s">
        <v>7500</v>
      </c>
      <c r="R1437">
        <v>2</v>
      </c>
      <c r="S1437">
        <v>2</v>
      </c>
    </row>
    <row r="1438" spans="1:19" hidden="1" x14ac:dyDescent="0.3">
      <c r="A1438" t="s">
        <v>4105</v>
      </c>
      <c r="B1438" t="s">
        <v>4106</v>
      </c>
      <c r="C1438" t="s">
        <v>6622</v>
      </c>
      <c r="D1438" t="s">
        <v>3011</v>
      </c>
      <c r="E1438" t="s">
        <v>233</v>
      </c>
      <c r="F1438" t="s">
        <v>30</v>
      </c>
      <c r="G1438" s="6">
        <v>45838</v>
      </c>
      <c r="H1438">
        <v>2025</v>
      </c>
      <c r="I1438" t="s">
        <v>44</v>
      </c>
      <c r="J1438" t="s">
        <v>244</v>
      </c>
      <c r="K1438">
        <v>52</v>
      </c>
      <c r="L1438">
        <v>50</v>
      </c>
      <c r="M1438">
        <v>0.96153846153846156</v>
      </c>
      <c r="N1438">
        <v>0.96153846153846156</v>
      </c>
      <c r="O1438" t="s">
        <v>31</v>
      </c>
      <c r="P1438" t="s">
        <v>31</v>
      </c>
      <c r="Q1438" t="s">
        <v>7501</v>
      </c>
      <c r="R1438">
        <v>0</v>
      </c>
      <c r="S1438">
        <v>0</v>
      </c>
    </row>
    <row r="1439" spans="1:19" hidden="1" x14ac:dyDescent="0.3">
      <c r="A1439" t="s">
        <v>4110</v>
      </c>
      <c r="B1439" t="s">
        <v>4111</v>
      </c>
      <c r="D1439" t="s">
        <v>3011</v>
      </c>
      <c r="E1439" t="s">
        <v>233</v>
      </c>
      <c r="F1439" t="s">
        <v>30</v>
      </c>
      <c r="G1439" s="6">
        <v>45291</v>
      </c>
      <c r="H1439" t="s">
        <v>6811</v>
      </c>
      <c r="I1439" t="s">
        <v>57</v>
      </c>
      <c r="J1439" t="s">
        <v>47</v>
      </c>
      <c r="K1439">
        <v>82.5</v>
      </c>
      <c r="L1439">
        <v>83.5</v>
      </c>
      <c r="M1439">
        <v>1.012121212121212</v>
      </c>
      <c r="N1439">
        <v>1.012121212121212</v>
      </c>
      <c r="O1439" t="s">
        <v>6914</v>
      </c>
      <c r="P1439" t="s">
        <v>5402</v>
      </c>
      <c r="Q1439" t="s">
        <v>4113</v>
      </c>
      <c r="R1439">
        <v>2</v>
      </c>
      <c r="S1439">
        <v>2</v>
      </c>
    </row>
    <row r="1440" spans="1:19" hidden="1" x14ac:dyDescent="0.3">
      <c r="A1440" t="s">
        <v>4110</v>
      </c>
      <c r="B1440" t="s">
        <v>4111</v>
      </c>
      <c r="D1440" t="s">
        <v>3011</v>
      </c>
      <c r="E1440" t="s">
        <v>233</v>
      </c>
      <c r="F1440" t="s">
        <v>30</v>
      </c>
      <c r="G1440" s="6">
        <v>45657</v>
      </c>
      <c r="H1440" t="s">
        <v>6816</v>
      </c>
      <c r="I1440" t="s">
        <v>57</v>
      </c>
      <c r="J1440" t="s">
        <v>78</v>
      </c>
      <c r="K1440">
        <v>57.31</v>
      </c>
      <c r="L1440">
        <v>72.5</v>
      </c>
      <c r="M1440">
        <v>1.2650497295410921</v>
      </c>
      <c r="N1440">
        <v>1.2650497295410921</v>
      </c>
      <c r="O1440" t="s">
        <v>6443</v>
      </c>
      <c r="P1440" t="s">
        <v>6444</v>
      </c>
      <c r="Q1440" t="s">
        <v>7502</v>
      </c>
      <c r="R1440">
        <v>2</v>
      </c>
      <c r="S1440">
        <v>2</v>
      </c>
    </row>
    <row r="1441" spans="1:19" hidden="1" x14ac:dyDescent="0.3">
      <c r="A1441" t="s">
        <v>4110</v>
      </c>
      <c r="B1441" t="s">
        <v>4111</v>
      </c>
      <c r="C1441" t="s">
        <v>6622</v>
      </c>
      <c r="D1441" t="s">
        <v>3011</v>
      </c>
      <c r="E1441" t="s">
        <v>233</v>
      </c>
      <c r="F1441" t="s">
        <v>30</v>
      </c>
      <c r="G1441" s="6">
        <v>45838</v>
      </c>
      <c r="H1441">
        <v>2025</v>
      </c>
      <c r="I1441" t="s">
        <v>44</v>
      </c>
      <c r="J1441" t="s">
        <v>244</v>
      </c>
      <c r="K1441">
        <v>61</v>
      </c>
      <c r="L1441">
        <v>75</v>
      </c>
      <c r="M1441">
        <v>1</v>
      </c>
      <c r="N1441">
        <v>1</v>
      </c>
      <c r="O1441" t="s">
        <v>31</v>
      </c>
      <c r="P1441" t="s">
        <v>31</v>
      </c>
      <c r="Q1441" t="s">
        <v>7503</v>
      </c>
      <c r="R1441">
        <v>0</v>
      </c>
      <c r="S1441">
        <v>0</v>
      </c>
    </row>
    <row r="1442" spans="1:19" hidden="1" x14ac:dyDescent="0.3">
      <c r="A1442" t="s">
        <v>4115</v>
      </c>
      <c r="B1442" t="s">
        <v>4116</v>
      </c>
      <c r="D1442" t="s">
        <v>3011</v>
      </c>
      <c r="E1442" t="s">
        <v>233</v>
      </c>
      <c r="F1442" t="s">
        <v>30</v>
      </c>
      <c r="G1442" s="6">
        <v>45291</v>
      </c>
      <c r="H1442" t="s">
        <v>6811</v>
      </c>
      <c r="I1442" t="s">
        <v>57</v>
      </c>
      <c r="J1442" t="s">
        <v>47</v>
      </c>
      <c r="K1442">
        <v>76</v>
      </c>
      <c r="L1442">
        <v>83.5</v>
      </c>
      <c r="M1442">
        <v>1.0986842105263159</v>
      </c>
      <c r="N1442">
        <v>1.0986842105263159</v>
      </c>
      <c r="O1442" t="s">
        <v>5576</v>
      </c>
      <c r="P1442" t="s">
        <v>5402</v>
      </c>
      <c r="Q1442" t="s">
        <v>4118</v>
      </c>
      <c r="R1442">
        <v>2</v>
      </c>
      <c r="S1442">
        <v>2</v>
      </c>
    </row>
    <row r="1443" spans="1:19" hidden="1" x14ac:dyDescent="0.3">
      <c r="A1443" t="s">
        <v>4115</v>
      </c>
      <c r="B1443" t="s">
        <v>4116</v>
      </c>
      <c r="D1443" t="s">
        <v>3011</v>
      </c>
      <c r="E1443" t="s">
        <v>233</v>
      </c>
      <c r="F1443" t="s">
        <v>30</v>
      </c>
      <c r="G1443" s="6">
        <v>45657</v>
      </c>
      <c r="H1443" t="s">
        <v>6816</v>
      </c>
      <c r="I1443" t="s">
        <v>57</v>
      </c>
      <c r="J1443" t="s">
        <v>78</v>
      </c>
      <c r="K1443">
        <v>54.94</v>
      </c>
      <c r="L1443">
        <v>68.75</v>
      </c>
      <c r="M1443">
        <v>1.251365125591555</v>
      </c>
      <c r="N1443">
        <v>1.251365125591555</v>
      </c>
      <c r="O1443" t="s">
        <v>6445</v>
      </c>
      <c r="P1443" t="s">
        <v>5702</v>
      </c>
      <c r="Q1443" t="s">
        <v>7504</v>
      </c>
      <c r="R1443">
        <v>2</v>
      </c>
      <c r="S1443">
        <v>2</v>
      </c>
    </row>
    <row r="1444" spans="1:19" hidden="1" x14ac:dyDescent="0.3">
      <c r="A1444" t="s">
        <v>4115</v>
      </c>
      <c r="B1444" t="s">
        <v>4116</v>
      </c>
      <c r="C1444" t="s">
        <v>6622</v>
      </c>
      <c r="D1444" t="s">
        <v>3011</v>
      </c>
      <c r="E1444" t="s">
        <v>233</v>
      </c>
      <c r="F1444" t="s">
        <v>30</v>
      </c>
      <c r="G1444" s="6">
        <v>45838</v>
      </c>
      <c r="H1444">
        <v>2025</v>
      </c>
      <c r="I1444" t="s">
        <v>44</v>
      </c>
      <c r="J1444" t="s">
        <v>244</v>
      </c>
      <c r="K1444">
        <v>49</v>
      </c>
      <c r="L1444">
        <v>65</v>
      </c>
      <c r="M1444">
        <v>1</v>
      </c>
      <c r="N1444">
        <v>1</v>
      </c>
      <c r="O1444" t="s">
        <v>31</v>
      </c>
      <c r="P1444" t="s">
        <v>31</v>
      </c>
      <c r="Q1444" t="s">
        <v>7505</v>
      </c>
      <c r="R1444">
        <v>0</v>
      </c>
      <c r="S1444">
        <v>0</v>
      </c>
    </row>
    <row r="1445" spans="1:19" hidden="1" x14ac:dyDescent="0.3">
      <c r="A1445" t="s">
        <v>4120</v>
      </c>
      <c r="B1445" t="s">
        <v>4121</v>
      </c>
      <c r="D1445" t="s">
        <v>3011</v>
      </c>
      <c r="E1445" t="s">
        <v>233</v>
      </c>
      <c r="F1445" t="s">
        <v>30</v>
      </c>
      <c r="G1445" s="6">
        <v>45657</v>
      </c>
      <c r="H1445" t="s">
        <v>6816</v>
      </c>
      <c r="I1445" t="s">
        <v>57</v>
      </c>
      <c r="J1445" t="s">
        <v>78</v>
      </c>
      <c r="K1445">
        <v>50.46</v>
      </c>
      <c r="L1445">
        <v>50</v>
      </c>
      <c r="M1445">
        <v>0.99088386841062226</v>
      </c>
      <c r="N1445">
        <v>0.99088386841062226</v>
      </c>
      <c r="O1445" t="s">
        <v>6446</v>
      </c>
      <c r="P1445" t="s">
        <v>4242</v>
      </c>
      <c r="Q1445" t="s">
        <v>7506</v>
      </c>
      <c r="R1445">
        <v>2</v>
      </c>
      <c r="S1445">
        <v>2</v>
      </c>
    </row>
    <row r="1446" spans="1:19" hidden="1" x14ac:dyDescent="0.3">
      <c r="A1446" t="s">
        <v>4120</v>
      </c>
      <c r="B1446" t="s">
        <v>4121</v>
      </c>
      <c r="C1446" t="s">
        <v>6622</v>
      </c>
      <c r="D1446" t="s">
        <v>3011</v>
      </c>
      <c r="E1446" t="s">
        <v>233</v>
      </c>
      <c r="F1446" t="s">
        <v>30</v>
      </c>
      <c r="G1446" s="6">
        <v>45838</v>
      </c>
      <c r="H1446">
        <v>2025</v>
      </c>
      <c r="I1446" t="s">
        <v>44</v>
      </c>
      <c r="J1446" t="s">
        <v>244</v>
      </c>
      <c r="K1446">
        <v>53</v>
      </c>
      <c r="L1446">
        <v>43</v>
      </c>
      <c r="M1446">
        <v>0.81132075471698117</v>
      </c>
      <c r="N1446">
        <v>0.81132075471698117</v>
      </c>
      <c r="O1446" t="s">
        <v>31</v>
      </c>
      <c r="P1446" t="s">
        <v>31</v>
      </c>
      <c r="Q1446" t="s">
        <v>7507</v>
      </c>
      <c r="R1446">
        <v>0</v>
      </c>
      <c r="S1446">
        <v>0</v>
      </c>
    </row>
    <row r="1447" spans="1:19" hidden="1" x14ac:dyDescent="0.3">
      <c r="A1447" t="s">
        <v>4123</v>
      </c>
      <c r="B1447" t="s">
        <v>4124</v>
      </c>
      <c r="D1447" t="s">
        <v>3011</v>
      </c>
      <c r="E1447" t="s">
        <v>233</v>
      </c>
      <c r="F1447" t="s">
        <v>30</v>
      </c>
      <c r="G1447" s="6">
        <v>45291</v>
      </c>
      <c r="H1447" t="s">
        <v>6811</v>
      </c>
      <c r="I1447" t="s">
        <v>57</v>
      </c>
      <c r="J1447" t="s">
        <v>47</v>
      </c>
      <c r="K1447">
        <v>77</v>
      </c>
      <c r="L1447">
        <v>84.2</v>
      </c>
      <c r="M1447">
        <v>1.093506493506494</v>
      </c>
      <c r="N1447">
        <v>1.093506493506494</v>
      </c>
      <c r="O1447" t="s">
        <v>4331</v>
      </c>
      <c r="P1447" t="s">
        <v>7508</v>
      </c>
      <c r="Q1447" t="s">
        <v>4126</v>
      </c>
      <c r="R1447">
        <v>2</v>
      </c>
      <c r="S1447">
        <v>2</v>
      </c>
    </row>
    <row r="1448" spans="1:19" hidden="1" x14ac:dyDescent="0.3">
      <c r="A1448" t="s">
        <v>4123</v>
      </c>
      <c r="B1448" t="s">
        <v>4124</v>
      </c>
      <c r="D1448" t="s">
        <v>3331</v>
      </c>
      <c r="E1448" t="s">
        <v>233</v>
      </c>
      <c r="F1448" t="s">
        <v>30</v>
      </c>
      <c r="G1448" s="6">
        <v>45657</v>
      </c>
      <c r="H1448" t="s">
        <v>6816</v>
      </c>
      <c r="I1448" t="s">
        <v>57</v>
      </c>
      <c r="J1448" t="s">
        <v>78</v>
      </c>
      <c r="K1448">
        <v>68.98</v>
      </c>
      <c r="L1448">
        <v>68.75</v>
      </c>
      <c r="M1448">
        <v>0.99666570020295731</v>
      </c>
      <c r="N1448">
        <v>0.99666570020295731</v>
      </c>
      <c r="O1448" t="s">
        <v>6448</v>
      </c>
      <c r="P1448" t="s">
        <v>5702</v>
      </c>
      <c r="Q1448" t="s">
        <v>7509</v>
      </c>
      <c r="R1448">
        <v>2</v>
      </c>
      <c r="S1448">
        <v>2</v>
      </c>
    </row>
    <row r="1449" spans="1:19" hidden="1" x14ac:dyDescent="0.3">
      <c r="A1449" t="s">
        <v>4123</v>
      </c>
      <c r="B1449" t="s">
        <v>4124</v>
      </c>
      <c r="C1449" t="s">
        <v>6622</v>
      </c>
      <c r="D1449" t="s">
        <v>3331</v>
      </c>
      <c r="E1449" t="s">
        <v>233</v>
      </c>
      <c r="F1449" t="s">
        <v>30</v>
      </c>
      <c r="G1449" s="6">
        <v>45838</v>
      </c>
      <c r="H1449">
        <v>2025</v>
      </c>
      <c r="I1449" t="s">
        <v>44</v>
      </c>
      <c r="J1449" t="s">
        <v>244</v>
      </c>
      <c r="K1449">
        <v>68</v>
      </c>
      <c r="L1449">
        <v>56</v>
      </c>
      <c r="M1449">
        <v>0.82352941176470584</v>
      </c>
      <c r="N1449">
        <v>0.82352941176470584</v>
      </c>
      <c r="O1449" t="s">
        <v>31</v>
      </c>
      <c r="P1449" t="s">
        <v>31</v>
      </c>
      <c r="Q1449" t="s">
        <v>7510</v>
      </c>
      <c r="R1449">
        <v>0</v>
      </c>
      <c r="S1449">
        <v>0</v>
      </c>
    </row>
    <row r="1450" spans="1:19" hidden="1" x14ac:dyDescent="0.3">
      <c r="A1450" t="s">
        <v>4128</v>
      </c>
      <c r="B1450" t="s">
        <v>4129</v>
      </c>
      <c r="C1450" t="s">
        <v>6622</v>
      </c>
      <c r="D1450" t="s">
        <v>129</v>
      </c>
      <c r="E1450" t="s">
        <v>233</v>
      </c>
      <c r="F1450" t="s">
        <v>30</v>
      </c>
      <c r="G1450" s="6">
        <v>45657</v>
      </c>
      <c r="H1450" t="s">
        <v>6816</v>
      </c>
      <c r="I1450" t="s">
        <v>57</v>
      </c>
      <c r="J1450" t="s">
        <v>78</v>
      </c>
      <c r="K1450">
        <v>100</v>
      </c>
      <c r="L1450">
        <v>75.64</v>
      </c>
      <c r="M1450">
        <v>0.75639999999999996</v>
      </c>
      <c r="N1450">
        <v>0.75639999999999996</v>
      </c>
      <c r="O1450" t="s">
        <v>102</v>
      </c>
      <c r="P1450" t="s">
        <v>7511</v>
      </c>
      <c r="Q1450" t="s">
        <v>4133</v>
      </c>
      <c r="R1450">
        <v>2</v>
      </c>
      <c r="S1450">
        <v>2</v>
      </c>
    </row>
    <row r="1451" spans="1:19" hidden="1" x14ac:dyDescent="0.3">
      <c r="A1451" t="s">
        <v>4128</v>
      </c>
      <c r="B1451" t="s">
        <v>4129</v>
      </c>
      <c r="C1451" t="s">
        <v>6622</v>
      </c>
      <c r="D1451" t="s">
        <v>129</v>
      </c>
      <c r="E1451" t="s">
        <v>233</v>
      </c>
      <c r="F1451" t="s">
        <v>30</v>
      </c>
      <c r="G1451" s="6">
        <v>46022</v>
      </c>
      <c r="H1451" t="s">
        <v>6823</v>
      </c>
      <c r="I1451" t="s">
        <v>57</v>
      </c>
      <c r="J1451" t="s">
        <v>103</v>
      </c>
      <c r="K1451">
        <v>100</v>
      </c>
      <c r="L1451">
        <v>250.595</v>
      </c>
      <c r="M1451">
        <v>1.3</v>
      </c>
      <c r="N1451">
        <v>2.5059499999999999</v>
      </c>
      <c r="O1451" t="s">
        <v>102</v>
      </c>
      <c r="P1451" t="s">
        <v>6451</v>
      </c>
      <c r="Q1451" t="s">
        <v>4140</v>
      </c>
      <c r="R1451">
        <v>2</v>
      </c>
      <c r="S1451">
        <v>2</v>
      </c>
    </row>
    <row r="1452" spans="1:19" hidden="1" x14ac:dyDescent="0.3">
      <c r="A1452" t="s">
        <v>4141</v>
      </c>
      <c r="B1452" t="s">
        <v>4142</v>
      </c>
      <c r="D1452" t="s">
        <v>672</v>
      </c>
      <c r="E1452" t="s">
        <v>233</v>
      </c>
      <c r="F1452" t="s">
        <v>30</v>
      </c>
      <c r="G1452" s="6">
        <v>45657</v>
      </c>
      <c r="H1452" t="s">
        <v>6816</v>
      </c>
      <c r="I1452" t="s">
        <v>57</v>
      </c>
      <c r="J1452" t="s">
        <v>78</v>
      </c>
      <c r="K1452">
        <v>56.79</v>
      </c>
      <c r="L1452">
        <v>60</v>
      </c>
      <c r="M1452">
        <v>1.0565240359218171</v>
      </c>
      <c r="N1452">
        <v>1.0565240359218171</v>
      </c>
      <c r="O1452" t="s">
        <v>6452</v>
      </c>
      <c r="P1452" t="s">
        <v>2640</v>
      </c>
      <c r="Q1452" t="s">
        <v>7512</v>
      </c>
      <c r="R1452">
        <v>2</v>
      </c>
      <c r="S1452">
        <v>2</v>
      </c>
    </row>
    <row r="1453" spans="1:19" hidden="1" x14ac:dyDescent="0.3">
      <c r="A1453" t="s">
        <v>4141</v>
      </c>
      <c r="B1453" t="s">
        <v>4142</v>
      </c>
      <c r="C1453" t="s">
        <v>6622</v>
      </c>
      <c r="D1453" t="s">
        <v>672</v>
      </c>
      <c r="E1453" t="s">
        <v>233</v>
      </c>
      <c r="F1453" t="s">
        <v>30</v>
      </c>
      <c r="G1453" s="6">
        <v>45838</v>
      </c>
      <c r="H1453">
        <v>2025</v>
      </c>
      <c r="I1453" t="s">
        <v>44</v>
      </c>
      <c r="J1453" t="s">
        <v>244</v>
      </c>
      <c r="K1453">
        <v>38</v>
      </c>
      <c r="L1453">
        <v>38</v>
      </c>
      <c r="M1453">
        <v>1</v>
      </c>
      <c r="N1453">
        <v>1</v>
      </c>
      <c r="O1453" t="s">
        <v>31</v>
      </c>
      <c r="P1453" t="s">
        <v>31</v>
      </c>
      <c r="Q1453" t="s">
        <v>7513</v>
      </c>
      <c r="R1453">
        <v>0</v>
      </c>
      <c r="S1453">
        <v>0</v>
      </c>
    </row>
    <row r="1454" spans="1:19" hidden="1" x14ac:dyDescent="0.3">
      <c r="A1454" t="s">
        <v>4144</v>
      </c>
      <c r="B1454" t="s">
        <v>4145</v>
      </c>
      <c r="D1454" t="s">
        <v>842</v>
      </c>
      <c r="E1454" t="s">
        <v>233</v>
      </c>
      <c r="F1454" t="s">
        <v>30</v>
      </c>
      <c r="G1454" s="6">
        <v>45657</v>
      </c>
      <c r="H1454" t="s">
        <v>6816</v>
      </c>
      <c r="I1454" t="s">
        <v>57</v>
      </c>
      <c r="J1454" t="s">
        <v>78</v>
      </c>
      <c r="K1454">
        <v>67.84</v>
      </c>
      <c r="L1454">
        <v>63.75</v>
      </c>
      <c r="M1454">
        <v>0.93971108490566035</v>
      </c>
      <c r="N1454">
        <v>0.93971108490566035</v>
      </c>
      <c r="O1454" t="s">
        <v>6453</v>
      </c>
      <c r="P1454" t="s">
        <v>6454</v>
      </c>
      <c r="Q1454" t="s">
        <v>7514</v>
      </c>
      <c r="R1454">
        <v>2</v>
      </c>
      <c r="S1454">
        <v>2</v>
      </c>
    </row>
    <row r="1455" spans="1:19" hidden="1" x14ac:dyDescent="0.3">
      <c r="A1455" t="s">
        <v>4144</v>
      </c>
      <c r="B1455" t="s">
        <v>4145</v>
      </c>
      <c r="C1455" t="s">
        <v>6622</v>
      </c>
      <c r="D1455" t="s">
        <v>842</v>
      </c>
      <c r="E1455" t="s">
        <v>233</v>
      </c>
      <c r="F1455" t="s">
        <v>30</v>
      </c>
      <c r="G1455" s="6">
        <v>45838</v>
      </c>
      <c r="H1455">
        <v>2025</v>
      </c>
      <c r="I1455" t="s">
        <v>44</v>
      </c>
      <c r="J1455" t="s">
        <v>244</v>
      </c>
      <c r="K1455">
        <v>37</v>
      </c>
      <c r="L1455">
        <v>64</v>
      </c>
      <c r="M1455">
        <v>1</v>
      </c>
      <c r="N1455">
        <v>1</v>
      </c>
      <c r="O1455" t="s">
        <v>31</v>
      </c>
      <c r="P1455" t="s">
        <v>31</v>
      </c>
      <c r="Q1455" t="s">
        <v>7515</v>
      </c>
      <c r="R1455">
        <v>0</v>
      </c>
      <c r="S1455">
        <v>0</v>
      </c>
    </row>
    <row r="1456" spans="1:19" hidden="1" x14ac:dyDescent="0.3">
      <c r="A1456" t="s">
        <v>4147</v>
      </c>
      <c r="B1456" t="s">
        <v>4148</v>
      </c>
      <c r="D1456" t="s">
        <v>133</v>
      </c>
      <c r="E1456" t="s">
        <v>233</v>
      </c>
      <c r="F1456" t="s">
        <v>30</v>
      </c>
      <c r="G1456" s="6">
        <v>45657</v>
      </c>
      <c r="H1456" t="s">
        <v>6816</v>
      </c>
      <c r="I1456" t="s">
        <v>57</v>
      </c>
      <c r="J1456" t="s">
        <v>78</v>
      </c>
      <c r="K1456">
        <v>71.58</v>
      </c>
      <c r="L1456">
        <v>80</v>
      </c>
      <c r="M1456">
        <v>1.117630623079072</v>
      </c>
      <c r="N1456">
        <v>1.117630623079072</v>
      </c>
      <c r="O1456" t="s">
        <v>6455</v>
      </c>
      <c r="P1456" t="s">
        <v>193</v>
      </c>
      <c r="Q1456" t="s">
        <v>7516</v>
      </c>
      <c r="R1456">
        <v>2</v>
      </c>
      <c r="S1456">
        <v>2</v>
      </c>
    </row>
    <row r="1457" spans="1:19" hidden="1" x14ac:dyDescent="0.3">
      <c r="A1457" t="s">
        <v>4147</v>
      </c>
      <c r="B1457" t="s">
        <v>4148</v>
      </c>
      <c r="C1457" t="s">
        <v>6622</v>
      </c>
      <c r="D1457" t="s">
        <v>133</v>
      </c>
      <c r="E1457" t="s">
        <v>233</v>
      </c>
      <c r="F1457" t="s">
        <v>30</v>
      </c>
      <c r="G1457" s="6">
        <v>45838</v>
      </c>
      <c r="H1457">
        <v>2025</v>
      </c>
      <c r="I1457" t="s">
        <v>44</v>
      </c>
      <c r="J1457" t="s">
        <v>244</v>
      </c>
      <c r="K1457">
        <v>53</v>
      </c>
      <c r="L1457">
        <v>80</v>
      </c>
      <c r="M1457">
        <v>1</v>
      </c>
      <c r="N1457">
        <v>1</v>
      </c>
      <c r="O1457" t="s">
        <v>31</v>
      </c>
      <c r="P1457" t="s">
        <v>31</v>
      </c>
      <c r="Q1457" t="s">
        <v>7517</v>
      </c>
      <c r="R1457">
        <v>0</v>
      </c>
      <c r="S1457">
        <v>0</v>
      </c>
    </row>
    <row r="1458" spans="1:19" hidden="1" x14ac:dyDescent="0.3">
      <c r="A1458" t="s">
        <v>4150</v>
      </c>
      <c r="B1458" t="s">
        <v>4151</v>
      </c>
      <c r="D1458" t="s">
        <v>3093</v>
      </c>
      <c r="E1458" t="s">
        <v>233</v>
      </c>
      <c r="F1458" t="s">
        <v>30</v>
      </c>
      <c r="G1458" s="6">
        <v>45657</v>
      </c>
      <c r="H1458" t="s">
        <v>6816</v>
      </c>
      <c r="I1458" t="s">
        <v>57</v>
      </c>
      <c r="J1458" t="s">
        <v>78</v>
      </c>
      <c r="K1458">
        <v>74.19</v>
      </c>
      <c r="L1458">
        <v>90</v>
      </c>
      <c r="M1458">
        <v>1.213101496158512</v>
      </c>
      <c r="N1458">
        <v>1.213101496158512</v>
      </c>
      <c r="O1458" t="s">
        <v>6456</v>
      </c>
      <c r="P1458" t="s">
        <v>256</v>
      </c>
      <c r="Q1458" t="s">
        <v>7518</v>
      </c>
      <c r="R1458">
        <v>2</v>
      </c>
      <c r="S1458">
        <v>2</v>
      </c>
    </row>
    <row r="1459" spans="1:19" hidden="1" x14ac:dyDescent="0.3">
      <c r="A1459" t="s">
        <v>4150</v>
      </c>
      <c r="B1459" t="s">
        <v>4151</v>
      </c>
      <c r="C1459" t="s">
        <v>6622</v>
      </c>
      <c r="D1459" t="s">
        <v>3071</v>
      </c>
      <c r="E1459" t="s">
        <v>233</v>
      </c>
      <c r="F1459" t="s">
        <v>30</v>
      </c>
      <c r="G1459" s="6">
        <v>45838</v>
      </c>
      <c r="H1459">
        <v>2025</v>
      </c>
      <c r="I1459" t="s">
        <v>44</v>
      </c>
      <c r="J1459" t="s">
        <v>244</v>
      </c>
      <c r="K1459">
        <v>53</v>
      </c>
      <c r="L1459">
        <v>43</v>
      </c>
      <c r="M1459">
        <v>0.81132075471698117</v>
      </c>
      <c r="N1459">
        <v>0.81132075471698117</v>
      </c>
      <c r="O1459" t="s">
        <v>31</v>
      </c>
      <c r="P1459" t="s">
        <v>31</v>
      </c>
      <c r="Q1459" t="s">
        <v>7519</v>
      </c>
      <c r="R1459">
        <v>0</v>
      </c>
      <c r="S1459">
        <v>0</v>
      </c>
    </row>
    <row r="1460" spans="1:19" hidden="1" x14ac:dyDescent="0.3">
      <c r="A1460" t="s">
        <v>4153</v>
      </c>
      <c r="B1460" t="s">
        <v>4154</v>
      </c>
      <c r="D1460" t="s">
        <v>2437</v>
      </c>
      <c r="E1460" t="s">
        <v>233</v>
      </c>
      <c r="F1460" t="s">
        <v>30</v>
      </c>
      <c r="G1460" s="6">
        <v>45657</v>
      </c>
      <c r="H1460" t="s">
        <v>6816</v>
      </c>
      <c r="I1460" t="s">
        <v>57</v>
      </c>
      <c r="J1460" t="s">
        <v>78</v>
      </c>
      <c r="K1460">
        <v>34.85</v>
      </c>
      <c r="L1460">
        <v>55</v>
      </c>
      <c r="M1460">
        <v>1.3</v>
      </c>
      <c r="N1460">
        <v>1.5781922525107599</v>
      </c>
      <c r="O1460" t="s">
        <v>6457</v>
      </c>
      <c r="P1460" t="s">
        <v>5775</v>
      </c>
      <c r="Q1460" t="s">
        <v>7520</v>
      </c>
      <c r="R1460">
        <v>2</v>
      </c>
      <c r="S1460">
        <v>2</v>
      </c>
    </row>
    <row r="1461" spans="1:19" hidden="1" x14ac:dyDescent="0.3">
      <c r="A1461" t="s">
        <v>4153</v>
      </c>
      <c r="B1461" t="s">
        <v>4154</v>
      </c>
      <c r="C1461" t="s">
        <v>6622</v>
      </c>
      <c r="D1461" t="s">
        <v>2437</v>
      </c>
      <c r="E1461" t="s">
        <v>233</v>
      </c>
      <c r="F1461" t="s">
        <v>30</v>
      </c>
      <c r="G1461" s="6">
        <v>45838</v>
      </c>
      <c r="H1461">
        <v>2025</v>
      </c>
      <c r="I1461" t="s">
        <v>44</v>
      </c>
      <c r="J1461" t="s">
        <v>244</v>
      </c>
      <c r="K1461">
        <v>38</v>
      </c>
      <c r="L1461">
        <v>90</v>
      </c>
      <c r="M1461">
        <v>1</v>
      </c>
      <c r="N1461">
        <v>1</v>
      </c>
      <c r="O1461" t="s">
        <v>31</v>
      </c>
      <c r="P1461" t="s">
        <v>31</v>
      </c>
      <c r="Q1461" t="s">
        <v>7521</v>
      </c>
      <c r="R1461">
        <v>0</v>
      </c>
      <c r="S1461">
        <v>0</v>
      </c>
    </row>
    <row r="1462" spans="1:19" hidden="1" x14ac:dyDescent="0.3">
      <c r="A1462" t="s">
        <v>4156</v>
      </c>
      <c r="B1462" t="s">
        <v>4157</v>
      </c>
      <c r="C1462" t="s">
        <v>6622</v>
      </c>
      <c r="D1462" t="s">
        <v>129</v>
      </c>
      <c r="E1462" t="s">
        <v>233</v>
      </c>
      <c r="F1462" t="s">
        <v>30</v>
      </c>
      <c r="G1462" s="6">
        <v>45657</v>
      </c>
      <c r="H1462" t="s">
        <v>6816</v>
      </c>
      <c r="I1462" t="s">
        <v>57</v>
      </c>
      <c r="J1462" t="s">
        <v>78</v>
      </c>
      <c r="K1462">
        <v>100</v>
      </c>
      <c r="L1462">
        <v>76.277500000000003</v>
      </c>
      <c r="M1462">
        <v>0.76277499999999998</v>
      </c>
      <c r="N1462">
        <v>0.76277499999999998</v>
      </c>
      <c r="O1462" t="s">
        <v>102</v>
      </c>
      <c r="P1462" t="s">
        <v>7522</v>
      </c>
      <c r="Q1462" t="s">
        <v>4161</v>
      </c>
      <c r="R1462">
        <v>2</v>
      </c>
      <c r="S1462">
        <v>2</v>
      </c>
    </row>
    <row r="1463" spans="1:19" hidden="1" x14ac:dyDescent="0.3">
      <c r="A1463" t="s">
        <v>4156</v>
      </c>
      <c r="B1463" t="s">
        <v>4157</v>
      </c>
      <c r="C1463" t="s">
        <v>6622</v>
      </c>
      <c r="D1463" t="s">
        <v>129</v>
      </c>
      <c r="E1463" t="s">
        <v>233</v>
      </c>
      <c r="F1463" t="s">
        <v>30</v>
      </c>
      <c r="G1463" s="6">
        <v>46022</v>
      </c>
      <c r="H1463" t="s">
        <v>6823</v>
      </c>
      <c r="I1463" t="s">
        <v>57</v>
      </c>
      <c r="J1463" t="s">
        <v>103</v>
      </c>
      <c r="K1463">
        <v>100</v>
      </c>
      <c r="L1463">
        <v>98.765000000000001</v>
      </c>
      <c r="M1463">
        <v>0.98765000000000003</v>
      </c>
      <c r="N1463">
        <v>0.98765000000000003</v>
      </c>
      <c r="O1463" t="s">
        <v>102</v>
      </c>
      <c r="P1463" t="s">
        <v>6460</v>
      </c>
      <c r="Q1463" t="s">
        <v>4168</v>
      </c>
      <c r="R1463">
        <v>2</v>
      </c>
      <c r="S1463">
        <v>2</v>
      </c>
    </row>
    <row r="1464" spans="1:19" hidden="1" x14ac:dyDescent="0.3">
      <c r="A1464" t="s">
        <v>7523</v>
      </c>
      <c r="B1464" t="s">
        <v>7524</v>
      </c>
      <c r="C1464" t="s">
        <v>6622</v>
      </c>
      <c r="D1464" t="s">
        <v>129</v>
      </c>
      <c r="E1464" t="s">
        <v>233</v>
      </c>
      <c r="F1464" t="s">
        <v>30</v>
      </c>
      <c r="G1464" s="6">
        <v>45657</v>
      </c>
      <c r="H1464">
        <v>2024</v>
      </c>
      <c r="I1464" t="s">
        <v>57</v>
      </c>
      <c r="J1464" t="s">
        <v>78</v>
      </c>
      <c r="K1464">
        <v>100</v>
      </c>
      <c r="L1464">
        <v>97</v>
      </c>
      <c r="M1464">
        <v>0.97</v>
      </c>
      <c r="N1464">
        <v>0.97</v>
      </c>
      <c r="O1464" t="s">
        <v>31</v>
      </c>
      <c r="P1464" t="s">
        <v>31</v>
      </c>
      <c r="Q1464" t="s">
        <v>7525</v>
      </c>
      <c r="R1464">
        <v>0</v>
      </c>
      <c r="S1464">
        <v>0</v>
      </c>
    </row>
    <row r="1465" spans="1:19" hidden="1" x14ac:dyDescent="0.3">
      <c r="A1465" t="s">
        <v>7523</v>
      </c>
      <c r="B1465" t="s">
        <v>7524</v>
      </c>
      <c r="C1465" t="s">
        <v>6622</v>
      </c>
      <c r="D1465" t="s">
        <v>129</v>
      </c>
      <c r="E1465" t="s">
        <v>233</v>
      </c>
      <c r="F1465" t="s">
        <v>30</v>
      </c>
      <c r="G1465" s="6">
        <v>45838</v>
      </c>
      <c r="H1465">
        <v>2025</v>
      </c>
      <c r="I1465" t="s">
        <v>44</v>
      </c>
      <c r="J1465" t="s">
        <v>244</v>
      </c>
      <c r="K1465">
        <v>34</v>
      </c>
      <c r="L1465">
        <v>34</v>
      </c>
      <c r="M1465">
        <v>1</v>
      </c>
      <c r="N1465">
        <v>1</v>
      </c>
      <c r="O1465" t="s">
        <v>31</v>
      </c>
      <c r="P1465" t="s">
        <v>31</v>
      </c>
      <c r="Q1465" t="s">
        <v>7526</v>
      </c>
      <c r="R1465">
        <v>0</v>
      </c>
      <c r="S1465">
        <v>0</v>
      </c>
    </row>
    <row r="1466" spans="1:19" hidden="1" x14ac:dyDescent="0.3">
      <c r="A1466" t="s">
        <v>7527</v>
      </c>
      <c r="B1466" t="s">
        <v>7528</v>
      </c>
      <c r="C1466" t="s">
        <v>6622</v>
      </c>
      <c r="D1466" t="s">
        <v>129</v>
      </c>
      <c r="E1466" t="s">
        <v>233</v>
      </c>
      <c r="F1466" t="s">
        <v>30</v>
      </c>
      <c r="G1466" s="6">
        <v>45657</v>
      </c>
      <c r="H1466">
        <v>2024</v>
      </c>
      <c r="I1466" t="s">
        <v>57</v>
      </c>
      <c r="J1466" t="s">
        <v>78</v>
      </c>
      <c r="K1466">
        <v>100</v>
      </c>
      <c r="L1466">
        <v>100</v>
      </c>
      <c r="M1466">
        <v>1</v>
      </c>
      <c r="N1466">
        <v>1</v>
      </c>
      <c r="O1466" t="s">
        <v>31</v>
      </c>
      <c r="P1466" t="s">
        <v>31</v>
      </c>
      <c r="Q1466" t="s">
        <v>7529</v>
      </c>
      <c r="R1466">
        <v>0</v>
      </c>
      <c r="S1466">
        <v>0</v>
      </c>
    </row>
    <row r="1467" spans="1:19" hidden="1" x14ac:dyDescent="0.3">
      <c r="A1467" t="s">
        <v>7527</v>
      </c>
      <c r="B1467" t="s">
        <v>7528</v>
      </c>
      <c r="C1467" t="s">
        <v>6622</v>
      </c>
      <c r="D1467" t="s">
        <v>129</v>
      </c>
      <c r="E1467" t="s">
        <v>233</v>
      </c>
      <c r="F1467" t="s">
        <v>30</v>
      </c>
      <c r="G1467" s="6">
        <v>45838</v>
      </c>
      <c r="H1467">
        <v>2025</v>
      </c>
      <c r="I1467" t="s">
        <v>44</v>
      </c>
      <c r="J1467" t="s">
        <v>244</v>
      </c>
      <c r="K1467">
        <v>30</v>
      </c>
      <c r="L1467">
        <v>22</v>
      </c>
      <c r="M1467">
        <v>0.73333333333333328</v>
      </c>
      <c r="N1467">
        <v>0.73333333333333328</v>
      </c>
      <c r="O1467" t="s">
        <v>31</v>
      </c>
      <c r="P1467" t="s">
        <v>31</v>
      </c>
      <c r="Q1467" t="s">
        <v>7530</v>
      </c>
      <c r="R1467">
        <v>0</v>
      </c>
      <c r="S1467">
        <v>0</v>
      </c>
    </row>
    <row r="1468" spans="1:19" hidden="1" x14ac:dyDescent="0.3">
      <c r="A1468" t="s">
        <v>7531</v>
      </c>
      <c r="B1468" t="s">
        <v>7532</v>
      </c>
      <c r="C1468" t="s">
        <v>6622</v>
      </c>
      <c r="D1468" t="s">
        <v>129</v>
      </c>
      <c r="E1468" t="s">
        <v>233</v>
      </c>
      <c r="F1468" t="s">
        <v>30</v>
      </c>
      <c r="G1468" s="6">
        <v>45657</v>
      </c>
      <c r="H1468">
        <v>2024</v>
      </c>
      <c r="I1468" t="s">
        <v>57</v>
      </c>
      <c r="J1468" t="s">
        <v>78</v>
      </c>
      <c r="K1468">
        <v>100</v>
      </c>
      <c r="L1468">
        <v>100</v>
      </c>
      <c r="M1468">
        <v>1</v>
      </c>
      <c r="N1468">
        <v>1</v>
      </c>
      <c r="O1468" t="s">
        <v>31</v>
      </c>
      <c r="P1468" t="s">
        <v>31</v>
      </c>
      <c r="Q1468" t="s">
        <v>7533</v>
      </c>
      <c r="R1468">
        <v>0</v>
      </c>
      <c r="S1468">
        <v>0</v>
      </c>
    </row>
    <row r="1469" spans="1:19" hidden="1" x14ac:dyDescent="0.3">
      <c r="A1469" t="s">
        <v>7531</v>
      </c>
      <c r="B1469" t="s">
        <v>7532</v>
      </c>
      <c r="C1469" t="s">
        <v>6622</v>
      </c>
      <c r="D1469" t="s">
        <v>129</v>
      </c>
      <c r="E1469" t="s">
        <v>233</v>
      </c>
      <c r="F1469" t="s">
        <v>30</v>
      </c>
      <c r="G1469" s="6">
        <v>45838</v>
      </c>
      <c r="H1469">
        <v>2025</v>
      </c>
      <c r="I1469" t="s">
        <v>44</v>
      </c>
      <c r="J1469" t="s">
        <v>244</v>
      </c>
      <c r="K1469">
        <v>50.06</v>
      </c>
      <c r="L1469">
        <v>50</v>
      </c>
      <c r="M1469">
        <v>0.99880143827407109</v>
      </c>
      <c r="N1469">
        <v>0.99880143827407109</v>
      </c>
      <c r="O1469" t="s">
        <v>31</v>
      </c>
      <c r="P1469" t="s">
        <v>31</v>
      </c>
      <c r="Q1469" t="s">
        <v>7534</v>
      </c>
      <c r="R1469">
        <v>0</v>
      </c>
      <c r="S1469">
        <v>0</v>
      </c>
    </row>
    <row r="1470" spans="1:19" hidden="1" x14ac:dyDescent="0.3">
      <c r="A1470" t="s">
        <v>7535</v>
      </c>
      <c r="B1470" t="s">
        <v>7536</v>
      </c>
      <c r="C1470" t="s">
        <v>6622</v>
      </c>
      <c r="D1470" t="s">
        <v>129</v>
      </c>
      <c r="E1470" t="s">
        <v>233</v>
      </c>
      <c r="F1470" t="s">
        <v>30</v>
      </c>
      <c r="G1470" s="6">
        <v>45657</v>
      </c>
      <c r="H1470">
        <v>2024</v>
      </c>
      <c r="I1470" t="s">
        <v>57</v>
      </c>
      <c r="J1470" t="s">
        <v>78</v>
      </c>
      <c r="K1470">
        <v>100</v>
      </c>
      <c r="L1470">
        <v>100</v>
      </c>
      <c r="M1470">
        <v>1</v>
      </c>
      <c r="N1470">
        <v>1</v>
      </c>
      <c r="O1470" t="s">
        <v>31</v>
      </c>
      <c r="P1470" t="s">
        <v>31</v>
      </c>
      <c r="Q1470" t="s">
        <v>7537</v>
      </c>
      <c r="R1470">
        <v>0</v>
      </c>
      <c r="S1470">
        <v>0</v>
      </c>
    </row>
    <row r="1471" spans="1:19" hidden="1" x14ac:dyDescent="0.3">
      <c r="A1471" t="s">
        <v>7535</v>
      </c>
      <c r="B1471" t="s">
        <v>7536</v>
      </c>
      <c r="C1471" t="s">
        <v>6622</v>
      </c>
      <c r="D1471" t="s">
        <v>129</v>
      </c>
      <c r="E1471" t="s">
        <v>233</v>
      </c>
      <c r="F1471" t="s">
        <v>30</v>
      </c>
      <c r="G1471" s="6">
        <v>45838</v>
      </c>
      <c r="H1471">
        <v>2025</v>
      </c>
      <c r="I1471" t="s">
        <v>44</v>
      </c>
      <c r="J1471" t="s">
        <v>244</v>
      </c>
      <c r="K1471">
        <v>24</v>
      </c>
      <c r="L1471">
        <v>21</v>
      </c>
      <c r="M1471">
        <v>0.875</v>
      </c>
      <c r="N1471">
        <v>0.875</v>
      </c>
      <c r="O1471" t="s">
        <v>31</v>
      </c>
      <c r="P1471" t="s">
        <v>31</v>
      </c>
      <c r="Q1471" t="s">
        <v>7538</v>
      </c>
      <c r="R1471">
        <v>0</v>
      </c>
      <c r="S1471">
        <v>0</v>
      </c>
    </row>
    <row r="1472" spans="1:19" hidden="1" x14ac:dyDescent="0.3">
      <c r="A1472" t="s">
        <v>7539</v>
      </c>
      <c r="B1472" t="s">
        <v>7540</v>
      </c>
      <c r="C1472" t="s">
        <v>6622</v>
      </c>
      <c r="D1472" t="s">
        <v>129</v>
      </c>
      <c r="E1472" t="s">
        <v>233</v>
      </c>
      <c r="F1472" t="s">
        <v>30</v>
      </c>
      <c r="G1472" s="6">
        <v>45657</v>
      </c>
      <c r="H1472">
        <v>2024</v>
      </c>
      <c r="I1472" t="s">
        <v>57</v>
      </c>
      <c r="J1472" t="s">
        <v>78</v>
      </c>
      <c r="K1472">
        <v>100</v>
      </c>
      <c r="L1472">
        <v>100</v>
      </c>
      <c r="M1472">
        <v>1</v>
      </c>
      <c r="N1472">
        <v>1</v>
      </c>
      <c r="O1472" t="s">
        <v>31</v>
      </c>
      <c r="P1472" t="s">
        <v>31</v>
      </c>
      <c r="Q1472" t="s">
        <v>7541</v>
      </c>
      <c r="R1472">
        <v>0</v>
      </c>
      <c r="S1472">
        <v>0</v>
      </c>
    </row>
    <row r="1473" spans="1:19" hidden="1" x14ac:dyDescent="0.3">
      <c r="A1473" t="s">
        <v>7539</v>
      </c>
      <c r="B1473" t="s">
        <v>7540</v>
      </c>
      <c r="C1473" t="s">
        <v>6622</v>
      </c>
      <c r="D1473" t="s">
        <v>129</v>
      </c>
      <c r="E1473" t="s">
        <v>233</v>
      </c>
      <c r="F1473" t="s">
        <v>30</v>
      </c>
      <c r="G1473" s="6">
        <v>45838</v>
      </c>
      <c r="H1473">
        <v>2025</v>
      </c>
      <c r="I1473" t="s">
        <v>44</v>
      </c>
      <c r="J1473" t="s">
        <v>244</v>
      </c>
      <c r="K1473">
        <v>23</v>
      </c>
      <c r="L1473">
        <v>24</v>
      </c>
      <c r="M1473">
        <v>1</v>
      </c>
      <c r="N1473">
        <v>1</v>
      </c>
      <c r="O1473" t="s">
        <v>31</v>
      </c>
      <c r="P1473" t="s">
        <v>31</v>
      </c>
      <c r="Q1473" t="s">
        <v>7542</v>
      </c>
      <c r="R1473">
        <v>0</v>
      </c>
      <c r="S1473">
        <v>0</v>
      </c>
    </row>
    <row r="1474" spans="1:19" hidden="1" x14ac:dyDescent="0.3">
      <c r="A1474" t="s">
        <v>7543</v>
      </c>
      <c r="B1474" t="s">
        <v>7544</v>
      </c>
      <c r="C1474" t="s">
        <v>6622</v>
      </c>
      <c r="D1474" t="s">
        <v>129</v>
      </c>
      <c r="E1474" t="s">
        <v>233</v>
      </c>
      <c r="F1474" t="s">
        <v>30</v>
      </c>
      <c r="G1474" s="6">
        <v>45657</v>
      </c>
      <c r="H1474">
        <v>2024</v>
      </c>
      <c r="I1474" t="s">
        <v>57</v>
      </c>
      <c r="J1474" t="s">
        <v>78</v>
      </c>
      <c r="K1474">
        <v>100</v>
      </c>
      <c r="L1474">
        <v>96</v>
      </c>
      <c r="M1474">
        <v>0.96</v>
      </c>
      <c r="N1474">
        <v>0.96</v>
      </c>
      <c r="O1474" t="s">
        <v>31</v>
      </c>
      <c r="P1474" t="s">
        <v>31</v>
      </c>
      <c r="Q1474" t="s">
        <v>7545</v>
      </c>
      <c r="R1474">
        <v>0</v>
      </c>
      <c r="S1474">
        <v>0</v>
      </c>
    </row>
    <row r="1475" spans="1:19" hidden="1" x14ac:dyDescent="0.3">
      <c r="A1475" t="s">
        <v>7543</v>
      </c>
      <c r="B1475" t="s">
        <v>7544</v>
      </c>
      <c r="C1475" t="s">
        <v>6622</v>
      </c>
      <c r="D1475" t="s">
        <v>129</v>
      </c>
      <c r="E1475" t="s">
        <v>233</v>
      </c>
      <c r="F1475" t="s">
        <v>30</v>
      </c>
      <c r="G1475" s="6">
        <v>45838</v>
      </c>
      <c r="H1475">
        <v>2025</v>
      </c>
      <c r="I1475" t="s">
        <v>44</v>
      </c>
      <c r="J1475" t="s">
        <v>244</v>
      </c>
      <c r="K1475">
        <v>51</v>
      </c>
      <c r="L1475">
        <v>54</v>
      </c>
      <c r="M1475">
        <v>1</v>
      </c>
      <c r="N1475">
        <v>1</v>
      </c>
      <c r="O1475" t="s">
        <v>31</v>
      </c>
      <c r="P1475" t="s">
        <v>31</v>
      </c>
      <c r="Q1475" t="s">
        <v>7546</v>
      </c>
      <c r="R1475">
        <v>0</v>
      </c>
      <c r="S1475">
        <v>0</v>
      </c>
    </row>
    <row r="1476" spans="1:19" hidden="1" x14ac:dyDescent="0.3">
      <c r="A1476" t="s">
        <v>7547</v>
      </c>
      <c r="B1476" t="s">
        <v>7548</v>
      </c>
      <c r="C1476" t="s">
        <v>6622</v>
      </c>
      <c r="D1476" t="s">
        <v>129</v>
      </c>
      <c r="E1476" t="s">
        <v>233</v>
      </c>
      <c r="F1476" t="s">
        <v>30</v>
      </c>
      <c r="G1476" s="6">
        <v>45657</v>
      </c>
      <c r="H1476">
        <v>2024</v>
      </c>
      <c r="I1476" t="s">
        <v>57</v>
      </c>
      <c r="J1476" t="s">
        <v>78</v>
      </c>
      <c r="K1476">
        <v>100</v>
      </c>
      <c r="L1476">
        <v>100</v>
      </c>
      <c r="M1476">
        <v>1</v>
      </c>
      <c r="N1476">
        <v>1</v>
      </c>
      <c r="O1476" t="s">
        <v>31</v>
      </c>
      <c r="P1476" t="s">
        <v>31</v>
      </c>
      <c r="Q1476" t="s">
        <v>7549</v>
      </c>
      <c r="R1476">
        <v>0</v>
      </c>
      <c r="S1476">
        <v>0</v>
      </c>
    </row>
    <row r="1477" spans="1:19" hidden="1" x14ac:dyDescent="0.3">
      <c r="A1477" t="s">
        <v>7547</v>
      </c>
      <c r="B1477" t="s">
        <v>7548</v>
      </c>
      <c r="C1477" t="s">
        <v>6622</v>
      </c>
      <c r="D1477" t="s">
        <v>129</v>
      </c>
      <c r="E1477" t="s">
        <v>233</v>
      </c>
      <c r="F1477" t="s">
        <v>30</v>
      </c>
      <c r="G1477" s="6">
        <v>45838</v>
      </c>
      <c r="H1477">
        <v>2025</v>
      </c>
      <c r="I1477" t="s">
        <v>44</v>
      </c>
      <c r="J1477" t="s">
        <v>244</v>
      </c>
      <c r="K1477">
        <v>39</v>
      </c>
      <c r="L1477">
        <v>34</v>
      </c>
      <c r="M1477">
        <v>0.87179487179487181</v>
      </c>
      <c r="N1477">
        <v>0.87179487179487181</v>
      </c>
      <c r="O1477" t="s">
        <v>31</v>
      </c>
      <c r="P1477" t="s">
        <v>31</v>
      </c>
      <c r="Q1477" t="s">
        <v>7550</v>
      </c>
      <c r="R1477">
        <v>0</v>
      </c>
      <c r="S1477">
        <v>0</v>
      </c>
    </row>
    <row r="1478" spans="1:19" hidden="1" x14ac:dyDescent="0.3">
      <c r="A1478" t="s">
        <v>4169</v>
      </c>
      <c r="B1478" t="s">
        <v>4170</v>
      </c>
      <c r="D1478" t="s">
        <v>2619</v>
      </c>
      <c r="E1478" t="s">
        <v>222</v>
      </c>
      <c r="F1478" t="s">
        <v>30</v>
      </c>
      <c r="G1478" s="6">
        <v>45657</v>
      </c>
      <c r="H1478" t="s">
        <v>6816</v>
      </c>
      <c r="I1478" t="s">
        <v>57</v>
      </c>
      <c r="J1478" t="s">
        <v>78</v>
      </c>
      <c r="K1478">
        <v>100</v>
      </c>
      <c r="L1478">
        <v>91.05</v>
      </c>
      <c r="M1478">
        <v>0.91049999999999998</v>
      </c>
      <c r="N1478">
        <v>0.91049999999999998</v>
      </c>
      <c r="O1478" t="s">
        <v>102</v>
      </c>
      <c r="P1478" t="s">
        <v>7551</v>
      </c>
      <c r="Q1478" t="s">
        <v>4172</v>
      </c>
      <c r="R1478">
        <v>2</v>
      </c>
      <c r="S1478">
        <v>2</v>
      </c>
    </row>
    <row r="1479" spans="1:19" hidden="1" x14ac:dyDescent="0.3">
      <c r="A1479" t="s">
        <v>4173</v>
      </c>
      <c r="B1479" t="s">
        <v>4176</v>
      </c>
      <c r="C1479" t="s">
        <v>6622</v>
      </c>
      <c r="D1479" t="s">
        <v>28</v>
      </c>
      <c r="E1479" t="s">
        <v>222</v>
      </c>
      <c r="F1479" t="s">
        <v>30</v>
      </c>
      <c r="G1479" s="6">
        <v>45657</v>
      </c>
      <c r="H1479" t="s">
        <v>6816</v>
      </c>
      <c r="I1479" t="s">
        <v>57</v>
      </c>
      <c r="J1479" t="s">
        <v>78</v>
      </c>
      <c r="K1479">
        <v>16.5</v>
      </c>
      <c r="L1479">
        <v>16.5</v>
      </c>
      <c r="M1479">
        <v>1</v>
      </c>
      <c r="N1479">
        <v>1</v>
      </c>
      <c r="O1479" t="s">
        <v>7552</v>
      </c>
      <c r="P1479" t="s">
        <v>7552</v>
      </c>
      <c r="Q1479" t="s">
        <v>4177</v>
      </c>
      <c r="R1479">
        <v>2</v>
      </c>
      <c r="S1479">
        <v>2</v>
      </c>
    </row>
    <row r="1480" spans="1:19" hidden="1" x14ac:dyDescent="0.3">
      <c r="A1480" t="s">
        <v>4173</v>
      </c>
      <c r="B1480" t="s">
        <v>4176</v>
      </c>
      <c r="C1480" t="s">
        <v>6622</v>
      </c>
      <c r="D1480" t="s">
        <v>28</v>
      </c>
      <c r="E1480" t="s">
        <v>222</v>
      </c>
      <c r="F1480" t="s">
        <v>30</v>
      </c>
      <c r="G1480" s="6">
        <v>46022</v>
      </c>
      <c r="H1480" t="s">
        <v>6823</v>
      </c>
      <c r="I1480" t="s">
        <v>57</v>
      </c>
      <c r="J1480" t="s">
        <v>103</v>
      </c>
      <c r="K1480">
        <v>100</v>
      </c>
      <c r="L1480">
        <v>100</v>
      </c>
      <c r="M1480">
        <v>1</v>
      </c>
      <c r="N1480">
        <v>1</v>
      </c>
      <c r="O1480" t="s">
        <v>102</v>
      </c>
      <c r="P1480" t="s">
        <v>102</v>
      </c>
      <c r="Q1480" t="s">
        <v>4179</v>
      </c>
      <c r="R1480">
        <v>2</v>
      </c>
      <c r="S1480">
        <v>2</v>
      </c>
    </row>
    <row r="1481" spans="1:19" hidden="1" x14ac:dyDescent="0.3">
      <c r="A1481" t="s">
        <v>4180</v>
      </c>
      <c r="B1481" t="s">
        <v>4183</v>
      </c>
      <c r="C1481" t="s">
        <v>6622</v>
      </c>
      <c r="D1481" t="s">
        <v>2991</v>
      </c>
      <c r="E1481" t="s">
        <v>222</v>
      </c>
      <c r="F1481" t="s">
        <v>30</v>
      </c>
      <c r="G1481" s="6">
        <v>45657</v>
      </c>
      <c r="H1481" t="s">
        <v>6816</v>
      </c>
      <c r="I1481" t="s">
        <v>57</v>
      </c>
      <c r="J1481" t="s">
        <v>78</v>
      </c>
      <c r="K1481">
        <v>100</v>
      </c>
      <c r="L1481">
        <v>100</v>
      </c>
      <c r="M1481">
        <v>1</v>
      </c>
      <c r="N1481">
        <v>1</v>
      </c>
      <c r="O1481" t="s">
        <v>102</v>
      </c>
      <c r="P1481" t="s">
        <v>102</v>
      </c>
      <c r="Q1481" t="s">
        <v>4184</v>
      </c>
      <c r="R1481">
        <v>2</v>
      </c>
      <c r="S1481">
        <v>2</v>
      </c>
    </row>
    <row r="1482" spans="1:19" hidden="1" x14ac:dyDescent="0.3">
      <c r="A1482" t="s">
        <v>4180</v>
      </c>
      <c r="B1482" t="s">
        <v>4183</v>
      </c>
      <c r="C1482" t="s">
        <v>6622</v>
      </c>
      <c r="D1482" t="s">
        <v>2991</v>
      </c>
      <c r="E1482" t="s">
        <v>222</v>
      </c>
      <c r="F1482" t="s">
        <v>30</v>
      </c>
      <c r="G1482" s="6">
        <v>46022</v>
      </c>
      <c r="H1482" t="s">
        <v>6823</v>
      </c>
      <c r="I1482" t="s">
        <v>57</v>
      </c>
      <c r="J1482" t="s">
        <v>103</v>
      </c>
      <c r="L1482">
        <v>0</v>
      </c>
      <c r="M1482">
        <v>0</v>
      </c>
      <c r="N1482">
        <v>0</v>
      </c>
      <c r="P1482" t="s">
        <v>122</v>
      </c>
      <c r="Q1482" t="s">
        <v>7553</v>
      </c>
      <c r="R1482">
        <v>2</v>
      </c>
      <c r="S1482">
        <v>2</v>
      </c>
    </row>
    <row r="1483" spans="1:19" hidden="1" x14ac:dyDescent="0.3">
      <c r="A1483" t="s">
        <v>4186</v>
      </c>
      <c r="B1483" t="s">
        <v>4187</v>
      </c>
      <c r="C1483" t="s">
        <v>6622</v>
      </c>
      <c r="D1483" t="s">
        <v>61</v>
      </c>
      <c r="E1483" t="s">
        <v>222</v>
      </c>
      <c r="F1483" t="s">
        <v>30</v>
      </c>
      <c r="G1483" s="6">
        <v>45657</v>
      </c>
      <c r="H1483" t="s">
        <v>6816</v>
      </c>
      <c r="I1483" t="s">
        <v>57</v>
      </c>
      <c r="J1483" t="s">
        <v>78</v>
      </c>
      <c r="K1483">
        <v>100</v>
      </c>
      <c r="L1483">
        <v>100</v>
      </c>
      <c r="M1483">
        <v>1</v>
      </c>
      <c r="N1483">
        <v>1</v>
      </c>
      <c r="O1483" t="s">
        <v>102</v>
      </c>
      <c r="P1483" t="s">
        <v>102</v>
      </c>
      <c r="Q1483" t="s">
        <v>4189</v>
      </c>
      <c r="R1483">
        <v>2</v>
      </c>
      <c r="S1483">
        <v>2</v>
      </c>
    </row>
    <row r="1484" spans="1:19" hidden="1" x14ac:dyDescent="0.3">
      <c r="A1484" t="s">
        <v>4186</v>
      </c>
      <c r="B1484" t="s">
        <v>4187</v>
      </c>
      <c r="C1484" t="s">
        <v>6622</v>
      </c>
      <c r="D1484" t="s">
        <v>61</v>
      </c>
      <c r="E1484" t="s">
        <v>222</v>
      </c>
      <c r="F1484" t="s">
        <v>30</v>
      </c>
      <c r="G1484" s="6">
        <v>46022</v>
      </c>
      <c r="H1484" t="s">
        <v>6823</v>
      </c>
      <c r="I1484" t="s">
        <v>57</v>
      </c>
      <c r="J1484" t="s">
        <v>103</v>
      </c>
      <c r="K1484">
        <v>100</v>
      </c>
      <c r="L1484">
        <v>100</v>
      </c>
      <c r="M1484">
        <v>1</v>
      </c>
      <c r="N1484">
        <v>1</v>
      </c>
      <c r="O1484" t="s">
        <v>102</v>
      </c>
      <c r="P1484" t="s">
        <v>102</v>
      </c>
      <c r="Q1484" t="s">
        <v>4191</v>
      </c>
      <c r="R1484">
        <v>2</v>
      </c>
      <c r="S1484">
        <v>2</v>
      </c>
    </row>
    <row r="1485" spans="1:19" hidden="1" x14ac:dyDescent="0.3">
      <c r="A1485" t="s">
        <v>4192</v>
      </c>
      <c r="B1485" t="s">
        <v>4193</v>
      </c>
      <c r="C1485" t="s">
        <v>6622</v>
      </c>
      <c r="D1485" t="s">
        <v>28</v>
      </c>
      <c r="E1485" t="s">
        <v>222</v>
      </c>
      <c r="F1485" t="s">
        <v>30</v>
      </c>
      <c r="G1485" s="6">
        <v>45657</v>
      </c>
      <c r="H1485" t="s">
        <v>6816</v>
      </c>
      <c r="I1485" t="s">
        <v>57</v>
      </c>
      <c r="J1485" t="s">
        <v>78</v>
      </c>
      <c r="K1485">
        <v>15</v>
      </c>
      <c r="L1485">
        <v>15</v>
      </c>
      <c r="M1485">
        <v>1</v>
      </c>
      <c r="N1485">
        <v>1</v>
      </c>
      <c r="O1485" t="s">
        <v>3932</v>
      </c>
      <c r="P1485" t="s">
        <v>3932</v>
      </c>
      <c r="Q1485" t="s">
        <v>4195</v>
      </c>
      <c r="R1485">
        <v>2</v>
      </c>
      <c r="S1485">
        <v>2</v>
      </c>
    </row>
    <row r="1486" spans="1:19" hidden="1" x14ac:dyDescent="0.3">
      <c r="A1486" t="s">
        <v>4192</v>
      </c>
      <c r="B1486" t="s">
        <v>4193</v>
      </c>
      <c r="C1486" t="s">
        <v>6622</v>
      </c>
      <c r="D1486" t="s">
        <v>28</v>
      </c>
      <c r="E1486" t="s">
        <v>222</v>
      </c>
      <c r="F1486" t="s">
        <v>30</v>
      </c>
      <c r="G1486" s="6">
        <v>46022</v>
      </c>
      <c r="H1486" t="s">
        <v>6823</v>
      </c>
      <c r="I1486" t="s">
        <v>57</v>
      </c>
      <c r="J1486" t="s">
        <v>103</v>
      </c>
      <c r="K1486">
        <v>100</v>
      </c>
      <c r="L1486">
        <v>100</v>
      </c>
      <c r="M1486">
        <v>1</v>
      </c>
      <c r="N1486">
        <v>1</v>
      </c>
      <c r="O1486" t="s">
        <v>102</v>
      </c>
      <c r="P1486" t="s">
        <v>102</v>
      </c>
      <c r="Q1486" t="s">
        <v>4197</v>
      </c>
      <c r="R1486">
        <v>2</v>
      </c>
      <c r="S1486">
        <v>2</v>
      </c>
    </row>
    <row r="1487" spans="1:19" hidden="1" x14ac:dyDescent="0.3">
      <c r="A1487" t="s">
        <v>4198</v>
      </c>
      <c r="B1487" t="s">
        <v>4199</v>
      </c>
      <c r="C1487" t="s">
        <v>6622</v>
      </c>
      <c r="D1487" t="s">
        <v>2991</v>
      </c>
      <c r="E1487" t="s">
        <v>222</v>
      </c>
      <c r="F1487" t="s">
        <v>30</v>
      </c>
      <c r="G1487" s="6">
        <v>45657</v>
      </c>
      <c r="H1487" t="s">
        <v>6816</v>
      </c>
      <c r="I1487" t="s">
        <v>57</v>
      </c>
      <c r="J1487" t="s">
        <v>78</v>
      </c>
      <c r="K1487">
        <v>200</v>
      </c>
      <c r="L1487">
        <v>200</v>
      </c>
      <c r="M1487">
        <v>1</v>
      </c>
      <c r="N1487">
        <v>1</v>
      </c>
      <c r="O1487" t="s">
        <v>2396</v>
      </c>
      <c r="P1487" t="s">
        <v>2396</v>
      </c>
      <c r="Q1487" t="s">
        <v>4201</v>
      </c>
      <c r="R1487">
        <v>2</v>
      </c>
      <c r="S1487">
        <v>2</v>
      </c>
    </row>
    <row r="1488" spans="1:19" hidden="1" x14ac:dyDescent="0.3">
      <c r="A1488" t="s">
        <v>4202</v>
      </c>
      <c r="B1488" t="s">
        <v>4203</v>
      </c>
      <c r="C1488" t="s">
        <v>6622</v>
      </c>
      <c r="D1488" t="s">
        <v>2991</v>
      </c>
      <c r="E1488" t="s">
        <v>222</v>
      </c>
      <c r="F1488" t="s">
        <v>30</v>
      </c>
      <c r="G1488" s="6">
        <v>45657</v>
      </c>
      <c r="H1488" t="s">
        <v>6816</v>
      </c>
      <c r="I1488" t="s">
        <v>57</v>
      </c>
      <c r="J1488" t="s">
        <v>78</v>
      </c>
      <c r="K1488">
        <v>200</v>
      </c>
      <c r="L1488">
        <v>100</v>
      </c>
      <c r="M1488">
        <v>0.5</v>
      </c>
      <c r="N1488">
        <v>0.5</v>
      </c>
      <c r="O1488" t="s">
        <v>2396</v>
      </c>
      <c r="P1488" t="s">
        <v>102</v>
      </c>
      <c r="Q1488" t="s">
        <v>4205</v>
      </c>
      <c r="R1488">
        <v>2</v>
      </c>
      <c r="S1488">
        <v>2</v>
      </c>
    </row>
    <row r="1489" spans="1:19" hidden="1" x14ac:dyDescent="0.3">
      <c r="A1489" t="s">
        <v>4202</v>
      </c>
      <c r="B1489" t="s">
        <v>4203</v>
      </c>
      <c r="C1489" t="s">
        <v>6622</v>
      </c>
      <c r="D1489" t="s">
        <v>2991</v>
      </c>
      <c r="E1489" t="s">
        <v>222</v>
      </c>
      <c r="F1489" t="s">
        <v>30</v>
      </c>
      <c r="G1489" s="6">
        <v>46022</v>
      </c>
      <c r="H1489" t="s">
        <v>6823</v>
      </c>
      <c r="I1489" t="s">
        <v>57</v>
      </c>
      <c r="J1489" t="s">
        <v>103</v>
      </c>
      <c r="L1489">
        <v>0</v>
      </c>
      <c r="M1489">
        <v>0</v>
      </c>
      <c r="N1489">
        <v>0</v>
      </c>
      <c r="P1489" t="s">
        <v>122</v>
      </c>
      <c r="Q1489" t="s">
        <v>7554</v>
      </c>
      <c r="R1489">
        <v>2</v>
      </c>
      <c r="S1489">
        <v>2</v>
      </c>
    </row>
    <row r="1490" spans="1:19" hidden="1" x14ac:dyDescent="0.3">
      <c r="A1490" t="s">
        <v>4207</v>
      </c>
      <c r="B1490" t="s">
        <v>4208</v>
      </c>
      <c r="C1490" t="s">
        <v>6622</v>
      </c>
      <c r="D1490" t="s">
        <v>2991</v>
      </c>
      <c r="E1490" t="s">
        <v>222</v>
      </c>
      <c r="F1490" t="s">
        <v>30</v>
      </c>
      <c r="G1490" s="6">
        <v>45657</v>
      </c>
      <c r="H1490" t="s">
        <v>6816</v>
      </c>
      <c r="I1490" t="s">
        <v>57</v>
      </c>
      <c r="J1490" t="s">
        <v>78</v>
      </c>
      <c r="K1490">
        <v>200</v>
      </c>
      <c r="L1490">
        <v>200</v>
      </c>
      <c r="M1490">
        <v>1</v>
      </c>
      <c r="N1490">
        <v>1</v>
      </c>
      <c r="O1490" t="s">
        <v>2396</v>
      </c>
      <c r="P1490" t="s">
        <v>2396</v>
      </c>
      <c r="Q1490" t="s">
        <v>4210</v>
      </c>
      <c r="R1490">
        <v>2</v>
      </c>
      <c r="S1490">
        <v>2</v>
      </c>
    </row>
    <row r="1491" spans="1:19" hidden="1" x14ac:dyDescent="0.3">
      <c r="A1491" t="s">
        <v>4207</v>
      </c>
      <c r="B1491" t="s">
        <v>4208</v>
      </c>
      <c r="C1491" t="s">
        <v>6622</v>
      </c>
      <c r="D1491" t="s">
        <v>2991</v>
      </c>
      <c r="E1491" t="s">
        <v>222</v>
      </c>
      <c r="F1491" t="s">
        <v>30</v>
      </c>
      <c r="G1491" s="6">
        <v>46022</v>
      </c>
      <c r="H1491" t="s">
        <v>6823</v>
      </c>
      <c r="I1491" t="s">
        <v>57</v>
      </c>
      <c r="J1491" t="s">
        <v>103</v>
      </c>
      <c r="K1491">
        <v>100</v>
      </c>
      <c r="M1491">
        <v>0</v>
      </c>
      <c r="N1491">
        <v>0</v>
      </c>
      <c r="O1491" t="s">
        <v>102</v>
      </c>
      <c r="Q1491" t="s">
        <v>7555</v>
      </c>
      <c r="R1491">
        <v>2</v>
      </c>
      <c r="S1491">
        <v>2</v>
      </c>
    </row>
    <row r="1492" spans="1:19" hidden="1" x14ac:dyDescent="0.3">
      <c r="A1492" t="s">
        <v>4212</v>
      </c>
      <c r="B1492" t="s">
        <v>4213</v>
      </c>
      <c r="C1492" t="s">
        <v>6622</v>
      </c>
      <c r="D1492" t="s">
        <v>2991</v>
      </c>
      <c r="E1492" t="s">
        <v>222</v>
      </c>
      <c r="F1492" t="s">
        <v>30</v>
      </c>
      <c r="G1492" s="6">
        <v>45657</v>
      </c>
      <c r="H1492" t="s">
        <v>6816</v>
      </c>
      <c r="I1492" t="s">
        <v>57</v>
      </c>
      <c r="J1492" t="s">
        <v>78</v>
      </c>
      <c r="K1492">
        <v>200</v>
      </c>
      <c r="L1492">
        <v>200</v>
      </c>
      <c r="M1492">
        <v>1</v>
      </c>
      <c r="N1492">
        <v>1</v>
      </c>
      <c r="O1492" t="s">
        <v>2396</v>
      </c>
      <c r="P1492" t="s">
        <v>2396</v>
      </c>
      <c r="Q1492" t="s">
        <v>4215</v>
      </c>
      <c r="R1492">
        <v>2</v>
      </c>
      <c r="S1492">
        <v>2</v>
      </c>
    </row>
    <row r="1493" spans="1:19" hidden="1" x14ac:dyDescent="0.3">
      <c r="A1493" t="s">
        <v>4212</v>
      </c>
      <c r="B1493" t="s">
        <v>4213</v>
      </c>
      <c r="C1493" t="s">
        <v>6622</v>
      </c>
      <c r="D1493" t="s">
        <v>2991</v>
      </c>
      <c r="E1493" t="s">
        <v>222</v>
      </c>
      <c r="F1493" t="s">
        <v>30</v>
      </c>
      <c r="G1493" s="6">
        <v>46022</v>
      </c>
      <c r="H1493" t="s">
        <v>6823</v>
      </c>
      <c r="I1493" t="s">
        <v>57</v>
      </c>
      <c r="J1493" t="s">
        <v>103</v>
      </c>
      <c r="K1493">
        <v>100</v>
      </c>
      <c r="M1493">
        <v>0</v>
      </c>
      <c r="N1493">
        <v>0</v>
      </c>
      <c r="O1493" t="s">
        <v>102</v>
      </c>
      <c r="Q1493" t="s">
        <v>7556</v>
      </c>
      <c r="R1493">
        <v>2</v>
      </c>
      <c r="S1493">
        <v>2</v>
      </c>
    </row>
    <row r="1494" spans="1:19" hidden="1" x14ac:dyDescent="0.3">
      <c r="A1494" t="s">
        <v>4217</v>
      </c>
      <c r="B1494" t="s">
        <v>4218</v>
      </c>
      <c r="C1494" t="s">
        <v>6681</v>
      </c>
      <c r="D1494" t="s">
        <v>28</v>
      </c>
      <c r="E1494" t="s">
        <v>222</v>
      </c>
      <c r="F1494" t="s">
        <v>30</v>
      </c>
      <c r="G1494" s="6">
        <v>45657</v>
      </c>
      <c r="H1494" t="s">
        <v>6816</v>
      </c>
      <c r="I1494" t="s">
        <v>57</v>
      </c>
      <c r="J1494" t="s">
        <v>78</v>
      </c>
      <c r="K1494">
        <v>100</v>
      </c>
      <c r="L1494">
        <v>100</v>
      </c>
      <c r="M1494">
        <v>1</v>
      </c>
      <c r="N1494">
        <v>1</v>
      </c>
      <c r="O1494" t="s">
        <v>102</v>
      </c>
      <c r="P1494" t="s">
        <v>102</v>
      </c>
      <c r="Q1494" t="s">
        <v>4220</v>
      </c>
      <c r="R1494">
        <v>2</v>
      </c>
      <c r="S1494">
        <v>2</v>
      </c>
    </row>
    <row r="1495" spans="1:19" hidden="1" x14ac:dyDescent="0.3">
      <c r="A1495" t="s">
        <v>4217</v>
      </c>
      <c r="B1495" t="s">
        <v>4218</v>
      </c>
      <c r="C1495" t="s">
        <v>6681</v>
      </c>
      <c r="D1495" t="s">
        <v>28</v>
      </c>
      <c r="E1495" t="s">
        <v>222</v>
      </c>
      <c r="F1495" t="s">
        <v>30</v>
      </c>
      <c r="G1495" s="6">
        <v>46022</v>
      </c>
      <c r="H1495" t="s">
        <v>6823</v>
      </c>
      <c r="I1495" t="s">
        <v>57</v>
      </c>
      <c r="J1495" t="s">
        <v>103</v>
      </c>
      <c r="K1495">
        <v>200</v>
      </c>
      <c r="L1495">
        <v>100</v>
      </c>
      <c r="M1495">
        <v>0.5</v>
      </c>
      <c r="N1495">
        <v>0.5</v>
      </c>
      <c r="O1495" t="s">
        <v>2396</v>
      </c>
      <c r="P1495" t="s">
        <v>102</v>
      </c>
      <c r="Q1495" t="s">
        <v>4222</v>
      </c>
      <c r="R1495">
        <v>2</v>
      </c>
      <c r="S1495">
        <v>2</v>
      </c>
    </row>
    <row r="1496" spans="1:19" hidden="1" x14ac:dyDescent="0.3">
      <c r="A1496" t="s">
        <v>4223</v>
      </c>
      <c r="B1496" t="s">
        <v>4224</v>
      </c>
      <c r="D1496" t="s">
        <v>3071</v>
      </c>
      <c r="E1496" t="s">
        <v>98</v>
      </c>
      <c r="F1496" t="s">
        <v>30</v>
      </c>
      <c r="G1496" s="6">
        <v>45657</v>
      </c>
      <c r="H1496" t="s">
        <v>6816</v>
      </c>
      <c r="I1496" t="s">
        <v>57</v>
      </c>
      <c r="J1496" t="s">
        <v>78</v>
      </c>
      <c r="K1496">
        <v>10</v>
      </c>
      <c r="L1496">
        <v>91.65</v>
      </c>
      <c r="M1496">
        <v>1.3</v>
      </c>
      <c r="N1496">
        <v>9.1650000000000009</v>
      </c>
      <c r="O1496" t="s">
        <v>1861</v>
      </c>
      <c r="P1496" t="s">
        <v>6462</v>
      </c>
      <c r="Q1496" t="s">
        <v>4225</v>
      </c>
      <c r="R1496">
        <v>2</v>
      </c>
      <c r="S1496">
        <v>2</v>
      </c>
    </row>
    <row r="1497" spans="1:19" hidden="1" x14ac:dyDescent="0.3">
      <c r="A1497" t="s">
        <v>4226</v>
      </c>
      <c r="B1497" t="s">
        <v>4227</v>
      </c>
      <c r="C1497" t="s">
        <v>6681</v>
      </c>
      <c r="D1497" t="s">
        <v>97</v>
      </c>
      <c r="E1497" t="s">
        <v>233</v>
      </c>
      <c r="F1497" t="s">
        <v>30</v>
      </c>
      <c r="G1497" s="6">
        <v>45657</v>
      </c>
      <c r="H1497" t="s">
        <v>6816</v>
      </c>
      <c r="I1497" t="s">
        <v>57</v>
      </c>
      <c r="J1497" t="s">
        <v>78</v>
      </c>
      <c r="K1497">
        <v>90</v>
      </c>
      <c r="L1497">
        <v>100</v>
      </c>
      <c r="M1497">
        <v>1.1111111111111109</v>
      </c>
      <c r="N1497">
        <v>1.1111111111111109</v>
      </c>
      <c r="O1497" t="s">
        <v>256</v>
      </c>
      <c r="P1497" t="s">
        <v>102</v>
      </c>
      <c r="Q1497" t="s">
        <v>4230</v>
      </c>
      <c r="R1497">
        <v>2</v>
      </c>
      <c r="S1497">
        <v>2</v>
      </c>
    </row>
    <row r="1498" spans="1:19" hidden="1" x14ac:dyDescent="0.3">
      <c r="A1498" t="s">
        <v>4226</v>
      </c>
      <c r="B1498" t="s">
        <v>4227</v>
      </c>
      <c r="C1498" t="s">
        <v>6681</v>
      </c>
      <c r="D1498" t="s">
        <v>97</v>
      </c>
      <c r="E1498" t="s">
        <v>233</v>
      </c>
      <c r="F1498" t="s">
        <v>30</v>
      </c>
      <c r="G1498" s="6">
        <v>46022</v>
      </c>
      <c r="H1498" t="s">
        <v>6823</v>
      </c>
      <c r="I1498" t="s">
        <v>57</v>
      </c>
      <c r="J1498" t="s">
        <v>103</v>
      </c>
      <c r="K1498">
        <v>90</v>
      </c>
      <c r="L1498">
        <v>100</v>
      </c>
      <c r="M1498">
        <v>1.1111111111111109</v>
      </c>
      <c r="N1498">
        <v>1.1111111111111109</v>
      </c>
      <c r="O1498" t="s">
        <v>256</v>
      </c>
      <c r="P1498" t="s">
        <v>102</v>
      </c>
      <c r="Q1498" t="s">
        <v>4233</v>
      </c>
      <c r="R1498">
        <v>2</v>
      </c>
      <c r="S1498">
        <v>2</v>
      </c>
    </row>
    <row r="1499" spans="1:19" hidden="1" x14ac:dyDescent="0.3">
      <c r="A1499" t="s">
        <v>4234</v>
      </c>
      <c r="B1499" t="s">
        <v>4235</v>
      </c>
      <c r="C1499" t="s">
        <v>6681</v>
      </c>
      <c r="D1499" t="s">
        <v>309</v>
      </c>
      <c r="E1499" t="s">
        <v>29</v>
      </c>
      <c r="F1499" t="s">
        <v>30</v>
      </c>
      <c r="G1499" s="6">
        <v>45657</v>
      </c>
      <c r="H1499" t="s">
        <v>6816</v>
      </c>
      <c r="I1499" t="s">
        <v>57</v>
      </c>
      <c r="J1499" t="s">
        <v>78</v>
      </c>
      <c r="K1499">
        <v>320</v>
      </c>
      <c r="L1499">
        <v>366.67</v>
      </c>
      <c r="M1499">
        <v>1.14584375</v>
      </c>
      <c r="N1499">
        <v>1.14584375</v>
      </c>
      <c r="O1499" t="s">
        <v>6463</v>
      </c>
      <c r="P1499" t="s">
        <v>6464</v>
      </c>
      <c r="Q1499" t="s">
        <v>4239</v>
      </c>
      <c r="R1499">
        <v>2</v>
      </c>
      <c r="S1499">
        <v>2</v>
      </c>
    </row>
    <row r="1500" spans="1:19" hidden="1" x14ac:dyDescent="0.3">
      <c r="A1500" t="s">
        <v>4234</v>
      </c>
      <c r="B1500" t="s">
        <v>4235</v>
      </c>
      <c r="C1500" t="s">
        <v>6681</v>
      </c>
      <c r="D1500" t="s">
        <v>309</v>
      </c>
      <c r="E1500" t="s">
        <v>29</v>
      </c>
      <c r="F1500" t="s">
        <v>30</v>
      </c>
      <c r="G1500" s="6">
        <v>46022</v>
      </c>
      <c r="H1500" t="s">
        <v>6823</v>
      </c>
      <c r="I1500" t="s">
        <v>57</v>
      </c>
      <c r="J1500" t="s">
        <v>103</v>
      </c>
      <c r="K1500">
        <v>880</v>
      </c>
      <c r="L1500">
        <v>769.05000000000007</v>
      </c>
      <c r="M1500">
        <v>0.87392045454545464</v>
      </c>
      <c r="N1500">
        <v>0.87392045454545464</v>
      </c>
      <c r="O1500" t="s">
        <v>7557</v>
      </c>
      <c r="P1500" t="s">
        <v>7558</v>
      </c>
      <c r="Q1500" t="s">
        <v>4256</v>
      </c>
      <c r="R1500">
        <v>2</v>
      </c>
      <c r="S1500">
        <v>2</v>
      </c>
    </row>
    <row r="1501" spans="1:19" hidden="1" x14ac:dyDescent="0.3">
      <c r="A1501" t="s">
        <v>4257</v>
      </c>
      <c r="B1501" t="s">
        <v>4258</v>
      </c>
      <c r="C1501" t="s">
        <v>6681</v>
      </c>
      <c r="D1501" t="s">
        <v>165</v>
      </c>
      <c r="E1501" t="s">
        <v>222</v>
      </c>
      <c r="F1501" t="s">
        <v>30</v>
      </c>
      <c r="G1501" s="6">
        <v>45657</v>
      </c>
      <c r="H1501" t="s">
        <v>6816</v>
      </c>
      <c r="I1501" t="s">
        <v>57</v>
      </c>
      <c r="J1501" t="s">
        <v>78</v>
      </c>
      <c r="L1501">
        <v>3800000</v>
      </c>
      <c r="M1501">
        <v>0</v>
      </c>
      <c r="N1501">
        <v>0</v>
      </c>
      <c r="P1501" t="s">
        <v>7559</v>
      </c>
      <c r="Q1501" t="s">
        <v>4260</v>
      </c>
      <c r="R1501">
        <v>2</v>
      </c>
      <c r="S1501">
        <v>2</v>
      </c>
    </row>
    <row r="1502" spans="1:19" hidden="1" x14ac:dyDescent="0.3">
      <c r="A1502" t="s">
        <v>4257</v>
      </c>
      <c r="B1502" t="s">
        <v>4258</v>
      </c>
      <c r="C1502" t="s">
        <v>6681</v>
      </c>
      <c r="D1502" t="s">
        <v>165</v>
      </c>
      <c r="E1502" t="s">
        <v>222</v>
      </c>
      <c r="F1502" t="s">
        <v>30</v>
      </c>
      <c r="G1502" s="6">
        <v>46022</v>
      </c>
      <c r="H1502" t="s">
        <v>6823</v>
      </c>
      <c r="I1502" t="s">
        <v>57</v>
      </c>
      <c r="J1502" t="s">
        <v>103</v>
      </c>
      <c r="L1502">
        <v>2890610</v>
      </c>
      <c r="M1502">
        <v>0</v>
      </c>
      <c r="N1502">
        <v>0</v>
      </c>
      <c r="P1502" t="s">
        <v>4262</v>
      </c>
      <c r="Q1502" t="s">
        <v>7560</v>
      </c>
      <c r="R1502">
        <v>2</v>
      </c>
      <c r="S1502">
        <v>2</v>
      </c>
    </row>
    <row r="1503" spans="1:19" hidden="1" x14ac:dyDescent="0.3">
      <c r="A1503" t="s">
        <v>4264</v>
      </c>
      <c r="B1503" t="s">
        <v>4265</v>
      </c>
      <c r="C1503" t="s">
        <v>6681</v>
      </c>
      <c r="D1503" t="s">
        <v>133</v>
      </c>
      <c r="E1503" t="s">
        <v>98</v>
      </c>
      <c r="F1503" t="s">
        <v>30</v>
      </c>
      <c r="G1503" s="6">
        <v>45657</v>
      </c>
      <c r="H1503" t="s">
        <v>6816</v>
      </c>
      <c r="I1503" t="s">
        <v>57</v>
      </c>
      <c r="J1503" t="s">
        <v>78</v>
      </c>
      <c r="K1503">
        <v>20</v>
      </c>
      <c r="L1503">
        <v>164.17</v>
      </c>
      <c r="M1503">
        <v>1.3</v>
      </c>
      <c r="N1503">
        <v>8.208499999999999</v>
      </c>
      <c r="O1503" t="s">
        <v>1298</v>
      </c>
      <c r="P1503" t="s">
        <v>6470</v>
      </c>
      <c r="Q1503" t="s">
        <v>4266</v>
      </c>
      <c r="R1503">
        <v>2</v>
      </c>
      <c r="S1503">
        <v>2</v>
      </c>
    </row>
    <row r="1504" spans="1:19" hidden="1" x14ac:dyDescent="0.3">
      <c r="A1504" t="s">
        <v>4264</v>
      </c>
      <c r="B1504" t="s">
        <v>4267</v>
      </c>
      <c r="C1504" t="s">
        <v>6681</v>
      </c>
      <c r="D1504" t="s">
        <v>133</v>
      </c>
      <c r="E1504" t="s">
        <v>98</v>
      </c>
      <c r="F1504" t="s">
        <v>30</v>
      </c>
      <c r="G1504" s="6">
        <v>46022</v>
      </c>
      <c r="H1504" t="s">
        <v>6823</v>
      </c>
      <c r="I1504" t="s">
        <v>57</v>
      </c>
      <c r="J1504" t="s">
        <v>103</v>
      </c>
      <c r="K1504">
        <v>20</v>
      </c>
      <c r="L1504">
        <v>58.86</v>
      </c>
      <c r="M1504">
        <v>1.3</v>
      </c>
      <c r="N1504">
        <v>2.9430000000000001</v>
      </c>
      <c r="O1504" t="s">
        <v>1298</v>
      </c>
      <c r="P1504" t="s">
        <v>4269</v>
      </c>
      <c r="Q1504" t="s">
        <v>4270</v>
      </c>
      <c r="R1504">
        <v>2</v>
      </c>
      <c r="S1504">
        <v>2</v>
      </c>
    </row>
    <row r="1505" spans="1:19" hidden="1" x14ac:dyDescent="0.3">
      <c r="A1505" t="s">
        <v>4271</v>
      </c>
      <c r="B1505" t="s">
        <v>4272</v>
      </c>
      <c r="C1505" t="s">
        <v>6681</v>
      </c>
      <c r="D1505" t="s">
        <v>309</v>
      </c>
      <c r="E1505" t="s">
        <v>29</v>
      </c>
      <c r="F1505" t="s">
        <v>30</v>
      </c>
      <c r="G1505" s="6">
        <v>45657</v>
      </c>
      <c r="H1505" t="s">
        <v>6816</v>
      </c>
      <c r="I1505" t="s">
        <v>57</v>
      </c>
      <c r="J1505" t="s">
        <v>78</v>
      </c>
      <c r="K1505">
        <v>255</v>
      </c>
      <c r="L1505">
        <v>278.89</v>
      </c>
      <c r="M1505">
        <v>1.0936862745098039</v>
      </c>
      <c r="N1505">
        <v>1.0936862745098039</v>
      </c>
      <c r="O1505" t="s">
        <v>6471</v>
      </c>
      <c r="P1505" t="s">
        <v>6472</v>
      </c>
      <c r="Q1505" t="s">
        <v>4275</v>
      </c>
      <c r="R1505">
        <v>2</v>
      </c>
      <c r="S1505">
        <v>2</v>
      </c>
    </row>
    <row r="1506" spans="1:19" hidden="1" x14ac:dyDescent="0.3">
      <c r="A1506" t="s">
        <v>4271</v>
      </c>
      <c r="B1506" t="s">
        <v>4272</v>
      </c>
      <c r="C1506" t="s">
        <v>6681</v>
      </c>
      <c r="D1506" t="s">
        <v>309</v>
      </c>
      <c r="E1506" t="s">
        <v>29</v>
      </c>
      <c r="F1506" t="s">
        <v>30</v>
      </c>
      <c r="G1506" s="6">
        <v>46022</v>
      </c>
      <c r="H1506" t="s">
        <v>6823</v>
      </c>
      <c r="I1506" t="s">
        <v>57</v>
      </c>
      <c r="J1506" t="s">
        <v>103</v>
      </c>
      <c r="K1506">
        <v>935</v>
      </c>
      <c r="L1506">
        <v>762.314662840746</v>
      </c>
      <c r="M1506">
        <v>0.81530979982967489</v>
      </c>
      <c r="N1506">
        <v>0.81530979982967489</v>
      </c>
      <c r="O1506" t="s">
        <v>7561</v>
      </c>
      <c r="P1506" t="s">
        <v>7562</v>
      </c>
      <c r="Q1506" t="s">
        <v>4306</v>
      </c>
      <c r="R1506">
        <v>2</v>
      </c>
      <c r="S1506">
        <v>2</v>
      </c>
    </row>
    <row r="1507" spans="1:19" hidden="1" x14ac:dyDescent="0.3">
      <c r="A1507" t="s">
        <v>4271</v>
      </c>
      <c r="B1507" t="s">
        <v>4272</v>
      </c>
      <c r="C1507" t="s">
        <v>6681</v>
      </c>
      <c r="D1507" t="s">
        <v>309</v>
      </c>
      <c r="E1507" t="s">
        <v>29</v>
      </c>
      <c r="F1507" t="s">
        <v>30</v>
      </c>
      <c r="G1507" s="6">
        <v>46387</v>
      </c>
      <c r="H1507" t="s">
        <v>6841</v>
      </c>
      <c r="I1507" t="s">
        <v>57</v>
      </c>
      <c r="J1507" t="s">
        <v>6842</v>
      </c>
      <c r="L1507">
        <v>72.16</v>
      </c>
      <c r="M1507">
        <v>0</v>
      </c>
      <c r="N1507">
        <v>0</v>
      </c>
      <c r="P1507" t="s">
        <v>4308</v>
      </c>
      <c r="Q1507" t="s">
        <v>7563</v>
      </c>
      <c r="R1507">
        <v>2</v>
      </c>
      <c r="S1507">
        <v>2</v>
      </c>
    </row>
    <row r="1508" spans="1:19" hidden="1" x14ac:dyDescent="0.3">
      <c r="A1508" t="s">
        <v>4310</v>
      </c>
      <c r="B1508" t="s">
        <v>4311</v>
      </c>
      <c r="D1508" t="s">
        <v>309</v>
      </c>
      <c r="E1508" t="s">
        <v>29</v>
      </c>
      <c r="F1508" t="s">
        <v>30</v>
      </c>
      <c r="G1508" s="6">
        <v>45657</v>
      </c>
      <c r="H1508" t="s">
        <v>6816</v>
      </c>
      <c r="I1508" t="s">
        <v>57</v>
      </c>
      <c r="J1508" t="s">
        <v>78</v>
      </c>
      <c r="K1508">
        <v>80</v>
      </c>
      <c r="L1508">
        <v>93.333333333333329</v>
      </c>
      <c r="M1508">
        <v>1.166666666666667</v>
      </c>
      <c r="N1508">
        <v>1.166666666666667</v>
      </c>
      <c r="O1508" t="s">
        <v>193</v>
      </c>
      <c r="P1508" t="s">
        <v>6478</v>
      </c>
      <c r="Q1508" t="s">
        <v>4314</v>
      </c>
      <c r="R1508">
        <v>2</v>
      </c>
      <c r="S1508">
        <v>2</v>
      </c>
    </row>
    <row r="1509" spans="1:19" hidden="1" x14ac:dyDescent="0.3">
      <c r="A1509" t="s">
        <v>4315</v>
      </c>
      <c r="B1509" t="s">
        <v>4316</v>
      </c>
      <c r="C1509" t="s">
        <v>6622</v>
      </c>
      <c r="D1509" t="s">
        <v>129</v>
      </c>
      <c r="E1509" t="s">
        <v>98</v>
      </c>
      <c r="F1509" t="s">
        <v>30</v>
      </c>
      <c r="G1509" s="6">
        <v>45657</v>
      </c>
      <c r="H1509" t="s">
        <v>6816</v>
      </c>
      <c r="I1509" t="s">
        <v>57</v>
      </c>
      <c r="J1509" t="s">
        <v>78</v>
      </c>
      <c r="K1509">
        <v>80</v>
      </c>
      <c r="L1509">
        <v>88</v>
      </c>
      <c r="M1509">
        <v>1.1000000000000001</v>
      </c>
      <c r="N1509">
        <v>1.1000000000000001</v>
      </c>
      <c r="O1509" t="s">
        <v>193</v>
      </c>
      <c r="P1509" t="s">
        <v>4404</v>
      </c>
      <c r="Q1509" t="s">
        <v>4317</v>
      </c>
      <c r="R1509">
        <v>2</v>
      </c>
      <c r="S1509">
        <v>2</v>
      </c>
    </row>
    <row r="1510" spans="1:19" hidden="1" x14ac:dyDescent="0.3">
      <c r="A1510" t="s">
        <v>4315</v>
      </c>
      <c r="B1510" t="s">
        <v>4316</v>
      </c>
      <c r="C1510" t="s">
        <v>6622</v>
      </c>
      <c r="D1510" t="s">
        <v>129</v>
      </c>
      <c r="E1510" t="s">
        <v>98</v>
      </c>
      <c r="F1510" t="s">
        <v>30</v>
      </c>
      <c r="G1510" s="6">
        <v>46022</v>
      </c>
      <c r="H1510" t="s">
        <v>6823</v>
      </c>
      <c r="I1510" t="s">
        <v>57</v>
      </c>
      <c r="J1510" t="s">
        <v>103</v>
      </c>
      <c r="K1510">
        <v>80</v>
      </c>
      <c r="L1510">
        <v>100</v>
      </c>
      <c r="M1510">
        <v>1.25</v>
      </c>
      <c r="N1510">
        <v>1.25</v>
      </c>
      <c r="O1510" t="s">
        <v>193</v>
      </c>
      <c r="P1510" t="s">
        <v>102</v>
      </c>
      <c r="Q1510" t="s">
        <v>4318</v>
      </c>
      <c r="R1510">
        <v>2</v>
      </c>
      <c r="S1510">
        <v>2</v>
      </c>
    </row>
    <row r="1511" spans="1:19" hidden="1" x14ac:dyDescent="0.3">
      <c r="A1511" t="s">
        <v>4319</v>
      </c>
      <c r="B1511" t="s">
        <v>4320</v>
      </c>
      <c r="C1511" t="s">
        <v>6622</v>
      </c>
      <c r="D1511" t="s">
        <v>187</v>
      </c>
      <c r="E1511" t="s">
        <v>98</v>
      </c>
      <c r="F1511" t="s">
        <v>30</v>
      </c>
      <c r="G1511" s="6">
        <v>45657</v>
      </c>
      <c r="H1511" t="s">
        <v>6816</v>
      </c>
      <c r="I1511" t="s">
        <v>57</v>
      </c>
      <c r="J1511" t="s">
        <v>78</v>
      </c>
      <c r="K1511">
        <v>80</v>
      </c>
      <c r="L1511">
        <v>88</v>
      </c>
      <c r="M1511">
        <v>1.1000000000000001</v>
      </c>
      <c r="N1511">
        <v>1.1000000000000001</v>
      </c>
      <c r="O1511" t="s">
        <v>193</v>
      </c>
      <c r="P1511" t="s">
        <v>4404</v>
      </c>
      <c r="Q1511" t="s">
        <v>4321</v>
      </c>
      <c r="R1511">
        <v>2</v>
      </c>
      <c r="S1511">
        <v>2</v>
      </c>
    </row>
    <row r="1512" spans="1:19" hidden="1" x14ac:dyDescent="0.3">
      <c r="A1512" t="s">
        <v>4319</v>
      </c>
      <c r="B1512" t="s">
        <v>4320</v>
      </c>
      <c r="C1512" t="s">
        <v>6622</v>
      </c>
      <c r="D1512" t="s">
        <v>187</v>
      </c>
      <c r="E1512" t="s">
        <v>98</v>
      </c>
      <c r="F1512" t="s">
        <v>30</v>
      </c>
      <c r="G1512" s="6">
        <v>46022</v>
      </c>
      <c r="H1512" t="s">
        <v>6823</v>
      </c>
      <c r="I1512" t="s">
        <v>57</v>
      </c>
      <c r="J1512" t="s">
        <v>103</v>
      </c>
      <c r="K1512">
        <v>80</v>
      </c>
      <c r="L1512">
        <v>100</v>
      </c>
      <c r="M1512">
        <v>1.25</v>
      </c>
      <c r="N1512">
        <v>1.25</v>
      </c>
      <c r="O1512" t="s">
        <v>193</v>
      </c>
      <c r="P1512" t="s">
        <v>102</v>
      </c>
      <c r="Q1512" t="s">
        <v>4322</v>
      </c>
      <c r="R1512">
        <v>2</v>
      </c>
      <c r="S1512">
        <v>2</v>
      </c>
    </row>
    <row r="1513" spans="1:19" hidden="1" x14ac:dyDescent="0.3">
      <c r="A1513" t="s">
        <v>4323</v>
      </c>
      <c r="B1513" t="s">
        <v>4324</v>
      </c>
      <c r="C1513" t="s">
        <v>6622</v>
      </c>
      <c r="D1513" t="s">
        <v>138</v>
      </c>
      <c r="E1513" t="s">
        <v>98</v>
      </c>
      <c r="F1513" t="s">
        <v>30</v>
      </c>
      <c r="G1513" s="6">
        <v>45657</v>
      </c>
      <c r="H1513" t="s">
        <v>6816</v>
      </c>
      <c r="I1513" t="s">
        <v>57</v>
      </c>
      <c r="J1513" t="s">
        <v>78</v>
      </c>
      <c r="K1513">
        <v>80</v>
      </c>
      <c r="L1513">
        <v>83</v>
      </c>
      <c r="M1513">
        <v>1.0375000000000001</v>
      </c>
      <c r="N1513">
        <v>1.0375000000000001</v>
      </c>
      <c r="O1513" t="s">
        <v>193</v>
      </c>
      <c r="P1513" t="s">
        <v>4652</v>
      </c>
      <c r="Q1513" t="s">
        <v>4325</v>
      </c>
      <c r="R1513">
        <v>2</v>
      </c>
      <c r="S1513">
        <v>2</v>
      </c>
    </row>
    <row r="1514" spans="1:19" hidden="1" x14ac:dyDescent="0.3">
      <c r="A1514" t="s">
        <v>4323</v>
      </c>
      <c r="B1514" t="s">
        <v>4324</v>
      </c>
      <c r="C1514" t="s">
        <v>6622</v>
      </c>
      <c r="D1514" t="s">
        <v>138</v>
      </c>
      <c r="E1514" t="s">
        <v>98</v>
      </c>
      <c r="F1514" t="s">
        <v>30</v>
      </c>
      <c r="G1514" s="6">
        <v>46022</v>
      </c>
      <c r="H1514" t="s">
        <v>6823</v>
      </c>
      <c r="I1514" t="s">
        <v>57</v>
      </c>
      <c r="J1514" t="s">
        <v>103</v>
      </c>
      <c r="K1514">
        <v>80</v>
      </c>
      <c r="L1514">
        <v>95</v>
      </c>
      <c r="M1514">
        <v>1.1875</v>
      </c>
      <c r="N1514">
        <v>1.1875</v>
      </c>
      <c r="O1514" t="s">
        <v>193</v>
      </c>
      <c r="P1514" t="s">
        <v>838</v>
      </c>
      <c r="Q1514" t="s">
        <v>4326</v>
      </c>
      <c r="R1514">
        <v>2</v>
      </c>
      <c r="S1514">
        <v>2</v>
      </c>
    </row>
    <row r="1515" spans="1:19" hidden="1" x14ac:dyDescent="0.3">
      <c r="A1515" t="s">
        <v>4327</v>
      </c>
      <c r="B1515" t="s">
        <v>4328</v>
      </c>
      <c r="C1515" t="s">
        <v>6622</v>
      </c>
      <c r="D1515" t="s">
        <v>184</v>
      </c>
      <c r="E1515" t="s">
        <v>98</v>
      </c>
      <c r="F1515" t="s">
        <v>30</v>
      </c>
      <c r="G1515" s="6">
        <v>45657</v>
      </c>
      <c r="H1515" t="s">
        <v>6816</v>
      </c>
      <c r="I1515" t="s">
        <v>57</v>
      </c>
      <c r="J1515" t="s">
        <v>78</v>
      </c>
      <c r="K1515">
        <v>80</v>
      </c>
      <c r="L1515">
        <v>81</v>
      </c>
      <c r="M1515">
        <v>1.0125</v>
      </c>
      <c r="N1515">
        <v>1.0125</v>
      </c>
      <c r="O1515" t="s">
        <v>193</v>
      </c>
      <c r="P1515" t="s">
        <v>1054</v>
      </c>
      <c r="Q1515" t="s">
        <v>4329</v>
      </c>
      <c r="R1515">
        <v>2</v>
      </c>
      <c r="S1515">
        <v>2</v>
      </c>
    </row>
    <row r="1516" spans="1:19" hidden="1" x14ac:dyDescent="0.3">
      <c r="A1516" t="s">
        <v>4327</v>
      </c>
      <c r="B1516" t="s">
        <v>4328</v>
      </c>
      <c r="C1516" t="s">
        <v>6622</v>
      </c>
      <c r="D1516" t="s">
        <v>184</v>
      </c>
      <c r="E1516" t="s">
        <v>98</v>
      </c>
      <c r="F1516" t="s">
        <v>30</v>
      </c>
      <c r="G1516" s="6">
        <v>46022</v>
      </c>
      <c r="H1516" t="s">
        <v>6823</v>
      </c>
      <c r="I1516" t="s">
        <v>57</v>
      </c>
      <c r="J1516" t="s">
        <v>103</v>
      </c>
      <c r="K1516">
        <v>80</v>
      </c>
      <c r="L1516">
        <v>77</v>
      </c>
      <c r="M1516">
        <v>0.96250000000000002</v>
      </c>
      <c r="N1516">
        <v>0.96250000000000002</v>
      </c>
      <c r="O1516" t="s">
        <v>193</v>
      </c>
      <c r="P1516" t="s">
        <v>4331</v>
      </c>
      <c r="Q1516" t="s">
        <v>4332</v>
      </c>
      <c r="R1516">
        <v>2</v>
      </c>
      <c r="S1516">
        <v>2</v>
      </c>
    </row>
    <row r="1517" spans="1:19" hidden="1" x14ac:dyDescent="0.3">
      <c r="A1517" t="s">
        <v>4333</v>
      </c>
      <c r="B1517" t="s">
        <v>4334</v>
      </c>
      <c r="C1517" t="s">
        <v>6622</v>
      </c>
      <c r="D1517" t="s">
        <v>169</v>
      </c>
      <c r="E1517" t="s">
        <v>98</v>
      </c>
      <c r="F1517" t="s">
        <v>30</v>
      </c>
      <c r="G1517" s="6">
        <v>45657</v>
      </c>
      <c r="H1517" t="s">
        <v>6816</v>
      </c>
      <c r="I1517" t="s">
        <v>57</v>
      </c>
      <c r="J1517" t="s">
        <v>78</v>
      </c>
      <c r="K1517">
        <v>80</v>
      </c>
      <c r="L1517">
        <v>89</v>
      </c>
      <c r="M1517">
        <v>1.1125</v>
      </c>
      <c r="N1517">
        <v>1.1125</v>
      </c>
      <c r="O1517" t="s">
        <v>193</v>
      </c>
      <c r="P1517" t="s">
        <v>280</v>
      </c>
      <c r="Q1517" t="s">
        <v>4335</v>
      </c>
      <c r="R1517">
        <v>2</v>
      </c>
      <c r="S1517">
        <v>2</v>
      </c>
    </row>
    <row r="1518" spans="1:19" hidden="1" x14ac:dyDescent="0.3">
      <c r="A1518" t="s">
        <v>4333</v>
      </c>
      <c r="B1518" t="s">
        <v>4334</v>
      </c>
      <c r="C1518" t="s">
        <v>6622</v>
      </c>
      <c r="D1518" t="s">
        <v>169</v>
      </c>
      <c r="E1518" t="s">
        <v>98</v>
      </c>
      <c r="F1518" t="s">
        <v>30</v>
      </c>
      <c r="G1518" s="6">
        <v>46022</v>
      </c>
      <c r="H1518" t="s">
        <v>6823</v>
      </c>
      <c r="I1518" t="s">
        <v>57</v>
      </c>
      <c r="J1518" t="s">
        <v>103</v>
      </c>
      <c r="K1518">
        <v>80</v>
      </c>
      <c r="L1518">
        <v>93</v>
      </c>
      <c r="M1518">
        <v>1.1625000000000001</v>
      </c>
      <c r="N1518">
        <v>1.1625000000000001</v>
      </c>
      <c r="O1518" t="s">
        <v>193</v>
      </c>
      <c r="P1518" t="s">
        <v>971</v>
      </c>
      <c r="Q1518" t="s">
        <v>4337</v>
      </c>
      <c r="R1518">
        <v>2</v>
      </c>
      <c r="S1518">
        <v>2</v>
      </c>
    </row>
    <row r="1519" spans="1:19" hidden="1" x14ac:dyDescent="0.3">
      <c r="A1519" t="s">
        <v>4338</v>
      </c>
      <c r="B1519" t="s">
        <v>4339</v>
      </c>
      <c r="C1519" t="s">
        <v>6622</v>
      </c>
      <c r="D1519" t="s">
        <v>174</v>
      </c>
      <c r="E1519" t="s">
        <v>98</v>
      </c>
      <c r="F1519" t="s">
        <v>30</v>
      </c>
      <c r="G1519" s="6">
        <v>45657</v>
      </c>
      <c r="H1519" t="s">
        <v>6816</v>
      </c>
      <c r="I1519" t="s">
        <v>57</v>
      </c>
      <c r="J1519" t="s">
        <v>78</v>
      </c>
      <c r="K1519">
        <v>80</v>
      </c>
      <c r="L1519">
        <v>92</v>
      </c>
      <c r="M1519">
        <v>1.1499999999999999</v>
      </c>
      <c r="N1519">
        <v>1.1499999999999999</v>
      </c>
      <c r="O1519" t="s">
        <v>193</v>
      </c>
      <c r="P1519" t="s">
        <v>4634</v>
      </c>
      <c r="Q1519" t="s">
        <v>4340</v>
      </c>
      <c r="R1519">
        <v>2</v>
      </c>
      <c r="S1519">
        <v>2</v>
      </c>
    </row>
    <row r="1520" spans="1:19" hidden="1" x14ac:dyDescent="0.3">
      <c r="A1520" t="s">
        <v>4338</v>
      </c>
      <c r="B1520" t="s">
        <v>4339</v>
      </c>
      <c r="C1520" t="s">
        <v>6622</v>
      </c>
      <c r="D1520" t="s">
        <v>174</v>
      </c>
      <c r="E1520" t="s">
        <v>98</v>
      </c>
      <c r="F1520" t="s">
        <v>30</v>
      </c>
      <c r="G1520" s="6">
        <v>46022</v>
      </c>
      <c r="H1520" t="s">
        <v>6823</v>
      </c>
      <c r="I1520" t="s">
        <v>57</v>
      </c>
      <c r="J1520" t="s">
        <v>103</v>
      </c>
      <c r="K1520">
        <v>80</v>
      </c>
      <c r="L1520">
        <v>63</v>
      </c>
      <c r="M1520">
        <v>0.78749999999999998</v>
      </c>
      <c r="N1520">
        <v>0.78749999999999998</v>
      </c>
      <c r="O1520" t="s">
        <v>193</v>
      </c>
      <c r="P1520" t="s">
        <v>4342</v>
      </c>
      <c r="Q1520" t="s">
        <v>4343</v>
      </c>
      <c r="R1520">
        <v>2</v>
      </c>
      <c r="S1520">
        <v>2</v>
      </c>
    </row>
    <row r="1521" spans="1:19" hidden="1" x14ac:dyDescent="0.3">
      <c r="A1521" t="s">
        <v>4344</v>
      </c>
      <c r="B1521" t="s">
        <v>4345</v>
      </c>
      <c r="C1521" t="s">
        <v>6622</v>
      </c>
      <c r="D1521" t="s">
        <v>225</v>
      </c>
      <c r="E1521" t="s">
        <v>98</v>
      </c>
      <c r="F1521" t="s">
        <v>30</v>
      </c>
      <c r="G1521" s="6">
        <v>45657</v>
      </c>
      <c r="H1521" t="s">
        <v>6816</v>
      </c>
      <c r="I1521" t="s">
        <v>57</v>
      </c>
      <c r="J1521" t="s">
        <v>78</v>
      </c>
      <c r="K1521">
        <v>80</v>
      </c>
      <c r="L1521">
        <v>88</v>
      </c>
      <c r="M1521">
        <v>1.1000000000000001</v>
      </c>
      <c r="N1521">
        <v>1.1000000000000001</v>
      </c>
      <c r="O1521" t="s">
        <v>193</v>
      </c>
      <c r="P1521" t="s">
        <v>4404</v>
      </c>
      <c r="Q1521" t="s">
        <v>4346</v>
      </c>
      <c r="R1521">
        <v>2</v>
      </c>
      <c r="S1521">
        <v>2</v>
      </c>
    </row>
    <row r="1522" spans="1:19" hidden="1" x14ac:dyDescent="0.3">
      <c r="A1522" t="s">
        <v>4344</v>
      </c>
      <c r="B1522" t="s">
        <v>4345</v>
      </c>
      <c r="C1522" t="s">
        <v>6622</v>
      </c>
      <c r="D1522" t="s">
        <v>225</v>
      </c>
      <c r="E1522" t="s">
        <v>98</v>
      </c>
      <c r="F1522" t="s">
        <v>30</v>
      </c>
      <c r="G1522" s="6">
        <v>46022</v>
      </c>
      <c r="H1522" t="s">
        <v>6823</v>
      </c>
      <c r="I1522" t="s">
        <v>57</v>
      </c>
      <c r="J1522" t="s">
        <v>103</v>
      </c>
      <c r="K1522">
        <v>80</v>
      </c>
      <c r="L1522">
        <v>100</v>
      </c>
      <c r="M1522">
        <v>1.25</v>
      </c>
      <c r="N1522">
        <v>1.25</v>
      </c>
      <c r="O1522" t="s">
        <v>193</v>
      </c>
      <c r="P1522" t="s">
        <v>102</v>
      </c>
      <c r="Q1522" t="s">
        <v>4347</v>
      </c>
      <c r="R1522">
        <v>2</v>
      </c>
      <c r="S1522">
        <v>2</v>
      </c>
    </row>
    <row r="1523" spans="1:19" hidden="1" x14ac:dyDescent="0.3">
      <c r="A1523" t="s">
        <v>4348</v>
      </c>
      <c r="B1523" t="s">
        <v>4349</v>
      </c>
      <c r="C1523" t="s">
        <v>6622</v>
      </c>
      <c r="D1523" t="s">
        <v>178</v>
      </c>
      <c r="E1523" t="s">
        <v>98</v>
      </c>
      <c r="F1523" t="s">
        <v>30</v>
      </c>
      <c r="G1523" s="6">
        <v>45657</v>
      </c>
      <c r="H1523" t="s">
        <v>6816</v>
      </c>
      <c r="I1523" t="s">
        <v>57</v>
      </c>
      <c r="J1523" t="s">
        <v>78</v>
      </c>
      <c r="K1523">
        <v>80</v>
      </c>
      <c r="L1523">
        <v>83</v>
      </c>
      <c r="M1523">
        <v>1.0375000000000001</v>
      </c>
      <c r="N1523">
        <v>1.0375000000000001</v>
      </c>
      <c r="O1523" t="s">
        <v>193</v>
      </c>
      <c r="P1523" t="s">
        <v>4652</v>
      </c>
      <c r="Q1523" t="s">
        <v>4350</v>
      </c>
      <c r="R1523">
        <v>2</v>
      </c>
      <c r="S1523">
        <v>2</v>
      </c>
    </row>
    <row r="1524" spans="1:19" hidden="1" x14ac:dyDescent="0.3">
      <c r="A1524" t="s">
        <v>4351</v>
      </c>
      <c r="B1524" t="s">
        <v>4352</v>
      </c>
      <c r="C1524" t="s">
        <v>6622</v>
      </c>
      <c r="D1524" t="s">
        <v>133</v>
      </c>
      <c r="E1524" t="s">
        <v>98</v>
      </c>
      <c r="F1524" t="s">
        <v>30</v>
      </c>
      <c r="G1524" s="6">
        <v>45657</v>
      </c>
      <c r="H1524" t="s">
        <v>6816</v>
      </c>
      <c r="I1524" t="s">
        <v>57</v>
      </c>
      <c r="J1524" t="s">
        <v>78</v>
      </c>
      <c r="K1524">
        <v>80</v>
      </c>
      <c r="L1524">
        <v>92</v>
      </c>
      <c r="M1524">
        <v>1.1499999999999999</v>
      </c>
      <c r="N1524">
        <v>1.1499999999999999</v>
      </c>
      <c r="O1524" t="s">
        <v>193</v>
      </c>
      <c r="P1524" t="s">
        <v>4634</v>
      </c>
      <c r="Q1524" t="s">
        <v>4353</v>
      </c>
      <c r="R1524">
        <v>2</v>
      </c>
      <c r="S1524">
        <v>2</v>
      </c>
    </row>
    <row r="1525" spans="1:19" hidden="1" x14ac:dyDescent="0.3">
      <c r="A1525" t="s">
        <v>4351</v>
      </c>
      <c r="B1525" t="s">
        <v>4352</v>
      </c>
      <c r="C1525" t="s">
        <v>6622</v>
      </c>
      <c r="D1525" t="s">
        <v>133</v>
      </c>
      <c r="E1525" t="s">
        <v>98</v>
      </c>
      <c r="F1525" t="s">
        <v>30</v>
      </c>
      <c r="G1525" s="6">
        <v>46022</v>
      </c>
      <c r="H1525" t="s">
        <v>6823</v>
      </c>
      <c r="I1525" t="s">
        <v>57</v>
      </c>
      <c r="J1525" t="s">
        <v>103</v>
      </c>
      <c r="K1525">
        <v>80</v>
      </c>
      <c r="L1525">
        <v>95</v>
      </c>
      <c r="M1525">
        <v>1.1875</v>
      </c>
      <c r="N1525">
        <v>1.1875</v>
      </c>
      <c r="O1525" t="s">
        <v>193</v>
      </c>
      <c r="P1525" t="s">
        <v>838</v>
      </c>
      <c r="Q1525" t="s">
        <v>4354</v>
      </c>
      <c r="R1525">
        <v>2</v>
      </c>
      <c r="S1525">
        <v>2</v>
      </c>
    </row>
    <row r="1526" spans="1:19" hidden="1" x14ac:dyDescent="0.3">
      <c r="A1526" t="s">
        <v>4355</v>
      </c>
      <c r="B1526" t="s">
        <v>4356</v>
      </c>
      <c r="C1526" t="s">
        <v>6622</v>
      </c>
      <c r="D1526" t="s">
        <v>2619</v>
      </c>
      <c r="E1526" t="s">
        <v>98</v>
      </c>
      <c r="F1526" t="s">
        <v>30</v>
      </c>
      <c r="G1526" s="6">
        <v>45657</v>
      </c>
      <c r="H1526" t="s">
        <v>6816</v>
      </c>
      <c r="I1526" t="s">
        <v>57</v>
      </c>
      <c r="J1526" t="s">
        <v>78</v>
      </c>
      <c r="K1526">
        <v>80</v>
      </c>
      <c r="L1526">
        <v>87</v>
      </c>
      <c r="M1526">
        <v>1.0874999999999999</v>
      </c>
      <c r="N1526">
        <v>1.0874999999999999</v>
      </c>
      <c r="O1526" t="s">
        <v>193</v>
      </c>
      <c r="P1526" t="s">
        <v>1045</v>
      </c>
      <c r="Q1526" t="s">
        <v>4357</v>
      </c>
      <c r="R1526">
        <v>2</v>
      </c>
      <c r="S1526">
        <v>2</v>
      </c>
    </row>
    <row r="1527" spans="1:19" hidden="1" x14ac:dyDescent="0.3">
      <c r="A1527" t="s">
        <v>4358</v>
      </c>
      <c r="B1527" t="s">
        <v>4359</v>
      </c>
      <c r="D1527" t="s">
        <v>2678</v>
      </c>
      <c r="E1527" t="s">
        <v>29</v>
      </c>
      <c r="F1527" t="s">
        <v>30</v>
      </c>
      <c r="G1527" s="6">
        <v>45291</v>
      </c>
      <c r="H1527" t="s">
        <v>6811</v>
      </c>
      <c r="I1527" t="s">
        <v>57</v>
      </c>
      <c r="J1527" t="s">
        <v>47</v>
      </c>
      <c r="K1527">
        <v>65.25</v>
      </c>
      <c r="L1527">
        <v>65.25</v>
      </c>
      <c r="M1527">
        <v>1</v>
      </c>
      <c r="N1527">
        <v>1</v>
      </c>
      <c r="O1527" t="s">
        <v>6321</v>
      </c>
      <c r="P1527" t="s">
        <v>6321</v>
      </c>
      <c r="Q1527" t="s">
        <v>4371</v>
      </c>
      <c r="R1527">
        <v>2</v>
      </c>
      <c r="S1527">
        <v>2</v>
      </c>
    </row>
    <row r="1528" spans="1:19" hidden="1" x14ac:dyDescent="0.3">
      <c r="A1528" t="s">
        <v>4358</v>
      </c>
      <c r="B1528" t="s">
        <v>4359</v>
      </c>
      <c r="D1528" t="s">
        <v>2678</v>
      </c>
      <c r="E1528" t="s">
        <v>29</v>
      </c>
      <c r="F1528" t="s">
        <v>30</v>
      </c>
      <c r="G1528" s="6">
        <v>45657</v>
      </c>
      <c r="H1528" t="s">
        <v>6816</v>
      </c>
      <c r="I1528" t="s">
        <v>57</v>
      </c>
      <c r="J1528" t="s">
        <v>78</v>
      </c>
      <c r="K1528">
        <v>96</v>
      </c>
      <c r="L1528">
        <v>95.416666666666671</v>
      </c>
      <c r="M1528">
        <v>0.99392361111111116</v>
      </c>
      <c r="N1528">
        <v>0.99392361111111116</v>
      </c>
      <c r="O1528" t="s">
        <v>668</v>
      </c>
      <c r="P1528" t="s">
        <v>7564</v>
      </c>
      <c r="Q1528" t="s">
        <v>4383</v>
      </c>
      <c r="R1528">
        <v>2</v>
      </c>
      <c r="S1528">
        <v>2</v>
      </c>
    </row>
    <row r="1529" spans="1:19" hidden="1" x14ac:dyDescent="0.3">
      <c r="A1529" t="s">
        <v>4384</v>
      </c>
      <c r="B1529" t="s">
        <v>4385</v>
      </c>
      <c r="C1529" t="s">
        <v>6622</v>
      </c>
      <c r="D1529" t="s">
        <v>161</v>
      </c>
      <c r="E1529" t="s">
        <v>98</v>
      </c>
      <c r="F1529" t="s">
        <v>30</v>
      </c>
      <c r="G1529" s="6">
        <v>45657</v>
      </c>
      <c r="H1529" t="s">
        <v>6816</v>
      </c>
      <c r="I1529" t="s">
        <v>57</v>
      </c>
      <c r="J1529" t="s">
        <v>78</v>
      </c>
      <c r="K1529">
        <v>80</v>
      </c>
      <c r="L1529">
        <v>89</v>
      </c>
      <c r="M1529">
        <v>1.1125</v>
      </c>
      <c r="N1529">
        <v>1.1125</v>
      </c>
      <c r="O1529" t="s">
        <v>193</v>
      </c>
      <c r="P1529" t="s">
        <v>280</v>
      </c>
      <c r="Q1529" t="s">
        <v>4386</v>
      </c>
      <c r="R1529">
        <v>2</v>
      </c>
      <c r="S1529">
        <v>2</v>
      </c>
    </row>
    <row r="1530" spans="1:19" hidden="1" x14ac:dyDescent="0.3">
      <c r="A1530" t="s">
        <v>4384</v>
      </c>
      <c r="B1530" t="s">
        <v>4385</v>
      </c>
      <c r="C1530" t="s">
        <v>6622</v>
      </c>
      <c r="D1530" t="s">
        <v>161</v>
      </c>
      <c r="E1530" t="s">
        <v>98</v>
      </c>
      <c r="F1530" t="s">
        <v>30</v>
      </c>
      <c r="G1530" s="6">
        <v>46022</v>
      </c>
      <c r="H1530" t="s">
        <v>6823</v>
      </c>
      <c r="I1530" t="s">
        <v>57</v>
      </c>
      <c r="J1530" t="s">
        <v>103</v>
      </c>
      <c r="K1530">
        <v>80</v>
      </c>
      <c r="L1530">
        <v>100</v>
      </c>
      <c r="M1530">
        <v>1.25</v>
      </c>
      <c r="N1530">
        <v>1.25</v>
      </c>
      <c r="O1530" t="s">
        <v>193</v>
      </c>
      <c r="P1530" t="s">
        <v>102</v>
      </c>
      <c r="Q1530" t="s">
        <v>4387</v>
      </c>
      <c r="R1530">
        <v>2</v>
      </c>
      <c r="S1530">
        <v>2</v>
      </c>
    </row>
    <row r="1531" spans="1:19" hidden="1" x14ac:dyDescent="0.3">
      <c r="A1531" t="s">
        <v>4388</v>
      </c>
      <c r="B1531" t="s">
        <v>4389</v>
      </c>
      <c r="C1531" t="s">
        <v>6622</v>
      </c>
      <c r="D1531" t="s">
        <v>28</v>
      </c>
      <c r="E1531" t="s">
        <v>98</v>
      </c>
      <c r="F1531" t="s">
        <v>30</v>
      </c>
      <c r="G1531" s="6">
        <v>45657</v>
      </c>
      <c r="H1531" t="s">
        <v>6816</v>
      </c>
      <c r="I1531" t="s">
        <v>57</v>
      </c>
      <c r="J1531" t="s">
        <v>78</v>
      </c>
      <c r="K1531">
        <v>80</v>
      </c>
      <c r="L1531">
        <v>88</v>
      </c>
      <c r="M1531">
        <v>1.1000000000000001</v>
      </c>
      <c r="N1531">
        <v>1.1000000000000001</v>
      </c>
      <c r="O1531" t="s">
        <v>193</v>
      </c>
      <c r="P1531" t="s">
        <v>4404</v>
      </c>
      <c r="Q1531" t="s">
        <v>4390</v>
      </c>
      <c r="R1531">
        <v>2</v>
      </c>
      <c r="S1531">
        <v>2</v>
      </c>
    </row>
    <row r="1532" spans="1:19" hidden="1" x14ac:dyDescent="0.3">
      <c r="A1532" t="s">
        <v>4388</v>
      </c>
      <c r="B1532" t="s">
        <v>4389</v>
      </c>
      <c r="C1532" t="s">
        <v>6622</v>
      </c>
      <c r="D1532" t="s">
        <v>28</v>
      </c>
      <c r="E1532" t="s">
        <v>98</v>
      </c>
      <c r="F1532" t="s">
        <v>30</v>
      </c>
      <c r="G1532" s="6">
        <v>46022</v>
      </c>
      <c r="H1532" t="s">
        <v>6823</v>
      </c>
      <c r="I1532" t="s">
        <v>57</v>
      </c>
      <c r="J1532" t="s">
        <v>103</v>
      </c>
      <c r="K1532">
        <v>80</v>
      </c>
      <c r="L1532">
        <v>100</v>
      </c>
      <c r="M1532">
        <v>1.25</v>
      </c>
      <c r="N1532">
        <v>1.25</v>
      </c>
      <c r="O1532" t="s">
        <v>193</v>
      </c>
      <c r="P1532" t="s">
        <v>102</v>
      </c>
      <c r="Q1532" t="s">
        <v>4391</v>
      </c>
      <c r="R1532">
        <v>2</v>
      </c>
      <c r="S1532">
        <v>2</v>
      </c>
    </row>
    <row r="1533" spans="1:19" hidden="1" x14ac:dyDescent="0.3">
      <c r="A1533" t="s">
        <v>4392</v>
      </c>
      <c r="B1533" t="s">
        <v>4393</v>
      </c>
      <c r="C1533" t="s">
        <v>6622</v>
      </c>
      <c r="D1533" t="s">
        <v>146</v>
      </c>
      <c r="E1533" t="s">
        <v>98</v>
      </c>
      <c r="F1533" t="s">
        <v>30</v>
      </c>
      <c r="G1533" s="6">
        <v>45657</v>
      </c>
      <c r="H1533" t="s">
        <v>6816</v>
      </c>
      <c r="I1533" t="s">
        <v>57</v>
      </c>
      <c r="J1533" t="s">
        <v>78</v>
      </c>
      <c r="K1533">
        <v>80</v>
      </c>
      <c r="L1533">
        <v>90</v>
      </c>
      <c r="M1533">
        <v>1.125</v>
      </c>
      <c r="N1533">
        <v>1.125</v>
      </c>
      <c r="O1533" t="s">
        <v>193</v>
      </c>
      <c r="P1533" t="s">
        <v>256</v>
      </c>
      <c r="Q1533" t="s">
        <v>4394</v>
      </c>
      <c r="R1533">
        <v>2</v>
      </c>
      <c r="S1533">
        <v>2</v>
      </c>
    </row>
    <row r="1534" spans="1:19" hidden="1" x14ac:dyDescent="0.3">
      <c r="A1534" t="s">
        <v>4392</v>
      </c>
      <c r="B1534" t="s">
        <v>4393</v>
      </c>
      <c r="C1534" t="s">
        <v>6622</v>
      </c>
      <c r="D1534" t="s">
        <v>146</v>
      </c>
      <c r="E1534" t="s">
        <v>98</v>
      </c>
      <c r="F1534" t="s">
        <v>30</v>
      </c>
      <c r="G1534" s="6">
        <v>46022</v>
      </c>
      <c r="H1534" t="s">
        <v>6823</v>
      </c>
      <c r="I1534" t="s">
        <v>57</v>
      </c>
      <c r="J1534" t="s">
        <v>103</v>
      </c>
      <c r="K1534">
        <v>80</v>
      </c>
      <c r="L1534">
        <v>97</v>
      </c>
      <c r="M1534">
        <v>1.2124999999999999</v>
      </c>
      <c r="N1534">
        <v>1.2124999999999999</v>
      </c>
      <c r="O1534" t="s">
        <v>193</v>
      </c>
      <c r="P1534" t="s">
        <v>1005</v>
      </c>
      <c r="Q1534" t="s">
        <v>4395</v>
      </c>
      <c r="R1534">
        <v>2</v>
      </c>
      <c r="S1534">
        <v>2</v>
      </c>
    </row>
    <row r="1535" spans="1:19" hidden="1" x14ac:dyDescent="0.3">
      <c r="A1535" t="s">
        <v>4396</v>
      </c>
      <c r="B1535" t="s">
        <v>4397</v>
      </c>
      <c r="C1535" t="s">
        <v>6622</v>
      </c>
      <c r="D1535" t="s">
        <v>2991</v>
      </c>
      <c r="E1535" t="s">
        <v>98</v>
      </c>
      <c r="F1535" t="s">
        <v>30</v>
      </c>
      <c r="G1535" s="6">
        <v>45657</v>
      </c>
      <c r="H1535" t="s">
        <v>6816</v>
      </c>
      <c r="I1535" t="s">
        <v>57</v>
      </c>
      <c r="J1535" t="s">
        <v>78</v>
      </c>
      <c r="K1535">
        <v>80</v>
      </c>
      <c r="L1535">
        <v>86</v>
      </c>
      <c r="M1535">
        <v>1.075</v>
      </c>
      <c r="N1535">
        <v>1.075</v>
      </c>
      <c r="O1535" t="s">
        <v>193</v>
      </c>
      <c r="P1535" t="s">
        <v>4410</v>
      </c>
      <c r="Q1535" t="s">
        <v>4398</v>
      </c>
      <c r="R1535">
        <v>2</v>
      </c>
      <c r="S1535">
        <v>2</v>
      </c>
    </row>
    <row r="1536" spans="1:19" hidden="1" x14ac:dyDescent="0.3">
      <c r="A1536" t="s">
        <v>4396</v>
      </c>
      <c r="B1536" t="s">
        <v>4397</v>
      </c>
      <c r="C1536" t="s">
        <v>6622</v>
      </c>
      <c r="D1536" t="s">
        <v>2991</v>
      </c>
      <c r="E1536" t="s">
        <v>98</v>
      </c>
      <c r="F1536" t="s">
        <v>30</v>
      </c>
      <c r="G1536" s="6">
        <v>46022</v>
      </c>
      <c r="H1536" t="s">
        <v>6823</v>
      </c>
      <c r="I1536" t="s">
        <v>57</v>
      </c>
      <c r="J1536" t="s">
        <v>103</v>
      </c>
      <c r="K1536">
        <v>80</v>
      </c>
      <c r="L1536">
        <v>94</v>
      </c>
      <c r="M1536">
        <v>1.175</v>
      </c>
      <c r="N1536">
        <v>1.175</v>
      </c>
      <c r="O1536" t="s">
        <v>193</v>
      </c>
      <c r="P1536" t="s">
        <v>194</v>
      </c>
      <c r="Q1536" t="s">
        <v>4399</v>
      </c>
      <c r="R1536">
        <v>2</v>
      </c>
      <c r="S1536">
        <v>2</v>
      </c>
    </row>
    <row r="1537" spans="1:19" hidden="1" x14ac:dyDescent="0.3">
      <c r="A1537" t="s">
        <v>4400</v>
      </c>
      <c r="B1537" t="s">
        <v>4401</v>
      </c>
      <c r="C1537" t="s">
        <v>6622</v>
      </c>
      <c r="D1537" t="s">
        <v>3197</v>
      </c>
      <c r="E1537" t="s">
        <v>98</v>
      </c>
      <c r="F1537" t="s">
        <v>30</v>
      </c>
      <c r="G1537" s="6">
        <v>45657</v>
      </c>
      <c r="H1537" t="s">
        <v>6816</v>
      </c>
      <c r="I1537" t="s">
        <v>57</v>
      </c>
      <c r="J1537" t="s">
        <v>78</v>
      </c>
      <c r="K1537">
        <v>80</v>
      </c>
      <c r="L1537">
        <v>88</v>
      </c>
      <c r="M1537">
        <v>1.1000000000000001</v>
      </c>
      <c r="N1537">
        <v>1.1000000000000001</v>
      </c>
      <c r="O1537" t="s">
        <v>193</v>
      </c>
      <c r="P1537" t="s">
        <v>4404</v>
      </c>
      <c r="Q1537" t="s">
        <v>4402</v>
      </c>
      <c r="R1537">
        <v>2</v>
      </c>
      <c r="S1537">
        <v>2</v>
      </c>
    </row>
    <row r="1538" spans="1:19" hidden="1" x14ac:dyDescent="0.3">
      <c r="A1538" t="s">
        <v>4400</v>
      </c>
      <c r="B1538" t="s">
        <v>4401</v>
      </c>
      <c r="C1538" t="s">
        <v>6622</v>
      </c>
      <c r="D1538" t="s">
        <v>3197</v>
      </c>
      <c r="E1538" t="s">
        <v>98</v>
      </c>
      <c r="F1538" t="s">
        <v>30</v>
      </c>
      <c r="G1538" s="6">
        <v>46022</v>
      </c>
      <c r="H1538" t="s">
        <v>6823</v>
      </c>
      <c r="I1538" t="s">
        <v>57</v>
      </c>
      <c r="J1538" t="s">
        <v>103</v>
      </c>
      <c r="K1538">
        <v>80</v>
      </c>
      <c r="L1538">
        <v>88</v>
      </c>
      <c r="M1538">
        <v>1.1000000000000001</v>
      </c>
      <c r="N1538">
        <v>1.1000000000000001</v>
      </c>
      <c r="O1538" t="s">
        <v>193</v>
      </c>
      <c r="P1538" t="s">
        <v>4404</v>
      </c>
      <c r="Q1538" t="s">
        <v>4405</v>
      </c>
      <c r="R1538">
        <v>2</v>
      </c>
      <c r="S1538">
        <v>2</v>
      </c>
    </row>
    <row r="1539" spans="1:19" hidden="1" x14ac:dyDescent="0.3">
      <c r="A1539" t="s">
        <v>4406</v>
      </c>
      <c r="B1539" t="s">
        <v>4407</v>
      </c>
      <c r="C1539" t="s">
        <v>6622</v>
      </c>
      <c r="D1539" t="s">
        <v>3437</v>
      </c>
      <c r="E1539" t="s">
        <v>98</v>
      </c>
      <c r="F1539" t="s">
        <v>30</v>
      </c>
      <c r="G1539" s="6">
        <v>45657</v>
      </c>
      <c r="H1539" t="s">
        <v>6816</v>
      </c>
      <c r="I1539" t="s">
        <v>57</v>
      </c>
      <c r="J1539" t="s">
        <v>78</v>
      </c>
      <c r="K1539">
        <v>80</v>
      </c>
      <c r="L1539">
        <v>85</v>
      </c>
      <c r="M1539">
        <v>1.0625</v>
      </c>
      <c r="N1539">
        <v>1.0625</v>
      </c>
      <c r="O1539" t="s">
        <v>193</v>
      </c>
      <c r="P1539" t="s">
        <v>2357</v>
      </c>
      <c r="Q1539" t="s">
        <v>4408</v>
      </c>
      <c r="R1539">
        <v>2</v>
      </c>
      <c r="S1539">
        <v>2</v>
      </c>
    </row>
    <row r="1540" spans="1:19" hidden="1" x14ac:dyDescent="0.3">
      <c r="A1540" t="s">
        <v>4406</v>
      </c>
      <c r="B1540" t="s">
        <v>4407</v>
      </c>
      <c r="C1540" t="s">
        <v>6622</v>
      </c>
      <c r="D1540" t="s">
        <v>3437</v>
      </c>
      <c r="E1540" t="s">
        <v>98</v>
      </c>
      <c r="F1540" t="s">
        <v>30</v>
      </c>
      <c r="G1540" s="6">
        <v>46022</v>
      </c>
      <c r="H1540" t="s">
        <v>6823</v>
      </c>
      <c r="I1540" t="s">
        <v>57</v>
      </c>
      <c r="J1540" t="s">
        <v>103</v>
      </c>
      <c r="K1540">
        <v>80</v>
      </c>
      <c r="L1540">
        <v>86</v>
      </c>
      <c r="M1540">
        <v>1.075</v>
      </c>
      <c r="N1540">
        <v>1.075</v>
      </c>
      <c r="O1540" t="s">
        <v>193</v>
      </c>
      <c r="P1540" t="s">
        <v>4410</v>
      </c>
      <c r="Q1540" t="s">
        <v>4411</v>
      </c>
      <c r="R1540">
        <v>2</v>
      </c>
      <c r="S1540">
        <v>2</v>
      </c>
    </row>
    <row r="1541" spans="1:19" hidden="1" x14ac:dyDescent="0.3">
      <c r="A1541" t="s">
        <v>4412</v>
      </c>
      <c r="B1541" t="s">
        <v>4413</v>
      </c>
      <c r="C1541" t="s">
        <v>6622</v>
      </c>
      <c r="D1541" t="s">
        <v>2656</v>
      </c>
      <c r="E1541" t="s">
        <v>98</v>
      </c>
      <c r="F1541" t="s">
        <v>30</v>
      </c>
      <c r="G1541" s="6">
        <v>45657</v>
      </c>
      <c r="H1541" t="s">
        <v>6816</v>
      </c>
      <c r="I1541" t="s">
        <v>57</v>
      </c>
      <c r="J1541" t="s">
        <v>78</v>
      </c>
      <c r="K1541">
        <v>80</v>
      </c>
      <c r="L1541">
        <v>67</v>
      </c>
      <c r="M1541">
        <v>0.83750000000000002</v>
      </c>
      <c r="N1541">
        <v>0.83750000000000002</v>
      </c>
      <c r="O1541" t="s">
        <v>193</v>
      </c>
      <c r="P1541" t="s">
        <v>5418</v>
      </c>
      <c r="Q1541" t="s">
        <v>4414</v>
      </c>
      <c r="R1541">
        <v>2</v>
      </c>
      <c r="S1541">
        <v>2</v>
      </c>
    </row>
    <row r="1542" spans="1:19" hidden="1" x14ac:dyDescent="0.3">
      <c r="A1542" t="s">
        <v>4412</v>
      </c>
      <c r="B1542" t="s">
        <v>4413</v>
      </c>
      <c r="C1542" t="s">
        <v>6622</v>
      </c>
      <c r="D1542" t="s">
        <v>2656</v>
      </c>
      <c r="E1542" t="s">
        <v>222</v>
      </c>
      <c r="F1542" t="s">
        <v>30</v>
      </c>
      <c r="G1542" s="6">
        <v>46022</v>
      </c>
      <c r="H1542" t="s">
        <v>6823</v>
      </c>
      <c r="I1542" t="s">
        <v>57</v>
      </c>
      <c r="J1542" t="s">
        <v>103</v>
      </c>
      <c r="K1542">
        <v>80</v>
      </c>
      <c r="L1542">
        <v>93.75</v>
      </c>
      <c r="M1542">
        <v>1.171875</v>
      </c>
      <c r="N1542">
        <v>1.171875</v>
      </c>
      <c r="O1542" t="s">
        <v>193</v>
      </c>
      <c r="P1542" t="s">
        <v>5701</v>
      </c>
      <c r="Q1542" t="s">
        <v>4418</v>
      </c>
      <c r="R1542">
        <v>2</v>
      </c>
      <c r="S1542">
        <v>2</v>
      </c>
    </row>
    <row r="1543" spans="1:19" hidden="1" x14ac:dyDescent="0.3">
      <c r="A1543" t="s">
        <v>4419</v>
      </c>
      <c r="B1543" t="s">
        <v>4420</v>
      </c>
      <c r="C1543" t="s">
        <v>6622</v>
      </c>
      <c r="D1543" t="s">
        <v>2133</v>
      </c>
      <c r="E1543" t="s">
        <v>98</v>
      </c>
      <c r="F1543" t="s">
        <v>30</v>
      </c>
      <c r="G1543" s="6">
        <v>45657</v>
      </c>
      <c r="H1543" t="s">
        <v>6816</v>
      </c>
      <c r="I1543" t="s">
        <v>57</v>
      </c>
      <c r="J1543" t="s">
        <v>78</v>
      </c>
      <c r="K1543">
        <v>80</v>
      </c>
      <c r="L1543">
        <v>77</v>
      </c>
      <c r="M1543">
        <v>0.96250000000000002</v>
      </c>
      <c r="N1543">
        <v>0.96250000000000002</v>
      </c>
      <c r="O1543" t="s">
        <v>193</v>
      </c>
      <c r="P1543" t="s">
        <v>4331</v>
      </c>
      <c r="Q1543" t="s">
        <v>4421</v>
      </c>
      <c r="R1543">
        <v>2</v>
      </c>
      <c r="S1543">
        <v>2</v>
      </c>
    </row>
    <row r="1544" spans="1:19" hidden="1" x14ac:dyDescent="0.3">
      <c r="A1544" t="s">
        <v>4419</v>
      </c>
      <c r="B1544" t="s">
        <v>4420</v>
      </c>
      <c r="C1544" t="s">
        <v>6622</v>
      </c>
      <c r="D1544" t="s">
        <v>2133</v>
      </c>
      <c r="E1544" t="s">
        <v>222</v>
      </c>
      <c r="F1544" t="s">
        <v>30</v>
      </c>
      <c r="G1544" s="6">
        <v>46022</v>
      </c>
      <c r="H1544" t="s">
        <v>6823</v>
      </c>
      <c r="I1544" t="s">
        <v>57</v>
      </c>
      <c r="J1544" t="s">
        <v>103</v>
      </c>
      <c r="K1544">
        <v>80</v>
      </c>
      <c r="L1544">
        <v>98.875</v>
      </c>
      <c r="M1544">
        <v>1.2359374999999999</v>
      </c>
      <c r="N1544">
        <v>1.2359374999999999</v>
      </c>
      <c r="O1544" t="s">
        <v>193</v>
      </c>
      <c r="P1544" t="s">
        <v>7565</v>
      </c>
      <c r="Q1544" t="s">
        <v>4425</v>
      </c>
      <c r="R1544">
        <v>2</v>
      </c>
      <c r="S1544">
        <v>2</v>
      </c>
    </row>
    <row r="1545" spans="1:19" hidden="1" x14ac:dyDescent="0.3">
      <c r="A1545" t="s">
        <v>4426</v>
      </c>
      <c r="B1545" t="s">
        <v>4427</v>
      </c>
      <c r="C1545" t="s">
        <v>6622</v>
      </c>
      <c r="D1545" t="s">
        <v>3126</v>
      </c>
      <c r="E1545" t="s">
        <v>98</v>
      </c>
      <c r="F1545" t="s">
        <v>30</v>
      </c>
      <c r="G1545" s="6">
        <v>45657</v>
      </c>
      <c r="H1545" t="s">
        <v>6816</v>
      </c>
      <c r="I1545" t="s">
        <v>57</v>
      </c>
      <c r="J1545" t="s">
        <v>78</v>
      </c>
      <c r="K1545">
        <v>80</v>
      </c>
      <c r="L1545">
        <v>88</v>
      </c>
      <c r="M1545">
        <v>1.1000000000000001</v>
      </c>
      <c r="N1545">
        <v>1.1000000000000001</v>
      </c>
      <c r="O1545" t="s">
        <v>193</v>
      </c>
      <c r="P1545" t="s">
        <v>4404</v>
      </c>
      <c r="Q1545" t="s">
        <v>4428</v>
      </c>
      <c r="R1545">
        <v>2</v>
      </c>
      <c r="S1545">
        <v>2</v>
      </c>
    </row>
    <row r="1546" spans="1:19" hidden="1" x14ac:dyDescent="0.3">
      <c r="A1546" t="s">
        <v>4426</v>
      </c>
      <c r="B1546" t="s">
        <v>4427</v>
      </c>
      <c r="C1546" t="s">
        <v>6622</v>
      </c>
      <c r="D1546" t="s">
        <v>3126</v>
      </c>
      <c r="E1546" t="s">
        <v>98</v>
      </c>
      <c r="F1546" t="s">
        <v>30</v>
      </c>
      <c r="G1546" s="6">
        <v>46022</v>
      </c>
      <c r="H1546" t="s">
        <v>6823</v>
      </c>
      <c r="I1546" t="s">
        <v>57</v>
      </c>
      <c r="J1546" t="s">
        <v>103</v>
      </c>
      <c r="K1546">
        <v>80</v>
      </c>
      <c r="L1546">
        <v>89</v>
      </c>
      <c r="M1546">
        <v>1.1125</v>
      </c>
      <c r="N1546">
        <v>1.1125</v>
      </c>
      <c r="O1546" t="s">
        <v>193</v>
      </c>
      <c r="P1546" t="s">
        <v>280</v>
      </c>
      <c r="Q1546" t="s">
        <v>4429</v>
      </c>
      <c r="R1546">
        <v>2</v>
      </c>
      <c r="S1546">
        <v>2</v>
      </c>
    </row>
    <row r="1547" spans="1:19" hidden="1" x14ac:dyDescent="0.3">
      <c r="A1547" t="s">
        <v>4430</v>
      </c>
      <c r="B1547" t="s">
        <v>4431</v>
      </c>
      <c r="C1547" t="s">
        <v>6622</v>
      </c>
      <c r="D1547" t="s">
        <v>187</v>
      </c>
      <c r="E1547" t="s">
        <v>29</v>
      </c>
      <c r="F1547" t="s">
        <v>30</v>
      </c>
      <c r="G1547" s="6">
        <v>46022</v>
      </c>
      <c r="H1547" t="s">
        <v>6823</v>
      </c>
      <c r="I1547" t="s">
        <v>57</v>
      </c>
      <c r="J1547" t="s">
        <v>103</v>
      </c>
      <c r="K1547">
        <v>90</v>
      </c>
      <c r="L1547">
        <v>96.9</v>
      </c>
      <c r="M1547">
        <v>1.0766666666666671</v>
      </c>
      <c r="N1547">
        <v>1.0766666666666671</v>
      </c>
      <c r="O1547" t="s">
        <v>256</v>
      </c>
      <c r="P1547" t="s">
        <v>7566</v>
      </c>
      <c r="Q1547" t="s">
        <v>6484</v>
      </c>
      <c r="R1547">
        <v>2</v>
      </c>
      <c r="S1547">
        <v>2</v>
      </c>
    </row>
    <row r="1548" spans="1:19" hidden="1" x14ac:dyDescent="0.3">
      <c r="A1548" t="s">
        <v>4448</v>
      </c>
      <c r="B1548" t="s">
        <v>4449</v>
      </c>
      <c r="C1548" t="s">
        <v>6681</v>
      </c>
      <c r="D1548" t="s">
        <v>2177</v>
      </c>
      <c r="E1548" t="s">
        <v>233</v>
      </c>
      <c r="F1548" t="s">
        <v>30</v>
      </c>
      <c r="G1548" s="6">
        <v>46022</v>
      </c>
      <c r="H1548" t="s">
        <v>6823</v>
      </c>
      <c r="I1548" t="s">
        <v>57</v>
      </c>
      <c r="J1548" t="s">
        <v>103</v>
      </c>
      <c r="L1548">
        <v>0</v>
      </c>
      <c r="M1548">
        <v>0</v>
      </c>
      <c r="N1548">
        <v>0</v>
      </c>
      <c r="P1548" t="s">
        <v>122</v>
      </c>
      <c r="Q1548" t="s">
        <v>4452</v>
      </c>
      <c r="R1548">
        <v>2</v>
      </c>
      <c r="S1548">
        <v>2</v>
      </c>
    </row>
    <row r="1549" spans="1:19" hidden="1" x14ac:dyDescent="0.3">
      <c r="A1549" t="s">
        <v>4453</v>
      </c>
      <c r="B1549" t="s">
        <v>4454</v>
      </c>
      <c r="C1549" t="s">
        <v>6681</v>
      </c>
      <c r="D1549" t="s">
        <v>2177</v>
      </c>
      <c r="E1549" t="s">
        <v>233</v>
      </c>
      <c r="F1549" t="s">
        <v>30</v>
      </c>
      <c r="G1549" s="6">
        <v>46022</v>
      </c>
      <c r="H1549" t="s">
        <v>6823</v>
      </c>
      <c r="I1549" t="s">
        <v>57</v>
      </c>
      <c r="J1549" t="s">
        <v>103</v>
      </c>
      <c r="L1549">
        <v>171.12</v>
      </c>
      <c r="M1549">
        <v>0</v>
      </c>
      <c r="N1549">
        <v>0</v>
      </c>
      <c r="P1549" t="s">
        <v>7567</v>
      </c>
      <c r="Q1549" t="s">
        <v>4459</v>
      </c>
      <c r="R1549">
        <v>2</v>
      </c>
      <c r="S1549">
        <v>2</v>
      </c>
    </row>
    <row r="1550" spans="1:19" hidden="1" x14ac:dyDescent="0.3">
      <c r="A1550" t="s">
        <v>4460</v>
      </c>
      <c r="B1550" t="s">
        <v>4461</v>
      </c>
      <c r="C1550" t="s">
        <v>6681</v>
      </c>
      <c r="D1550" t="s">
        <v>2177</v>
      </c>
      <c r="E1550" t="s">
        <v>233</v>
      </c>
      <c r="F1550" t="s">
        <v>30</v>
      </c>
      <c r="G1550" s="6">
        <v>46022</v>
      </c>
      <c r="H1550" t="s">
        <v>6823</v>
      </c>
      <c r="I1550" t="s">
        <v>57</v>
      </c>
      <c r="J1550" t="s">
        <v>103</v>
      </c>
      <c r="L1550">
        <v>100</v>
      </c>
      <c r="M1550">
        <v>0</v>
      </c>
      <c r="N1550">
        <v>0</v>
      </c>
      <c r="P1550" t="s">
        <v>102</v>
      </c>
      <c r="Q1550" t="s">
        <v>7568</v>
      </c>
      <c r="R1550">
        <v>2</v>
      </c>
      <c r="S1550">
        <v>2</v>
      </c>
    </row>
    <row r="1551" spans="1:19" hidden="1" x14ac:dyDescent="0.3">
      <c r="A1551" t="s">
        <v>4464</v>
      </c>
      <c r="B1551" t="s">
        <v>4465</v>
      </c>
      <c r="C1551" t="s">
        <v>6681</v>
      </c>
      <c r="D1551" t="s">
        <v>2177</v>
      </c>
      <c r="E1551" t="s">
        <v>222</v>
      </c>
      <c r="F1551" t="s">
        <v>30</v>
      </c>
      <c r="G1551" s="6">
        <v>46022</v>
      </c>
      <c r="H1551" t="s">
        <v>6823</v>
      </c>
      <c r="I1551" t="s">
        <v>57</v>
      </c>
      <c r="J1551" t="s">
        <v>103</v>
      </c>
      <c r="K1551">
        <v>70</v>
      </c>
      <c r="L1551">
        <v>68.89</v>
      </c>
      <c r="M1551">
        <v>0.9841428571428571</v>
      </c>
      <c r="N1551">
        <v>0.9841428571428571</v>
      </c>
      <c r="O1551" t="s">
        <v>3922</v>
      </c>
      <c r="P1551" t="s">
        <v>7569</v>
      </c>
      <c r="Q1551" t="s">
        <v>4471</v>
      </c>
      <c r="R1551">
        <v>2</v>
      </c>
      <c r="S1551">
        <v>2</v>
      </c>
    </row>
    <row r="1552" spans="1:19" hidden="1" x14ac:dyDescent="0.3">
      <c r="A1552" t="s">
        <v>4472</v>
      </c>
      <c r="B1552" t="s">
        <v>4473</v>
      </c>
      <c r="C1552" t="s">
        <v>6622</v>
      </c>
      <c r="D1552" t="s">
        <v>270</v>
      </c>
      <c r="E1552" t="s">
        <v>222</v>
      </c>
      <c r="F1552" t="s">
        <v>30</v>
      </c>
      <c r="G1552" s="6">
        <v>46022</v>
      </c>
      <c r="H1552" t="s">
        <v>6823</v>
      </c>
      <c r="I1552" t="s">
        <v>57</v>
      </c>
      <c r="J1552" t="s">
        <v>103</v>
      </c>
      <c r="K1552">
        <v>97</v>
      </c>
      <c r="L1552">
        <v>66.67</v>
      </c>
      <c r="M1552">
        <v>0.68731958762886602</v>
      </c>
      <c r="N1552">
        <v>0.68731958762886602</v>
      </c>
      <c r="O1552" t="s">
        <v>1005</v>
      </c>
      <c r="P1552" t="s">
        <v>4248</v>
      </c>
      <c r="Q1552" t="s">
        <v>4474</v>
      </c>
      <c r="R1552">
        <v>2</v>
      </c>
      <c r="S1552">
        <v>2</v>
      </c>
    </row>
    <row r="1553" spans="1:19" hidden="1" x14ac:dyDescent="0.3">
      <c r="A1553" t="s">
        <v>4475</v>
      </c>
      <c r="B1553" t="s">
        <v>4476</v>
      </c>
      <c r="C1553" t="s">
        <v>6681</v>
      </c>
      <c r="D1553" t="s">
        <v>270</v>
      </c>
      <c r="E1553" t="s">
        <v>222</v>
      </c>
      <c r="F1553" t="s">
        <v>30</v>
      </c>
      <c r="G1553" s="6">
        <v>46022</v>
      </c>
      <c r="H1553" t="s">
        <v>6823</v>
      </c>
      <c r="I1553" t="s">
        <v>57</v>
      </c>
      <c r="J1553" t="s">
        <v>103</v>
      </c>
      <c r="K1553">
        <v>97</v>
      </c>
      <c r="L1553">
        <v>315.79000000000002</v>
      </c>
      <c r="M1553">
        <v>1.3</v>
      </c>
      <c r="N1553">
        <v>3.255567010309278</v>
      </c>
      <c r="O1553" t="s">
        <v>1005</v>
      </c>
      <c r="P1553" t="s">
        <v>4478</v>
      </c>
      <c r="Q1553" t="s">
        <v>4479</v>
      </c>
      <c r="R1553">
        <v>2</v>
      </c>
      <c r="S1553">
        <v>2</v>
      </c>
    </row>
    <row r="1554" spans="1:19" hidden="1" x14ac:dyDescent="0.3">
      <c r="A1554" t="s">
        <v>4480</v>
      </c>
      <c r="B1554" t="s">
        <v>4481</v>
      </c>
      <c r="C1554" t="s">
        <v>6622</v>
      </c>
      <c r="D1554" t="s">
        <v>283</v>
      </c>
      <c r="E1554" t="s">
        <v>284</v>
      </c>
      <c r="F1554" t="s">
        <v>30</v>
      </c>
      <c r="G1554" s="6">
        <v>45291</v>
      </c>
      <c r="H1554" t="s">
        <v>6811</v>
      </c>
      <c r="I1554" t="s">
        <v>57</v>
      </c>
      <c r="J1554" t="s">
        <v>47</v>
      </c>
      <c r="K1554">
        <v>100</v>
      </c>
      <c r="L1554">
        <v>104.444</v>
      </c>
      <c r="M1554">
        <v>1.04444</v>
      </c>
      <c r="N1554">
        <v>1.04444</v>
      </c>
      <c r="O1554" t="s">
        <v>102</v>
      </c>
      <c r="P1554" t="s">
        <v>7570</v>
      </c>
      <c r="Q1554" t="s">
        <v>4486</v>
      </c>
      <c r="R1554">
        <v>2</v>
      </c>
      <c r="S1554">
        <v>2</v>
      </c>
    </row>
    <row r="1555" spans="1:19" hidden="1" x14ac:dyDescent="0.3">
      <c r="A1555" t="s">
        <v>4480</v>
      </c>
      <c r="B1555" t="s">
        <v>4481</v>
      </c>
      <c r="C1555" t="s">
        <v>6622</v>
      </c>
      <c r="D1555" t="s">
        <v>283</v>
      </c>
      <c r="E1555" t="s">
        <v>284</v>
      </c>
      <c r="F1555" t="s">
        <v>30</v>
      </c>
      <c r="G1555" s="6">
        <v>45657</v>
      </c>
      <c r="H1555" t="s">
        <v>6816</v>
      </c>
      <c r="I1555" t="s">
        <v>57</v>
      </c>
      <c r="J1555" t="s">
        <v>78</v>
      </c>
      <c r="K1555">
        <v>100</v>
      </c>
      <c r="L1555">
        <v>98.5</v>
      </c>
      <c r="M1555">
        <v>0.98499999999999999</v>
      </c>
      <c r="N1555">
        <v>0.98499999999999999</v>
      </c>
      <c r="O1555" t="s">
        <v>102</v>
      </c>
      <c r="P1555" t="s">
        <v>7571</v>
      </c>
      <c r="Q1555" t="s">
        <v>4492</v>
      </c>
      <c r="R1555">
        <v>2</v>
      </c>
      <c r="S1555">
        <v>2</v>
      </c>
    </row>
    <row r="1556" spans="1:19" hidden="1" x14ac:dyDescent="0.3">
      <c r="A1556" t="s">
        <v>4480</v>
      </c>
      <c r="B1556" t="s">
        <v>4481</v>
      </c>
      <c r="C1556" t="s">
        <v>6622</v>
      </c>
      <c r="D1556" t="s">
        <v>283</v>
      </c>
      <c r="E1556" t="s">
        <v>233</v>
      </c>
      <c r="F1556" t="s">
        <v>30</v>
      </c>
      <c r="G1556" s="6">
        <v>46022</v>
      </c>
      <c r="H1556" t="s">
        <v>6823</v>
      </c>
      <c r="I1556" t="s">
        <v>57</v>
      </c>
      <c r="J1556" t="s">
        <v>103</v>
      </c>
      <c r="K1556">
        <v>100</v>
      </c>
      <c r="L1556">
        <v>102.7777777777777</v>
      </c>
      <c r="M1556">
        <v>1.027777777777777</v>
      </c>
      <c r="N1556">
        <v>1.027777777777777</v>
      </c>
      <c r="O1556" t="s">
        <v>102</v>
      </c>
      <c r="P1556" t="s">
        <v>7572</v>
      </c>
      <c r="Q1556" t="s">
        <v>4498</v>
      </c>
      <c r="R1556">
        <v>2</v>
      </c>
      <c r="S1556">
        <v>2</v>
      </c>
    </row>
    <row r="1557" spans="1:19" hidden="1" x14ac:dyDescent="0.3">
      <c r="A1557" t="s">
        <v>4499</v>
      </c>
      <c r="B1557" t="s">
        <v>4500</v>
      </c>
      <c r="C1557" t="s">
        <v>6681</v>
      </c>
      <c r="D1557" t="s">
        <v>3093</v>
      </c>
      <c r="E1557" t="s">
        <v>222</v>
      </c>
      <c r="F1557" t="s">
        <v>30</v>
      </c>
      <c r="G1557" s="6">
        <v>46022</v>
      </c>
      <c r="H1557" t="s">
        <v>6823</v>
      </c>
      <c r="I1557" t="s">
        <v>57</v>
      </c>
      <c r="J1557" t="s">
        <v>103</v>
      </c>
      <c r="K1557">
        <v>100</v>
      </c>
      <c r="L1557">
        <v>281.29000000000002</v>
      </c>
      <c r="M1557">
        <v>1.3</v>
      </c>
      <c r="N1557">
        <v>2.8129</v>
      </c>
      <c r="O1557" t="s">
        <v>102</v>
      </c>
      <c r="P1557" t="s">
        <v>7573</v>
      </c>
      <c r="Q1557" t="s">
        <v>4506</v>
      </c>
      <c r="R1557">
        <v>2</v>
      </c>
      <c r="S1557">
        <v>2</v>
      </c>
    </row>
    <row r="1558" spans="1:19" hidden="1" x14ac:dyDescent="0.3">
      <c r="A1558" t="s">
        <v>4507</v>
      </c>
      <c r="B1558" t="s">
        <v>4508</v>
      </c>
      <c r="C1558" t="s">
        <v>6622</v>
      </c>
      <c r="D1558" t="s">
        <v>28</v>
      </c>
      <c r="E1558" t="s">
        <v>98</v>
      </c>
      <c r="F1558" t="s">
        <v>30</v>
      </c>
      <c r="G1558" s="6">
        <v>46022</v>
      </c>
      <c r="H1558" t="s">
        <v>6823</v>
      </c>
      <c r="I1558" t="s">
        <v>57</v>
      </c>
      <c r="J1558" t="s">
        <v>103</v>
      </c>
      <c r="L1558">
        <v>100</v>
      </c>
      <c r="M1558">
        <v>0</v>
      </c>
      <c r="N1558">
        <v>0</v>
      </c>
      <c r="P1558" t="s">
        <v>102</v>
      </c>
      <c r="Q1558" t="s">
        <v>4509</v>
      </c>
      <c r="R1558">
        <v>2</v>
      </c>
      <c r="S1558">
        <v>2</v>
      </c>
    </row>
    <row r="1559" spans="1:19" hidden="1" x14ac:dyDescent="0.3">
      <c r="A1559" t="s">
        <v>4510</v>
      </c>
      <c r="B1559" t="s">
        <v>2936</v>
      </c>
      <c r="C1559" t="s">
        <v>6622</v>
      </c>
      <c r="D1559" t="s">
        <v>225</v>
      </c>
      <c r="E1559" t="s">
        <v>222</v>
      </c>
      <c r="F1559" t="s">
        <v>30</v>
      </c>
      <c r="G1559" s="6">
        <v>46022</v>
      </c>
      <c r="H1559" t="s">
        <v>6823</v>
      </c>
      <c r="I1559" t="s">
        <v>57</v>
      </c>
      <c r="J1559" t="s">
        <v>103</v>
      </c>
      <c r="K1559">
        <v>190</v>
      </c>
      <c r="L1559">
        <v>221.56</v>
      </c>
      <c r="M1559">
        <v>1.166105263157895</v>
      </c>
      <c r="N1559">
        <v>1.166105263157895</v>
      </c>
      <c r="O1559" t="s">
        <v>6214</v>
      </c>
      <c r="P1559" t="s">
        <v>7574</v>
      </c>
      <c r="Q1559" t="s">
        <v>4516</v>
      </c>
      <c r="R1559">
        <v>2</v>
      </c>
      <c r="S1559">
        <v>2</v>
      </c>
    </row>
    <row r="1560" spans="1:19" hidden="1" x14ac:dyDescent="0.3">
      <c r="A1560" t="s">
        <v>4517</v>
      </c>
      <c r="B1560" t="s">
        <v>3619</v>
      </c>
      <c r="C1560" t="s">
        <v>6681</v>
      </c>
      <c r="D1560" t="s">
        <v>3437</v>
      </c>
      <c r="E1560" t="s">
        <v>222</v>
      </c>
      <c r="F1560" t="s">
        <v>30</v>
      </c>
      <c r="G1560" s="6">
        <v>46022</v>
      </c>
      <c r="H1560" t="s">
        <v>6823</v>
      </c>
      <c r="I1560" t="s">
        <v>57</v>
      </c>
      <c r="J1560" t="s">
        <v>103</v>
      </c>
      <c r="K1560">
        <v>243.41200000000001</v>
      </c>
      <c r="L1560">
        <v>205.45</v>
      </c>
      <c r="M1560">
        <v>0.84404220005587227</v>
      </c>
      <c r="N1560">
        <v>0.84404220005587227</v>
      </c>
      <c r="O1560" t="s">
        <v>7575</v>
      </c>
      <c r="P1560" t="s">
        <v>7576</v>
      </c>
      <c r="Q1560" t="s">
        <v>4524</v>
      </c>
      <c r="R1560">
        <v>2</v>
      </c>
      <c r="S1560">
        <v>2</v>
      </c>
    </row>
    <row r="1561" spans="1:19" hidden="1" x14ac:dyDescent="0.3">
      <c r="A1561" t="s">
        <v>7577</v>
      </c>
      <c r="B1561" t="s">
        <v>7578</v>
      </c>
      <c r="C1561" t="s">
        <v>6622</v>
      </c>
      <c r="D1561" t="s">
        <v>2937</v>
      </c>
      <c r="E1561" t="s">
        <v>222</v>
      </c>
      <c r="F1561" t="s">
        <v>30</v>
      </c>
      <c r="G1561" s="6">
        <v>45838</v>
      </c>
      <c r="H1561">
        <v>2025</v>
      </c>
      <c r="I1561" t="s">
        <v>44</v>
      </c>
      <c r="J1561" t="s">
        <v>244</v>
      </c>
      <c r="K1561">
        <v>100</v>
      </c>
      <c r="L1561">
        <v>126.4814345244621</v>
      </c>
      <c r="M1561">
        <v>1.264814345244621</v>
      </c>
      <c r="N1561">
        <v>1.264814345244621</v>
      </c>
      <c r="O1561" t="s">
        <v>31</v>
      </c>
      <c r="P1561" t="s">
        <v>31</v>
      </c>
      <c r="Q1561" t="s">
        <v>7579</v>
      </c>
      <c r="R1561">
        <v>0</v>
      </c>
      <c r="S1561">
        <v>0</v>
      </c>
    </row>
    <row r="1562" spans="1:19" hidden="1" x14ac:dyDescent="0.3">
      <c r="A1562" t="s">
        <v>4525</v>
      </c>
      <c r="B1562" t="s">
        <v>4526</v>
      </c>
      <c r="C1562" t="s">
        <v>6681</v>
      </c>
      <c r="D1562" t="s">
        <v>2114</v>
      </c>
      <c r="E1562" t="s">
        <v>233</v>
      </c>
      <c r="F1562" t="s">
        <v>30</v>
      </c>
      <c r="G1562" s="6">
        <v>46022</v>
      </c>
      <c r="H1562" t="s">
        <v>6823</v>
      </c>
      <c r="I1562" t="s">
        <v>57</v>
      </c>
      <c r="J1562" t="s">
        <v>103</v>
      </c>
      <c r="K1562">
        <v>95</v>
      </c>
      <c r="M1562">
        <v>0</v>
      </c>
      <c r="N1562">
        <v>0</v>
      </c>
      <c r="O1562" t="s">
        <v>838</v>
      </c>
      <c r="Q1562" t="s">
        <v>7580</v>
      </c>
      <c r="R1562">
        <v>2</v>
      </c>
      <c r="S1562">
        <v>2</v>
      </c>
    </row>
    <row r="1563" spans="1:19" hidden="1" x14ac:dyDescent="0.3">
      <c r="A1563" t="s">
        <v>4528</v>
      </c>
      <c r="B1563" t="s">
        <v>4529</v>
      </c>
      <c r="C1563" t="s">
        <v>6622</v>
      </c>
      <c r="D1563" t="s">
        <v>129</v>
      </c>
      <c r="E1563" t="s">
        <v>98</v>
      </c>
      <c r="F1563" t="s">
        <v>30</v>
      </c>
      <c r="G1563" s="6">
        <v>46022</v>
      </c>
      <c r="H1563" t="s">
        <v>6823</v>
      </c>
      <c r="I1563" t="s">
        <v>57</v>
      </c>
      <c r="J1563" t="s">
        <v>103</v>
      </c>
      <c r="K1563">
        <v>100</v>
      </c>
      <c r="L1563">
        <v>173.92055267703</v>
      </c>
      <c r="M1563">
        <v>1.3</v>
      </c>
      <c r="N1563">
        <v>1.7392055267702999</v>
      </c>
      <c r="O1563" t="s">
        <v>102</v>
      </c>
      <c r="P1563" t="s">
        <v>4531</v>
      </c>
      <c r="Q1563" t="s">
        <v>4533</v>
      </c>
      <c r="R1563">
        <v>2</v>
      </c>
      <c r="S1563">
        <v>2</v>
      </c>
    </row>
    <row r="1564" spans="1:19" hidden="1" x14ac:dyDescent="0.3">
      <c r="A1564" t="s">
        <v>4534</v>
      </c>
      <c r="B1564" t="s">
        <v>4535</v>
      </c>
      <c r="C1564" t="s">
        <v>6681</v>
      </c>
      <c r="D1564" t="s">
        <v>251</v>
      </c>
      <c r="E1564" t="s">
        <v>233</v>
      </c>
      <c r="F1564" t="s">
        <v>30</v>
      </c>
      <c r="G1564" s="6">
        <v>46022</v>
      </c>
      <c r="H1564" t="s">
        <v>6823</v>
      </c>
      <c r="I1564" t="s">
        <v>57</v>
      </c>
      <c r="J1564" t="s">
        <v>103</v>
      </c>
      <c r="M1564">
        <v>0</v>
      </c>
      <c r="N1564">
        <v>0</v>
      </c>
      <c r="Q1564" t="s">
        <v>7581</v>
      </c>
      <c r="R1564">
        <v>2</v>
      </c>
      <c r="S1564">
        <v>2</v>
      </c>
    </row>
    <row r="1565" spans="1:19" hidden="1" x14ac:dyDescent="0.3">
      <c r="A1565" t="s">
        <v>4540</v>
      </c>
      <c r="B1565" t="s">
        <v>4541</v>
      </c>
      <c r="C1565" t="s">
        <v>6622</v>
      </c>
      <c r="D1565" t="s">
        <v>663</v>
      </c>
      <c r="E1565" t="s">
        <v>222</v>
      </c>
      <c r="F1565" t="s">
        <v>30</v>
      </c>
      <c r="G1565" s="6">
        <v>46022</v>
      </c>
      <c r="H1565" t="s">
        <v>6823</v>
      </c>
      <c r="I1565" t="s">
        <v>57</v>
      </c>
      <c r="J1565" t="s">
        <v>103</v>
      </c>
      <c r="K1565">
        <v>200</v>
      </c>
      <c r="L1565">
        <v>267.93</v>
      </c>
      <c r="M1565">
        <v>1.3</v>
      </c>
      <c r="N1565">
        <v>1.33965</v>
      </c>
      <c r="O1565" t="s">
        <v>2396</v>
      </c>
      <c r="P1565" t="s">
        <v>7582</v>
      </c>
      <c r="Q1565" t="s">
        <v>4547</v>
      </c>
      <c r="R1565">
        <v>2</v>
      </c>
      <c r="S1565">
        <v>2</v>
      </c>
    </row>
    <row r="1566" spans="1:19" hidden="1" x14ac:dyDescent="0.3">
      <c r="A1566" t="s">
        <v>4548</v>
      </c>
      <c r="B1566" t="s">
        <v>4549</v>
      </c>
      <c r="C1566" t="s">
        <v>6622</v>
      </c>
      <c r="D1566" t="s">
        <v>663</v>
      </c>
      <c r="E1566" t="s">
        <v>222</v>
      </c>
      <c r="F1566" t="s">
        <v>30</v>
      </c>
      <c r="G1566" s="6">
        <v>46022</v>
      </c>
      <c r="H1566" t="s">
        <v>6823</v>
      </c>
      <c r="I1566" t="s">
        <v>57</v>
      </c>
      <c r="J1566" t="s">
        <v>103</v>
      </c>
      <c r="K1566">
        <v>200</v>
      </c>
      <c r="L1566">
        <v>302.83999999999997</v>
      </c>
      <c r="M1566">
        <v>1.3</v>
      </c>
      <c r="N1566">
        <v>1.5142</v>
      </c>
      <c r="O1566" t="s">
        <v>2396</v>
      </c>
      <c r="P1566" t="s">
        <v>7583</v>
      </c>
      <c r="Q1566" t="s">
        <v>4555</v>
      </c>
      <c r="R1566">
        <v>2</v>
      </c>
      <c r="S1566">
        <v>2</v>
      </c>
    </row>
    <row r="1567" spans="1:19" hidden="1" x14ac:dyDescent="0.3">
      <c r="A1567" t="s">
        <v>4556</v>
      </c>
      <c r="B1567" t="s">
        <v>4557</v>
      </c>
      <c r="C1567" t="s">
        <v>6622</v>
      </c>
      <c r="D1567" t="s">
        <v>663</v>
      </c>
      <c r="E1567" t="s">
        <v>222</v>
      </c>
      <c r="F1567" t="s">
        <v>30</v>
      </c>
      <c r="G1567" s="6">
        <v>46022</v>
      </c>
      <c r="H1567" t="s">
        <v>6823</v>
      </c>
      <c r="I1567" t="s">
        <v>57</v>
      </c>
      <c r="J1567" t="s">
        <v>103</v>
      </c>
      <c r="K1567">
        <v>200</v>
      </c>
      <c r="L1567">
        <v>268.62</v>
      </c>
      <c r="M1567">
        <v>1.3</v>
      </c>
      <c r="N1567">
        <v>1.3431</v>
      </c>
      <c r="O1567" t="s">
        <v>2396</v>
      </c>
      <c r="P1567" t="s">
        <v>7584</v>
      </c>
      <c r="Q1567" t="s">
        <v>4563</v>
      </c>
      <c r="R1567">
        <v>2</v>
      </c>
      <c r="S1567">
        <v>2</v>
      </c>
    </row>
    <row r="1568" spans="1:19" hidden="1" x14ac:dyDescent="0.3">
      <c r="A1568" t="s">
        <v>4564</v>
      </c>
      <c r="B1568" t="s">
        <v>4565</v>
      </c>
      <c r="C1568" t="s">
        <v>6622</v>
      </c>
      <c r="D1568" t="s">
        <v>663</v>
      </c>
      <c r="E1568" t="s">
        <v>222</v>
      </c>
      <c r="F1568" t="s">
        <v>30</v>
      </c>
      <c r="G1568" s="6">
        <v>46022</v>
      </c>
      <c r="H1568" t="s">
        <v>6823</v>
      </c>
      <c r="I1568" t="s">
        <v>57</v>
      </c>
      <c r="J1568" t="s">
        <v>103</v>
      </c>
      <c r="K1568">
        <v>200</v>
      </c>
      <c r="L1568">
        <v>342.3</v>
      </c>
      <c r="M1568">
        <v>1.3</v>
      </c>
      <c r="N1568">
        <v>1.7115</v>
      </c>
      <c r="O1568" t="s">
        <v>2396</v>
      </c>
      <c r="P1568" t="s">
        <v>7585</v>
      </c>
      <c r="Q1568" t="s">
        <v>4571</v>
      </c>
      <c r="R1568">
        <v>2</v>
      </c>
      <c r="S1568">
        <v>2</v>
      </c>
    </row>
    <row r="1569" spans="1:19" hidden="1" x14ac:dyDescent="0.3">
      <c r="A1569" t="s">
        <v>4572</v>
      </c>
      <c r="B1569" t="s">
        <v>4573</v>
      </c>
      <c r="C1569" t="s">
        <v>6622</v>
      </c>
      <c r="D1569" t="s">
        <v>663</v>
      </c>
      <c r="E1569" t="s">
        <v>222</v>
      </c>
      <c r="F1569" t="s">
        <v>30</v>
      </c>
      <c r="G1569" s="6">
        <v>46022</v>
      </c>
      <c r="H1569" t="s">
        <v>6823</v>
      </c>
      <c r="I1569" t="s">
        <v>57</v>
      </c>
      <c r="J1569" t="s">
        <v>103</v>
      </c>
      <c r="K1569">
        <v>200</v>
      </c>
      <c r="L1569">
        <v>370.08</v>
      </c>
      <c r="M1569">
        <v>1.3</v>
      </c>
      <c r="N1569">
        <v>1.8504</v>
      </c>
      <c r="O1569" t="s">
        <v>2396</v>
      </c>
      <c r="P1569" t="s">
        <v>7586</v>
      </c>
      <c r="Q1569" t="s">
        <v>4579</v>
      </c>
      <c r="R1569">
        <v>2</v>
      </c>
      <c r="S1569">
        <v>2</v>
      </c>
    </row>
    <row r="1570" spans="1:19" hidden="1" x14ac:dyDescent="0.3">
      <c r="A1570" t="s">
        <v>4580</v>
      </c>
      <c r="B1570" t="s">
        <v>4581</v>
      </c>
      <c r="C1570" t="s">
        <v>6622</v>
      </c>
      <c r="D1570" t="s">
        <v>717</v>
      </c>
      <c r="E1570" t="s">
        <v>222</v>
      </c>
      <c r="F1570" t="s">
        <v>30</v>
      </c>
      <c r="G1570" s="6">
        <v>46022</v>
      </c>
      <c r="H1570" t="s">
        <v>6823</v>
      </c>
      <c r="I1570" t="s">
        <v>57</v>
      </c>
      <c r="J1570" t="s">
        <v>103</v>
      </c>
      <c r="K1570">
        <v>93.5</v>
      </c>
      <c r="L1570">
        <v>61.599999999999987</v>
      </c>
      <c r="M1570">
        <v>0.6588235294117647</v>
      </c>
      <c r="N1570">
        <v>0.6588235294117647</v>
      </c>
      <c r="O1570" t="s">
        <v>5582</v>
      </c>
      <c r="P1570" t="s">
        <v>7587</v>
      </c>
      <c r="Q1570" t="s">
        <v>4587</v>
      </c>
      <c r="R1570">
        <v>2</v>
      </c>
      <c r="S1570">
        <v>2</v>
      </c>
    </row>
    <row r="1571" spans="1:19" hidden="1" x14ac:dyDescent="0.3">
      <c r="A1571" t="s">
        <v>4588</v>
      </c>
      <c r="B1571" t="s">
        <v>4589</v>
      </c>
      <c r="C1571" t="s">
        <v>6681</v>
      </c>
      <c r="D1571" t="s">
        <v>150</v>
      </c>
      <c r="E1571" t="s">
        <v>222</v>
      </c>
      <c r="F1571" t="s">
        <v>30</v>
      </c>
      <c r="G1571" s="6">
        <v>46022</v>
      </c>
      <c r="H1571" t="s">
        <v>6823</v>
      </c>
      <c r="I1571" t="s">
        <v>57</v>
      </c>
      <c r="J1571" t="s">
        <v>103</v>
      </c>
      <c r="K1571">
        <v>90</v>
      </c>
      <c r="L1571">
        <v>100</v>
      </c>
      <c r="M1571">
        <v>1.1111111111111109</v>
      </c>
      <c r="N1571">
        <v>1.1111111111111109</v>
      </c>
      <c r="O1571" t="s">
        <v>256</v>
      </c>
      <c r="P1571" t="s">
        <v>102</v>
      </c>
      <c r="Q1571" t="s">
        <v>4590</v>
      </c>
      <c r="R1571">
        <v>2</v>
      </c>
      <c r="S1571">
        <v>2</v>
      </c>
    </row>
    <row r="1572" spans="1:19" hidden="1" x14ac:dyDescent="0.3">
      <c r="A1572" t="s">
        <v>4591</v>
      </c>
      <c r="B1572" t="s">
        <v>4592</v>
      </c>
      <c r="C1572" t="s">
        <v>6681</v>
      </c>
      <c r="D1572" t="s">
        <v>150</v>
      </c>
      <c r="E1572" t="s">
        <v>222</v>
      </c>
      <c r="F1572" t="s">
        <v>108</v>
      </c>
      <c r="G1572" s="6">
        <v>46022</v>
      </c>
      <c r="H1572" t="s">
        <v>6823</v>
      </c>
      <c r="I1572" t="s">
        <v>57</v>
      </c>
      <c r="J1572" t="s">
        <v>103</v>
      </c>
      <c r="K1572">
        <v>2.5</v>
      </c>
      <c r="L1572">
        <v>2.5</v>
      </c>
      <c r="M1572">
        <v>1</v>
      </c>
      <c r="N1572">
        <v>1</v>
      </c>
      <c r="O1572" t="s">
        <v>4064</v>
      </c>
      <c r="P1572" t="s">
        <v>4064</v>
      </c>
      <c r="Q1572" t="s">
        <v>4594</v>
      </c>
      <c r="R1572">
        <v>2</v>
      </c>
      <c r="S1572">
        <v>2</v>
      </c>
    </row>
    <row r="1573" spans="1:19" hidden="1" x14ac:dyDescent="0.3">
      <c r="A1573" t="s">
        <v>4595</v>
      </c>
      <c r="B1573" t="s">
        <v>4596</v>
      </c>
      <c r="C1573" t="s">
        <v>6622</v>
      </c>
      <c r="D1573" t="s">
        <v>2619</v>
      </c>
      <c r="E1573" t="s">
        <v>222</v>
      </c>
      <c r="F1573" t="s">
        <v>30</v>
      </c>
      <c r="G1573" s="6">
        <v>46022</v>
      </c>
      <c r="H1573" t="s">
        <v>6823</v>
      </c>
      <c r="I1573" t="s">
        <v>57</v>
      </c>
      <c r="J1573" t="s">
        <v>103</v>
      </c>
      <c r="K1573">
        <v>97</v>
      </c>
      <c r="L1573">
        <v>97.615000000000009</v>
      </c>
      <c r="M1573">
        <v>1.0063402061855671</v>
      </c>
      <c r="N1573">
        <v>1.0063402061855671</v>
      </c>
      <c r="O1573" t="s">
        <v>1005</v>
      </c>
      <c r="P1573" t="s">
        <v>7588</v>
      </c>
      <c r="Q1573" t="s">
        <v>4602</v>
      </c>
      <c r="R1573">
        <v>2</v>
      </c>
      <c r="S1573">
        <v>2</v>
      </c>
    </row>
    <row r="1574" spans="1:19" hidden="1" x14ac:dyDescent="0.3">
      <c r="A1574" t="s">
        <v>4603</v>
      </c>
      <c r="B1574" t="s">
        <v>4604</v>
      </c>
      <c r="C1574" t="s">
        <v>6681</v>
      </c>
      <c r="D1574" t="s">
        <v>2437</v>
      </c>
      <c r="E1574" t="s">
        <v>98</v>
      </c>
      <c r="F1574" t="s">
        <v>30</v>
      </c>
      <c r="G1574" s="6">
        <v>46022</v>
      </c>
      <c r="H1574" t="s">
        <v>6823</v>
      </c>
      <c r="I1574" t="s">
        <v>57</v>
      </c>
      <c r="J1574" t="s">
        <v>103</v>
      </c>
      <c r="K1574">
        <v>4</v>
      </c>
      <c r="L1574">
        <v>6.99</v>
      </c>
      <c r="M1574">
        <v>1.3</v>
      </c>
      <c r="N1574">
        <v>1.7475000000000001</v>
      </c>
      <c r="O1574" t="s">
        <v>778</v>
      </c>
      <c r="P1574" t="s">
        <v>4606</v>
      </c>
      <c r="Q1574" t="s">
        <v>4607</v>
      </c>
      <c r="R1574">
        <v>2</v>
      </c>
      <c r="S1574">
        <v>2</v>
      </c>
    </row>
    <row r="1575" spans="1:19" hidden="1" x14ac:dyDescent="0.3">
      <c r="A1575" t="s">
        <v>4608</v>
      </c>
      <c r="B1575" t="s">
        <v>4609</v>
      </c>
      <c r="C1575" t="s">
        <v>6622</v>
      </c>
      <c r="D1575" t="s">
        <v>2437</v>
      </c>
      <c r="E1575" t="s">
        <v>98</v>
      </c>
      <c r="F1575" t="s">
        <v>30</v>
      </c>
      <c r="G1575" s="6">
        <v>46022</v>
      </c>
      <c r="H1575" t="s">
        <v>6823</v>
      </c>
      <c r="I1575" t="s">
        <v>57</v>
      </c>
      <c r="J1575" t="s">
        <v>103</v>
      </c>
      <c r="L1575">
        <v>81.239999999999995</v>
      </c>
      <c r="M1575">
        <v>0</v>
      </c>
      <c r="N1575">
        <v>0</v>
      </c>
      <c r="P1575" t="s">
        <v>4611</v>
      </c>
      <c r="Q1575" t="s">
        <v>4612</v>
      </c>
      <c r="R1575">
        <v>2</v>
      </c>
      <c r="S1575">
        <v>2</v>
      </c>
    </row>
    <row r="1576" spans="1:19" hidden="1" x14ac:dyDescent="0.3">
      <c r="A1576" t="s">
        <v>4613</v>
      </c>
      <c r="B1576" t="s">
        <v>4614</v>
      </c>
      <c r="C1576" t="s">
        <v>6681</v>
      </c>
      <c r="D1576" t="s">
        <v>842</v>
      </c>
      <c r="E1576" t="s">
        <v>222</v>
      </c>
      <c r="F1576" t="s">
        <v>30</v>
      </c>
      <c r="G1576" s="6">
        <v>46022</v>
      </c>
      <c r="H1576" t="s">
        <v>6823</v>
      </c>
      <c r="I1576" t="s">
        <v>57</v>
      </c>
      <c r="J1576" t="s">
        <v>103</v>
      </c>
      <c r="L1576">
        <v>7.29</v>
      </c>
      <c r="M1576">
        <v>0</v>
      </c>
      <c r="N1576">
        <v>0</v>
      </c>
      <c r="P1576" t="s">
        <v>4616</v>
      </c>
      <c r="Q1576" t="s">
        <v>7589</v>
      </c>
      <c r="R1576">
        <v>2</v>
      </c>
      <c r="S1576">
        <v>2</v>
      </c>
    </row>
    <row r="1577" spans="1:19" hidden="1" x14ac:dyDescent="0.3">
      <c r="A1577" t="s">
        <v>4618</v>
      </c>
      <c r="B1577" t="s">
        <v>4619</v>
      </c>
      <c r="C1577" t="s">
        <v>6681</v>
      </c>
      <c r="D1577" t="s">
        <v>3197</v>
      </c>
      <c r="E1577" t="s">
        <v>222</v>
      </c>
      <c r="F1577" t="s">
        <v>30</v>
      </c>
      <c r="G1577" s="6">
        <v>46022</v>
      </c>
      <c r="H1577" t="s">
        <v>6823</v>
      </c>
      <c r="I1577" t="s">
        <v>57</v>
      </c>
      <c r="J1577" t="s">
        <v>103</v>
      </c>
      <c r="K1577">
        <v>100</v>
      </c>
      <c r="L1577">
        <v>206.25</v>
      </c>
      <c r="M1577">
        <v>1.3</v>
      </c>
      <c r="N1577">
        <v>2.0625</v>
      </c>
      <c r="O1577" t="s">
        <v>102</v>
      </c>
      <c r="P1577" t="s">
        <v>7590</v>
      </c>
      <c r="Q1577" t="s">
        <v>4625</v>
      </c>
      <c r="R1577">
        <v>2</v>
      </c>
      <c r="S1577">
        <v>2</v>
      </c>
    </row>
    <row r="1578" spans="1:19" hidden="1" x14ac:dyDescent="0.3">
      <c r="A1578" t="s">
        <v>4626</v>
      </c>
      <c r="B1578" t="s">
        <v>4627</v>
      </c>
      <c r="C1578" t="s">
        <v>6622</v>
      </c>
      <c r="D1578" t="s">
        <v>2437</v>
      </c>
      <c r="E1578" t="s">
        <v>98</v>
      </c>
      <c r="F1578" t="s">
        <v>30</v>
      </c>
      <c r="G1578" s="6">
        <v>46022</v>
      </c>
      <c r="H1578" t="s">
        <v>6823</v>
      </c>
      <c r="I1578" t="s">
        <v>57</v>
      </c>
      <c r="J1578" t="s">
        <v>103</v>
      </c>
      <c r="K1578">
        <v>100</v>
      </c>
      <c r="L1578">
        <v>37.79</v>
      </c>
      <c r="M1578">
        <v>0.37790000000000001</v>
      </c>
      <c r="N1578">
        <v>0.37790000000000001</v>
      </c>
      <c r="O1578" t="s">
        <v>102</v>
      </c>
      <c r="P1578" t="s">
        <v>4629</v>
      </c>
      <c r="Q1578" t="s">
        <v>4630</v>
      </c>
      <c r="R1578">
        <v>2</v>
      </c>
      <c r="S1578">
        <v>2</v>
      </c>
    </row>
    <row r="1579" spans="1:19" hidden="1" x14ac:dyDescent="0.3">
      <c r="A1579" t="s">
        <v>4631</v>
      </c>
      <c r="B1579" t="s">
        <v>4632</v>
      </c>
      <c r="C1579" t="s">
        <v>6622</v>
      </c>
      <c r="D1579" t="s">
        <v>2437</v>
      </c>
      <c r="E1579" t="s">
        <v>98</v>
      </c>
      <c r="F1579" t="s">
        <v>30</v>
      </c>
      <c r="G1579" s="6">
        <v>46022</v>
      </c>
      <c r="H1579" t="s">
        <v>6823</v>
      </c>
      <c r="I1579" t="s">
        <v>57</v>
      </c>
      <c r="J1579" t="s">
        <v>103</v>
      </c>
      <c r="L1579">
        <v>92</v>
      </c>
      <c r="M1579">
        <v>0</v>
      </c>
      <c r="N1579">
        <v>0</v>
      </c>
      <c r="P1579" t="s">
        <v>4634</v>
      </c>
      <c r="Q1579" t="s">
        <v>4635</v>
      </c>
      <c r="R1579">
        <v>2</v>
      </c>
      <c r="S1579">
        <v>2</v>
      </c>
    </row>
    <row r="1580" spans="1:19" hidden="1" x14ac:dyDescent="0.3">
      <c r="A1580" t="s">
        <v>4636</v>
      </c>
      <c r="B1580" t="s">
        <v>4637</v>
      </c>
      <c r="C1580" t="s">
        <v>6681</v>
      </c>
      <c r="D1580" t="s">
        <v>3143</v>
      </c>
      <c r="E1580" t="s">
        <v>222</v>
      </c>
      <c r="F1580" t="s">
        <v>30</v>
      </c>
      <c r="G1580" s="6">
        <v>46022</v>
      </c>
      <c r="H1580" t="s">
        <v>6823</v>
      </c>
      <c r="I1580" t="s">
        <v>57</v>
      </c>
      <c r="J1580" t="s">
        <v>103</v>
      </c>
      <c r="K1580">
        <v>100</v>
      </c>
      <c r="L1580">
        <v>95.25</v>
      </c>
      <c r="M1580">
        <v>0.95250000000000001</v>
      </c>
      <c r="N1580">
        <v>0.95250000000000001</v>
      </c>
      <c r="O1580" t="s">
        <v>102</v>
      </c>
      <c r="P1580" t="s">
        <v>7591</v>
      </c>
      <c r="Q1580" t="s">
        <v>4641</v>
      </c>
      <c r="R1580">
        <v>2</v>
      </c>
      <c r="S1580">
        <v>2</v>
      </c>
    </row>
    <row r="1581" spans="1:19" hidden="1" x14ac:dyDescent="0.3">
      <c r="A1581" t="s">
        <v>4642</v>
      </c>
      <c r="B1581" t="s">
        <v>4643</v>
      </c>
      <c r="C1581" t="s">
        <v>6681</v>
      </c>
      <c r="D1581" t="s">
        <v>3143</v>
      </c>
      <c r="E1581" t="s">
        <v>222</v>
      </c>
      <c r="F1581" t="s">
        <v>30</v>
      </c>
      <c r="G1581" s="6">
        <v>46022</v>
      </c>
      <c r="H1581" t="s">
        <v>6823</v>
      </c>
      <c r="I1581" t="s">
        <v>57</v>
      </c>
      <c r="J1581" t="s">
        <v>103</v>
      </c>
      <c r="K1581">
        <v>80</v>
      </c>
      <c r="L1581">
        <v>5</v>
      </c>
      <c r="M1581">
        <v>6.25E-2</v>
      </c>
      <c r="N1581">
        <v>6.25E-2</v>
      </c>
      <c r="O1581" t="s">
        <v>193</v>
      </c>
      <c r="P1581" t="s">
        <v>823</v>
      </c>
      <c r="Q1581" t="s">
        <v>4645</v>
      </c>
      <c r="R1581">
        <v>2</v>
      </c>
      <c r="S1581">
        <v>2</v>
      </c>
    </row>
    <row r="1582" spans="1:19" hidden="1" x14ac:dyDescent="0.3">
      <c r="A1582" t="s">
        <v>4646</v>
      </c>
      <c r="B1582" t="s">
        <v>4647</v>
      </c>
      <c r="C1582" t="s">
        <v>6622</v>
      </c>
      <c r="D1582" t="s">
        <v>2678</v>
      </c>
      <c r="E1582" t="s">
        <v>222</v>
      </c>
      <c r="F1582" t="s">
        <v>30</v>
      </c>
      <c r="G1582" s="6">
        <v>46022</v>
      </c>
      <c r="H1582" t="s">
        <v>6823</v>
      </c>
      <c r="I1582" t="s">
        <v>57</v>
      </c>
      <c r="J1582" t="s">
        <v>103</v>
      </c>
      <c r="K1582">
        <v>80</v>
      </c>
      <c r="L1582">
        <v>92</v>
      </c>
      <c r="M1582">
        <v>1.1499999999999999</v>
      </c>
      <c r="N1582">
        <v>1.1499999999999999</v>
      </c>
      <c r="O1582" t="s">
        <v>193</v>
      </c>
      <c r="P1582" t="s">
        <v>4634</v>
      </c>
      <c r="Q1582" t="s">
        <v>7592</v>
      </c>
      <c r="R1582">
        <v>2</v>
      </c>
      <c r="S1582">
        <v>2</v>
      </c>
    </row>
    <row r="1583" spans="1:19" hidden="1" x14ac:dyDescent="0.3">
      <c r="A1583" t="s">
        <v>4649</v>
      </c>
      <c r="B1583" t="s">
        <v>4650</v>
      </c>
      <c r="C1583" t="s">
        <v>6622</v>
      </c>
      <c r="D1583" t="s">
        <v>2862</v>
      </c>
      <c r="E1583" t="s">
        <v>98</v>
      </c>
      <c r="F1583" t="s">
        <v>30</v>
      </c>
      <c r="G1583" s="6">
        <v>46022</v>
      </c>
      <c r="H1583" t="s">
        <v>6823</v>
      </c>
      <c r="I1583" t="s">
        <v>57</v>
      </c>
      <c r="J1583" t="s">
        <v>103</v>
      </c>
      <c r="K1583">
        <v>80</v>
      </c>
      <c r="L1583">
        <v>83</v>
      </c>
      <c r="M1583">
        <v>1.0375000000000001</v>
      </c>
      <c r="N1583">
        <v>1.0375000000000001</v>
      </c>
      <c r="O1583" t="s">
        <v>193</v>
      </c>
      <c r="P1583" t="s">
        <v>4652</v>
      </c>
      <c r="Q1583" t="s">
        <v>4653</v>
      </c>
      <c r="R1583">
        <v>2</v>
      </c>
      <c r="S1583">
        <v>2</v>
      </c>
    </row>
    <row r="1584" spans="1:19" hidden="1" x14ac:dyDescent="0.3">
      <c r="A1584" t="s">
        <v>4654</v>
      </c>
      <c r="B1584" t="s">
        <v>4655</v>
      </c>
      <c r="C1584" t="s">
        <v>6622</v>
      </c>
      <c r="D1584" t="s">
        <v>730</v>
      </c>
      <c r="E1584" t="s">
        <v>222</v>
      </c>
      <c r="F1584" t="s">
        <v>30</v>
      </c>
      <c r="G1584" s="6">
        <v>46022</v>
      </c>
      <c r="H1584" t="s">
        <v>6823</v>
      </c>
      <c r="I1584" t="s">
        <v>57</v>
      </c>
      <c r="J1584" t="s">
        <v>103</v>
      </c>
      <c r="K1584">
        <v>80</v>
      </c>
      <c r="L1584">
        <v>95</v>
      </c>
      <c r="M1584">
        <v>1.1875</v>
      </c>
      <c r="N1584">
        <v>1.1875</v>
      </c>
      <c r="O1584" t="s">
        <v>193</v>
      </c>
      <c r="P1584" t="s">
        <v>838</v>
      </c>
      <c r="Q1584" t="s">
        <v>4656</v>
      </c>
      <c r="R1584">
        <v>2</v>
      </c>
      <c r="S1584">
        <v>2</v>
      </c>
    </row>
    <row r="1585" spans="1:19" hidden="1" x14ac:dyDescent="0.3">
      <c r="A1585" t="s">
        <v>4657</v>
      </c>
      <c r="B1585" t="s">
        <v>4658</v>
      </c>
      <c r="C1585" t="s">
        <v>6622</v>
      </c>
      <c r="D1585" t="s">
        <v>262</v>
      </c>
      <c r="E1585" t="s">
        <v>98</v>
      </c>
      <c r="F1585" t="s">
        <v>30</v>
      </c>
      <c r="G1585" s="6">
        <v>46022</v>
      </c>
      <c r="H1585" t="s">
        <v>6823</v>
      </c>
      <c r="I1585" t="s">
        <v>57</v>
      </c>
      <c r="J1585" t="s">
        <v>103</v>
      </c>
      <c r="K1585">
        <v>70</v>
      </c>
      <c r="L1585">
        <v>113.75</v>
      </c>
      <c r="M1585">
        <v>1.3</v>
      </c>
      <c r="N1585">
        <v>1.625</v>
      </c>
      <c r="O1585" t="s">
        <v>3922</v>
      </c>
      <c r="P1585" t="s">
        <v>4660</v>
      </c>
      <c r="Q1585" t="s">
        <v>4661</v>
      </c>
      <c r="R1585">
        <v>2</v>
      </c>
      <c r="S1585">
        <v>2</v>
      </c>
    </row>
    <row r="1586" spans="1:19" hidden="1" x14ac:dyDescent="0.3">
      <c r="A1586" t="s">
        <v>4662</v>
      </c>
      <c r="B1586" t="s">
        <v>4663</v>
      </c>
      <c r="D1586" t="s">
        <v>266</v>
      </c>
      <c r="E1586" t="s">
        <v>29</v>
      </c>
      <c r="F1586" t="s">
        <v>30</v>
      </c>
      <c r="G1586" s="6">
        <v>45291</v>
      </c>
      <c r="H1586" t="s">
        <v>6811</v>
      </c>
      <c r="I1586" t="s">
        <v>57</v>
      </c>
      <c r="J1586" t="s">
        <v>47</v>
      </c>
      <c r="K1586">
        <v>49</v>
      </c>
      <c r="L1586">
        <v>45.777777777777779</v>
      </c>
      <c r="M1586">
        <v>0.93424036281179135</v>
      </c>
      <c r="N1586">
        <v>0.93424036281179135</v>
      </c>
      <c r="O1586" t="s">
        <v>6294</v>
      </c>
      <c r="P1586" t="s">
        <v>7593</v>
      </c>
      <c r="Q1586" t="s">
        <v>4672</v>
      </c>
      <c r="R1586">
        <v>2</v>
      </c>
      <c r="S1586">
        <v>2</v>
      </c>
    </row>
    <row r="1587" spans="1:19" hidden="1" x14ac:dyDescent="0.3">
      <c r="A1587" t="s">
        <v>4662</v>
      </c>
      <c r="B1587" t="s">
        <v>4663</v>
      </c>
      <c r="D1587" t="s">
        <v>266</v>
      </c>
      <c r="E1587" t="s">
        <v>29</v>
      </c>
      <c r="F1587" t="s">
        <v>30</v>
      </c>
      <c r="G1587" s="6">
        <v>45657</v>
      </c>
      <c r="H1587" t="s">
        <v>6816</v>
      </c>
      <c r="I1587" t="s">
        <v>57</v>
      </c>
      <c r="J1587" t="s">
        <v>78</v>
      </c>
      <c r="K1587">
        <v>95.571428571428569</v>
      </c>
      <c r="L1587">
        <v>91.571428571428569</v>
      </c>
      <c r="M1587">
        <v>0.95814648729446938</v>
      </c>
      <c r="N1587">
        <v>0.95814648729446938</v>
      </c>
      <c r="O1587" t="s">
        <v>7594</v>
      </c>
      <c r="P1587" t="s">
        <v>7595</v>
      </c>
      <c r="Q1587" t="s">
        <v>6492</v>
      </c>
      <c r="R1587">
        <v>2</v>
      </c>
      <c r="S1587">
        <v>2</v>
      </c>
    </row>
    <row r="1588" spans="1:19" x14ac:dyDescent="0.3">
      <c r="A1588" t="s">
        <v>4680</v>
      </c>
      <c r="B1588" t="s">
        <v>4681</v>
      </c>
      <c r="C1588" t="s">
        <v>6681</v>
      </c>
      <c r="D1588" t="s">
        <v>232</v>
      </c>
      <c r="E1588" t="s">
        <v>222</v>
      </c>
      <c r="F1588" t="s">
        <v>30</v>
      </c>
      <c r="G1588" s="6">
        <v>45291</v>
      </c>
      <c r="H1588" t="s">
        <v>6811</v>
      </c>
      <c r="I1588" t="s">
        <v>57</v>
      </c>
      <c r="J1588" t="s">
        <v>47</v>
      </c>
      <c r="K1588">
        <v>80</v>
      </c>
      <c r="L1588">
        <v>88.25</v>
      </c>
      <c r="M1588">
        <v>1.1031249999999999</v>
      </c>
      <c r="N1588">
        <v>1.1031249999999999</v>
      </c>
      <c r="O1588" t="s">
        <v>31</v>
      </c>
      <c r="P1588" t="s">
        <v>31</v>
      </c>
      <c r="Q1588" t="s">
        <v>4683</v>
      </c>
      <c r="R1588">
        <v>2</v>
      </c>
      <c r="S1588">
        <v>2</v>
      </c>
    </row>
    <row r="1589" spans="1:19" x14ac:dyDescent="0.3">
      <c r="A1589" t="s">
        <v>4680</v>
      </c>
      <c r="B1589" t="s">
        <v>4681</v>
      </c>
      <c r="C1589" t="s">
        <v>6681</v>
      </c>
      <c r="D1589" t="s">
        <v>232</v>
      </c>
      <c r="E1589" t="s">
        <v>222</v>
      </c>
      <c r="F1589" t="s">
        <v>30</v>
      </c>
      <c r="G1589" s="6">
        <v>45657</v>
      </c>
      <c r="H1589" t="s">
        <v>6816</v>
      </c>
      <c r="I1589" t="s">
        <v>57</v>
      </c>
      <c r="J1589" t="s">
        <v>78</v>
      </c>
      <c r="K1589">
        <v>80</v>
      </c>
      <c r="L1589">
        <v>86.75</v>
      </c>
      <c r="M1589">
        <v>1.0843750000000001</v>
      </c>
      <c r="N1589">
        <v>1.0843750000000001</v>
      </c>
      <c r="O1589" t="s">
        <v>31</v>
      </c>
      <c r="P1589" t="s">
        <v>31</v>
      </c>
      <c r="Q1589" t="s">
        <v>4685</v>
      </c>
      <c r="R1589">
        <v>2</v>
      </c>
      <c r="S1589">
        <v>2</v>
      </c>
    </row>
    <row r="1590" spans="1:19" x14ac:dyDescent="0.3">
      <c r="A1590" t="s">
        <v>4680</v>
      </c>
      <c r="B1590" t="s">
        <v>4681</v>
      </c>
      <c r="C1590" t="s">
        <v>6681</v>
      </c>
      <c r="D1590" t="s">
        <v>232</v>
      </c>
      <c r="E1590" t="s">
        <v>222</v>
      </c>
      <c r="F1590" t="s">
        <v>30</v>
      </c>
      <c r="G1590" s="6">
        <v>46022</v>
      </c>
      <c r="H1590" t="s">
        <v>6823</v>
      </c>
      <c r="I1590" t="s">
        <v>57</v>
      </c>
      <c r="J1590" t="s">
        <v>103</v>
      </c>
      <c r="K1590">
        <v>85</v>
      </c>
      <c r="L1590">
        <v>85.3</v>
      </c>
      <c r="M1590">
        <v>1.003529411764706</v>
      </c>
      <c r="N1590">
        <v>1.003529411764706</v>
      </c>
      <c r="O1590" t="s">
        <v>31</v>
      </c>
      <c r="P1590" t="s">
        <v>31</v>
      </c>
      <c r="Q1590" t="s">
        <v>7596</v>
      </c>
      <c r="R1590">
        <v>2</v>
      </c>
      <c r="S1590">
        <v>2</v>
      </c>
    </row>
    <row r="1591" spans="1:19" hidden="1" x14ac:dyDescent="0.3">
      <c r="A1591" t="s">
        <v>4687</v>
      </c>
      <c r="B1591" t="s">
        <v>4688</v>
      </c>
      <c r="C1591" t="s">
        <v>6681</v>
      </c>
      <c r="D1591" t="s">
        <v>232</v>
      </c>
      <c r="E1591" t="s">
        <v>233</v>
      </c>
      <c r="F1591" t="s">
        <v>30</v>
      </c>
      <c r="G1591" s="6">
        <v>45291</v>
      </c>
      <c r="H1591" t="s">
        <v>6811</v>
      </c>
      <c r="I1591" t="s">
        <v>57</v>
      </c>
      <c r="J1591" t="s">
        <v>47</v>
      </c>
      <c r="K1591">
        <v>90</v>
      </c>
      <c r="L1591">
        <v>91.654863403455252</v>
      </c>
      <c r="M1591">
        <v>1.0183873711495031</v>
      </c>
      <c r="N1591">
        <v>1.0183873711495031</v>
      </c>
      <c r="O1591" t="s">
        <v>256</v>
      </c>
      <c r="P1591" t="s">
        <v>6462</v>
      </c>
      <c r="Q1591" t="s">
        <v>4692</v>
      </c>
      <c r="R1591">
        <v>2</v>
      </c>
      <c r="S1591">
        <v>2</v>
      </c>
    </row>
    <row r="1592" spans="1:19" hidden="1" x14ac:dyDescent="0.3">
      <c r="A1592" t="s">
        <v>4687</v>
      </c>
      <c r="B1592" t="s">
        <v>4688</v>
      </c>
      <c r="C1592" t="s">
        <v>6681</v>
      </c>
      <c r="D1592" t="s">
        <v>232</v>
      </c>
      <c r="E1592" t="s">
        <v>233</v>
      </c>
      <c r="F1592" t="s">
        <v>30</v>
      </c>
      <c r="G1592" s="6">
        <v>45657</v>
      </c>
      <c r="H1592" t="s">
        <v>6816</v>
      </c>
      <c r="I1592" t="s">
        <v>57</v>
      </c>
      <c r="J1592" t="s">
        <v>78</v>
      </c>
      <c r="K1592">
        <v>90</v>
      </c>
      <c r="L1592">
        <v>91.204999999999998</v>
      </c>
      <c r="M1592">
        <v>1.0133888888888889</v>
      </c>
      <c r="N1592">
        <v>1.0133888888888889</v>
      </c>
      <c r="O1592" t="s">
        <v>256</v>
      </c>
      <c r="P1592" t="s">
        <v>7597</v>
      </c>
      <c r="Q1592" t="s">
        <v>4696</v>
      </c>
      <c r="R1592">
        <v>2</v>
      </c>
      <c r="S1592">
        <v>2</v>
      </c>
    </row>
    <row r="1593" spans="1:19" hidden="1" x14ac:dyDescent="0.3">
      <c r="A1593" t="s">
        <v>4687</v>
      </c>
      <c r="B1593" t="s">
        <v>4688</v>
      </c>
      <c r="C1593" t="s">
        <v>6681</v>
      </c>
      <c r="D1593" t="s">
        <v>232</v>
      </c>
      <c r="E1593" t="s">
        <v>233</v>
      </c>
      <c r="F1593" t="s">
        <v>30</v>
      </c>
      <c r="G1593" s="6">
        <v>46022</v>
      </c>
      <c r="H1593" t="s">
        <v>6823</v>
      </c>
      <c r="I1593" t="s">
        <v>57</v>
      </c>
      <c r="J1593" t="s">
        <v>103</v>
      </c>
      <c r="K1593">
        <v>90</v>
      </c>
      <c r="L1593">
        <v>91.016666666666666</v>
      </c>
      <c r="M1593">
        <v>1.0112962962962959</v>
      </c>
      <c r="N1593">
        <v>1.0112962962962959</v>
      </c>
      <c r="O1593" t="s">
        <v>256</v>
      </c>
      <c r="P1593" t="s">
        <v>7598</v>
      </c>
      <c r="Q1593" t="s">
        <v>4703</v>
      </c>
      <c r="R1593">
        <v>2</v>
      </c>
      <c r="S1593">
        <v>2</v>
      </c>
    </row>
    <row r="1594" spans="1:19" hidden="1" x14ac:dyDescent="0.3">
      <c r="A1594" t="s">
        <v>4704</v>
      </c>
      <c r="B1594" t="s">
        <v>4705</v>
      </c>
      <c r="D1594" t="s">
        <v>266</v>
      </c>
      <c r="E1594" t="s">
        <v>29</v>
      </c>
      <c r="F1594" t="s">
        <v>30</v>
      </c>
      <c r="G1594" s="6">
        <v>45291</v>
      </c>
      <c r="H1594" t="s">
        <v>6811</v>
      </c>
      <c r="I1594" t="s">
        <v>57</v>
      </c>
      <c r="J1594" t="s">
        <v>47</v>
      </c>
      <c r="K1594">
        <v>77.666666666666671</v>
      </c>
      <c r="L1594">
        <v>68.444444444444443</v>
      </c>
      <c r="M1594">
        <v>0.88125894134477822</v>
      </c>
      <c r="N1594">
        <v>0.88125894134477822</v>
      </c>
      <c r="O1594" t="s">
        <v>7599</v>
      </c>
      <c r="P1594" t="s">
        <v>7600</v>
      </c>
      <c r="Q1594" t="s">
        <v>4714</v>
      </c>
      <c r="R1594">
        <v>2</v>
      </c>
      <c r="S1594">
        <v>2</v>
      </c>
    </row>
    <row r="1595" spans="1:19" hidden="1" x14ac:dyDescent="0.3">
      <c r="A1595" t="s">
        <v>4704</v>
      </c>
      <c r="B1595" t="s">
        <v>4705</v>
      </c>
      <c r="D1595" t="s">
        <v>266</v>
      </c>
      <c r="E1595" t="s">
        <v>29</v>
      </c>
      <c r="F1595" t="s">
        <v>30</v>
      </c>
      <c r="G1595" s="6">
        <v>45657</v>
      </c>
      <c r="H1595" t="s">
        <v>6816</v>
      </c>
      <c r="I1595" t="s">
        <v>57</v>
      </c>
      <c r="J1595" t="s">
        <v>78</v>
      </c>
      <c r="K1595">
        <v>100</v>
      </c>
      <c r="L1595">
        <v>91.25</v>
      </c>
      <c r="M1595">
        <v>0.91249999999999998</v>
      </c>
      <c r="N1595">
        <v>0.91249999999999998</v>
      </c>
      <c r="O1595" t="s">
        <v>102</v>
      </c>
      <c r="P1595" t="s">
        <v>7601</v>
      </c>
      <c r="Q1595" t="s">
        <v>4726</v>
      </c>
      <c r="R1595">
        <v>2</v>
      </c>
      <c r="S1595">
        <v>2</v>
      </c>
    </row>
    <row r="1596" spans="1:19" hidden="1" x14ac:dyDescent="0.3">
      <c r="A1596" t="s">
        <v>4727</v>
      </c>
      <c r="B1596" t="s">
        <v>4728</v>
      </c>
      <c r="C1596" t="s">
        <v>6681</v>
      </c>
      <c r="D1596" t="s">
        <v>262</v>
      </c>
      <c r="E1596" t="s">
        <v>222</v>
      </c>
      <c r="F1596" t="s">
        <v>108</v>
      </c>
      <c r="G1596" s="6">
        <v>45291</v>
      </c>
      <c r="H1596" t="s">
        <v>6811</v>
      </c>
      <c r="I1596" t="s">
        <v>57</v>
      </c>
      <c r="J1596" t="s">
        <v>47</v>
      </c>
      <c r="K1596">
        <v>20</v>
      </c>
      <c r="L1596">
        <v>18</v>
      </c>
      <c r="M1596">
        <v>1.1111111111111109</v>
      </c>
      <c r="N1596">
        <v>1.1111111111111109</v>
      </c>
      <c r="O1596" t="s">
        <v>1298</v>
      </c>
      <c r="P1596" t="s">
        <v>1475</v>
      </c>
      <c r="Q1596" t="s">
        <v>4730</v>
      </c>
      <c r="R1596">
        <v>2</v>
      </c>
      <c r="S1596">
        <v>2</v>
      </c>
    </row>
    <row r="1597" spans="1:19" hidden="1" x14ac:dyDescent="0.3">
      <c r="A1597" t="s">
        <v>4727</v>
      </c>
      <c r="B1597" t="s">
        <v>4728</v>
      </c>
      <c r="C1597" t="s">
        <v>6681</v>
      </c>
      <c r="D1597" t="s">
        <v>262</v>
      </c>
      <c r="E1597" t="s">
        <v>222</v>
      </c>
      <c r="F1597" t="s">
        <v>108</v>
      </c>
      <c r="G1597" s="6">
        <v>45657</v>
      </c>
      <c r="H1597" t="s">
        <v>6816</v>
      </c>
      <c r="I1597" t="s">
        <v>57</v>
      </c>
      <c r="J1597" t="s">
        <v>78</v>
      </c>
      <c r="K1597">
        <v>20</v>
      </c>
      <c r="L1597">
        <v>18.5</v>
      </c>
      <c r="M1597">
        <v>1.0810810810810809</v>
      </c>
      <c r="N1597">
        <v>1.0810810810810809</v>
      </c>
      <c r="O1597" t="s">
        <v>1298</v>
      </c>
      <c r="P1597" t="s">
        <v>7602</v>
      </c>
      <c r="Q1597" t="s">
        <v>4732</v>
      </c>
      <c r="R1597">
        <v>2</v>
      </c>
      <c r="S1597">
        <v>2</v>
      </c>
    </row>
    <row r="1598" spans="1:19" hidden="1" x14ac:dyDescent="0.3">
      <c r="A1598" t="s">
        <v>4727</v>
      </c>
      <c r="B1598" t="s">
        <v>4728</v>
      </c>
      <c r="C1598" t="s">
        <v>6681</v>
      </c>
      <c r="D1598" t="s">
        <v>262</v>
      </c>
      <c r="E1598" t="s">
        <v>222</v>
      </c>
      <c r="F1598" t="s">
        <v>108</v>
      </c>
      <c r="G1598" s="6">
        <v>46022</v>
      </c>
      <c r="H1598" t="s">
        <v>6823</v>
      </c>
      <c r="I1598" t="s">
        <v>57</v>
      </c>
      <c r="J1598" t="s">
        <v>103</v>
      </c>
      <c r="K1598">
        <v>20</v>
      </c>
      <c r="L1598">
        <v>19.5</v>
      </c>
      <c r="M1598">
        <v>1.025641025641026</v>
      </c>
      <c r="N1598">
        <v>1.025641025641026</v>
      </c>
      <c r="O1598" t="s">
        <v>1298</v>
      </c>
      <c r="P1598" t="s">
        <v>7033</v>
      </c>
      <c r="Q1598" t="s">
        <v>4736</v>
      </c>
      <c r="R1598">
        <v>2</v>
      </c>
      <c r="S1598">
        <v>2</v>
      </c>
    </row>
    <row r="1599" spans="1:19" hidden="1" x14ac:dyDescent="0.3">
      <c r="A1599" t="s">
        <v>271</v>
      </c>
      <c r="B1599" t="s">
        <v>4737</v>
      </c>
      <c r="C1599" t="s">
        <v>6681</v>
      </c>
      <c r="D1599" t="s">
        <v>262</v>
      </c>
      <c r="E1599" t="s">
        <v>222</v>
      </c>
      <c r="F1599" t="s">
        <v>30</v>
      </c>
      <c r="G1599" s="6">
        <v>45291</v>
      </c>
      <c r="H1599" t="s">
        <v>6811</v>
      </c>
      <c r="I1599" t="s">
        <v>57</v>
      </c>
      <c r="J1599" t="s">
        <v>47</v>
      </c>
      <c r="K1599">
        <v>80</v>
      </c>
      <c r="L1599">
        <v>90.909743589743499</v>
      </c>
      <c r="M1599">
        <v>1.136371794871794</v>
      </c>
      <c r="N1599">
        <v>1.136371794871794</v>
      </c>
      <c r="O1599" t="s">
        <v>193</v>
      </c>
      <c r="P1599" t="s">
        <v>5897</v>
      </c>
      <c r="Q1599" t="s">
        <v>4739</v>
      </c>
      <c r="R1599">
        <v>2</v>
      </c>
      <c r="S1599">
        <v>2</v>
      </c>
    </row>
    <row r="1600" spans="1:19" hidden="1" x14ac:dyDescent="0.3">
      <c r="A1600" t="s">
        <v>271</v>
      </c>
      <c r="B1600" t="s">
        <v>4737</v>
      </c>
      <c r="C1600" t="s">
        <v>6681</v>
      </c>
      <c r="D1600" t="s">
        <v>262</v>
      </c>
      <c r="E1600" t="s">
        <v>222</v>
      </c>
      <c r="F1600" t="s">
        <v>30</v>
      </c>
      <c r="G1600" s="6">
        <v>45657</v>
      </c>
      <c r="H1600" t="s">
        <v>6816</v>
      </c>
      <c r="I1600" t="s">
        <v>57</v>
      </c>
      <c r="J1600" t="s">
        <v>78</v>
      </c>
      <c r="K1600">
        <v>80</v>
      </c>
      <c r="L1600">
        <v>93.490000000000009</v>
      </c>
      <c r="M1600">
        <v>1.168625</v>
      </c>
      <c r="N1600">
        <v>1.168625</v>
      </c>
      <c r="O1600" t="s">
        <v>193</v>
      </c>
      <c r="P1600" t="s">
        <v>7039</v>
      </c>
      <c r="Q1600" t="s">
        <v>4741</v>
      </c>
      <c r="R1600">
        <v>2</v>
      </c>
      <c r="S1600">
        <v>2</v>
      </c>
    </row>
    <row r="1601" spans="1:19" hidden="1" x14ac:dyDescent="0.3">
      <c r="A1601" t="s">
        <v>271</v>
      </c>
      <c r="B1601" t="s">
        <v>4737</v>
      </c>
      <c r="C1601" t="s">
        <v>6681</v>
      </c>
      <c r="D1601" t="s">
        <v>262</v>
      </c>
      <c r="E1601" t="s">
        <v>222</v>
      </c>
      <c r="F1601" t="s">
        <v>30</v>
      </c>
      <c r="G1601" s="6">
        <v>46022</v>
      </c>
      <c r="H1601" t="s">
        <v>6823</v>
      </c>
      <c r="I1601" t="s">
        <v>57</v>
      </c>
      <c r="J1601" t="s">
        <v>103</v>
      </c>
      <c r="K1601">
        <v>80</v>
      </c>
      <c r="L1601">
        <v>90.905000000000001</v>
      </c>
      <c r="M1601">
        <v>1.1363125000000001</v>
      </c>
      <c r="N1601">
        <v>1.1363125000000001</v>
      </c>
      <c r="O1601" t="s">
        <v>193</v>
      </c>
      <c r="P1601" t="s">
        <v>5897</v>
      </c>
      <c r="Q1601" t="s">
        <v>4745</v>
      </c>
      <c r="R1601">
        <v>2</v>
      </c>
      <c r="S1601">
        <v>2</v>
      </c>
    </row>
    <row r="1602" spans="1:19" hidden="1" x14ac:dyDescent="0.3">
      <c r="A1602" t="s">
        <v>4330</v>
      </c>
      <c r="B1602" t="s">
        <v>4746</v>
      </c>
      <c r="C1602" t="s">
        <v>6622</v>
      </c>
      <c r="D1602" t="s">
        <v>270</v>
      </c>
      <c r="E1602" t="s">
        <v>29</v>
      </c>
      <c r="F1602" t="s">
        <v>30</v>
      </c>
      <c r="G1602" s="6">
        <v>44926</v>
      </c>
      <c r="H1602" t="s">
        <v>6819</v>
      </c>
      <c r="I1602" t="s">
        <v>57</v>
      </c>
      <c r="J1602" t="s">
        <v>90</v>
      </c>
      <c r="K1602">
        <v>97</v>
      </c>
      <c r="L1602">
        <v>97.899999999999991</v>
      </c>
      <c r="M1602">
        <v>1.0092783505154641</v>
      </c>
      <c r="N1602">
        <v>1.0092783505154641</v>
      </c>
      <c r="O1602" t="s">
        <v>1005</v>
      </c>
      <c r="P1602" t="s">
        <v>4601</v>
      </c>
      <c r="Q1602" t="s">
        <v>4758</v>
      </c>
      <c r="R1602">
        <v>2</v>
      </c>
      <c r="S1602">
        <v>2</v>
      </c>
    </row>
    <row r="1603" spans="1:19" hidden="1" x14ac:dyDescent="0.3">
      <c r="A1603" t="s">
        <v>4330</v>
      </c>
      <c r="B1603" t="s">
        <v>4746</v>
      </c>
      <c r="C1603" t="s">
        <v>6622</v>
      </c>
      <c r="D1603" t="s">
        <v>266</v>
      </c>
      <c r="E1603" t="s">
        <v>29</v>
      </c>
      <c r="F1603" t="s">
        <v>30</v>
      </c>
      <c r="G1603" s="6">
        <v>45291</v>
      </c>
      <c r="H1603" t="s">
        <v>6811</v>
      </c>
      <c r="I1603" t="s">
        <v>57</v>
      </c>
      <c r="J1603" t="s">
        <v>47</v>
      </c>
      <c r="K1603">
        <v>97</v>
      </c>
      <c r="L1603">
        <v>97.633333333333326</v>
      </c>
      <c r="M1603">
        <v>1.0065292096219931</v>
      </c>
      <c r="N1603">
        <v>1.0065292096219931</v>
      </c>
      <c r="O1603" t="s">
        <v>1005</v>
      </c>
      <c r="P1603" t="s">
        <v>7603</v>
      </c>
      <c r="Q1603" t="s">
        <v>4770</v>
      </c>
      <c r="R1603">
        <v>2</v>
      </c>
      <c r="S1603">
        <v>2</v>
      </c>
    </row>
    <row r="1604" spans="1:19" hidden="1" x14ac:dyDescent="0.3">
      <c r="A1604" t="s">
        <v>4330</v>
      </c>
      <c r="B1604" t="s">
        <v>4746</v>
      </c>
      <c r="C1604" t="s">
        <v>6622</v>
      </c>
      <c r="D1604" t="s">
        <v>266</v>
      </c>
      <c r="E1604" t="s">
        <v>29</v>
      </c>
      <c r="F1604" t="s">
        <v>30</v>
      </c>
      <c r="G1604" s="6">
        <v>45657</v>
      </c>
      <c r="H1604" t="s">
        <v>6816</v>
      </c>
      <c r="I1604" t="s">
        <v>57</v>
      </c>
      <c r="J1604" t="s">
        <v>78</v>
      </c>
      <c r="K1604">
        <v>97</v>
      </c>
      <c r="L1604">
        <v>97.432500000000005</v>
      </c>
      <c r="M1604">
        <v>1.004458762886598</v>
      </c>
      <c r="N1604">
        <v>1.004458762886598</v>
      </c>
      <c r="O1604" t="s">
        <v>1005</v>
      </c>
      <c r="P1604" t="s">
        <v>7604</v>
      </c>
      <c r="Q1604" t="s">
        <v>4782</v>
      </c>
      <c r="R1604">
        <v>2</v>
      </c>
      <c r="S1604">
        <v>2</v>
      </c>
    </row>
    <row r="1605" spans="1:19" hidden="1" x14ac:dyDescent="0.3">
      <c r="A1605" t="s">
        <v>4330</v>
      </c>
      <c r="B1605" t="s">
        <v>4746</v>
      </c>
      <c r="C1605" t="s">
        <v>6622</v>
      </c>
      <c r="D1605" t="s">
        <v>270</v>
      </c>
      <c r="E1605" t="s">
        <v>29</v>
      </c>
      <c r="F1605" t="s">
        <v>30</v>
      </c>
      <c r="G1605" s="6">
        <v>46022</v>
      </c>
      <c r="H1605" t="s">
        <v>6823</v>
      </c>
      <c r="I1605" t="s">
        <v>57</v>
      </c>
      <c r="J1605" t="s">
        <v>103</v>
      </c>
      <c r="K1605">
        <v>97</v>
      </c>
      <c r="L1605">
        <v>95.472727272727283</v>
      </c>
      <c r="M1605">
        <v>0.9842549203373947</v>
      </c>
      <c r="N1605">
        <v>0.9842549203373947</v>
      </c>
      <c r="O1605" t="s">
        <v>1005</v>
      </c>
      <c r="P1605" t="s">
        <v>7462</v>
      </c>
      <c r="Q1605" t="s">
        <v>4807</v>
      </c>
      <c r="R1605">
        <v>2</v>
      </c>
      <c r="S1605">
        <v>2</v>
      </c>
    </row>
    <row r="1606" spans="1:19" hidden="1" x14ac:dyDescent="0.3">
      <c r="A1606" t="s">
        <v>4330</v>
      </c>
      <c r="B1606" t="s">
        <v>4746</v>
      </c>
      <c r="C1606" t="s">
        <v>6622</v>
      </c>
      <c r="D1606" t="s">
        <v>270</v>
      </c>
      <c r="E1606" t="s">
        <v>29</v>
      </c>
      <c r="F1606" t="s">
        <v>30</v>
      </c>
      <c r="G1606" s="6">
        <v>46387</v>
      </c>
      <c r="H1606" t="s">
        <v>6841</v>
      </c>
      <c r="I1606" t="s">
        <v>57</v>
      </c>
      <c r="J1606" t="s">
        <v>6842</v>
      </c>
      <c r="K1606">
        <v>97</v>
      </c>
      <c r="L1606">
        <v>94.9</v>
      </c>
      <c r="M1606">
        <v>0.9783505154639176</v>
      </c>
      <c r="N1606">
        <v>0.9783505154639176</v>
      </c>
      <c r="O1606" t="s">
        <v>1005</v>
      </c>
      <c r="P1606" t="s">
        <v>4809</v>
      </c>
      <c r="Q1606" t="s">
        <v>7605</v>
      </c>
      <c r="R1606">
        <v>2</v>
      </c>
      <c r="S1606">
        <v>2</v>
      </c>
    </row>
    <row r="1607" spans="1:19" hidden="1" x14ac:dyDescent="0.3">
      <c r="A1607" t="s">
        <v>4811</v>
      </c>
      <c r="B1607" t="s">
        <v>4481</v>
      </c>
      <c r="D1607" t="s">
        <v>283</v>
      </c>
      <c r="E1607" t="s">
        <v>284</v>
      </c>
      <c r="F1607" t="s">
        <v>30</v>
      </c>
      <c r="G1607" s="6">
        <v>45291</v>
      </c>
      <c r="H1607" t="s">
        <v>6811</v>
      </c>
      <c r="I1607" t="s">
        <v>57</v>
      </c>
      <c r="J1607" t="s">
        <v>47</v>
      </c>
      <c r="K1607">
        <v>100</v>
      </c>
      <c r="L1607">
        <v>104.444</v>
      </c>
      <c r="M1607">
        <v>1.04444</v>
      </c>
      <c r="N1607">
        <v>1.04444</v>
      </c>
      <c r="O1607" t="s">
        <v>102</v>
      </c>
      <c r="P1607" t="s">
        <v>7570</v>
      </c>
      <c r="Q1607" t="s">
        <v>4816</v>
      </c>
      <c r="R1607">
        <v>2</v>
      </c>
      <c r="S1607">
        <v>2</v>
      </c>
    </row>
    <row r="1608" spans="1:19" hidden="1" x14ac:dyDescent="0.3">
      <c r="A1608" t="s">
        <v>4811</v>
      </c>
      <c r="B1608" t="s">
        <v>4481</v>
      </c>
      <c r="D1608" t="s">
        <v>283</v>
      </c>
      <c r="E1608" t="s">
        <v>284</v>
      </c>
      <c r="F1608" t="s">
        <v>30</v>
      </c>
      <c r="G1608" s="6">
        <v>45657</v>
      </c>
      <c r="H1608" t="s">
        <v>6816</v>
      </c>
      <c r="I1608" t="s">
        <v>57</v>
      </c>
      <c r="J1608" t="s">
        <v>78</v>
      </c>
      <c r="K1608">
        <v>100</v>
      </c>
      <c r="L1608">
        <v>98.5</v>
      </c>
      <c r="M1608">
        <v>0.98499999999999999</v>
      </c>
      <c r="N1608">
        <v>0.98499999999999999</v>
      </c>
      <c r="O1608" t="s">
        <v>102</v>
      </c>
      <c r="P1608" t="s">
        <v>7571</v>
      </c>
      <c r="Q1608" t="s">
        <v>4822</v>
      </c>
      <c r="R1608">
        <v>2</v>
      </c>
      <c r="S1608">
        <v>2</v>
      </c>
    </row>
    <row r="1609" spans="1:19" hidden="1" x14ac:dyDescent="0.3">
      <c r="A1609" t="s">
        <v>4823</v>
      </c>
      <c r="B1609" t="s">
        <v>4824</v>
      </c>
      <c r="D1609" t="s">
        <v>283</v>
      </c>
      <c r="E1609" t="s">
        <v>284</v>
      </c>
      <c r="F1609" t="s">
        <v>30</v>
      </c>
      <c r="G1609" s="6">
        <v>45291</v>
      </c>
      <c r="H1609" t="s">
        <v>6811</v>
      </c>
      <c r="I1609" t="s">
        <v>57</v>
      </c>
      <c r="J1609" t="s">
        <v>47</v>
      </c>
      <c r="K1609">
        <v>85</v>
      </c>
      <c r="L1609">
        <v>98.862499999999997</v>
      </c>
      <c r="M1609">
        <v>1.1630882352941181</v>
      </c>
      <c r="N1609">
        <v>1.1630882352941181</v>
      </c>
      <c r="O1609" t="s">
        <v>2357</v>
      </c>
      <c r="P1609" t="s">
        <v>7606</v>
      </c>
      <c r="Q1609" t="s">
        <v>4830</v>
      </c>
      <c r="R1609">
        <v>2</v>
      </c>
      <c r="S1609">
        <v>2</v>
      </c>
    </row>
    <row r="1610" spans="1:19" hidden="1" x14ac:dyDescent="0.3">
      <c r="A1610" t="s">
        <v>4831</v>
      </c>
      <c r="B1610" t="s">
        <v>4832</v>
      </c>
      <c r="D1610" t="s">
        <v>28</v>
      </c>
      <c r="E1610" t="s">
        <v>29</v>
      </c>
      <c r="F1610" t="s">
        <v>30</v>
      </c>
      <c r="G1610" s="6">
        <v>45291</v>
      </c>
      <c r="H1610" t="s">
        <v>6811</v>
      </c>
      <c r="I1610" t="s">
        <v>57</v>
      </c>
      <c r="J1610" t="s">
        <v>47</v>
      </c>
      <c r="K1610">
        <v>65.666666666666671</v>
      </c>
      <c r="L1610">
        <v>65.166666666666671</v>
      </c>
      <c r="M1610">
        <v>0.99238578680203049</v>
      </c>
      <c r="N1610">
        <v>0.99238578680203049</v>
      </c>
      <c r="O1610" t="s">
        <v>6256</v>
      </c>
      <c r="P1610" t="s">
        <v>7607</v>
      </c>
      <c r="Q1610" t="s">
        <v>4844</v>
      </c>
      <c r="R1610">
        <v>2</v>
      </c>
      <c r="S1610">
        <v>2</v>
      </c>
    </row>
    <row r="1611" spans="1:19" hidden="1" x14ac:dyDescent="0.3">
      <c r="A1611" t="s">
        <v>4845</v>
      </c>
      <c r="B1611" t="s">
        <v>4846</v>
      </c>
      <c r="C1611" t="s">
        <v>6622</v>
      </c>
      <c r="D1611" t="s">
        <v>97</v>
      </c>
      <c r="E1611" t="s">
        <v>98</v>
      </c>
      <c r="F1611" t="s">
        <v>30</v>
      </c>
      <c r="G1611" s="6">
        <v>45291</v>
      </c>
      <c r="H1611" t="s">
        <v>6811</v>
      </c>
      <c r="I1611" t="s">
        <v>57</v>
      </c>
      <c r="J1611" t="s">
        <v>47</v>
      </c>
      <c r="K1611">
        <v>100</v>
      </c>
      <c r="L1611">
        <v>100</v>
      </c>
      <c r="M1611">
        <v>1</v>
      </c>
      <c r="N1611">
        <v>1</v>
      </c>
      <c r="O1611" t="s">
        <v>102</v>
      </c>
      <c r="P1611" t="s">
        <v>102</v>
      </c>
      <c r="Q1611" t="s">
        <v>4847</v>
      </c>
      <c r="R1611">
        <v>2</v>
      </c>
      <c r="S1611">
        <v>2</v>
      </c>
    </row>
    <row r="1612" spans="1:19" hidden="1" x14ac:dyDescent="0.3">
      <c r="A1612" t="s">
        <v>4845</v>
      </c>
      <c r="B1612" t="s">
        <v>4846</v>
      </c>
      <c r="C1612" t="s">
        <v>6622</v>
      </c>
      <c r="D1612" t="s">
        <v>97</v>
      </c>
      <c r="E1612" t="s">
        <v>98</v>
      </c>
      <c r="F1612" t="s">
        <v>30</v>
      </c>
      <c r="G1612" s="6">
        <v>45657</v>
      </c>
      <c r="H1612" t="s">
        <v>6816</v>
      </c>
      <c r="I1612" t="s">
        <v>57</v>
      </c>
      <c r="J1612" t="s">
        <v>78</v>
      </c>
      <c r="K1612">
        <v>100</v>
      </c>
      <c r="L1612">
        <v>100</v>
      </c>
      <c r="M1612">
        <v>1</v>
      </c>
      <c r="N1612">
        <v>1</v>
      </c>
      <c r="O1612" t="s">
        <v>102</v>
      </c>
      <c r="P1612" t="s">
        <v>102</v>
      </c>
      <c r="Q1612" t="s">
        <v>4848</v>
      </c>
      <c r="R1612">
        <v>2</v>
      </c>
      <c r="S1612">
        <v>2</v>
      </c>
    </row>
    <row r="1613" spans="1:19" hidden="1" x14ac:dyDescent="0.3">
      <c r="A1613" t="s">
        <v>4845</v>
      </c>
      <c r="B1613" t="s">
        <v>4846</v>
      </c>
      <c r="C1613" t="s">
        <v>6622</v>
      </c>
      <c r="D1613" t="s">
        <v>97</v>
      </c>
      <c r="E1613" t="s">
        <v>98</v>
      </c>
      <c r="F1613" t="s">
        <v>30</v>
      </c>
      <c r="G1613" s="6">
        <v>46022</v>
      </c>
      <c r="H1613" t="s">
        <v>6823</v>
      </c>
      <c r="I1613" t="s">
        <v>57</v>
      </c>
      <c r="J1613" t="s">
        <v>103</v>
      </c>
      <c r="K1613">
        <v>100</v>
      </c>
      <c r="L1613">
        <v>100</v>
      </c>
      <c r="M1613">
        <v>1</v>
      </c>
      <c r="N1613">
        <v>1</v>
      </c>
      <c r="O1613" t="s">
        <v>102</v>
      </c>
      <c r="P1613" t="s">
        <v>102</v>
      </c>
      <c r="Q1613" t="s">
        <v>4849</v>
      </c>
      <c r="R1613">
        <v>2</v>
      </c>
      <c r="S1613">
        <v>2</v>
      </c>
    </row>
    <row r="1614" spans="1:19" hidden="1" x14ac:dyDescent="0.3">
      <c r="A1614" t="s">
        <v>4850</v>
      </c>
      <c r="B1614" t="s">
        <v>4851</v>
      </c>
      <c r="C1614" t="s">
        <v>6681</v>
      </c>
      <c r="D1614" t="s">
        <v>97</v>
      </c>
      <c r="E1614" t="s">
        <v>98</v>
      </c>
      <c r="F1614" t="s">
        <v>30</v>
      </c>
      <c r="G1614" s="6">
        <v>45291</v>
      </c>
      <c r="H1614" t="s">
        <v>6811</v>
      </c>
      <c r="I1614" t="s">
        <v>57</v>
      </c>
      <c r="J1614" t="s">
        <v>47</v>
      </c>
      <c r="K1614">
        <v>100</v>
      </c>
      <c r="L1614">
        <v>100</v>
      </c>
      <c r="M1614">
        <v>1</v>
      </c>
      <c r="N1614">
        <v>1</v>
      </c>
      <c r="O1614" t="s">
        <v>102</v>
      </c>
      <c r="P1614" t="s">
        <v>102</v>
      </c>
      <c r="Q1614" t="s">
        <v>4852</v>
      </c>
      <c r="R1614">
        <v>2</v>
      </c>
      <c r="S1614">
        <v>2</v>
      </c>
    </row>
    <row r="1615" spans="1:19" hidden="1" x14ac:dyDescent="0.3">
      <c r="A1615" t="s">
        <v>4850</v>
      </c>
      <c r="B1615" t="s">
        <v>4851</v>
      </c>
      <c r="C1615" t="s">
        <v>6681</v>
      </c>
      <c r="D1615" t="s">
        <v>97</v>
      </c>
      <c r="E1615" t="s">
        <v>98</v>
      </c>
      <c r="F1615" t="s">
        <v>30</v>
      </c>
      <c r="G1615" s="6">
        <v>45657</v>
      </c>
      <c r="H1615" t="s">
        <v>6816</v>
      </c>
      <c r="I1615" t="s">
        <v>57</v>
      </c>
      <c r="J1615" t="s">
        <v>78</v>
      </c>
      <c r="K1615">
        <v>100</v>
      </c>
      <c r="L1615">
        <v>100</v>
      </c>
      <c r="M1615">
        <v>1</v>
      </c>
      <c r="N1615">
        <v>1</v>
      </c>
      <c r="O1615" t="s">
        <v>102</v>
      </c>
      <c r="P1615" t="s">
        <v>102</v>
      </c>
      <c r="Q1615" t="s">
        <v>4853</v>
      </c>
      <c r="R1615">
        <v>2</v>
      </c>
      <c r="S1615">
        <v>2</v>
      </c>
    </row>
    <row r="1616" spans="1:19" hidden="1" x14ac:dyDescent="0.3">
      <c r="A1616" t="s">
        <v>4850</v>
      </c>
      <c r="B1616" t="s">
        <v>4851</v>
      </c>
      <c r="C1616" t="s">
        <v>6681</v>
      </c>
      <c r="D1616" t="s">
        <v>97</v>
      </c>
      <c r="E1616" t="s">
        <v>98</v>
      </c>
      <c r="F1616" t="s">
        <v>30</v>
      </c>
      <c r="G1616" s="6">
        <v>46022</v>
      </c>
      <c r="H1616" t="s">
        <v>6823</v>
      </c>
      <c r="I1616" t="s">
        <v>57</v>
      </c>
      <c r="J1616" t="s">
        <v>103</v>
      </c>
      <c r="K1616">
        <v>100</v>
      </c>
      <c r="L1616">
        <v>100</v>
      </c>
      <c r="M1616">
        <v>1</v>
      </c>
      <c r="N1616">
        <v>1</v>
      </c>
      <c r="O1616" t="s">
        <v>102</v>
      </c>
      <c r="P1616" t="s">
        <v>102</v>
      </c>
      <c r="Q1616" t="s">
        <v>4854</v>
      </c>
      <c r="R1616">
        <v>2</v>
      </c>
      <c r="S1616">
        <v>2</v>
      </c>
    </row>
    <row r="1617" spans="1:19" hidden="1" x14ac:dyDescent="0.3">
      <c r="A1617" t="s">
        <v>4409</v>
      </c>
      <c r="B1617" t="s">
        <v>4855</v>
      </c>
      <c r="C1617" t="s">
        <v>6622</v>
      </c>
      <c r="D1617" t="s">
        <v>97</v>
      </c>
      <c r="E1617" t="s">
        <v>222</v>
      </c>
      <c r="F1617" t="s">
        <v>30</v>
      </c>
      <c r="G1617" s="6">
        <v>45291</v>
      </c>
      <c r="H1617" t="s">
        <v>6811</v>
      </c>
      <c r="I1617" t="s">
        <v>57</v>
      </c>
      <c r="J1617" t="s">
        <v>47</v>
      </c>
      <c r="K1617">
        <v>100</v>
      </c>
      <c r="L1617">
        <v>100</v>
      </c>
      <c r="M1617">
        <v>1</v>
      </c>
      <c r="N1617">
        <v>1</v>
      </c>
      <c r="O1617" t="s">
        <v>102</v>
      </c>
      <c r="P1617" t="s">
        <v>102</v>
      </c>
      <c r="Q1617" t="s">
        <v>4857</v>
      </c>
      <c r="R1617">
        <v>2</v>
      </c>
      <c r="S1617">
        <v>2</v>
      </c>
    </row>
    <row r="1618" spans="1:19" hidden="1" x14ac:dyDescent="0.3">
      <c r="A1618" t="s">
        <v>4409</v>
      </c>
      <c r="B1618" t="s">
        <v>4855</v>
      </c>
      <c r="C1618" t="s">
        <v>6622</v>
      </c>
      <c r="D1618" t="s">
        <v>97</v>
      </c>
      <c r="E1618" t="s">
        <v>222</v>
      </c>
      <c r="F1618" t="s">
        <v>30</v>
      </c>
      <c r="G1618" s="6">
        <v>45657</v>
      </c>
      <c r="H1618" t="s">
        <v>6816</v>
      </c>
      <c r="I1618" t="s">
        <v>57</v>
      </c>
      <c r="J1618" t="s">
        <v>78</v>
      </c>
      <c r="K1618">
        <v>100</v>
      </c>
      <c r="L1618">
        <v>100</v>
      </c>
      <c r="M1618">
        <v>1</v>
      </c>
      <c r="N1618">
        <v>1</v>
      </c>
      <c r="O1618" t="s">
        <v>102</v>
      </c>
      <c r="P1618" t="s">
        <v>102</v>
      </c>
      <c r="Q1618" t="s">
        <v>4859</v>
      </c>
      <c r="R1618">
        <v>2</v>
      </c>
      <c r="S1618">
        <v>2</v>
      </c>
    </row>
    <row r="1619" spans="1:19" hidden="1" x14ac:dyDescent="0.3">
      <c r="A1619" t="s">
        <v>4409</v>
      </c>
      <c r="B1619" t="s">
        <v>4855</v>
      </c>
      <c r="C1619" t="s">
        <v>6622</v>
      </c>
      <c r="D1619" t="s">
        <v>97</v>
      </c>
      <c r="E1619" t="s">
        <v>222</v>
      </c>
      <c r="F1619" t="s">
        <v>30</v>
      </c>
      <c r="G1619" s="6">
        <v>46022</v>
      </c>
      <c r="H1619" t="s">
        <v>6823</v>
      </c>
      <c r="I1619" t="s">
        <v>57</v>
      </c>
      <c r="J1619" t="s">
        <v>103</v>
      </c>
      <c r="K1619">
        <v>100</v>
      </c>
      <c r="L1619">
        <v>100</v>
      </c>
      <c r="M1619">
        <v>1</v>
      </c>
      <c r="N1619">
        <v>1</v>
      </c>
      <c r="O1619" t="s">
        <v>102</v>
      </c>
      <c r="P1619" t="s">
        <v>102</v>
      </c>
      <c r="Q1619" t="s">
        <v>4861</v>
      </c>
      <c r="R1619">
        <v>2</v>
      </c>
      <c r="S1619">
        <v>2</v>
      </c>
    </row>
    <row r="1620" spans="1:19" hidden="1" x14ac:dyDescent="0.3">
      <c r="A1620" t="s">
        <v>4862</v>
      </c>
      <c r="B1620" t="s">
        <v>4863</v>
      </c>
      <c r="C1620" t="s">
        <v>6681</v>
      </c>
      <c r="D1620" t="s">
        <v>97</v>
      </c>
      <c r="E1620" t="s">
        <v>98</v>
      </c>
      <c r="F1620" t="s">
        <v>30</v>
      </c>
      <c r="G1620" s="6">
        <v>45291</v>
      </c>
      <c r="H1620" t="s">
        <v>6811</v>
      </c>
      <c r="I1620" t="s">
        <v>57</v>
      </c>
      <c r="J1620" t="s">
        <v>47</v>
      </c>
      <c r="K1620">
        <v>90</v>
      </c>
      <c r="L1620">
        <v>100</v>
      </c>
      <c r="M1620">
        <v>1.1111111111111109</v>
      </c>
      <c r="N1620">
        <v>1.1111111111111109</v>
      </c>
      <c r="O1620" t="s">
        <v>256</v>
      </c>
      <c r="P1620" t="s">
        <v>102</v>
      </c>
      <c r="Q1620" t="s">
        <v>4864</v>
      </c>
      <c r="R1620">
        <v>2</v>
      </c>
      <c r="S1620">
        <v>2</v>
      </c>
    </row>
    <row r="1621" spans="1:19" hidden="1" x14ac:dyDescent="0.3">
      <c r="A1621" t="s">
        <v>4862</v>
      </c>
      <c r="B1621" t="s">
        <v>4863</v>
      </c>
      <c r="C1621" t="s">
        <v>6681</v>
      </c>
      <c r="D1621" t="s">
        <v>97</v>
      </c>
      <c r="E1621" t="s">
        <v>98</v>
      </c>
      <c r="F1621" t="s">
        <v>30</v>
      </c>
      <c r="G1621" s="6">
        <v>45657</v>
      </c>
      <c r="H1621" t="s">
        <v>6816</v>
      </c>
      <c r="I1621" t="s">
        <v>57</v>
      </c>
      <c r="J1621" t="s">
        <v>78</v>
      </c>
      <c r="K1621">
        <v>90</v>
      </c>
      <c r="M1621">
        <v>0</v>
      </c>
      <c r="N1621">
        <v>0</v>
      </c>
      <c r="O1621" t="s">
        <v>256</v>
      </c>
      <c r="Q1621" t="s">
        <v>4865</v>
      </c>
      <c r="R1621">
        <v>2</v>
      </c>
      <c r="S1621">
        <v>2</v>
      </c>
    </row>
    <row r="1622" spans="1:19" hidden="1" x14ac:dyDescent="0.3">
      <c r="A1622" t="s">
        <v>4862</v>
      </c>
      <c r="B1622" t="s">
        <v>4863</v>
      </c>
      <c r="C1622" t="s">
        <v>6681</v>
      </c>
      <c r="D1622" t="s">
        <v>97</v>
      </c>
      <c r="E1622" t="s">
        <v>98</v>
      </c>
      <c r="F1622" t="s">
        <v>30</v>
      </c>
      <c r="G1622" s="6">
        <v>46022</v>
      </c>
      <c r="H1622" t="s">
        <v>6823</v>
      </c>
      <c r="I1622" t="s">
        <v>57</v>
      </c>
      <c r="J1622" t="s">
        <v>103</v>
      </c>
      <c r="K1622">
        <v>80</v>
      </c>
      <c r="L1622">
        <v>100</v>
      </c>
      <c r="M1622">
        <v>1.25</v>
      </c>
      <c r="N1622">
        <v>1.25</v>
      </c>
      <c r="O1622" t="s">
        <v>193</v>
      </c>
      <c r="P1622" t="s">
        <v>102</v>
      </c>
      <c r="Q1622" t="s">
        <v>4866</v>
      </c>
      <c r="R1622">
        <v>2</v>
      </c>
      <c r="S1622">
        <v>2</v>
      </c>
    </row>
    <row r="1623" spans="1:19" hidden="1" x14ac:dyDescent="0.3">
      <c r="A1623" t="s">
        <v>4403</v>
      </c>
      <c r="B1623" t="s">
        <v>4867</v>
      </c>
      <c r="C1623" t="s">
        <v>6681</v>
      </c>
      <c r="D1623" t="s">
        <v>97</v>
      </c>
      <c r="E1623" t="s">
        <v>98</v>
      </c>
      <c r="F1623" t="s">
        <v>30</v>
      </c>
      <c r="G1623" s="6">
        <v>45291</v>
      </c>
      <c r="H1623" t="s">
        <v>6811</v>
      </c>
      <c r="I1623" t="s">
        <v>57</v>
      </c>
      <c r="J1623" t="s">
        <v>47</v>
      </c>
      <c r="K1623">
        <v>100</v>
      </c>
      <c r="L1623">
        <v>100</v>
      </c>
      <c r="M1623">
        <v>1</v>
      </c>
      <c r="N1623">
        <v>1</v>
      </c>
      <c r="O1623" t="s">
        <v>102</v>
      </c>
      <c r="P1623" t="s">
        <v>102</v>
      </c>
      <c r="Q1623" t="s">
        <v>4868</v>
      </c>
      <c r="R1623">
        <v>2</v>
      </c>
      <c r="S1623">
        <v>2</v>
      </c>
    </row>
    <row r="1624" spans="1:19" hidden="1" x14ac:dyDescent="0.3">
      <c r="A1624" t="s">
        <v>4403</v>
      </c>
      <c r="B1624" t="s">
        <v>4867</v>
      </c>
      <c r="C1624" t="s">
        <v>6681</v>
      </c>
      <c r="D1624" t="s">
        <v>97</v>
      </c>
      <c r="E1624" t="s">
        <v>98</v>
      </c>
      <c r="F1624" t="s">
        <v>30</v>
      </c>
      <c r="G1624" s="6">
        <v>45657</v>
      </c>
      <c r="H1624" t="s">
        <v>6816</v>
      </c>
      <c r="I1624" t="s">
        <v>57</v>
      </c>
      <c r="J1624" t="s">
        <v>78</v>
      </c>
      <c r="K1624">
        <v>100</v>
      </c>
      <c r="L1624">
        <v>100</v>
      </c>
      <c r="M1624">
        <v>1</v>
      </c>
      <c r="N1624">
        <v>1</v>
      </c>
      <c r="O1624" t="s">
        <v>102</v>
      </c>
      <c r="P1624" t="s">
        <v>102</v>
      </c>
      <c r="Q1624" t="s">
        <v>4869</v>
      </c>
      <c r="R1624">
        <v>2</v>
      </c>
      <c r="S1624">
        <v>2</v>
      </c>
    </row>
    <row r="1625" spans="1:19" hidden="1" x14ac:dyDescent="0.3">
      <c r="A1625" t="s">
        <v>4403</v>
      </c>
      <c r="B1625" t="s">
        <v>4867</v>
      </c>
      <c r="C1625" t="s">
        <v>6681</v>
      </c>
      <c r="D1625" t="s">
        <v>97</v>
      </c>
      <c r="E1625" t="s">
        <v>98</v>
      </c>
      <c r="F1625" t="s">
        <v>30</v>
      </c>
      <c r="G1625" s="6">
        <v>46022</v>
      </c>
      <c r="H1625" t="s">
        <v>6823</v>
      </c>
      <c r="I1625" t="s">
        <v>57</v>
      </c>
      <c r="J1625" t="s">
        <v>103</v>
      </c>
      <c r="K1625">
        <v>100</v>
      </c>
      <c r="L1625">
        <v>100</v>
      </c>
      <c r="M1625">
        <v>1</v>
      </c>
      <c r="N1625">
        <v>1</v>
      </c>
      <c r="O1625" t="s">
        <v>102</v>
      </c>
      <c r="P1625" t="s">
        <v>102</v>
      </c>
      <c r="Q1625" t="s">
        <v>4870</v>
      </c>
      <c r="R1625">
        <v>2</v>
      </c>
      <c r="S1625">
        <v>2</v>
      </c>
    </row>
    <row r="1626" spans="1:19" hidden="1" x14ac:dyDescent="0.3">
      <c r="A1626" t="s">
        <v>279</v>
      </c>
      <c r="B1626" t="s">
        <v>4871</v>
      </c>
      <c r="C1626" t="s">
        <v>6681</v>
      </c>
      <c r="D1626" t="s">
        <v>97</v>
      </c>
      <c r="E1626" t="s">
        <v>98</v>
      </c>
      <c r="F1626" t="s">
        <v>30</v>
      </c>
      <c r="G1626" s="6">
        <v>45291</v>
      </c>
      <c r="H1626" t="s">
        <v>6811</v>
      </c>
      <c r="I1626" t="s">
        <v>57</v>
      </c>
      <c r="J1626" t="s">
        <v>47</v>
      </c>
      <c r="K1626">
        <v>100</v>
      </c>
      <c r="L1626">
        <v>100</v>
      </c>
      <c r="M1626">
        <v>1</v>
      </c>
      <c r="N1626">
        <v>1</v>
      </c>
      <c r="O1626" t="s">
        <v>102</v>
      </c>
      <c r="P1626" t="s">
        <v>102</v>
      </c>
      <c r="Q1626" t="s">
        <v>4872</v>
      </c>
      <c r="R1626">
        <v>2</v>
      </c>
      <c r="S1626">
        <v>2</v>
      </c>
    </row>
    <row r="1627" spans="1:19" hidden="1" x14ac:dyDescent="0.3">
      <c r="A1627" t="s">
        <v>279</v>
      </c>
      <c r="B1627" t="s">
        <v>4871</v>
      </c>
      <c r="C1627" t="s">
        <v>6681</v>
      </c>
      <c r="D1627" t="s">
        <v>97</v>
      </c>
      <c r="E1627" t="s">
        <v>98</v>
      </c>
      <c r="F1627" t="s">
        <v>30</v>
      </c>
      <c r="G1627" s="6">
        <v>45657</v>
      </c>
      <c r="H1627" t="s">
        <v>6816</v>
      </c>
      <c r="I1627" t="s">
        <v>57</v>
      </c>
      <c r="J1627" t="s">
        <v>78</v>
      </c>
      <c r="K1627">
        <v>100</v>
      </c>
      <c r="L1627">
        <v>100</v>
      </c>
      <c r="M1627">
        <v>1</v>
      </c>
      <c r="N1627">
        <v>1</v>
      </c>
      <c r="O1627" t="s">
        <v>102</v>
      </c>
      <c r="P1627" t="s">
        <v>102</v>
      </c>
      <c r="Q1627" t="s">
        <v>4873</v>
      </c>
      <c r="R1627">
        <v>2</v>
      </c>
      <c r="S1627">
        <v>2</v>
      </c>
    </row>
    <row r="1628" spans="1:19" hidden="1" x14ac:dyDescent="0.3">
      <c r="A1628" t="s">
        <v>279</v>
      </c>
      <c r="B1628" t="s">
        <v>4871</v>
      </c>
      <c r="C1628" t="s">
        <v>6681</v>
      </c>
      <c r="D1628" t="s">
        <v>97</v>
      </c>
      <c r="E1628" t="s">
        <v>98</v>
      </c>
      <c r="F1628" t="s">
        <v>30</v>
      </c>
      <c r="G1628" s="6">
        <v>46022</v>
      </c>
      <c r="H1628" t="s">
        <v>6823</v>
      </c>
      <c r="I1628" t="s">
        <v>57</v>
      </c>
      <c r="J1628" t="s">
        <v>103</v>
      </c>
      <c r="K1628">
        <v>100</v>
      </c>
      <c r="L1628">
        <v>100</v>
      </c>
      <c r="M1628">
        <v>1</v>
      </c>
      <c r="N1628">
        <v>1</v>
      </c>
      <c r="O1628" t="s">
        <v>102</v>
      </c>
      <c r="P1628" t="s">
        <v>102</v>
      </c>
      <c r="Q1628" t="s">
        <v>4874</v>
      </c>
      <c r="R1628">
        <v>2</v>
      </c>
      <c r="S1628">
        <v>2</v>
      </c>
    </row>
    <row r="1629" spans="1:19" hidden="1" x14ac:dyDescent="0.3">
      <c r="A1629" t="s">
        <v>4875</v>
      </c>
      <c r="B1629" t="s">
        <v>4876</v>
      </c>
      <c r="D1629" t="s">
        <v>266</v>
      </c>
      <c r="E1629" t="s">
        <v>29</v>
      </c>
      <c r="F1629" t="s">
        <v>30</v>
      </c>
      <c r="G1629" s="6">
        <v>45291</v>
      </c>
      <c r="H1629" t="s">
        <v>6811</v>
      </c>
      <c r="I1629" t="s">
        <v>57</v>
      </c>
      <c r="J1629" t="s">
        <v>47</v>
      </c>
      <c r="K1629">
        <v>64.111111111111114</v>
      </c>
      <c r="L1629">
        <v>57.444444444444443</v>
      </c>
      <c r="M1629">
        <v>0.89601386481802414</v>
      </c>
      <c r="N1629">
        <v>0.89601386481802414</v>
      </c>
      <c r="O1629" t="s">
        <v>7608</v>
      </c>
      <c r="P1629" t="s">
        <v>7609</v>
      </c>
      <c r="Q1629" t="s">
        <v>4885</v>
      </c>
      <c r="R1629">
        <v>2</v>
      </c>
      <c r="S1629">
        <v>2</v>
      </c>
    </row>
    <row r="1630" spans="1:19" hidden="1" x14ac:dyDescent="0.3">
      <c r="A1630" t="s">
        <v>4875</v>
      </c>
      <c r="B1630" t="s">
        <v>4876</v>
      </c>
      <c r="D1630" t="s">
        <v>266</v>
      </c>
      <c r="E1630" t="s">
        <v>29</v>
      </c>
      <c r="F1630" t="s">
        <v>30</v>
      </c>
      <c r="G1630" s="6">
        <v>45657</v>
      </c>
      <c r="H1630" t="s">
        <v>6816</v>
      </c>
      <c r="I1630" t="s">
        <v>57</v>
      </c>
      <c r="J1630" t="s">
        <v>78</v>
      </c>
      <c r="K1630">
        <v>99.333333333333329</v>
      </c>
      <c r="L1630">
        <v>98.166666666666671</v>
      </c>
      <c r="M1630">
        <v>0.98825503355704702</v>
      </c>
      <c r="N1630">
        <v>0.98825503355704702</v>
      </c>
      <c r="O1630" t="s">
        <v>6518</v>
      </c>
      <c r="P1630" t="s">
        <v>6519</v>
      </c>
      <c r="Q1630" t="s">
        <v>7610</v>
      </c>
      <c r="R1630">
        <v>2</v>
      </c>
      <c r="S1630">
        <v>2</v>
      </c>
    </row>
    <row r="1631" spans="1:19" hidden="1" x14ac:dyDescent="0.3">
      <c r="A1631" t="s">
        <v>255</v>
      </c>
      <c r="B1631" t="s">
        <v>4892</v>
      </c>
      <c r="C1631" t="s">
        <v>6681</v>
      </c>
      <c r="D1631" t="s">
        <v>97</v>
      </c>
      <c r="E1631" t="s">
        <v>98</v>
      </c>
      <c r="F1631" t="s">
        <v>30</v>
      </c>
      <c r="G1631" s="6">
        <v>45291</v>
      </c>
      <c r="H1631" t="s">
        <v>6811</v>
      </c>
      <c r="I1631" t="s">
        <v>57</v>
      </c>
      <c r="J1631" t="s">
        <v>47</v>
      </c>
      <c r="K1631">
        <v>100</v>
      </c>
      <c r="L1631">
        <v>100</v>
      </c>
      <c r="M1631">
        <v>1</v>
      </c>
      <c r="N1631">
        <v>1</v>
      </c>
      <c r="O1631" t="s">
        <v>102</v>
      </c>
      <c r="P1631" t="s">
        <v>102</v>
      </c>
      <c r="Q1631" t="s">
        <v>4893</v>
      </c>
      <c r="R1631">
        <v>2</v>
      </c>
      <c r="S1631">
        <v>2</v>
      </c>
    </row>
    <row r="1632" spans="1:19" hidden="1" x14ac:dyDescent="0.3">
      <c r="A1632" t="s">
        <v>255</v>
      </c>
      <c r="B1632" t="s">
        <v>4892</v>
      </c>
      <c r="C1632" t="s">
        <v>6681</v>
      </c>
      <c r="D1632" t="s">
        <v>97</v>
      </c>
      <c r="E1632" t="s">
        <v>98</v>
      </c>
      <c r="F1632" t="s">
        <v>30</v>
      </c>
      <c r="G1632" s="6">
        <v>45657</v>
      </c>
      <c r="H1632" t="s">
        <v>6816</v>
      </c>
      <c r="I1632" t="s">
        <v>57</v>
      </c>
      <c r="J1632" t="s">
        <v>78</v>
      </c>
      <c r="K1632">
        <v>100</v>
      </c>
      <c r="L1632">
        <v>100</v>
      </c>
      <c r="M1632">
        <v>1</v>
      </c>
      <c r="N1632">
        <v>1</v>
      </c>
      <c r="O1632" t="s">
        <v>102</v>
      </c>
      <c r="P1632" t="s">
        <v>102</v>
      </c>
      <c r="Q1632" t="s">
        <v>4894</v>
      </c>
      <c r="R1632">
        <v>2</v>
      </c>
      <c r="S1632">
        <v>2</v>
      </c>
    </row>
    <row r="1633" spans="1:19" hidden="1" x14ac:dyDescent="0.3">
      <c r="A1633" t="s">
        <v>255</v>
      </c>
      <c r="B1633" t="s">
        <v>4892</v>
      </c>
      <c r="C1633" t="s">
        <v>6681</v>
      </c>
      <c r="D1633" t="s">
        <v>97</v>
      </c>
      <c r="E1633" t="s">
        <v>98</v>
      </c>
      <c r="F1633" t="s">
        <v>30</v>
      </c>
      <c r="G1633" s="6">
        <v>46022</v>
      </c>
      <c r="H1633" t="s">
        <v>6823</v>
      </c>
      <c r="I1633" t="s">
        <v>57</v>
      </c>
      <c r="J1633" t="s">
        <v>103</v>
      </c>
      <c r="K1633">
        <v>100</v>
      </c>
      <c r="L1633">
        <v>100</v>
      </c>
      <c r="M1633">
        <v>1</v>
      </c>
      <c r="N1633">
        <v>1</v>
      </c>
      <c r="O1633" t="s">
        <v>102</v>
      </c>
      <c r="P1633" t="s">
        <v>102</v>
      </c>
      <c r="Q1633" t="s">
        <v>4895</v>
      </c>
      <c r="R1633">
        <v>2</v>
      </c>
      <c r="S1633">
        <v>2</v>
      </c>
    </row>
    <row r="1634" spans="1:19" hidden="1" x14ac:dyDescent="0.3">
      <c r="A1634" t="s">
        <v>4896</v>
      </c>
      <c r="B1634" t="s">
        <v>4897</v>
      </c>
      <c r="D1634" t="s">
        <v>1988</v>
      </c>
      <c r="E1634" t="s">
        <v>29</v>
      </c>
      <c r="F1634" t="s">
        <v>30</v>
      </c>
      <c r="G1634" s="6">
        <v>45657</v>
      </c>
      <c r="H1634" t="s">
        <v>6816</v>
      </c>
      <c r="I1634" t="s">
        <v>57</v>
      </c>
      <c r="J1634" t="s">
        <v>78</v>
      </c>
      <c r="K1634">
        <v>91.833333333333329</v>
      </c>
      <c r="L1634">
        <v>88.833333333333329</v>
      </c>
      <c r="M1634">
        <v>0.96733212341197827</v>
      </c>
      <c r="N1634">
        <v>0.96733212341197827</v>
      </c>
      <c r="O1634" t="s">
        <v>7611</v>
      </c>
      <c r="P1634" t="s">
        <v>6528</v>
      </c>
      <c r="Q1634" t="s">
        <v>4909</v>
      </c>
      <c r="R1634">
        <v>2</v>
      </c>
      <c r="S1634">
        <v>2</v>
      </c>
    </row>
    <row r="1635" spans="1:19" hidden="1" x14ac:dyDescent="0.3">
      <c r="A1635" t="s">
        <v>4910</v>
      </c>
      <c r="B1635" t="s">
        <v>4911</v>
      </c>
      <c r="D1635" t="s">
        <v>3011</v>
      </c>
      <c r="E1635" t="s">
        <v>29</v>
      </c>
      <c r="F1635" t="s">
        <v>30</v>
      </c>
      <c r="G1635" s="6">
        <v>45657</v>
      </c>
      <c r="H1635" t="s">
        <v>6816</v>
      </c>
      <c r="I1635" t="s">
        <v>57</v>
      </c>
      <c r="J1635" t="s">
        <v>78</v>
      </c>
      <c r="K1635">
        <v>54</v>
      </c>
      <c r="L1635">
        <v>51</v>
      </c>
      <c r="M1635">
        <v>0.94444444444444442</v>
      </c>
      <c r="N1635">
        <v>0.94444444444444442</v>
      </c>
      <c r="O1635" t="s">
        <v>5881</v>
      </c>
      <c r="P1635" t="s">
        <v>5415</v>
      </c>
      <c r="Q1635" t="s">
        <v>4923</v>
      </c>
      <c r="R1635">
        <v>2</v>
      </c>
      <c r="S1635">
        <v>2</v>
      </c>
    </row>
    <row r="1636" spans="1:19" hidden="1" x14ac:dyDescent="0.3">
      <c r="A1636" t="s">
        <v>4924</v>
      </c>
      <c r="B1636" t="s">
        <v>4925</v>
      </c>
      <c r="D1636" t="s">
        <v>672</v>
      </c>
      <c r="E1636" t="s">
        <v>29</v>
      </c>
      <c r="F1636" t="s">
        <v>30</v>
      </c>
      <c r="G1636" s="6">
        <v>45657</v>
      </c>
      <c r="H1636" t="s">
        <v>6816</v>
      </c>
      <c r="I1636" t="s">
        <v>57</v>
      </c>
      <c r="J1636" t="s">
        <v>78</v>
      </c>
      <c r="K1636">
        <v>70.25</v>
      </c>
      <c r="L1636">
        <v>71.166666666666671</v>
      </c>
      <c r="M1636">
        <v>1.013048635824437</v>
      </c>
      <c r="N1636">
        <v>1.013048635824437</v>
      </c>
      <c r="O1636" t="s">
        <v>7612</v>
      </c>
      <c r="P1636" t="s">
        <v>7613</v>
      </c>
      <c r="Q1636" t="s">
        <v>4937</v>
      </c>
      <c r="R1636">
        <v>2</v>
      </c>
      <c r="S1636">
        <v>2</v>
      </c>
    </row>
    <row r="1637" spans="1:19" hidden="1" x14ac:dyDescent="0.3">
      <c r="A1637" t="s">
        <v>4938</v>
      </c>
      <c r="B1637" t="s">
        <v>4939</v>
      </c>
      <c r="D1637" t="s">
        <v>251</v>
      </c>
      <c r="E1637" t="s">
        <v>29</v>
      </c>
      <c r="F1637" t="s">
        <v>30</v>
      </c>
      <c r="G1637" s="6">
        <v>45657</v>
      </c>
      <c r="H1637" t="s">
        <v>6816</v>
      </c>
      <c r="I1637" t="s">
        <v>57</v>
      </c>
      <c r="J1637" t="s">
        <v>78</v>
      </c>
      <c r="K1637">
        <v>38.75</v>
      </c>
      <c r="L1637">
        <v>39.166666666666657</v>
      </c>
      <c r="M1637">
        <v>1.010752688172043</v>
      </c>
      <c r="N1637">
        <v>1.010752688172043</v>
      </c>
      <c r="O1637" t="s">
        <v>7614</v>
      </c>
      <c r="P1637" t="s">
        <v>6531</v>
      </c>
      <c r="Q1637" t="s">
        <v>4951</v>
      </c>
      <c r="R1637">
        <v>2</v>
      </c>
      <c r="S1637">
        <v>2</v>
      </c>
    </row>
    <row r="1638" spans="1:19" hidden="1" x14ac:dyDescent="0.3">
      <c r="A1638" t="s">
        <v>4952</v>
      </c>
      <c r="B1638" t="s">
        <v>4953</v>
      </c>
      <c r="D1638" t="s">
        <v>2437</v>
      </c>
      <c r="E1638" t="s">
        <v>29</v>
      </c>
      <c r="F1638" t="s">
        <v>30</v>
      </c>
      <c r="G1638" s="6">
        <v>45657</v>
      </c>
      <c r="H1638" t="s">
        <v>6816</v>
      </c>
      <c r="I1638" t="s">
        <v>57</v>
      </c>
      <c r="J1638" t="s">
        <v>78</v>
      </c>
      <c r="K1638">
        <v>63.333333333333343</v>
      </c>
      <c r="L1638">
        <v>66.166666666666671</v>
      </c>
      <c r="M1638">
        <v>1.044736842105263</v>
      </c>
      <c r="N1638">
        <v>1.044736842105263</v>
      </c>
      <c r="O1638" t="s">
        <v>7470</v>
      </c>
      <c r="P1638" t="s">
        <v>7615</v>
      </c>
      <c r="Q1638" t="s">
        <v>4965</v>
      </c>
      <c r="R1638">
        <v>2</v>
      </c>
      <c r="S1638">
        <v>2</v>
      </c>
    </row>
    <row r="1639" spans="1:19" hidden="1" x14ac:dyDescent="0.3">
      <c r="A1639" t="s">
        <v>4966</v>
      </c>
      <c r="B1639" t="s">
        <v>4967</v>
      </c>
      <c r="D1639" t="s">
        <v>3011</v>
      </c>
      <c r="E1639" t="s">
        <v>29</v>
      </c>
      <c r="F1639" t="s">
        <v>30</v>
      </c>
      <c r="G1639" s="6">
        <v>45657</v>
      </c>
      <c r="H1639" t="s">
        <v>6816</v>
      </c>
      <c r="I1639" t="s">
        <v>57</v>
      </c>
      <c r="J1639" t="s">
        <v>78</v>
      </c>
      <c r="K1639">
        <v>74.083333333333329</v>
      </c>
      <c r="L1639">
        <v>71.083333333333329</v>
      </c>
      <c r="M1639">
        <v>0.95950506186726658</v>
      </c>
      <c r="N1639">
        <v>0.95950506186726658</v>
      </c>
      <c r="O1639" t="s">
        <v>6813</v>
      </c>
      <c r="P1639" t="s">
        <v>7616</v>
      </c>
      <c r="Q1639" t="s">
        <v>4979</v>
      </c>
      <c r="R1639">
        <v>2</v>
      </c>
      <c r="S1639">
        <v>2</v>
      </c>
    </row>
    <row r="1640" spans="1:19" hidden="1" x14ac:dyDescent="0.3">
      <c r="A1640" t="s">
        <v>4980</v>
      </c>
      <c r="B1640" t="s">
        <v>4981</v>
      </c>
      <c r="D1640" t="s">
        <v>3011</v>
      </c>
      <c r="E1640" t="s">
        <v>29</v>
      </c>
      <c r="F1640" t="s">
        <v>30</v>
      </c>
      <c r="G1640" s="6">
        <v>45657</v>
      </c>
      <c r="H1640" t="s">
        <v>6816</v>
      </c>
      <c r="I1640" t="s">
        <v>57</v>
      </c>
      <c r="J1640" t="s">
        <v>78</v>
      </c>
      <c r="K1640">
        <v>71.666666666666671</v>
      </c>
      <c r="L1640">
        <v>63.166666666666657</v>
      </c>
      <c r="M1640">
        <v>0.88139534883720916</v>
      </c>
      <c r="N1640">
        <v>0.88139534883720916</v>
      </c>
      <c r="O1640" t="s">
        <v>7617</v>
      </c>
      <c r="P1640" t="s">
        <v>7618</v>
      </c>
      <c r="Q1640" t="s">
        <v>4993</v>
      </c>
      <c r="R1640">
        <v>2</v>
      </c>
      <c r="S1640">
        <v>2</v>
      </c>
    </row>
    <row r="1641" spans="1:19" hidden="1" x14ac:dyDescent="0.3">
      <c r="A1641" t="s">
        <v>4994</v>
      </c>
      <c r="B1641" t="s">
        <v>4995</v>
      </c>
      <c r="D1641" t="s">
        <v>3011</v>
      </c>
      <c r="E1641" t="s">
        <v>29</v>
      </c>
      <c r="F1641" t="s">
        <v>30</v>
      </c>
      <c r="G1641" s="6">
        <v>45657</v>
      </c>
      <c r="H1641" t="s">
        <v>6816</v>
      </c>
      <c r="I1641" t="s">
        <v>57</v>
      </c>
      <c r="J1641" t="s">
        <v>78</v>
      </c>
      <c r="K1641">
        <v>54.625</v>
      </c>
      <c r="L1641">
        <v>59.875</v>
      </c>
      <c r="M1641">
        <v>1.096109839816934</v>
      </c>
      <c r="N1641">
        <v>1.096109839816934</v>
      </c>
      <c r="O1641" t="s">
        <v>7619</v>
      </c>
      <c r="P1641" t="s">
        <v>7620</v>
      </c>
      <c r="Q1641" t="s">
        <v>5003</v>
      </c>
      <c r="R1641">
        <v>2</v>
      </c>
      <c r="S1641">
        <v>2</v>
      </c>
    </row>
    <row r="1642" spans="1:19" hidden="1" x14ac:dyDescent="0.3">
      <c r="A1642" t="s">
        <v>5004</v>
      </c>
      <c r="B1642" t="s">
        <v>5005</v>
      </c>
      <c r="D1642" t="s">
        <v>3437</v>
      </c>
      <c r="E1642" t="s">
        <v>29</v>
      </c>
      <c r="F1642" t="s">
        <v>30</v>
      </c>
      <c r="G1642" s="6">
        <v>45657</v>
      </c>
      <c r="H1642" t="s">
        <v>6816</v>
      </c>
      <c r="I1642" t="s">
        <v>57</v>
      </c>
      <c r="J1642" t="s">
        <v>78</v>
      </c>
      <c r="K1642">
        <v>70.142857142857139</v>
      </c>
      <c r="L1642">
        <v>68.857142857142861</v>
      </c>
      <c r="M1642">
        <v>0.98167006109979649</v>
      </c>
      <c r="N1642">
        <v>0.98167006109979649</v>
      </c>
      <c r="O1642" t="s">
        <v>7621</v>
      </c>
      <c r="P1642" t="s">
        <v>7622</v>
      </c>
      <c r="Q1642" t="s">
        <v>5012</v>
      </c>
      <c r="R1642">
        <v>2</v>
      </c>
      <c r="S1642">
        <v>2</v>
      </c>
    </row>
    <row r="1643" spans="1:19" hidden="1" x14ac:dyDescent="0.3">
      <c r="A1643" t="s">
        <v>5013</v>
      </c>
      <c r="B1643" t="s">
        <v>5014</v>
      </c>
      <c r="C1643" t="s">
        <v>6681</v>
      </c>
      <c r="D1643" t="s">
        <v>97</v>
      </c>
      <c r="E1643" t="s">
        <v>98</v>
      </c>
      <c r="F1643" t="s">
        <v>30</v>
      </c>
      <c r="G1643" s="6">
        <v>45291</v>
      </c>
      <c r="H1643" t="s">
        <v>6811</v>
      </c>
      <c r="I1643" t="s">
        <v>57</v>
      </c>
      <c r="J1643" t="s">
        <v>47</v>
      </c>
      <c r="K1643">
        <v>100</v>
      </c>
      <c r="L1643">
        <v>100</v>
      </c>
      <c r="M1643">
        <v>1</v>
      </c>
      <c r="N1643">
        <v>1</v>
      </c>
      <c r="O1643" t="s">
        <v>102</v>
      </c>
      <c r="P1643" t="s">
        <v>102</v>
      </c>
      <c r="Q1643" t="s">
        <v>5015</v>
      </c>
      <c r="R1643">
        <v>2</v>
      </c>
      <c r="S1643">
        <v>2</v>
      </c>
    </row>
    <row r="1644" spans="1:19" hidden="1" x14ac:dyDescent="0.3">
      <c r="A1644" t="s">
        <v>5013</v>
      </c>
      <c r="B1644" t="s">
        <v>5014</v>
      </c>
      <c r="C1644" t="s">
        <v>6681</v>
      </c>
      <c r="D1644" t="s">
        <v>97</v>
      </c>
      <c r="E1644" t="s">
        <v>98</v>
      </c>
      <c r="F1644" t="s">
        <v>30</v>
      </c>
      <c r="G1644" s="6">
        <v>45657</v>
      </c>
      <c r="H1644" t="s">
        <v>6816</v>
      </c>
      <c r="I1644" t="s">
        <v>57</v>
      </c>
      <c r="J1644" t="s">
        <v>78</v>
      </c>
      <c r="K1644">
        <v>100</v>
      </c>
      <c r="L1644">
        <v>100</v>
      </c>
      <c r="M1644">
        <v>1</v>
      </c>
      <c r="N1644">
        <v>1</v>
      </c>
      <c r="O1644" t="s">
        <v>102</v>
      </c>
      <c r="P1644" t="s">
        <v>102</v>
      </c>
      <c r="Q1644" t="s">
        <v>5016</v>
      </c>
      <c r="R1644">
        <v>2</v>
      </c>
      <c r="S1644">
        <v>2</v>
      </c>
    </row>
    <row r="1645" spans="1:19" hidden="1" x14ac:dyDescent="0.3">
      <c r="A1645" t="s">
        <v>5013</v>
      </c>
      <c r="B1645" t="s">
        <v>5014</v>
      </c>
      <c r="C1645" t="s">
        <v>6681</v>
      </c>
      <c r="D1645" t="s">
        <v>97</v>
      </c>
      <c r="E1645" t="s">
        <v>98</v>
      </c>
      <c r="F1645" t="s">
        <v>30</v>
      </c>
      <c r="G1645" s="6">
        <v>46022</v>
      </c>
      <c r="H1645" t="s">
        <v>6823</v>
      </c>
      <c r="I1645" t="s">
        <v>57</v>
      </c>
      <c r="J1645" t="s">
        <v>103</v>
      </c>
      <c r="K1645">
        <v>100</v>
      </c>
      <c r="L1645">
        <v>100</v>
      </c>
      <c r="M1645">
        <v>1</v>
      </c>
      <c r="N1645">
        <v>1</v>
      </c>
      <c r="O1645" t="s">
        <v>102</v>
      </c>
      <c r="P1645" t="s">
        <v>102</v>
      </c>
      <c r="Q1645" t="s">
        <v>5017</v>
      </c>
      <c r="R1645">
        <v>2</v>
      </c>
      <c r="S1645">
        <v>2</v>
      </c>
    </row>
    <row r="1646" spans="1:19" hidden="1" x14ac:dyDescent="0.3">
      <c r="A1646" t="s">
        <v>4633</v>
      </c>
      <c r="B1646" t="s">
        <v>5018</v>
      </c>
      <c r="C1646" t="s">
        <v>6681</v>
      </c>
      <c r="D1646" t="s">
        <v>97</v>
      </c>
      <c r="E1646" t="s">
        <v>98</v>
      </c>
      <c r="F1646" t="s">
        <v>30</v>
      </c>
      <c r="G1646" s="6">
        <v>45291</v>
      </c>
      <c r="H1646" t="s">
        <v>6811</v>
      </c>
      <c r="I1646" t="s">
        <v>57</v>
      </c>
      <c r="J1646" t="s">
        <v>47</v>
      </c>
      <c r="K1646">
        <v>100</v>
      </c>
      <c r="L1646">
        <v>100</v>
      </c>
      <c r="M1646">
        <v>1</v>
      </c>
      <c r="N1646">
        <v>1</v>
      </c>
      <c r="O1646" t="s">
        <v>102</v>
      </c>
      <c r="P1646" t="s">
        <v>102</v>
      </c>
      <c r="Q1646" t="s">
        <v>5019</v>
      </c>
      <c r="R1646">
        <v>2</v>
      </c>
      <c r="S1646">
        <v>2</v>
      </c>
    </row>
    <row r="1647" spans="1:19" hidden="1" x14ac:dyDescent="0.3">
      <c r="A1647" t="s">
        <v>4633</v>
      </c>
      <c r="B1647" t="s">
        <v>5018</v>
      </c>
      <c r="C1647" t="s">
        <v>6681</v>
      </c>
      <c r="D1647" t="s">
        <v>97</v>
      </c>
      <c r="E1647" t="s">
        <v>98</v>
      </c>
      <c r="F1647" t="s">
        <v>30</v>
      </c>
      <c r="G1647" s="6">
        <v>45657</v>
      </c>
      <c r="H1647" t="s">
        <v>6816</v>
      </c>
      <c r="I1647" t="s">
        <v>57</v>
      </c>
      <c r="J1647" t="s">
        <v>78</v>
      </c>
      <c r="K1647">
        <v>98</v>
      </c>
      <c r="L1647">
        <v>100</v>
      </c>
      <c r="M1647">
        <v>1.0204081632653059</v>
      </c>
      <c r="N1647">
        <v>1.0204081632653059</v>
      </c>
      <c r="O1647" t="s">
        <v>312</v>
      </c>
      <c r="P1647" t="s">
        <v>102</v>
      </c>
      <c r="Q1647" t="s">
        <v>5020</v>
      </c>
      <c r="R1647">
        <v>2</v>
      </c>
      <c r="S1647">
        <v>2</v>
      </c>
    </row>
    <row r="1648" spans="1:19" hidden="1" x14ac:dyDescent="0.3">
      <c r="A1648" t="s">
        <v>4633</v>
      </c>
      <c r="B1648" t="s">
        <v>5018</v>
      </c>
      <c r="C1648" t="s">
        <v>6681</v>
      </c>
      <c r="D1648" t="s">
        <v>97</v>
      </c>
      <c r="E1648" t="s">
        <v>98</v>
      </c>
      <c r="F1648" t="s">
        <v>30</v>
      </c>
      <c r="G1648" s="6">
        <v>46022</v>
      </c>
      <c r="H1648" t="s">
        <v>6823</v>
      </c>
      <c r="I1648" t="s">
        <v>57</v>
      </c>
      <c r="J1648" t="s">
        <v>103</v>
      </c>
      <c r="K1648">
        <v>98</v>
      </c>
      <c r="L1648">
        <v>100</v>
      </c>
      <c r="M1648">
        <v>1.0204081632653059</v>
      </c>
      <c r="N1648">
        <v>1.0204081632653059</v>
      </c>
      <c r="O1648" t="s">
        <v>312</v>
      </c>
      <c r="P1648" t="s">
        <v>102</v>
      </c>
      <c r="Q1648" t="s">
        <v>5021</v>
      </c>
      <c r="R1648">
        <v>2</v>
      </c>
      <c r="S1648">
        <v>2</v>
      </c>
    </row>
    <row r="1649" spans="1:19" hidden="1" x14ac:dyDescent="0.3">
      <c r="A1649" t="s">
        <v>192</v>
      </c>
      <c r="B1649" t="s">
        <v>5022</v>
      </c>
      <c r="C1649" t="s">
        <v>6681</v>
      </c>
      <c r="D1649" t="s">
        <v>97</v>
      </c>
      <c r="E1649" t="s">
        <v>98</v>
      </c>
      <c r="F1649" t="s">
        <v>30</v>
      </c>
      <c r="G1649" s="6">
        <v>45291</v>
      </c>
      <c r="H1649" t="s">
        <v>6811</v>
      </c>
      <c r="I1649" t="s">
        <v>57</v>
      </c>
      <c r="J1649" t="s">
        <v>47</v>
      </c>
      <c r="K1649">
        <v>100</v>
      </c>
      <c r="L1649">
        <v>100</v>
      </c>
      <c r="M1649">
        <v>1</v>
      </c>
      <c r="N1649">
        <v>1</v>
      </c>
      <c r="O1649" t="s">
        <v>102</v>
      </c>
      <c r="P1649" t="s">
        <v>102</v>
      </c>
      <c r="Q1649" t="s">
        <v>5023</v>
      </c>
      <c r="R1649">
        <v>2</v>
      </c>
      <c r="S1649">
        <v>2</v>
      </c>
    </row>
    <row r="1650" spans="1:19" hidden="1" x14ac:dyDescent="0.3">
      <c r="A1650" t="s">
        <v>192</v>
      </c>
      <c r="B1650" t="s">
        <v>5022</v>
      </c>
      <c r="C1650" t="s">
        <v>6681</v>
      </c>
      <c r="D1650" t="s">
        <v>97</v>
      </c>
      <c r="E1650" t="s">
        <v>98</v>
      </c>
      <c r="F1650" t="s">
        <v>30</v>
      </c>
      <c r="G1650" s="6">
        <v>45657</v>
      </c>
      <c r="H1650" t="s">
        <v>6816</v>
      </c>
      <c r="I1650" t="s">
        <v>57</v>
      </c>
      <c r="J1650" t="s">
        <v>78</v>
      </c>
      <c r="K1650">
        <v>100</v>
      </c>
      <c r="L1650">
        <v>100</v>
      </c>
      <c r="M1650">
        <v>1</v>
      </c>
      <c r="N1650">
        <v>1</v>
      </c>
      <c r="O1650" t="s">
        <v>102</v>
      </c>
      <c r="P1650" t="s">
        <v>102</v>
      </c>
      <c r="Q1650" t="s">
        <v>5024</v>
      </c>
      <c r="R1650">
        <v>2</v>
      </c>
      <c r="S1650">
        <v>2</v>
      </c>
    </row>
    <row r="1651" spans="1:19" hidden="1" x14ac:dyDescent="0.3">
      <c r="A1651" t="s">
        <v>192</v>
      </c>
      <c r="B1651" t="s">
        <v>5022</v>
      </c>
      <c r="C1651" t="s">
        <v>6681</v>
      </c>
      <c r="D1651" t="s">
        <v>97</v>
      </c>
      <c r="E1651" t="s">
        <v>98</v>
      </c>
      <c r="F1651" t="s">
        <v>30</v>
      </c>
      <c r="G1651" s="6">
        <v>46022</v>
      </c>
      <c r="H1651" t="s">
        <v>6823</v>
      </c>
      <c r="I1651" t="s">
        <v>57</v>
      </c>
      <c r="J1651" t="s">
        <v>103</v>
      </c>
      <c r="K1651">
        <v>100</v>
      </c>
      <c r="L1651">
        <v>100</v>
      </c>
      <c r="M1651">
        <v>1</v>
      </c>
      <c r="N1651">
        <v>1</v>
      </c>
      <c r="O1651" t="s">
        <v>102</v>
      </c>
      <c r="P1651" t="s">
        <v>102</v>
      </c>
      <c r="Q1651" t="s">
        <v>5025</v>
      </c>
      <c r="R1651">
        <v>2</v>
      </c>
      <c r="S1651">
        <v>2</v>
      </c>
    </row>
    <row r="1652" spans="1:19" hidden="1" x14ac:dyDescent="0.3">
      <c r="A1652" t="s">
        <v>837</v>
      </c>
      <c r="B1652" t="s">
        <v>5026</v>
      </c>
      <c r="C1652" t="s">
        <v>6681</v>
      </c>
      <c r="D1652" t="s">
        <v>97</v>
      </c>
      <c r="E1652" t="s">
        <v>222</v>
      </c>
      <c r="F1652" t="s">
        <v>30</v>
      </c>
      <c r="G1652" s="6">
        <v>45291</v>
      </c>
      <c r="H1652" t="s">
        <v>6811</v>
      </c>
      <c r="I1652" t="s">
        <v>57</v>
      </c>
      <c r="J1652" t="s">
        <v>47</v>
      </c>
      <c r="K1652">
        <v>100</v>
      </c>
      <c r="L1652">
        <v>100</v>
      </c>
      <c r="M1652">
        <v>1</v>
      </c>
      <c r="N1652">
        <v>1</v>
      </c>
      <c r="O1652" t="s">
        <v>102</v>
      </c>
      <c r="P1652" t="s">
        <v>102</v>
      </c>
      <c r="Q1652" t="s">
        <v>5028</v>
      </c>
      <c r="R1652">
        <v>2</v>
      </c>
      <c r="S1652">
        <v>2</v>
      </c>
    </row>
    <row r="1653" spans="1:19" hidden="1" x14ac:dyDescent="0.3">
      <c r="A1653" t="s">
        <v>837</v>
      </c>
      <c r="B1653" t="s">
        <v>5026</v>
      </c>
      <c r="C1653" t="s">
        <v>6681</v>
      </c>
      <c r="D1653" t="s">
        <v>97</v>
      </c>
      <c r="E1653" t="s">
        <v>222</v>
      </c>
      <c r="F1653" t="s">
        <v>30</v>
      </c>
      <c r="G1653" s="6">
        <v>45657</v>
      </c>
      <c r="H1653" t="s">
        <v>6816</v>
      </c>
      <c r="I1653" t="s">
        <v>57</v>
      </c>
      <c r="J1653" t="s">
        <v>78</v>
      </c>
      <c r="K1653">
        <v>100</v>
      </c>
      <c r="L1653">
        <v>100</v>
      </c>
      <c r="M1653">
        <v>1</v>
      </c>
      <c r="N1653">
        <v>1</v>
      </c>
      <c r="O1653" t="s">
        <v>102</v>
      </c>
      <c r="P1653" t="s">
        <v>102</v>
      </c>
      <c r="Q1653" t="s">
        <v>5030</v>
      </c>
      <c r="R1653">
        <v>2</v>
      </c>
      <c r="S1653">
        <v>2</v>
      </c>
    </row>
    <row r="1654" spans="1:19" hidden="1" x14ac:dyDescent="0.3">
      <c r="A1654" t="s">
        <v>837</v>
      </c>
      <c r="B1654" t="s">
        <v>5026</v>
      </c>
      <c r="C1654" t="s">
        <v>6681</v>
      </c>
      <c r="D1654" t="s">
        <v>97</v>
      </c>
      <c r="E1654" t="s">
        <v>222</v>
      </c>
      <c r="F1654" t="s">
        <v>30</v>
      </c>
      <c r="G1654" s="6">
        <v>46022</v>
      </c>
      <c r="H1654" t="s">
        <v>6823</v>
      </c>
      <c r="I1654" t="s">
        <v>57</v>
      </c>
      <c r="J1654" t="s">
        <v>103</v>
      </c>
      <c r="K1654">
        <v>100</v>
      </c>
      <c r="L1654">
        <v>100</v>
      </c>
      <c r="M1654">
        <v>1</v>
      </c>
      <c r="N1654">
        <v>1</v>
      </c>
      <c r="O1654" t="s">
        <v>102</v>
      </c>
      <c r="P1654" t="s">
        <v>102</v>
      </c>
      <c r="Q1654" t="s">
        <v>5032</v>
      </c>
      <c r="R1654">
        <v>2</v>
      </c>
      <c r="S1654">
        <v>2</v>
      </c>
    </row>
    <row r="1655" spans="1:19" hidden="1" x14ac:dyDescent="0.3">
      <c r="A1655" t="s">
        <v>667</v>
      </c>
      <c r="B1655" t="s">
        <v>5033</v>
      </c>
      <c r="D1655" t="s">
        <v>760</v>
      </c>
      <c r="E1655" t="s">
        <v>222</v>
      </c>
      <c r="F1655" t="s">
        <v>30</v>
      </c>
      <c r="G1655" s="6">
        <v>44926</v>
      </c>
      <c r="H1655" t="s">
        <v>6819</v>
      </c>
      <c r="I1655" t="s">
        <v>57</v>
      </c>
      <c r="J1655" t="s">
        <v>90</v>
      </c>
      <c r="K1655">
        <v>509</v>
      </c>
      <c r="L1655">
        <v>566</v>
      </c>
      <c r="M1655">
        <v>1.111984282907662</v>
      </c>
      <c r="N1655">
        <v>1.111984282907662</v>
      </c>
      <c r="O1655" t="s">
        <v>6538</v>
      </c>
      <c r="P1655" t="s">
        <v>6539</v>
      </c>
      <c r="Q1655" t="s">
        <v>5034</v>
      </c>
      <c r="R1655">
        <v>2</v>
      </c>
      <c r="S1655">
        <v>2</v>
      </c>
    </row>
    <row r="1656" spans="1:19" hidden="1" x14ac:dyDescent="0.3">
      <c r="A1656" t="s">
        <v>667</v>
      </c>
      <c r="B1656" t="s">
        <v>5033</v>
      </c>
      <c r="D1656" t="s">
        <v>760</v>
      </c>
      <c r="E1656" t="s">
        <v>222</v>
      </c>
      <c r="F1656" t="s">
        <v>30</v>
      </c>
      <c r="G1656" s="6">
        <v>45291</v>
      </c>
      <c r="H1656" t="s">
        <v>6811</v>
      </c>
      <c r="I1656" t="s">
        <v>57</v>
      </c>
      <c r="J1656" t="s">
        <v>47</v>
      </c>
      <c r="K1656">
        <v>305.5</v>
      </c>
      <c r="L1656">
        <v>352.5</v>
      </c>
      <c r="M1656">
        <v>1.153846153846154</v>
      </c>
      <c r="N1656">
        <v>1.153846153846154</v>
      </c>
      <c r="O1656" t="s">
        <v>7199</v>
      </c>
      <c r="P1656" t="s">
        <v>7623</v>
      </c>
      <c r="Q1656" t="s">
        <v>5036</v>
      </c>
      <c r="R1656">
        <v>2</v>
      </c>
      <c r="S1656">
        <v>2</v>
      </c>
    </row>
    <row r="1657" spans="1:19" hidden="1" x14ac:dyDescent="0.3">
      <c r="A1657" t="s">
        <v>667</v>
      </c>
      <c r="B1657" t="s">
        <v>5033</v>
      </c>
      <c r="D1657" t="s">
        <v>760</v>
      </c>
      <c r="E1657" t="s">
        <v>222</v>
      </c>
      <c r="F1657" t="s">
        <v>30</v>
      </c>
      <c r="G1657" s="6">
        <v>45657</v>
      </c>
      <c r="H1657" t="s">
        <v>6816</v>
      </c>
      <c r="I1657" t="s">
        <v>57</v>
      </c>
      <c r="J1657" t="s">
        <v>78</v>
      </c>
      <c r="K1657">
        <v>336</v>
      </c>
      <c r="L1657">
        <v>207.5</v>
      </c>
      <c r="M1657">
        <v>0.61755952380952384</v>
      </c>
      <c r="N1657">
        <v>0.61755952380952384</v>
      </c>
      <c r="O1657" t="s">
        <v>6542</v>
      </c>
      <c r="P1657" t="s">
        <v>7624</v>
      </c>
      <c r="Q1657" t="s">
        <v>5038</v>
      </c>
      <c r="R1657">
        <v>2</v>
      </c>
      <c r="S1657">
        <v>2</v>
      </c>
    </row>
    <row r="1658" spans="1:19" hidden="1" x14ac:dyDescent="0.3">
      <c r="A1658" t="s">
        <v>667</v>
      </c>
      <c r="B1658" t="s">
        <v>5033</v>
      </c>
      <c r="D1658" t="s">
        <v>760</v>
      </c>
      <c r="E1658" t="s">
        <v>222</v>
      </c>
      <c r="F1658" t="s">
        <v>30</v>
      </c>
      <c r="G1658" s="6">
        <v>46022</v>
      </c>
      <c r="H1658" t="s">
        <v>6823</v>
      </c>
      <c r="I1658" t="s">
        <v>57</v>
      </c>
      <c r="J1658" t="s">
        <v>103</v>
      </c>
      <c r="K1658">
        <v>369</v>
      </c>
      <c r="L1658">
        <v>103</v>
      </c>
      <c r="M1658">
        <v>0.2791327913279133</v>
      </c>
      <c r="N1658">
        <v>0.2791327913279133</v>
      </c>
      <c r="O1658" t="s">
        <v>6544</v>
      </c>
      <c r="P1658" t="s">
        <v>6545</v>
      </c>
      <c r="Q1658" t="s">
        <v>7625</v>
      </c>
      <c r="R1658">
        <v>2</v>
      </c>
      <c r="S1658">
        <v>2</v>
      </c>
    </row>
    <row r="1659" spans="1:19" hidden="1" x14ac:dyDescent="0.3">
      <c r="A1659" t="s">
        <v>2782</v>
      </c>
      <c r="B1659" t="s">
        <v>2410</v>
      </c>
      <c r="D1659" t="s">
        <v>3437</v>
      </c>
      <c r="E1659" t="s">
        <v>222</v>
      </c>
      <c r="F1659" t="s">
        <v>30</v>
      </c>
      <c r="G1659" s="6">
        <v>44926</v>
      </c>
      <c r="H1659" t="s">
        <v>6819</v>
      </c>
      <c r="I1659" t="s">
        <v>57</v>
      </c>
      <c r="J1659" t="s">
        <v>90</v>
      </c>
      <c r="K1659">
        <v>1.5</v>
      </c>
      <c r="L1659">
        <v>1.5</v>
      </c>
      <c r="M1659">
        <v>1</v>
      </c>
      <c r="N1659">
        <v>1</v>
      </c>
      <c r="O1659" t="s">
        <v>5915</v>
      </c>
      <c r="P1659" t="s">
        <v>5915</v>
      </c>
      <c r="Q1659" t="s">
        <v>5041</v>
      </c>
      <c r="R1659">
        <v>2</v>
      </c>
      <c r="S1659">
        <v>2</v>
      </c>
    </row>
    <row r="1660" spans="1:19" hidden="1" x14ac:dyDescent="0.3">
      <c r="A1660" t="s">
        <v>2782</v>
      </c>
      <c r="B1660" t="s">
        <v>2410</v>
      </c>
      <c r="D1660" t="s">
        <v>3437</v>
      </c>
      <c r="E1660" t="s">
        <v>222</v>
      </c>
      <c r="F1660" t="s">
        <v>30</v>
      </c>
      <c r="G1660" s="6">
        <v>45291</v>
      </c>
      <c r="H1660" t="s">
        <v>6811</v>
      </c>
      <c r="I1660" t="s">
        <v>57</v>
      </c>
      <c r="J1660" t="s">
        <v>47</v>
      </c>
      <c r="K1660">
        <v>0.5</v>
      </c>
      <c r="L1660">
        <v>0.5</v>
      </c>
      <c r="M1660">
        <v>1</v>
      </c>
      <c r="N1660">
        <v>1</v>
      </c>
      <c r="O1660" t="s">
        <v>6546</v>
      </c>
      <c r="P1660" t="s">
        <v>6546</v>
      </c>
      <c r="Q1660" t="s">
        <v>5043</v>
      </c>
      <c r="R1660">
        <v>2</v>
      </c>
      <c r="S1660">
        <v>2</v>
      </c>
    </row>
    <row r="1661" spans="1:19" hidden="1" x14ac:dyDescent="0.3">
      <c r="A1661" t="s">
        <v>2782</v>
      </c>
      <c r="B1661" t="s">
        <v>2410</v>
      </c>
      <c r="D1661" t="s">
        <v>3437</v>
      </c>
      <c r="E1661" t="s">
        <v>222</v>
      </c>
      <c r="F1661" t="s">
        <v>30</v>
      </c>
      <c r="G1661" s="6">
        <v>45657</v>
      </c>
      <c r="H1661" t="s">
        <v>6816</v>
      </c>
      <c r="I1661" t="s">
        <v>57</v>
      </c>
      <c r="J1661" t="s">
        <v>78</v>
      </c>
      <c r="K1661">
        <v>0</v>
      </c>
      <c r="L1661">
        <v>0</v>
      </c>
      <c r="M1661">
        <v>0</v>
      </c>
      <c r="N1661">
        <v>0</v>
      </c>
      <c r="O1661" t="s">
        <v>122</v>
      </c>
      <c r="P1661" t="s">
        <v>122</v>
      </c>
      <c r="Q1661" t="s">
        <v>5045</v>
      </c>
      <c r="R1661">
        <v>2</v>
      </c>
      <c r="S1661">
        <v>2</v>
      </c>
    </row>
    <row r="1662" spans="1:19" hidden="1" x14ac:dyDescent="0.3">
      <c r="A1662" t="s">
        <v>311</v>
      </c>
      <c r="B1662" t="s">
        <v>2415</v>
      </c>
      <c r="D1662" t="s">
        <v>3437</v>
      </c>
      <c r="E1662" t="s">
        <v>222</v>
      </c>
      <c r="F1662" t="s">
        <v>30</v>
      </c>
      <c r="G1662" s="6">
        <v>44926</v>
      </c>
      <c r="H1662" t="s">
        <v>6819</v>
      </c>
      <c r="I1662" t="s">
        <v>57</v>
      </c>
      <c r="J1662" t="s">
        <v>90</v>
      </c>
      <c r="K1662">
        <v>2</v>
      </c>
      <c r="L1662">
        <v>2</v>
      </c>
      <c r="M1662">
        <v>1</v>
      </c>
      <c r="N1662">
        <v>1</v>
      </c>
      <c r="O1662" t="s">
        <v>569</v>
      </c>
      <c r="P1662" t="s">
        <v>569</v>
      </c>
      <c r="Q1662" t="s">
        <v>5047</v>
      </c>
      <c r="R1662">
        <v>2</v>
      </c>
      <c r="S1662">
        <v>2</v>
      </c>
    </row>
    <row r="1663" spans="1:19" hidden="1" x14ac:dyDescent="0.3">
      <c r="A1663" t="s">
        <v>311</v>
      </c>
      <c r="B1663" t="s">
        <v>2415</v>
      </c>
      <c r="D1663" t="s">
        <v>3437</v>
      </c>
      <c r="E1663" t="s">
        <v>222</v>
      </c>
      <c r="F1663" t="s">
        <v>30</v>
      </c>
      <c r="G1663" s="6">
        <v>45291</v>
      </c>
      <c r="H1663" t="s">
        <v>6811</v>
      </c>
      <c r="I1663" t="s">
        <v>57</v>
      </c>
      <c r="J1663" t="s">
        <v>47</v>
      </c>
      <c r="K1663">
        <v>0.5</v>
      </c>
      <c r="L1663">
        <v>0.5</v>
      </c>
      <c r="M1663">
        <v>1</v>
      </c>
      <c r="N1663">
        <v>1</v>
      </c>
      <c r="O1663" t="s">
        <v>6546</v>
      </c>
      <c r="P1663" t="s">
        <v>6546</v>
      </c>
      <c r="Q1663" t="s">
        <v>5049</v>
      </c>
      <c r="R1663">
        <v>2</v>
      </c>
      <c r="S1663">
        <v>2</v>
      </c>
    </row>
    <row r="1664" spans="1:19" hidden="1" x14ac:dyDescent="0.3">
      <c r="A1664" t="s">
        <v>311</v>
      </c>
      <c r="B1664" t="s">
        <v>2415</v>
      </c>
      <c r="D1664" t="s">
        <v>3437</v>
      </c>
      <c r="E1664" t="s">
        <v>222</v>
      </c>
      <c r="F1664" t="s">
        <v>30</v>
      </c>
      <c r="G1664" s="6">
        <v>45657</v>
      </c>
      <c r="H1664" t="s">
        <v>6816</v>
      </c>
      <c r="I1664" t="s">
        <v>57</v>
      </c>
      <c r="J1664" t="s">
        <v>78</v>
      </c>
      <c r="K1664">
        <v>2.5</v>
      </c>
      <c r="L1664">
        <v>2.5</v>
      </c>
      <c r="M1664">
        <v>1</v>
      </c>
      <c r="N1664">
        <v>1</v>
      </c>
      <c r="O1664" t="s">
        <v>4064</v>
      </c>
      <c r="P1664" t="s">
        <v>4064</v>
      </c>
      <c r="Q1664" t="s">
        <v>5051</v>
      </c>
      <c r="R1664">
        <v>2</v>
      </c>
      <c r="S1664">
        <v>2</v>
      </c>
    </row>
    <row r="1665" spans="1:19" hidden="1" x14ac:dyDescent="0.3">
      <c r="A1665" t="s">
        <v>5052</v>
      </c>
      <c r="B1665" t="s">
        <v>5053</v>
      </c>
      <c r="D1665" t="s">
        <v>3331</v>
      </c>
      <c r="E1665" t="s">
        <v>222</v>
      </c>
      <c r="F1665" t="s">
        <v>30</v>
      </c>
      <c r="G1665" s="6">
        <v>45291</v>
      </c>
      <c r="H1665" t="s">
        <v>6811</v>
      </c>
      <c r="I1665" t="s">
        <v>57</v>
      </c>
      <c r="J1665" t="s">
        <v>47</v>
      </c>
      <c r="K1665">
        <v>3828.5</v>
      </c>
      <c r="L1665">
        <v>3738.5</v>
      </c>
      <c r="M1665">
        <v>0.97649209873318532</v>
      </c>
      <c r="N1665">
        <v>0.97649209873318532</v>
      </c>
      <c r="O1665" t="s">
        <v>7626</v>
      </c>
      <c r="P1665" t="s">
        <v>7627</v>
      </c>
      <c r="Q1665" t="s">
        <v>5055</v>
      </c>
      <c r="R1665">
        <v>2</v>
      </c>
      <c r="S1665">
        <v>2</v>
      </c>
    </row>
    <row r="1666" spans="1:19" hidden="1" x14ac:dyDescent="0.3">
      <c r="A1666" t="s">
        <v>5052</v>
      </c>
      <c r="B1666" t="s">
        <v>5053</v>
      </c>
      <c r="D1666" t="s">
        <v>3331</v>
      </c>
      <c r="E1666" t="s">
        <v>222</v>
      </c>
      <c r="F1666" t="s">
        <v>30</v>
      </c>
      <c r="G1666" s="6">
        <v>45657</v>
      </c>
      <c r="H1666" t="s">
        <v>6816</v>
      </c>
      <c r="I1666" t="s">
        <v>57</v>
      </c>
      <c r="J1666" t="s">
        <v>78</v>
      </c>
      <c r="K1666">
        <v>2575</v>
      </c>
      <c r="L1666">
        <v>2624</v>
      </c>
      <c r="M1666">
        <v>1.019029126213592</v>
      </c>
      <c r="N1666">
        <v>1.019029126213592</v>
      </c>
      <c r="O1666" t="s">
        <v>6551</v>
      </c>
      <c r="P1666" t="s">
        <v>6552</v>
      </c>
      <c r="Q1666" t="s">
        <v>7628</v>
      </c>
      <c r="R1666">
        <v>2</v>
      </c>
      <c r="S1666">
        <v>2</v>
      </c>
    </row>
    <row r="1667" spans="1:19" hidden="1" x14ac:dyDescent="0.3">
      <c r="A1667" t="s">
        <v>5052</v>
      </c>
      <c r="B1667" t="s">
        <v>5053</v>
      </c>
      <c r="C1667" t="s">
        <v>6622</v>
      </c>
      <c r="D1667" t="s">
        <v>3331</v>
      </c>
      <c r="E1667" t="s">
        <v>222</v>
      </c>
      <c r="F1667" t="s">
        <v>30</v>
      </c>
      <c r="G1667" s="6">
        <v>45838</v>
      </c>
      <c r="H1667">
        <v>2025</v>
      </c>
      <c r="I1667" t="s">
        <v>44</v>
      </c>
      <c r="J1667" t="s">
        <v>244</v>
      </c>
      <c r="K1667">
        <v>2677</v>
      </c>
      <c r="L1667">
        <v>2764</v>
      </c>
      <c r="M1667">
        <v>1.0324990661187901</v>
      </c>
      <c r="N1667">
        <v>1.0324990661187901</v>
      </c>
      <c r="O1667" t="s">
        <v>118</v>
      </c>
      <c r="P1667" t="s">
        <v>118</v>
      </c>
      <c r="Q1667" t="s">
        <v>5057</v>
      </c>
      <c r="R1667">
        <v>0</v>
      </c>
      <c r="S1667">
        <v>0</v>
      </c>
    </row>
    <row r="1668" spans="1:19" hidden="1" x14ac:dyDescent="0.3">
      <c r="A1668" t="s">
        <v>5052</v>
      </c>
      <c r="B1668" t="s">
        <v>5053</v>
      </c>
      <c r="D1668" t="s">
        <v>3331</v>
      </c>
      <c r="E1668" t="s">
        <v>222</v>
      </c>
      <c r="F1668" t="s">
        <v>30</v>
      </c>
      <c r="G1668" s="6">
        <v>46022</v>
      </c>
      <c r="H1668" t="s">
        <v>6823</v>
      </c>
      <c r="I1668" t="s">
        <v>57</v>
      </c>
      <c r="J1668" t="s">
        <v>103</v>
      </c>
      <c r="K1668">
        <v>2677</v>
      </c>
      <c r="L1668">
        <v>2764</v>
      </c>
      <c r="M1668">
        <v>1.0324990661187901</v>
      </c>
      <c r="N1668">
        <v>1.0324990661187901</v>
      </c>
      <c r="O1668" t="s">
        <v>6553</v>
      </c>
      <c r="P1668" t="s">
        <v>6554</v>
      </c>
      <c r="Q1668" t="s">
        <v>7629</v>
      </c>
      <c r="R1668">
        <v>2</v>
      </c>
      <c r="S1668">
        <v>2</v>
      </c>
    </row>
    <row r="1669" spans="1:19" hidden="1" x14ac:dyDescent="0.3">
      <c r="A1669" t="s">
        <v>5058</v>
      </c>
      <c r="B1669" t="s">
        <v>5059</v>
      </c>
      <c r="D1669" t="s">
        <v>3331</v>
      </c>
      <c r="E1669" t="s">
        <v>222</v>
      </c>
      <c r="F1669" t="s">
        <v>30</v>
      </c>
      <c r="G1669" s="6">
        <v>45291</v>
      </c>
      <c r="H1669" t="s">
        <v>6811</v>
      </c>
      <c r="I1669" t="s">
        <v>57</v>
      </c>
      <c r="J1669" t="s">
        <v>47</v>
      </c>
      <c r="K1669">
        <v>777.5</v>
      </c>
      <c r="L1669">
        <v>774</v>
      </c>
      <c r="M1669">
        <v>0.99549839228295822</v>
      </c>
      <c r="N1669">
        <v>0.99549839228295822</v>
      </c>
      <c r="O1669" t="s">
        <v>7630</v>
      </c>
      <c r="P1669" t="s">
        <v>7631</v>
      </c>
      <c r="Q1669" t="s">
        <v>5061</v>
      </c>
      <c r="R1669">
        <v>2</v>
      </c>
      <c r="S1669">
        <v>2</v>
      </c>
    </row>
    <row r="1670" spans="1:19" hidden="1" x14ac:dyDescent="0.3">
      <c r="A1670" t="s">
        <v>5058</v>
      </c>
      <c r="B1670" t="s">
        <v>5059</v>
      </c>
      <c r="C1670" t="s">
        <v>6622</v>
      </c>
      <c r="D1670" t="s">
        <v>3331</v>
      </c>
      <c r="E1670" t="s">
        <v>222</v>
      </c>
      <c r="F1670" t="s">
        <v>30</v>
      </c>
      <c r="G1670" s="6">
        <v>45473</v>
      </c>
      <c r="H1670">
        <v>2024</v>
      </c>
      <c r="I1670" t="s">
        <v>44</v>
      </c>
      <c r="J1670" t="s">
        <v>71</v>
      </c>
      <c r="K1670">
        <v>570</v>
      </c>
      <c r="L1670">
        <v>545</v>
      </c>
      <c r="M1670">
        <v>0.95614035087719296</v>
      </c>
      <c r="N1670">
        <v>0.95614035087719296</v>
      </c>
      <c r="O1670" t="s">
        <v>118</v>
      </c>
      <c r="P1670" t="s">
        <v>118</v>
      </c>
      <c r="Q1670" t="s">
        <v>5062</v>
      </c>
      <c r="R1670">
        <v>0</v>
      </c>
      <c r="S1670">
        <v>0</v>
      </c>
    </row>
    <row r="1671" spans="1:19" hidden="1" x14ac:dyDescent="0.3">
      <c r="A1671" t="s">
        <v>5058</v>
      </c>
      <c r="B1671" t="s">
        <v>5059</v>
      </c>
      <c r="D1671" t="s">
        <v>3331</v>
      </c>
      <c r="E1671" t="s">
        <v>222</v>
      </c>
      <c r="F1671" t="s">
        <v>30</v>
      </c>
      <c r="G1671" s="6">
        <v>45657</v>
      </c>
      <c r="H1671" t="s">
        <v>6816</v>
      </c>
      <c r="I1671" t="s">
        <v>57</v>
      </c>
      <c r="J1671" t="s">
        <v>78</v>
      </c>
      <c r="K1671">
        <v>582</v>
      </c>
      <c r="L1671">
        <v>562</v>
      </c>
      <c r="M1671">
        <v>0.96563573883161513</v>
      </c>
      <c r="N1671">
        <v>0.96563573883161513</v>
      </c>
      <c r="O1671" t="s">
        <v>6557</v>
      </c>
      <c r="P1671" t="s">
        <v>6558</v>
      </c>
      <c r="Q1671" t="s">
        <v>7632</v>
      </c>
      <c r="R1671">
        <v>2</v>
      </c>
      <c r="S1671">
        <v>2</v>
      </c>
    </row>
    <row r="1672" spans="1:19" hidden="1" x14ac:dyDescent="0.3">
      <c r="A1672" t="s">
        <v>5063</v>
      </c>
      <c r="B1672" t="s">
        <v>5064</v>
      </c>
      <c r="D1672" t="s">
        <v>3331</v>
      </c>
      <c r="E1672" t="s">
        <v>222</v>
      </c>
      <c r="F1672" t="s">
        <v>30</v>
      </c>
      <c r="G1672" s="6">
        <v>45291</v>
      </c>
      <c r="H1672" t="s">
        <v>6811</v>
      </c>
      <c r="I1672" t="s">
        <v>57</v>
      </c>
      <c r="J1672" t="s">
        <v>47</v>
      </c>
      <c r="K1672">
        <v>22.5</v>
      </c>
      <c r="L1672">
        <v>20.5</v>
      </c>
      <c r="M1672">
        <v>0.91111111111111109</v>
      </c>
      <c r="N1672">
        <v>0.91111111111111109</v>
      </c>
      <c r="O1672" t="s">
        <v>7633</v>
      </c>
      <c r="P1672" t="s">
        <v>7107</v>
      </c>
      <c r="Q1672" t="s">
        <v>5066</v>
      </c>
      <c r="R1672">
        <v>2</v>
      </c>
      <c r="S1672">
        <v>2</v>
      </c>
    </row>
    <row r="1673" spans="1:19" hidden="1" x14ac:dyDescent="0.3">
      <c r="A1673" t="s">
        <v>5063</v>
      </c>
      <c r="B1673" t="s">
        <v>5064</v>
      </c>
      <c r="D1673" t="s">
        <v>3331</v>
      </c>
      <c r="E1673" t="s">
        <v>222</v>
      </c>
      <c r="F1673" t="s">
        <v>30</v>
      </c>
      <c r="G1673" s="6">
        <v>45657</v>
      </c>
      <c r="H1673" t="s">
        <v>6816</v>
      </c>
      <c r="I1673" t="s">
        <v>57</v>
      </c>
      <c r="J1673" t="s">
        <v>78</v>
      </c>
      <c r="K1673">
        <v>0</v>
      </c>
      <c r="L1673">
        <v>0</v>
      </c>
      <c r="M1673">
        <v>0</v>
      </c>
      <c r="N1673">
        <v>0</v>
      </c>
      <c r="O1673" t="s">
        <v>122</v>
      </c>
      <c r="P1673" t="s">
        <v>122</v>
      </c>
      <c r="Q1673" t="s">
        <v>7634</v>
      </c>
      <c r="R1673">
        <v>2</v>
      </c>
      <c r="S1673">
        <v>2</v>
      </c>
    </row>
    <row r="1674" spans="1:19" hidden="1" x14ac:dyDescent="0.3">
      <c r="A1674" t="s">
        <v>5068</v>
      </c>
      <c r="B1674" t="s">
        <v>5069</v>
      </c>
      <c r="D1674" t="s">
        <v>3331</v>
      </c>
      <c r="E1674" t="s">
        <v>222</v>
      </c>
      <c r="F1674" t="s">
        <v>30</v>
      </c>
      <c r="G1674" s="6">
        <v>45291</v>
      </c>
      <c r="H1674" t="s">
        <v>6811</v>
      </c>
      <c r="I1674" t="s">
        <v>57</v>
      </c>
      <c r="J1674" t="s">
        <v>47</v>
      </c>
      <c r="K1674">
        <v>800</v>
      </c>
      <c r="L1674">
        <v>794.5</v>
      </c>
      <c r="M1674">
        <v>0.99312500000000004</v>
      </c>
      <c r="N1674">
        <v>0.99312500000000004</v>
      </c>
      <c r="O1674" t="s">
        <v>1144</v>
      </c>
      <c r="P1674" t="s">
        <v>7635</v>
      </c>
      <c r="Q1674" t="s">
        <v>5071</v>
      </c>
      <c r="R1674">
        <v>2</v>
      </c>
      <c r="S1674">
        <v>2</v>
      </c>
    </row>
    <row r="1675" spans="1:19" hidden="1" x14ac:dyDescent="0.3">
      <c r="A1675" t="s">
        <v>5068</v>
      </c>
      <c r="B1675" t="s">
        <v>5069</v>
      </c>
      <c r="D1675" t="s">
        <v>3331</v>
      </c>
      <c r="E1675" t="s">
        <v>222</v>
      </c>
      <c r="F1675" t="s">
        <v>30</v>
      </c>
      <c r="G1675" s="6">
        <v>45657</v>
      </c>
      <c r="H1675" t="s">
        <v>6816</v>
      </c>
      <c r="I1675" t="s">
        <v>57</v>
      </c>
      <c r="J1675" t="s">
        <v>78</v>
      </c>
      <c r="K1675">
        <v>582</v>
      </c>
      <c r="L1675">
        <v>562</v>
      </c>
      <c r="M1675">
        <v>0.96563573883161513</v>
      </c>
      <c r="N1675">
        <v>0.96563573883161513</v>
      </c>
      <c r="O1675" t="s">
        <v>6557</v>
      </c>
      <c r="P1675" t="s">
        <v>6558</v>
      </c>
      <c r="Q1675" t="s">
        <v>7636</v>
      </c>
      <c r="R1675">
        <v>2</v>
      </c>
      <c r="S1675">
        <v>2</v>
      </c>
    </row>
    <row r="1676" spans="1:19" hidden="1" x14ac:dyDescent="0.3">
      <c r="A1676" t="s">
        <v>5068</v>
      </c>
      <c r="B1676" t="s">
        <v>5069</v>
      </c>
      <c r="C1676" t="s">
        <v>6622</v>
      </c>
      <c r="D1676" t="s">
        <v>3331</v>
      </c>
      <c r="E1676" t="s">
        <v>222</v>
      </c>
      <c r="F1676" t="s">
        <v>30</v>
      </c>
      <c r="G1676" s="6">
        <v>45838</v>
      </c>
      <c r="H1676">
        <v>2025</v>
      </c>
      <c r="I1676" t="s">
        <v>44</v>
      </c>
      <c r="J1676" t="s">
        <v>244</v>
      </c>
      <c r="K1676">
        <v>582</v>
      </c>
      <c r="L1676">
        <v>562</v>
      </c>
      <c r="M1676">
        <v>0.96563573883161513</v>
      </c>
      <c r="N1676">
        <v>0.96563573883161513</v>
      </c>
      <c r="O1676" t="s">
        <v>118</v>
      </c>
      <c r="P1676" t="s">
        <v>118</v>
      </c>
      <c r="Q1676" t="s">
        <v>5073</v>
      </c>
      <c r="R1676">
        <v>0</v>
      </c>
      <c r="S1676">
        <v>0</v>
      </c>
    </row>
    <row r="1677" spans="1:19" hidden="1" x14ac:dyDescent="0.3">
      <c r="A1677" t="s">
        <v>5068</v>
      </c>
      <c r="B1677" t="s">
        <v>5069</v>
      </c>
      <c r="D1677" t="s">
        <v>3331</v>
      </c>
      <c r="E1677" t="s">
        <v>222</v>
      </c>
      <c r="F1677" t="s">
        <v>30</v>
      </c>
      <c r="G1677" s="6">
        <v>46022</v>
      </c>
      <c r="H1677" t="s">
        <v>6823</v>
      </c>
      <c r="I1677" t="s">
        <v>57</v>
      </c>
      <c r="J1677" t="s">
        <v>103</v>
      </c>
      <c r="K1677">
        <v>582</v>
      </c>
      <c r="L1677">
        <v>562</v>
      </c>
      <c r="M1677">
        <v>0.96563573883161513</v>
      </c>
      <c r="N1677">
        <v>0.96563573883161513</v>
      </c>
      <c r="O1677" t="s">
        <v>6557</v>
      </c>
      <c r="P1677" t="s">
        <v>6558</v>
      </c>
      <c r="Q1677" t="s">
        <v>7637</v>
      </c>
      <c r="R1677">
        <v>2</v>
      </c>
      <c r="S1677">
        <v>2</v>
      </c>
    </row>
    <row r="1678" spans="1:19" hidden="1" x14ac:dyDescent="0.3">
      <c r="A1678" t="s">
        <v>5074</v>
      </c>
      <c r="B1678" t="s">
        <v>5075</v>
      </c>
      <c r="D1678" t="s">
        <v>3331</v>
      </c>
      <c r="E1678" t="s">
        <v>222</v>
      </c>
      <c r="F1678" t="s">
        <v>30</v>
      </c>
      <c r="G1678" s="6">
        <v>45291</v>
      </c>
      <c r="H1678" t="s">
        <v>6811</v>
      </c>
      <c r="I1678" t="s">
        <v>57</v>
      </c>
      <c r="J1678" t="s">
        <v>47</v>
      </c>
      <c r="K1678">
        <v>3021.5</v>
      </c>
      <c r="L1678">
        <v>2926</v>
      </c>
      <c r="M1678">
        <v>0.96839318219427439</v>
      </c>
      <c r="N1678">
        <v>0.96839318219427439</v>
      </c>
      <c r="O1678" t="s">
        <v>7638</v>
      </c>
      <c r="P1678" t="s">
        <v>7639</v>
      </c>
      <c r="Q1678" t="s">
        <v>5077</v>
      </c>
      <c r="R1678">
        <v>2</v>
      </c>
      <c r="S1678">
        <v>2</v>
      </c>
    </row>
    <row r="1679" spans="1:19" hidden="1" x14ac:dyDescent="0.3">
      <c r="A1679" t="s">
        <v>5074</v>
      </c>
      <c r="B1679" t="s">
        <v>5075</v>
      </c>
      <c r="D1679" t="s">
        <v>3331</v>
      </c>
      <c r="E1679" t="s">
        <v>222</v>
      </c>
      <c r="F1679" t="s">
        <v>30</v>
      </c>
      <c r="G1679" s="6">
        <v>45657</v>
      </c>
      <c r="H1679" t="s">
        <v>6816</v>
      </c>
      <c r="I1679" t="s">
        <v>57</v>
      </c>
      <c r="J1679" t="s">
        <v>78</v>
      </c>
      <c r="K1679">
        <v>1992.779485500268</v>
      </c>
      <c r="L1679">
        <v>2062</v>
      </c>
      <c r="M1679">
        <v>1.03473566192516</v>
      </c>
      <c r="N1679">
        <v>1.03473566192516</v>
      </c>
      <c r="O1679" t="s">
        <v>6567</v>
      </c>
      <c r="P1679" t="s">
        <v>6568</v>
      </c>
      <c r="Q1679" t="s">
        <v>7640</v>
      </c>
      <c r="R1679">
        <v>2</v>
      </c>
      <c r="S1679">
        <v>2</v>
      </c>
    </row>
    <row r="1680" spans="1:19" hidden="1" x14ac:dyDescent="0.3">
      <c r="A1680" t="s">
        <v>5074</v>
      </c>
      <c r="B1680" t="s">
        <v>5079</v>
      </c>
      <c r="C1680" t="s">
        <v>6622</v>
      </c>
      <c r="D1680" t="s">
        <v>3331</v>
      </c>
      <c r="E1680" t="s">
        <v>222</v>
      </c>
      <c r="F1680" t="s">
        <v>30</v>
      </c>
      <c r="G1680" s="6">
        <v>45838</v>
      </c>
      <c r="H1680">
        <v>2025</v>
      </c>
      <c r="I1680" t="s">
        <v>44</v>
      </c>
      <c r="J1680" t="s">
        <v>244</v>
      </c>
      <c r="K1680">
        <v>2107</v>
      </c>
      <c r="L1680">
        <v>2219</v>
      </c>
      <c r="M1680">
        <v>1.0531561461794019</v>
      </c>
      <c r="N1680">
        <v>1.0531561461794019</v>
      </c>
      <c r="O1680" t="s">
        <v>118</v>
      </c>
      <c r="P1680" t="s">
        <v>118</v>
      </c>
      <c r="Q1680" t="s">
        <v>5080</v>
      </c>
      <c r="R1680">
        <v>0</v>
      </c>
      <c r="S1680">
        <v>0</v>
      </c>
    </row>
    <row r="1681" spans="1:19" hidden="1" x14ac:dyDescent="0.3">
      <c r="A1681" t="s">
        <v>5074</v>
      </c>
      <c r="B1681" t="s">
        <v>5079</v>
      </c>
      <c r="D1681" t="s">
        <v>3331</v>
      </c>
      <c r="E1681" t="s">
        <v>222</v>
      </c>
      <c r="F1681" t="s">
        <v>30</v>
      </c>
      <c r="G1681" s="6">
        <v>46022</v>
      </c>
      <c r="H1681" t="s">
        <v>6823</v>
      </c>
      <c r="I1681" t="s">
        <v>57</v>
      </c>
      <c r="J1681" t="s">
        <v>103</v>
      </c>
      <c r="K1681">
        <v>2107</v>
      </c>
      <c r="L1681">
        <v>2219</v>
      </c>
      <c r="M1681">
        <v>1.0531561461794019</v>
      </c>
      <c r="N1681">
        <v>1.0531561461794019</v>
      </c>
      <c r="O1681" t="s">
        <v>6569</v>
      </c>
      <c r="P1681" t="s">
        <v>6570</v>
      </c>
      <c r="Q1681" t="s">
        <v>7641</v>
      </c>
      <c r="R1681">
        <v>2</v>
      </c>
      <c r="S1681">
        <v>2</v>
      </c>
    </row>
    <row r="1682" spans="1:19" hidden="1" x14ac:dyDescent="0.3">
      <c r="A1682" t="s">
        <v>5081</v>
      </c>
      <c r="B1682" t="s">
        <v>5082</v>
      </c>
      <c r="D1682" t="s">
        <v>3331</v>
      </c>
      <c r="E1682" t="s">
        <v>222</v>
      </c>
      <c r="F1682" t="s">
        <v>30</v>
      </c>
      <c r="G1682" s="6">
        <v>45291</v>
      </c>
      <c r="H1682" t="s">
        <v>6811</v>
      </c>
      <c r="I1682" t="s">
        <v>57</v>
      </c>
      <c r="J1682" t="s">
        <v>47</v>
      </c>
      <c r="K1682">
        <v>3732408417.5</v>
      </c>
      <c r="L1682">
        <v>3399852215</v>
      </c>
      <c r="M1682">
        <v>0.91090037174368255</v>
      </c>
      <c r="N1682">
        <v>0.91090037174368255</v>
      </c>
      <c r="O1682" t="s">
        <v>7642</v>
      </c>
      <c r="P1682" t="s">
        <v>7643</v>
      </c>
      <c r="Q1682" t="s">
        <v>5084</v>
      </c>
      <c r="R1682">
        <v>2</v>
      </c>
      <c r="S1682">
        <v>2</v>
      </c>
    </row>
    <row r="1683" spans="1:19" hidden="1" x14ac:dyDescent="0.3">
      <c r="A1683" t="s">
        <v>5081</v>
      </c>
      <c r="B1683" t="s">
        <v>5082</v>
      </c>
      <c r="D1683" t="s">
        <v>3331</v>
      </c>
      <c r="E1683" t="s">
        <v>222</v>
      </c>
      <c r="F1683" t="s">
        <v>30</v>
      </c>
      <c r="G1683" s="6">
        <v>45657</v>
      </c>
      <c r="H1683" t="s">
        <v>6816</v>
      </c>
      <c r="I1683" t="s">
        <v>57</v>
      </c>
      <c r="J1683" t="s">
        <v>78</v>
      </c>
      <c r="K1683">
        <v>8924.4965414416911</v>
      </c>
      <c r="L1683">
        <v>10555.383198</v>
      </c>
      <c r="M1683">
        <v>1.1827427069958669</v>
      </c>
      <c r="N1683">
        <v>1.1827427069958669</v>
      </c>
      <c r="O1683" t="s">
        <v>6575</v>
      </c>
      <c r="P1683" t="s">
        <v>6576</v>
      </c>
      <c r="Q1683" t="s">
        <v>7644</v>
      </c>
      <c r="R1683">
        <v>2</v>
      </c>
      <c r="S1683">
        <v>2</v>
      </c>
    </row>
    <row r="1684" spans="1:19" hidden="1" x14ac:dyDescent="0.3">
      <c r="A1684" t="s">
        <v>5081</v>
      </c>
      <c r="B1684" t="s">
        <v>5082</v>
      </c>
      <c r="C1684" t="s">
        <v>6622</v>
      </c>
      <c r="D1684" t="s">
        <v>3331</v>
      </c>
      <c r="E1684" t="s">
        <v>222</v>
      </c>
      <c r="F1684" t="s">
        <v>30</v>
      </c>
      <c r="G1684" s="6">
        <v>45838</v>
      </c>
      <c r="H1684">
        <v>2025</v>
      </c>
      <c r="I1684" t="s">
        <v>44</v>
      </c>
      <c r="J1684" t="s">
        <v>244</v>
      </c>
      <c r="K1684">
        <v>100</v>
      </c>
      <c r="L1684">
        <v>107.61</v>
      </c>
      <c r="M1684">
        <v>1.0761000000000001</v>
      </c>
      <c r="N1684">
        <v>1.0761000000000001</v>
      </c>
      <c r="O1684" t="s">
        <v>31</v>
      </c>
      <c r="P1684" t="s">
        <v>31</v>
      </c>
      <c r="Q1684" t="s">
        <v>5086</v>
      </c>
      <c r="R1684">
        <v>0</v>
      </c>
      <c r="S1684">
        <v>0</v>
      </c>
    </row>
    <row r="1685" spans="1:19" hidden="1" x14ac:dyDescent="0.3">
      <c r="A1685" t="s">
        <v>5081</v>
      </c>
      <c r="B1685" t="s">
        <v>5082</v>
      </c>
      <c r="D1685" t="s">
        <v>3331</v>
      </c>
      <c r="E1685" t="s">
        <v>222</v>
      </c>
      <c r="F1685" t="s">
        <v>30</v>
      </c>
      <c r="G1685" s="6">
        <v>46022</v>
      </c>
      <c r="H1685" t="s">
        <v>6823</v>
      </c>
      <c r="I1685" t="s">
        <v>57</v>
      </c>
      <c r="J1685" t="s">
        <v>103</v>
      </c>
      <c r="K1685">
        <v>100</v>
      </c>
      <c r="L1685">
        <v>107.61</v>
      </c>
      <c r="M1685">
        <v>1.0761000000000001</v>
      </c>
      <c r="N1685">
        <v>1.0761000000000001</v>
      </c>
      <c r="O1685" t="s">
        <v>102</v>
      </c>
      <c r="P1685" t="s">
        <v>6577</v>
      </c>
      <c r="Q1685" t="s">
        <v>7645</v>
      </c>
      <c r="R1685">
        <v>2</v>
      </c>
      <c r="S1685">
        <v>2</v>
      </c>
    </row>
    <row r="1686" spans="1:19" hidden="1" x14ac:dyDescent="0.3">
      <c r="A1686" t="s">
        <v>5087</v>
      </c>
      <c r="B1686" t="s">
        <v>5088</v>
      </c>
      <c r="D1686" t="s">
        <v>3331</v>
      </c>
      <c r="E1686" t="s">
        <v>222</v>
      </c>
      <c r="F1686" t="s">
        <v>30</v>
      </c>
      <c r="G1686" s="6">
        <v>45291</v>
      </c>
      <c r="H1686" t="s">
        <v>6811</v>
      </c>
      <c r="I1686" t="s">
        <v>57</v>
      </c>
      <c r="J1686" t="s">
        <v>47</v>
      </c>
      <c r="K1686">
        <v>155048038.5</v>
      </c>
      <c r="L1686">
        <v>153409733.5</v>
      </c>
      <c r="M1686">
        <v>0.98943356513342795</v>
      </c>
      <c r="N1686">
        <v>0.98943356513342795</v>
      </c>
      <c r="O1686" t="s">
        <v>7646</v>
      </c>
      <c r="P1686" t="s">
        <v>7647</v>
      </c>
      <c r="Q1686" t="s">
        <v>5090</v>
      </c>
      <c r="R1686">
        <v>2</v>
      </c>
      <c r="S1686">
        <v>2</v>
      </c>
    </row>
    <row r="1687" spans="1:19" hidden="1" x14ac:dyDescent="0.3">
      <c r="A1687" t="s">
        <v>5087</v>
      </c>
      <c r="B1687" t="s">
        <v>5088</v>
      </c>
      <c r="D1687" t="s">
        <v>3331</v>
      </c>
      <c r="E1687" t="s">
        <v>222</v>
      </c>
      <c r="F1687" t="s">
        <v>30</v>
      </c>
      <c r="G1687" s="6">
        <v>45657</v>
      </c>
      <c r="H1687" t="s">
        <v>6816</v>
      </c>
      <c r="I1687" t="s">
        <v>57</v>
      </c>
      <c r="J1687" t="s">
        <v>78</v>
      </c>
      <c r="K1687">
        <v>1028.02888967371</v>
      </c>
      <c r="L1687">
        <v>1782.0250679999999</v>
      </c>
      <c r="M1687">
        <v>1.3</v>
      </c>
      <c r="N1687">
        <v>1.7334387057601111</v>
      </c>
      <c r="O1687" t="s">
        <v>6581</v>
      </c>
      <c r="P1687" t="s">
        <v>6582</v>
      </c>
      <c r="Q1687" t="s">
        <v>7648</v>
      </c>
      <c r="R1687">
        <v>2</v>
      </c>
      <c r="S1687">
        <v>2</v>
      </c>
    </row>
    <row r="1688" spans="1:19" hidden="1" x14ac:dyDescent="0.3">
      <c r="A1688" t="s">
        <v>5087</v>
      </c>
      <c r="B1688" t="s">
        <v>5088</v>
      </c>
      <c r="C1688" t="s">
        <v>6622</v>
      </c>
      <c r="D1688" t="s">
        <v>3331</v>
      </c>
      <c r="E1688" t="s">
        <v>222</v>
      </c>
      <c r="F1688" t="s">
        <v>30</v>
      </c>
      <c r="G1688" s="6">
        <v>45838</v>
      </c>
      <c r="H1688">
        <v>2025</v>
      </c>
      <c r="I1688" t="s">
        <v>44</v>
      </c>
      <c r="J1688" t="s">
        <v>244</v>
      </c>
      <c r="K1688">
        <v>100</v>
      </c>
      <c r="L1688">
        <v>143.04</v>
      </c>
      <c r="M1688">
        <v>1.3</v>
      </c>
      <c r="N1688">
        <v>1.4303999999999999</v>
      </c>
      <c r="O1688" t="s">
        <v>31</v>
      </c>
      <c r="P1688" t="s">
        <v>31</v>
      </c>
      <c r="Q1688" t="s">
        <v>5092</v>
      </c>
      <c r="R1688">
        <v>0</v>
      </c>
      <c r="S1688">
        <v>0</v>
      </c>
    </row>
    <row r="1689" spans="1:19" hidden="1" x14ac:dyDescent="0.3">
      <c r="A1689" t="s">
        <v>5087</v>
      </c>
      <c r="B1689" t="s">
        <v>5088</v>
      </c>
      <c r="D1689" t="s">
        <v>3331</v>
      </c>
      <c r="E1689" t="s">
        <v>222</v>
      </c>
      <c r="F1689" t="s">
        <v>30</v>
      </c>
      <c r="G1689" s="6">
        <v>46022</v>
      </c>
      <c r="H1689" t="s">
        <v>6823</v>
      </c>
      <c r="I1689" t="s">
        <v>57</v>
      </c>
      <c r="J1689" t="s">
        <v>103</v>
      </c>
      <c r="K1689">
        <v>100</v>
      </c>
      <c r="L1689">
        <v>143.04</v>
      </c>
      <c r="M1689">
        <v>1.3</v>
      </c>
      <c r="N1689">
        <v>1.4303999999999999</v>
      </c>
      <c r="O1689" t="s">
        <v>102</v>
      </c>
      <c r="P1689" t="s">
        <v>6583</v>
      </c>
      <c r="Q1689" t="s">
        <v>7649</v>
      </c>
      <c r="R1689">
        <v>2</v>
      </c>
      <c r="S1689">
        <v>2</v>
      </c>
    </row>
    <row r="1690" spans="1:19" hidden="1" x14ac:dyDescent="0.3">
      <c r="A1690" t="s">
        <v>5093</v>
      </c>
      <c r="B1690" t="s">
        <v>5094</v>
      </c>
      <c r="D1690" t="s">
        <v>3331</v>
      </c>
      <c r="E1690" t="s">
        <v>222</v>
      </c>
      <c r="F1690" t="s">
        <v>30</v>
      </c>
      <c r="G1690" s="6">
        <v>45291</v>
      </c>
      <c r="H1690" t="s">
        <v>6811</v>
      </c>
      <c r="I1690" t="s">
        <v>57</v>
      </c>
      <c r="J1690" t="s">
        <v>47</v>
      </c>
      <c r="K1690">
        <v>8320861622</v>
      </c>
      <c r="L1690">
        <v>7224513910</v>
      </c>
      <c r="M1690">
        <v>0.86824108345927731</v>
      </c>
      <c r="N1690">
        <v>0.86824108345927731</v>
      </c>
      <c r="O1690" t="s">
        <v>6584</v>
      </c>
      <c r="P1690" t="s">
        <v>6585</v>
      </c>
      <c r="Q1690" t="s">
        <v>7650</v>
      </c>
      <c r="R1690">
        <v>2</v>
      </c>
      <c r="S1690">
        <v>2</v>
      </c>
    </row>
    <row r="1691" spans="1:19" hidden="1" x14ac:dyDescent="0.3">
      <c r="A1691" t="s">
        <v>5096</v>
      </c>
      <c r="B1691" t="s">
        <v>5097</v>
      </c>
      <c r="D1691" t="s">
        <v>3331</v>
      </c>
      <c r="E1691" t="s">
        <v>222</v>
      </c>
      <c r="F1691" t="s">
        <v>30</v>
      </c>
      <c r="G1691" s="6">
        <v>45291</v>
      </c>
      <c r="H1691" t="s">
        <v>6811</v>
      </c>
      <c r="I1691" t="s">
        <v>57</v>
      </c>
      <c r="J1691" t="s">
        <v>47</v>
      </c>
      <c r="K1691">
        <v>97.5</v>
      </c>
      <c r="L1691">
        <v>96.5</v>
      </c>
      <c r="M1691">
        <v>0.98974358974358978</v>
      </c>
      <c r="N1691">
        <v>0.98974358974358978</v>
      </c>
      <c r="O1691" t="s">
        <v>7480</v>
      </c>
      <c r="P1691" t="s">
        <v>6500</v>
      </c>
      <c r="Q1691" t="s">
        <v>5099</v>
      </c>
      <c r="R1691">
        <v>2</v>
      </c>
      <c r="S1691">
        <v>2</v>
      </c>
    </row>
    <row r="1692" spans="1:19" hidden="1" x14ac:dyDescent="0.3">
      <c r="A1692" t="s">
        <v>5100</v>
      </c>
      <c r="B1692" t="s">
        <v>5101</v>
      </c>
      <c r="D1692" t="s">
        <v>3331</v>
      </c>
      <c r="E1692" t="s">
        <v>222</v>
      </c>
      <c r="F1692" t="s">
        <v>30</v>
      </c>
      <c r="G1692" s="6">
        <v>45291</v>
      </c>
      <c r="H1692" t="s">
        <v>6811</v>
      </c>
      <c r="I1692" t="s">
        <v>57</v>
      </c>
      <c r="J1692" t="s">
        <v>47</v>
      </c>
      <c r="K1692">
        <v>80</v>
      </c>
      <c r="L1692">
        <v>76</v>
      </c>
      <c r="M1692">
        <v>0.95</v>
      </c>
      <c r="N1692">
        <v>0.95</v>
      </c>
      <c r="O1692" t="s">
        <v>193</v>
      </c>
      <c r="P1692" t="s">
        <v>5576</v>
      </c>
      <c r="Q1692" t="s">
        <v>5103</v>
      </c>
      <c r="R1692">
        <v>2</v>
      </c>
      <c r="S1692">
        <v>2</v>
      </c>
    </row>
    <row r="1693" spans="1:19" hidden="1" x14ac:dyDescent="0.3">
      <c r="A1693" t="s">
        <v>5100</v>
      </c>
      <c r="B1693" t="s">
        <v>5101</v>
      </c>
      <c r="D1693" t="s">
        <v>3331</v>
      </c>
      <c r="E1693" t="s">
        <v>222</v>
      </c>
      <c r="F1693" t="s">
        <v>30</v>
      </c>
      <c r="G1693" s="6">
        <v>45657</v>
      </c>
      <c r="H1693" t="s">
        <v>6816</v>
      </c>
      <c r="I1693" t="s">
        <v>57</v>
      </c>
      <c r="J1693" t="s">
        <v>78</v>
      </c>
      <c r="K1693">
        <v>65.95</v>
      </c>
      <c r="L1693">
        <v>62.83</v>
      </c>
      <c r="M1693">
        <v>0.95269143290371483</v>
      </c>
      <c r="N1693">
        <v>0.95269143290371483</v>
      </c>
      <c r="O1693" t="s">
        <v>6241</v>
      </c>
      <c r="P1693" t="s">
        <v>6242</v>
      </c>
      <c r="Q1693" t="s">
        <v>7651</v>
      </c>
      <c r="R1693">
        <v>2</v>
      </c>
      <c r="S1693">
        <v>2</v>
      </c>
    </row>
    <row r="1694" spans="1:19" hidden="1" x14ac:dyDescent="0.3">
      <c r="A1694" t="s">
        <v>5100</v>
      </c>
      <c r="B1694" t="s">
        <v>5101</v>
      </c>
      <c r="C1694" t="s">
        <v>6622</v>
      </c>
      <c r="D1694" t="s">
        <v>3331</v>
      </c>
      <c r="E1694" t="s">
        <v>222</v>
      </c>
      <c r="F1694" t="s">
        <v>30</v>
      </c>
      <c r="G1694" s="6">
        <v>45838</v>
      </c>
      <c r="H1694">
        <v>2025</v>
      </c>
      <c r="I1694" t="s">
        <v>44</v>
      </c>
      <c r="J1694" t="s">
        <v>244</v>
      </c>
      <c r="K1694">
        <v>69</v>
      </c>
      <c r="L1694">
        <v>47</v>
      </c>
      <c r="M1694">
        <v>0.6811594202898551</v>
      </c>
      <c r="N1694">
        <v>0.6811594202898551</v>
      </c>
      <c r="O1694" t="s">
        <v>31</v>
      </c>
      <c r="P1694" t="s">
        <v>31</v>
      </c>
      <c r="Q1694" t="s">
        <v>5105</v>
      </c>
      <c r="R1694">
        <v>0</v>
      </c>
      <c r="S1694">
        <v>0</v>
      </c>
    </row>
    <row r="1695" spans="1:19" hidden="1" x14ac:dyDescent="0.3">
      <c r="A1695" t="s">
        <v>5100</v>
      </c>
      <c r="B1695" t="s">
        <v>5101</v>
      </c>
      <c r="D1695" t="s">
        <v>3331</v>
      </c>
      <c r="E1695" t="s">
        <v>222</v>
      </c>
      <c r="F1695" t="s">
        <v>30</v>
      </c>
      <c r="G1695" s="6">
        <v>46022</v>
      </c>
      <c r="H1695" t="s">
        <v>6823</v>
      </c>
      <c r="I1695" t="s">
        <v>57</v>
      </c>
      <c r="J1695" t="s">
        <v>103</v>
      </c>
      <c r="K1695">
        <v>69</v>
      </c>
      <c r="L1695">
        <v>47</v>
      </c>
      <c r="M1695">
        <v>0.6811594202898551</v>
      </c>
      <c r="N1695">
        <v>0.6811594202898551</v>
      </c>
      <c r="O1695" t="s">
        <v>5599</v>
      </c>
      <c r="P1695" t="s">
        <v>5369</v>
      </c>
      <c r="Q1695" t="s">
        <v>7652</v>
      </c>
      <c r="R1695">
        <v>2</v>
      </c>
      <c r="S1695">
        <v>2</v>
      </c>
    </row>
    <row r="1696" spans="1:19" hidden="1" x14ac:dyDescent="0.3">
      <c r="A1696" t="s">
        <v>5106</v>
      </c>
      <c r="B1696" t="s">
        <v>5107</v>
      </c>
      <c r="D1696" t="s">
        <v>3331</v>
      </c>
      <c r="E1696" t="s">
        <v>222</v>
      </c>
      <c r="F1696" t="s">
        <v>30</v>
      </c>
      <c r="G1696" s="6">
        <v>45291</v>
      </c>
      <c r="H1696" t="s">
        <v>6811</v>
      </c>
      <c r="I1696" t="s">
        <v>57</v>
      </c>
      <c r="J1696" t="s">
        <v>47</v>
      </c>
      <c r="K1696">
        <v>2</v>
      </c>
      <c r="L1696">
        <v>2</v>
      </c>
      <c r="M1696">
        <v>1</v>
      </c>
      <c r="N1696">
        <v>1</v>
      </c>
      <c r="O1696" t="s">
        <v>569</v>
      </c>
      <c r="P1696" t="s">
        <v>569</v>
      </c>
      <c r="Q1696" t="s">
        <v>5109</v>
      </c>
      <c r="R1696">
        <v>2</v>
      </c>
      <c r="S1696">
        <v>2</v>
      </c>
    </row>
    <row r="1697" spans="1:19" hidden="1" x14ac:dyDescent="0.3">
      <c r="A1697" t="s">
        <v>5110</v>
      </c>
      <c r="B1697" t="s">
        <v>5111</v>
      </c>
      <c r="D1697" t="s">
        <v>3331</v>
      </c>
      <c r="E1697" t="s">
        <v>222</v>
      </c>
      <c r="F1697" t="s">
        <v>30</v>
      </c>
      <c r="G1697" s="6">
        <v>45291</v>
      </c>
      <c r="H1697" t="s">
        <v>6811</v>
      </c>
      <c r="I1697" t="s">
        <v>57</v>
      </c>
      <c r="J1697" t="s">
        <v>47</v>
      </c>
      <c r="K1697">
        <v>66.75</v>
      </c>
      <c r="L1697">
        <v>63.05</v>
      </c>
      <c r="M1697">
        <v>0.94456928838951304</v>
      </c>
      <c r="N1697">
        <v>0.94456928838951304</v>
      </c>
      <c r="O1697" t="s">
        <v>7077</v>
      </c>
      <c r="P1697" t="s">
        <v>7653</v>
      </c>
      <c r="Q1697" t="s">
        <v>5113</v>
      </c>
      <c r="R1697">
        <v>2</v>
      </c>
      <c r="S1697">
        <v>2</v>
      </c>
    </row>
    <row r="1698" spans="1:19" hidden="1" x14ac:dyDescent="0.3">
      <c r="A1698" t="s">
        <v>5114</v>
      </c>
      <c r="B1698" t="s">
        <v>5115</v>
      </c>
      <c r="D1698" t="s">
        <v>3331</v>
      </c>
      <c r="E1698" t="s">
        <v>222</v>
      </c>
      <c r="F1698" t="s">
        <v>30</v>
      </c>
      <c r="G1698" s="6">
        <v>45291</v>
      </c>
      <c r="H1698" t="s">
        <v>6811</v>
      </c>
      <c r="I1698" t="s">
        <v>57</v>
      </c>
      <c r="J1698" t="s">
        <v>47</v>
      </c>
      <c r="K1698">
        <v>3783</v>
      </c>
      <c r="L1698">
        <v>3692.5</v>
      </c>
      <c r="M1698">
        <v>0.97607718741739358</v>
      </c>
      <c r="N1698">
        <v>0.97607718741739358</v>
      </c>
      <c r="O1698" t="s">
        <v>7654</v>
      </c>
      <c r="P1698" t="s">
        <v>7655</v>
      </c>
      <c r="Q1698" t="s">
        <v>5117</v>
      </c>
      <c r="R1698">
        <v>2</v>
      </c>
      <c r="S1698">
        <v>2</v>
      </c>
    </row>
    <row r="1699" spans="1:19" hidden="1" x14ac:dyDescent="0.3">
      <c r="A1699" t="s">
        <v>5118</v>
      </c>
      <c r="B1699" t="s">
        <v>5119</v>
      </c>
      <c r="D1699" t="s">
        <v>3331</v>
      </c>
      <c r="E1699" t="s">
        <v>222</v>
      </c>
      <c r="F1699" t="s">
        <v>30</v>
      </c>
      <c r="G1699" s="6">
        <v>45291</v>
      </c>
      <c r="H1699" t="s">
        <v>6811</v>
      </c>
      <c r="I1699" t="s">
        <v>57</v>
      </c>
      <c r="J1699" t="s">
        <v>47</v>
      </c>
      <c r="K1699">
        <v>2377</v>
      </c>
      <c r="L1699">
        <v>2501</v>
      </c>
      <c r="M1699">
        <v>1.052166596550274</v>
      </c>
      <c r="N1699">
        <v>1.052166596550274</v>
      </c>
      <c r="O1699" t="s">
        <v>7656</v>
      </c>
      <c r="P1699" t="s">
        <v>7657</v>
      </c>
      <c r="Q1699" t="s">
        <v>5121</v>
      </c>
      <c r="R1699">
        <v>2</v>
      </c>
      <c r="S1699">
        <v>2</v>
      </c>
    </row>
    <row r="1700" spans="1:19" hidden="1" x14ac:dyDescent="0.3">
      <c r="A1700" t="s">
        <v>5122</v>
      </c>
      <c r="B1700" t="s">
        <v>5123</v>
      </c>
      <c r="D1700" t="s">
        <v>3331</v>
      </c>
      <c r="E1700" t="s">
        <v>222</v>
      </c>
      <c r="F1700" t="s">
        <v>30</v>
      </c>
      <c r="G1700" s="6">
        <v>45291</v>
      </c>
      <c r="H1700" t="s">
        <v>6811</v>
      </c>
      <c r="I1700" t="s">
        <v>57</v>
      </c>
      <c r="J1700" t="s">
        <v>47</v>
      </c>
      <c r="K1700">
        <v>7828.5</v>
      </c>
      <c r="L1700">
        <v>7386</v>
      </c>
      <c r="M1700">
        <v>0.943475761640161</v>
      </c>
      <c r="N1700">
        <v>0.943475761640161</v>
      </c>
      <c r="O1700" t="s">
        <v>7658</v>
      </c>
      <c r="P1700" t="s">
        <v>7659</v>
      </c>
      <c r="Q1700" t="s">
        <v>5125</v>
      </c>
      <c r="R1700">
        <v>2</v>
      </c>
      <c r="S1700">
        <v>2</v>
      </c>
    </row>
    <row r="1701" spans="1:19" hidden="1" x14ac:dyDescent="0.3">
      <c r="A1701" t="s">
        <v>5126</v>
      </c>
      <c r="B1701" t="s">
        <v>5127</v>
      </c>
      <c r="D1701" t="s">
        <v>3331</v>
      </c>
      <c r="E1701" t="s">
        <v>222</v>
      </c>
      <c r="F1701" t="s">
        <v>30</v>
      </c>
      <c r="G1701" s="6">
        <v>45291</v>
      </c>
      <c r="H1701" t="s">
        <v>6811</v>
      </c>
      <c r="I1701" t="s">
        <v>57</v>
      </c>
      <c r="J1701" t="s">
        <v>47</v>
      </c>
      <c r="K1701">
        <v>224</v>
      </c>
      <c r="L1701">
        <v>153.5</v>
      </c>
      <c r="M1701">
        <v>0.6852678571428571</v>
      </c>
      <c r="N1701">
        <v>0.6852678571428571</v>
      </c>
      <c r="O1701" t="s">
        <v>6070</v>
      </c>
      <c r="P1701" t="s">
        <v>7660</v>
      </c>
      <c r="Q1701" t="s">
        <v>5129</v>
      </c>
      <c r="R1701">
        <v>2</v>
      </c>
      <c r="S1701">
        <v>2</v>
      </c>
    </row>
    <row r="1702" spans="1:19" hidden="1" x14ac:dyDescent="0.3">
      <c r="A1702" t="s">
        <v>5130</v>
      </c>
      <c r="B1702" t="s">
        <v>5131</v>
      </c>
      <c r="D1702" t="s">
        <v>3331</v>
      </c>
      <c r="E1702" t="s">
        <v>222</v>
      </c>
      <c r="F1702" t="s">
        <v>30</v>
      </c>
      <c r="G1702" s="6">
        <v>45291</v>
      </c>
      <c r="H1702" t="s">
        <v>6811</v>
      </c>
      <c r="I1702" t="s">
        <v>57</v>
      </c>
      <c r="J1702" t="s">
        <v>47</v>
      </c>
      <c r="K1702">
        <v>45.5</v>
      </c>
      <c r="L1702">
        <v>46</v>
      </c>
      <c r="M1702">
        <v>1.0109890109890109</v>
      </c>
      <c r="N1702">
        <v>1.0109890109890109</v>
      </c>
      <c r="O1702" t="s">
        <v>6341</v>
      </c>
      <c r="P1702" t="s">
        <v>6306</v>
      </c>
      <c r="Q1702" t="s">
        <v>5133</v>
      </c>
      <c r="R1702">
        <v>2</v>
      </c>
      <c r="S1702">
        <v>2</v>
      </c>
    </row>
    <row r="1703" spans="1:19" hidden="1" x14ac:dyDescent="0.3">
      <c r="A1703" t="s">
        <v>5134</v>
      </c>
      <c r="B1703" t="s">
        <v>5135</v>
      </c>
      <c r="D1703" t="s">
        <v>3331</v>
      </c>
      <c r="E1703" t="s">
        <v>222</v>
      </c>
      <c r="F1703" t="s">
        <v>30</v>
      </c>
      <c r="G1703" s="6">
        <v>45291</v>
      </c>
      <c r="H1703" t="s">
        <v>6811</v>
      </c>
      <c r="I1703" t="s">
        <v>57</v>
      </c>
      <c r="J1703" t="s">
        <v>47</v>
      </c>
      <c r="K1703">
        <v>1607</v>
      </c>
      <c r="L1703">
        <v>1718</v>
      </c>
      <c r="M1703">
        <v>1.0690728064716859</v>
      </c>
      <c r="N1703">
        <v>1.0690728064716859</v>
      </c>
      <c r="O1703" t="s">
        <v>7661</v>
      </c>
      <c r="P1703" t="s">
        <v>7662</v>
      </c>
      <c r="Q1703" t="s">
        <v>5137</v>
      </c>
      <c r="R1703">
        <v>2</v>
      </c>
      <c r="S1703">
        <v>2</v>
      </c>
    </row>
    <row r="1704" spans="1:19" hidden="1" x14ac:dyDescent="0.3">
      <c r="A1704" t="s">
        <v>5138</v>
      </c>
      <c r="B1704" t="s">
        <v>5139</v>
      </c>
      <c r="D1704" t="s">
        <v>3331</v>
      </c>
      <c r="E1704" t="s">
        <v>222</v>
      </c>
      <c r="F1704" t="s">
        <v>30</v>
      </c>
      <c r="G1704" s="6">
        <v>45291</v>
      </c>
      <c r="H1704" t="s">
        <v>6811</v>
      </c>
      <c r="I1704" t="s">
        <v>57</v>
      </c>
      <c r="J1704" t="s">
        <v>47</v>
      </c>
      <c r="K1704">
        <v>322</v>
      </c>
      <c r="L1704">
        <v>210.5</v>
      </c>
      <c r="M1704">
        <v>0.65372670807453415</v>
      </c>
      <c r="N1704">
        <v>0.65372670807453415</v>
      </c>
      <c r="O1704" t="s">
        <v>7663</v>
      </c>
      <c r="P1704" t="s">
        <v>7664</v>
      </c>
      <c r="Q1704" t="s">
        <v>5141</v>
      </c>
      <c r="R1704">
        <v>2</v>
      </c>
      <c r="S1704">
        <v>2</v>
      </c>
    </row>
    <row r="1705" spans="1:19" hidden="1" x14ac:dyDescent="0.3">
      <c r="A1705" t="s">
        <v>5142</v>
      </c>
      <c r="B1705" t="s">
        <v>5143</v>
      </c>
      <c r="D1705" t="s">
        <v>3331</v>
      </c>
      <c r="E1705" t="s">
        <v>222</v>
      </c>
      <c r="F1705" t="s">
        <v>30</v>
      </c>
      <c r="G1705" s="6">
        <v>45291</v>
      </c>
      <c r="H1705" t="s">
        <v>6811</v>
      </c>
      <c r="I1705" t="s">
        <v>57</v>
      </c>
      <c r="J1705" t="s">
        <v>47</v>
      </c>
      <c r="K1705">
        <v>8150.5</v>
      </c>
      <c r="L1705">
        <v>7596.5</v>
      </c>
      <c r="M1705">
        <v>0.93202870989509845</v>
      </c>
      <c r="N1705">
        <v>0.93202870989509845</v>
      </c>
      <c r="O1705" t="s">
        <v>7665</v>
      </c>
      <c r="P1705" t="s">
        <v>7666</v>
      </c>
      <c r="Q1705" t="s">
        <v>5145</v>
      </c>
      <c r="R1705">
        <v>2</v>
      </c>
      <c r="S1705">
        <v>2</v>
      </c>
    </row>
    <row r="1706" spans="1:19" hidden="1" x14ac:dyDescent="0.3">
      <c r="A1706" t="s">
        <v>5146</v>
      </c>
      <c r="B1706" t="s">
        <v>5147</v>
      </c>
      <c r="D1706" t="s">
        <v>3331</v>
      </c>
      <c r="E1706" t="s">
        <v>222</v>
      </c>
      <c r="F1706" t="s">
        <v>30</v>
      </c>
      <c r="G1706" s="6">
        <v>45291</v>
      </c>
      <c r="H1706" t="s">
        <v>6811</v>
      </c>
      <c r="I1706" t="s">
        <v>57</v>
      </c>
      <c r="J1706" t="s">
        <v>47</v>
      </c>
      <c r="K1706">
        <v>518654845.5</v>
      </c>
      <c r="L1706">
        <v>347847286</v>
      </c>
      <c r="M1706">
        <v>0.67067200666883575</v>
      </c>
      <c r="N1706">
        <v>0.67067200666883575</v>
      </c>
      <c r="O1706" t="s">
        <v>7667</v>
      </c>
      <c r="P1706" t="s">
        <v>7668</v>
      </c>
      <c r="Q1706" t="s">
        <v>5149</v>
      </c>
      <c r="R1706">
        <v>2</v>
      </c>
      <c r="S1706">
        <v>2</v>
      </c>
    </row>
    <row r="1707" spans="1:19" hidden="1" x14ac:dyDescent="0.3">
      <c r="A1707" t="s">
        <v>5146</v>
      </c>
      <c r="B1707" t="s">
        <v>5147</v>
      </c>
      <c r="C1707" t="s">
        <v>6622</v>
      </c>
      <c r="D1707" t="s">
        <v>3331</v>
      </c>
      <c r="E1707" t="s">
        <v>222</v>
      </c>
      <c r="F1707" t="s">
        <v>30</v>
      </c>
      <c r="G1707" s="6">
        <v>45473</v>
      </c>
      <c r="H1707">
        <v>2024</v>
      </c>
      <c r="I1707" t="s">
        <v>44</v>
      </c>
      <c r="J1707" t="s">
        <v>71</v>
      </c>
      <c r="K1707">
        <v>100</v>
      </c>
      <c r="L1707">
        <v>171.83</v>
      </c>
      <c r="M1707">
        <v>1.3</v>
      </c>
      <c r="N1707">
        <v>1.7182999999999999</v>
      </c>
      <c r="O1707" t="s">
        <v>31</v>
      </c>
      <c r="P1707" t="s">
        <v>31</v>
      </c>
      <c r="Q1707" t="s">
        <v>5150</v>
      </c>
      <c r="R1707">
        <v>0</v>
      </c>
      <c r="S1707">
        <v>0</v>
      </c>
    </row>
    <row r="1708" spans="1:19" hidden="1" x14ac:dyDescent="0.3">
      <c r="A1708" t="s">
        <v>5146</v>
      </c>
      <c r="B1708" t="s">
        <v>5147</v>
      </c>
      <c r="D1708" t="s">
        <v>3331</v>
      </c>
      <c r="E1708" t="s">
        <v>222</v>
      </c>
      <c r="F1708" t="s">
        <v>30</v>
      </c>
      <c r="G1708" s="6">
        <v>45657</v>
      </c>
      <c r="H1708" t="s">
        <v>6816</v>
      </c>
      <c r="I1708" t="s">
        <v>57</v>
      </c>
      <c r="J1708" t="s">
        <v>78</v>
      </c>
      <c r="K1708">
        <v>1151.7570028791099</v>
      </c>
      <c r="L1708">
        <v>1979.0634379999999</v>
      </c>
      <c r="M1708">
        <v>1.3</v>
      </c>
      <c r="N1708">
        <v>1.718299461651049</v>
      </c>
      <c r="O1708" t="s">
        <v>6613</v>
      </c>
      <c r="P1708" t="s">
        <v>6614</v>
      </c>
      <c r="Q1708" t="s">
        <v>7669</v>
      </c>
      <c r="R1708">
        <v>2</v>
      </c>
      <c r="S1708">
        <v>2</v>
      </c>
    </row>
    <row r="1709" spans="1:19" hidden="1" x14ac:dyDescent="0.3">
      <c r="A1709" t="s">
        <v>5151</v>
      </c>
      <c r="B1709" t="s">
        <v>5152</v>
      </c>
      <c r="D1709" t="s">
        <v>3331</v>
      </c>
      <c r="E1709" t="s">
        <v>222</v>
      </c>
      <c r="F1709" t="s">
        <v>30</v>
      </c>
      <c r="G1709" s="6">
        <v>45291</v>
      </c>
      <c r="H1709" t="s">
        <v>6811</v>
      </c>
      <c r="I1709" t="s">
        <v>57</v>
      </c>
      <c r="J1709" t="s">
        <v>47</v>
      </c>
      <c r="K1709">
        <v>42</v>
      </c>
      <c r="L1709">
        <v>44.77</v>
      </c>
      <c r="M1709">
        <v>1.065952380952381</v>
      </c>
      <c r="N1709">
        <v>1.065952380952381</v>
      </c>
      <c r="O1709" t="s">
        <v>1617</v>
      </c>
      <c r="P1709" t="s">
        <v>7670</v>
      </c>
      <c r="Q1709" t="s">
        <v>5154</v>
      </c>
      <c r="R1709">
        <v>2</v>
      </c>
      <c r="S1709">
        <v>2</v>
      </c>
    </row>
    <row r="1710" spans="1:19" hidden="1" x14ac:dyDescent="0.3">
      <c r="A1710" t="s">
        <v>5151</v>
      </c>
      <c r="B1710" t="s">
        <v>5152</v>
      </c>
      <c r="C1710" t="s">
        <v>6622</v>
      </c>
      <c r="D1710" t="s">
        <v>3331</v>
      </c>
      <c r="E1710" t="s">
        <v>222</v>
      </c>
      <c r="F1710" t="s">
        <v>30</v>
      </c>
      <c r="G1710" s="6">
        <v>45473</v>
      </c>
      <c r="H1710">
        <v>2024</v>
      </c>
      <c r="I1710" t="s">
        <v>44</v>
      </c>
      <c r="J1710" t="s">
        <v>71</v>
      </c>
      <c r="K1710">
        <v>50</v>
      </c>
      <c r="L1710">
        <v>59.59</v>
      </c>
      <c r="M1710">
        <v>1.1918</v>
      </c>
      <c r="N1710">
        <v>1.1918</v>
      </c>
      <c r="O1710" t="s">
        <v>31</v>
      </c>
      <c r="P1710" t="s">
        <v>31</v>
      </c>
      <c r="Q1710" t="s">
        <v>5155</v>
      </c>
      <c r="R1710">
        <v>0</v>
      </c>
      <c r="S1710">
        <v>0</v>
      </c>
    </row>
    <row r="1711" spans="1:19" hidden="1" x14ac:dyDescent="0.3">
      <c r="A1711" t="s">
        <v>5151</v>
      </c>
      <c r="B1711" t="s">
        <v>5152</v>
      </c>
      <c r="D1711" t="s">
        <v>3331</v>
      </c>
      <c r="E1711" t="s">
        <v>222</v>
      </c>
      <c r="F1711" t="s">
        <v>30</v>
      </c>
      <c r="G1711" s="6">
        <v>45657</v>
      </c>
      <c r="H1711" t="s">
        <v>6816</v>
      </c>
      <c r="I1711" t="s">
        <v>57</v>
      </c>
      <c r="J1711" t="s">
        <v>78</v>
      </c>
      <c r="K1711">
        <v>50</v>
      </c>
      <c r="L1711">
        <v>59.59</v>
      </c>
      <c r="M1711">
        <v>1.1918</v>
      </c>
      <c r="N1711">
        <v>1.1918</v>
      </c>
      <c r="O1711" t="s">
        <v>4242</v>
      </c>
      <c r="P1711" t="s">
        <v>5591</v>
      </c>
      <c r="Q1711" t="s">
        <v>7671</v>
      </c>
      <c r="R1711">
        <v>2</v>
      </c>
      <c r="S1711">
        <v>2</v>
      </c>
    </row>
    <row r="1712" spans="1:19" hidden="1" x14ac:dyDescent="0.3">
      <c r="A1712" t="s">
        <v>5156</v>
      </c>
      <c r="B1712" t="s">
        <v>5157</v>
      </c>
      <c r="D1712" t="s">
        <v>3331</v>
      </c>
      <c r="E1712" t="s">
        <v>222</v>
      </c>
      <c r="F1712" t="s">
        <v>30</v>
      </c>
      <c r="G1712" s="6">
        <v>45291</v>
      </c>
      <c r="H1712" t="s">
        <v>6811</v>
      </c>
      <c r="I1712" t="s">
        <v>57</v>
      </c>
      <c r="J1712" t="s">
        <v>47</v>
      </c>
      <c r="K1712">
        <v>87.4</v>
      </c>
      <c r="L1712">
        <v>89.199999999999989</v>
      </c>
      <c r="M1712">
        <v>1.020594965675057</v>
      </c>
      <c r="N1712">
        <v>1.020594965675057</v>
      </c>
      <c r="O1712" t="s">
        <v>5602</v>
      </c>
      <c r="P1712" t="s">
        <v>7672</v>
      </c>
      <c r="Q1712" t="s">
        <v>5159</v>
      </c>
      <c r="R1712">
        <v>2</v>
      </c>
      <c r="S1712">
        <v>2</v>
      </c>
    </row>
    <row r="1713" spans="1:19" hidden="1" x14ac:dyDescent="0.3">
      <c r="A1713" t="s">
        <v>5156</v>
      </c>
      <c r="B1713" t="s">
        <v>5157</v>
      </c>
      <c r="C1713" t="s">
        <v>6622</v>
      </c>
      <c r="D1713" t="s">
        <v>3331</v>
      </c>
      <c r="E1713" t="s">
        <v>222</v>
      </c>
      <c r="F1713" t="s">
        <v>30</v>
      </c>
      <c r="G1713" s="6">
        <v>45473</v>
      </c>
      <c r="H1713">
        <v>2024</v>
      </c>
      <c r="I1713" t="s">
        <v>44</v>
      </c>
      <c r="J1713" t="s">
        <v>71</v>
      </c>
      <c r="K1713">
        <v>85</v>
      </c>
      <c r="L1713">
        <v>90.1</v>
      </c>
      <c r="M1713">
        <v>1.06</v>
      </c>
      <c r="N1713">
        <v>1.06</v>
      </c>
      <c r="O1713" t="s">
        <v>31</v>
      </c>
      <c r="P1713" t="s">
        <v>31</v>
      </c>
      <c r="Q1713" t="s">
        <v>5160</v>
      </c>
      <c r="R1713">
        <v>1</v>
      </c>
      <c r="S1713">
        <v>1</v>
      </c>
    </row>
    <row r="1714" spans="1:19" hidden="1" x14ac:dyDescent="0.3">
      <c r="A1714" t="s">
        <v>5156</v>
      </c>
      <c r="B1714" t="s">
        <v>5157</v>
      </c>
      <c r="D1714" t="s">
        <v>3331</v>
      </c>
      <c r="E1714" t="s">
        <v>222</v>
      </c>
      <c r="F1714" t="s">
        <v>30</v>
      </c>
      <c r="G1714" s="6">
        <v>45657</v>
      </c>
      <c r="H1714" t="s">
        <v>6816</v>
      </c>
      <c r="I1714" t="s">
        <v>57</v>
      </c>
      <c r="J1714" t="s">
        <v>78</v>
      </c>
      <c r="K1714">
        <v>85</v>
      </c>
      <c r="L1714">
        <v>90.1</v>
      </c>
      <c r="M1714">
        <v>1.06</v>
      </c>
      <c r="N1714">
        <v>1.06</v>
      </c>
      <c r="O1714" t="s">
        <v>2357</v>
      </c>
      <c r="P1714" t="s">
        <v>1732</v>
      </c>
      <c r="Q1714" t="s">
        <v>7673</v>
      </c>
      <c r="R1714">
        <v>2</v>
      </c>
      <c r="S1714">
        <v>2</v>
      </c>
    </row>
    <row r="1715" spans="1:19" hidden="1" x14ac:dyDescent="0.3">
      <c r="A1715" t="s">
        <v>5161</v>
      </c>
      <c r="B1715" t="s">
        <v>5162</v>
      </c>
      <c r="D1715" t="s">
        <v>3331</v>
      </c>
      <c r="E1715" t="s">
        <v>222</v>
      </c>
      <c r="F1715" t="s">
        <v>30</v>
      </c>
      <c r="G1715" s="6">
        <v>45291</v>
      </c>
      <c r="H1715" t="s">
        <v>6811</v>
      </c>
      <c r="I1715" t="s">
        <v>57</v>
      </c>
      <c r="J1715" t="s">
        <v>47</v>
      </c>
      <c r="K1715">
        <v>88.564999999999998</v>
      </c>
      <c r="L1715">
        <v>79.180000000000007</v>
      </c>
      <c r="M1715">
        <v>0.89403263140066624</v>
      </c>
      <c r="N1715">
        <v>0.89403263140066624</v>
      </c>
      <c r="O1715" t="s">
        <v>7037</v>
      </c>
      <c r="P1715" t="s">
        <v>5586</v>
      </c>
      <c r="Q1715" t="s">
        <v>5164</v>
      </c>
      <c r="R1715">
        <v>2</v>
      </c>
      <c r="S1715">
        <v>2</v>
      </c>
    </row>
    <row r="1716" spans="1:19" hidden="1" x14ac:dyDescent="0.3">
      <c r="A1716" t="s">
        <v>5161</v>
      </c>
      <c r="B1716" t="s">
        <v>5162</v>
      </c>
      <c r="C1716" t="s">
        <v>6622</v>
      </c>
      <c r="D1716" t="s">
        <v>3331</v>
      </c>
      <c r="E1716" t="s">
        <v>222</v>
      </c>
      <c r="F1716" t="s">
        <v>30</v>
      </c>
      <c r="G1716" s="6">
        <v>45473</v>
      </c>
      <c r="H1716">
        <v>2024</v>
      </c>
      <c r="I1716" t="s">
        <v>44</v>
      </c>
      <c r="J1716" t="s">
        <v>71</v>
      </c>
      <c r="K1716">
        <v>81</v>
      </c>
      <c r="L1716">
        <v>83.01</v>
      </c>
      <c r="M1716">
        <v>1.0248148148148151</v>
      </c>
      <c r="N1716">
        <v>1.0248148148148151</v>
      </c>
      <c r="O1716" t="s">
        <v>31</v>
      </c>
      <c r="P1716" t="s">
        <v>31</v>
      </c>
      <c r="Q1716" t="s">
        <v>5165</v>
      </c>
      <c r="R1716">
        <v>0</v>
      </c>
      <c r="S1716">
        <v>0</v>
      </c>
    </row>
    <row r="1717" spans="1:19" hidden="1" x14ac:dyDescent="0.3">
      <c r="A1717" t="s">
        <v>5161</v>
      </c>
      <c r="B1717" t="s">
        <v>5162</v>
      </c>
      <c r="D1717" t="s">
        <v>3331</v>
      </c>
      <c r="E1717" t="s">
        <v>222</v>
      </c>
      <c r="F1717" t="s">
        <v>30</v>
      </c>
      <c r="G1717" s="6">
        <v>45657</v>
      </c>
      <c r="H1717" t="s">
        <v>6816</v>
      </c>
      <c r="I1717" t="s">
        <v>57</v>
      </c>
      <c r="J1717" t="s">
        <v>78</v>
      </c>
      <c r="K1717">
        <v>81</v>
      </c>
      <c r="L1717">
        <v>83.01</v>
      </c>
      <c r="M1717">
        <v>1.0248148148148151</v>
      </c>
      <c r="N1717">
        <v>1.0248148148148151</v>
      </c>
      <c r="O1717" t="s">
        <v>1054</v>
      </c>
      <c r="P1717" t="s">
        <v>5439</v>
      </c>
      <c r="Q1717" t="s">
        <v>7674</v>
      </c>
      <c r="R1717">
        <v>2</v>
      </c>
      <c r="S1717">
        <v>2</v>
      </c>
    </row>
    <row r="1718" spans="1:19" hidden="1" x14ac:dyDescent="0.3">
      <c r="A1718" t="s">
        <v>7675</v>
      </c>
      <c r="B1718" t="s">
        <v>7676</v>
      </c>
      <c r="C1718" t="s">
        <v>6622</v>
      </c>
      <c r="D1718" t="s">
        <v>3011</v>
      </c>
      <c r="E1718" t="s">
        <v>222</v>
      </c>
      <c r="F1718" t="s">
        <v>30</v>
      </c>
      <c r="G1718" s="6">
        <v>46023</v>
      </c>
      <c r="H1718" t="s">
        <v>6623</v>
      </c>
      <c r="I1718" t="s">
        <v>6623</v>
      </c>
      <c r="J1718" t="s">
        <v>6623</v>
      </c>
      <c r="O1718" t="s">
        <v>1574</v>
      </c>
      <c r="P1718" t="s">
        <v>1574</v>
      </c>
      <c r="Q1718" t="s">
        <v>7677</v>
      </c>
      <c r="R1718">
        <v>0</v>
      </c>
      <c r="S1718">
        <v>0</v>
      </c>
    </row>
    <row r="1719" spans="1:19" hidden="1" x14ac:dyDescent="0.3">
      <c r="A1719" t="s">
        <v>7678</v>
      </c>
      <c r="B1719" t="s">
        <v>7679</v>
      </c>
      <c r="C1719" t="s">
        <v>6622</v>
      </c>
      <c r="D1719" t="s">
        <v>184</v>
      </c>
      <c r="E1719" t="s">
        <v>222</v>
      </c>
      <c r="F1719" t="s">
        <v>30</v>
      </c>
      <c r="G1719" s="6">
        <v>45657</v>
      </c>
      <c r="H1719">
        <v>2024</v>
      </c>
      <c r="I1719" t="s">
        <v>57</v>
      </c>
      <c r="J1719" t="s">
        <v>78</v>
      </c>
      <c r="O1719" t="s">
        <v>1574</v>
      </c>
      <c r="P1719" t="s">
        <v>1574</v>
      </c>
      <c r="Q1719" t="s">
        <v>7680</v>
      </c>
      <c r="R1719">
        <v>0</v>
      </c>
      <c r="S1719">
        <v>0</v>
      </c>
    </row>
    <row r="1720" spans="1:19" hidden="1" x14ac:dyDescent="0.3">
      <c r="A1720" t="s">
        <v>7681</v>
      </c>
      <c r="B1720" t="s">
        <v>7682</v>
      </c>
      <c r="C1720" t="s">
        <v>6622</v>
      </c>
      <c r="D1720" t="s">
        <v>266</v>
      </c>
      <c r="E1720" t="s">
        <v>222</v>
      </c>
      <c r="F1720" t="s">
        <v>30</v>
      </c>
      <c r="G1720" s="6">
        <v>45657</v>
      </c>
      <c r="H1720">
        <v>2024</v>
      </c>
      <c r="I1720" t="s">
        <v>57</v>
      </c>
      <c r="J1720" t="s">
        <v>78</v>
      </c>
      <c r="O1720" t="s">
        <v>1574</v>
      </c>
      <c r="P1720" t="s">
        <v>1574</v>
      </c>
      <c r="Q1720" t="s">
        <v>7683</v>
      </c>
      <c r="R1720">
        <v>0</v>
      </c>
      <c r="S1720">
        <v>0</v>
      </c>
    </row>
    <row r="1721" spans="1:19" hidden="1" x14ac:dyDescent="0.3">
      <c r="A1721" t="s">
        <v>7684</v>
      </c>
      <c r="B1721" t="s">
        <v>7685</v>
      </c>
      <c r="C1721" t="s">
        <v>6622</v>
      </c>
      <c r="D1721" t="s">
        <v>266</v>
      </c>
      <c r="E1721" t="s">
        <v>222</v>
      </c>
      <c r="F1721" t="s">
        <v>30</v>
      </c>
      <c r="G1721" s="6">
        <v>45657</v>
      </c>
      <c r="H1721">
        <v>2024</v>
      </c>
      <c r="I1721" t="s">
        <v>57</v>
      </c>
      <c r="J1721" t="s">
        <v>78</v>
      </c>
      <c r="O1721" t="s">
        <v>1574</v>
      </c>
      <c r="P1721" t="s">
        <v>1574</v>
      </c>
      <c r="Q1721" t="s">
        <v>7686</v>
      </c>
      <c r="R1721">
        <v>0</v>
      </c>
      <c r="S1721">
        <v>0</v>
      </c>
    </row>
    <row r="1722" spans="1:19" hidden="1" x14ac:dyDescent="0.3">
      <c r="A1722" t="s">
        <v>7687</v>
      </c>
      <c r="B1722" t="s">
        <v>7688</v>
      </c>
      <c r="C1722" t="s">
        <v>6622</v>
      </c>
      <c r="D1722" t="s">
        <v>717</v>
      </c>
      <c r="E1722" t="s">
        <v>222</v>
      </c>
      <c r="F1722" t="s">
        <v>30</v>
      </c>
      <c r="G1722" s="6">
        <v>45657</v>
      </c>
      <c r="H1722">
        <v>2024</v>
      </c>
      <c r="I1722" t="s">
        <v>57</v>
      </c>
      <c r="J1722" t="s">
        <v>78</v>
      </c>
      <c r="O1722" t="s">
        <v>1574</v>
      </c>
      <c r="P1722" t="s">
        <v>1574</v>
      </c>
      <c r="Q1722" t="s">
        <v>7689</v>
      </c>
      <c r="R1722">
        <v>0</v>
      </c>
      <c r="S1722">
        <v>0</v>
      </c>
    </row>
    <row r="1723" spans="1:19" hidden="1" x14ac:dyDescent="0.3">
      <c r="A1723" t="s">
        <v>7690</v>
      </c>
      <c r="B1723" t="s">
        <v>7691</v>
      </c>
      <c r="C1723" t="s">
        <v>6622</v>
      </c>
      <c r="D1723" t="s">
        <v>2619</v>
      </c>
      <c r="E1723" t="s">
        <v>222</v>
      </c>
      <c r="F1723" t="s">
        <v>30</v>
      </c>
      <c r="G1723" s="6">
        <v>45657</v>
      </c>
      <c r="H1723">
        <v>2024</v>
      </c>
      <c r="I1723" t="s">
        <v>57</v>
      </c>
      <c r="J1723" t="s">
        <v>78</v>
      </c>
      <c r="O1723" t="s">
        <v>1574</v>
      </c>
      <c r="P1723" t="s">
        <v>1574</v>
      </c>
      <c r="Q1723" t="s">
        <v>7692</v>
      </c>
      <c r="R1723">
        <v>0</v>
      </c>
      <c r="S1723">
        <v>0</v>
      </c>
    </row>
    <row r="1724" spans="1:19" hidden="1" x14ac:dyDescent="0.3">
      <c r="A1724" t="s">
        <v>7693</v>
      </c>
      <c r="B1724" t="s">
        <v>7694</v>
      </c>
      <c r="C1724" t="s">
        <v>6622</v>
      </c>
      <c r="D1724" t="s">
        <v>2619</v>
      </c>
      <c r="E1724" t="s">
        <v>222</v>
      </c>
      <c r="F1724" t="s">
        <v>30</v>
      </c>
      <c r="G1724" s="6">
        <v>45657</v>
      </c>
      <c r="H1724">
        <v>2024</v>
      </c>
      <c r="I1724" t="s">
        <v>57</v>
      </c>
      <c r="J1724" t="s">
        <v>78</v>
      </c>
      <c r="O1724" t="s">
        <v>1574</v>
      </c>
      <c r="P1724" t="s">
        <v>1574</v>
      </c>
      <c r="Q1724" t="s">
        <v>7695</v>
      </c>
      <c r="R1724">
        <v>0</v>
      </c>
      <c r="S1724">
        <v>0</v>
      </c>
    </row>
    <row r="1725" spans="1:19" hidden="1" x14ac:dyDescent="0.3">
      <c r="A1725" t="s">
        <v>7696</v>
      </c>
      <c r="B1725" t="s">
        <v>7697</v>
      </c>
      <c r="C1725" t="s">
        <v>6622</v>
      </c>
      <c r="D1725" t="s">
        <v>2619</v>
      </c>
      <c r="E1725" t="s">
        <v>222</v>
      </c>
      <c r="F1725" t="s">
        <v>30</v>
      </c>
      <c r="G1725" s="6">
        <v>45657</v>
      </c>
      <c r="H1725">
        <v>2024</v>
      </c>
      <c r="I1725" t="s">
        <v>57</v>
      </c>
      <c r="J1725" t="s">
        <v>78</v>
      </c>
      <c r="O1725" t="s">
        <v>1574</v>
      </c>
      <c r="P1725" t="s">
        <v>1574</v>
      </c>
      <c r="Q1725" t="s">
        <v>7698</v>
      </c>
      <c r="R1725">
        <v>0</v>
      </c>
      <c r="S1725">
        <v>0</v>
      </c>
    </row>
    <row r="1726" spans="1:19" hidden="1" x14ac:dyDescent="0.3">
      <c r="A1726" t="s">
        <v>7699</v>
      </c>
      <c r="B1726" t="s">
        <v>7700</v>
      </c>
      <c r="C1726" t="s">
        <v>6622</v>
      </c>
      <c r="D1726" t="s">
        <v>3011</v>
      </c>
      <c r="E1726" t="s">
        <v>222</v>
      </c>
      <c r="F1726" t="s">
        <v>30</v>
      </c>
      <c r="G1726" s="6">
        <v>46023</v>
      </c>
      <c r="H1726" t="s">
        <v>6623</v>
      </c>
      <c r="I1726" t="s">
        <v>6623</v>
      </c>
      <c r="J1726" t="s">
        <v>6623</v>
      </c>
      <c r="O1726" t="s">
        <v>1574</v>
      </c>
      <c r="P1726" t="s">
        <v>1574</v>
      </c>
      <c r="Q1726" t="s">
        <v>7701</v>
      </c>
      <c r="R1726">
        <v>0</v>
      </c>
      <c r="S1726">
        <v>0</v>
      </c>
    </row>
    <row r="1727" spans="1:19" hidden="1" x14ac:dyDescent="0.3">
      <c r="A1727" t="s">
        <v>7702</v>
      </c>
      <c r="B1727" t="s">
        <v>7703</v>
      </c>
      <c r="C1727" t="s">
        <v>6622</v>
      </c>
      <c r="D1727" t="s">
        <v>3126</v>
      </c>
      <c r="E1727" t="s">
        <v>222</v>
      </c>
      <c r="F1727" t="s">
        <v>30</v>
      </c>
      <c r="G1727" s="6">
        <v>45657</v>
      </c>
      <c r="H1727">
        <v>2024</v>
      </c>
      <c r="I1727" t="s">
        <v>57</v>
      </c>
      <c r="J1727" t="s">
        <v>78</v>
      </c>
      <c r="O1727" t="s">
        <v>1574</v>
      </c>
      <c r="P1727" t="s">
        <v>1574</v>
      </c>
      <c r="Q1727" t="s">
        <v>7704</v>
      </c>
      <c r="R1727">
        <v>0</v>
      </c>
      <c r="S1727">
        <v>0</v>
      </c>
    </row>
    <row r="1728" spans="1:19" hidden="1" x14ac:dyDescent="0.3">
      <c r="A1728" t="s">
        <v>7705</v>
      </c>
      <c r="B1728" t="s">
        <v>7706</v>
      </c>
      <c r="C1728" t="s">
        <v>6622</v>
      </c>
      <c r="D1728" t="s">
        <v>3437</v>
      </c>
      <c r="E1728" t="s">
        <v>222</v>
      </c>
      <c r="F1728" t="s">
        <v>30</v>
      </c>
      <c r="G1728" s="6">
        <v>45657</v>
      </c>
      <c r="H1728">
        <v>2024</v>
      </c>
      <c r="I1728" t="s">
        <v>57</v>
      </c>
      <c r="J1728" t="s">
        <v>78</v>
      </c>
      <c r="O1728" t="s">
        <v>1574</v>
      </c>
      <c r="P1728" t="s">
        <v>1574</v>
      </c>
      <c r="Q1728" t="s">
        <v>7707</v>
      </c>
      <c r="R1728">
        <v>0</v>
      </c>
      <c r="S1728">
        <v>0</v>
      </c>
    </row>
    <row r="1729" spans="1:19" hidden="1" x14ac:dyDescent="0.3">
      <c r="A1729" t="s">
        <v>7708</v>
      </c>
      <c r="B1729" t="s">
        <v>7709</v>
      </c>
      <c r="C1729" t="s">
        <v>6622</v>
      </c>
      <c r="D1729" t="s">
        <v>184</v>
      </c>
      <c r="E1729" t="s">
        <v>222</v>
      </c>
      <c r="F1729" t="s">
        <v>30</v>
      </c>
      <c r="G1729" s="6">
        <v>45657</v>
      </c>
      <c r="H1729">
        <v>2024</v>
      </c>
      <c r="I1729" t="s">
        <v>57</v>
      </c>
      <c r="J1729" t="s">
        <v>78</v>
      </c>
      <c r="O1729" t="s">
        <v>1574</v>
      </c>
      <c r="P1729" t="s">
        <v>1574</v>
      </c>
      <c r="Q1729" t="s">
        <v>7710</v>
      </c>
      <c r="R1729">
        <v>0</v>
      </c>
      <c r="S1729">
        <v>0</v>
      </c>
    </row>
    <row r="1730" spans="1:19" hidden="1" x14ac:dyDescent="0.3">
      <c r="A1730" t="s">
        <v>7711</v>
      </c>
      <c r="B1730" t="s">
        <v>7712</v>
      </c>
      <c r="C1730" t="s">
        <v>6622</v>
      </c>
      <c r="D1730" t="s">
        <v>649</v>
      </c>
      <c r="E1730" t="s">
        <v>222</v>
      </c>
      <c r="F1730" t="s">
        <v>30</v>
      </c>
      <c r="G1730" s="6">
        <v>45657</v>
      </c>
      <c r="H1730">
        <v>2024</v>
      </c>
      <c r="I1730" t="s">
        <v>57</v>
      </c>
      <c r="J1730" t="s">
        <v>78</v>
      </c>
      <c r="O1730" t="s">
        <v>1574</v>
      </c>
      <c r="P1730" t="s">
        <v>1574</v>
      </c>
      <c r="Q1730" t="s">
        <v>7713</v>
      </c>
      <c r="R1730">
        <v>0</v>
      </c>
      <c r="S1730">
        <v>0</v>
      </c>
    </row>
    <row r="1731" spans="1:19" hidden="1" x14ac:dyDescent="0.3">
      <c r="A1731" t="s">
        <v>7714</v>
      </c>
      <c r="B1731" t="s">
        <v>7715</v>
      </c>
      <c r="C1731" t="s">
        <v>6622</v>
      </c>
      <c r="D1731" t="s">
        <v>649</v>
      </c>
      <c r="E1731" t="s">
        <v>222</v>
      </c>
      <c r="F1731" t="s">
        <v>30</v>
      </c>
      <c r="G1731" s="6">
        <v>45657</v>
      </c>
      <c r="H1731">
        <v>2024</v>
      </c>
      <c r="I1731" t="s">
        <v>57</v>
      </c>
      <c r="J1731" t="s">
        <v>78</v>
      </c>
      <c r="O1731" t="s">
        <v>1574</v>
      </c>
      <c r="P1731" t="s">
        <v>1574</v>
      </c>
      <c r="Q1731" t="s">
        <v>7716</v>
      </c>
      <c r="R1731">
        <v>0</v>
      </c>
      <c r="S1731">
        <v>0</v>
      </c>
    </row>
  </sheetData>
  <autoFilter ref="A1:S1731" xr:uid="{00000000-0001-0000-0300-000000000000}">
    <filterColumn colId="0">
      <filters>
        <filter val="68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99"/>
  <sheetViews>
    <sheetView workbookViewId="0">
      <selection activeCell="E2" sqref="E2"/>
    </sheetView>
  </sheetViews>
  <sheetFormatPr baseColWidth="10" defaultColWidth="8.88671875" defaultRowHeight="14.4" x14ac:dyDescent="0.3"/>
  <cols>
    <col min="1" max="1" width="4" bestFit="1" customWidth="1"/>
    <col min="2" max="2" width="22.5546875" customWidth="1"/>
  </cols>
  <sheetData>
    <row r="1" spans="1:7" x14ac:dyDescent="0.3">
      <c r="A1" s="5" t="s">
        <v>7</v>
      </c>
      <c r="B1" s="5" t="s">
        <v>8</v>
      </c>
      <c r="C1" s="5" t="s">
        <v>6618</v>
      </c>
      <c r="D1" s="5" t="s">
        <v>9</v>
      </c>
      <c r="E1" s="5" t="s">
        <v>7717</v>
      </c>
      <c r="F1" s="5" t="s">
        <v>7718</v>
      </c>
      <c r="G1" s="5" t="s">
        <v>7719</v>
      </c>
    </row>
    <row r="2" spans="1:7" x14ac:dyDescent="0.3">
      <c r="A2" t="s">
        <v>4680</v>
      </c>
      <c r="B2" t="s">
        <v>4681</v>
      </c>
      <c r="C2" t="s">
        <v>6681</v>
      </c>
      <c r="D2" t="s">
        <v>232</v>
      </c>
      <c r="E2" t="str">
        <f>VLOOKUP(A2,'Consolidado Cierres'!$A$1:$P$1731,16,0)</f>
        <v>%</v>
      </c>
      <c r="F2" t="s">
        <v>7720</v>
      </c>
      <c r="G2">
        <v>1.3</v>
      </c>
    </row>
    <row r="3" spans="1:7" x14ac:dyDescent="0.3">
      <c r="A3" t="s">
        <v>4687</v>
      </c>
      <c r="B3" t="s">
        <v>4688</v>
      </c>
      <c r="C3" t="s">
        <v>6681</v>
      </c>
      <c r="D3" t="s">
        <v>232</v>
      </c>
      <c r="E3" t="str">
        <f>VLOOKUP(A3,'Consolidado Cierres'!$A$1:$P$1731,16,0)</f>
        <v>91.65%</v>
      </c>
      <c r="F3" t="s">
        <v>7720</v>
      </c>
      <c r="G3">
        <v>1.3</v>
      </c>
    </row>
    <row r="4" spans="1:7" x14ac:dyDescent="0.3">
      <c r="A4" t="s">
        <v>4727</v>
      </c>
      <c r="B4" t="s">
        <v>4728</v>
      </c>
      <c r="C4" t="s">
        <v>6681</v>
      </c>
      <c r="D4" t="s">
        <v>262</v>
      </c>
      <c r="E4" t="str">
        <f>VLOOKUP(A4,'Consolidado Cierres'!$A$1:$P$1731,16,0)</f>
        <v>18.0%</v>
      </c>
      <c r="F4" t="s">
        <v>7720</v>
      </c>
      <c r="G4">
        <v>1.3</v>
      </c>
    </row>
    <row r="5" spans="1:7" x14ac:dyDescent="0.3">
      <c r="A5" t="s">
        <v>271</v>
      </c>
      <c r="B5" t="s">
        <v>4737</v>
      </c>
      <c r="C5" t="s">
        <v>6681</v>
      </c>
      <c r="D5" t="s">
        <v>262</v>
      </c>
      <c r="E5" t="str">
        <f>VLOOKUP(A5,'Consolidado Cierres'!$A$1:$P$1731,16,0)</f>
        <v>90.91%</v>
      </c>
      <c r="F5" t="s">
        <v>7720</v>
      </c>
      <c r="G5">
        <v>1.3</v>
      </c>
    </row>
    <row r="6" spans="1:7" x14ac:dyDescent="0.3">
      <c r="A6" t="s">
        <v>4330</v>
      </c>
      <c r="B6" t="s">
        <v>4746</v>
      </c>
      <c r="C6" t="s">
        <v>6622</v>
      </c>
      <c r="D6" t="s">
        <v>270</v>
      </c>
      <c r="E6" t="str">
        <f>VLOOKUP(A6,'Consolidado Cierres'!$A$1:$P$1731,16,0)</f>
        <v>97.9%</v>
      </c>
      <c r="F6" t="s">
        <v>7720</v>
      </c>
      <c r="G6">
        <v>1.3</v>
      </c>
    </row>
    <row r="7" spans="1:7" x14ac:dyDescent="0.3">
      <c r="A7" t="s">
        <v>4845</v>
      </c>
      <c r="B7" t="s">
        <v>4846</v>
      </c>
      <c r="C7" t="s">
        <v>6622</v>
      </c>
      <c r="D7" t="s">
        <v>97</v>
      </c>
      <c r="E7" t="str">
        <f>VLOOKUP(A7,'Consolidado Cierres'!$A$1:$P$1731,16,0)</f>
        <v>100.0%</v>
      </c>
      <c r="F7" t="s">
        <v>7720</v>
      </c>
      <c r="G7">
        <v>1.3</v>
      </c>
    </row>
    <row r="8" spans="1:7" x14ac:dyDescent="0.3">
      <c r="A8" t="s">
        <v>4850</v>
      </c>
      <c r="B8" t="s">
        <v>4851</v>
      </c>
      <c r="C8" t="s">
        <v>6681</v>
      </c>
      <c r="D8" t="s">
        <v>97</v>
      </c>
      <c r="E8" t="str">
        <f>VLOOKUP(A8,'Consolidado Cierres'!$A$1:$P$1731,16,0)</f>
        <v>100.0%</v>
      </c>
      <c r="F8" t="s">
        <v>7720</v>
      </c>
      <c r="G8">
        <v>1.3</v>
      </c>
    </row>
    <row r="9" spans="1:7" x14ac:dyDescent="0.3">
      <c r="A9" t="s">
        <v>4409</v>
      </c>
      <c r="B9" t="s">
        <v>4855</v>
      </c>
      <c r="C9" t="s">
        <v>6622</v>
      </c>
      <c r="D9" t="s">
        <v>97</v>
      </c>
      <c r="E9" t="str">
        <f>VLOOKUP(A9,'Consolidado Cierres'!$A$1:$P$1731,16,0)</f>
        <v>100.0%</v>
      </c>
      <c r="F9" t="s">
        <v>7720</v>
      </c>
      <c r="G9">
        <v>1.3</v>
      </c>
    </row>
    <row r="10" spans="1:7" x14ac:dyDescent="0.3">
      <c r="A10" t="s">
        <v>4862</v>
      </c>
      <c r="B10" t="s">
        <v>4863</v>
      </c>
      <c r="C10" t="s">
        <v>6681</v>
      </c>
      <c r="D10" t="s">
        <v>97</v>
      </c>
      <c r="E10" t="str">
        <f>VLOOKUP(A10,'Consolidado Cierres'!$A$1:$P$1731,16,0)</f>
        <v>100.0%</v>
      </c>
      <c r="F10" t="s">
        <v>7720</v>
      </c>
      <c r="G10">
        <v>1.3</v>
      </c>
    </row>
    <row r="11" spans="1:7" x14ac:dyDescent="0.3">
      <c r="A11" t="s">
        <v>4403</v>
      </c>
      <c r="B11" t="s">
        <v>4867</v>
      </c>
      <c r="C11" t="s">
        <v>6681</v>
      </c>
      <c r="D11" t="s">
        <v>97</v>
      </c>
      <c r="E11" t="str">
        <f>VLOOKUP(A11,'Consolidado Cierres'!$A$1:$P$1731,16,0)</f>
        <v>100.0%</v>
      </c>
      <c r="F11" t="s">
        <v>7720</v>
      </c>
      <c r="G11">
        <v>1.3</v>
      </c>
    </row>
    <row r="12" spans="1:7" x14ac:dyDescent="0.3">
      <c r="A12" t="s">
        <v>279</v>
      </c>
      <c r="B12" t="s">
        <v>4871</v>
      </c>
      <c r="C12" t="s">
        <v>6681</v>
      </c>
      <c r="D12" t="s">
        <v>97</v>
      </c>
      <c r="E12" t="str">
        <f>VLOOKUP(A12,'Consolidado Cierres'!$A$1:$P$1731,16,0)</f>
        <v>100.0%</v>
      </c>
      <c r="F12" t="s">
        <v>7720</v>
      </c>
      <c r="G12">
        <v>1.3</v>
      </c>
    </row>
    <row r="13" spans="1:7" x14ac:dyDescent="0.3">
      <c r="A13" t="s">
        <v>255</v>
      </c>
      <c r="B13" t="s">
        <v>4892</v>
      </c>
      <c r="C13" t="s">
        <v>6681</v>
      </c>
      <c r="D13" t="s">
        <v>97</v>
      </c>
      <c r="E13" t="str">
        <f>VLOOKUP(A13,'Consolidado Cierres'!$A$1:$P$1731,16,0)</f>
        <v>100.0%</v>
      </c>
      <c r="F13" t="s">
        <v>7720</v>
      </c>
      <c r="G13">
        <v>1.3</v>
      </c>
    </row>
    <row r="14" spans="1:7" x14ac:dyDescent="0.3">
      <c r="A14" t="s">
        <v>5013</v>
      </c>
      <c r="B14" t="s">
        <v>5014</v>
      </c>
      <c r="C14" t="s">
        <v>6681</v>
      </c>
      <c r="D14" t="s">
        <v>97</v>
      </c>
      <c r="E14" t="str">
        <f>VLOOKUP(A14,'Consolidado Cierres'!$A$1:$P$1731,16,0)</f>
        <v>100.0%</v>
      </c>
      <c r="F14" t="s">
        <v>7720</v>
      </c>
      <c r="G14">
        <v>1.3</v>
      </c>
    </row>
    <row r="15" spans="1:7" x14ac:dyDescent="0.3">
      <c r="A15" t="s">
        <v>4633</v>
      </c>
      <c r="B15" t="s">
        <v>5018</v>
      </c>
      <c r="C15" t="s">
        <v>6681</v>
      </c>
      <c r="D15" t="s">
        <v>97</v>
      </c>
      <c r="E15" t="str">
        <f>VLOOKUP(A15,'Consolidado Cierres'!$A$1:$P$1731,16,0)</f>
        <v>100.0%</v>
      </c>
      <c r="F15" t="s">
        <v>7720</v>
      </c>
      <c r="G15">
        <v>1.3</v>
      </c>
    </row>
    <row r="16" spans="1:7" x14ac:dyDescent="0.3">
      <c r="A16" t="s">
        <v>192</v>
      </c>
      <c r="B16" t="s">
        <v>5022</v>
      </c>
      <c r="C16" t="s">
        <v>6681</v>
      </c>
      <c r="D16" t="s">
        <v>97</v>
      </c>
      <c r="E16" t="str">
        <f>VLOOKUP(A16,'Consolidado Cierres'!$A$1:$P$1731,16,0)</f>
        <v>100.0%</v>
      </c>
      <c r="F16" t="s">
        <v>7720</v>
      </c>
      <c r="G16">
        <v>1.3</v>
      </c>
    </row>
    <row r="17" spans="1:7" x14ac:dyDescent="0.3">
      <c r="A17" t="s">
        <v>837</v>
      </c>
      <c r="B17" t="s">
        <v>5026</v>
      </c>
      <c r="C17" t="s">
        <v>6681</v>
      </c>
      <c r="D17" t="s">
        <v>97</v>
      </c>
      <c r="E17" t="str">
        <f>VLOOKUP(A17,'Consolidado Cierres'!$A$1:$P$1731,16,0)</f>
        <v>100.0%</v>
      </c>
      <c r="F17" t="s">
        <v>7720</v>
      </c>
      <c r="G17">
        <v>1.3</v>
      </c>
    </row>
    <row r="18" spans="1:7" x14ac:dyDescent="0.3">
      <c r="A18" t="s">
        <v>95</v>
      </c>
      <c r="B18" t="s">
        <v>96</v>
      </c>
      <c r="C18" t="s">
        <v>6681</v>
      </c>
      <c r="D18" t="s">
        <v>97</v>
      </c>
      <c r="E18" t="str">
        <f>VLOOKUP(A18,'Consolidado Cierres'!$A$1:$P$1731,16,0)</f>
        <v>99.0%</v>
      </c>
      <c r="F18" t="s">
        <v>7720</v>
      </c>
      <c r="G18">
        <v>1.3</v>
      </c>
    </row>
    <row r="19" spans="1:7" x14ac:dyDescent="0.3">
      <c r="A19" t="s">
        <v>106</v>
      </c>
      <c r="B19" t="s">
        <v>107</v>
      </c>
      <c r="C19" t="s">
        <v>6681</v>
      </c>
      <c r="D19" t="s">
        <v>97</v>
      </c>
      <c r="E19" t="str">
        <f>VLOOKUP(A19,'Consolidado Cierres'!$A$1:$P$1731,16,0)</f>
        <v>0.47%</v>
      </c>
      <c r="F19" t="s">
        <v>7720</v>
      </c>
      <c r="G19">
        <v>1.3</v>
      </c>
    </row>
    <row r="20" spans="1:7" x14ac:dyDescent="0.3">
      <c r="A20" t="s">
        <v>116</v>
      </c>
      <c r="B20" t="s">
        <v>117</v>
      </c>
      <c r="C20" t="s">
        <v>6681</v>
      </c>
      <c r="D20" t="s">
        <v>97</v>
      </c>
      <c r="E20" t="str">
        <f>VLOOKUP(A20,'Consolidado Cierres'!$A$1:$P$1731,16,0)</f>
        <v>0.0%</v>
      </c>
      <c r="F20" t="s">
        <v>7720</v>
      </c>
      <c r="G20">
        <v>1.3</v>
      </c>
    </row>
    <row r="21" spans="1:7" x14ac:dyDescent="0.3">
      <c r="A21" t="s">
        <v>190</v>
      </c>
      <c r="B21" t="s">
        <v>125</v>
      </c>
      <c r="C21" t="s">
        <v>6622</v>
      </c>
      <c r="D21" t="s">
        <v>165</v>
      </c>
      <c r="E21">
        <f>VLOOKUP(A21,'Consolidado Cierres'!$A$1:$P$1731,16,0)</f>
        <v>0</v>
      </c>
      <c r="F21" t="s">
        <v>7720</v>
      </c>
      <c r="G21">
        <v>1.3</v>
      </c>
    </row>
    <row r="22" spans="1:7" x14ac:dyDescent="0.3">
      <c r="A22" t="s">
        <v>231</v>
      </c>
      <c r="B22" t="s">
        <v>125</v>
      </c>
      <c r="C22" t="s">
        <v>6681</v>
      </c>
      <c r="D22" t="s">
        <v>232</v>
      </c>
      <c r="E22" t="str">
        <f>VLOOKUP(A22,'Consolidado Cierres'!$A$1:$P$1731,16,0)</f>
        <v>91.5%</v>
      </c>
      <c r="F22" t="s">
        <v>7720</v>
      </c>
      <c r="G22">
        <v>1.3</v>
      </c>
    </row>
    <row r="23" spans="1:7" x14ac:dyDescent="0.3">
      <c r="A23" t="s">
        <v>250</v>
      </c>
      <c r="B23" t="s">
        <v>125</v>
      </c>
      <c r="C23" t="s">
        <v>6622</v>
      </c>
      <c r="D23" t="s">
        <v>251</v>
      </c>
      <c r="E23" t="str">
        <f>VLOOKUP(A23,'Consolidado Cierres'!$A$1:$P$1731,16,0)</f>
        <v>74.17%</v>
      </c>
      <c r="F23" t="s">
        <v>7720</v>
      </c>
      <c r="G23">
        <v>1.3</v>
      </c>
    </row>
    <row r="24" spans="1:7" x14ac:dyDescent="0.3">
      <c r="A24" t="s">
        <v>258</v>
      </c>
      <c r="B24" t="s">
        <v>125</v>
      </c>
      <c r="C24" t="s">
        <v>6681</v>
      </c>
      <c r="D24" t="s">
        <v>262</v>
      </c>
      <c r="E24" t="str">
        <f>VLOOKUP(A24,'Consolidado Cierres'!$A$1:$P$1731,16,0)</f>
        <v>76.62%</v>
      </c>
      <c r="F24" t="s">
        <v>7720</v>
      </c>
      <c r="G24">
        <v>1.3</v>
      </c>
    </row>
    <row r="25" spans="1:7" x14ac:dyDescent="0.3">
      <c r="A25" t="s">
        <v>265</v>
      </c>
      <c r="B25" t="s">
        <v>125</v>
      </c>
      <c r="C25" t="s">
        <v>6622</v>
      </c>
      <c r="D25" t="s">
        <v>270</v>
      </c>
      <c r="E25" t="str">
        <f>VLOOKUP(A25,'Consolidado Cierres'!$A$1:$P$1731,16,0)</f>
        <v>79.43%</v>
      </c>
      <c r="F25" t="s">
        <v>7720</v>
      </c>
      <c r="G25">
        <v>1.3</v>
      </c>
    </row>
    <row r="26" spans="1:7" x14ac:dyDescent="0.3">
      <c r="A26" t="s">
        <v>274</v>
      </c>
      <c r="B26" t="s">
        <v>125</v>
      </c>
      <c r="C26" t="s">
        <v>6622</v>
      </c>
      <c r="D26" t="s">
        <v>97</v>
      </c>
      <c r="E26" t="str">
        <f>VLOOKUP(A26,'Consolidado Cierres'!$A$1:$P$1731,16,0)</f>
        <v>90.79%</v>
      </c>
      <c r="F26" t="s">
        <v>7720</v>
      </c>
      <c r="G26">
        <v>1.3</v>
      </c>
    </row>
    <row r="27" spans="1:7" x14ac:dyDescent="0.3">
      <c r="A27" t="s">
        <v>282</v>
      </c>
      <c r="B27" t="s">
        <v>125</v>
      </c>
      <c r="C27" t="s">
        <v>6622</v>
      </c>
      <c r="D27" t="s">
        <v>283</v>
      </c>
      <c r="E27" t="str">
        <f>VLOOKUP(A27,'Consolidado Cierres'!$A$1:$P$1731,16,0)</f>
        <v>85.4%</v>
      </c>
      <c r="F27" t="s">
        <v>7720</v>
      </c>
      <c r="G27">
        <v>1.3</v>
      </c>
    </row>
    <row r="28" spans="1:7" x14ac:dyDescent="0.3">
      <c r="A28" t="s">
        <v>298</v>
      </c>
      <c r="B28" t="s">
        <v>125</v>
      </c>
      <c r="C28" t="s">
        <v>6622</v>
      </c>
      <c r="D28" t="s">
        <v>299</v>
      </c>
      <c r="E28" t="str">
        <f>VLOOKUP(A28,'Consolidado Cierres'!$A$1:$P$1731,16,0)</f>
        <v>86.6%</v>
      </c>
      <c r="F28" t="s">
        <v>7720</v>
      </c>
      <c r="G28">
        <v>1.3</v>
      </c>
    </row>
    <row r="29" spans="1:7" x14ac:dyDescent="0.3">
      <c r="A29" t="s">
        <v>304</v>
      </c>
      <c r="B29" t="s">
        <v>308</v>
      </c>
      <c r="C29" t="s">
        <v>6622</v>
      </c>
      <c r="D29" t="s">
        <v>309</v>
      </c>
      <c r="E29" t="str">
        <f>VLOOKUP(A29,'Consolidado Cierres'!$A$1:$P$1731,16,0)</f>
        <v>88.12%</v>
      </c>
      <c r="F29" t="s">
        <v>7720</v>
      </c>
      <c r="G29">
        <v>1.3</v>
      </c>
    </row>
    <row r="30" spans="1:7" x14ac:dyDescent="0.3">
      <c r="A30" t="s">
        <v>333</v>
      </c>
      <c r="B30" t="s">
        <v>334</v>
      </c>
      <c r="C30" t="s">
        <v>6681</v>
      </c>
      <c r="D30" t="s">
        <v>262</v>
      </c>
      <c r="E30" t="str">
        <f>VLOOKUP(A30,'Consolidado Cierres'!$A$1:$P$1731,16,0)</f>
        <v>55925762.33%</v>
      </c>
      <c r="F30" t="s">
        <v>7720</v>
      </c>
      <c r="G30">
        <v>1.3</v>
      </c>
    </row>
    <row r="31" spans="1:7" x14ac:dyDescent="0.3">
      <c r="A31" t="s">
        <v>410</v>
      </c>
      <c r="B31" t="s">
        <v>411</v>
      </c>
      <c r="C31" t="s">
        <v>6681</v>
      </c>
      <c r="D31" t="s">
        <v>309</v>
      </c>
      <c r="E31" t="str">
        <f>VLOOKUP(A31,'Consolidado Cierres'!$A$1:$P$1731,16,0)</f>
        <v>90.98%</v>
      </c>
      <c r="F31" t="s">
        <v>7720</v>
      </c>
      <c r="G31">
        <v>1.3</v>
      </c>
    </row>
    <row r="32" spans="1:7" x14ac:dyDescent="0.3">
      <c r="A32" t="s">
        <v>445</v>
      </c>
      <c r="B32" t="s">
        <v>446</v>
      </c>
      <c r="C32" t="s">
        <v>6681</v>
      </c>
      <c r="D32" t="s">
        <v>97</v>
      </c>
      <c r="E32" t="str">
        <f>VLOOKUP(A32,'Consolidado Cierres'!$A$1:$P$1731,16,0)</f>
        <v>0.03%</v>
      </c>
      <c r="F32" t="s">
        <v>7720</v>
      </c>
      <c r="G32">
        <v>1.3</v>
      </c>
    </row>
    <row r="33" spans="1:7" x14ac:dyDescent="0.3">
      <c r="A33" t="s">
        <v>503</v>
      </c>
      <c r="B33" t="s">
        <v>504</v>
      </c>
      <c r="C33" t="s">
        <v>6681</v>
      </c>
      <c r="D33" t="s">
        <v>97</v>
      </c>
      <c r="E33" t="str">
        <f>VLOOKUP(A33,'Consolidado Cierres'!$A$1:$P$1731,16,0)</f>
        <v>0.08%</v>
      </c>
      <c r="F33" t="s">
        <v>7720</v>
      </c>
      <c r="G33">
        <v>1.3</v>
      </c>
    </row>
    <row r="34" spans="1:7" x14ac:dyDescent="0.3">
      <c r="A34" t="s">
        <v>563</v>
      </c>
      <c r="B34" t="s">
        <v>564</v>
      </c>
      <c r="C34" t="s">
        <v>6681</v>
      </c>
      <c r="D34" t="s">
        <v>97</v>
      </c>
      <c r="E34" t="str">
        <f>VLOOKUP(A34,'Consolidado Cierres'!$A$1:$P$1731,16,0)</f>
        <v>0.12%</v>
      </c>
      <c r="F34" t="s">
        <v>7720</v>
      </c>
      <c r="G34">
        <v>1.3</v>
      </c>
    </row>
    <row r="35" spans="1:7" x14ac:dyDescent="0.3">
      <c r="A35" t="s">
        <v>572</v>
      </c>
      <c r="B35" t="s">
        <v>573</v>
      </c>
      <c r="C35" t="s">
        <v>6681</v>
      </c>
      <c r="D35" t="s">
        <v>97</v>
      </c>
      <c r="E35" t="str">
        <f>VLOOKUP(A35,'Consolidado Cierres'!$A$1:$P$1731,16,0)</f>
        <v>0.0%</v>
      </c>
      <c r="F35" t="s">
        <v>7720</v>
      </c>
      <c r="G35">
        <v>1.3</v>
      </c>
    </row>
    <row r="36" spans="1:7" x14ac:dyDescent="0.3">
      <c r="A36" t="s">
        <v>578</v>
      </c>
      <c r="B36" t="s">
        <v>579</v>
      </c>
      <c r="C36" t="s">
        <v>6681</v>
      </c>
      <c r="D36" t="s">
        <v>97</v>
      </c>
      <c r="E36" t="str">
        <f>VLOOKUP(A36,'Consolidado Cierres'!$A$1:$P$1731,16,0)</f>
        <v>0.79%</v>
      </c>
      <c r="F36" t="s">
        <v>7720</v>
      </c>
      <c r="G36">
        <v>1.3</v>
      </c>
    </row>
    <row r="37" spans="1:7" x14ac:dyDescent="0.3">
      <c r="A37" t="s">
        <v>662</v>
      </c>
      <c r="B37" t="s">
        <v>125</v>
      </c>
      <c r="C37" t="s">
        <v>6622</v>
      </c>
      <c r="D37" t="s">
        <v>663</v>
      </c>
      <c r="E37" t="str">
        <f>VLOOKUP(A37,'Consolidado Cierres'!$A$1:$P$1731,16,0)</f>
        <v>84.9%</v>
      </c>
      <c r="F37" t="s">
        <v>7720</v>
      </c>
      <c r="G37">
        <v>1.3</v>
      </c>
    </row>
    <row r="38" spans="1:7" x14ac:dyDescent="0.3">
      <c r="A38" t="s">
        <v>758</v>
      </c>
      <c r="B38" t="s">
        <v>766</v>
      </c>
      <c r="C38" t="s">
        <v>6681</v>
      </c>
      <c r="D38" t="s">
        <v>760</v>
      </c>
      <c r="E38" t="str">
        <f>VLOOKUP(A38,'Consolidado Cierres'!$A$1:$P$1731,16,0)</f>
        <v>146.0%</v>
      </c>
      <c r="F38" t="s">
        <v>7721</v>
      </c>
      <c r="G38">
        <v>1.3</v>
      </c>
    </row>
    <row r="39" spans="1:7" x14ac:dyDescent="0.3">
      <c r="A39" t="s">
        <v>773</v>
      </c>
      <c r="B39" t="s">
        <v>774</v>
      </c>
      <c r="C39" t="s">
        <v>6622</v>
      </c>
      <c r="D39" t="s">
        <v>760</v>
      </c>
      <c r="E39" t="str">
        <f>VLOOKUP(A39,'Consolidado Cierres'!$A$1:$P$1731,16,0)</f>
        <v>4.83%</v>
      </c>
      <c r="F39" t="s">
        <v>7720</v>
      </c>
      <c r="G39">
        <v>1.3</v>
      </c>
    </row>
    <row r="40" spans="1:7" x14ac:dyDescent="0.3">
      <c r="A40" t="s">
        <v>781</v>
      </c>
      <c r="B40" t="s">
        <v>782</v>
      </c>
      <c r="C40" t="s">
        <v>6622</v>
      </c>
      <c r="D40" t="s">
        <v>146</v>
      </c>
      <c r="E40" t="str">
        <f>VLOOKUP(A40,'Consolidado Cierres'!$A$1:$P$1731,16,0)</f>
        <v>2.0%</v>
      </c>
      <c r="F40" t="s">
        <v>7720</v>
      </c>
      <c r="G40">
        <v>1.3</v>
      </c>
    </row>
    <row r="41" spans="1:7" x14ac:dyDescent="0.3">
      <c r="A41" t="s">
        <v>793</v>
      </c>
      <c r="B41" t="s">
        <v>794</v>
      </c>
      <c r="C41" t="s">
        <v>6622</v>
      </c>
      <c r="D41" t="s">
        <v>760</v>
      </c>
      <c r="E41" t="str">
        <f>VLOOKUP(A41,'Consolidado Cierres'!$A$1:$P$1731,16,0)</f>
        <v>310.0%</v>
      </c>
      <c r="F41" t="s">
        <v>7720</v>
      </c>
      <c r="G41">
        <v>1.3</v>
      </c>
    </row>
    <row r="42" spans="1:7" x14ac:dyDescent="0.3">
      <c r="A42" t="s">
        <v>804</v>
      </c>
      <c r="B42" t="s">
        <v>805</v>
      </c>
      <c r="C42" t="s">
        <v>6681</v>
      </c>
      <c r="D42" t="s">
        <v>760</v>
      </c>
      <c r="E42" t="str">
        <f>VLOOKUP(A42,'Consolidado Cierres'!$A$1:$P$1731,16,0)</f>
        <v>11.0%</v>
      </c>
      <c r="F42" t="s">
        <v>7720</v>
      </c>
      <c r="G42">
        <v>1.3</v>
      </c>
    </row>
    <row r="43" spans="1:7" x14ac:dyDescent="0.3">
      <c r="A43" t="s">
        <v>811</v>
      </c>
      <c r="B43" t="s">
        <v>817</v>
      </c>
      <c r="C43" t="s">
        <v>6622</v>
      </c>
      <c r="D43" t="s">
        <v>146</v>
      </c>
      <c r="E43" t="str">
        <f>VLOOKUP(A43,'Consolidado Cierres'!$A$1:$P$1731,16,0)</f>
        <v>4.66%</v>
      </c>
      <c r="F43" t="s">
        <v>7720</v>
      </c>
      <c r="G43">
        <v>1.3</v>
      </c>
    </row>
    <row r="44" spans="1:7" x14ac:dyDescent="0.3">
      <c r="A44" t="s">
        <v>826</v>
      </c>
      <c r="B44" t="s">
        <v>7722</v>
      </c>
      <c r="C44" t="s">
        <v>6622</v>
      </c>
      <c r="D44" t="s">
        <v>760</v>
      </c>
      <c r="E44" t="str">
        <f>VLOOKUP(A44,'Consolidado Cierres'!$A$1:$P$1731,16,0)</f>
        <v>73.64%</v>
      </c>
      <c r="F44" t="s">
        <v>7720</v>
      </c>
      <c r="G44">
        <v>1.3</v>
      </c>
    </row>
    <row r="45" spans="1:7" x14ac:dyDescent="0.3">
      <c r="A45" t="s">
        <v>833</v>
      </c>
      <c r="B45" t="s">
        <v>125</v>
      </c>
      <c r="C45" t="s">
        <v>6622</v>
      </c>
      <c r="D45" t="s">
        <v>672</v>
      </c>
      <c r="E45">
        <f>VLOOKUP(A45,'Consolidado Cierres'!$A$1:$P$1731,16,0)</f>
        <v>0</v>
      </c>
      <c r="F45" t="s">
        <v>7720</v>
      </c>
      <c r="G45">
        <v>1.3</v>
      </c>
    </row>
    <row r="46" spans="1:7" x14ac:dyDescent="0.3">
      <c r="A46" t="s">
        <v>767</v>
      </c>
      <c r="B46" t="s">
        <v>125</v>
      </c>
      <c r="C46" t="s">
        <v>6622</v>
      </c>
      <c r="D46" t="s">
        <v>842</v>
      </c>
      <c r="E46" t="str">
        <f>VLOOKUP(A46,'Consolidado Cierres'!$A$1:$P$1731,16,0)</f>
        <v>98.0%</v>
      </c>
      <c r="F46" t="s">
        <v>7720</v>
      </c>
      <c r="G46">
        <v>1.3</v>
      </c>
    </row>
    <row r="47" spans="1:7" x14ac:dyDescent="0.3">
      <c r="A47" t="s">
        <v>852</v>
      </c>
      <c r="B47" t="s">
        <v>853</v>
      </c>
      <c r="C47" t="s">
        <v>6681</v>
      </c>
      <c r="D47" t="s">
        <v>262</v>
      </c>
      <c r="E47" t="str">
        <f>VLOOKUP(A47,'Consolidado Cierres'!$A$1:$P$1731,16,0)</f>
        <v>96.93%</v>
      </c>
      <c r="F47" t="s">
        <v>7720</v>
      </c>
      <c r="G47">
        <v>1.3</v>
      </c>
    </row>
    <row r="48" spans="1:7" x14ac:dyDescent="0.3">
      <c r="A48" t="s">
        <v>867</v>
      </c>
      <c r="B48" t="s">
        <v>868</v>
      </c>
      <c r="C48" t="s">
        <v>6681</v>
      </c>
      <c r="D48" t="s">
        <v>309</v>
      </c>
      <c r="E48" t="str">
        <f>VLOOKUP(A48,'Consolidado Cierres'!$A$1:$P$1731,16,0)</f>
        <v>98.18%</v>
      </c>
      <c r="F48" t="s">
        <v>7720</v>
      </c>
      <c r="G48">
        <v>1.3</v>
      </c>
    </row>
    <row r="49" spans="1:7" x14ac:dyDescent="0.3">
      <c r="A49" t="s">
        <v>961</v>
      </c>
      <c r="B49" t="s">
        <v>969</v>
      </c>
      <c r="C49" t="s">
        <v>6622</v>
      </c>
      <c r="D49" t="s">
        <v>717</v>
      </c>
      <c r="E49" t="str">
        <f>VLOOKUP(A49,'Consolidado Cierres'!$A$1:$P$1731,16,0)</f>
        <v>92.1%</v>
      </c>
      <c r="F49" t="s">
        <v>7720</v>
      </c>
      <c r="G49">
        <v>1.3</v>
      </c>
    </row>
    <row r="50" spans="1:7" x14ac:dyDescent="0.3">
      <c r="A50" t="s">
        <v>995</v>
      </c>
      <c r="B50" t="s">
        <v>996</v>
      </c>
      <c r="C50" t="s">
        <v>6622</v>
      </c>
      <c r="D50" t="s">
        <v>251</v>
      </c>
      <c r="E50" t="str">
        <f>VLOOKUP(A50,'Consolidado Cierres'!$A$1:$P$1731,16,0)</f>
        <v>100.0%</v>
      </c>
      <c r="F50" t="s">
        <v>7720</v>
      </c>
      <c r="G50">
        <v>1.3</v>
      </c>
    </row>
    <row r="51" spans="1:7" x14ac:dyDescent="0.3">
      <c r="A51" t="s">
        <v>1011</v>
      </c>
      <c r="B51" t="s">
        <v>1012</v>
      </c>
      <c r="C51" t="s">
        <v>6681</v>
      </c>
      <c r="D51" t="s">
        <v>262</v>
      </c>
      <c r="E51" t="str">
        <f>VLOOKUP(A51,'Consolidado Cierres'!$A$1:$P$1731,16,0)</f>
        <v>87.67%</v>
      </c>
      <c r="F51" t="s">
        <v>7720</v>
      </c>
      <c r="G51">
        <v>1.3</v>
      </c>
    </row>
    <row r="52" spans="1:7" x14ac:dyDescent="0.3">
      <c r="A52" t="s">
        <v>1039</v>
      </c>
      <c r="B52" t="s">
        <v>1040</v>
      </c>
      <c r="C52" t="s">
        <v>6622</v>
      </c>
      <c r="D52" t="s">
        <v>262</v>
      </c>
      <c r="E52" t="str">
        <f>VLOOKUP(A52,'Consolidado Cierres'!$A$1:$P$1731,16,0)</f>
        <v>90.0%</v>
      </c>
      <c r="F52" t="s">
        <v>7720</v>
      </c>
      <c r="G52">
        <v>1.3</v>
      </c>
    </row>
    <row r="53" spans="1:7" x14ac:dyDescent="0.3">
      <c r="A53" t="s">
        <v>1048</v>
      </c>
      <c r="B53" t="s">
        <v>1049</v>
      </c>
      <c r="C53" t="s">
        <v>6622</v>
      </c>
      <c r="D53" t="s">
        <v>262</v>
      </c>
      <c r="E53" t="str">
        <f>VLOOKUP(A53,'Consolidado Cierres'!$A$1:$P$1731,16,0)</f>
        <v>64.7%</v>
      </c>
      <c r="F53" t="s">
        <v>7720</v>
      </c>
      <c r="G53">
        <v>1.3</v>
      </c>
    </row>
    <row r="54" spans="1:7" x14ac:dyDescent="0.3">
      <c r="A54" t="s">
        <v>1056</v>
      </c>
      <c r="B54" t="s">
        <v>1057</v>
      </c>
      <c r="C54" t="s">
        <v>6622</v>
      </c>
      <c r="D54" t="s">
        <v>225</v>
      </c>
      <c r="E54" t="str">
        <f>VLOOKUP(A54,'Consolidado Cierres'!$A$1:$P$1731,16,0)</f>
        <v>360026.0%</v>
      </c>
      <c r="F54" t="s">
        <v>7723</v>
      </c>
      <c r="G54">
        <v>1.3</v>
      </c>
    </row>
    <row r="55" spans="1:7" x14ac:dyDescent="0.3">
      <c r="A55" t="s">
        <v>1070</v>
      </c>
      <c r="B55" t="s">
        <v>1071</v>
      </c>
      <c r="C55" t="s">
        <v>6622</v>
      </c>
      <c r="D55" t="s">
        <v>225</v>
      </c>
      <c r="E55" t="str">
        <f>VLOOKUP(A55,'Consolidado Cierres'!$A$1:$P$1731,16,0)</f>
        <v>27743.5%</v>
      </c>
      <c r="F55" t="s">
        <v>7720</v>
      </c>
      <c r="G55">
        <v>1.3</v>
      </c>
    </row>
    <row r="56" spans="1:7" x14ac:dyDescent="0.3">
      <c r="A56" t="s">
        <v>1084</v>
      </c>
      <c r="B56" t="s">
        <v>1085</v>
      </c>
      <c r="C56" t="s">
        <v>6622</v>
      </c>
      <c r="D56" t="s">
        <v>225</v>
      </c>
      <c r="E56" t="str">
        <f>VLOOKUP(A56,'Consolidado Cierres'!$A$1:$P$1731,16,0)</f>
        <v>2605.0%</v>
      </c>
      <c r="F56" t="s">
        <v>7720</v>
      </c>
      <c r="G56">
        <v>1.3</v>
      </c>
    </row>
    <row r="57" spans="1:7" x14ac:dyDescent="0.3">
      <c r="A57" t="s">
        <v>1097</v>
      </c>
      <c r="B57" t="s">
        <v>1098</v>
      </c>
      <c r="C57" t="s">
        <v>6622</v>
      </c>
      <c r="D57" t="s">
        <v>225</v>
      </c>
      <c r="E57" t="str">
        <f>VLOOKUP(A57,'Consolidado Cierres'!$A$1:$P$1731,16,0)</f>
        <v>3803.57%</v>
      </c>
      <c r="F57" t="s">
        <v>7720</v>
      </c>
      <c r="G57">
        <v>1.3</v>
      </c>
    </row>
    <row r="58" spans="1:7" x14ac:dyDescent="0.3">
      <c r="A58" t="s">
        <v>1104</v>
      </c>
      <c r="B58" t="s">
        <v>1105</v>
      </c>
      <c r="C58" t="s">
        <v>6622</v>
      </c>
      <c r="D58" t="s">
        <v>225</v>
      </c>
      <c r="E58" t="str">
        <f>VLOOKUP(A58,'Consolidado Cierres'!$A$1:$P$1731,16,0)</f>
        <v>181687.43%</v>
      </c>
      <c r="F58" t="s">
        <v>7720</v>
      </c>
      <c r="G58">
        <v>1.3</v>
      </c>
    </row>
    <row r="59" spans="1:7" x14ac:dyDescent="0.3">
      <c r="A59" t="s">
        <v>1116</v>
      </c>
      <c r="B59" t="s">
        <v>1117</v>
      </c>
      <c r="C59" t="s">
        <v>6681</v>
      </c>
      <c r="D59" t="s">
        <v>299</v>
      </c>
      <c r="E59" t="str">
        <f>VLOOKUP(A59,'Consolidado Cierres'!$A$1:$P$1731,16,0)</f>
        <v>14740.0%</v>
      </c>
      <c r="F59" t="s">
        <v>7723</v>
      </c>
      <c r="G59">
        <v>1.3</v>
      </c>
    </row>
    <row r="60" spans="1:7" x14ac:dyDescent="0.3">
      <c r="A60" t="s">
        <v>1180</v>
      </c>
      <c r="B60" t="s">
        <v>1181</v>
      </c>
      <c r="C60" t="s">
        <v>6622</v>
      </c>
      <c r="D60" t="s">
        <v>299</v>
      </c>
      <c r="E60" t="str">
        <f>VLOOKUP(A60,'Consolidado Cierres'!$A$1:$P$1731,16,0)</f>
        <v>93.24%</v>
      </c>
      <c r="F60" t="s">
        <v>7720</v>
      </c>
      <c r="G60">
        <v>1.3</v>
      </c>
    </row>
    <row r="61" spans="1:7" x14ac:dyDescent="0.3">
      <c r="A61" t="s">
        <v>1195</v>
      </c>
      <c r="B61" t="s">
        <v>1196</v>
      </c>
      <c r="C61" t="s">
        <v>6681</v>
      </c>
      <c r="D61" t="s">
        <v>299</v>
      </c>
      <c r="E61" t="str">
        <f>VLOOKUP(A61,'Consolidado Cierres'!$A$1:$P$1731,16,0)</f>
        <v>44656.3%</v>
      </c>
      <c r="F61" t="s">
        <v>7723</v>
      </c>
      <c r="G61">
        <v>1.3</v>
      </c>
    </row>
    <row r="62" spans="1:7" x14ac:dyDescent="0.3">
      <c r="A62" t="s">
        <v>1257</v>
      </c>
      <c r="B62" t="s">
        <v>1258</v>
      </c>
      <c r="C62" t="s">
        <v>6681</v>
      </c>
      <c r="D62" t="s">
        <v>299</v>
      </c>
      <c r="E62" t="str">
        <f>VLOOKUP(A62,'Consolidado Cierres'!$A$1:$P$1731,16,0)</f>
        <v>-47.67%</v>
      </c>
      <c r="F62" t="s">
        <v>7720</v>
      </c>
      <c r="G62">
        <v>1.3</v>
      </c>
    </row>
    <row r="63" spans="1:7" x14ac:dyDescent="0.3">
      <c r="A63" t="s">
        <v>1266</v>
      </c>
      <c r="B63" t="s">
        <v>1267</v>
      </c>
      <c r="C63" t="s">
        <v>6622</v>
      </c>
      <c r="D63" t="s">
        <v>299</v>
      </c>
      <c r="E63">
        <f>VLOOKUP(A63,'Consolidado Cierres'!$A$1:$P$1731,16,0)</f>
        <v>0</v>
      </c>
      <c r="F63" t="s">
        <v>7720</v>
      </c>
      <c r="G63">
        <v>1.3</v>
      </c>
    </row>
    <row r="64" spans="1:7" x14ac:dyDescent="0.3">
      <c r="A64" t="s">
        <v>1271</v>
      </c>
      <c r="B64" t="s">
        <v>1272</v>
      </c>
      <c r="C64" t="s">
        <v>6622</v>
      </c>
      <c r="D64" t="s">
        <v>299</v>
      </c>
      <c r="E64" t="str">
        <f>VLOOKUP(A64,'Consolidado Cierres'!$A$1:$P$1731,16,0)</f>
        <v>453.02%</v>
      </c>
      <c r="F64" t="s">
        <v>7723</v>
      </c>
      <c r="G64">
        <v>1.3</v>
      </c>
    </row>
    <row r="65" spans="1:7" x14ac:dyDescent="0.3">
      <c r="A65" t="s">
        <v>1327</v>
      </c>
      <c r="B65" t="s">
        <v>1328</v>
      </c>
      <c r="C65" t="s">
        <v>6681</v>
      </c>
      <c r="D65" t="s">
        <v>299</v>
      </c>
      <c r="E65" t="str">
        <f>VLOOKUP(A65,'Consolidado Cierres'!$A$1:$P$1731,16,0)</f>
        <v>1604699.23%</v>
      </c>
      <c r="F65" t="s">
        <v>7723</v>
      </c>
      <c r="G65">
        <v>1.3</v>
      </c>
    </row>
    <row r="66" spans="1:7" x14ac:dyDescent="0.3">
      <c r="A66" t="s">
        <v>1389</v>
      </c>
      <c r="B66" t="s">
        <v>1390</v>
      </c>
      <c r="C66" t="s">
        <v>6681</v>
      </c>
      <c r="D66" t="s">
        <v>299</v>
      </c>
      <c r="E66" t="str">
        <f>VLOOKUP(A66,'Consolidado Cierres'!$A$1:$P$1731,16,0)</f>
        <v>15.25%</v>
      </c>
      <c r="F66" t="s">
        <v>7723</v>
      </c>
      <c r="G66">
        <v>1.3</v>
      </c>
    </row>
    <row r="67" spans="1:7" x14ac:dyDescent="0.3">
      <c r="A67" t="s">
        <v>1401</v>
      </c>
      <c r="B67" t="s">
        <v>1402</v>
      </c>
      <c r="C67" t="s">
        <v>6681</v>
      </c>
      <c r="D67" t="s">
        <v>299</v>
      </c>
      <c r="E67" t="str">
        <f>VLOOKUP(A67,'Consolidado Cierres'!$A$1:$P$1731,16,0)</f>
        <v>40.43%</v>
      </c>
      <c r="F67" t="s">
        <v>7720</v>
      </c>
      <c r="G67">
        <v>1.3</v>
      </c>
    </row>
    <row r="68" spans="1:7" x14ac:dyDescent="0.3">
      <c r="A68" t="s">
        <v>1413</v>
      </c>
      <c r="B68" t="s">
        <v>1414</v>
      </c>
      <c r="C68" t="s">
        <v>6681</v>
      </c>
      <c r="D68" t="s">
        <v>299</v>
      </c>
      <c r="E68">
        <f>VLOOKUP(A68,'Consolidado Cierres'!$A$1:$P$1731,16,0)</f>
        <v>0</v>
      </c>
      <c r="F68" t="s">
        <v>7720</v>
      </c>
      <c r="G68">
        <v>1.3</v>
      </c>
    </row>
    <row r="69" spans="1:7" x14ac:dyDescent="0.3">
      <c r="A69" t="s">
        <v>1418</v>
      </c>
      <c r="B69" t="s">
        <v>1419</v>
      </c>
      <c r="C69" t="s">
        <v>6681</v>
      </c>
      <c r="D69" t="s">
        <v>299</v>
      </c>
      <c r="E69" t="str">
        <f>VLOOKUP(A69,'Consolidado Cierres'!$A$1:$P$1731,16,0)</f>
        <v>93.75%</v>
      </c>
      <c r="F69" t="s">
        <v>7723</v>
      </c>
      <c r="G69">
        <v>1.3</v>
      </c>
    </row>
    <row r="70" spans="1:7" x14ac:dyDescent="0.3">
      <c r="A70" t="s">
        <v>1424</v>
      </c>
      <c r="B70" t="s">
        <v>1425</v>
      </c>
      <c r="C70" t="s">
        <v>6681</v>
      </c>
      <c r="D70" t="s">
        <v>299</v>
      </c>
      <c r="E70">
        <f>VLOOKUP(A70,'Consolidado Cierres'!$A$1:$P$1731,16,0)</f>
        <v>0</v>
      </c>
      <c r="F70" t="s">
        <v>7723</v>
      </c>
      <c r="G70">
        <v>1.3</v>
      </c>
    </row>
    <row r="71" spans="1:7" x14ac:dyDescent="0.3">
      <c r="A71" t="s">
        <v>1428</v>
      </c>
      <c r="B71" t="s">
        <v>1429</v>
      </c>
      <c r="C71" t="s">
        <v>6681</v>
      </c>
      <c r="D71" t="s">
        <v>299</v>
      </c>
      <c r="E71" t="str">
        <f>VLOOKUP(A71,'Consolidado Cierres'!$A$1:$P$1731,16,0)</f>
        <v>71.43%</v>
      </c>
      <c r="F71" t="s">
        <v>7723</v>
      </c>
      <c r="G71">
        <v>1.3</v>
      </c>
    </row>
    <row r="72" spans="1:7" x14ac:dyDescent="0.3">
      <c r="A72" t="s">
        <v>1433</v>
      </c>
      <c r="B72" t="s">
        <v>1434</v>
      </c>
      <c r="C72" t="s">
        <v>6681</v>
      </c>
      <c r="D72" t="s">
        <v>299</v>
      </c>
      <c r="E72" t="str">
        <f>VLOOKUP(A72,'Consolidado Cierres'!$A$1:$P$1731,16,0)</f>
        <v>245.0%</v>
      </c>
      <c r="F72" t="s">
        <v>7723</v>
      </c>
      <c r="G72">
        <v>1.3</v>
      </c>
    </row>
    <row r="73" spans="1:7" x14ac:dyDescent="0.3">
      <c r="A73" t="s">
        <v>1483</v>
      </c>
      <c r="B73" t="s">
        <v>1484</v>
      </c>
      <c r="C73" t="s">
        <v>6681</v>
      </c>
      <c r="D73" t="s">
        <v>299</v>
      </c>
      <c r="E73" t="str">
        <f>VLOOKUP(A73,'Consolidado Cierres'!$A$1:$P$1731,16,0)</f>
        <v>476.49%</v>
      </c>
      <c r="F73" t="s">
        <v>7723</v>
      </c>
      <c r="G73">
        <v>1.3</v>
      </c>
    </row>
    <row r="74" spans="1:7" x14ac:dyDescent="0.3">
      <c r="A74" t="s">
        <v>1489</v>
      </c>
      <c r="B74" t="s">
        <v>1494</v>
      </c>
      <c r="C74" t="s">
        <v>6681</v>
      </c>
      <c r="D74" t="s">
        <v>299</v>
      </c>
      <c r="E74" t="str">
        <f>VLOOKUP(A74,'Consolidado Cierres'!$A$1:$P$1731,16,0)</f>
        <v>0.1%</v>
      </c>
      <c r="F74" t="s">
        <v>7723</v>
      </c>
      <c r="G74">
        <v>1.3</v>
      </c>
    </row>
    <row r="75" spans="1:7" x14ac:dyDescent="0.3">
      <c r="A75" t="s">
        <v>1497</v>
      </c>
      <c r="B75" t="s">
        <v>1498</v>
      </c>
      <c r="C75" t="s">
        <v>6681</v>
      </c>
      <c r="D75" t="s">
        <v>299</v>
      </c>
      <c r="E75" t="str">
        <f>VLOOKUP(A75,'Consolidado Cierres'!$A$1:$P$1731,16,0)</f>
        <v>235.0%</v>
      </c>
      <c r="F75" t="s">
        <v>7723</v>
      </c>
      <c r="G75">
        <v>1.3</v>
      </c>
    </row>
    <row r="76" spans="1:7" x14ac:dyDescent="0.3">
      <c r="A76" t="s">
        <v>1503</v>
      </c>
      <c r="B76" t="s">
        <v>1504</v>
      </c>
      <c r="C76" t="s">
        <v>6681</v>
      </c>
      <c r="D76" t="s">
        <v>299</v>
      </c>
      <c r="E76" t="str">
        <f>VLOOKUP(A76,'Consolidado Cierres'!$A$1:$P$1731,16,0)</f>
        <v>15.0%</v>
      </c>
      <c r="F76" t="s">
        <v>7720</v>
      </c>
      <c r="G76">
        <v>1.3</v>
      </c>
    </row>
    <row r="77" spans="1:7" x14ac:dyDescent="0.3">
      <c r="A77" t="s">
        <v>1510</v>
      </c>
      <c r="B77" t="s">
        <v>1511</v>
      </c>
      <c r="C77" t="s">
        <v>6681</v>
      </c>
      <c r="D77" t="s">
        <v>299</v>
      </c>
      <c r="E77" t="str">
        <f>VLOOKUP(A77,'Consolidado Cierres'!$A$1:$P$1731,16,0)</f>
        <v>38.24%</v>
      </c>
      <c r="F77" t="s">
        <v>7720</v>
      </c>
      <c r="G77">
        <v>1.3</v>
      </c>
    </row>
    <row r="78" spans="1:7" x14ac:dyDescent="0.3">
      <c r="A78" t="s">
        <v>1518</v>
      </c>
      <c r="B78" t="s">
        <v>1519</v>
      </c>
      <c r="C78" t="s">
        <v>6681</v>
      </c>
      <c r="D78" t="s">
        <v>299</v>
      </c>
      <c r="E78" t="str">
        <f>VLOOKUP(A78,'Consolidado Cierres'!$A$1:$P$1731,16,0)</f>
        <v>21.0%</v>
      </c>
      <c r="F78" t="s">
        <v>7720</v>
      </c>
      <c r="G78">
        <v>1.3</v>
      </c>
    </row>
    <row r="79" spans="1:7" x14ac:dyDescent="0.3">
      <c r="A79" t="s">
        <v>1527</v>
      </c>
      <c r="B79" t="s">
        <v>1528</v>
      </c>
      <c r="C79" t="s">
        <v>6681</v>
      </c>
      <c r="D79" t="s">
        <v>299</v>
      </c>
      <c r="E79" t="str">
        <f>VLOOKUP(A79,'Consolidado Cierres'!$A$1:$P$1731,16,0)</f>
        <v>51.0%</v>
      </c>
      <c r="F79" t="s">
        <v>7720</v>
      </c>
      <c r="G79">
        <v>1.3</v>
      </c>
    </row>
    <row r="80" spans="1:7" x14ac:dyDescent="0.3">
      <c r="A80" t="s">
        <v>1543</v>
      </c>
      <c r="B80" t="s">
        <v>1544</v>
      </c>
      <c r="C80" t="s">
        <v>6681</v>
      </c>
      <c r="D80" t="s">
        <v>299</v>
      </c>
      <c r="E80" t="str">
        <f>VLOOKUP(A80,'Consolidado Cierres'!$A$1:$P$1731,16,0)</f>
        <v>9203.38%</v>
      </c>
      <c r="F80" t="s">
        <v>7720</v>
      </c>
      <c r="G80">
        <v>1.3</v>
      </c>
    </row>
    <row r="81" spans="1:7" x14ac:dyDescent="0.3">
      <c r="A81" t="s">
        <v>1560</v>
      </c>
      <c r="B81" t="s">
        <v>1561</v>
      </c>
      <c r="C81" t="s">
        <v>6681</v>
      </c>
      <c r="D81" t="s">
        <v>299</v>
      </c>
      <c r="E81">
        <f>VLOOKUP(A81,'Consolidado Cierres'!$A$1:$P$1731,16,0)</f>
        <v>0</v>
      </c>
      <c r="F81" t="s">
        <v>7720</v>
      </c>
      <c r="G81">
        <v>1.3</v>
      </c>
    </row>
    <row r="82" spans="1:7" x14ac:dyDescent="0.3">
      <c r="A82" t="s">
        <v>1564</v>
      </c>
      <c r="B82" t="s">
        <v>1565</v>
      </c>
      <c r="C82" t="s">
        <v>6681</v>
      </c>
      <c r="D82" t="s">
        <v>299</v>
      </c>
      <c r="E82">
        <f>VLOOKUP(A82,'Consolidado Cierres'!$A$1:$P$1731,16,0)</f>
        <v>0</v>
      </c>
      <c r="F82" t="s">
        <v>7720</v>
      </c>
      <c r="G82">
        <v>1.3</v>
      </c>
    </row>
    <row r="83" spans="1:7" x14ac:dyDescent="0.3">
      <c r="A83" t="s">
        <v>1568</v>
      </c>
      <c r="B83" t="s">
        <v>1569</v>
      </c>
      <c r="C83" t="s">
        <v>6622</v>
      </c>
      <c r="D83" t="s">
        <v>299</v>
      </c>
      <c r="E83" t="str">
        <f>VLOOKUP(A83,'Consolidado Cierres'!$A$1:$P$1731,16,0)</f>
        <v>231.47%</v>
      </c>
      <c r="F83" t="s">
        <v>7723</v>
      </c>
      <c r="G83">
        <v>1.3</v>
      </c>
    </row>
    <row r="84" spans="1:7" x14ac:dyDescent="0.3">
      <c r="A84" t="s">
        <v>1585</v>
      </c>
      <c r="B84" t="s">
        <v>1611</v>
      </c>
      <c r="C84" t="s">
        <v>6681</v>
      </c>
      <c r="D84" t="s">
        <v>187</v>
      </c>
      <c r="E84" t="str">
        <f>VLOOKUP(A84,'Consolidado Cierres'!$A$1:$P$1731,16,0)</f>
        <v>257.0%</v>
      </c>
      <c r="F84" t="s">
        <v>7723</v>
      </c>
      <c r="G84">
        <v>1.3</v>
      </c>
    </row>
    <row r="85" spans="1:7" x14ac:dyDescent="0.3">
      <c r="A85" t="s">
        <v>1631</v>
      </c>
      <c r="B85" t="s">
        <v>1632</v>
      </c>
      <c r="C85" t="s">
        <v>6681</v>
      </c>
      <c r="D85" t="s">
        <v>187</v>
      </c>
      <c r="E85" t="str">
        <f>VLOOKUP(A85,'Consolidado Cierres'!$A$1:$P$1731,16,0)</f>
        <v>65.0%</v>
      </c>
      <c r="F85" t="s">
        <v>7720</v>
      </c>
      <c r="G85">
        <v>1.3</v>
      </c>
    </row>
    <row r="86" spans="1:7" x14ac:dyDescent="0.3">
      <c r="A86" t="s">
        <v>1643</v>
      </c>
      <c r="B86" t="s">
        <v>1644</v>
      </c>
      <c r="C86" t="s">
        <v>6681</v>
      </c>
      <c r="D86" t="s">
        <v>187</v>
      </c>
      <c r="E86" t="str">
        <f>VLOOKUP(A86,'Consolidado Cierres'!$A$1:$P$1731,16,0)</f>
        <v>91.86%</v>
      </c>
      <c r="F86" t="s">
        <v>7720</v>
      </c>
      <c r="G86">
        <v>1.3</v>
      </c>
    </row>
    <row r="87" spans="1:7" x14ac:dyDescent="0.3">
      <c r="A87" t="s">
        <v>1706</v>
      </c>
      <c r="B87" t="s">
        <v>1707</v>
      </c>
      <c r="C87" t="s">
        <v>6622</v>
      </c>
      <c r="D87" t="s">
        <v>299</v>
      </c>
      <c r="E87">
        <f>VLOOKUP(A87,'Consolidado Cierres'!$A$1:$P$1731,16,0)</f>
        <v>0</v>
      </c>
      <c r="F87" t="s">
        <v>7720</v>
      </c>
      <c r="G87">
        <v>1.3</v>
      </c>
    </row>
    <row r="88" spans="1:7" x14ac:dyDescent="0.3">
      <c r="A88" t="s">
        <v>1710</v>
      </c>
      <c r="B88" t="s">
        <v>1718</v>
      </c>
      <c r="C88" t="s">
        <v>6622</v>
      </c>
      <c r="D88" t="s">
        <v>730</v>
      </c>
      <c r="E88" t="str">
        <f>VLOOKUP(A88,'Consolidado Cierres'!$A$1:$P$1731,16,0)</f>
        <v>86.45%</v>
      </c>
      <c r="F88" t="s">
        <v>7720</v>
      </c>
      <c r="G88">
        <v>1.3</v>
      </c>
    </row>
    <row r="89" spans="1:7" x14ac:dyDescent="0.3">
      <c r="A89" t="s">
        <v>1725</v>
      </c>
      <c r="B89" t="s">
        <v>1728</v>
      </c>
      <c r="C89" t="s">
        <v>6622</v>
      </c>
      <c r="D89" t="s">
        <v>150</v>
      </c>
      <c r="E89" t="str">
        <f>VLOOKUP(A89,'Consolidado Cierres'!$A$1:$P$1731,16,0)</f>
        <v>61.4%</v>
      </c>
      <c r="F89" t="s">
        <v>7720</v>
      </c>
      <c r="G89">
        <v>1.3</v>
      </c>
    </row>
    <row r="90" spans="1:7" x14ac:dyDescent="0.3">
      <c r="A90" t="s">
        <v>1757</v>
      </c>
      <c r="B90" t="s">
        <v>1765</v>
      </c>
      <c r="C90" t="s">
        <v>6622</v>
      </c>
      <c r="D90" t="s">
        <v>138</v>
      </c>
      <c r="E90" t="str">
        <f>VLOOKUP(A90,'Consolidado Cierres'!$A$1:$P$1731,16,0)</f>
        <v>97.96%</v>
      </c>
      <c r="F90" t="s">
        <v>7720</v>
      </c>
      <c r="G90">
        <v>1.3</v>
      </c>
    </row>
    <row r="91" spans="1:7" x14ac:dyDescent="0.3">
      <c r="A91" t="s">
        <v>1771</v>
      </c>
      <c r="B91" t="s">
        <v>1777</v>
      </c>
      <c r="C91" t="s">
        <v>6622</v>
      </c>
      <c r="D91" t="s">
        <v>730</v>
      </c>
      <c r="E91" t="str">
        <f>VLOOKUP(A91,'Consolidado Cierres'!$A$1:$P$1731,16,0)</f>
        <v>70.97%</v>
      </c>
      <c r="F91" t="s">
        <v>7720</v>
      </c>
      <c r="G91">
        <v>1.3</v>
      </c>
    </row>
    <row r="92" spans="1:7" x14ac:dyDescent="0.3">
      <c r="A92" t="s">
        <v>1792</v>
      </c>
      <c r="B92" t="s">
        <v>1793</v>
      </c>
      <c r="C92" t="s">
        <v>6622</v>
      </c>
      <c r="D92" t="s">
        <v>129</v>
      </c>
      <c r="E92" t="str">
        <f>VLOOKUP(A92,'Consolidado Cierres'!$A$1:$P$1731,16,0)</f>
        <v>54.67%</v>
      </c>
      <c r="F92" t="s">
        <v>7720</v>
      </c>
      <c r="G92">
        <v>1.3</v>
      </c>
    </row>
    <row r="93" spans="1:7" x14ac:dyDescent="0.3">
      <c r="A93" t="s">
        <v>1804</v>
      </c>
      <c r="B93" t="s">
        <v>1808</v>
      </c>
      <c r="C93" t="s">
        <v>6622</v>
      </c>
      <c r="D93" t="s">
        <v>842</v>
      </c>
      <c r="E93" t="str">
        <f>VLOOKUP(A93,'Consolidado Cierres'!$A$1:$P$1731,16,0)</f>
        <v>18.0%</v>
      </c>
      <c r="F93" t="s">
        <v>7720</v>
      </c>
      <c r="G93">
        <v>1.3</v>
      </c>
    </row>
    <row r="94" spans="1:7" x14ac:dyDescent="0.3">
      <c r="A94" t="s">
        <v>1810</v>
      </c>
      <c r="B94" t="s">
        <v>1811</v>
      </c>
      <c r="C94" t="s">
        <v>6622</v>
      </c>
      <c r="D94" t="s">
        <v>842</v>
      </c>
      <c r="E94" t="str">
        <f>VLOOKUP(A94,'Consolidado Cierres'!$A$1:$P$1731,16,0)</f>
        <v>21.0%</v>
      </c>
      <c r="F94" t="s">
        <v>7720</v>
      </c>
      <c r="G94">
        <v>1.3</v>
      </c>
    </row>
    <row r="95" spans="1:7" x14ac:dyDescent="0.3">
      <c r="A95" t="s">
        <v>1830</v>
      </c>
      <c r="B95" t="s">
        <v>1831</v>
      </c>
      <c r="C95" t="s">
        <v>6622</v>
      </c>
      <c r="D95" t="s">
        <v>1832</v>
      </c>
      <c r="E95" t="str">
        <f>VLOOKUP(A95,'Consolidado Cierres'!$A$1:$P$1731,16,0)</f>
        <v>2.85%</v>
      </c>
      <c r="F95" t="s">
        <v>7720</v>
      </c>
      <c r="G95">
        <v>1.3</v>
      </c>
    </row>
    <row r="96" spans="1:7" x14ac:dyDescent="0.3">
      <c r="A96" t="s">
        <v>1842</v>
      </c>
      <c r="B96" t="s">
        <v>1843</v>
      </c>
      <c r="C96" t="s">
        <v>6622</v>
      </c>
      <c r="D96" t="s">
        <v>717</v>
      </c>
      <c r="E96" t="str">
        <f>VLOOKUP(A96,'Consolidado Cierres'!$A$1:$P$1731,16,0)</f>
        <v>1.98%</v>
      </c>
      <c r="F96" t="s">
        <v>7720</v>
      </c>
      <c r="G96">
        <v>1.3</v>
      </c>
    </row>
    <row r="97" spans="1:7" x14ac:dyDescent="0.3">
      <c r="A97" t="s">
        <v>1854</v>
      </c>
      <c r="B97" t="s">
        <v>1858</v>
      </c>
      <c r="C97" t="s">
        <v>6622</v>
      </c>
      <c r="D97" t="s">
        <v>184</v>
      </c>
      <c r="E97" t="str">
        <f>VLOOKUP(A97,'Consolidado Cierres'!$A$1:$P$1731,16,0)</f>
        <v>5.5%</v>
      </c>
      <c r="F97" t="s">
        <v>7720</v>
      </c>
      <c r="G97">
        <v>1.3</v>
      </c>
    </row>
    <row r="98" spans="1:7" x14ac:dyDescent="0.3">
      <c r="A98" t="s">
        <v>1864</v>
      </c>
      <c r="B98" t="s">
        <v>1865</v>
      </c>
      <c r="C98" t="s">
        <v>6622</v>
      </c>
      <c r="D98" t="s">
        <v>184</v>
      </c>
      <c r="E98" t="str">
        <f>VLOOKUP(A98,'Consolidado Cierres'!$A$1:$P$1731,16,0)</f>
        <v>100.0%</v>
      </c>
      <c r="F98" t="s">
        <v>7720</v>
      </c>
      <c r="G98">
        <v>1.3</v>
      </c>
    </row>
    <row r="99" spans="1:7" x14ac:dyDescent="0.3">
      <c r="A99" t="s">
        <v>1884</v>
      </c>
      <c r="B99" t="s">
        <v>1888</v>
      </c>
      <c r="C99" t="s">
        <v>6622</v>
      </c>
      <c r="D99" t="s">
        <v>184</v>
      </c>
      <c r="E99" t="str">
        <f>VLOOKUP(A99,'Consolidado Cierres'!$A$1:$P$1731,16,0)</f>
        <v>88.56%</v>
      </c>
      <c r="F99" t="s">
        <v>7720</v>
      </c>
      <c r="G99">
        <v>1.3</v>
      </c>
    </row>
    <row r="100" spans="1:7" x14ac:dyDescent="0.3">
      <c r="A100" t="s">
        <v>1893</v>
      </c>
      <c r="B100" t="s">
        <v>1894</v>
      </c>
      <c r="C100" t="s">
        <v>6622</v>
      </c>
      <c r="D100" t="s">
        <v>184</v>
      </c>
      <c r="E100" t="str">
        <f>VLOOKUP(A100,'Consolidado Cierres'!$A$1:$P$1731,16,0)</f>
        <v>93.49%</v>
      </c>
      <c r="F100" t="s">
        <v>7720</v>
      </c>
      <c r="G100">
        <v>1.3</v>
      </c>
    </row>
    <row r="101" spans="1:7" x14ac:dyDescent="0.3">
      <c r="A101" t="s">
        <v>1906</v>
      </c>
      <c r="B101" t="s">
        <v>1912</v>
      </c>
      <c r="C101" t="s">
        <v>6622</v>
      </c>
      <c r="D101" t="s">
        <v>133</v>
      </c>
      <c r="E101" t="str">
        <f>VLOOKUP(A101,'Consolidado Cierres'!$A$1:$P$1731,16,0)</f>
        <v>1524.0%</v>
      </c>
      <c r="F101" t="s">
        <v>7721</v>
      </c>
      <c r="G101">
        <v>1.3</v>
      </c>
    </row>
    <row r="102" spans="1:7" x14ac:dyDescent="0.3">
      <c r="A102" t="s">
        <v>1919</v>
      </c>
      <c r="B102" t="s">
        <v>1925</v>
      </c>
      <c r="C102" t="s">
        <v>6681</v>
      </c>
      <c r="D102" t="s">
        <v>133</v>
      </c>
      <c r="E102" t="str">
        <f>VLOOKUP(A102,'Consolidado Cierres'!$A$1:$P$1731,16,0)</f>
        <v>1.28%</v>
      </c>
      <c r="F102" t="s">
        <v>7721</v>
      </c>
      <c r="G102">
        <v>1.3</v>
      </c>
    </row>
    <row r="103" spans="1:7" x14ac:dyDescent="0.3">
      <c r="A103" t="s">
        <v>1932</v>
      </c>
      <c r="B103" t="s">
        <v>1938</v>
      </c>
      <c r="C103" t="s">
        <v>6681</v>
      </c>
      <c r="D103" t="s">
        <v>133</v>
      </c>
      <c r="E103" t="str">
        <f>VLOOKUP(A103,'Consolidado Cierres'!$A$1:$P$1731,16,0)</f>
        <v>3.83%</v>
      </c>
      <c r="F103" t="s">
        <v>7721</v>
      </c>
      <c r="G103">
        <v>1.3</v>
      </c>
    </row>
    <row r="104" spans="1:7" x14ac:dyDescent="0.3">
      <c r="A104" t="s">
        <v>1945</v>
      </c>
      <c r="B104" t="s">
        <v>1951</v>
      </c>
      <c r="C104" t="s">
        <v>6681</v>
      </c>
      <c r="D104" t="s">
        <v>133</v>
      </c>
      <c r="E104" t="str">
        <f>VLOOKUP(A104,'Consolidado Cierres'!$A$1:$P$1731,16,0)</f>
        <v>16.17%</v>
      </c>
      <c r="F104" t="s">
        <v>7721</v>
      </c>
      <c r="G104">
        <v>1.3</v>
      </c>
    </row>
    <row r="105" spans="1:7" x14ac:dyDescent="0.3">
      <c r="A105" t="s">
        <v>1958</v>
      </c>
      <c r="B105" t="s">
        <v>1959</v>
      </c>
      <c r="C105" t="s">
        <v>6622</v>
      </c>
      <c r="D105" t="s">
        <v>97</v>
      </c>
      <c r="E105" t="str">
        <f>VLOOKUP(A105,'Consolidado Cierres'!$A$1:$P$1731,16,0)</f>
        <v>0.0%</v>
      </c>
      <c r="F105" t="s">
        <v>7720</v>
      </c>
      <c r="G105">
        <v>1.3</v>
      </c>
    </row>
    <row r="106" spans="1:7" x14ac:dyDescent="0.3">
      <c r="A106" t="s">
        <v>1963</v>
      </c>
      <c r="B106" t="s">
        <v>1964</v>
      </c>
      <c r="C106" t="s">
        <v>6622</v>
      </c>
      <c r="D106" t="s">
        <v>87</v>
      </c>
      <c r="E106" t="str">
        <f>VLOOKUP(A106,'Consolidado Cierres'!$A$1:$P$1731,16,0)</f>
        <v>2.5%</v>
      </c>
      <c r="F106" t="s">
        <v>7720</v>
      </c>
      <c r="G106">
        <v>1.3</v>
      </c>
    </row>
    <row r="107" spans="1:7" x14ac:dyDescent="0.3">
      <c r="A107" t="s">
        <v>1972</v>
      </c>
      <c r="B107" t="s">
        <v>1973</v>
      </c>
      <c r="C107" t="s">
        <v>6622</v>
      </c>
      <c r="D107" t="s">
        <v>1832</v>
      </c>
      <c r="E107" t="str">
        <f>VLOOKUP(A107,'Consolidado Cierres'!$A$1:$P$1731,16,0)</f>
        <v>80663.0%</v>
      </c>
      <c r="F107" t="s">
        <v>7723</v>
      </c>
      <c r="G107">
        <v>1.3</v>
      </c>
    </row>
    <row r="108" spans="1:7" x14ac:dyDescent="0.3">
      <c r="A108" t="s">
        <v>1986</v>
      </c>
      <c r="B108" t="s">
        <v>1987</v>
      </c>
      <c r="C108" t="s">
        <v>6622</v>
      </c>
      <c r="D108" t="s">
        <v>1988</v>
      </c>
      <c r="E108" t="str">
        <f>VLOOKUP(A108,'Consolidado Cierres'!$A$1:$P$1731,16,0)</f>
        <v>85.34%</v>
      </c>
      <c r="F108" t="s">
        <v>7720</v>
      </c>
      <c r="G108">
        <v>1.3</v>
      </c>
    </row>
    <row r="109" spans="1:7" x14ac:dyDescent="0.3">
      <c r="A109" t="s">
        <v>1995</v>
      </c>
      <c r="B109" t="s">
        <v>1996</v>
      </c>
      <c r="C109" t="s">
        <v>6622</v>
      </c>
      <c r="D109" t="s">
        <v>1997</v>
      </c>
      <c r="E109" t="str">
        <f>VLOOKUP(A109,'Consolidado Cierres'!$A$1:$P$1731,16,0)</f>
        <v>97.0%</v>
      </c>
      <c r="F109" t="s">
        <v>7720</v>
      </c>
      <c r="G109">
        <v>1.3</v>
      </c>
    </row>
    <row r="110" spans="1:7" x14ac:dyDescent="0.3">
      <c r="A110" t="s">
        <v>2010</v>
      </c>
      <c r="B110" t="s">
        <v>2016</v>
      </c>
      <c r="C110" t="s">
        <v>6622</v>
      </c>
      <c r="D110" t="s">
        <v>1997</v>
      </c>
      <c r="E110" t="str">
        <f>VLOOKUP(A110,'Consolidado Cierres'!$A$1:$P$1731,16,0)</f>
        <v>74.89%</v>
      </c>
      <c r="F110" t="s">
        <v>7720</v>
      </c>
      <c r="G110">
        <v>1.3</v>
      </c>
    </row>
    <row r="111" spans="1:7" x14ac:dyDescent="0.3">
      <c r="A111" t="s">
        <v>2024</v>
      </c>
      <c r="B111" t="s">
        <v>2030</v>
      </c>
      <c r="C111" t="s">
        <v>6681</v>
      </c>
      <c r="D111" t="s">
        <v>1997</v>
      </c>
      <c r="E111" t="str">
        <f>VLOOKUP(A111,'Consolidado Cierres'!$A$1:$P$1731,16,0)</f>
        <v>2032.0%</v>
      </c>
      <c r="F111" t="s">
        <v>7723</v>
      </c>
      <c r="G111">
        <v>1.3</v>
      </c>
    </row>
    <row r="112" spans="1:7" x14ac:dyDescent="0.3">
      <c r="A112" t="s">
        <v>2049</v>
      </c>
      <c r="B112" t="s">
        <v>2050</v>
      </c>
      <c r="C112" t="s">
        <v>6681</v>
      </c>
      <c r="D112" t="s">
        <v>1997</v>
      </c>
      <c r="E112" t="str">
        <f>VLOOKUP(A112,'Consolidado Cierres'!$A$1:$P$1731,16,0)</f>
        <v>96.31%</v>
      </c>
      <c r="F112" t="s">
        <v>7720</v>
      </c>
      <c r="G112">
        <v>1.3</v>
      </c>
    </row>
    <row r="113" spans="1:7" x14ac:dyDescent="0.3">
      <c r="A113" t="s">
        <v>2061</v>
      </c>
      <c r="B113" t="s">
        <v>2062</v>
      </c>
      <c r="C113" t="s">
        <v>6681</v>
      </c>
      <c r="D113" t="s">
        <v>1997</v>
      </c>
      <c r="E113" t="str">
        <f>VLOOKUP(A113,'Consolidado Cierres'!$A$1:$P$1731,16,0)</f>
        <v>4.56%</v>
      </c>
      <c r="F113" t="s">
        <v>7720</v>
      </c>
      <c r="G113">
        <v>1.3</v>
      </c>
    </row>
    <row r="114" spans="1:7" x14ac:dyDescent="0.3">
      <c r="A114" t="s">
        <v>2078</v>
      </c>
      <c r="B114" t="s">
        <v>2079</v>
      </c>
      <c r="C114" t="s">
        <v>6681</v>
      </c>
      <c r="D114" t="s">
        <v>1997</v>
      </c>
      <c r="E114" t="str">
        <f>VLOOKUP(A114,'Consolidado Cierres'!$A$1:$P$1731,16,0)</f>
        <v>100.0%</v>
      </c>
      <c r="F114" t="s">
        <v>7720</v>
      </c>
      <c r="G114">
        <v>1.3</v>
      </c>
    </row>
    <row r="115" spans="1:7" x14ac:dyDescent="0.3">
      <c r="A115" t="s">
        <v>2086</v>
      </c>
      <c r="B115" t="s">
        <v>2092</v>
      </c>
      <c r="C115" t="s">
        <v>6681</v>
      </c>
      <c r="D115" t="s">
        <v>1997</v>
      </c>
      <c r="E115" t="str">
        <f>VLOOKUP(A115,'Consolidado Cierres'!$A$1:$P$1731,16,0)</f>
        <v>2032.0%</v>
      </c>
      <c r="F115" t="s">
        <v>7723</v>
      </c>
      <c r="G115">
        <v>1.3</v>
      </c>
    </row>
    <row r="116" spans="1:7" x14ac:dyDescent="0.3">
      <c r="A116" t="s">
        <v>2095</v>
      </c>
      <c r="B116" t="s">
        <v>2096</v>
      </c>
      <c r="C116" t="s">
        <v>6681</v>
      </c>
      <c r="D116" t="s">
        <v>1997</v>
      </c>
      <c r="E116" t="str">
        <f>VLOOKUP(A116,'Consolidado Cierres'!$A$1:$P$1731,16,0)</f>
        <v>18.0%</v>
      </c>
      <c r="F116" t="s">
        <v>7720</v>
      </c>
      <c r="G116">
        <v>1.3</v>
      </c>
    </row>
    <row r="117" spans="1:7" x14ac:dyDescent="0.3">
      <c r="A117" t="s">
        <v>2112</v>
      </c>
      <c r="B117" t="s">
        <v>2113</v>
      </c>
      <c r="C117" t="s">
        <v>6622</v>
      </c>
      <c r="D117" t="s">
        <v>2114</v>
      </c>
      <c r="E117" t="str">
        <f>VLOOKUP(A117,'Consolidado Cierres'!$A$1:$P$1731,16,0)</f>
        <v>352.73%</v>
      </c>
      <c r="F117" t="s">
        <v>7723</v>
      </c>
      <c r="G117">
        <v>1.3</v>
      </c>
    </row>
    <row r="118" spans="1:7" x14ac:dyDescent="0.3">
      <c r="A118" t="s">
        <v>2138</v>
      </c>
      <c r="B118" t="s">
        <v>2139</v>
      </c>
      <c r="C118" t="s">
        <v>6681</v>
      </c>
      <c r="D118" t="s">
        <v>2133</v>
      </c>
      <c r="E118" t="str">
        <f>VLOOKUP(A118,'Consolidado Cierres'!$A$1:$P$1731,16,0)</f>
        <v>38.65%</v>
      </c>
      <c r="F118" t="s">
        <v>7723</v>
      </c>
      <c r="G118">
        <v>1.3</v>
      </c>
    </row>
    <row r="119" spans="1:7" x14ac:dyDescent="0.3">
      <c r="A119" t="s">
        <v>2157</v>
      </c>
      <c r="B119" t="s">
        <v>2162</v>
      </c>
      <c r="C119" t="s">
        <v>6681</v>
      </c>
      <c r="D119" t="s">
        <v>2133</v>
      </c>
      <c r="E119" t="str">
        <f>VLOOKUP(A119,'Consolidado Cierres'!$A$1:$P$1731,16,0)</f>
        <v>72.15%</v>
      </c>
      <c r="F119" t="s">
        <v>7723</v>
      </c>
      <c r="G119">
        <v>1.3</v>
      </c>
    </row>
    <row r="120" spans="1:7" x14ac:dyDescent="0.3">
      <c r="A120" t="s">
        <v>2206</v>
      </c>
      <c r="B120" t="s">
        <v>2207</v>
      </c>
      <c r="C120" t="s">
        <v>6681</v>
      </c>
      <c r="D120" t="s">
        <v>169</v>
      </c>
      <c r="E120" t="str">
        <f>VLOOKUP(A120,'Consolidado Cierres'!$A$1:$P$1731,16,0)</f>
        <v>100.0%</v>
      </c>
      <c r="F120" t="s">
        <v>7720</v>
      </c>
      <c r="G120">
        <v>1.3</v>
      </c>
    </row>
    <row r="121" spans="1:7" x14ac:dyDescent="0.3">
      <c r="A121" t="s">
        <v>2219</v>
      </c>
      <c r="B121" t="s">
        <v>2220</v>
      </c>
      <c r="C121" t="s">
        <v>6681</v>
      </c>
      <c r="D121" t="s">
        <v>169</v>
      </c>
      <c r="E121" t="str">
        <f>VLOOKUP(A121,'Consolidado Cierres'!$A$1:$P$1731,16,0)</f>
        <v>100.0%</v>
      </c>
      <c r="F121" t="s">
        <v>7720</v>
      </c>
      <c r="G121">
        <v>1.3</v>
      </c>
    </row>
    <row r="122" spans="1:7" x14ac:dyDescent="0.3">
      <c r="A122" t="s">
        <v>2232</v>
      </c>
      <c r="B122" t="s">
        <v>2238</v>
      </c>
      <c r="C122" t="s">
        <v>6681</v>
      </c>
      <c r="D122" t="s">
        <v>133</v>
      </c>
      <c r="E122" t="str">
        <f>VLOOKUP(A122,'Consolidado Cierres'!$A$1:$P$1731,16,0)</f>
        <v>37846.0%</v>
      </c>
      <c r="F122" t="s">
        <v>7723</v>
      </c>
      <c r="G122">
        <v>1.3</v>
      </c>
    </row>
    <row r="123" spans="1:7" x14ac:dyDescent="0.3">
      <c r="A123" t="s">
        <v>2245</v>
      </c>
      <c r="B123" t="s">
        <v>2246</v>
      </c>
      <c r="C123" t="s">
        <v>6681</v>
      </c>
      <c r="D123" t="s">
        <v>161</v>
      </c>
      <c r="E123" t="str">
        <f>VLOOKUP(A123,'Consolidado Cierres'!$A$1:$P$1731,16,0)</f>
        <v>155.31%</v>
      </c>
      <c r="F123" t="s">
        <v>7723</v>
      </c>
      <c r="G123">
        <v>1.3</v>
      </c>
    </row>
    <row r="124" spans="1:7" x14ac:dyDescent="0.3">
      <c r="A124" t="s">
        <v>2255</v>
      </c>
      <c r="B124" t="s">
        <v>2256</v>
      </c>
      <c r="C124" t="s">
        <v>6681</v>
      </c>
      <c r="D124" t="s">
        <v>161</v>
      </c>
      <c r="E124" t="str">
        <f>VLOOKUP(A124,'Consolidado Cierres'!$A$1:$P$1731,16,0)</f>
        <v>3411.0%</v>
      </c>
      <c r="F124" t="s">
        <v>7720</v>
      </c>
      <c r="G124">
        <v>1.3</v>
      </c>
    </row>
    <row r="125" spans="1:7" x14ac:dyDescent="0.3">
      <c r="A125" t="s">
        <v>2271</v>
      </c>
      <c r="B125" t="s">
        <v>2272</v>
      </c>
      <c r="C125" t="s">
        <v>6622</v>
      </c>
      <c r="D125" t="s">
        <v>138</v>
      </c>
      <c r="E125" t="str">
        <f>VLOOKUP(A125,'Consolidado Cierres'!$A$1:$P$1731,16,0)</f>
        <v>109.39%</v>
      </c>
      <c r="F125" t="s">
        <v>7720</v>
      </c>
      <c r="G125">
        <v>1.3</v>
      </c>
    </row>
    <row r="126" spans="1:7" x14ac:dyDescent="0.3">
      <c r="A126" t="s">
        <v>2350</v>
      </c>
      <c r="B126" t="s">
        <v>2354</v>
      </c>
      <c r="C126" t="s">
        <v>6681</v>
      </c>
      <c r="D126" t="s">
        <v>663</v>
      </c>
      <c r="E126" t="str">
        <f>VLOOKUP(A126,'Consolidado Cierres'!$A$1:$P$1731,16,0)</f>
        <v>88.44%</v>
      </c>
      <c r="F126" t="s">
        <v>7720</v>
      </c>
      <c r="G126">
        <v>1.3</v>
      </c>
    </row>
    <row r="127" spans="1:7" x14ac:dyDescent="0.3">
      <c r="A127" t="s">
        <v>2380</v>
      </c>
      <c r="B127" t="s">
        <v>2381</v>
      </c>
      <c r="C127" t="s">
        <v>6622</v>
      </c>
      <c r="D127" t="s">
        <v>61</v>
      </c>
      <c r="E127" t="str">
        <f>VLOOKUP(A127,'Consolidado Cierres'!$A$1:$P$1731,16,0)</f>
        <v>3.0%</v>
      </c>
      <c r="F127" t="s">
        <v>7720</v>
      </c>
      <c r="G127">
        <v>1.3</v>
      </c>
    </row>
    <row r="128" spans="1:7" x14ac:dyDescent="0.3">
      <c r="A128" t="s">
        <v>2389</v>
      </c>
      <c r="B128" t="s">
        <v>2390</v>
      </c>
      <c r="C128" t="s">
        <v>6622</v>
      </c>
      <c r="D128" t="s">
        <v>61</v>
      </c>
      <c r="E128" t="str">
        <f>VLOOKUP(A128,'Consolidado Cierres'!$A$1:$P$1731,16,0)</f>
        <v>6.0%</v>
      </c>
      <c r="F128" t="s">
        <v>7720</v>
      </c>
      <c r="G128">
        <v>1.3</v>
      </c>
    </row>
    <row r="129" spans="1:7" x14ac:dyDescent="0.3">
      <c r="A129" t="s">
        <v>2398</v>
      </c>
      <c r="B129" t="s">
        <v>2406</v>
      </c>
      <c r="C129" t="s">
        <v>6622</v>
      </c>
      <c r="D129" t="s">
        <v>61</v>
      </c>
      <c r="E129" t="str">
        <f>VLOOKUP(A129,'Consolidado Cierres'!$A$1:$P$1731,16,0)</f>
        <v>3.0%</v>
      </c>
      <c r="F129" t="s">
        <v>7721</v>
      </c>
      <c r="G129">
        <v>1.3</v>
      </c>
    </row>
    <row r="130" spans="1:7" x14ac:dyDescent="0.3">
      <c r="A130" t="s">
        <v>2419</v>
      </c>
      <c r="B130" t="s">
        <v>2423</v>
      </c>
      <c r="C130" t="s">
        <v>6681</v>
      </c>
      <c r="D130" t="s">
        <v>87</v>
      </c>
      <c r="E130" t="str">
        <f>VLOOKUP(A130,'Consolidado Cierres'!$A$1:$P$1731,16,0)</f>
        <v>5.0%</v>
      </c>
      <c r="F130" t="s">
        <v>7721</v>
      </c>
      <c r="G130">
        <v>1.3</v>
      </c>
    </row>
    <row r="131" spans="1:7" x14ac:dyDescent="0.3">
      <c r="A131" t="s">
        <v>2425</v>
      </c>
      <c r="B131" t="s">
        <v>2432</v>
      </c>
      <c r="C131" t="s">
        <v>6622</v>
      </c>
      <c r="D131" t="s">
        <v>87</v>
      </c>
      <c r="E131" t="str">
        <f>VLOOKUP(A131,'Consolidado Cierres'!$A$1:$P$1731,16,0)</f>
        <v>0.0%</v>
      </c>
      <c r="F131" t="s">
        <v>7721</v>
      </c>
      <c r="G131">
        <v>1.3</v>
      </c>
    </row>
    <row r="132" spans="1:7" x14ac:dyDescent="0.3">
      <c r="A132" t="s">
        <v>2448</v>
      </c>
      <c r="B132" t="s">
        <v>2449</v>
      </c>
      <c r="C132" t="s">
        <v>6622</v>
      </c>
      <c r="D132" t="s">
        <v>262</v>
      </c>
      <c r="E132" t="str">
        <f>VLOOKUP(A132,'Consolidado Cierres'!$A$1:$P$1731,16,0)</f>
        <v>1.77%</v>
      </c>
      <c r="F132" t="s">
        <v>7720</v>
      </c>
      <c r="G132">
        <v>1.3</v>
      </c>
    </row>
    <row r="133" spans="1:7" x14ac:dyDescent="0.3">
      <c r="A133" t="s">
        <v>2463</v>
      </c>
      <c r="B133" t="s">
        <v>2464</v>
      </c>
      <c r="C133" t="s">
        <v>6681</v>
      </c>
      <c r="D133" t="s">
        <v>262</v>
      </c>
      <c r="E133" t="str">
        <f>VLOOKUP(A133,'Consolidado Cierres'!$A$1:$P$1731,16,0)</f>
        <v>86.0%</v>
      </c>
      <c r="F133" t="s">
        <v>7720</v>
      </c>
      <c r="G133">
        <v>1.3</v>
      </c>
    </row>
    <row r="134" spans="1:7" x14ac:dyDescent="0.3">
      <c r="A134" t="s">
        <v>2473</v>
      </c>
      <c r="B134" t="s">
        <v>2474</v>
      </c>
      <c r="C134" t="s">
        <v>6681</v>
      </c>
      <c r="D134" t="s">
        <v>672</v>
      </c>
      <c r="E134">
        <f>VLOOKUP(A134,'Consolidado Cierres'!$A$1:$P$1731,16,0)</f>
        <v>0</v>
      </c>
      <c r="F134" t="s">
        <v>7720</v>
      </c>
      <c r="G134">
        <v>1.3</v>
      </c>
    </row>
    <row r="135" spans="1:7" x14ac:dyDescent="0.3">
      <c r="A135" t="s">
        <v>2480</v>
      </c>
      <c r="B135" t="s">
        <v>2486</v>
      </c>
      <c r="C135" t="s">
        <v>6622</v>
      </c>
      <c r="D135" t="s">
        <v>87</v>
      </c>
      <c r="E135" t="str">
        <f>VLOOKUP(A135,'Consolidado Cierres'!$A$1:$P$1731,16,0)</f>
        <v>3.0%</v>
      </c>
      <c r="F135" t="s">
        <v>7720</v>
      </c>
      <c r="G135">
        <v>1.3</v>
      </c>
    </row>
    <row r="136" spans="1:7" x14ac:dyDescent="0.3">
      <c r="A136" t="s">
        <v>2489</v>
      </c>
      <c r="B136" t="s">
        <v>2496</v>
      </c>
      <c r="C136" t="s">
        <v>6622</v>
      </c>
      <c r="D136" t="s">
        <v>87</v>
      </c>
      <c r="E136" t="str">
        <f>VLOOKUP(A136,'Consolidado Cierres'!$A$1:$P$1731,16,0)</f>
        <v>5.0%</v>
      </c>
      <c r="F136" t="s">
        <v>7720</v>
      </c>
      <c r="G136">
        <v>1.3</v>
      </c>
    </row>
    <row r="137" spans="1:7" x14ac:dyDescent="0.3">
      <c r="A137" t="s">
        <v>2499</v>
      </c>
      <c r="B137" t="s">
        <v>2500</v>
      </c>
      <c r="C137" t="s">
        <v>6622</v>
      </c>
      <c r="D137" t="s">
        <v>2501</v>
      </c>
      <c r="E137" t="str">
        <f>VLOOKUP(A137,'Consolidado Cierres'!$A$1:$P$1731,16,0)</f>
        <v>28.57%</v>
      </c>
      <c r="F137" t="s">
        <v>7720</v>
      </c>
      <c r="G137">
        <v>1.3</v>
      </c>
    </row>
    <row r="138" spans="1:7" x14ac:dyDescent="0.3">
      <c r="A138" t="s">
        <v>2520</v>
      </c>
      <c r="B138" t="s">
        <v>2527</v>
      </c>
      <c r="C138" t="s">
        <v>6622</v>
      </c>
      <c r="D138" t="s">
        <v>232</v>
      </c>
      <c r="E138" t="str">
        <f>VLOOKUP(A138,'Consolidado Cierres'!$A$1:$P$1731,16,0)</f>
        <v>959195000.0%</v>
      </c>
      <c r="F138" t="s">
        <v>7720</v>
      </c>
      <c r="G138">
        <v>1.3</v>
      </c>
    </row>
    <row r="139" spans="1:7" x14ac:dyDescent="0.3">
      <c r="A139" t="s">
        <v>2534</v>
      </c>
      <c r="B139" t="s">
        <v>2535</v>
      </c>
      <c r="C139" t="s">
        <v>6622</v>
      </c>
      <c r="D139" t="s">
        <v>262</v>
      </c>
      <c r="E139" t="str">
        <f>VLOOKUP(A139,'Consolidado Cierres'!$A$1:$P$1731,16,0)</f>
        <v>97.75%</v>
      </c>
      <c r="F139" t="s">
        <v>7720</v>
      </c>
      <c r="G139">
        <v>1.3</v>
      </c>
    </row>
    <row r="140" spans="1:7" x14ac:dyDescent="0.3">
      <c r="A140" t="s">
        <v>2547</v>
      </c>
      <c r="B140" t="s">
        <v>2548</v>
      </c>
      <c r="C140" t="s">
        <v>6681</v>
      </c>
      <c r="D140" t="s">
        <v>262</v>
      </c>
      <c r="E140" t="str">
        <f>VLOOKUP(A140,'Consolidado Cierres'!$A$1:$P$1731,16,0)</f>
        <v>88.24%</v>
      </c>
      <c r="F140" t="s">
        <v>7720</v>
      </c>
      <c r="G140">
        <v>1.3</v>
      </c>
    </row>
    <row r="141" spans="1:7" x14ac:dyDescent="0.3">
      <c r="A141" t="s">
        <v>2554</v>
      </c>
      <c r="B141" t="s">
        <v>2555</v>
      </c>
      <c r="C141" t="s">
        <v>6681</v>
      </c>
      <c r="D141" t="s">
        <v>174</v>
      </c>
      <c r="E141" t="str">
        <f>VLOOKUP(A141,'Consolidado Cierres'!$A$1:$P$1731,16,0)</f>
        <v>6.75%</v>
      </c>
      <c r="F141" t="s">
        <v>7720</v>
      </c>
      <c r="G141">
        <v>1.3</v>
      </c>
    </row>
    <row r="142" spans="1:7" x14ac:dyDescent="0.3">
      <c r="A142" t="s">
        <v>2567</v>
      </c>
      <c r="B142" t="s">
        <v>2568</v>
      </c>
      <c r="C142" t="s">
        <v>6681</v>
      </c>
      <c r="D142" t="s">
        <v>174</v>
      </c>
      <c r="E142" t="str">
        <f>VLOOKUP(A142,'Consolidado Cierres'!$A$1:$P$1731,16,0)</f>
        <v>99.91%</v>
      </c>
      <c r="F142" t="s">
        <v>7720</v>
      </c>
      <c r="G142">
        <v>1.3</v>
      </c>
    </row>
    <row r="143" spans="1:7" x14ac:dyDescent="0.3">
      <c r="A143" t="s">
        <v>2587</v>
      </c>
      <c r="B143" t="s">
        <v>2588</v>
      </c>
      <c r="C143" t="s">
        <v>6681</v>
      </c>
      <c r="D143" t="s">
        <v>174</v>
      </c>
      <c r="E143" t="str">
        <f>VLOOKUP(A143,'Consolidado Cierres'!$A$1:$P$1731,16,0)</f>
        <v>8.37%</v>
      </c>
      <c r="F143" t="s">
        <v>7720</v>
      </c>
      <c r="G143">
        <v>1.3</v>
      </c>
    </row>
    <row r="144" spans="1:7" x14ac:dyDescent="0.3">
      <c r="A144" t="s">
        <v>2603</v>
      </c>
      <c r="B144" t="s">
        <v>2604</v>
      </c>
      <c r="C144" t="s">
        <v>6681</v>
      </c>
      <c r="D144" t="s">
        <v>174</v>
      </c>
      <c r="E144" t="str">
        <f>VLOOKUP(A144,'Consolidado Cierres'!$A$1:$P$1731,16,0)</f>
        <v>0.09%</v>
      </c>
      <c r="F144" t="s">
        <v>7720</v>
      </c>
      <c r="G144">
        <v>1.3</v>
      </c>
    </row>
    <row r="145" spans="1:7" x14ac:dyDescent="0.3">
      <c r="A145" t="s">
        <v>2626</v>
      </c>
      <c r="B145" t="s">
        <v>2627</v>
      </c>
      <c r="C145" t="s">
        <v>6622</v>
      </c>
      <c r="D145" t="s">
        <v>178</v>
      </c>
      <c r="E145" t="str">
        <f>VLOOKUP(A145,'Consolidado Cierres'!$A$1:$P$1731,16,0)</f>
        <v>1.65%</v>
      </c>
      <c r="F145" t="s">
        <v>7720</v>
      </c>
      <c r="G145">
        <v>1.3</v>
      </c>
    </row>
    <row r="146" spans="1:7" x14ac:dyDescent="0.3">
      <c r="A146" t="s">
        <v>2633</v>
      </c>
      <c r="B146" t="s">
        <v>2634</v>
      </c>
      <c r="C146" t="s">
        <v>6622</v>
      </c>
      <c r="D146" t="s">
        <v>178</v>
      </c>
      <c r="E146" t="str">
        <f>VLOOKUP(A146,'Consolidado Cierres'!$A$1:$P$1731,16,0)</f>
        <v>55.38%</v>
      </c>
      <c r="F146" t="s">
        <v>7720</v>
      </c>
      <c r="G146">
        <v>1.3</v>
      </c>
    </row>
    <row r="147" spans="1:7" x14ac:dyDescent="0.3">
      <c r="A147" t="s">
        <v>2646</v>
      </c>
      <c r="B147" t="s">
        <v>2652</v>
      </c>
      <c r="C147" t="s">
        <v>6622</v>
      </c>
      <c r="D147" t="s">
        <v>178</v>
      </c>
      <c r="E147" t="str">
        <f>VLOOKUP(A147,'Consolidado Cierres'!$A$1:$P$1731,16,0)</f>
        <v>3.73%</v>
      </c>
      <c r="F147" t="s">
        <v>7720</v>
      </c>
      <c r="G147">
        <v>1.3</v>
      </c>
    </row>
    <row r="148" spans="1:7" x14ac:dyDescent="0.3">
      <c r="A148" t="s">
        <v>2654</v>
      </c>
      <c r="B148" t="s">
        <v>2661</v>
      </c>
      <c r="C148" t="s">
        <v>6681</v>
      </c>
      <c r="D148" t="s">
        <v>2656</v>
      </c>
      <c r="E148" t="str">
        <f>VLOOKUP(A148,'Consolidado Cierres'!$A$1:$P$1731,16,0)</f>
        <v>90.99%</v>
      </c>
      <c r="F148" t="s">
        <v>7720</v>
      </c>
      <c r="G148">
        <v>1.3</v>
      </c>
    </row>
    <row r="149" spans="1:7" x14ac:dyDescent="0.3">
      <c r="A149" t="s">
        <v>2664</v>
      </c>
      <c r="B149" t="s">
        <v>2667</v>
      </c>
      <c r="C149" t="s">
        <v>6622</v>
      </c>
      <c r="D149" t="s">
        <v>1988</v>
      </c>
      <c r="E149" t="str">
        <f>VLOOKUP(A149,'Consolidado Cierres'!$A$1:$P$1731,16,0)</f>
        <v>86.0%</v>
      </c>
      <c r="F149" t="s">
        <v>7720</v>
      </c>
      <c r="G149">
        <v>1.3</v>
      </c>
    </row>
    <row r="150" spans="1:7" x14ac:dyDescent="0.3">
      <c r="A150" t="s">
        <v>2676</v>
      </c>
      <c r="B150" t="s">
        <v>2682</v>
      </c>
      <c r="C150" t="s">
        <v>6622</v>
      </c>
      <c r="D150" t="s">
        <v>2678</v>
      </c>
      <c r="E150" t="str">
        <f>VLOOKUP(A150,'Consolidado Cierres'!$A$1:$P$1731,16,0)</f>
        <v>4.56%</v>
      </c>
      <c r="F150" t="s">
        <v>7720</v>
      </c>
      <c r="G150">
        <v>1.3</v>
      </c>
    </row>
    <row r="151" spans="1:7" x14ac:dyDescent="0.3">
      <c r="A151" t="s">
        <v>2686</v>
      </c>
      <c r="B151" t="s">
        <v>2687</v>
      </c>
      <c r="C151" t="s">
        <v>6681</v>
      </c>
      <c r="D151" t="s">
        <v>2688</v>
      </c>
      <c r="E151" t="str">
        <f>VLOOKUP(A151,'Consolidado Cierres'!$A$1:$P$1731,16,0)</f>
        <v>99.16%</v>
      </c>
      <c r="F151" t="s">
        <v>7723</v>
      </c>
      <c r="G151">
        <v>1.3</v>
      </c>
    </row>
    <row r="152" spans="1:7" x14ac:dyDescent="0.3">
      <c r="A152" t="s">
        <v>2698</v>
      </c>
      <c r="B152" t="s">
        <v>2699</v>
      </c>
      <c r="C152" t="s">
        <v>6681</v>
      </c>
      <c r="D152" t="s">
        <v>2688</v>
      </c>
      <c r="E152" t="str">
        <f>VLOOKUP(A152,'Consolidado Cierres'!$A$1:$P$1731,16,0)</f>
        <v>100.0%</v>
      </c>
      <c r="F152" t="s">
        <v>7720</v>
      </c>
      <c r="G152">
        <v>1.3</v>
      </c>
    </row>
    <row r="153" spans="1:7" x14ac:dyDescent="0.3">
      <c r="A153" t="s">
        <v>2705</v>
      </c>
      <c r="B153" t="s">
        <v>2706</v>
      </c>
      <c r="C153" t="s">
        <v>6681</v>
      </c>
      <c r="D153" t="s">
        <v>2678</v>
      </c>
      <c r="E153" t="str">
        <f>VLOOKUP(A153,'Consolidado Cierres'!$A$1:$P$1731,16,0)</f>
        <v>54311.5%</v>
      </c>
      <c r="F153" t="s">
        <v>7720</v>
      </c>
      <c r="G153">
        <v>1.3</v>
      </c>
    </row>
    <row r="154" spans="1:7" x14ac:dyDescent="0.3">
      <c r="A154" t="s">
        <v>2720</v>
      </c>
      <c r="B154" t="s">
        <v>2721</v>
      </c>
      <c r="C154" t="s">
        <v>6681</v>
      </c>
      <c r="D154" t="s">
        <v>2688</v>
      </c>
      <c r="E154" t="str">
        <f>VLOOKUP(A154,'Consolidado Cierres'!$A$1:$P$1731,16,0)</f>
        <v>100.0%</v>
      </c>
      <c r="F154" t="s">
        <v>7720</v>
      </c>
      <c r="G154">
        <v>1.3</v>
      </c>
    </row>
    <row r="155" spans="1:7" x14ac:dyDescent="0.3">
      <c r="A155" t="s">
        <v>2725</v>
      </c>
      <c r="B155" t="s">
        <v>2726</v>
      </c>
      <c r="C155" t="s">
        <v>6622</v>
      </c>
      <c r="D155" t="s">
        <v>2678</v>
      </c>
      <c r="E155" t="str">
        <f>VLOOKUP(A155,'Consolidado Cierres'!$A$1:$P$1731,16,0)</f>
        <v>6.7%</v>
      </c>
      <c r="F155" t="s">
        <v>7720</v>
      </c>
      <c r="G155">
        <v>1.3</v>
      </c>
    </row>
    <row r="156" spans="1:7" x14ac:dyDescent="0.3">
      <c r="A156" t="s">
        <v>2734</v>
      </c>
      <c r="B156" t="s">
        <v>2735</v>
      </c>
      <c r="C156" t="s">
        <v>6681</v>
      </c>
      <c r="D156" t="s">
        <v>2736</v>
      </c>
      <c r="E156" t="str">
        <f>VLOOKUP(A156,'Consolidado Cierres'!$A$1:$P$1731,16,0)</f>
        <v>94.5%</v>
      </c>
      <c r="F156" t="s">
        <v>7720</v>
      </c>
      <c r="G156">
        <v>1.3</v>
      </c>
    </row>
    <row r="157" spans="1:7" x14ac:dyDescent="0.3">
      <c r="A157" t="s">
        <v>2746</v>
      </c>
      <c r="B157" t="s">
        <v>2747</v>
      </c>
      <c r="C157" t="s">
        <v>6622</v>
      </c>
      <c r="D157" t="s">
        <v>2678</v>
      </c>
      <c r="E157" t="str">
        <f>VLOOKUP(A157,'Consolidado Cierres'!$A$1:$P$1731,16,0)</f>
        <v>174.0%</v>
      </c>
      <c r="F157" t="s">
        <v>7723</v>
      </c>
      <c r="G157">
        <v>1.3</v>
      </c>
    </row>
    <row r="158" spans="1:7" x14ac:dyDescent="0.3">
      <c r="A158" t="s">
        <v>2760</v>
      </c>
      <c r="B158" t="s">
        <v>2761</v>
      </c>
      <c r="C158" t="s">
        <v>6622</v>
      </c>
      <c r="D158" t="s">
        <v>2678</v>
      </c>
      <c r="E158" t="str">
        <f>VLOOKUP(A158,'Consolidado Cierres'!$A$1:$P$1731,16,0)</f>
        <v>4759426071.0%</v>
      </c>
      <c r="F158" t="s">
        <v>7720</v>
      </c>
      <c r="G158">
        <v>1.3</v>
      </c>
    </row>
    <row r="159" spans="1:7" x14ac:dyDescent="0.3">
      <c r="A159" t="s">
        <v>2772</v>
      </c>
      <c r="B159" t="s">
        <v>2773</v>
      </c>
      <c r="C159" t="s">
        <v>6681</v>
      </c>
      <c r="D159" t="s">
        <v>2736</v>
      </c>
      <c r="E159" t="str">
        <f>VLOOKUP(A159,'Consolidado Cierres'!$A$1:$P$1731,16,0)</f>
        <v>95.5%</v>
      </c>
      <c r="F159" t="s">
        <v>7720</v>
      </c>
      <c r="G159">
        <v>1.3</v>
      </c>
    </row>
    <row r="160" spans="1:7" x14ac:dyDescent="0.3">
      <c r="A160" t="s">
        <v>2784</v>
      </c>
      <c r="B160" t="s">
        <v>2785</v>
      </c>
      <c r="C160" t="s">
        <v>6622</v>
      </c>
      <c r="D160" t="s">
        <v>129</v>
      </c>
      <c r="E160" t="str">
        <f>VLOOKUP(A160,'Consolidado Cierres'!$A$1:$P$1731,16,0)</f>
        <v>98.62%</v>
      </c>
      <c r="F160" t="s">
        <v>7720</v>
      </c>
      <c r="G160">
        <v>1.3</v>
      </c>
    </row>
    <row r="161" spans="1:7" x14ac:dyDescent="0.3">
      <c r="A161" t="s">
        <v>2803</v>
      </c>
      <c r="B161" t="s">
        <v>2804</v>
      </c>
      <c r="C161" t="s">
        <v>6681</v>
      </c>
      <c r="D161" t="s">
        <v>2688</v>
      </c>
      <c r="E161" t="str">
        <f>VLOOKUP(A161,'Consolidado Cierres'!$A$1:$P$1731,16,0)</f>
        <v>100.0%</v>
      </c>
      <c r="F161" t="s">
        <v>7720</v>
      </c>
      <c r="G161">
        <v>1.3</v>
      </c>
    </row>
    <row r="162" spans="1:7" x14ac:dyDescent="0.3">
      <c r="A162" t="s">
        <v>2810</v>
      </c>
      <c r="B162" t="s">
        <v>2817</v>
      </c>
      <c r="C162" t="s">
        <v>6622</v>
      </c>
      <c r="D162" t="s">
        <v>225</v>
      </c>
      <c r="E162" t="str">
        <f>VLOOKUP(A162,'Consolidado Cierres'!$A$1:$P$1731,16,0)</f>
        <v>12070.0%</v>
      </c>
      <c r="F162" t="s">
        <v>7720</v>
      </c>
      <c r="G162">
        <v>1.3</v>
      </c>
    </row>
    <row r="163" spans="1:7" x14ac:dyDescent="0.3">
      <c r="A163" t="s">
        <v>2825</v>
      </c>
      <c r="B163" t="s">
        <v>2826</v>
      </c>
      <c r="C163" t="s">
        <v>6622</v>
      </c>
      <c r="D163" t="s">
        <v>225</v>
      </c>
      <c r="E163" t="str">
        <f>VLOOKUP(A163,'Consolidado Cierres'!$A$1:$P$1731,16,0)</f>
        <v>4607.0%</v>
      </c>
      <c r="F163" t="s">
        <v>7720</v>
      </c>
      <c r="G163">
        <v>1.3</v>
      </c>
    </row>
    <row r="164" spans="1:7" x14ac:dyDescent="0.3">
      <c r="A164" t="s">
        <v>2860</v>
      </c>
      <c r="B164" t="s">
        <v>2861</v>
      </c>
      <c r="C164" t="s">
        <v>6622</v>
      </c>
      <c r="D164" t="s">
        <v>2862</v>
      </c>
      <c r="E164" t="str">
        <f>VLOOKUP(A164,'Consolidado Cierres'!$A$1:$P$1731,16,0)</f>
        <v>10345.5%</v>
      </c>
      <c r="F164" t="s">
        <v>7720</v>
      </c>
      <c r="G164">
        <v>1.3</v>
      </c>
    </row>
    <row r="165" spans="1:7" x14ac:dyDescent="0.3">
      <c r="A165" t="s">
        <v>2881</v>
      </c>
      <c r="B165" t="s">
        <v>2882</v>
      </c>
      <c r="C165" t="s">
        <v>6622</v>
      </c>
      <c r="D165" t="s">
        <v>2862</v>
      </c>
      <c r="E165" t="str">
        <f>VLOOKUP(A165,'Consolidado Cierres'!$A$1:$P$1731,16,0)</f>
        <v>1226.0%</v>
      </c>
      <c r="F165" t="s">
        <v>7720</v>
      </c>
      <c r="G165">
        <v>1.3</v>
      </c>
    </row>
    <row r="166" spans="1:7" x14ac:dyDescent="0.3">
      <c r="A166" t="s">
        <v>2895</v>
      </c>
      <c r="B166" t="s">
        <v>2896</v>
      </c>
      <c r="C166" t="s">
        <v>6622</v>
      </c>
      <c r="D166" t="s">
        <v>2862</v>
      </c>
      <c r="E166" t="str">
        <f>VLOOKUP(A166,'Consolidado Cierres'!$A$1:$P$1731,16,0)</f>
        <v>7733.5%</v>
      </c>
      <c r="F166" t="s">
        <v>7720</v>
      </c>
      <c r="G166">
        <v>1.3</v>
      </c>
    </row>
    <row r="167" spans="1:7" x14ac:dyDescent="0.3">
      <c r="A167" t="s">
        <v>2909</v>
      </c>
      <c r="B167" t="s">
        <v>2910</v>
      </c>
      <c r="C167" t="s">
        <v>6681</v>
      </c>
      <c r="D167" t="s">
        <v>2862</v>
      </c>
      <c r="E167" t="str">
        <f>VLOOKUP(A167,'Consolidado Cierres'!$A$1:$P$1731,16,0)</f>
        <v>1092.0%</v>
      </c>
      <c r="F167" t="s">
        <v>7720</v>
      </c>
      <c r="G167">
        <v>1.3</v>
      </c>
    </row>
    <row r="168" spans="1:7" x14ac:dyDescent="0.3">
      <c r="A168" t="s">
        <v>2923</v>
      </c>
      <c r="B168" t="s">
        <v>2924</v>
      </c>
      <c r="C168" t="s">
        <v>6681</v>
      </c>
      <c r="D168" t="s">
        <v>2862</v>
      </c>
      <c r="E168" t="str">
        <f>VLOOKUP(A168,'Consolidado Cierres'!$A$1:$P$1731,16,0)</f>
        <v>243.5%</v>
      </c>
      <c r="F168" t="s">
        <v>7720</v>
      </c>
      <c r="G168">
        <v>1.3</v>
      </c>
    </row>
    <row r="169" spans="1:7" x14ac:dyDescent="0.3">
      <c r="A169" t="s">
        <v>2935</v>
      </c>
      <c r="B169" t="s">
        <v>2936</v>
      </c>
      <c r="C169" t="s">
        <v>6622</v>
      </c>
      <c r="D169" t="s">
        <v>2937</v>
      </c>
      <c r="E169" t="str">
        <f>VLOOKUP(A169,'Consolidado Cierres'!$A$1:$P$1731,16,0)</f>
        <v>7366.17%</v>
      </c>
      <c r="F169" t="s">
        <v>7720</v>
      </c>
      <c r="G169">
        <v>1.3</v>
      </c>
    </row>
    <row r="170" spans="1:7" x14ac:dyDescent="0.3">
      <c r="A170" t="s">
        <v>2950</v>
      </c>
      <c r="B170" t="s">
        <v>2951</v>
      </c>
      <c r="C170" t="s">
        <v>6622</v>
      </c>
      <c r="D170" t="s">
        <v>2937</v>
      </c>
      <c r="E170" t="str">
        <f>VLOOKUP(A170,'Consolidado Cierres'!$A$1:$P$1731,16,0)</f>
        <v>12139.12%</v>
      </c>
      <c r="F170" t="s">
        <v>7723</v>
      </c>
      <c r="G170">
        <v>1.3</v>
      </c>
    </row>
    <row r="171" spans="1:7" x14ac:dyDescent="0.3">
      <c r="A171" t="s">
        <v>2985</v>
      </c>
      <c r="B171" t="s">
        <v>2986</v>
      </c>
      <c r="C171" t="s">
        <v>6622</v>
      </c>
      <c r="D171" t="s">
        <v>2991</v>
      </c>
      <c r="E171" t="str">
        <f>VLOOKUP(A171,'Consolidado Cierres'!$A$1:$P$1731,16,0)</f>
        <v>85.1%</v>
      </c>
      <c r="F171" t="s">
        <v>7720</v>
      </c>
      <c r="G171">
        <v>1.3</v>
      </c>
    </row>
    <row r="172" spans="1:7" x14ac:dyDescent="0.3">
      <c r="A172" t="s">
        <v>2993</v>
      </c>
      <c r="B172" t="s">
        <v>2994</v>
      </c>
      <c r="C172" t="s">
        <v>6622</v>
      </c>
      <c r="D172" t="s">
        <v>129</v>
      </c>
      <c r="E172" t="str">
        <f>VLOOKUP(A172,'Consolidado Cierres'!$A$1:$P$1731,16,0)</f>
        <v>101.66%</v>
      </c>
      <c r="F172" t="s">
        <v>7720</v>
      </c>
      <c r="G172">
        <v>1.3</v>
      </c>
    </row>
    <row r="173" spans="1:7" x14ac:dyDescent="0.3">
      <c r="A173" t="s">
        <v>3076</v>
      </c>
      <c r="B173" t="s">
        <v>3077</v>
      </c>
      <c r="C173" t="s">
        <v>6622</v>
      </c>
      <c r="D173" t="s">
        <v>3071</v>
      </c>
      <c r="E173" t="str">
        <f>VLOOKUP(A173,'Consolidado Cierres'!$A$1:$P$1731,16,0)</f>
        <v>708574118.5%</v>
      </c>
      <c r="F173" t="s">
        <v>7720</v>
      </c>
      <c r="G173">
        <v>1.3</v>
      </c>
    </row>
    <row r="174" spans="1:7" x14ac:dyDescent="0.3">
      <c r="A174" t="s">
        <v>3085</v>
      </c>
      <c r="B174" t="s">
        <v>3086</v>
      </c>
      <c r="C174" t="s">
        <v>6681</v>
      </c>
      <c r="D174" t="s">
        <v>3071</v>
      </c>
      <c r="E174" t="str">
        <f>VLOOKUP(A174,'Consolidado Cierres'!$A$1:$P$1731,16,0)</f>
        <v>15.45%</v>
      </c>
      <c r="F174" t="s">
        <v>7720</v>
      </c>
      <c r="G174">
        <v>1.3</v>
      </c>
    </row>
    <row r="175" spans="1:7" x14ac:dyDescent="0.3">
      <c r="A175" t="s">
        <v>3091</v>
      </c>
      <c r="B175" t="s">
        <v>3092</v>
      </c>
      <c r="C175" t="s">
        <v>6622</v>
      </c>
      <c r="D175" t="s">
        <v>3093</v>
      </c>
      <c r="E175" t="str">
        <f>VLOOKUP(A175,'Consolidado Cierres'!$A$1:$P$1731,16,0)</f>
        <v>547.0%</v>
      </c>
      <c r="F175" t="s">
        <v>7720</v>
      </c>
      <c r="G175">
        <v>1.3</v>
      </c>
    </row>
    <row r="176" spans="1:7" x14ac:dyDescent="0.3">
      <c r="A176" t="s">
        <v>3107</v>
      </c>
      <c r="B176" t="s">
        <v>3111</v>
      </c>
      <c r="C176" t="s">
        <v>6681</v>
      </c>
      <c r="D176" t="s">
        <v>3093</v>
      </c>
      <c r="E176" t="str">
        <f>VLOOKUP(A176,'Consolidado Cierres'!$A$1:$P$1731,16,0)</f>
        <v>49.0%</v>
      </c>
      <c r="F176" t="s">
        <v>7720</v>
      </c>
      <c r="G176">
        <v>1.3</v>
      </c>
    </row>
    <row r="177" spans="1:7" x14ac:dyDescent="0.3">
      <c r="A177" t="s">
        <v>3128</v>
      </c>
      <c r="B177" t="s">
        <v>3134</v>
      </c>
      <c r="C177" t="s">
        <v>6681</v>
      </c>
      <c r="D177" t="s">
        <v>3126</v>
      </c>
      <c r="E177" t="str">
        <f>VLOOKUP(A177,'Consolidado Cierres'!$A$1:$P$1731,16,0)</f>
        <v>92.01%</v>
      </c>
      <c r="F177" t="s">
        <v>7720</v>
      </c>
      <c r="G177">
        <v>1.3</v>
      </c>
    </row>
    <row r="178" spans="1:7" x14ac:dyDescent="0.3">
      <c r="A178" t="s">
        <v>3141</v>
      </c>
      <c r="B178" t="s">
        <v>3142</v>
      </c>
      <c r="C178" t="s">
        <v>6681</v>
      </c>
      <c r="D178" t="s">
        <v>3143</v>
      </c>
      <c r="E178" t="str">
        <f>VLOOKUP(A178,'Consolidado Cierres'!$A$1:$P$1731,16,0)</f>
        <v>2456.0%</v>
      </c>
      <c r="F178" t="s">
        <v>7720</v>
      </c>
      <c r="G178">
        <v>1.3</v>
      </c>
    </row>
    <row r="179" spans="1:7" x14ac:dyDescent="0.3">
      <c r="A179" t="s">
        <v>3154</v>
      </c>
      <c r="B179" t="s">
        <v>3158</v>
      </c>
      <c r="C179" t="s">
        <v>6681</v>
      </c>
      <c r="D179" t="s">
        <v>3143</v>
      </c>
      <c r="E179" t="str">
        <f>VLOOKUP(A179,'Consolidado Cierres'!$A$1:$P$1731,16,0)</f>
        <v>667.0%</v>
      </c>
      <c r="F179" t="s">
        <v>7720</v>
      </c>
      <c r="G179">
        <v>1.3</v>
      </c>
    </row>
    <row r="180" spans="1:7" x14ac:dyDescent="0.3">
      <c r="A180" t="s">
        <v>3183</v>
      </c>
      <c r="B180" t="s">
        <v>3184</v>
      </c>
      <c r="C180" t="s">
        <v>6681</v>
      </c>
      <c r="D180" t="s">
        <v>3143</v>
      </c>
      <c r="E180" t="str">
        <f>VLOOKUP(A180,'Consolidado Cierres'!$A$1:$P$1731,16,0)</f>
        <v>88.0%</v>
      </c>
      <c r="F180" t="s">
        <v>7720</v>
      </c>
      <c r="G180">
        <v>1.3</v>
      </c>
    </row>
    <row r="181" spans="1:7" x14ac:dyDescent="0.3">
      <c r="A181" t="s">
        <v>3195</v>
      </c>
      <c r="B181" t="s">
        <v>3196</v>
      </c>
      <c r="C181" t="s">
        <v>6681</v>
      </c>
      <c r="D181" t="s">
        <v>3197</v>
      </c>
      <c r="E181" t="str">
        <f>VLOOKUP(A181,'Consolidado Cierres'!$A$1:$P$1731,16,0)</f>
        <v>8.5%</v>
      </c>
      <c r="F181" t="s">
        <v>7720</v>
      </c>
      <c r="G181">
        <v>1.3</v>
      </c>
    </row>
    <row r="182" spans="1:7" x14ac:dyDescent="0.3">
      <c r="A182" t="s">
        <v>3204</v>
      </c>
      <c r="B182" t="s">
        <v>3205</v>
      </c>
      <c r="C182" t="s">
        <v>6622</v>
      </c>
      <c r="D182" t="s">
        <v>3197</v>
      </c>
      <c r="E182" t="str">
        <f>VLOOKUP(A182,'Consolidado Cierres'!$A$1:$P$1731,16,0)</f>
        <v>21000.0%</v>
      </c>
      <c r="F182" t="s">
        <v>7720</v>
      </c>
      <c r="G182">
        <v>1.3</v>
      </c>
    </row>
    <row r="183" spans="1:7" x14ac:dyDescent="0.3">
      <c r="A183" t="s">
        <v>3211</v>
      </c>
      <c r="B183" t="s">
        <v>3217</v>
      </c>
      <c r="C183" t="s">
        <v>6622</v>
      </c>
      <c r="D183" t="s">
        <v>3197</v>
      </c>
      <c r="E183" t="str">
        <f>VLOOKUP(A183,'Consolidado Cierres'!$A$1:$P$1731,16,0)</f>
        <v>14220.0%</v>
      </c>
      <c r="F183" t="s">
        <v>7721</v>
      </c>
      <c r="G183">
        <v>1.3</v>
      </c>
    </row>
    <row r="184" spans="1:7" x14ac:dyDescent="0.3">
      <c r="A184" t="s">
        <v>3247</v>
      </c>
      <c r="B184" t="s">
        <v>3248</v>
      </c>
      <c r="C184" t="s">
        <v>6622</v>
      </c>
      <c r="D184" t="s">
        <v>61</v>
      </c>
      <c r="E184" t="str">
        <f>VLOOKUP(A184,'Consolidado Cierres'!$A$1:$P$1731,16,0)</f>
        <v>12.0%</v>
      </c>
      <c r="F184" t="s">
        <v>7723</v>
      </c>
      <c r="G184">
        <v>1.3</v>
      </c>
    </row>
    <row r="185" spans="1:7" x14ac:dyDescent="0.3">
      <c r="A185" t="s">
        <v>3254</v>
      </c>
      <c r="B185" t="s">
        <v>3255</v>
      </c>
      <c r="C185" t="s">
        <v>6681</v>
      </c>
      <c r="D185" t="s">
        <v>184</v>
      </c>
      <c r="E185" t="str">
        <f>VLOOKUP(A185,'Consolidado Cierres'!$A$1:$P$1731,16,0)</f>
        <v>203.72%</v>
      </c>
      <c r="F185" t="s">
        <v>7723</v>
      </c>
      <c r="G185">
        <v>1.3</v>
      </c>
    </row>
    <row r="186" spans="1:7" x14ac:dyDescent="0.3">
      <c r="A186" t="s">
        <v>3277</v>
      </c>
      <c r="B186" t="s">
        <v>3280</v>
      </c>
      <c r="C186" t="s">
        <v>6681</v>
      </c>
      <c r="D186" t="s">
        <v>3093</v>
      </c>
      <c r="E186" t="str">
        <f>VLOOKUP(A186,'Consolidado Cierres'!$A$1:$P$1731,16,0)</f>
        <v>2.0%</v>
      </c>
      <c r="F186" t="s">
        <v>7720</v>
      </c>
      <c r="G186">
        <v>1.3</v>
      </c>
    </row>
    <row r="187" spans="1:7" x14ac:dyDescent="0.3">
      <c r="A187" t="s">
        <v>3283</v>
      </c>
      <c r="B187" t="s">
        <v>3284</v>
      </c>
      <c r="C187" t="s">
        <v>6622</v>
      </c>
      <c r="D187" t="s">
        <v>129</v>
      </c>
      <c r="E187" t="str">
        <f>VLOOKUP(A187,'Consolidado Cierres'!$A$1:$P$1731,16,0)</f>
        <v>99.97%</v>
      </c>
      <c r="F187" t="s">
        <v>7720</v>
      </c>
      <c r="G187">
        <v>1.3</v>
      </c>
    </row>
    <row r="188" spans="1:7" x14ac:dyDescent="0.3">
      <c r="A188" t="s">
        <v>3343</v>
      </c>
      <c r="B188" t="s">
        <v>3344</v>
      </c>
      <c r="C188" t="s">
        <v>6622</v>
      </c>
      <c r="D188" t="s">
        <v>129</v>
      </c>
      <c r="E188" t="str">
        <f>VLOOKUP(A188,'Consolidado Cierres'!$A$1:$P$1731,16,0)</f>
        <v>94.67%</v>
      </c>
      <c r="F188" t="s">
        <v>7720</v>
      </c>
      <c r="G188">
        <v>1.3</v>
      </c>
    </row>
    <row r="189" spans="1:7" x14ac:dyDescent="0.3">
      <c r="A189" t="s">
        <v>3414</v>
      </c>
      <c r="B189" t="s">
        <v>3415</v>
      </c>
      <c r="C189" t="s">
        <v>6622</v>
      </c>
      <c r="D189" t="s">
        <v>129</v>
      </c>
      <c r="E189" t="str">
        <f>VLOOKUP(A189,'Consolidado Cierres'!$A$1:$P$1731,16,0)</f>
        <v>93.97%</v>
      </c>
      <c r="F189" t="s">
        <v>7720</v>
      </c>
      <c r="G189">
        <v>1.3</v>
      </c>
    </row>
    <row r="190" spans="1:7" x14ac:dyDescent="0.3">
      <c r="A190" t="s">
        <v>3461</v>
      </c>
      <c r="B190" t="s">
        <v>3462</v>
      </c>
      <c r="C190" t="s">
        <v>6622</v>
      </c>
      <c r="D190" t="s">
        <v>129</v>
      </c>
      <c r="E190" t="str">
        <f>VLOOKUP(A190,'Consolidado Cierres'!$A$1:$P$1731,16,0)</f>
        <v>99.61%</v>
      </c>
      <c r="F190" t="s">
        <v>7720</v>
      </c>
      <c r="G190">
        <v>1.3</v>
      </c>
    </row>
    <row r="191" spans="1:7" x14ac:dyDescent="0.3">
      <c r="A191" t="s">
        <v>3507</v>
      </c>
      <c r="B191" t="s">
        <v>3508</v>
      </c>
      <c r="C191" t="s">
        <v>6622</v>
      </c>
      <c r="D191" t="s">
        <v>129</v>
      </c>
      <c r="E191" t="str">
        <f>VLOOKUP(A191,'Consolidado Cierres'!$A$1:$P$1731,16,0)</f>
        <v>95.26%</v>
      </c>
      <c r="F191" t="s">
        <v>7720</v>
      </c>
      <c r="G191">
        <v>1.3</v>
      </c>
    </row>
    <row r="192" spans="1:7" x14ac:dyDescent="0.3">
      <c r="A192" t="s">
        <v>3573</v>
      </c>
      <c r="B192" t="s">
        <v>3574</v>
      </c>
      <c r="C192" t="s">
        <v>6622</v>
      </c>
      <c r="D192" t="s">
        <v>129</v>
      </c>
      <c r="E192" t="str">
        <f>VLOOKUP(A192,'Consolidado Cierres'!$A$1:$P$1731,16,0)</f>
        <v>102.52%</v>
      </c>
      <c r="F192" t="s">
        <v>7720</v>
      </c>
      <c r="G192">
        <v>1.3</v>
      </c>
    </row>
    <row r="193" spans="1:7" x14ac:dyDescent="0.3">
      <c r="A193" t="s">
        <v>3624</v>
      </c>
      <c r="B193" t="s">
        <v>3625</v>
      </c>
      <c r="C193" t="s">
        <v>6622</v>
      </c>
      <c r="D193" t="s">
        <v>3437</v>
      </c>
      <c r="E193" t="str">
        <f>VLOOKUP(A193,'Consolidado Cierres'!$A$1:$P$1731,16,0)</f>
        <v>11.5%</v>
      </c>
      <c r="F193" t="s">
        <v>7720</v>
      </c>
      <c r="G193">
        <v>1.3</v>
      </c>
    </row>
    <row r="194" spans="1:7" x14ac:dyDescent="0.3">
      <c r="A194" t="s">
        <v>3638</v>
      </c>
      <c r="B194" t="s">
        <v>3639</v>
      </c>
      <c r="C194" t="s">
        <v>6622</v>
      </c>
      <c r="D194" t="s">
        <v>3437</v>
      </c>
      <c r="E194" t="str">
        <f>VLOOKUP(A194,'Consolidado Cierres'!$A$1:$P$1731,16,0)</f>
        <v>7.8%</v>
      </c>
      <c r="F194" t="s">
        <v>7720</v>
      </c>
      <c r="G194">
        <v>1.3</v>
      </c>
    </row>
    <row r="195" spans="1:7" x14ac:dyDescent="0.3">
      <c r="A195" t="s">
        <v>3647</v>
      </c>
      <c r="B195" t="s">
        <v>3652</v>
      </c>
      <c r="C195" t="s">
        <v>6622</v>
      </c>
      <c r="D195" t="s">
        <v>3437</v>
      </c>
      <c r="E195" t="str">
        <f>VLOOKUP(A195,'Consolidado Cierres'!$A$1:$P$1731,16,0)</f>
        <v>5.0%</v>
      </c>
      <c r="F195" t="s">
        <v>7720</v>
      </c>
      <c r="G195">
        <v>1.3</v>
      </c>
    </row>
    <row r="196" spans="1:7" x14ac:dyDescent="0.3">
      <c r="A196" t="s">
        <v>3661</v>
      </c>
      <c r="B196" t="s">
        <v>3662</v>
      </c>
      <c r="C196" t="s">
        <v>6681</v>
      </c>
      <c r="D196" t="s">
        <v>165</v>
      </c>
      <c r="E196" t="str">
        <f>VLOOKUP(A196,'Consolidado Cierres'!$A$1:$P$1731,16,0)</f>
        <v>89.65%</v>
      </c>
      <c r="F196" t="s">
        <v>7720</v>
      </c>
      <c r="G196">
        <v>1.3</v>
      </c>
    </row>
    <row r="197" spans="1:7" x14ac:dyDescent="0.3">
      <c r="A197" t="s">
        <v>3667</v>
      </c>
      <c r="B197" t="s">
        <v>3668</v>
      </c>
      <c r="C197" t="s">
        <v>6681</v>
      </c>
      <c r="D197" t="s">
        <v>299</v>
      </c>
      <c r="E197" t="str">
        <f>VLOOKUP(A197,'Consolidado Cierres'!$A$1:$P$1731,16,0)</f>
        <v>0.17%</v>
      </c>
      <c r="F197" t="s">
        <v>7720</v>
      </c>
      <c r="G197">
        <v>1.3</v>
      </c>
    </row>
    <row r="198" spans="1:7" x14ac:dyDescent="0.3">
      <c r="A198" t="s">
        <v>3679</v>
      </c>
      <c r="B198" t="s">
        <v>3680</v>
      </c>
      <c r="C198" t="s">
        <v>6681</v>
      </c>
      <c r="D198" t="s">
        <v>299</v>
      </c>
      <c r="E198" t="str">
        <f>VLOOKUP(A198,'Consolidado Cierres'!$A$1:$P$1731,16,0)</f>
        <v>36.22%</v>
      </c>
      <c r="F198" t="s">
        <v>7723</v>
      </c>
      <c r="G198">
        <v>1.3</v>
      </c>
    </row>
    <row r="199" spans="1:7" x14ac:dyDescent="0.3">
      <c r="A199" t="s">
        <v>3691</v>
      </c>
      <c r="B199" t="s">
        <v>3692</v>
      </c>
      <c r="C199" t="s">
        <v>6681</v>
      </c>
      <c r="D199" t="s">
        <v>299</v>
      </c>
      <c r="E199" t="str">
        <f>VLOOKUP(A199,'Consolidado Cierres'!$A$1:$P$1731,16,0)</f>
        <v>1.06%</v>
      </c>
      <c r="F199" t="s">
        <v>7723</v>
      </c>
      <c r="G199">
        <v>1.3</v>
      </c>
    </row>
    <row r="200" spans="1:7" x14ac:dyDescent="0.3">
      <c r="A200" t="s">
        <v>3702</v>
      </c>
      <c r="B200" t="s">
        <v>3703</v>
      </c>
      <c r="C200" t="s">
        <v>6622</v>
      </c>
      <c r="D200" t="s">
        <v>225</v>
      </c>
      <c r="E200" t="str">
        <f>VLOOKUP(A200,'Consolidado Cierres'!$A$1:$P$1731,16,0)</f>
        <v>206.0%</v>
      </c>
      <c r="F200" t="s">
        <v>7723</v>
      </c>
      <c r="G200">
        <v>1.3</v>
      </c>
    </row>
    <row r="201" spans="1:7" x14ac:dyDescent="0.3">
      <c r="A201" t="s">
        <v>3712</v>
      </c>
      <c r="B201" t="s">
        <v>3713</v>
      </c>
      <c r="C201" t="s">
        <v>6681</v>
      </c>
      <c r="D201" t="s">
        <v>97</v>
      </c>
      <c r="E201" t="str">
        <f>VLOOKUP(A201,'Consolidado Cierres'!$A$1:$P$1731,16,0)</f>
        <v>100.0%</v>
      </c>
      <c r="F201" t="s">
        <v>7720</v>
      </c>
      <c r="G201">
        <v>1.3</v>
      </c>
    </row>
    <row r="202" spans="1:7" x14ac:dyDescent="0.3">
      <c r="A202" t="s">
        <v>3723</v>
      </c>
      <c r="B202" t="s">
        <v>3724</v>
      </c>
      <c r="C202" t="s">
        <v>6681</v>
      </c>
      <c r="D202" t="s">
        <v>97</v>
      </c>
      <c r="E202" t="str">
        <f>VLOOKUP(A202,'Consolidado Cierres'!$A$1:$P$1731,16,0)</f>
        <v>99.38%</v>
      </c>
      <c r="F202" t="s">
        <v>7720</v>
      </c>
      <c r="G202">
        <v>1.3</v>
      </c>
    </row>
    <row r="203" spans="1:7" x14ac:dyDescent="0.3">
      <c r="A203" t="s">
        <v>3734</v>
      </c>
      <c r="B203" t="s">
        <v>3735</v>
      </c>
      <c r="C203" t="s">
        <v>6681</v>
      </c>
      <c r="D203" t="s">
        <v>299</v>
      </c>
      <c r="E203" t="str">
        <f>VLOOKUP(A203,'Consolidado Cierres'!$A$1:$P$1731,16,0)</f>
        <v>0.08%</v>
      </c>
      <c r="F203" t="s">
        <v>7723</v>
      </c>
      <c r="G203">
        <v>1.3</v>
      </c>
    </row>
    <row r="204" spans="1:7" x14ac:dyDescent="0.3">
      <c r="A204" t="s">
        <v>3747</v>
      </c>
      <c r="B204" t="s">
        <v>3748</v>
      </c>
      <c r="C204" t="s">
        <v>6681</v>
      </c>
      <c r="D204" t="s">
        <v>299</v>
      </c>
      <c r="E204" t="str">
        <f>VLOOKUP(A204,'Consolidado Cierres'!$A$1:$P$1731,16,0)</f>
        <v>830.5%</v>
      </c>
      <c r="F204" t="s">
        <v>7723</v>
      </c>
      <c r="G204">
        <v>1.3</v>
      </c>
    </row>
    <row r="205" spans="1:7" x14ac:dyDescent="0.3">
      <c r="A205" t="s">
        <v>3796</v>
      </c>
      <c r="B205" t="s">
        <v>3797</v>
      </c>
      <c r="C205" t="s">
        <v>6681</v>
      </c>
      <c r="D205" t="s">
        <v>299</v>
      </c>
      <c r="E205" t="str">
        <f>VLOOKUP(A205,'Consolidado Cierres'!$A$1:$P$1731,16,0)</f>
        <v>17.75%</v>
      </c>
      <c r="F205" t="s">
        <v>7723</v>
      </c>
      <c r="G205">
        <v>1.3</v>
      </c>
    </row>
    <row r="206" spans="1:7" x14ac:dyDescent="0.3">
      <c r="A206" t="s">
        <v>3806</v>
      </c>
      <c r="B206" t="s">
        <v>863</v>
      </c>
      <c r="C206" t="s">
        <v>6681</v>
      </c>
      <c r="D206" t="s">
        <v>309</v>
      </c>
      <c r="E206" t="str">
        <f>VLOOKUP(A206,'Consolidado Cierres'!$A$1:$P$1731,16,0)</f>
        <v>66.41%</v>
      </c>
      <c r="F206" t="s">
        <v>7723</v>
      </c>
      <c r="G206">
        <v>1.3</v>
      </c>
    </row>
    <row r="207" spans="1:7" x14ac:dyDescent="0.3">
      <c r="A207" t="s">
        <v>3859</v>
      </c>
      <c r="B207" t="s">
        <v>3861</v>
      </c>
      <c r="C207" t="s">
        <v>6622</v>
      </c>
      <c r="D207" t="s">
        <v>2177</v>
      </c>
      <c r="E207" t="str">
        <f>VLOOKUP(A207,'Consolidado Cierres'!$A$1:$P$1731,16,0)</f>
        <v>96.24%</v>
      </c>
      <c r="F207" t="s">
        <v>7720</v>
      </c>
      <c r="G207">
        <v>1.3</v>
      </c>
    </row>
    <row r="208" spans="1:7" x14ac:dyDescent="0.3">
      <c r="A208" t="s">
        <v>3869</v>
      </c>
      <c r="B208" t="s">
        <v>3870</v>
      </c>
      <c r="C208" t="s">
        <v>6681</v>
      </c>
      <c r="D208" t="s">
        <v>2688</v>
      </c>
      <c r="E208" t="str">
        <f>VLOOKUP(A208,'Consolidado Cierres'!$A$1:$P$1731,16,0)</f>
        <v>100.0%</v>
      </c>
      <c r="F208" t="s">
        <v>7720</v>
      </c>
      <c r="G208">
        <v>1.3</v>
      </c>
    </row>
    <row r="209" spans="1:7" x14ac:dyDescent="0.3">
      <c r="A209" t="s">
        <v>3876</v>
      </c>
      <c r="B209" t="s">
        <v>3877</v>
      </c>
      <c r="C209" t="s">
        <v>6681</v>
      </c>
      <c r="D209" t="s">
        <v>2688</v>
      </c>
      <c r="E209" t="str">
        <f>VLOOKUP(A209,'Consolidado Cierres'!$A$1:$P$1731,16,0)</f>
        <v>97.75%</v>
      </c>
      <c r="F209" t="s">
        <v>7723</v>
      </c>
      <c r="G209">
        <v>1.3</v>
      </c>
    </row>
    <row r="210" spans="1:7" x14ac:dyDescent="0.3">
      <c r="A210" t="s">
        <v>3909</v>
      </c>
      <c r="B210" t="s">
        <v>3910</v>
      </c>
      <c r="C210" t="s">
        <v>6681</v>
      </c>
      <c r="D210" t="s">
        <v>150</v>
      </c>
      <c r="E210" t="str">
        <f>VLOOKUP(A210,'Consolidado Cierres'!$A$1:$P$1731,16,0)</f>
        <v>2.1%</v>
      </c>
      <c r="F210" t="s">
        <v>7720</v>
      </c>
      <c r="G210">
        <v>1.3</v>
      </c>
    </row>
    <row r="211" spans="1:7" x14ac:dyDescent="0.3">
      <c r="A211" t="s">
        <v>3917</v>
      </c>
      <c r="B211" t="s">
        <v>3918</v>
      </c>
      <c r="C211" t="s">
        <v>6681</v>
      </c>
      <c r="D211" t="s">
        <v>150</v>
      </c>
      <c r="E211" t="str">
        <f>VLOOKUP(A211,'Consolidado Cierres'!$A$1:$P$1731,16,0)</f>
        <v>70.85%</v>
      </c>
      <c r="F211" t="s">
        <v>7720</v>
      </c>
      <c r="G211">
        <v>1.3</v>
      </c>
    </row>
    <row r="212" spans="1:7" x14ac:dyDescent="0.3">
      <c r="A212" t="s">
        <v>3928</v>
      </c>
      <c r="B212" t="s">
        <v>2162</v>
      </c>
      <c r="C212" t="s">
        <v>6681</v>
      </c>
      <c r="D212" t="s">
        <v>672</v>
      </c>
      <c r="E212" t="str">
        <f>VLOOKUP(A212,'Consolidado Cierres'!$A$1:$P$1731,16,0)</f>
        <v>23.6%</v>
      </c>
      <c r="F212" t="s">
        <v>7720</v>
      </c>
      <c r="G212">
        <v>1.3</v>
      </c>
    </row>
    <row r="213" spans="1:7" x14ac:dyDescent="0.3">
      <c r="A213" t="s">
        <v>3938</v>
      </c>
      <c r="B213" t="s">
        <v>3939</v>
      </c>
      <c r="C213" t="s">
        <v>6681</v>
      </c>
      <c r="D213" t="s">
        <v>672</v>
      </c>
      <c r="E213" t="str">
        <f>VLOOKUP(A213,'Consolidado Cierres'!$A$1:$P$1731,16,0)</f>
        <v>14.12%</v>
      </c>
      <c r="F213" t="s">
        <v>7720</v>
      </c>
      <c r="G213">
        <v>1.3</v>
      </c>
    </row>
    <row r="214" spans="1:7" x14ac:dyDescent="0.3">
      <c r="A214" t="s">
        <v>3958</v>
      </c>
      <c r="B214" t="s">
        <v>3962</v>
      </c>
      <c r="C214" t="s">
        <v>6681</v>
      </c>
      <c r="D214" t="s">
        <v>3093</v>
      </c>
      <c r="E214" t="str">
        <f>VLOOKUP(A214,'Consolidado Cierres'!$A$1:$P$1731,16,0)</f>
        <v>38.8%</v>
      </c>
      <c r="F214" t="s">
        <v>7720</v>
      </c>
      <c r="G214">
        <v>1.3</v>
      </c>
    </row>
    <row r="215" spans="1:7" x14ac:dyDescent="0.3">
      <c r="A215" t="s">
        <v>3969</v>
      </c>
      <c r="B215" t="s">
        <v>3970</v>
      </c>
      <c r="C215" t="s">
        <v>6681</v>
      </c>
      <c r="D215" t="s">
        <v>3093</v>
      </c>
      <c r="E215" t="str">
        <f>VLOOKUP(A215,'Consolidado Cierres'!$A$1:$P$1731,16,0)</f>
        <v>160.0%</v>
      </c>
      <c r="F215" t="s">
        <v>7720</v>
      </c>
      <c r="G215">
        <v>1.3</v>
      </c>
    </row>
    <row r="216" spans="1:7" x14ac:dyDescent="0.3">
      <c r="A216" t="s">
        <v>3975</v>
      </c>
      <c r="B216" t="s">
        <v>3976</v>
      </c>
      <c r="C216" t="s">
        <v>6681</v>
      </c>
      <c r="D216" t="s">
        <v>3126</v>
      </c>
      <c r="E216" t="str">
        <f>VLOOKUP(A216,'Consolidado Cierres'!$A$1:$P$1731,16,0)</f>
        <v>49.75%</v>
      </c>
      <c r="F216" t="s">
        <v>7720</v>
      </c>
      <c r="G216">
        <v>1.3</v>
      </c>
    </row>
    <row r="217" spans="1:7" x14ac:dyDescent="0.3">
      <c r="A217" t="s">
        <v>3992</v>
      </c>
      <c r="B217" t="s">
        <v>3993</v>
      </c>
      <c r="C217" t="s">
        <v>6622</v>
      </c>
      <c r="D217" t="s">
        <v>3126</v>
      </c>
      <c r="E217" t="str">
        <f>VLOOKUP(A217,'Consolidado Cierres'!$A$1:$P$1731,16,0)</f>
        <v>100.0%</v>
      </c>
      <c r="F217" t="s">
        <v>7720</v>
      </c>
      <c r="G217">
        <v>1.3</v>
      </c>
    </row>
    <row r="218" spans="1:7" x14ac:dyDescent="0.3">
      <c r="A218" t="s">
        <v>3999</v>
      </c>
      <c r="B218" t="s">
        <v>4000</v>
      </c>
      <c r="C218" t="s">
        <v>6681</v>
      </c>
      <c r="D218" t="s">
        <v>165</v>
      </c>
      <c r="E218" t="str">
        <f>VLOOKUP(A218,'Consolidado Cierres'!$A$1:$P$1731,16,0)</f>
        <v>97.34%</v>
      </c>
      <c r="F218" t="s">
        <v>7720</v>
      </c>
      <c r="G218">
        <v>1.3</v>
      </c>
    </row>
    <row r="219" spans="1:7" x14ac:dyDescent="0.3">
      <c r="A219" t="s">
        <v>4010</v>
      </c>
      <c r="B219" t="s">
        <v>4011</v>
      </c>
      <c r="C219" t="s">
        <v>6681</v>
      </c>
      <c r="D219" t="s">
        <v>165</v>
      </c>
      <c r="E219" t="str">
        <f>VLOOKUP(A219,'Consolidado Cierres'!$A$1:$P$1731,16,0)</f>
        <v>80.0%</v>
      </c>
      <c r="F219" t="s">
        <v>7720</v>
      </c>
      <c r="G219">
        <v>1.3</v>
      </c>
    </row>
    <row r="220" spans="1:7" x14ac:dyDescent="0.3">
      <c r="A220" t="s">
        <v>4026</v>
      </c>
      <c r="B220" t="s">
        <v>4027</v>
      </c>
      <c r="C220" t="s">
        <v>6681</v>
      </c>
      <c r="D220" t="s">
        <v>262</v>
      </c>
      <c r="E220" t="str">
        <f>VLOOKUP(A220,'Consolidado Cierres'!$A$1:$P$1731,16,0)</f>
        <v>91.44%</v>
      </c>
      <c r="F220" t="s">
        <v>7720</v>
      </c>
      <c r="G220">
        <v>1.3</v>
      </c>
    </row>
    <row r="221" spans="1:7" x14ac:dyDescent="0.3">
      <c r="A221" t="s">
        <v>4042</v>
      </c>
      <c r="B221" t="s">
        <v>4043</v>
      </c>
      <c r="C221" t="s">
        <v>6622</v>
      </c>
      <c r="D221" t="s">
        <v>1988</v>
      </c>
      <c r="E221" t="str">
        <f>VLOOKUP(A221,'Consolidado Cierres'!$A$1:$P$1731,16,0)</f>
        <v>56.7%</v>
      </c>
      <c r="F221" t="s">
        <v>7720</v>
      </c>
      <c r="G221">
        <v>1.3</v>
      </c>
    </row>
    <row r="222" spans="1:7" x14ac:dyDescent="0.3">
      <c r="A222" t="s">
        <v>4050</v>
      </c>
      <c r="B222" t="s">
        <v>4051</v>
      </c>
      <c r="C222" t="s">
        <v>6622</v>
      </c>
      <c r="D222" t="s">
        <v>1988</v>
      </c>
      <c r="E222" t="str">
        <f>VLOOKUP(A222,'Consolidado Cierres'!$A$1:$P$1731,16,0)</f>
        <v>72.92%</v>
      </c>
      <c r="F222" t="s">
        <v>7720</v>
      </c>
      <c r="G222">
        <v>1.3</v>
      </c>
    </row>
    <row r="223" spans="1:7" x14ac:dyDescent="0.3">
      <c r="A223" t="s">
        <v>4059</v>
      </c>
      <c r="B223" t="s">
        <v>4060</v>
      </c>
      <c r="C223" t="s">
        <v>6622</v>
      </c>
      <c r="D223" t="s">
        <v>1988</v>
      </c>
      <c r="E223" t="str">
        <f>VLOOKUP(A223,'Consolidado Cierres'!$A$1:$P$1731,16,0)</f>
        <v>2.73%</v>
      </c>
      <c r="F223" t="s">
        <v>7720</v>
      </c>
      <c r="G223">
        <v>1.3</v>
      </c>
    </row>
    <row r="224" spans="1:7" x14ac:dyDescent="0.3">
      <c r="A224" t="s">
        <v>4068</v>
      </c>
      <c r="B224" t="s">
        <v>3569</v>
      </c>
      <c r="C224" t="s">
        <v>6622</v>
      </c>
      <c r="D224" t="s">
        <v>129</v>
      </c>
      <c r="E224" t="str">
        <f>VLOOKUP(A224,'Consolidado Cierres'!$A$1:$P$1731,16,0)</f>
        <v>44.0%</v>
      </c>
      <c r="F224" t="s">
        <v>7720</v>
      </c>
      <c r="G224">
        <v>1.3</v>
      </c>
    </row>
    <row r="225" spans="1:7" x14ac:dyDescent="0.3">
      <c r="A225" t="s">
        <v>4128</v>
      </c>
      <c r="B225" t="s">
        <v>4129</v>
      </c>
      <c r="C225" t="s">
        <v>6622</v>
      </c>
      <c r="D225" t="s">
        <v>129</v>
      </c>
      <c r="E225" t="str">
        <f>VLOOKUP(A225,'Consolidado Cierres'!$A$1:$P$1731,16,0)</f>
        <v>75.64%</v>
      </c>
      <c r="F225" t="s">
        <v>7720</v>
      </c>
      <c r="G225">
        <v>1.3</v>
      </c>
    </row>
    <row r="226" spans="1:7" x14ac:dyDescent="0.3">
      <c r="A226" t="s">
        <v>4156</v>
      </c>
      <c r="B226" t="s">
        <v>4157</v>
      </c>
      <c r="C226" t="s">
        <v>6622</v>
      </c>
      <c r="D226" t="s">
        <v>129</v>
      </c>
      <c r="E226" t="str">
        <f>VLOOKUP(A226,'Consolidado Cierres'!$A$1:$P$1731,16,0)</f>
        <v>76.28%</v>
      </c>
      <c r="F226" t="s">
        <v>7720</v>
      </c>
      <c r="G226">
        <v>1.3</v>
      </c>
    </row>
    <row r="227" spans="1:7" x14ac:dyDescent="0.3">
      <c r="A227" t="s">
        <v>4173</v>
      </c>
      <c r="B227" t="s">
        <v>4176</v>
      </c>
      <c r="C227" t="s">
        <v>6622</v>
      </c>
      <c r="D227" t="s">
        <v>28</v>
      </c>
      <c r="E227" t="str">
        <f>VLOOKUP(A227,'Consolidado Cierres'!$A$1:$P$1731,16,0)</f>
        <v>16.5%</v>
      </c>
      <c r="F227" t="s">
        <v>7720</v>
      </c>
      <c r="G227">
        <v>1.3</v>
      </c>
    </row>
    <row r="228" spans="1:7" x14ac:dyDescent="0.3">
      <c r="A228" t="s">
        <v>4180</v>
      </c>
      <c r="B228" t="s">
        <v>4183</v>
      </c>
      <c r="C228" t="s">
        <v>6622</v>
      </c>
      <c r="D228" t="s">
        <v>2991</v>
      </c>
      <c r="E228" t="str">
        <f>VLOOKUP(A228,'Consolidado Cierres'!$A$1:$P$1731,16,0)</f>
        <v>100.0%</v>
      </c>
      <c r="F228" t="s">
        <v>7720</v>
      </c>
      <c r="G228">
        <v>1.3</v>
      </c>
    </row>
    <row r="229" spans="1:7" x14ac:dyDescent="0.3">
      <c r="A229" t="s">
        <v>4186</v>
      </c>
      <c r="B229" t="s">
        <v>4187</v>
      </c>
      <c r="C229" t="s">
        <v>6622</v>
      </c>
      <c r="D229" t="s">
        <v>61</v>
      </c>
      <c r="E229" t="str">
        <f>VLOOKUP(A229,'Consolidado Cierres'!$A$1:$P$1731,16,0)</f>
        <v>100.0%</v>
      </c>
      <c r="F229" t="s">
        <v>7720</v>
      </c>
      <c r="G229">
        <v>1.3</v>
      </c>
    </row>
    <row r="230" spans="1:7" x14ac:dyDescent="0.3">
      <c r="A230" t="s">
        <v>4192</v>
      </c>
      <c r="B230" t="s">
        <v>4193</v>
      </c>
      <c r="C230" t="s">
        <v>6622</v>
      </c>
      <c r="D230" t="s">
        <v>28</v>
      </c>
      <c r="E230" t="str">
        <f>VLOOKUP(A230,'Consolidado Cierres'!$A$1:$P$1731,16,0)</f>
        <v>15.0%</v>
      </c>
      <c r="F230" t="s">
        <v>7720</v>
      </c>
      <c r="G230">
        <v>1.3</v>
      </c>
    </row>
    <row r="231" spans="1:7" x14ac:dyDescent="0.3">
      <c r="A231" t="s">
        <v>4198</v>
      </c>
      <c r="B231" t="s">
        <v>4199</v>
      </c>
      <c r="C231" t="s">
        <v>6622</v>
      </c>
      <c r="D231" t="s">
        <v>2991</v>
      </c>
      <c r="E231" t="str">
        <f>VLOOKUP(A231,'Consolidado Cierres'!$A$1:$P$1731,16,0)</f>
        <v>200.0%</v>
      </c>
      <c r="F231" t="s">
        <v>7723</v>
      </c>
      <c r="G231">
        <v>1.3</v>
      </c>
    </row>
    <row r="232" spans="1:7" x14ac:dyDescent="0.3">
      <c r="A232" t="s">
        <v>4202</v>
      </c>
      <c r="B232" t="s">
        <v>4203</v>
      </c>
      <c r="C232" t="s">
        <v>6622</v>
      </c>
      <c r="D232" t="s">
        <v>2991</v>
      </c>
      <c r="E232" t="str">
        <f>VLOOKUP(A232,'Consolidado Cierres'!$A$1:$P$1731,16,0)</f>
        <v>100.0%</v>
      </c>
      <c r="F232" t="s">
        <v>7723</v>
      </c>
      <c r="G232">
        <v>1.3</v>
      </c>
    </row>
    <row r="233" spans="1:7" x14ac:dyDescent="0.3">
      <c r="A233" t="s">
        <v>4207</v>
      </c>
      <c r="B233" t="s">
        <v>4208</v>
      </c>
      <c r="C233" t="s">
        <v>6622</v>
      </c>
      <c r="D233" t="s">
        <v>2991</v>
      </c>
      <c r="E233" t="str">
        <f>VLOOKUP(A233,'Consolidado Cierres'!$A$1:$P$1731,16,0)</f>
        <v>200.0%</v>
      </c>
      <c r="F233" t="s">
        <v>7723</v>
      </c>
      <c r="G233">
        <v>1.3</v>
      </c>
    </row>
    <row r="234" spans="1:7" x14ac:dyDescent="0.3">
      <c r="A234" t="s">
        <v>4212</v>
      </c>
      <c r="B234" t="s">
        <v>4213</v>
      </c>
      <c r="C234" t="s">
        <v>6622</v>
      </c>
      <c r="D234" t="s">
        <v>2991</v>
      </c>
      <c r="E234" t="str">
        <f>VLOOKUP(A234,'Consolidado Cierres'!$A$1:$P$1731,16,0)</f>
        <v>200.0%</v>
      </c>
      <c r="F234" t="s">
        <v>7723</v>
      </c>
      <c r="G234">
        <v>1.3</v>
      </c>
    </row>
    <row r="235" spans="1:7" x14ac:dyDescent="0.3">
      <c r="A235" t="s">
        <v>4217</v>
      </c>
      <c r="B235" t="s">
        <v>4218</v>
      </c>
      <c r="C235" t="s">
        <v>6681</v>
      </c>
      <c r="D235" t="s">
        <v>28</v>
      </c>
      <c r="E235" t="str">
        <f>VLOOKUP(A235,'Consolidado Cierres'!$A$1:$P$1731,16,0)</f>
        <v>100.0%</v>
      </c>
      <c r="F235" t="s">
        <v>7723</v>
      </c>
      <c r="G235">
        <v>1.3</v>
      </c>
    </row>
    <row r="236" spans="1:7" x14ac:dyDescent="0.3">
      <c r="A236" t="s">
        <v>4226</v>
      </c>
      <c r="B236" t="s">
        <v>4227</v>
      </c>
      <c r="C236" t="s">
        <v>6681</v>
      </c>
      <c r="D236" t="s">
        <v>97</v>
      </c>
      <c r="E236" t="str">
        <f>VLOOKUP(A236,'Consolidado Cierres'!$A$1:$P$1731,16,0)</f>
        <v>100.0%</v>
      </c>
      <c r="F236" t="s">
        <v>7720</v>
      </c>
      <c r="G236">
        <v>1.3</v>
      </c>
    </row>
    <row r="237" spans="1:7" x14ac:dyDescent="0.3">
      <c r="A237" t="s">
        <v>4234</v>
      </c>
      <c r="B237" t="s">
        <v>4235</v>
      </c>
      <c r="C237" t="s">
        <v>6681</v>
      </c>
      <c r="D237" t="s">
        <v>309</v>
      </c>
      <c r="E237" t="str">
        <f>VLOOKUP(A237,'Consolidado Cierres'!$A$1:$P$1731,16,0)</f>
        <v>366.67%</v>
      </c>
      <c r="F237" t="s">
        <v>7723</v>
      </c>
      <c r="G237">
        <v>1.3</v>
      </c>
    </row>
    <row r="238" spans="1:7" x14ac:dyDescent="0.3">
      <c r="A238" t="s">
        <v>4257</v>
      </c>
      <c r="B238" t="s">
        <v>4258</v>
      </c>
      <c r="C238" t="s">
        <v>6681</v>
      </c>
      <c r="D238" t="s">
        <v>165</v>
      </c>
      <c r="E238" t="str">
        <f>VLOOKUP(A238,'Consolidado Cierres'!$A$1:$P$1731,16,0)</f>
        <v>3800000.0%</v>
      </c>
      <c r="F238" t="s">
        <v>7720</v>
      </c>
      <c r="G238">
        <v>1.3</v>
      </c>
    </row>
    <row r="239" spans="1:7" x14ac:dyDescent="0.3">
      <c r="A239" t="s">
        <v>4264</v>
      </c>
      <c r="B239" t="s">
        <v>4267</v>
      </c>
      <c r="C239" t="s">
        <v>6681</v>
      </c>
      <c r="D239" t="s">
        <v>133</v>
      </c>
      <c r="E239" t="str">
        <f>VLOOKUP(A239,'Consolidado Cierres'!$A$1:$P$1731,16,0)</f>
        <v>164.17%</v>
      </c>
      <c r="F239" t="s">
        <v>7720</v>
      </c>
      <c r="G239">
        <v>1.3</v>
      </c>
    </row>
    <row r="240" spans="1:7" x14ac:dyDescent="0.3">
      <c r="A240" t="s">
        <v>4271</v>
      </c>
      <c r="B240" t="s">
        <v>4272</v>
      </c>
      <c r="C240" t="s">
        <v>6681</v>
      </c>
      <c r="D240" t="s">
        <v>309</v>
      </c>
      <c r="E240" t="str">
        <f>VLOOKUP(A240,'Consolidado Cierres'!$A$1:$P$1731,16,0)</f>
        <v>278.89%</v>
      </c>
      <c r="F240" t="s">
        <v>7723</v>
      </c>
      <c r="G240">
        <v>1.3</v>
      </c>
    </row>
    <row r="241" spans="1:7" x14ac:dyDescent="0.3">
      <c r="A241" t="s">
        <v>4315</v>
      </c>
      <c r="B241" t="s">
        <v>4316</v>
      </c>
      <c r="C241" t="s">
        <v>6622</v>
      </c>
      <c r="D241" t="s">
        <v>129</v>
      </c>
      <c r="E241" t="str">
        <f>VLOOKUP(A241,'Consolidado Cierres'!$A$1:$P$1731,16,0)</f>
        <v>88.0%</v>
      </c>
      <c r="F241" t="s">
        <v>7720</v>
      </c>
      <c r="G241">
        <v>1.3</v>
      </c>
    </row>
    <row r="242" spans="1:7" x14ac:dyDescent="0.3">
      <c r="A242" t="s">
        <v>4319</v>
      </c>
      <c r="B242" t="s">
        <v>4320</v>
      </c>
      <c r="C242" t="s">
        <v>6622</v>
      </c>
      <c r="D242" t="s">
        <v>187</v>
      </c>
      <c r="E242" t="str">
        <f>VLOOKUP(A242,'Consolidado Cierres'!$A$1:$P$1731,16,0)</f>
        <v>88.0%</v>
      </c>
      <c r="F242" t="s">
        <v>7720</v>
      </c>
      <c r="G242">
        <v>1.3</v>
      </c>
    </row>
    <row r="243" spans="1:7" x14ac:dyDescent="0.3">
      <c r="A243" t="s">
        <v>4323</v>
      </c>
      <c r="B243" t="s">
        <v>4324</v>
      </c>
      <c r="C243" t="s">
        <v>6622</v>
      </c>
      <c r="D243" t="s">
        <v>138</v>
      </c>
      <c r="E243" t="str">
        <f>VLOOKUP(A243,'Consolidado Cierres'!$A$1:$P$1731,16,0)</f>
        <v>83.0%</v>
      </c>
      <c r="F243" t="s">
        <v>7720</v>
      </c>
      <c r="G243">
        <v>1.3</v>
      </c>
    </row>
    <row r="244" spans="1:7" x14ac:dyDescent="0.3">
      <c r="A244" t="s">
        <v>4327</v>
      </c>
      <c r="B244" t="s">
        <v>4328</v>
      </c>
      <c r="C244" t="s">
        <v>6622</v>
      </c>
      <c r="D244" t="s">
        <v>184</v>
      </c>
      <c r="E244" t="str">
        <f>VLOOKUP(A244,'Consolidado Cierres'!$A$1:$P$1731,16,0)</f>
        <v>81.0%</v>
      </c>
      <c r="F244" t="s">
        <v>7720</v>
      </c>
      <c r="G244">
        <v>1.3</v>
      </c>
    </row>
    <row r="245" spans="1:7" x14ac:dyDescent="0.3">
      <c r="A245" t="s">
        <v>4333</v>
      </c>
      <c r="B245" t="s">
        <v>4334</v>
      </c>
      <c r="C245" t="s">
        <v>6622</v>
      </c>
      <c r="D245" t="s">
        <v>169</v>
      </c>
      <c r="E245" t="str">
        <f>VLOOKUP(A245,'Consolidado Cierres'!$A$1:$P$1731,16,0)</f>
        <v>89.0%</v>
      </c>
      <c r="F245" t="s">
        <v>7720</v>
      </c>
      <c r="G245">
        <v>1.3</v>
      </c>
    </row>
    <row r="246" spans="1:7" x14ac:dyDescent="0.3">
      <c r="A246" t="s">
        <v>4338</v>
      </c>
      <c r="B246" t="s">
        <v>4339</v>
      </c>
      <c r="C246" t="s">
        <v>6622</v>
      </c>
      <c r="D246" t="s">
        <v>174</v>
      </c>
      <c r="E246" t="str">
        <f>VLOOKUP(A246,'Consolidado Cierres'!$A$1:$P$1731,16,0)</f>
        <v>92.0%</v>
      </c>
      <c r="F246" t="s">
        <v>7720</v>
      </c>
      <c r="G246">
        <v>1.3</v>
      </c>
    </row>
    <row r="247" spans="1:7" x14ac:dyDescent="0.3">
      <c r="A247" t="s">
        <v>4344</v>
      </c>
      <c r="B247" t="s">
        <v>4345</v>
      </c>
      <c r="C247" t="s">
        <v>6622</v>
      </c>
      <c r="D247" t="s">
        <v>225</v>
      </c>
      <c r="E247" t="str">
        <f>VLOOKUP(A247,'Consolidado Cierres'!$A$1:$P$1731,16,0)</f>
        <v>88.0%</v>
      </c>
      <c r="F247" t="s">
        <v>7720</v>
      </c>
      <c r="G247">
        <v>1.3</v>
      </c>
    </row>
    <row r="248" spans="1:7" x14ac:dyDescent="0.3">
      <c r="A248" t="s">
        <v>4348</v>
      </c>
      <c r="B248" t="s">
        <v>4349</v>
      </c>
      <c r="C248" t="s">
        <v>6622</v>
      </c>
      <c r="D248" t="s">
        <v>178</v>
      </c>
      <c r="E248" t="str">
        <f>VLOOKUP(A248,'Consolidado Cierres'!$A$1:$P$1731,16,0)</f>
        <v>83.0%</v>
      </c>
      <c r="F248" t="s">
        <v>7720</v>
      </c>
      <c r="G248">
        <v>1.3</v>
      </c>
    </row>
    <row r="249" spans="1:7" x14ac:dyDescent="0.3">
      <c r="A249" t="s">
        <v>4351</v>
      </c>
      <c r="B249" t="s">
        <v>4352</v>
      </c>
      <c r="C249" t="s">
        <v>6622</v>
      </c>
      <c r="D249" t="s">
        <v>133</v>
      </c>
      <c r="E249" t="str">
        <f>VLOOKUP(A249,'Consolidado Cierres'!$A$1:$P$1731,16,0)</f>
        <v>92.0%</v>
      </c>
      <c r="F249" t="s">
        <v>7720</v>
      </c>
      <c r="G249">
        <v>1.3</v>
      </c>
    </row>
    <row r="250" spans="1:7" x14ac:dyDescent="0.3">
      <c r="A250" t="s">
        <v>4355</v>
      </c>
      <c r="B250" t="s">
        <v>4356</v>
      </c>
      <c r="C250" t="s">
        <v>6622</v>
      </c>
      <c r="D250" t="s">
        <v>2619</v>
      </c>
      <c r="E250" t="str">
        <f>VLOOKUP(A250,'Consolidado Cierres'!$A$1:$P$1731,16,0)</f>
        <v>87.0%</v>
      </c>
      <c r="F250" t="s">
        <v>7720</v>
      </c>
      <c r="G250">
        <v>1.3</v>
      </c>
    </row>
    <row r="251" spans="1:7" x14ac:dyDescent="0.3">
      <c r="A251" t="s">
        <v>4384</v>
      </c>
      <c r="B251" t="s">
        <v>4385</v>
      </c>
      <c r="C251" t="s">
        <v>6622</v>
      </c>
      <c r="D251" t="s">
        <v>161</v>
      </c>
      <c r="E251" t="str">
        <f>VLOOKUP(A251,'Consolidado Cierres'!$A$1:$P$1731,16,0)</f>
        <v>89.0%</v>
      </c>
      <c r="F251" t="s">
        <v>7720</v>
      </c>
      <c r="G251">
        <v>1.3</v>
      </c>
    </row>
    <row r="252" spans="1:7" x14ac:dyDescent="0.3">
      <c r="A252" t="s">
        <v>4388</v>
      </c>
      <c r="B252" t="s">
        <v>4389</v>
      </c>
      <c r="C252" t="s">
        <v>6622</v>
      </c>
      <c r="D252" t="s">
        <v>28</v>
      </c>
      <c r="E252" t="str">
        <f>VLOOKUP(A252,'Consolidado Cierres'!$A$1:$P$1731,16,0)</f>
        <v>88.0%</v>
      </c>
      <c r="F252" t="s">
        <v>7720</v>
      </c>
      <c r="G252">
        <v>1.3</v>
      </c>
    </row>
    <row r="253" spans="1:7" x14ac:dyDescent="0.3">
      <c r="A253" t="s">
        <v>4392</v>
      </c>
      <c r="B253" t="s">
        <v>4393</v>
      </c>
      <c r="C253" t="s">
        <v>6622</v>
      </c>
      <c r="D253" t="s">
        <v>146</v>
      </c>
      <c r="E253" t="str">
        <f>VLOOKUP(A253,'Consolidado Cierres'!$A$1:$P$1731,16,0)</f>
        <v>90.0%</v>
      </c>
      <c r="F253" t="s">
        <v>7720</v>
      </c>
      <c r="G253">
        <v>1.3</v>
      </c>
    </row>
    <row r="254" spans="1:7" x14ac:dyDescent="0.3">
      <c r="A254" t="s">
        <v>4396</v>
      </c>
      <c r="B254" t="s">
        <v>4397</v>
      </c>
      <c r="C254" t="s">
        <v>6622</v>
      </c>
      <c r="D254" t="s">
        <v>2991</v>
      </c>
      <c r="E254" t="str">
        <f>VLOOKUP(A254,'Consolidado Cierres'!$A$1:$P$1731,16,0)</f>
        <v>86.0%</v>
      </c>
      <c r="F254" t="s">
        <v>7720</v>
      </c>
      <c r="G254">
        <v>1.3</v>
      </c>
    </row>
    <row r="255" spans="1:7" x14ac:dyDescent="0.3">
      <c r="A255" t="s">
        <v>4400</v>
      </c>
      <c r="B255" t="s">
        <v>4401</v>
      </c>
      <c r="C255" t="s">
        <v>6622</v>
      </c>
      <c r="D255" t="s">
        <v>3197</v>
      </c>
      <c r="E255" t="str">
        <f>VLOOKUP(A255,'Consolidado Cierres'!$A$1:$P$1731,16,0)</f>
        <v>88.0%</v>
      </c>
      <c r="F255" t="s">
        <v>7720</v>
      </c>
      <c r="G255">
        <v>1.3</v>
      </c>
    </row>
    <row r="256" spans="1:7" x14ac:dyDescent="0.3">
      <c r="A256" t="s">
        <v>4406</v>
      </c>
      <c r="B256" t="s">
        <v>4407</v>
      </c>
      <c r="C256" t="s">
        <v>6622</v>
      </c>
      <c r="D256" t="s">
        <v>3437</v>
      </c>
      <c r="E256" t="str">
        <f>VLOOKUP(A256,'Consolidado Cierres'!$A$1:$P$1731,16,0)</f>
        <v>85.0%</v>
      </c>
      <c r="F256" t="s">
        <v>7720</v>
      </c>
      <c r="G256">
        <v>1.3</v>
      </c>
    </row>
    <row r="257" spans="1:7" x14ac:dyDescent="0.3">
      <c r="A257" t="s">
        <v>4412</v>
      </c>
      <c r="B257" t="s">
        <v>4413</v>
      </c>
      <c r="C257" t="s">
        <v>6622</v>
      </c>
      <c r="D257" t="s">
        <v>2656</v>
      </c>
      <c r="E257" t="str">
        <f>VLOOKUP(A257,'Consolidado Cierres'!$A$1:$P$1731,16,0)</f>
        <v>67.0%</v>
      </c>
      <c r="F257" t="s">
        <v>7720</v>
      </c>
      <c r="G257">
        <v>1.3</v>
      </c>
    </row>
    <row r="258" spans="1:7" x14ac:dyDescent="0.3">
      <c r="A258" t="s">
        <v>4419</v>
      </c>
      <c r="B258" t="s">
        <v>4420</v>
      </c>
      <c r="C258" t="s">
        <v>6622</v>
      </c>
      <c r="D258" t="s">
        <v>2133</v>
      </c>
      <c r="E258" t="str">
        <f>VLOOKUP(A258,'Consolidado Cierres'!$A$1:$P$1731,16,0)</f>
        <v>77.0%</v>
      </c>
      <c r="F258" t="s">
        <v>7720</v>
      </c>
      <c r="G258">
        <v>1.3</v>
      </c>
    </row>
    <row r="259" spans="1:7" x14ac:dyDescent="0.3">
      <c r="A259" t="s">
        <v>4426</v>
      </c>
      <c r="B259" t="s">
        <v>4427</v>
      </c>
      <c r="C259" t="s">
        <v>6622</v>
      </c>
      <c r="D259" t="s">
        <v>3126</v>
      </c>
      <c r="E259" t="str">
        <f>VLOOKUP(A259,'Consolidado Cierres'!$A$1:$P$1731,16,0)</f>
        <v>88.0%</v>
      </c>
      <c r="F259" t="s">
        <v>7720</v>
      </c>
      <c r="G259">
        <v>1.3</v>
      </c>
    </row>
    <row r="260" spans="1:7" x14ac:dyDescent="0.3">
      <c r="A260" t="s">
        <v>4430</v>
      </c>
      <c r="B260" t="s">
        <v>4431</v>
      </c>
      <c r="C260" t="s">
        <v>6622</v>
      </c>
      <c r="D260" t="s">
        <v>187</v>
      </c>
      <c r="E260" t="str">
        <f>VLOOKUP(A260,'Consolidado Cierres'!$A$1:$P$1731,16,0)</f>
        <v>96.9%</v>
      </c>
      <c r="F260" t="s">
        <v>7720</v>
      </c>
      <c r="G260">
        <v>1.3</v>
      </c>
    </row>
    <row r="261" spans="1:7" x14ac:dyDescent="0.3">
      <c r="A261" t="s">
        <v>4448</v>
      </c>
      <c r="B261" t="s">
        <v>4449</v>
      </c>
      <c r="C261" t="s">
        <v>6681</v>
      </c>
      <c r="D261" t="s">
        <v>2177</v>
      </c>
      <c r="E261" t="str">
        <f>VLOOKUP(A261,'Consolidado Cierres'!$A$1:$P$1731,16,0)</f>
        <v>0.0%</v>
      </c>
      <c r="F261" t="s">
        <v>7723</v>
      </c>
      <c r="G261">
        <v>1.3</v>
      </c>
    </row>
    <row r="262" spans="1:7" x14ac:dyDescent="0.3">
      <c r="A262" t="s">
        <v>4453</v>
      </c>
      <c r="B262" t="s">
        <v>4454</v>
      </c>
      <c r="C262" t="s">
        <v>6681</v>
      </c>
      <c r="D262" t="s">
        <v>2177</v>
      </c>
      <c r="E262" t="str">
        <f>VLOOKUP(A262,'Consolidado Cierres'!$A$1:$P$1731,16,0)</f>
        <v>171.12%</v>
      </c>
      <c r="F262" t="s">
        <v>7723</v>
      </c>
      <c r="G262">
        <v>1.3</v>
      </c>
    </row>
    <row r="263" spans="1:7" x14ac:dyDescent="0.3">
      <c r="A263" t="s">
        <v>4460</v>
      </c>
      <c r="B263" t="s">
        <v>4461</v>
      </c>
      <c r="C263" t="s">
        <v>6681</v>
      </c>
      <c r="D263" t="s">
        <v>2177</v>
      </c>
      <c r="E263" t="str">
        <f>VLOOKUP(A263,'Consolidado Cierres'!$A$1:$P$1731,16,0)</f>
        <v>100.0%</v>
      </c>
      <c r="F263" t="s">
        <v>7720</v>
      </c>
      <c r="G263">
        <v>1.3</v>
      </c>
    </row>
    <row r="264" spans="1:7" x14ac:dyDescent="0.3">
      <c r="A264" t="s">
        <v>4464</v>
      </c>
      <c r="B264" t="s">
        <v>4465</v>
      </c>
      <c r="C264" t="s">
        <v>6681</v>
      </c>
      <c r="D264" t="s">
        <v>2177</v>
      </c>
      <c r="E264" t="str">
        <f>VLOOKUP(A264,'Consolidado Cierres'!$A$1:$P$1731,16,0)</f>
        <v>68.89%</v>
      </c>
      <c r="F264" t="s">
        <v>7720</v>
      </c>
      <c r="G264">
        <v>1.3</v>
      </c>
    </row>
    <row r="265" spans="1:7" x14ac:dyDescent="0.3">
      <c r="A265" t="s">
        <v>4472</v>
      </c>
      <c r="B265" t="s">
        <v>4473</v>
      </c>
      <c r="C265" t="s">
        <v>6622</v>
      </c>
      <c r="D265" t="s">
        <v>270</v>
      </c>
      <c r="E265" t="str">
        <f>VLOOKUP(A265,'Consolidado Cierres'!$A$1:$P$1731,16,0)</f>
        <v>66.67%</v>
      </c>
      <c r="F265" t="s">
        <v>7720</v>
      </c>
      <c r="G265">
        <v>1.3</v>
      </c>
    </row>
    <row r="266" spans="1:7" x14ac:dyDescent="0.3">
      <c r="A266" t="s">
        <v>4475</v>
      </c>
      <c r="B266" t="s">
        <v>4476</v>
      </c>
      <c r="C266" t="s">
        <v>6681</v>
      </c>
      <c r="D266" t="s">
        <v>270</v>
      </c>
      <c r="E266" t="str">
        <f>VLOOKUP(A266,'Consolidado Cierres'!$A$1:$P$1731,16,0)</f>
        <v>315.79%</v>
      </c>
      <c r="F266" t="s">
        <v>7720</v>
      </c>
      <c r="G266">
        <v>1.3</v>
      </c>
    </row>
    <row r="267" spans="1:7" x14ac:dyDescent="0.3">
      <c r="A267" t="s">
        <v>4480</v>
      </c>
      <c r="B267" t="s">
        <v>4481</v>
      </c>
      <c r="C267" t="s">
        <v>6622</v>
      </c>
      <c r="D267" t="s">
        <v>283</v>
      </c>
      <c r="E267" t="str">
        <f>VLOOKUP(A267,'Consolidado Cierres'!$A$1:$P$1731,16,0)</f>
        <v>104.44%</v>
      </c>
      <c r="F267" t="s">
        <v>7720</v>
      </c>
      <c r="G267">
        <v>1.3</v>
      </c>
    </row>
    <row r="268" spans="1:7" x14ac:dyDescent="0.3">
      <c r="A268" t="s">
        <v>4499</v>
      </c>
      <c r="B268" t="s">
        <v>4500</v>
      </c>
      <c r="C268" t="s">
        <v>6681</v>
      </c>
      <c r="D268" t="s">
        <v>3093</v>
      </c>
      <c r="E268" t="str">
        <f>VLOOKUP(A268,'Consolidado Cierres'!$A$1:$P$1731,16,0)</f>
        <v>281.29%</v>
      </c>
      <c r="F268" t="s">
        <v>7720</v>
      </c>
      <c r="G268">
        <v>1.3</v>
      </c>
    </row>
    <row r="269" spans="1:7" x14ac:dyDescent="0.3">
      <c r="A269" t="s">
        <v>4507</v>
      </c>
      <c r="B269" t="s">
        <v>4508</v>
      </c>
      <c r="C269" t="s">
        <v>6622</v>
      </c>
      <c r="D269" t="s">
        <v>28</v>
      </c>
      <c r="E269" t="str">
        <f>VLOOKUP(A269,'Consolidado Cierres'!$A$1:$P$1731,16,0)</f>
        <v>100.0%</v>
      </c>
      <c r="F269" t="s">
        <v>7720</v>
      </c>
      <c r="G269">
        <v>1.3</v>
      </c>
    </row>
    <row r="270" spans="1:7" x14ac:dyDescent="0.3">
      <c r="A270" t="s">
        <v>4510</v>
      </c>
      <c r="B270" t="s">
        <v>2936</v>
      </c>
      <c r="C270" t="s">
        <v>6622</v>
      </c>
      <c r="D270" t="s">
        <v>225</v>
      </c>
      <c r="E270" t="str">
        <f>VLOOKUP(A270,'Consolidado Cierres'!$A$1:$P$1731,16,0)</f>
        <v>221.56%</v>
      </c>
      <c r="F270" t="s">
        <v>7723</v>
      </c>
      <c r="G270">
        <v>1.3</v>
      </c>
    </row>
    <row r="271" spans="1:7" x14ac:dyDescent="0.3">
      <c r="A271" t="s">
        <v>4517</v>
      </c>
      <c r="B271" t="s">
        <v>3619</v>
      </c>
      <c r="C271" t="s">
        <v>6681</v>
      </c>
      <c r="D271" t="s">
        <v>3437</v>
      </c>
      <c r="E271" t="str">
        <f>VLOOKUP(A271,'Consolidado Cierres'!$A$1:$P$1731,16,0)</f>
        <v>205.45%</v>
      </c>
      <c r="F271" t="s">
        <v>7723</v>
      </c>
      <c r="G271">
        <v>1.3</v>
      </c>
    </row>
    <row r="272" spans="1:7" x14ac:dyDescent="0.3">
      <c r="A272" t="s">
        <v>4525</v>
      </c>
      <c r="B272" t="s">
        <v>4526</v>
      </c>
      <c r="C272" t="s">
        <v>6681</v>
      </c>
      <c r="D272" t="s">
        <v>2114</v>
      </c>
      <c r="E272">
        <f>VLOOKUP(A272,'Consolidado Cierres'!$A$1:$P$1731,16,0)</f>
        <v>0</v>
      </c>
      <c r="F272" t="s">
        <v>7720</v>
      </c>
      <c r="G272">
        <v>1.3</v>
      </c>
    </row>
    <row r="273" spans="1:7" x14ac:dyDescent="0.3">
      <c r="A273" t="s">
        <v>7724</v>
      </c>
      <c r="B273" t="s">
        <v>7725</v>
      </c>
      <c r="C273" t="s">
        <v>6622</v>
      </c>
      <c r="D273" t="s">
        <v>129</v>
      </c>
      <c r="E273" t="e">
        <f>VLOOKUP(A273,'Consolidado Cierres'!$A$1:$P$1731,16,0)</f>
        <v>#N/A</v>
      </c>
      <c r="F273" t="s">
        <v>7720</v>
      </c>
      <c r="G273">
        <v>1.3</v>
      </c>
    </row>
    <row r="274" spans="1:7" x14ac:dyDescent="0.3">
      <c r="A274" t="s">
        <v>4528</v>
      </c>
      <c r="B274" t="s">
        <v>4529</v>
      </c>
      <c r="C274" t="s">
        <v>6622</v>
      </c>
      <c r="D274" t="s">
        <v>129</v>
      </c>
      <c r="E274" t="str">
        <f>VLOOKUP(A274,'Consolidado Cierres'!$A$1:$P$1731,16,0)</f>
        <v>173.92%</v>
      </c>
      <c r="F274" t="s">
        <v>7720</v>
      </c>
      <c r="G274">
        <v>1.3</v>
      </c>
    </row>
    <row r="275" spans="1:7" x14ac:dyDescent="0.3">
      <c r="A275" t="s">
        <v>4534</v>
      </c>
      <c r="B275" t="s">
        <v>4535</v>
      </c>
      <c r="C275" t="s">
        <v>6681</v>
      </c>
      <c r="D275" t="s">
        <v>251</v>
      </c>
      <c r="E275">
        <f>VLOOKUP(A275,'Consolidado Cierres'!$A$1:$P$1731,16,0)</f>
        <v>0</v>
      </c>
      <c r="F275" t="s">
        <v>7723</v>
      </c>
      <c r="G275">
        <v>1.3</v>
      </c>
    </row>
    <row r="276" spans="1:7" x14ac:dyDescent="0.3">
      <c r="A276" t="s">
        <v>7726</v>
      </c>
      <c r="B276" t="s">
        <v>7727</v>
      </c>
      <c r="C276" t="s">
        <v>6622</v>
      </c>
      <c r="D276" t="s">
        <v>270</v>
      </c>
      <c r="E276" t="e">
        <f>VLOOKUP(A276,'Consolidado Cierres'!$A$1:$P$1731,16,0)</f>
        <v>#N/A</v>
      </c>
      <c r="F276" t="s">
        <v>7720</v>
      </c>
      <c r="G276">
        <v>1.3</v>
      </c>
    </row>
    <row r="277" spans="1:7" x14ac:dyDescent="0.3">
      <c r="A277" t="s">
        <v>7728</v>
      </c>
      <c r="B277" t="s">
        <v>7729</v>
      </c>
      <c r="C277" t="s">
        <v>6622</v>
      </c>
      <c r="D277" t="s">
        <v>270</v>
      </c>
      <c r="E277" t="e">
        <f>VLOOKUP(A277,'Consolidado Cierres'!$A$1:$P$1731,16,0)</f>
        <v>#N/A</v>
      </c>
      <c r="F277" t="s">
        <v>7720</v>
      </c>
      <c r="G277">
        <v>1.3</v>
      </c>
    </row>
    <row r="278" spans="1:7" x14ac:dyDescent="0.3">
      <c r="A278" t="s">
        <v>4540</v>
      </c>
      <c r="B278" t="s">
        <v>4541</v>
      </c>
      <c r="C278" t="s">
        <v>6622</v>
      </c>
      <c r="D278" t="s">
        <v>663</v>
      </c>
      <c r="E278" t="str">
        <f>VLOOKUP(A278,'Consolidado Cierres'!$A$1:$P$1731,16,0)</f>
        <v>267.93%</v>
      </c>
      <c r="F278" t="s">
        <v>7723</v>
      </c>
      <c r="G278">
        <v>1.3</v>
      </c>
    </row>
    <row r="279" spans="1:7" x14ac:dyDescent="0.3">
      <c r="A279" t="s">
        <v>4548</v>
      </c>
      <c r="B279" t="s">
        <v>4549</v>
      </c>
      <c r="C279" t="s">
        <v>6622</v>
      </c>
      <c r="D279" t="s">
        <v>663</v>
      </c>
      <c r="E279" t="str">
        <f>VLOOKUP(A279,'Consolidado Cierres'!$A$1:$P$1731,16,0)</f>
        <v>302.84%</v>
      </c>
      <c r="F279" t="s">
        <v>7723</v>
      </c>
      <c r="G279">
        <v>1.3</v>
      </c>
    </row>
    <row r="280" spans="1:7" x14ac:dyDescent="0.3">
      <c r="A280" t="s">
        <v>4556</v>
      </c>
      <c r="B280" t="s">
        <v>4557</v>
      </c>
      <c r="C280" t="s">
        <v>6622</v>
      </c>
      <c r="D280" t="s">
        <v>663</v>
      </c>
      <c r="E280" t="str">
        <f>VLOOKUP(A280,'Consolidado Cierres'!$A$1:$P$1731,16,0)</f>
        <v>268.62%</v>
      </c>
      <c r="F280" t="s">
        <v>7723</v>
      </c>
      <c r="G280">
        <v>1.3</v>
      </c>
    </row>
    <row r="281" spans="1:7" x14ac:dyDescent="0.3">
      <c r="A281" t="s">
        <v>4564</v>
      </c>
      <c r="B281" t="s">
        <v>4565</v>
      </c>
      <c r="C281" t="s">
        <v>6622</v>
      </c>
      <c r="D281" t="s">
        <v>663</v>
      </c>
      <c r="E281" t="str">
        <f>VLOOKUP(A281,'Consolidado Cierres'!$A$1:$P$1731,16,0)</f>
        <v>342.3%</v>
      </c>
      <c r="F281" t="s">
        <v>7723</v>
      </c>
      <c r="G281">
        <v>1.3</v>
      </c>
    </row>
    <row r="282" spans="1:7" x14ac:dyDescent="0.3">
      <c r="A282" t="s">
        <v>4572</v>
      </c>
      <c r="B282" t="s">
        <v>4573</v>
      </c>
      <c r="C282" t="s">
        <v>6622</v>
      </c>
      <c r="D282" t="s">
        <v>663</v>
      </c>
      <c r="E282" t="str">
        <f>VLOOKUP(A282,'Consolidado Cierres'!$A$1:$P$1731,16,0)</f>
        <v>370.08%</v>
      </c>
      <c r="F282" t="s">
        <v>7723</v>
      </c>
      <c r="G282">
        <v>1.3</v>
      </c>
    </row>
    <row r="283" spans="1:7" x14ac:dyDescent="0.3">
      <c r="A283" t="s">
        <v>4580</v>
      </c>
      <c r="B283" t="s">
        <v>4581</v>
      </c>
      <c r="C283" t="s">
        <v>6622</v>
      </c>
      <c r="D283" t="s">
        <v>717</v>
      </c>
      <c r="E283" t="str">
        <f>VLOOKUP(A283,'Consolidado Cierres'!$A$1:$P$1731,16,0)</f>
        <v>61.6%</v>
      </c>
      <c r="F283" t="s">
        <v>7720</v>
      </c>
      <c r="G283">
        <v>1.3</v>
      </c>
    </row>
    <row r="284" spans="1:7" x14ac:dyDescent="0.3">
      <c r="A284" t="s">
        <v>4588</v>
      </c>
      <c r="B284" t="s">
        <v>4589</v>
      </c>
      <c r="C284" t="s">
        <v>6681</v>
      </c>
      <c r="D284" t="s">
        <v>150</v>
      </c>
      <c r="E284" t="str">
        <f>VLOOKUP(A284,'Consolidado Cierres'!$A$1:$P$1731,16,0)</f>
        <v>100.0%</v>
      </c>
      <c r="F284" t="s">
        <v>7720</v>
      </c>
      <c r="G284">
        <v>1.3</v>
      </c>
    </row>
    <row r="285" spans="1:7" x14ac:dyDescent="0.3">
      <c r="A285" t="s">
        <v>4591</v>
      </c>
      <c r="B285" t="s">
        <v>4592</v>
      </c>
      <c r="C285" t="s">
        <v>6681</v>
      </c>
      <c r="D285" t="s">
        <v>150</v>
      </c>
      <c r="E285" t="str">
        <f>VLOOKUP(A285,'Consolidado Cierres'!$A$1:$P$1731,16,0)</f>
        <v>2.5%</v>
      </c>
      <c r="F285" t="s">
        <v>7720</v>
      </c>
      <c r="G285">
        <v>1.3</v>
      </c>
    </row>
    <row r="286" spans="1:7" x14ac:dyDescent="0.3">
      <c r="A286" t="s">
        <v>4595</v>
      </c>
      <c r="B286" t="s">
        <v>4596</v>
      </c>
      <c r="C286" t="s">
        <v>6622</v>
      </c>
      <c r="D286" t="s">
        <v>2619</v>
      </c>
      <c r="E286" t="str">
        <f>VLOOKUP(A286,'Consolidado Cierres'!$A$1:$P$1731,16,0)</f>
        <v>97.62%</v>
      </c>
      <c r="F286" t="s">
        <v>7720</v>
      </c>
      <c r="G286">
        <v>1.3</v>
      </c>
    </row>
    <row r="287" spans="1:7" x14ac:dyDescent="0.3">
      <c r="A287" t="s">
        <v>4603</v>
      </c>
      <c r="B287" t="s">
        <v>4604</v>
      </c>
      <c r="C287" t="s">
        <v>6681</v>
      </c>
      <c r="D287" t="s">
        <v>2437</v>
      </c>
      <c r="E287" t="str">
        <f>VLOOKUP(A287,'Consolidado Cierres'!$A$1:$P$1731,16,0)</f>
        <v>6.99%</v>
      </c>
      <c r="F287" t="s">
        <v>7720</v>
      </c>
      <c r="G287">
        <v>1.3</v>
      </c>
    </row>
    <row r="288" spans="1:7" x14ac:dyDescent="0.3">
      <c r="A288" t="s">
        <v>4608</v>
      </c>
      <c r="B288" t="s">
        <v>4609</v>
      </c>
      <c r="C288" t="s">
        <v>6622</v>
      </c>
      <c r="D288" t="s">
        <v>2437</v>
      </c>
      <c r="E288" t="str">
        <f>VLOOKUP(A288,'Consolidado Cierres'!$A$1:$P$1731,16,0)</f>
        <v>81.24%</v>
      </c>
      <c r="F288" t="s">
        <v>7720</v>
      </c>
      <c r="G288">
        <v>1.3</v>
      </c>
    </row>
    <row r="289" spans="1:7" x14ac:dyDescent="0.3">
      <c r="A289" t="s">
        <v>4613</v>
      </c>
      <c r="B289" t="s">
        <v>4614</v>
      </c>
      <c r="C289" t="s">
        <v>6681</v>
      </c>
      <c r="D289" t="s">
        <v>842</v>
      </c>
      <c r="E289" t="str">
        <f>VLOOKUP(A289,'Consolidado Cierres'!$A$1:$P$1731,16,0)</f>
        <v>7.29%</v>
      </c>
      <c r="F289" t="s">
        <v>7723</v>
      </c>
      <c r="G289">
        <v>1.3</v>
      </c>
    </row>
    <row r="290" spans="1:7" x14ac:dyDescent="0.3">
      <c r="A290" t="s">
        <v>4618</v>
      </c>
      <c r="B290" t="s">
        <v>4619</v>
      </c>
      <c r="C290" t="s">
        <v>6681</v>
      </c>
      <c r="D290" t="s">
        <v>3197</v>
      </c>
      <c r="E290" t="str">
        <f>VLOOKUP(A290,'Consolidado Cierres'!$A$1:$P$1731,16,0)</f>
        <v>206.25%</v>
      </c>
      <c r="F290" t="s">
        <v>7720</v>
      </c>
      <c r="G290">
        <v>1.3</v>
      </c>
    </row>
    <row r="291" spans="1:7" x14ac:dyDescent="0.3">
      <c r="A291" t="s">
        <v>4626</v>
      </c>
      <c r="B291" t="s">
        <v>4627</v>
      </c>
      <c r="C291" t="s">
        <v>6622</v>
      </c>
      <c r="D291" t="s">
        <v>2437</v>
      </c>
      <c r="E291" t="str">
        <f>VLOOKUP(A291,'Consolidado Cierres'!$A$1:$P$1731,16,0)</f>
        <v>37.79%</v>
      </c>
      <c r="F291" t="s">
        <v>7720</v>
      </c>
      <c r="G291">
        <v>1.3</v>
      </c>
    </row>
    <row r="292" spans="1:7" x14ac:dyDescent="0.3">
      <c r="A292" t="s">
        <v>4631</v>
      </c>
      <c r="B292" t="s">
        <v>4632</v>
      </c>
      <c r="C292" t="s">
        <v>6622</v>
      </c>
      <c r="D292" t="s">
        <v>2437</v>
      </c>
      <c r="E292" t="str">
        <f>VLOOKUP(A292,'Consolidado Cierres'!$A$1:$P$1731,16,0)</f>
        <v>92.0%</v>
      </c>
      <c r="F292" t="s">
        <v>7720</v>
      </c>
      <c r="G292">
        <v>1.3</v>
      </c>
    </row>
    <row r="293" spans="1:7" x14ac:dyDescent="0.3">
      <c r="A293" t="s">
        <v>4636</v>
      </c>
      <c r="B293" t="s">
        <v>4637</v>
      </c>
      <c r="C293" t="s">
        <v>6681</v>
      </c>
      <c r="D293" t="s">
        <v>3143</v>
      </c>
      <c r="E293" t="str">
        <f>VLOOKUP(A293,'Consolidado Cierres'!$A$1:$P$1731,16,0)</f>
        <v>95.25%</v>
      </c>
      <c r="F293" t="s">
        <v>7720</v>
      </c>
      <c r="G293">
        <v>1.3</v>
      </c>
    </row>
    <row r="294" spans="1:7" x14ac:dyDescent="0.3">
      <c r="A294" t="s">
        <v>4642</v>
      </c>
      <c r="B294" t="s">
        <v>4643</v>
      </c>
      <c r="C294" t="s">
        <v>6681</v>
      </c>
      <c r="D294" t="s">
        <v>3143</v>
      </c>
      <c r="E294" t="str">
        <f>VLOOKUP(A294,'Consolidado Cierres'!$A$1:$P$1731,16,0)</f>
        <v>5.0%</v>
      </c>
      <c r="F294" t="s">
        <v>7720</v>
      </c>
      <c r="G294">
        <v>1.3</v>
      </c>
    </row>
    <row r="295" spans="1:7" x14ac:dyDescent="0.3">
      <c r="A295" t="s">
        <v>4646</v>
      </c>
      <c r="B295" t="s">
        <v>4647</v>
      </c>
      <c r="C295" t="s">
        <v>6622</v>
      </c>
      <c r="D295" t="s">
        <v>2678</v>
      </c>
      <c r="E295" t="str">
        <f>VLOOKUP(A295,'Consolidado Cierres'!$A$1:$P$1731,16,0)</f>
        <v>92.0%</v>
      </c>
      <c r="F295" t="s">
        <v>7720</v>
      </c>
      <c r="G295">
        <v>1.3</v>
      </c>
    </row>
    <row r="296" spans="1:7" x14ac:dyDescent="0.3">
      <c r="A296" t="s">
        <v>4649</v>
      </c>
      <c r="B296" t="s">
        <v>4650</v>
      </c>
      <c r="C296" t="s">
        <v>6622</v>
      </c>
      <c r="D296" t="s">
        <v>2862</v>
      </c>
      <c r="E296" t="str">
        <f>VLOOKUP(A296,'Consolidado Cierres'!$A$1:$P$1731,16,0)</f>
        <v>83.0%</v>
      </c>
      <c r="F296" t="s">
        <v>7720</v>
      </c>
      <c r="G296">
        <v>1.3</v>
      </c>
    </row>
    <row r="297" spans="1:7" x14ac:dyDescent="0.3">
      <c r="A297" t="s">
        <v>4654</v>
      </c>
      <c r="B297" t="s">
        <v>4655</v>
      </c>
      <c r="C297" t="s">
        <v>6622</v>
      </c>
      <c r="D297" t="s">
        <v>730</v>
      </c>
      <c r="E297" t="str">
        <f>VLOOKUP(A297,'Consolidado Cierres'!$A$1:$P$1731,16,0)</f>
        <v>95.0%</v>
      </c>
      <c r="F297" t="s">
        <v>7720</v>
      </c>
      <c r="G297">
        <v>1.3</v>
      </c>
    </row>
    <row r="298" spans="1:7" x14ac:dyDescent="0.3">
      <c r="A298" t="s">
        <v>7730</v>
      </c>
      <c r="B298" t="s">
        <v>7731</v>
      </c>
      <c r="C298" t="s">
        <v>6622</v>
      </c>
      <c r="D298" t="s">
        <v>2937</v>
      </c>
      <c r="E298" t="e">
        <f>VLOOKUP(A298,'Consolidado Cierres'!$A$1:$P$1731,16,0)</f>
        <v>#N/A</v>
      </c>
      <c r="F298" t="s">
        <v>7720</v>
      </c>
      <c r="G298">
        <v>1.3</v>
      </c>
    </row>
    <row r="299" spans="1:7" x14ac:dyDescent="0.3">
      <c r="A299" t="s">
        <v>4657</v>
      </c>
      <c r="B299" t="s">
        <v>4658</v>
      </c>
      <c r="C299" t="s">
        <v>6622</v>
      </c>
      <c r="D299" t="s">
        <v>262</v>
      </c>
      <c r="E299" t="str">
        <f>VLOOKUP(A299,'Consolidado Cierres'!$A$1:$P$1731,16,0)</f>
        <v>113.75%</v>
      </c>
      <c r="F299" t="s">
        <v>7720</v>
      </c>
      <c r="G299">
        <v>1.3</v>
      </c>
    </row>
  </sheetData>
  <autoFilter ref="A1:G299" xr:uid="{00000000-0001-0000-08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Hoja4</vt:lpstr>
      <vt:lpstr>Consolidado Historico</vt:lpstr>
      <vt:lpstr>Consolidado Semestral</vt:lpstr>
      <vt:lpstr>Consolidado Cierres</vt:lpstr>
      <vt:lpstr>Config_Indicadores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2026-03-02T05:46:02Z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