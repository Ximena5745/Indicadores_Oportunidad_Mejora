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77" documentId="11_0EFA1A3A6E3B2F26C3603EB9680E5446AAE7FEE4" xr6:coauthVersionLast="47" xr6:coauthVersionMax="47" xr10:uidLastSave="{85726067-87E3-4994-B55A-7E53621D4E4D}"/>
  <bookViews>
    <workbookView xWindow="-108" yWindow="-108" windowWidth="23256" windowHeight="12456" tabRatio="692" activeTab="1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Cierres'!$A$1:$S$987</definedName>
    <definedName name="_xlnm._FilterDatabase" localSheetId="0" hidden="1">'Consolidado Historico'!$A$1:$S$2650</definedName>
    <definedName name="_xlnm._FilterDatabase" localSheetId="1" hidden="1">'Consolidado Semestral'!$A$1:$S$1685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2" i="3" l="1"/>
  <c r="L442" i="3"/>
  <c r="M441" i="3"/>
  <c r="L441" i="3"/>
  <c r="M440" i="3"/>
  <c r="L440" i="3"/>
  <c r="M439" i="3"/>
  <c r="L439" i="3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49" i="2"/>
  <c r="L1649" i="2"/>
  <c r="M1648" i="2"/>
  <c r="L1648" i="2"/>
  <c r="M1647" i="2"/>
  <c r="L1647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08" i="2"/>
  <c r="L1608" i="2"/>
  <c r="M1607" i="2"/>
  <c r="L1607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8" i="2"/>
  <c r="L1558" i="2"/>
  <c r="M1557" i="2"/>
  <c r="L1557" i="2"/>
  <c r="M1556" i="2"/>
  <c r="L1556" i="2"/>
  <c r="M1554" i="2"/>
  <c r="L1554" i="2"/>
  <c r="M1553" i="2"/>
  <c r="L1553" i="2"/>
  <c r="M1550" i="2"/>
  <c r="L1550" i="2"/>
  <c r="M1549" i="2"/>
  <c r="L1549" i="2"/>
  <c r="M1548" i="2"/>
  <c r="L1548" i="2"/>
  <c r="M1547" i="2"/>
  <c r="L1547" i="2"/>
  <c r="M1546" i="2"/>
  <c r="L1546" i="2"/>
  <c r="M1544" i="2"/>
  <c r="L1544" i="2"/>
  <c r="M1543" i="2"/>
  <c r="L1543" i="2"/>
  <c r="M1542" i="2"/>
  <c r="L1542" i="2"/>
  <c r="M1541" i="2"/>
  <c r="L1541" i="2"/>
  <c r="M1540" i="2"/>
  <c r="L1540" i="2"/>
  <c r="M1539" i="2"/>
  <c r="L1539" i="2"/>
  <c r="M1537" i="2"/>
  <c r="L1537" i="2"/>
  <c r="M1536" i="2"/>
  <c r="L1536" i="2"/>
  <c r="M1535" i="2"/>
  <c r="L1535" i="2"/>
  <c r="M1534" i="2"/>
  <c r="L1534" i="2"/>
  <c r="M1533" i="2"/>
  <c r="L1533" i="2"/>
  <c r="M1531" i="2"/>
  <c r="L1531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7" i="2"/>
  <c r="L1467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4" i="1"/>
  <c r="L2614" i="1"/>
  <c r="M2613" i="1"/>
  <c r="L2613" i="1"/>
  <c r="M2612" i="1"/>
  <c r="L2612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0" i="1"/>
  <c r="L2490" i="1"/>
  <c r="M2489" i="1"/>
  <c r="L2489" i="1"/>
  <c r="M2488" i="1"/>
  <c r="L2488" i="1"/>
  <c r="M2487" i="1"/>
  <c r="L2487" i="1"/>
  <c r="M2486" i="1"/>
  <c r="L2486" i="1"/>
  <c r="M2476" i="1"/>
  <c r="L2476" i="1"/>
  <c r="M2475" i="1"/>
  <c r="L2475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8" i="1"/>
  <c r="L2438" i="1"/>
  <c r="M2436" i="1"/>
  <c r="L2436" i="1"/>
  <c r="M2434" i="1"/>
  <c r="L2434" i="1"/>
  <c r="M2433" i="1"/>
  <c r="L2433" i="1"/>
  <c r="M2431" i="1"/>
  <c r="L2431" i="1"/>
  <c r="M2430" i="1"/>
  <c r="L2430" i="1"/>
  <c r="M2427" i="1"/>
  <c r="L2427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2" i="1"/>
  <c r="L2282" i="1"/>
  <c r="M2281" i="1"/>
  <c r="L2281" i="1"/>
  <c r="M2280" i="1"/>
  <c r="L2280" i="1"/>
  <c r="M2279" i="1"/>
  <c r="L2279" i="1"/>
  <c r="M2278" i="1"/>
  <c r="L2278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34" i="1"/>
  <c r="L2234" i="1"/>
  <c r="M2233" i="1"/>
  <c r="L2233" i="1"/>
  <c r="M2232" i="1"/>
  <c r="L2232" i="1"/>
  <c r="M2231" i="1"/>
  <c r="L2231" i="1"/>
  <c r="M2230" i="1"/>
  <c r="L2230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<sst xmlns="http://schemas.openxmlformats.org/spreadsheetml/2006/main" count="76493" uniqueCount="4396">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</sst>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0"/>
  <sheetViews>
    <sheetView showGridLines="0" zoomScale="75" zoomScaleNormal="75" workbookViewId="0">
      <selection activeCell="B2673" sqref="B2673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hidden="1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hidden="1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hidden="1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hidden="1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hidden="1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hidden="1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hidden="1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hidden="1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hidden="1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hidden="1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hidden="1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hidden="1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hidden="1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hidden="1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hidden="1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hidden="1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hidden="1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hidden="1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hidden="1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hidden="1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hidden="1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hidden="1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hidden="1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hidden="1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hidden="1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hidden="1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hidden="1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hidden="1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hidden="1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hidden="1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hidden="1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hidden="1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hidden="1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hidden="1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hidden="1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hidden="1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hidden="1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hidden="1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hidden="1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hidden="1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hidden="1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hidden="1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hidden="1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hidden="1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hidden="1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hidden="1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hidden="1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hidden="1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hidden="1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hidden="1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hidden="1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hidden="1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hidden="1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hidden="1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hidden="1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hidden="1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hidden="1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hidden="1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hidden="1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hidden="1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hidden="1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hidden="1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hidden="1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hidden="1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hidden="1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hidden="1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hidden="1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hidden="1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hidden="1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hidden="1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hidden="1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hidden="1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hidden="1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hidden="1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hidden="1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hidden="1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hidden="1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hidden="1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hidden="1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hidden="1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hidden="1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hidden="1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hidden="1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hidden="1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hidden="1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hidden="1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hidden="1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hidden="1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hidden="1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hidden="1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hidden="1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hidden="1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hidden="1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hidden="1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hidden="1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hidden="1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hidden="1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hidden="1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hidden="1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hidden="1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hidden="1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hidden="1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hidden="1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hidden="1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hidden="1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hidden="1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hidden="1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hidden="1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hidden="1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hidden="1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hidden="1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hidden="1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hidden="1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hidden="1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hidden="1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hidden="1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hidden="1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hidden="1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hidden="1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hidden="1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hidden="1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hidden="1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hidden="1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hidden="1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hidden="1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hidden="1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hidden="1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hidden="1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hidden="1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hidden="1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hidden="1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hidden="1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hidden="1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hidden="1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hidden="1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hidden="1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hidden="1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hidden="1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hidden="1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hidden="1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hidden="1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hidden="1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hidden="1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hidden="1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hidden="1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hidden="1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hidden="1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hidden="1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hidden="1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hidden="1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hidden="1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hidden="1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hidden="1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hidden="1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hidden="1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hidden="1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hidden="1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hidden="1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hidden="1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hidden="1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hidden="1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hidden="1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hidden="1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hidden="1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hidden="1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hidden="1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hidden="1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hidden="1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hidden="1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hidden="1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hidden="1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hidden="1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hidden="1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hidden="1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hidden="1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hidden="1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hidden="1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hidden="1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hidden="1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hidden="1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hidden="1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hidden="1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hidden="1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hidden="1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hidden="1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hidden="1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hidden="1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hidden="1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hidden="1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hidden="1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hidden="1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hidden="1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hidden="1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hidden="1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hidden="1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hidden="1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hidden="1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hidden="1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hidden="1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hidden="1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hidden="1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hidden="1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hidden="1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hidden="1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hidden="1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hidden="1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hidden="1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hidden="1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hidden="1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hidden="1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hidden="1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hidden="1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hidden="1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hidden="1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hidden="1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hidden="1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hidden="1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hidden="1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hidden="1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hidden="1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hidden="1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hidden="1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hidden="1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hidden="1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hidden="1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hidden="1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hidden="1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hidden="1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hidden="1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hidden="1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hidden="1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hidden="1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hidden="1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hidden="1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hidden="1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hidden="1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hidden="1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hidden="1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hidden="1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hidden="1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hidden="1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hidden="1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hidden="1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hidden="1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hidden="1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hidden="1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hidden="1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hidden="1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hidden="1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hidden="1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hidden="1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hidden="1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hidden="1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hidden="1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hidden="1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hidden="1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hidden="1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hidden="1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hidden="1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hidden="1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hidden="1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hidden="1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hidden="1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hidden="1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hidden="1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hidden="1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hidden="1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hidden="1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hidden="1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hidden="1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hidden="1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hidden="1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hidden="1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hidden="1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hidden="1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hidden="1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hidden="1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hidden="1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hidden="1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hidden="1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hidden="1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hidden="1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hidden="1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hidden="1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hidden="1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hidden="1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hidden="1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hidden="1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hidden="1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hidden="1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hidden="1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hidden="1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hidden="1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hidden="1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hidden="1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hidden="1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hidden="1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hidden="1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hidden="1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hidden="1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hidden="1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hidden="1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hidden="1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hidden="1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hidden="1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hidden="1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hidden="1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hidden="1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hidden="1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hidden="1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hidden="1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hidden="1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hidden="1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hidden="1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hidden="1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hidden="1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hidden="1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hidden="1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hidden="1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hidden="1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hidden="1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hidden="1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hidden="1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hidden="1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hidden="1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hidden="1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hidden="1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hidden="1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hidden="1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hidden="1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hidden="1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hidden="1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hidden="1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hidden="1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hidden="1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hidden="1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hidden="1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hidden="1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hidden="1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hidden="1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hidden="1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hidden="1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hidden="1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hidden="1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hidden="1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hidden="1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hidden="1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hidden="1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hidden="1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hidden="1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hidden="1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hidden="1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hidden="1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hidden="1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hidden="1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hidden="1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hidden="1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hidden="1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hidden="1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hidden="1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hidden="1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hidden="1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hidden="1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hidden="1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hidden="1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hidden="1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hidden="1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hidden="1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hidden="1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hidden="1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hidden="1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hidden="1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hidden="1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hidden="1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hidden="1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hidden="1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hidden="1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hidden="1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hidden="1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hidden="1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hidden="1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hidden="1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hidden="1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hidden="1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hidden="1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hidden="1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hidden="1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hidden="1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hidden="1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hidden="1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hidden="1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hidden="1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hidden="1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hidden="1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hidden="1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hidden="1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hidden="1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hidden="1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hidden="1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hidden="1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hidden="1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hidden="1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hidden="1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hidden="1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hidden="1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hidden="1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hidden="1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hidden="1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hidden="1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hidden="1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hidden="1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hidden="1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hidden="1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hidden="1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hidden="1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5" si="137">IFERROR(IF(OR(J2140=0,K2140=""),"",IF(E2140="Positivo",MIN(MAX(K2140/J2140,0),1.3),MIN(MAX(J2140/K2140,0),1.3))),"")</f>
        <v>0.75337500000000002</v>
      </c>
      <c r="M2140" s="39">
        <f t="shared" ref="M2140:M2175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hidden="1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hidden="1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hidden="1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hidden="1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hidden="1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hidden="1" x14ac:dyDescent="0.3">
      <c r="A2152">
        <v>428</v>
      </c>
      <c r="B2152" t="s">
        <v>1208</v>
      </c>
      <c r="C2152" t="s">
        <v>190</v>
      </c>
      <c r="D2152" t="s">
        <v>27</v>
      </c>
      <c r="E2152" t="s">
        <v>41</v>
      </c>
      <c r="F2152" s="79">
        <v>45838</v>
      </c>
      <c r="G2152">
        <v>2025</v>
      </c>
      <c r="H2152" t="s">
        <v>699</v>
      </c>
      <c r="I2152" t="s">
        <v>700</v>
      </c>
      <c r="J2152">
        <v>1</v>
      </c>
      <c r="K2152">
        <v>15.12</v>
      </c>
      <c r="L2152" s="39">
        <f t="shared" si="137"/>
        <v>6.6137566137566148E-2</v>
      </c>
      <c r="M2152" s="39">
        <f t="shared" si="138"/>
        <v>6.6137566137566148E-2</v>
      </c>
      <c r="N2152" t="s">
        <v>424</v>
      </c>
      <c r="O2152" t="s">
        <v>424</v>
      </c>
      <c r="P2152">
        <v>0</v>
      </c>
      <c r="Q2152">
        <v>1</v>
      </c>
      <c r="R2152" t="s">
        <v>2940</v>
      </c>
    </row>
    <row r="2153" spans="1:18" hidden="1" x14ac:dyDescent="0.3">
      <c r="A2153">
        <v>428</v>
      </c>
      <c r="B2153" t="s">
        <v>1208</v>
      </c>
      <c r="C2153" t="s">
        <v>190</v>
      </c>
      <c r="D2153" t="s">
        <v>21</v>
      </c>
      <c r="E2153" t="s">
        <v>41</v>
      </c>
      <c r="F2153" s="79">
        <v>46022</v>
      </c>
      <c r="G2153">
        <v>2025</v>
      </c>
      <c r="H2153" t="s">
        <v>23</v>
      </c>
      <c r="I2153" t="s">
        <v>32</v>
      </c>
      <c r="J2153">
        <v>1</v>
      </c>
      <c r="K2153">
        <v>17.88</v>
      </c>
      <c r="L2153" s="39">
        <f t="shared" si="137"/>
        <v>5.5928411633109625E-2</v>
      </c>
      <c r="M2153" s="39">
        <f t="shared" si="138"/>
        <v>5.5928411633109625E-2</v>
      </c>
      <c r="N2153" t="s">
        <v>424</v>
      </c>
      <c r="O2153" t="s">
        <v>424</v>
      </c>
      <c r="P2153">
        <v>0</v>
      </c>
      <c r="Q2153">
        <v>1</v>
      </c>
      <c r="R2153" t="s">
        <v>1211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45107</v>
      </c>
      <c r="G2154">
        <v>2023</v>
      </c>
      <c r="H2154" t="s">
        <v>699</v>
      </c>
      <c r="I2154" t="s">
        <v>1512</v>
      </c>
      <c r="J2154">
        <v>0.76</v>
      </c>
      <c r="K2154">
        <v>0.3</v>
      </c>
      <c r="L2154" s="39">
        <f t="shared" si="137"/>
        <v>1.3</v>
      </c>
      <c r="M2154" s="39">
        <f t="shared" si="138"/>
        <v>2.5333333333333337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45291</v>
      </c>
      <c r="G2155">
        <v>2023</v>
      </c>
      <c r="H2155" t="s">
        <v>23</v>
      </c>
      <c r="I2155" t="s">
        <v>28</v>
      </c>
      <c r="J2155">
        <v>0.76</v>
      </c>
      <c r="K2155">
        <v>0.76</v>
      </c>
      <c r="L2155" s="39">
        <f t="shared" si="137"/>
        <v>1</v>
      </c>
      <c r="M2155" s="39">
        <f t="shared" si="138"/>
        <v>1</v>
      </c>
      <c r="N2155" t="s">
        <v>136</v>
      </c>
      <c r="O2155" t="s">
        <v>136</v>
      </c>
      <c r="P2155">
        <v>0</v>
      </c>
      <c r="Q2155">
        <v>0</v>
      </c>
      <c r="R2155" t="s">
        <v>1213</v>
      </c>
    </row>
    <row r="2156" spans="1:18" hidden="1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45473</v>
      </c>
      <c r="G2156">
        <v>2024</v>
      </c>
      <c r="H2156" t="s">
        <v>699</v>
      </c>
      <c r="I2156" t="s">
        <v>729</v>
      </c>
      <c r="J2156">
        <v>0.76</v>
      </c>
      <c r="K2156">
        <v>0.66</v>
      </c>
      <c r="L2156" s="39">
        <f t="shared" si="137"/>
        <v>1.1515151515151514</v>
      </c>
      <c r="M2156" s="39">
        <f t="shared" si="138"/>
        <v>1.1515151515151514</v>
      </c>
      <c r="N2156" t="s">
        <v>136</v>
      </c>
      <c r="O2156" t="s">
        <v>136</v>
      </c>
      <c r="P2156">
        <v>1</v>
      </c>
      <c r="Q2156">
        <v>1</v>
      </c>
      <c r="R2156" t="s">
        <v>2942</v>
      </c>
    </row>
    <row r="2157" spans="1:18" hidden="1" x14ac:dyDescent="0.3">
      <c r="A2157">
        <v>429</v>
      </c>
      <c r="B2157" t="s">
        <v>1212</v>
      </c>
      <c r="C2157" t="s">
        <v>190</v>
      </c>
      <c r="D2157" t="s">
        <v>27</v>
      </c>
      <c r="E2157" t="s">
        <v>41</v>
      </c>
      <c r="F2157" s="79">
        <v>45657</v>
      </c>
      <c r="G2157">
        <v>2024</v>
      </c>
      <c r="H2157" t="s">
        <v>23</v>
      </c>
      <c r="I2157" t="s">
        <v>30</v>
      </c>
      <c r="J2157">
        <v>0.76</v>
      </c>
      <c r="K2157">
        <v>0.67</v>
      </c>
      <c r="L2157" s="39">
        <f t="shared" si="137"/>
        <v>1.1343283582089552</v>
      </c>
      <c r="M2157" s="39">
        <f t="shared" si="138"/>
        <v>1.1343283582089552</v>
      </c>
      <c r="N2157" t="s">
        <v>136</v>
      </c>
      <c r="O2157" t="s">
        <v>136</v>
      </c>
      <c r="P2157">
        <v>1</v>
      </c>
      <c r="Q2157">
        <v>1</v>
      </c>
      <c r="R2157" t="s">
        <v>1214</v>
      </c>
    </row>
    <row r="2158" spans="1:18" hidden="1" x14ac:dyDescent="0.3">
      <c r="A2158">
        <v>429</v>
      </c>
      <c r="B2158" t="s">
        <v>1212</v>
      </c>
      <c r="C2158" t="s">
        <v>190</v>
      </c>
      <c r="D2158" t="s">
        <v>27</v>
      </c>
      <c r="E2158" t="s">
        <v>41</v>
      </c>
      <c r="F2158" s="79">
        <v>45838</v>
      </c>
      <c r="G2158">
        <v>2025</v>
      </c>
      <c r="H2158" t="s">
        <v>699</v>
      </c>
      <c r="I2158" t="s">
        <v>700</v>
      </c>
      <c r="J2158">
        <v>0.76</v>
      </c>
      <c r="K2158">
        <v>0.59</v>
      </c>
      <c r="L2158" s="39">
        <f t="shared" si="137"/>
        <v>1.2881355932203391</v>
      </c>
      <c r="M2158" s="39">
        <f t="shared" si="138"/>
        <v>1.2881355932203391</v>
      </c>
      <c r="N2158" t="s">
        <v>136</v>
      </c>
      <c r="O2158" t="s">
        <v>136</v>
      </c>
      <c r="P2158">
        <v>1</v>
      </c>
      <c r="Q2158">
        <v>1</v>
      </c>
      <c r="R2158" t="s">
        <v>2943</v>
      </c>
    </row>
    <row r="2159" spans="1:18" hidden="1" x14ac:dyDescent="0.3">
      <c r="A2159">
        <v>429</v>
      </c>
      <c r="B2159" t="s">
        <v>1212</v>
      </c>
      <c r="C2159" t="s">
        <v>190</v>
      </c>
      <c r="D2159" t="s">
        <v>21</v>
      </c>
      <c r="E2159" t="s">
        <v>41</v>
      </c>
      <c r="F2159" s="79">
        <v>46022</v>
      </c>
      <c r="G2159">
        <v>2025</v>
      </c>
      <c r="H2159" t="s">
        <v>23</v>
      </c>
      <c r="I2159" t="s">
        <v>32</v>
      </c>
      <c r="J2159">
        <v>0.76</v>
      </c>
      <c r="K2159">
        <v>0.52</v>
      </c>
      <c r="L2159" s="39">
        <f t="shared" si="137"/>
        <v>1.3</v>
      </c>
      <c r="M2159" s="39">
        <f t="shared" si="138"/>
        <v>1.4615384615384615</v>
      </c>
      <c r="N2159" t="s">
        <v>136</v>
      </c>
      <c r="O2159" t="s">
        <v>136</v>
      </c>
      <c r="P2159">
        <v>2</v>
      </c>
      <c r="Q2159">
        <v>2</v>
      </c>
      <c r="R2159" t="s">
        <v>1215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45107</v>
      </c>
      <c r="G2160">
        <v>2023</v>
      </c>
      <c r="H2160" t="s">
        <v>699</v>
      </c>
      <c r="I2160" t="s">
        <v>1512</v>
      </c>
      <c r="J2160">
        <v>95</v>
      </c>
      <c r="K2160">
        <v>104.59563552424</v>
      </c>
      <c r="L2160" s="39">
        <f t="shared" si="137"/>
        <v>1.101006689728842</v>
      </c>
      <c r="M2160" s="39">
        <f t="shared" si="138"/>
        <v>1.101006689728842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95</v>
      </c>
      <c r="K2161">
        <v>101.39526345983001</v>
      </c>
      <c r="L2161" s="39">
        <f t="shared" si="137"/>
        <v>1.0673185627350528</v>
      </c>
      <c r="M2161" s="39">
        <f t="shared" si="138"/>
        <v>1.0673185627350528</v>
      </c>
      <c r="N2161" t="s">
        <v>25</v>
      </c>
      <c r="O2161" t="s">
        <v>25</v>
      </c>
      <c r="P2161">
        <v>0</v>
      </c>
      <c r="Q2161">
        <v>0</v>
      </c>
      <c r="R2161" t="s">
        <v>1217</v>
      </c>
    </row>
    <row r="2162" spans="1:19" hidden="1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45473</v>
      </c>
      <c r="G2162">
        <v>2024</v>
      </c>
      <c r="H2162" t="s">
        <v>699</v>
      </c>
      <c r="I2162" t="s">
        <v>729</v>
      </c>
      <c r="J2162">
        <v>95</v>
      </c>
      <c r="K2162">
        <v>101.88</v>
      </c>
      <c r="L2162" s="39">
        <f t="shared" si="137"/>
        <v>1.0724210526315789</v>
      </c>
      <c r="M2162" s="39">
        <f t="shared" si="138"/>
        <v>1.0724210526315789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430</v>
      </c>
      <c r="B2163" t="s">
        <v>1216</v>
      </c>
      <c r="C2163" t="s">
        <v>159</v>
      </c>
      <c r="D2163" t="s">
        <v>27</v>
      </c>
      <c r="E2163" t="s">
        <v>22</v>
      </c>
      <c r="F2163" s="79">
        <v>45657</v>
      </c>
      <c r="G2163">
        <v>2024</v>
      </c>
      <c r="H2163" t="s">
        <v>23</v>
      </c>
      <c r="I2163" t="s">
        <v>30</v>
      </c>
      <c r="J2163">
        <v>95</v>
      </c>
      <c r="K2163">
        <v>102.9374919710379</v>
      </c>
      <c r="L2163" s="39">
        <f t="shared" si="137"/>
        <v>1.0835525470635567</v>
      </c>
      <c r="M2163" s="39">
        <f t="shared" si="138"/>
        <v>1.0835525470635567</v>
      </c>
      <c r="N2163" t="s">
        <v>25</v>
      </c>
      <c r="O2163" t="s">
        <v>25</v>
      </c>
      <c r="P2163">
        <v>0</v>
      </c>
      <c r="Q2163">
        <v>0</v>
      </c>
      <c r="R2163" t="s">
        <v>1218</v>
      </c>
    </row>
    <row r="2164" spans="1:19" hidden="1" x14ac:dyDescent="0.3">
      <c r="A2164">
        <v>430</v>
      </c>
      <c r="B2164" t="s">
        <v>1216</v>
      </c>
      <c r="C2164" t="s">
        <v>159</v>
      </c>
      <c r="D2164" t="s">
        <v>27</v>
      </c>
      <c r="E2164" t="s">
        <v>22</v>
      </c>
      <c r="F2164" s="79">
        <v>45838</v>
      </c>
      <c r="G2164">
        <v>2025</v>
      </c>
      <c r="H2164" t="s">
        <v>699</v>
      </c>
      <c r="I2164" t="s">
        <v>700</v>
      </c>
      <c r="J2164">
        <v>95</v>
      </c>
      <c r="K2164">
        <v>110.79</v>
      </c>
      <c r="L2164" s="39">
        <f t="shared" si="137"/>
        <v>1.1662105263157896</v>
      </c>
      <c r="M2164" s="39">
        <f t="shared" si="138"/>
        <v>1.1662105263157896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430</v>
      </c>
      <c r="B2165" t="s">
        <v>1216</v>
      </c>
      <c r="C2165" t="s">
        <v>159</v>
      </c>
      <c r="D2165" t="s">
        <v>21</v>
      </c>
      <c r="E2165" t="s">
        <v>22</v>
      </c>
      <c r="F2165" s="79">
        <v>46022</v>
      </c>
      <c r="G2165">
        <v>2025</v>
      </c>
      <c r="H2165" t="s">
        <v>23</v>
      </c>
      <c r="I2165" t="s">
        <v>32</v>
      </c>
      <c r="J2165">
        <v>95</v>
      </c>
      <c r="K2165">
        <v>111.76</v>
      </c>
      <c r="L2165" s="39">
        <f t="shared" si="137"/>
        <v>1.176421052631579</v>
      </c>
      <c r="M2165" s="39">
        <f t="shared" si="138"/>
        <v>1.176421052631579</v>
      </c>
      <c r="N2165" t="s">
        <v>25</v>
      </c>
      <c r="O2165" t="s">
        <v>25</v>
      </c>
      <c r="P2165">
        <v>0</v>
      </c>
      <c r="Q2165">
        <v>0</v>
      </c>
      <c r="R2165" t="s">
        <v>1219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45199</v>
      </c>
      <c r="G2166">
        <v>2023</v>
      </c>
      <c r="H2166" t="s">
        <v>162</v>
      </c>
      <c r="I2166" t="s">
        <v>28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2947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1221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45382</v>
      </c>
      <c r="G2168">
        <v>2024</v>
      </c>
      <c r="H2168" t="s">
        <v>1516</v>
      </c>
      <c r="I2168" t="s">
        <v>729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2948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45473</v>
      </c>
      <c r="G2169">
        <v>2024</v>
      </c>
      <c r="H2169" t="s">
        <v>699</v>
      </c>
      <c r="I2169" t="s">
        <v>729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2949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45565</v>
      </c>
      <c r="G2170">
        <v>2024</v>
      </c>
      <c r="H2170" t="s">
        <v>162</v>
      </c>
      <c r="I2170" t="s">
        <v>30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2950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45657</v>
      </c>
      <c r="G2171">
        <v>2024</v>
      </c>
      <c r="H2171" t="s">
        <v>23</v>
      </c>
      <c r="I2171" t="s">
        <v>30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1222</v>
      </c>
    </row>
    <row r="2172" spans="1:19" hidden="1" x14ac:dyDescent="0.3">
      <c r="A2172">
        <v>431</v>
      </c>
      <c r="B2172" t="s">
        <v>1220</v>
      </c>
      <c r="C2172" t="s">
        <v>70</v>
      </c>
      <c r="D2172" t="s">
        <v>21</v>
      </c>
      <c r="E2172" t="s">
        <v>22</v>
      </c>
      <c r="F2172" s="79">
        <v>45747</v>
      </c>
      <c r="G2172">
        <v>2025</v>
      </c>
      <c r="H2172" t="s">
        <v>1516</v>
      </c>
      <c r="I2172" t="s">
        <v>700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2951</v>
      </c>
    </row>
    <row r="2173" spans="1:19" hidden="1" x14ac:dyDescent="0.3">
      <c r="A2173">
        <v>431</v>
      </c>
      <c r="B2173" t="s">
        <v>1220</v>
      </c>
      <c r="C2173" t="s">
        <v>70</v>
      </c>
      <c r="D2173" t="s">
        <v>21</v>
      </c>
      <c r="E2173" t="s">
        <v>22</v>
      </c>
      <c r="F2173" s="79">
        <v>45838</v>
      </c>
      <c r="G2173">
        <v>2025</v>
      </c>
      <c r="H2173" t="s">
        <v>699</v>
      </c>
      <c r="I2173" t="s">
        <v>700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2952</v>
      </c>
    </row>
    <row r="2174" spans="1:19" hidden="1" x14ac:dyDescent="0.3">
      <c r="A2174">
        <v>431</v>
      </c>
      <c r="B2174" t="s">
        <v>1220</v>
      </c>
      <c r="C2174" t="s">
        <v>70</v>
      </c>
      <c r="D2174" t="s">
        <v>27</v>
      </c>
      <c r="E2174" t="s">
        <v>22</v>
      </c>
      <c r="F2174" s="79">
        <v>45930</v>
      </c>
      <c r="G2174">
        <v>2025</v>
      </c>
      <c r="H2174" t="s">
        <v>162</v>
      </c>
      <c r="I2174" t="s">
        <v>32</v>
      </c>
      <c r="J2174">
        <v>100</v>
      </c>
      <c r="K2174">
        <v>100</v>
      </c>
      <c r="L2174" s="39">
        <f t="shared" si="137"/>
        <v>1</v>
      </c>
      <c r="M2174" s="39">
        <f t="shared" si="138"/>
        <v>1</v>
      </c>
      <c r="N2174" t="s">
        <v>25</v>
      </c>
      <c r="O2174" t="s">
        <v>25</v>
      </c>
      <c r="P2174">
        <v>0</v>
      </c>
      <c r="Q2174">
        <v>0</v>
      </c>
      <c r="R2174" t="s">
        <v>2953</v>
      </c>
    </row>
    <row r="2175" spans="1:19" hidden="1" x14ac:dyDescent="0.3">
      <c r="A2175">
        <v>431</v>
      </c>
      <c r="B2175" t="s">
        <v>1220</v>
      </c>
      <c r="C2175" t="s">
        <v>70</v>
      </c>
      <c r="D2175" t="s">
        <v>27</v>
      </c>
      <c r="E2175" t="s">
        <v>22</v>
      </c>
      <c r="F2175" s="79">
        <v>46022</v>
      </c>
      <c r="G2175">
        <v>2025</v>
      </c>
      <c r="H2175" t="s">
        <v>23</v>
      </c>
      <c r="I2175" t="s">
        <v>32</v>
      </c>
      <c r="J2175">
        <v>100</v>
      </c>
      <c r="K2175">
        <v>100</v>
      </c>
      <c r="L2175" s="39">
        <f t="shared" si="137"/>
        <v>1</v>
      </c>
      <c r="M2175" s="39">
        <f t="shared" si="138"/>
        <v>1</v>
      </c>
      <c r="N2175" t="s">
        <v>25</v>
      </c>
      <c r="O2175" t="s">
        <v>25</v>
      </c>
      <c r="P2175">
        <v>0</v>
      </c>
      <c r="Q2175">
        <v>0</v>
      </c>
      <c r="R2175" t="s">
        <v>1223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27</v>
      </c>
      <c r="E2176" t="s">
        <v>22</v>
      </c>
      <c r="F2176" s="79">
        <v>45107</v>
      </c>
      <c r="G2176">
        <v>2023</v>
      </c>
      <c r="H2176" t="s">
        <v>699</v>
      </c>
      <c r="I2176" t="s">
        <v>1512</v>
      </c>
      <c r="N2176" t="s">
        <v>25</v>
      </c>
      <c r="O2176" t="s">
        <v>302</v>
      </c>
      <c r="P2176">
        <v>0</v>
      </c>
      <c r="Q2176">
        <v>0</v>
      </c>
      <c r="R2176" t="s">
        <v>2954</v>
      </c>
      <c r="S2176" t="s">
        <v>302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45199</v>
      </c>
      <c r="G2177">
        <v>2023</v>
      </c>
      <c r="H2177" t="s">
        <v>162</v>
      </c>
      <c r="I2177" t="s">
        <v>28</v>
      </c>
      <c r="J2177">
        <v>90</v>
      </c>
      <c r="K2177">
        <v>100</v>
      </c>
      <c r="L2177" s="39">
        <f t="shared" ref="L2177:L2208" si="139">IFERROR(IF(OR(J2177=0,K2177=""),"",IF(E2177="Positivo",MIN(MAX(K2177/J2177,0),1.3),MIN(MAX(J2177/K2177,0),1.3))),"")</f>
        <v>1.1111111111111112</v>
      </c>
      <c r="M2177" s="39">
        <f t="shared" ref="M2177:M2208" si="140">IFERROR(IF(OR(J2177=0,K2177=""),"",IF(E2177="Positivo",MAX(K2177/J2177,0),MAX(J2177/K2177,0))),"")</f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2955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45291</v>
      </c>
      <c r="G2178">
        <v>2023</v>
      </c>
      <c r="H2178" t="s">
        <v>23</v>
      </c>
      <c r="I2178" t="s">
        <v>28</v>
      </c>
      <c r="J2178">
        <v>90</v>
      </c>
      <c r="K2178">
        <v>98.765555555556006</v>
      </c>
      <c r="L2178" s="39">
        <f t="shared" si="139"/>
        <v>1.0973950617284001</v>
      </c>
      <c r="M2178" s="39">
        <f t="shared" si="140"/>
        <v>1.0973950617284001</v>
      </c>
      <c r="N2178" t="s">
        <v>25</v>
      </c>
      <c r="O2178" t="s">
        <v>25</v>
      </c>
      <c r="P2178">
        <v>0</v>
      </c>
      <c r="Q2178">
        <v>0</v>
      </c>
      <c r="R2178" t="s">
        <v>1225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45382</v>
      </c>
      <c r="G2179">
        <v>2024</v>
      </c>
      <c r="H2179" t="s">
        <v>1516</v>
      </c>
      <c r="I2179" t="s">
        <v>729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2956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45473</v>
      </c>
      <c r="G2180">
        <v>2024</v>
      </c>
      <c r="H2180" t="s">
        <v>699</v>
      </c>
      <c r="I2180" t="s">
        <v>729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2957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45565</v>
      </c>
      <c r="G2181">
        <v>2024</v>
      </c>
      <c r="H2181" t="s">
        <v>162</v>
      </c>
      <c r="I2181" t="s">
        <v>30</v>
      </c>
      <c r="J2181">
        <v>90</v>
      </c>
      <c r="K2181">
        <v>0</v>
      </c>
      <c r="L2181" s="39">
        <f t="shared" si="139"/>
        <v>0</v>
      </c>
      <c r="M2181" s="39">
        <f t="shared" si="140"/>
        <v>0</v>
      </c>
      <c r="N2181" t="s">
        <v>25</v>
      </c>
      <c r="O2181" t="s">
        <v>25</v>
      </c>
      <c r="P2181">
        <v>0</v>
      </c>
      <c r="Q2181">
        <v>0</v>
      </c>
      <c r="R2181" t="s">
        <v>2958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45657</v>
      </c>
      <c r="G2182">
        <v>2024</v>
      </c>
      <c r="H2182" t="s">
        <v>23</v>
      </c>
      <c r="I2182" t="s">
        <v>30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1226</v>
      </c>
    </row>
    <row r="2183" spans="1:18" hidden="1" x14ac:dyDescent="0.3">
      <c r="A2183">
        <v>432</v>
      </c>
      <c r="B2183" t="s">
        <v>1224</v>
      </c>
      <c r="C2183" t="s">
        <v>70</v>
      </c>
      <c r="D2183" t="s">
        <v>21</v>
      </c>
      <c r="E2183" t="s">
        <v>22</v>
      </c>
      <c r="F2183" s="79">
        <v>45747</v>
      </c>
      <c r="G2183">
        <v>2025</v>
      </c>
      <c r="H2183" t="s">
        <v>1516</v>
      </c>
      <c r="I2183" t="s">
        <v>700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2959</v>
      </c>
    </row>
    <row r="2184" spans="1:18" hidden="1" x14ac:dyDescent="0.3">
      <c r="A2184">
        <v>432</v>
      </c>
      <c r="B2184" t="s">
        <v>1224</v>
      </c>
      <c r="C2184" t="s">
        <v>70</v>
      </c>
      <c r="D2184" t="s">
        <v>21</v>
      </c>
      <c r="E2184" t="s">
        <v>22</v>
      </c>
      <c r="F2184" s="79">
        <v>45838</v>
      </c>
      <c r="G2184">
        <v>2025</v>
      </c>
      <c r="H2184" t="s">
        <v>699</v>
      </c>
      <c r="I2184" t="s">
        <v>700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2960</v>
      </c>
    </row>
    <row r="2185" spans="1:18" hidden="1" x14ac:dyDescent="0.3">
      <c r="A2185">
        <v>432</v>
      </c>
      <c r="B2185" t="s">
        <v>1224</v>
      </c>
      <c r="C2185" t="s">
        <v>70</v>
      </c>
      <c r="D2185" t="s">
        <v>27</v>
      </c>
      <c r="E2185" t="s">
        <v>22</v>
      </c>
      <c r="F2185" s="79">
        <v>45930</v>
      </c>
      <c r="G2185">
        <v>2025</v>
      </c>
      <c r="H2185" t="s">
        <v>162</v>
      </c>
      <c r="I2185" t="s">
        <v>32</v>
      </c>
      <c r="J2185">
        <v>90</v>
      </c>
      <c r="K2185">
        <v>100</v>
      </c>
      <c r="L2185" s="39">
        <f t="shared" si="139"/>
        <v>1.1111111111111112</v>
      </c>
      <c r="M2185" s="39">
        <f t="shared" si="140"/>
        <v>1.1111111111111112</v>
      </c>
      <c r="N2185" t="s">
        <v>25</v>
      </c>
      <c r="O2185" t="s">
        <v>25</v>
      </c>
      <c r="P2185">
        <v>0</v>
      </c>
      <c r="Q2185">
        <v>0</v>
      </c>
      <c r="R2185" t="s">
        <v>2961</v>
      </c>
    </row>
    <row r="2186" spans="1:18" hidden="1" x14ac:dyDescent="0.3">
      <c r="A2186">
        <v>432</v>
      </c>
      <c r="B2186" t="s">
        <v>1224</v>
      </c>
      <c r="C2186" t="s">
        <v>70</v>
      </c>
      <c r="D2186" t="s">
        <v>27</v>
      </c>
      <c r="E2186" t="s">
        <v>22</v>
      </c>
      <c r="F2186" s="79">
        <v>46022</v>
      </c>
      <c r="G2186">
        <v>2025</v>
      </c>
      <c r="H2186" t="s">
        <v>23</v>
      </c>
      <c r="I2186" t="s">
        <v>32</v>
      </c>
      <c r="J2186">
        <v>90</v>
      </c>
      <c r="K2186">
        <v>100</v>
      </c>
      <c r="L2186" s="39">
        <f t="shared" si="139"/>
        <v>1.1111111111111112</v>
      </c>
      <c r="M2186" s="39">
        <f t="shared" si="140"/>
        <v>1.1111111111111112</v>
      </c>
      <c r="N2186" t="s">
        <v>25</v>
      </c>
      <c r="O2186" t="s">
        <v>25</v>
      </c>
      <c r="P2186">
        <v>0</v>
      </c>
      <c r="Q2186">
        <v>0</v>
      </c>
      <c r="R2186" t="s">
        <v>1227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45107</v>
      </c>
      <c r="G2187">
        <v>2023</v>
      </c>
      <c r="H2187" t="s">
        <v>699</v>
      </c>
      <c r="I2187" t="s">
        <v>1512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1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45291</v>
      </c>
      <c r="G2188">
        <v>2023</v>
      </c>
      <c r="H2188" t="s">
        <v>23</v>
      </c>
      <c r="I2188" t="s">
        <v>28</v>
      </c>
      <c r="J2188">
        <v>0.05</v>
      </c>
      <c r="K2188">
        <v>0.05</v>
      </c>
      <c r="L2188" s="39">
        <f t="shared" si="139"/>
        <v>1</v>
      </c>
      <c r="M2188" s="39">
        <f t="shared" si="140"/>
        <v>1</v>
      </c>
      <c r="N2188" t="s">
        <v>136</v>
      </c>
      <c r="O2188" t="s">
        <v>136</v>
      </c>
      <c r="P2188">
        <v>0</v>
      </c>
      <c r="Q2188">
        <v>0</v>
      </c>
      <c r="R2188" t="s">
        <v>1229</v>
      </c>
    </row>
    <row r="2189" spans="1:18" hidden="1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45473</v>
      </c>
      <c r="G2189">
        <v>2024</v>
      </c>
      <c r="H2189" t="s">
        <v>699</v>
      </c>
      <c r="I2189" t="s">
        <v>729</v>
      </c>
      <c r="J2189">
        <v>0.05</v>
      </c>
      <c r="K2189">
        <v>7.0000000000000007E-2</v>
      </c>
      <c r="L2189" s="39">
        <f t="shared" si="139"/>
        <v>0.7142857142857143</v>
      </c>
      <c r="M2189" s="39">
        <f t="shared" si="140"/>
        <v>0.7142857142857143</v>
      </c>
      <c r="N2189" t="s">
        <v>136</v>
      </c>
      <c r="O2189" t="s">
        <v>136</v>
      </c>
      <c r="P2189">
        <v>2</v>
      </c>
      <c r="Q2189">
        <v>2</v>
      </c>
      <c r="R2189" t="s">
        <v>2963</v>
      </c>
    </row>
    <row r="2190" spans="1:18" hidden="1" x14ac:dyDescent="0.3">
      <c r="A2190">
        <v>433</v>
      </c>
      <c r="B2190" t="s">
        <v>1228</v>
      </c>
      <c r="C2190" t="s">
        <v>190</v>
      </c>
      <c r="D2190" t="s">
        <v>27</v>
      </c>
      <c r="E2190" t="s">
        <v>41</v>
      </c>
      <c r="F2190" s="79">
        <v>45657</v>
      </c>
      <c r="G2190">
        <v>2024</v>
      </c>
      <c r="H2190" t="s">
        <v>23</v>
      </c>
      <c r="I2190" t="s">
        <v>30</v>
      </c>
      <c r="J2190">
        <v>0.05</v>
      </c>
      <c r="K2190">
        <v>0.14000000000000001</v>
      </c>
      <c r="L2190" s="39">
        <f t="shared" si="139"/>
        <v>0.35714285714285715</v>
      </c>
      <c r="M2190" s="39">
        <f t="shared" si="140"/>
        <v>0.35714285714285715</v>
      </c>
      <c r="N2190" t="s">
        <v>136</v>
      </c>
      <c r="O2190" t="s">
        <v>136</v>
      </c>
      <c r="P2190">
        <v>2</v>
      </c>
      <c r="Q2190">
        <v>2</v>
      </c>
      <c r="R2190" t="s">
        <v>1230</v>
      </c>
    </row>
    <row r="2191" spans="1:18" hidden="1" x14ac:dyDescent="0.3">
      <c r="A2191">
        <v>433</v>
      </c>
      <c r="B2191" t="s">
        <v>1228</v>
      </c>
      <c r="C2191" t="s">
        <v>190</v>
      </c>
      <c r="D2191" t="s">
        <v>27</v>
      </c>
      <c r="E2191" t="s">
        <v>41</v>
      </c>
      <c r="F2191" s="79">
        <v>45838</v>
      </c>
      <c r="G2191">
        <v>2025</v>
      </c>
      <c r="H2191" t="s">
        <v>699</v>
      </c>
      <c r="I2191" t="s">
        <v>700</v>
      </c>
      <c r="J2191">
        <v>0.05</v>
      </c>
      <c r="K2191">
        <v>0.02</v>
      </c>
      <c r="L2191" s="39">
        <f t="shared" si="139"/>
        <v>1.3</v>
      </c>
      <c r="M2191" s="39">
        <f t="shared" si="140"/>
        <v>2.5</v>
      </c>
      <c r="N2191" t="s">
        <v>136</v>
      </c>
      <c r="O2191" t="s">
        <v>136</v>
      </c>
      <c r="P2191">
        <v>2</v>
      </c>
      <c r="Q2191">
        <v>2</v>
      </c>
      <c r="R2191" t="s">
        <v>2964</v>
      </c>
    </row>
    <row r="2192" spans="1:18" hidden="1" x14ac:dyDescent="0.3">
      <c r="A2192">
        <v>433</v>
      </c>
      <c r="B2192" t="s">
        <v>1228</v>
      </c>
      <c r="C2192" t="s">
        <v>190</v>
      </c>
      <c r="D2192" t="s">
        <v>21</v>
      </c>
      <c r="E2192" t="s">
        <v>41</v>
      </c>
      <c r="F2192" s="79">
        <v>46022</v>
      </c>
      <c r="G2192">
        <v>2025</v>
      </c>
      <c r="H2192" t="s">
        <v>23</v>
      </c>
      <c r="I2192" t="s">
        <v>32</v>
      </c>
      <c r="J2192">
        <v>0.05</v>
      </c>
      <c r="K2192">
        <v>0.17</v>
      </c>
      <c r="L2192" s="39">
        <f t="shared" si="139"/>
        <v>0.29411764705882354</v>
      </c>
      <c r="M2192" s="39">
        <f t="shared" si="140"/>
        <v>0.29411764705882354</v>
      </c>
      <c r="N2192" t="s">
        <v>136</v>
      </c>
      <c r="O2192" t="s">
        <v>136</v>
      </c>
      <c r="P2192">
        <v>2</v>
      </c>
      <c r="Q2192">
        <v>2</v>
      </c>
      <c r="R2192" t="s">
        <v>1231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44957</v>
      </c>
      <c r="G2193">
        <v>2023</v>
      </c>
      <c r="H2193" t="s">
        <v>59</v>
      </c>
      <c r="I2193" t="s">
        <v>1512</v>
      </c>
      <c r="J2193">
        <v>200</v>
      </c>
      <c r="K2193">
        <v>7</v>
      </c>
      <c r="L2193" s="39">
        <f t="shared" si="139"/>
        <v>1.3</v>
      </c>
      <c r="M2193" s="39">
        <f t="shared" si="140"/>
        <v>28.571428571428573</v>
      </c>
      <c r="N2193" t="s">
        <v>403</v>
      </c>
      <c r="O2193" t="s">
        <v>403</v>
      </c>
      <c r="P2193">
        <v>0</v>
      </c>
      <c r="Q2193">
        <v>0</v>
      </c>
      <c r="R2193" t="s">
        <v>2965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44985</v>
      </c>
      <c r="G2194">
        <v>2023</v>
      </c>
      <c r="H2194" t="s">
        <v>210</v>
      </c>
      <c r="I2194" t="s">
        <v>1512</v>
      </c>
      <c r="J2194">
        <v>200</v>
      </c>
      <c r="K2194">
        <v>0</v>
      </c>
      <c r="L2194" s="39" t="str">
        <f t="shared" si="139"/>
        <v/>
      </c>
      <c r="M2194" s="39" t="str">
        <f t="shared" si="140"/>
        <v/>
      </c>
      <c r="N2194" t="s">
        <v>403</v>
      </c>
      <c r="O2194" t="s">
        <v>403</v>
      </c>
      <c r="P2194">
        <v>0</v>
      </c>
      <c r="Q2194">
        <v>0</v>
      </c>
      <c r="R2194" t="s">
        <v>2966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45016</v>
      </c>
      <c r="G2195">
        <v>2023</v>
      </c>
      <c r="H2195" t="s">
        <v>1516</v>
      </c>
      <c r="I2195" t="s">
        <v>1512</v>
      </c>
      <c r="J2195">
        <v>200</v>
      </c>
      <c r="K2195">
        <v>1</v>
      </c>
      <c r="L2195" s="39">
        <f t="shared" si="139"/>
        <v>1.3</v>
      </c>
      <c r="M2195" s="39">
        <f t="shared" si="140"/>
        <v>200</v>
      </c>
      <c r="N2195" t="s">
        <v>403</v>
      </c>
      <c r="O2195" t="s">
        <v>403</v>
      </c>
      <c r="P2195">
        <v>0</v>
      </c>
      <c r="Q2195">
        <v>0</v>
      </c>
      <c r="R2195" t="s">
        <v>2967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45046</v>
      </c>
      <c r="G2196">
        <v>2023</v>
      </c>
      <c r="H2196" t="s">
        <v>1540</v>
      </c>
      <c r="I2196" t="s">
        <v>1512</v>
      </c>
      <c r="J2196">
        <v>200</v>
      </c>
      <c r="K2196">
        <v>0.8</v>
      </c>
      <c r="L2196" s="39">
        <f t="shared" si="139"/>
        <v>1.3</v>
      </c>
      <c r="M2196" s="39">
        <f t="shared" si="140"/>
        <v>250</v>
      </c>
      <c r="N2196" t="s">
        <v>403</v>
      </c>
      <c r="O2196" t="s">
        <v>403</v>
      </c>
      <c r="P2196">
        <v>0</v>
      </c>
      <c r="Q2196">
        <v>0</v>
      </c>
      <c r="R2196" t="s">
        <v>2968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45077</v>
      </c>
      <c r="G2197">
        <v>2023</v>
      </c>
      <c r="H2197" t="s">
        <v>1542</v>
      </c>
      <c r="I2197" t="s">
        <v>1512</v>
      </c>
      <c r="J2197">
        <v>200</v>
      </c>
      <c r="K2197">
        <v>4.5999999999999996</v>
      </c>
      <c r="L2197" s="39">
        <f t="shared" si="139"/>
        <v>1.3</v>
      </c>
      <c r="M2197" s="39">
        <f t="shared" si="140"/>
        <v>43.478260869565219</v>
      </c>
      <c r="N2197" t="s">
        <v>403</v>
      </c>
      <c r="O2197" t="s">
        <v>403</v>
      </c>
      <c r="P2197">
        <v>0</v>
      </c>
      <c r="Q2197">
        <v>0</v>
      </c>
      <c r="R2197" t="s">
        <v>2969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45107</v>
      </c>
      <c r="G2198">
        <v>2023</v>
      </c>
      <c r="H2198" t="s">
        <v>699</v>
      </c>
      <c r="I2198" t="s">
        <v>1512</v>
      </c>
      <c r="J2198">
        <v>200</v>
      </c>
      <c r="K2198">
        <v>5.0999999999999996</v>
      </c>
      <c r="L2198" s="39">
        <f t="shared" si="139"/>
        <v>1.3</v>
      </c>
      <c r="M2198" s="39">
        <f t="shared" si="140"/>
        <v>39.215686274509807</v>
      </c>
      <c r="N2198" t="s">
        <v>403</v>
      </c>
      <c r="O2198" t="s">
        <v>403</v>
      </c>
      <c r="P2198">
        <v>0</v>
      </c>
      <c r="Q2198">
        <v>0</v>
      </c>
      <c r="R2198" t="s">
        <v>2970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45138</v>
      </c>
      <c r="G2199">
        <v>2023</v>
      </c>
      <c r="H2199" t="s">
        <v>260</v>
      </c>
      <c r="I2199" t="s">
        <v>28</v>
      </c>
      <c r="J2199">
        <v>200</v>
      </c>
      <c r="K2199">
        <v>18.899999999999999</v>
      </c>
      <c r="L2199" s="39">
        <f t="shared" si="139"/>
        <v>1.3</v>
      </c>
      <c r="M2199" s="39">
        <f t="shared" si="140"/>
        <v>10.582010582010582</v>
      </c>
      <c r="N2199" t="s">
        <v>403</v>
      </c>
      <c r="O2199" t="s">
        <v>403</v>
      </c>
      <c r="P2199">
        <v>0</v>
      </c>
      <c r="Q2199">
        <v>0</v>
      </c>
      <c r="R2199" t="s">
        <v>2971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45169</v>
      </c>
      <c r="G2200">
        <v>2023</v>
      </c>
      <c r="H2200" t="s">
        <v>1546</v>
      </c>
      <c r="I2200" t="s">
        <v>28</v>
      </c>
      <c r="J2200">
        <v>200</v>
      </c>
      <c r="K2200">
        <v>20.9</v>
      </c>
      <c r="L2200" s="39">
        <f t="shared" si="139"/>
        <v>1.3</v>
      </c>
      <c r="M2200" s="39">
        <f t="shared" si="140"/>
        <v>9.5693779904306222</v>
      </c>
      <c r="N2200" t="s">
        <v>403</v>
      </c>
      <c r="O2200" t="s">
        <v>403</v>
      </c>
      <c r="P2200">
        <v>0</v>
      </c>
      <c r="Q2200">
        <v>0</v>
      </c>
      <c r="R2200" t="s">
        <v>2972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45199</v>
      </c>
      <c r="G2201">
        <v>2023</v>
      </c>
      <c r="H2201" t="s">
        <v>162</v>
      </c>
      <c r="I2201" t="s">
        <v>28</v>
      </c>
      <c r="J2201">
        <v>200</v>
      </c>
      <c r="K2201">
        <v>1803.72</v>
      </c>
      <c r="L2201" s="39">
        <f t="shared" si="139"/>
        <v>0.11088195507063181</v>
      </c>
      <c r="M2201" s="39">
        <f t="shared" si="140"/>
        <v>0.11088195507063181</v>
      </c>
      <c r="N2201" t="s">
        <v>403</v>
      </c>
      <c r="O2201" t="s">
        <v>403</v>
      </c>
      <c r="P2201">
        <v>0</v>
      </c>
      <c r="Q2201">
        <v>1</v>
      </c>
      <c r="R2201" t="s">
        <v>2973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45230</v>
      </c>
      <c r="G2202">
        <v>2023</v>
      </c>
      <c r="H2202" t="s">
        <v>150</v>
      </c>
      <c r="I2202" t="s">
        <v>28</v>
      </c>
      <c r="J2202">
        <v>200</v>
      </c>
      <c r="K2202">
        <v>2.1</v>
      </c>
      <c r="L2202" s="39">
        <f t="shared" si="139"/>
        <v>1.3</v>
      </c>
      <c r="M2202" s="39">
        <f t="shared" si="140"/>
        <v>95.238095238095241</v>
      </c>
      <c r="N2202" t="s">
        <v>403</v>
      </c>
      <c r="O2202" t="s">
        <v>403</v>
      </c>
      <c r="P2202">
        <v>0</v>
      </c>
      <c r="Q2202">
        <v>0</v>
      </c>
      <c r="R2202" t="s">
        <v>2974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45260</v>
      </c>
      <c r="G2203">
        <v>2023</v>
      </c>
      <c r="H2203" t="s">
        <v>1550</v>
      </c>
      <c r="I2203" t="s">
        <v>28</v>
      </c>
      <c r="J2203">
        <v>200</v>
      </c>
      <c r="K2203">
        <v>14.31</v>
      </c>
      <c r="L2203" s="39">
        <f t="shared" si="139"/>
        <v>1.3</v>
      </c>
      <c r="M2203" s="39">
        <f t="shared" si="140"/>
        <v>13.976240391334731</v>
      </c>
      <c r="N2203" t="s">
        <v>403</v>
      </c>
      <c r="O2203" t="s">
        <v>403</v>
      </c>
      <c r="P2203">
        <v>0</v>
      </c>
      <c r="Q2203">
        <v>0</v>
      </c>
      <c r="R2203" t="s">
        <v>2975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45291</v>
      </c>
      <c r="G2204">
        <v>2023</v>
      </c>
      <c r="H2204" t="s">
        <v>23</v>
      </c>
      <c r="I2204" t="s">
        <v>28</v>
      </c>
      <c r="J2204">
        <v>200</v>
      </c>
      <c r="K2204">
        <v>415.7</v>
      </c>
      <c r="L2204" s="39">
        <f t="shared" si="139"/>
        <v>0.4811161895597787</v>
      </c>
      <c r="M2204" s="39">
        <f t="shared" si="140"/>
        <v>0.4811161895597787</v>
      </c>
      <c r="N2204" t="s">
        <v>403</v>
      </c>
      <c r="O2204" t="s">
        <v>403</v>
      </c>
      <c r="P2204">
        <v>0</v>
      </c>
      <c r="Q2204">
        <v>0</v>
      </c>
      <c r="R2204" t="s">
        <v>1233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45322</v>
      </c>
      <c r="G2205">
        <v>2024</v>
      </c>
      <c r="H2205" t="s">
        <v>59</v>
      </c>
      <c r="I2205" t="s">
        <v>729</v>
      </c>
      <c r="J2205">
        <v>200</v>
      </c>
      <c r="K2205">
        <v>9.65</v>
      </c>
      <c r="L2205" s="39">
        <f t="shared" si="139"/>
        <v>1.3</v>
      </c>
      <c r="M2205" s="39">
        <f t="shared" si="140"/>
        <v>20.725388601036268</v>
      </c>
      <c r="N2205" t="s">
        <v>403</v>
      </c>
      <c r="O2205" t="s">
        <v>403</v>
      </c>
      <c r="P2205">
        <v>0</v>
      </c>
      <c r="Q2205">
        <v>1</v>
      </c>
      <c r="R2205" t="s">
        <v>2976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45351</v>
      </c>
      <c r="G2206">
        <v>2024</v>
      </c>
      <c r="H2206" t="s">
        <v>210</v>
      </c>
      <c r="I2206" t="s">
        <v>729</v>
      </c>
      <c r="J2206">
        <v>200</v>
      </c>
      <c r="K2206">
        <v>107.7</v>
      </c>
      <c r="L2206" s="39">
        <f t="shared" si="139"/>
        <v>1.3</v>
      </c>
      <c r="M2206" s="39">
        <f t="shared" si="140"/>
        <v>1.8570102135561746</v>
      </c>
      <c r="N2206" t="s">
        <v>403</v>
      </c>
      <c r="O2206" t="s">
        <v>403</v>
      </c>
      <c r="P2206">
        <v>0</v>
      </c>
      <c r="Q2206">
        <v>1</v>
      </c>
      <c r="R2206" t="s">
        <v>2977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45382</v>
      </c>
      <c r="G2207">
        <v>2024</v>
      </c>
      <c r="H2207" t="s">
        <v>1516</v>
      </c>
      <c r="I2207" t="s">
        <v>729</v>
      </c>
      <c r="J2207">
        <v>200</v>
      </c>
      <c r="K2207">
        <v>22.02</v>
      </c>
      <c r="L2207" s="39">
        <f t="shared" si="139"/>
        <v>1.3</v>
      </c>
      <c r="M2207" s="39">
        <f t="shared" si="140"/>
        <v>9.0826521344232525</v>
      </c>
      <c r="N2207" t="s">
        <v>403</v>
      </c>
      <c r="O2207" t="s">
        <v>403</v>
      </c>
      <c r="P2207">
        <v>0</v>
      </c>
      <c r="Q2207">
        <v>1</v>
      </c>
      <c r="R2207" t="s">
        <v>2978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45412</v>
      </c>
      <c r="G2208">
        <v>2024</v>
      </c>
      <c r="H2208" t="s">
        <v>1540</v>
      </c>
      <c r="I2208" t="s">
        <v>729</v>
      </c>
      <c r="J2208">
        <v>200</v>
      </c>
      <c r="K2208">
        <v>89.04</v>
      </c>
      <c r="L2208" s="39">
        <f t="shared" si="139"/>
        <v>1.3</v>
      </c>
      <c r="M2208" s="39">
        <f t="shared" si="140"/>
        <v>2.24618149146451</v>
      </c>
      <c r="N2208" t="s">
        <v>403</v>
      </c>
      <c r="O2208" t="s">
        <v>403</v>
      </c>
      <c r="P2208">
        <v>0</v>
      </c>
      <c r="Q2208">
        <v>1</v>
      </c>
      <c r="R2208" t="s">
        <v>2979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45443</v>
      </c>
      <c r="G2209">
        <v>2024</v>
      </c>
      <c r="H2209" t="s">
        <v>1542</v>
      </c>
      <c r="I2209" t="s">
        <v>729</v>
      </c>
      <c r="J2209">
        <v>200</v>
      </c>
      <c r="K2209">
        <v>42</v>
      </c>
      <c r="L2209" s="39">
        <f t="shared" ref="L2209:L2228" si="141">IFERROR(IF(OR(J2209=0,K2209=""),"",IF(E2209="Positivo",MIN(MAX(K2209/J2209,0),1.3),MIN(MAX(J2209/K2209,0),1.3))),"")</f>
        <v>1.3</v>
      </c>
      <c r="M2209" s="39">
        <f t="shared" ref="M2209:M2228" si="142">IFERROR(IF(OR(J2209=0,K2209=""),"",IF(E2209="Positivo",MAX(K2209/J2209,0),MAX(J2209/K2209,0))),"")</f>
        <v>4.7619047619047619</v>
      </c>
      <c r="N2209" t="s">
        <v>403</v>
      </c>
      <c r="O2209" t="s">
        <v>403</v>
      </c>
      <c r="P2209">
        <v>0</v>
      </c>
      <c r="Q2209">
        <v>0</v>
      </c>
      <c r="R2209" t="s">
        <v>2980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45473</v>
      </c>
      <c r="G2210">
        <v>2024</v>
      </c>
      <c r="H2210" t="s">
        <v>699</v>
      </c>
      <c r="I2210" t="s">
        <v>729</v>
      </c>
      <c r="J2210">
        <v>200</v>
      </c>
      <c r="K2210">
        <v>3219.1</v>
      </c>
      <c r="L2210" s="39">
        <f t="shared" si="141"/>
        <v>6.2129166537230905E-2</v>
      </c>
      <c r="M2210" s="39">
        <f t="shared" si="142"/>
        <v>6.2129166537230905E-2</v>
      </c>
      <c r="N2210" t="s">
        <v>403</v>
      </c>
      <c r="O2210" t="s">
        <v>403</v>
      </c>
      <c r="P2210">
        <v>0</v>
      </c>
      <c r="Q2210">
        <v>1</v>
      </c>
      <c r="R2210" t="s">
        <v>2981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45504</v>
      </c>
      <c r="G2211">
        <v>2024</v>
      </c>
      <c r="H2211" t="s">
        <v>260</v>
      </c>
      <c r="I2211" t="s">
        <v>30</v>
      </c>
      <c r="J2211">
        <v>200</v>
      </c>
      <c r="K2211">
        <v>1689.599975585938</v>
      </c>
      <c r="L2211" s="39">
        <f t="shared" si="141"/>
        <v>0.11837121383163006</v>
      </c>
      <c r="M2211" s="39">
        <f t="shared" si="142"/>
        <v>0.11837121383163006</v>
      </c>
      <c r="N2211" t="s">
        <v>403</v>
      </c>
      <c r="O2211" t="s">
        <v>403</v>
      </c>
      <c r="P2211">
        <v>0</v>
      </c>
      <c r="Q2211">
        <v>1</v>
      </c>
      <c r="R2211" t="s">
        <v>2982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45535</v>
      </c>
      <c r="G2212">
        <v>2024</v>
      </c>
      <c r="H2212" t="s">
        <v>1546</v>
      </c>
      <c r="I2212" t="s">
        <v>30</v>
      </c>
      <c r="J2212">
        <v>200</v>
      </c>
      <c r="K2212">
        <v>855.1</v>
      </c>
      <c r="L2212" s="39">
        <f t="shared" si="141"/>
        <v>0.23389077300900479</v>
      </c>
      <c r="M2212" s="39">
        <f t="shared" si="142"/>
        <v>0.23389077300900479</v>
      </c>
      <c r="N2212" t="s">
        <v>403</v>
      </c>
      <c r="O2212" t="s">
        <v>403</v>
      </c>
      <c r="P2212">
        <v>0</v>
      </c>
      <c r="Q2212">
        <v>1</v>
      </c>
      <c r="R2212" t="s">
        <v>2983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45565</v>
      </c>
      <c r="G2213">
        <v>2024</v>
      </c>
      <c r="H2213" t="s">
        <v>162</v>
      </c>
      <c r="I2213" t="s">
        <v>30</v>
      </c>
      <c r="J2213">
        <v>200</v>
      </c>
      <c r="K2213">
        <v>16.37</v>
      </c>
      <c r="L2213" s="39">
        <f t="shared" si="141"/>
        <v>1.3</v>
      </c>
      <c r="M2213" s="39">
        <f t="shared" si="142"/>
        <v>12.217470983506413</v>
      </c>
      <c r="N2213" t="s">
        <v>403</v>
      </c>
      <c r="O2213" t="s">
        <v>403</v>
      </c>
      <c r="P2213">
        <v>0</v>
      </c>
      <c r="Q2213">
        <v>1</v>
      </c>
      <c r="R2213" t="s">
        <v>2984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45596</v>
      </c>
      <c r="G2214">
        <v>2024</v>
      </c>
      <c r="H2214" t="s">
        <v>150</v>
      </c>
      <c r="I2214" t="s">
        <v>30</v>
      </c>
      <c r="J2214">
        <v>200</v>
      </c>
      <c r="K2214">
        <v>992.38</v>
      </c>
      <c r="L2214" s="39">
        <f t="shared" si="141"/>
        <v>0.2015357020496181</v>
      </c>
      <c r="M2214" s="39">
        <f t="shared" si="142"/>
        <v>0.2015357020496181</v>
      </c>
      <c r="N2214" t="s">
        <v>403</v>
      </c>
      <c r="O2214" t="s">
        <v>403</v>
      </c>
      <c r="P2214">
        <v>0</v>
      </c>
      <c r="Q2214">
        <v>1</v>
      </c>
      <c r="R2214" t="s">
        <v>2985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45626</v>
      </c>
      <c r="G2215">
        <v>2024</v>
      </c>
      <c r="H2215" t="s">
        <v>1550</v>
      </c>
      <c r="I2215" t="s">
        <v>30</v>
      </c>
      <c r="J2215">
        <v>200</v>
      </c>
      <c r="K2215">
        <v>73.88</v>
      </c>
      <c r="L2215" s="39">
        <f t="shared" si="141"/>
        <v>1.3</v>
      </c>
      <c r="M2215" s="39">
        <f t="shared" si="142"/>
        <v>2.7070925825663239</v>
      </c>
      <c r="N2215" t="s">
        <v>403</v>
      </c>
      <c r="O2215" t="s">
        <v>403</v>
      </c>
      <c r="P2215">
        <v>0</v>
      </c>
      <c r="Q2215">
        <v>1</v>
      </c>
      <c r="R2215" t="s">
        <v>2986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45657</v>
      </c>
      <c r="G2216">
        <v>2024</v>
      </c>
      <c r="H2216" t="s">
        <v>23</v>
      </c>
      <c r="I2216" t="s">
        <v>30</v>
      </c>
      <c r="J2216">
        <v>200</v>
      </c>
      <c r="K2216">
        <v>2364.4900977164511</v>
      </c>
      <c r="L2216" s="39">
        <f t="shared" si="141"/>
        <v>8.4584832980757071E-2</v>
      </c>
      <c r="M2216" s="39">
        <f t="shared" si="142"/>
        <v>8.4584832980757071E-2</v>
      </c>
      <c r="N2216" t="s">
        <v>403</v>
      </c>
      <c r="O2216" t="s">
        <v>403</v>
      </c>
      <c r="P2216">
        <v>0</v>
      </c>
      <c r="Q2216">
        <v>1</v>
      </c>
      <c r="R2216" t="s">
        <v>1235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45688</v>
      </c>
      <c r="G2217">
        <v>2025</v>
      </c>
      <c r="H2217" t="s">
        <v>59</v>
      </c>
      <c r="I2217" t="s">
        <v>700</v>
      </c>
      <c r="J2217">
        <v>200</v>
      </c>
      <c r="K2217">
        <v>2072.4699999999998</v>
      </c>
      <c r="L2217" s="39">
        <f t="shared" si="141"/>
        <v>9.6503206319029963E-2</v>
      </c>
      <c r="M2217" s="39">
        <f t="shared" si="142"/>
        <v>9.6503206319029963E-2</v>
      </c>
      <c r="N2217" t="s">
        <v>403</v>
      </c>
      <c r="O2217" t="s">
        <v>403</v>
      </c>
      <c r="P2217">
        <v>0</v>
      </c>
      <c r="Q2217">
        <v>1</v>
      </c>
      <c r="R2217" t="s">
        <v>2987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45716</v>
      </c>
      <c r="G2218">
        <v>2025</v>
      </c>
      <c r="H2218" t="s">
        <v>210</v>
      </c>
      <c r="I2218" t="s">
        <v>700</v>
      </c>
      <c r="J2218">
        <v>200</v>
      </c>
      <c r="K2218">
        <v>71.680000000000007</v>
      </c>
      <c r="L2218" s="39">
        <f t="shared" si="141"/>
        <v>1.3</v>
      </c>
      <c r="M2218" s="39">
        <f t="shared" si="142"/>
        <v>2.7901785714285712</v>
      </c>
      <c r="N2218" t="s">
        <v>403</v>
      </c>
      <c r="O2218" t="s">
        <v>403</v>
      </c>
      <c r="P2218">
        <v>0</v>
      </c>
      <c r="Q2218">
        <v>1</v>
      </c>
      <c r="R2218" t="s">
        <v>2988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45747</v>
      </c>
      <c r="G2219">
        <v>2025</v>
      </c>
      <c r="H2219" t="s">
        <v>1516</v>
      </c>
      <c r="I2219" t="s">
        <v>700</v>
      </c>
      <c r="J2219">
        <v>200</v>
      </c>
      <c r="K2219">
        <v>53.29</v>
      </c>
      <c r="L2219" s="39">
        <f t="shared" si="141"/>
        <v>1.3</v>
      </c>
      <c r="M2219" s="39">
        <f t="shared" si="142"/>
        <v>3.7530493525989868</v>
      </c>
      <c r="N2219" t="s">
        <v>403</v>
      </c>
      <c r="O2219" t="s">
        <v>403</v>
      </c>
      <c r="P2219">
        <v>0</v>
      </c>
      <c r="Q2219">
        <v>1</v>
      </c>
      <c r="R2219" t="s">
        <v>2989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45777</v>
      </c>
      <c r="G2220">
        <v>2025</v>
      </c>
      <c r="H2220" t="s">
        <v>1540</v>
      </c>
      <c r="I2220" t="s">
        <v>700</v>
      </c>
      <c r="J2220">
        <v>200</v>
      </c>
      <c r="K2220">
        <v>126.74</v>
      </c>
      <c r="L2220" s="39">
        <f t="shared" si="141"/>
        <v>1.3</v>
      </c>
      <c r="M2220" s="39">
        <f t="shared" si="142"/>
        <v>1.5780337699226763</v>
      </c>
      <c r="N2220" t="s">
        <v>403</v>
      </c>
      <c r="O2220" t="s">
        <v>403</v>
      </c>
      <c r="P2220">
        <v>0</v>
      </c>
      <c r="Q2220">
        <v>1</v>
      </c>
      <c r="R2220" t="s">
        <v>2990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45808</v>
      </c>
      <c r="G2221">
        <v>2025</v>
      </c>
      <c r="H2221" t="s">
        <v>1542</v>
      </c>
      <c r="I2221" t="s">
        <v>700</v>
      </c>
      <c r="J2221">
        <v>200</v>
      </c>
      <c r="K2221">
        <v>12.6</v>
      </c>
      <c r="L2221" s="39">
        <f t="shared" si="141"/>
        <v>1.3</v>
      </c>
      <c r="M2221" s="39">
        <f t="shared" si="142"/>
        <v>15.873015873015873</v>
      </c>
      <c r="N2221" t="s">
        <v>403</v>
      </c>
      <c r="O2221" t="s">
        <v>403</v>
      </c>
      <c r="P2221">
        <v>0</v>
      </c>
      <c r="Q2221">
        <v>1</v>
      </c>
      <c r="R2221" t="s">
        <v>2991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45838</v>
      </c>
      <c r="G2222">
        <v>2025</v>
      </c>
      <c r="H2222" t="s">
        <v>699</v>
      </c>
      <c r="I2222" t="s">
        <v>700</v>
      </c>
      <c r="J2222">
        <v>200</v>
      </c>
      <c r="K2222">
        <v>130.58000000000001</v>
      </c>
      <c r="L2222" s="39">
        <f t="shared" si="141"/>
        <v>1.3</v>
      </c>
      <c r="M2222" s="39">
        <f t="shared" si="142"/>
        <v>1.5316281206922957</v>
      </c>
      <c r="N2222" t="s">
        <v>403</v>
      </c>
      <c r="O2222" t="s">
        <v>403</v>
      </c>
      <c r="P2222">
        <v>0</v>
      </c>
      <c r="Q2222">
        <v>1</v>
      </c>
      <c r="R2222" t="s">
        <v>2992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45869</v>
      </c>
      <c r="G2223">
        <v>2025</v>
      </c>
      <c r="H2223" t="s">
        <v>260</v>
      </c>
      <c r="I2223" t="s">
        <v>32</v>
      </c>
      <c r="J2223">
        <v>200</v>
      </c>
      <c r="K2223">
        <v>312.11</v>
      </c>
      <c r="L2223" s="39">
        <f t="shared" si="141"/>
        <v>0.64079971804812408</v>
      </c>
      <c r="M2223" s="39">
        <f t="shared" si="142"/>
        <v>0.64079971804812408</v>
      </c>
      <c r="N2223" t="s">
        <v>403</v>
      </c>
      <c r="O2223" t="s">
        <v>403</v>
      </c>
      <c r="P2223">
        <v>0</v>
      </c>
      <c r="Q2223">
        <v>0</v>
      </c>
      <c r="R2223" t="s">
        <v>2993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45900</v>
      </c>
      <c r="G2224">
        <v>2025</v>
      </c>
      <c r="H2224" t="s">
        <v>1546</v>
      </c>
      <c r="I2224" t="s">
        <v>32</v>
      </c>
      <c r="J2224">
        <v>200</v>
      </c>
      <c r="K2224">
        <v>84.75</v>
      </c>
      <c r="L2224" s="39">
        <f t="shared" si="141"/>
        <v>1.3</v>
      </c>
      <c r="M2224" s="39">
        <f t="shared" si="142"/>
        <v>2.359882005899705</v>
      </c>
      <c r="N2224" t="s">
        <v>403</v>
      </c>
      <c r="O2224" t="s">
        <v>403</v>
      </c>
      <c r="P2224">
        <v>0</v>
      </c>
      <c r="Q2224">
        <v>0</v>
      </c>
      <c r="R2224" t="s">
        <v>2994</v>
      </c>
    </row>
    <row r="2225" spans="1:19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45930</v>
      </c>
      <c r="G2225">
        <v>2025</v>
      </c>
      <c r="H2225" t="s">
        <v>162</v>
      </c>
      <c r="I2225" t="s">
        <v>32</v>
      </c>
      <c r="J2225">
        <v>200</v>
      </c>
      <c r="K2225">
        <v>109.73</v>
      </c>
      <c r="L2225" s="39">
        <f t="shared" si="141"/>
        <v>1.3</v>
      </c>
      <c r="M2225" s="39">
        <f t="shared" si="142"/>
        <v>1.8226556092226374</v>
      </c>
      <c r="N2225" t="s">
        <v>403</v>
      </c>
      <c r="O2225" t="s">
        <v>403</v>
      </c>
      <c r="P2225">
        <v>0</v>
      </c>
      <c r="Q2225">
        <v>0</v>
      </c>
      <c r="R2225" t="s">
        <v>2995</v>
      </c>
    </row>
    <row r="2226" spans="1:19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45961</v>
      </c>
      <c r="G2226">
        <v>2025</v>
      </c>
      <c r="H2226" t="s">
        <v>150</v>
      </c>
      <c r="I2226" t="s">
        <v>32</v>
      </c>
      <c r="J2226">
        <v>200</v>
      </c>
      <c r="K2226">
        <v>4524.46</v>
      </c>
      <c r="L2226" s="39">
        <f t="shared" si="141"/>
        <v>4.420417022141869E-2</v>
      </c>
      <c r="M2226" s="39">
        <f t="shared" si="142"/>
        <v>4.420417022141869E-2</v>
      </c>
      <c r="N2226" t="s">
        <v>403</v>
      </c>
      <c r="O2226" t="s">
        <v>403</v>
      </c>
      <c r="P2226">
        <v>0</v>
      </c>
      <c r="Q2226">
        <v>0</v>
      </c>
      <c r="R2226" t="s">
        <v>2996</v>
      </c>
    </row>
    <row r="2227" spans="1:19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45991</v>
      </c>
      <c r="G2227">
        <v>2025</v>
      </c>
      <c r="H2227" t="s">
        <v>1550</v>
      </c>
      <c r="I2227" t="s">
        <v>32</v>
      </c>
      <c r="J2227">
        <v>200</v>
      </c>
      <c r="K2227">
        <v>285.14999999999998</v>
      </c>
      <c r="L2227" s="39">
        <f t="shared" si="141"/>
        <v>0.7013852358407856</v>
      </c>
      <c r="M2227" s="39">
        <f t="shared" si="142"/>
        <v>0.7013852358407856</v>
      </c>
      <c r="N2227" t="s">
        <v>403</v>
      </c>
      <c r="O2227" t="s">
        <v>403</v>
      </c>
      <c r="P2227">
        <v>0</v>
      </c>
      <c r="Q2227">
        <v>0</v>
      </c>
      <c r="R2227" t="s">
        <v>2997</v>
      </c>
    </row>
    <row r="2228" spans="1:19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46022</v>
      </c>
      <c r="G2228">
        <v>2025</v>
      </c>
      <c r="H2228" t="s">
        <v>23</v>
      </c>
      <c r="I2228" t="s">
        <v>32</v>
      </c>
      <c r="J2228">
        <v>200</v>
      </c>
      <c r="K2228">
        <v>150.1299935057759</v>
      </c>
      <c r="L2228" s="39">
        <f t="shared" si="141"/>
        <v>1.3</v>
      </c>
      <c r="M2228" s="39">
        <f t="shared" si="142"/>
        <v>1.33217883601857</v>
      </c>
      <c r="N2228" t="s">
        <v>403</v>
      </c>
      <c r="O2228" t="s">
        <v>403</v>
      </c>
      <c r="P2228">
        <v>0</v>
      </c>
      <c r="Q2228">
        <v>0</v>
      </c>
      <c r="R2228" t="s">
        <v>1236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21</v>
      </c>
      <c r="E2229" t="s">
        <v>22</v>
      </c>
      <c r="F2229" s="79">
        <v>45107</v>
      </c>
      <c r="G2229">
        <v>2023</v>
      </c>
      <c r="H2229" t="s">
        <v>699</v>
      </c>
      <c r="I2229" t="s">
        <v>1512</v>
      </c>
      <c r="J2229">
        <v>100</v>
      </c>
      <c r="L2229" s="39"/>
      <c r="M2229" s="39"/>
      <c r="N2229" t="s">
        <v>25</v>
      </c>
      <c r="O2229" t="s">
        <v>302</v>
      </c>
      <c r="P2229">
        <v>2</v>
      </c>
      <c r="Q2229">
        <v>2</v>
      </c>
      <c r="R2229" t="s">
        <v>2998</v>
      </c>
      <c r="S2229" t="s">
        <v>302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45291</v>
      </c>
      <c r="G2230">
        <v>2023</v>
      </c>
      <c r="H2230" t="s">
        <v>23</v>
      </c>
      <c r="I2230" t="s">
        <v>28</v>
      </c>
      <c r="J2230">
        <v>100</v>
      </c>
      <c r="K2230">
        <v>-111.57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1238</v>
      </c>
    </row>
    <row r="2231" spans="1:19" hidden="1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45473</v>
      </c>
      <c r="G2231">
        <v>2024</v>
      </c>
      <c r="H2231" t="s">
        <v>699</v>
      </c>
      <c r="I2231" t="s">
        <v>729</v>
      </c>
      <c r="J2231">
        <v>100</v>
      </c>
      <c r="K2231">
        <v>-20.67</v>
      </c>
      <c r="L2231" s="39">
        <f>IFERROR(IF(OR(J2231=0,K2231=""),"",IF(E2231="Positivo",MIN(MAX(K2231/J2231,0),1.3),MIN(MAX(J2231/K2231,0),1.3))),"")</f>
        <v>0</v>
      </c>
      <c r="M2231" s="39">
        <f>IFERROR(IF(OR(J2231=0,K2231=""),"",IF(E2231="Positivo",MAX(K2231/J2231,0),MAX(J2231/K2231,0))),"")</f>
        <v>0</v>
      </c>
      <c r="N2231" t="s">
        <v>25</v>
      </c>
      <c r="O2231" t="s">
        <v>25</v>
      </c>
      <c r="P2231">
        <v>2</v>
      </c>
      <c r="Q2231">
        <v>2</v>
      </c>
      <c r="R2231" t="s">
        <v>2999</v>
      </c>
    </row>
    <row r="2232" spans="1:19" hidden="1" x14ac:dyDescent="0.3">
      <c r="A2232">
        <v>435</v>
      </c>
      <c r="B2232" t="s">
        <v>1237</v>
      </c>
      <c r="C2232" t="s">
        <v>190</v>
      </c>
      <c r="D2232" t="s">
        <v>27</v>
      </c>
      <c r="E2232" t="s">
        <v>22</v>
      </c>
      <c r="F2232" s="79">
        <v>45657</v>
      </c>
      <c r="G2232">
        <v>2024</v>
      </c>
      <c r="H2232" t="s">
        <v>23</v>
      </c>
      <c r="I2232" t="s">
        <v>30</v>
      </c>
      <c r="J2232">
        <v>100</v>
      </c>
      <c r="K2232">
        <v>71.09</v>
      </c>
      <c r="L2232" s="39">
        <f>IFERROR(IF(OR(J2232=0,K2232=""),"",IF(E2232="Positivo",MIN(MAX(K2232/J2232,0),1.3),MIN(MAX(J2232/K2232,0),1.3))),"")</f>
        <v>0.71090000000000009</v>
      </c>
      <c r="M2232" s="39">
        <f>IFERROR(IF(OR(J2232=0,K2232=""),"",IF(E2232="Positivo",MAX(K2232/J2232,0),MAX(J2232/K2232,0))),"")</f>
        <v>0.71090000000000009</v>
      </c>
      <c r="N2232" t="s">
        <v>25</v>
      </c>
      <c r="O2232" t="s">
        <v>25</v>
      </c>
      <c r="P2232">
        <v>2</v>
      </c>
      <c r="Q2232">
        <v>2</v>
      </c>
      <c r="R2232" t="s">
        <v>1239</v>
      </c>
    </row>
    <row r="2233" spans="1:19" hidden="1" x14ac:dyDescent="0.3">
      <c r="A2233">
        <v>435</v>
      </c>
      <c r="B2233" t="s">
        <v>1237</v>
      </c>
      <c r="C2233" t="s">
        <v>190</v>
      </c>
      <c r="D2233" t="s">
        <v>27</v>
      </c>
      <c r="E2233" t="s">
        <v>22</v>
      </c>
      <c r="F2233" s="79">
        <v>45838</v>
      </c>
      <c r="G2233">
        <v>2025</v>
      </c>
      <c r="H2233" t="s">
        <v>699</v>
      </c>
      <c r="I2233" t="s">
        <v>700</v>
      </c>
      <c r="J2233">
        <v>1</v>
      </c>
      <c r="K2233">
        <v>96.09</v>
      </c>
      <c r="L2233" s="39">
        <f>IFERROR(IF(OR(J2233=0,K2233=""),"",IF(E2233="Positivo",MIN(MAX(K2233/J2233,0),1.3),MIN(MAX(J2233/K2233,0),1.3))),"")</f>
        <v>1.3</v>
      </c>
      <c r="M2233" s="39">
        <f>IFERROR(IF(OR(J2233=0,K2233=""),"",IF(E2233="Positivo",MAX(K2233/J2233,0),MAX(J2233/K2233,0))),"")</f>
        <v>96.09</v>
      </c>
      <c r="N2233" t="s">
        <v>25</v>
      </c>
      <c r="O2233" t="s">
        <v>25</v>
      </c>
      <c r="P2233">
        <v>2</v>
      </c>
      <c r="Q2233">
        <v>2</v>
      </c>
      <c r="R2233" t="s">
        <v>3000</v>
      </c>
    </row>
    <row r="2234" spans="1:19" hidden="1" x14ac:dyDescent="0.3">
      <c r="A2234">
        <v>435</v>
      </c>
      <c r="B2234" t="s">
        <v>1237</v>
      </c>
      <c r="C2234" t="s">
        <v>190</v>
      </c>
      <c r="D2234" t="s">
        <v>21</v>
      </c>
      <c r="E2234" t="s">
        <v>22</v>
      </c>
      <c r="F2234" s="79">
        <v>46022</v>
      </c>
      <c r="G2234">
        <v>2025</v>
      </c>
      <c r="H2234" t="s">
        <v>23</v>
      </c>
      <c r="I2234" t="s">
        <v>32</v>
      </c>
      <c r="J2234">
        <v>1</v>
      </c>
      <c r="K2234">
        <v>-732.08</v>
      </c>
      <c r="L2234" s="39">
        <f>IFERROR(IF(OR(J2234=0,K2234=""),"",IF(E2234="Positivo",MIN(MAX(K2234/J2234,0),1.3),MIN(MAX(J2234/K2234,0),1.3))),"")</f>
        <v>0</v>
      </c>
      <c r="M2234" s="39">
        <f>IFERROR(IF(OR(J2234=0,K2234=""),"",IF(E2234="Positivo",MAX(K2234/J2234,0),MAX(J2234/K2234,0))),"")</f>
        <v>0</v>
      </c>
      <c r="N2234" t="s">
        <v>25</v>
      </c>
      <c r="O2234" t="s">
        <v>25</v>
      </c>
      <c r="P2234">
        <v>2</v>
      </c>
      <c r="Q2234">
        <v>2</v>
      </c>
      <c r="R2234" t="s">
        <v>1240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44957</v>
      </c>
      <c r="G2235">
        <v>2023</v>
      </c>
      <c r="H2235" t="s">
        <v>59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3001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44985</v>
      </c>
      <c r="G2236">
        <v>2023</v>
      </c>
      <c r="H2236" t="s">
        <v>210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3002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45016</v>
      </c>
      <c r="G2237">
        <v>2023</v>
      </c>
      <c r="H2237" t="s">
        <v>1516</v>
      </c>
      <c r="I2237" t="s">
        <v>1512</v>
      </c>
      <c r="J2237">
        <v>14</v>
      </c>
      <c r="L2237" s="39"/>
      <c r="M2237" s="39"/>
      <c r="N2237" t="s">
        <v>42</v>
      </c>
      <c r="O2237" t="s">
        <v>302</v>
      </c>
      <c r="P2237">
        <v>0</v>
      </c>
      <c r="Q2237">
        <v>1</v>
      </c>
      <c r="R2237" t="s">
        <v>3003</v>
      </c>
      <c r="S2237" t="s">
        <v>302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45046</v>
      </c>
      <c r="G2238">
        <v>2023</v>
      </c>
      <c r="H2238" t="s">
        <v>1540</v>
      </c>
      <c r="I2238" t="s">
        <v>1512</v>
      </c>
      <c r="J2238">
        <v>14</v>
      </c>
      <c r="N2238" t="s">
        <v>42</v>
      </c>
      <c r="O2238" t="s">
        <v>302</v>
      </c>
      <c r="P2238">
        <v>0</v>
      </c>
      <c r="Q2238">
        <v>1</v>
      </c>
      <c r="R2238" t="s">
        <v>3004</v>
      </c>
      <c r="S2238" t="s">
        <v>302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45077</v>
      </c>
      <c r="G2239">
        <v>2023</v>
      </c>
      <c r="H2239" t="s">
        <v>1542</v>
      </c>
      <c r="I2239" t="s">
        <v>1512</v>
      </c>
      <c r="J2239">
        <v>14</v>
      </c>
      <c r="N2239" t="s">
        <v>42</v>
      </c>
      <c r="O2239" t="s">
        <v>302</v>
      </c>
      <c r="P2239">
        <v>0</v>
      </c>
      <c r="Q2239">
        <v>1</v>
      </c>
      <c r="R2239" t="s">
        <v>3005</v>
      </c>
      <c r="S2239" t="s">
        <v>302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45107</v>
      </c>
      <c r="G2240">
        <v>2023</v>
      </c>
      <c r="H2240" t="s">
        <v>699</v>
      </c>
      <c r="I2240" t="s">
        <v>1512</v>
      </c>
      <c r="J2240">
        <v>14</v>
      </c>
      <c r="L2240" s="39"/>
      <c r="M2240" s="39"/>
      <c r="N2240" t="s">
        <v>42</v>
      </c>
      <c r="O2240" t="s">
        <v>302</v>
      </c>
      <c r="P2240">
        <v>0</v>
      </c>
      <c r="Q2240">
        <v>1</v>
      </c>
      <c r="R2240" t="s">
        <v>3006</v>
      </c>
      <c r="S2240" t="s">
        <v>302</v>
      </c>
    </row>
    <row r="2241" spans="1:18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45138</v>
      </c>
      <c r="G2241">
        <v>2023</v>
      </c>
      <c r="H2241" t="s">
        <v>260</v>
      </c>
      <c r="I2241" t="s">
        <v>28</v>
      </c>
      <c r="J2241">
        <v>21</v>
      </c>
      <c r="K2241">
        <v>11.7</v>
      </c>
      <c r="L2241" s="39">
        <f t="shared" ref="L2241:L2275" si="143">IFERROR(IF(OR(J2241=0,K2241=""),"",IF(E2241="Positivo",MIN(MAX(K2241/J2241,0),1.3),MIN(MAX(J2241/K2241,0),1.3))),"")</f>
        <v>1.3</v>
      </c>
      <c r="M2241" s="39">
        <f t="shared" ref="M2241:M2275" si="144">IFERROR(IF(OR(J2241=0,K2241=""),"",IF(E2241="Positivo",MAX(K2241/J2241,0),MAX(J2241/K2241,0))),"")</f>
        <v>1.7948717948717949</v>
      </c>
      <c r="N2241" t="s">
        <v>42</v>
      </c>
      <c r="O2241" t="s">
        <v>42</v>
      </c>
      <c r="P2241">
        <v>0</v>
      </c>
      <c r="Q2241">
        <v>0</v>
      </c>
      <c r="R2241" t="s">
        <v>3007</v>
      </c>
    </row>
    <row r="2242" spans="1:18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45169</v>
      </c>
      <c r="G2242">
        <v>2023</v>
      </c>
      <c r="H2242" t="s">
        <v>1546</v>
      </c>
      <c r="I2242" t="s">
        <v>28</v>
      </c>
      <c r="J2242">
        <v>21</v>
      </c>
      <c r="K2242">
        <v>8.6999999999999993</v>
      </c>
      <c r="L2242" s="39">
        <f t="shared" si="143"/>
        <v>1.3</v>
      </c>
      <c r="M2242" s="39">
        <f t="shared" si="144"/>
        <v>2.4137931034482762</v>
      </c>
      <c r="N2242" t="s">
        <v>42</v>
      </c>
      <c r="O2242" t="s">
        <v>42</v>
      </c>
      <c r="P2242">
        <v>0</v>
      </c>
      <c r="Q2242">
        <v>0</v>
      </c>
      <c r="R2242" t="s">
        <v>3008</v>
      </c>
    </row>
    <row r="2243" spans="1:18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45199</v>
      </c>
      <c r="G2243">
        <v>2023</v>
      </c>
      <c r="H2243" t="s">
        <v>162</v>
      </c>
      <c r="I2243" t="s">
        <v>28</v>
      </c>
      <c r="J2243">
        <v>21</v>
      </c>
      <c r="K2243">
        <v>17.3</v>
      </c>
      <c r="L2243" s="39">
        <f t="shared" si="143"/>
        <v>1.2138728323699421</v>
      </c>
      <c r="M2243" s="39">
        <f t="shared" si="144"/>
        <v>1.2138728323699421</v>
      </c>
      <c r="N2243" t="s">
        <v>42</v>
      </c>
      <c r="O2243" t="s">
        <v>42</v>
      </c>
      <c r="P2243">
        <v>0</v>
      </c>
      <c r="Q2243">
        <v>0</v>
      </c>
      <c r="R2243" t="s">
        <v>3009</v>
      </c>
    </row>
    <row r="2244" spans="1:18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45230</v>
      </c>
      <c r="G2244">
        <v>2023</v>
      </c>
      <c r="H2244" t="s">
        <v>150</v>
      </c>
      <c r="I2244" t="s">
        <v>28</v>
      </c>
      <c r="J2244">
        <v>21</v>
      </c>
      <c r="K2244">
        <v>5.0999999999999996</v>
      </c>
      <c r="L2244" s="39">
        <f t="shared" si="143"/>
        <v>1.3</v>
      </c>
      <c r="M2244" s="39">
        <f t="shared" si="144"/>
        <v>4.1176470588235299</v>
      </c>
      <c r="N2244" t="s">
        <v>42</v>
      </c>
      <c r="O2244" t="s">
        <v>42</v>
      </c>
      <c r="P2244">
        <v>0</v>
      </c>
      <c r="Q2244">
        <v>0</v>
      </c>
      <c r="R2244" t="s">
        <v>3010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45260</v>
      </c>
      <c r="G2245">
        <v>2023</v>
      </c>
      <c r="H2245" t="s">
        <v>1550</v>
      </c>
      <c r="I2245" t="s">
        <v>28</v>
      </c>
      <c r="J2245">
        <v>21</v>
      </c>
      <c r="K2245">
        <v>10.91</v>
      </c>
      <c r="L2245" s="39">
        <f t="shared" si="143"/>
        <v>1.3</v>
      </c>
      <c r="M2245" s="39">
        <f t="shared" si="144"/>
        <v>1.9248395967002749</v>
      </c>
      <c r="N2245" t="s">
        <v>42</v>
      </c>
      <c r="O2245" t="s">
        <v>42</v>
      </c>
      <c r="P2245">
        <v>0</v>
      </c>
      <c r="Q2245">
        <v>0</v>
      </c>
      <c r="R2245" t="s">
        <v>3011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45291</v>
      </c>
      <c r="G2246">
        <v>2023</v>
      </c>
      <c r="H2246" t="s">
        <v>23</v>
      </c>
      <c r="I2246" t="s">
        <v>28</v>
      </c>
      <c r="J2246">
        <v>21</v>
      </c>
      <c r="K2246">
        <v>12.7</v>
      </c>
      <c r="L2246" s="39">
        <f t="shared" si="143"/>
        <v>1.3</v>
      </c>
      <c r="M2246" s="39">
        <f t="shared" si="144"/>
        <v>1.6535433070866143</v>
      </c>
      <c r="N2246" t="s">
        <v>42</v>
      </c>
      <c r="O2246" t="s">
        <v>42</v>
      </c>
      <c r="P2246">
        <v>0</v>
      </c>
      <c r="Q2246">
        <v>0</v>
      </c>
      <c r="R2246" t="s">
        <v>1242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45322</v>
      </c>
      <c r="G2247">
        <v>2024</v>
      </c>
      <c r="H2247" t="s">
        <v>59</v>
      </c>
      <c r="I2247" t="s">
        <v>729</v>
      </c>
      <c r="J2247">
        <v>14</v>
      </c>
      <c r="K2247">
        <v>9.6999999999999993</v>
      </c>
      <c r="L2247" s="39">
        <f t="shared" si="143"/>
        <v>1.3</v>
      </c>
      <c r="M2247" s="39">
        <f t="shared" si="144"/>
        <v>1.4432989690721651</v>
      </c>
      <c r="N2247" t="s">
        <v>42</v>
      </c>
      <c r="O2247" t="s">
        <v>42</v>
      </c>
      <c r="P2247">
        <v>0</v>
      </c>
      <c r="Q2247">
        <v>0</v>
      </c>
      <c r="R2247" t="s">
        <v>3012</v>
      </c>
    </row>
    <row r="2248" spans="1:18" s="2" customFormat="1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45351</v>
      </c>
      <c r="G2248">
        <v>2024</v>
      </c>
      <c r="H2248" t="s">
        <v>210</v>
      </c>
      <c r="I2248" t="s">
        <v>729</v>
      </c>
      <c r="J2248">
        <v>14</v>
      </c>
      <c r="K2248">
        <v>13.5</v>
      </c>
      <c r="L2248" s="39">
        <f t="shared" si="143"/>
        <v>1.037037037037037</v>
      </c>
      <c r="M2248" s="39">
        <f t="shared" si="144"/>
        <v>1.037037037037037</v>
      </c>
      <c r="N2248" t="s">
        <v>42</v>
      </c>
      <c r="O2248" t="s">
        <v>42</v>
      </c>
      <c r="P2248">
        <v>0</v>
      </c>
      <c r="Q2248">
        <v>0</v>
      </c>
      <c r="R2248" t="s">
        <v>3013</v>
      </c>
    </row>
    <row r="2249" spans="1:18" s="2" customFormat="1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45382</v>
      </c>
      <c r="G2249">
        <v>2024</v>
      </c>
      <c r="H2249" t="s">
        <v>1516</v>
      </c>
      <c r="I2249" t="s">
        <v>729</v>
      </c>
      <c r="J2249">
        <v>14</v>
      </c>
      <c r="K2249">
        <v>15.7</v>
      </c>
      <c r="L2249" s="39">
        <f t="shared" si="143"/>
        <v>0.89171974522292996</v>
      </c>
      <c r="M2249" s="39">
        <f t="shared" si="144"/>
        <v>0.89171974522292996</v>
      </c>
      <c r="N2249" t="s">
        <v>42</v>
      </c>
      <c r="O2249" t="s">
        <v>42</v>
      </c>
      <c r="P2249">
        <v>0</v>
      </c>
      <c r="Q2249">
        <v>0</v>
      </c>
      <c r="R2249" t="s">
        <v>3014</v>
      </c>
    </row>
    <row r="2250" spans="1:18" s="2" customFormat="1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45412</v>
      </c>
      <c r="G2250">
        <v>2024</v>
      </c>
      <c r="H2250" t="s">
        <v>1540</v>
      </c>
      <c r="I2250" t="s">
        <v>729</v>
      </c>
      <c r="J2250">
        <v>14</v>
      </c>
      <c r="K2250">
        <v>11.1</v>
      </c>
      <c r="L2250" s="39">
        <f t="shared" si="143"/>
        <v>1.2612612612612613</v>
      </c>
      <c r="M2250" s="39">
        <f t="shared" si="144"/>
        <v>1.2612612612612613</v>
      </c>
      <c r="N2250" t="s">
        <v>42</v>
      </c>
      <c r="O2250" t="s">
        <v>42</v>
      </c>
      <c r="P2250">
        <v>0</v>
      </c>
      <c r="Q2250">
        <v>0</v>
      </c>
      <c r="R2250" t="s">
        <v>3015</v>
      </c>
    </row>
    <row r="2251" spans="1:18" s="2" customFormat="1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45443</v>
      </c>
      <c r="G2251">
        <v>2024</v>
      </c>
      <c r="H2251" t="s">
        <v>1542</v>
      </c>
      <c r="I2251" t="s">
        <v>729</v>
      </c>
      <c r="J2251">
        <v>14</v>
      </c>
      <c r="K2251">
        <v>10.6</v>
      </c>
      <c r="L2251" s="39">
        <f t="shared" si="143"/>
        <v>1.3</v>
      </c>
      <c r="M2251" s="39">
        <f t="shared" si="144"/>
        <v>1.3207547169811322</v>
      </c>
      <c r="N2251" t="s">
        <v>42</v>
      </c>
      <c r="O2251" t="s">
        <v>42</v>
      </c>
      <c r="P2251">
        <v>0</v>
      </c>
      <c r="Q2251">
        <v>0</v>
      </c>
      <c r="R2251" t="s">
        <v>3016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45473</v>
      </c>
      <c r="G2252">
        <v>2024</v>
      </c>
      <c r="H2252" t="s">
        <v>699</v>
      </c>
      <c r="I2252" t="s">
        <v>729</v>
      </c>
      <c r="J2252">
        <v>14</v>
      </c>
      <c r="K2252">
        <v>8.8000000000000007</v>
      </c>
      <c r="L2252" s="39">
        <f t="shared" si="143"/>
        <v>1.3</v>
      </c>
      <c r="M2252" s="39">
        <f t="shared" si="144"/>
        <v>1.5909090909090908</v>
      </c>
      <c r="N2252" t="s">
        <v>42</v>
      </c>
      <c r="O2252" t="s">
        <v>42</v>
      </c>
      <c r="P2252">
        <v>0</v>
      </c>
      <c r="Q2252">
        <v>0</v>
      </c>
      <c r="R2252" t="s">
        <v>3017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45504</v>
      </c>
      <c r="G2253">
        <v>2024</v>
      </c>
      <c r="H2253" t="s">
        <v>260</v>
      </c>
      <c r="I2253" t="s">
        <v>30</v>
      </c>
      <c r="J2253">
        <v>14</v>
      </c>
      <c r="K2253">
        <v>9.4</v>
      </c>
      <c r="L2253" s="39">
        <f t="shared" si="143"/>
        <v>1.3</v>
      </c>
      <c r="M2253" s="39">
        <f t="shared" si="144"/>
        <v>1.4893617021276595</v>
      </c>
      <c r="N2253" t="s">
        <v>42</v>
      </c>
      <c r="O2253" t="s">
        <v>42</v>
      </c>
      <c r="P2253">
        <v>0</v>
      </c>
      <c r="Q2253">
        <v>0</v>
      </c>
      <c r="R2253" t="s">
        <v>3018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45535</v>
      </c>
      <c r="G2254">
        <v>2024</v>
      </c>
      <c r="H2254" t="s">
        <v>1546</v>
      </c>
      <c r="I2254" t="s">
        <v>30</v>
      </c>
      <c r="J2254">
        <v>14</v>
      </c>
      <c r="K2254">
        <v>8.5</v>
      </c>
      <c r="L2254" s="39">
        <f t="shared" si="143"/>
        <v>1.3</v>
      </c>
      <c r="M2254" s="39">
        <f t="shared" si="144"/>
        <v>1.6470588235294117</v>
      </c>
      <c r="N2254" t="s">
        <v>42</v>
      </c>
      <c r="O2254" t="s">
        <v>42</v>
      </c>
      <c r="P2254">
        <v>0</v>
      </c>
      <c r="Q2254">
        <v>0</v>
      </c>
      <c r="R2254" t="s">
        <v>3019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45565</v>
      </c>
      <c r="G2255">
        <v>2024</v>
      </c>
      <c r="H2255" t="s">
        <v>162</v>
      </c>
      <c r="I2255" t="s">
        <v>30</v>
      </c>
      <c r="J2255">
        <v>14</v>
      </c>
      <c r="K2255">
        <v>10.5</v>
      </c>
      <c r="L2255" s="39">
        <f t="shared" si="143"/>
        <v>1.3</v>
      </c>
      <c r="M2255" s="39">
        <f t="shared" si="144"/>
        <v>1.3333333333333333</v>
      </c>
      <c r="N2255" t="s">
        <v>42</v>
      </c>
      <c r="O2255" t="s">
        <v>42</v>
      </c>
      <c r="P2255">
        <v>0</v>
      </c>
      <c r="Q2255">
        <v>0</v>
      </c>
      <c r="R2255" t="s">
        <v>3020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45596</v>
      </c>
      <c r="G2256">
        <v>2024</v>
      </c>
      <c r="H2256" t="s">
        <v>150</v>
      </c>
      <c r="I2256" t="s">
        <v>30</v>
      </c>
      <c r="J2256">
        <v>14</v>
      </c>
      <c r="K2256">
        <v>8</v>
      </c>
      <c r="L2256" s="39">
        <f t="shared" si="143"/>
        <v>1.3</v>
      </c>
      <c r="M2256" s="39">
        <f t="shared" si="144"/>
        <v>1.75</v>
      </c>
      <c r="N2256" t="s">
        <v>42</v>
      </c>
      <c r="O2256" t="s">
        <v>42</v>
      </c>
      <c r="P2256">
        <v>0</v>
      </c>
      <c r="Q2256">
        <v>0</v>
      </c>
      <c r="R2256" t="s">
        <v>3021</v>
      </c>
    </row>
    <row r="2257" spans="1:18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45626</v>
      </c>
      <c r="G2257">
        <v>2024</v>
      </c>
      <c r="H2257" t="s">
        <v>1550</v>
      </c>
      <c r="I2257" t="s">
        <v>30</v>
      </c>
      <c r="J2257">
        <v>14</v>
      </c>
      <c r="K2257">
        <v>10</v>
      </c>
      <c r="L2257" s="39">
        <f t="shared" si="143"/>
        <v>1.3</v>
      </c>
      <c r="M2257" s="39">
        <f t="shared" si="144"/>
        <v>1.4</v>
      </c>
      <c r="N2257" t="s">
        <v>42</v>
      </c>
      <c r="O2257" t="s">
        <v>42</v>
      </c>
      <c r="P2257">
        <v>0</v>
      </c>
      <c r="Q2257">
        <v>0</v>
      </c>
      <c r="R2257" t="s">
        <v>3022</v>
      </c>
    </row>
    <row r="2258" spans="1:18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45657</v>
      </c>
      <c r="G2258">
        <v>2024</v>
      </c>
      <c r="H2258" t="s">
        <v>23</v>
      </c>
      <c r="I2258" t="s">
        <v>30</v>
      </c>
      <c r="J2258">
        <v>14</v>
      </c>
      <c r="K2258">
        <v>16.97</v>
      </c>
      <c r="L2258" s="39">
        <f t="shared" si="143"/>
        <v>0.82498526812021222</v>
      </c>
      <c r="M2258" s="39">
        <f t="shared" si="144"/>
        <v>0.82498526812021222</v>
      </c>
      <c r="N2258" t="s">
        <v>42</v>
      </c>
      <c r="O2258" t="s">
        <v>42</v>
      </c>
      <c r="P2258">
        <v>0</v>
      </c>
      <c r="Q2258">
        <v>0</v>
      </c>
      <c r="R2258" t="s">
        <v>1243</v>
      </c>
    </row>
    <row r="2259" spans="1:18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45688</v>
      </c>
      <c r="G2259">
        <v>2025</v>
      </c>
      <c r="H2259" t="s">
        <v>59</v>
      </c>
      <c r="I2259" t="s">
        <v>700</v>
      </c>
      <c r="J2259">
        <v>14</v>
      </c>
      <c r="K2259">
        <v>9.1999999999999993</v>
      </c>
      <c r="L2259" s="39">
        <f t="shared" si="143"/>
        <v>1.3</v>
      </c>
      <c r="M2259" s="39">
        <f t="shared" si="144"/>
        <v>1.5217391304347827</v>
      </c>
      <c r="N2259" t="s">
        <v>42</v>
      </c>
      <c r="O2259" t="s">
        <v>42</v>
      </c>
      <c r="P2259">
        <v>0</v>
      </c>
      <c r="Q2259">
        <v>0</v>
      </c>
      <c r="R2259" t="s">
        <v>3023</v>
      </c>
    </row>
    <row r="2260" spans="1:18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45716</v>
      </c>
      <c r="G2260">
        <v>2025</v>
      </c>
      <c r="H2260" t="s">
        <v>210</v>
      </c>
      <c r="I2260" t="s">
        <v>700</v>
      </c>
      <c r="J2260">
        <v>14</v>
      </c>
      <c r="K2260">
        <v>3.34</v>
      </c>
      <c r="L2260" s="39">
        <f t="shared" si="143"/>
        <v>1.3</v>
      </c>
      <c r="M2260" s="39">
        <f t="shared" si="144"/>
        <v>4.1916167664670656</v>
      </c>
      <c r="N2260" t="s">
        <v>42</v>
      </c>
      <c r="O2260" t="s">
        <v>42</v>
      </c>
      <c r="P2260">
        <v>0</v>
      </c>
      <c r="Q2260">
        <v>0</v>
      </c>
      <c r="R2260" t="s">
        <v>3024</v>
      </c>
    </row>
    <row r="2261" spans="1:18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45747</v>
      </c>
      <c r="G2261">
        <v>2025</v>
      </c>
      <c r="H2261" t="s">
        <v>1516</v>
      </c>
      <c r="I2261" t="s">
        <v>700</v>
      </c>
      <c r="J2261">
        <v>14</v>
      </c>
      <c r="K2261">
        <v>10.6</v>
      </c>
      <c r="L2261" s="39">
        <f t="shared" si="143"/>
        <v>1.3</v>
      </c>
      <c r="M2261" s="39">
        <f t="shared" si="144"/>
        <v>1.3207547169811322</v>
      </c>
      <c r="N2261" t="s">
        <v>42</v>
      </c>
      <c r="O2261" t="s">
        <v>42</v>
      </c>
      <c r="P2261">
        <v>0</v>
      </c>
      <c r="Q2261">
        <v>0</v>
      </c>
      <c r="R2261" t="s">
        <v>3025</v>
      </c>
    </row>
    <row r="2262" spans="1:18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45777</v>
      </c>
      <c r="G2262">
        <v>2025</v>
      </c>
      <c r="H2262" t="s">
        <v>1540</v>
      </c>
      <c r="I2262" t="s">
        <v>700</v>
      </c>
      <c r="J2262">
        <v>14</v>
      </c>
      <c r="K2262">
        <v>6.4</v>
      </c>
      <c r="L2262" s="39">
        <f t="shared" si="143"/>
        <v>1.3</v>
      </c>
      <c r="M2262" s="39">
        <f t="shared" si="144"/>
        <v>2.1875</v>
      </c>
      <c r="N2262" t="s">
        <v>42</v>
      </c>
      <c r="O2262" t="s">
        <v>42</v>
      </c>
      <c r="P2262">
        <v>0</v>
      </c>
      <c r="Q2262">
        <v>0</v>
      </c>
      <c r="R2262" t="s">
        <v>3026</v>
      </c>
    </row>
    <row r="2263" spans="1:18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45808</v>
      </c>
      <c r="G2263">
        <v>2025</v>
      </c>
      <c r="H2263" t="s">
        <v>1542</v>
      </c>
      <c r="I2263" t="s">
        <v>700</v>
      </c>
      <c r="J2263">
        <v>14</v>
      </c>
      <c r="K2263">
        <v>10.17</v>
      </c>
      <c r="L2263" s="39">
        <f t="shared" si="143"/>
        <v>1.3</v>
      </c>
      <c r="M2263" s="39">
        <f t="shared" si="144"/>
        <v>1.3765978367748279</v>
      </c>
      <c r="N2263" t="s">
        <v>42</v>
      </c>
      <c r="O2263" t="s">
        <v>42</v>
      </c>
      <c r="P2263">
        <v>0</v>
      </c>
      <c r="Q2263">
        <v>0</v>
      </c>
      <c r="R2263" t="s">
        <v>3027</v>
      </c>
    </row>
    <row r="2264" spans="1:18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45838</v>
      </c>
      <c r="G2264">
        <v>2025</v>
      </c>
      <c r="H2264" t="s">
        <v>699</v>
      </c>
      <c r="I2264" t="s">
        <v>700</v>
      </c>
      <c r="J2264">
        <v>14</v>
      </c>
      <c r="K2264">
        <v>11.93</v>
      </c>
      <c r="L2264" s="39">
        <f t="shared" si="143"/>
        <v>1.173512154233026</v>
      </c>
      <c r="M2264" s="39">
        <f t="shared" si="144"/>
        <v>1.173512154233026</v>
      </c>
      <c r="N2264" t="s">
        <v>42</v>
      </c>
      <c r="O2264" t="s">
        <v>42</v>
      </c>
      <c r="P2264">
        <v>0</v>
      </c>
      <c r="Q2264">
        <v>0</v>
      </c>
      <c r="R2264" t="s">
        <v>3028</v>
      </c>
    </row>
    <row r="2265" spans="1:18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45869</v>
      </c>
      <c r="G2265">
        <v>2025</v>
      </c>
      <c r="H2265" t="s">
        <v>260</v>
      </c>
      <c r="I2265" t="s">
        <v>32</v>
      </c>
      <c r="J2265">
        <v>14</v>
      </c>
      <c r="K2265">
        <v>13.41</v>
      </c>
      <c r="L2265" s="39">
        <f t="shared" si="143"/>
        <v>1.0439970171513795</v>
      </c>
      <c r="M2265" s="39">
        <f t="shared" si="144"/>
        <v>1.0439970171513795</v>
      </c>
      <c r="N2265" t="s">
        <v>42</v>
      </c>
      <c r="O2265" t="s">
        <v>42</v>
      </c>
      <c r="P2265">
        <v>0</v>
      </c>
      <c r="Q2265">
        <v>0</v>
      </c>
      <c r="R2265" t="s">
        <v>3029</v>
      </c>
    </row>
    <row r="2266" spans="1:18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45900</v>
      </c>
      <c r="G2266">
        <v>2025</v>
      </c>
      <c r="H2266" t="s">
        <v>1546</v>
      </c>
      <c r="I2266" t="s">
        <v>32</v>
      </c>
      <c r="J2266">
        <v>14</v>
      </c>
      <c r="K2266">
        <v>14.17</v>
      </c>
      <c r="L2266" s="39">
        <f t="shared" si="143"/>
        <v>0.98800282286520824</v>
      </c>
      <c r="M2266" s="39">
        <f t="shared" si="144"/>
        <v>0.98800282286520824</v>
      </c>
      <c r="N2266" t="s">
        <v>42</v>
      </c>
      <c r="O2266" t="s">
        <v>42</v>
      </c>
      <c r="P2266">
        <v>0</v>
      </c>
      <c r="Q2266">
        <v>0</v>
      </c>
      <c r="R2266" t="s">
        <v>3030</v>
      </c>
    </row>
    <row r="2267" spans="1:18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45930</v>
      </c>
      <c r="G2267">
        <v>2025</v>
      </c>
      <c r="H2267" t="s">
        <v>162</v>
      </c>
      <c r="I2267" t="s">
        <v>32</v>
      </c>
      <c r="J2267">
        <v>14</v>
      </c>
      <c r="K2267">
        <v>7.08</v>
      </c>
      <c r="L2267" s="39">
        <f t="shared" si="143"/>
        <v>1.3</v>
      </c>
      <c r="M2267" s="39">
        <f t="shared" si="144"/>
        <v>1.9774011299435028</v>
      </c>
      <c r="N2267" t="s">
        <v>42</v>
      </c>
      <c r="O2267" t="s">
        <v>42</v>
      </c>
      <c r="P2267">
        <v>0</v>
      </c>
      <c r="Q2267">
        <v>1</v>
      </c>
      <c r="R2267" t="s">
        <v>3031</v>
      </c>
    </row>
    <row r="2268" spans="1:18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45961</v>
      </c>
      <c r="G2268">
        <v>2025</v>
      </c>
      <c r="H2268" t="s">
        <v>150</v>
      </c>
      <c r="I2268" t="s">
        <v>32</v>
      </c>
      <c r="J2268">
        <v>14</v>
      </c>
      <c r="K2268">
        <v>15.49</v>
      </c>
      <c r="L2268" s="39">
        <f t="shared" si="143"/>
        <v>0.90380890897353128</v>
      </c>
      <c r="M2268" s="39">
        <f t="shared" si="144"/>
        <v>0.90380890897353128</v>
      </c>
      <c r="N2268" t="s">
        <v>42</v>
      </c>
      <c r="O2268" t="s">
        <v>42</v>
      </c>
      <c r="P2268">
        <v>0</v>
      </c>
      <c r="Q2268">
        <v>1</v>
      </c>
      <c r="R2268" t="s">
        <v>3032</v>
      </c>
    </row>
    <row r="2269" spans="1:18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45991</v>
      </c>
      <c r="G2269">
        <v>2025</v>
      </c>
      <c r="H2269" t="s">
        <v>1550</v>
      </c>
      <c r="I2269" t="s">
        <v>32</v>
      </c>
      <c r="J2269">
        <v>14</v>
      </c>
      <c r="K2269">
        <v>8.1199999999999992</v>
      </c>
      <c r="L2269" s="39">
        <f t="shared" si="143"/>
        <v>1.3</v>
      </c>
      <c r="M2269" s="39">
        <f t="shared" si="144"/>
        <v>1.7241379310344829</v>
      </c>
      <c r="N2269" t="s">
        <v>42</v>
      </c>
      <c r="O2269" t="s">
        <v>42</v>
      </c>
      <c r="P2269">
        <v>0</v>
      </c>
      <c r="Q2269">
        <v>1</v>
      </c>
      <c r="R2269" t="s">
        <v>3033</v>
      </c>
    </row>
    <row r="2270" spans="1:18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46022</v>
      </c>
      <c r="G2270">
        <v>2025</v>
      </c>
      <c r="H2270" t="s">
        <v>23</v>
      </c>
      <c r="I2270" t="s">
        <v>32</v>
      </c>
      <c r="J2270">
        <v>14</v>
      </c>
      <c r="K2270">
        <v>11.77</v>
      </c>
      <c r="L2270" s="39">
        <f t="shared" si="143"/>
        <v>1.1894647408666101</v>
      </c>
      <c r="M2270" s="39">
        <f t="shared" si="144"/>
        <v>1.1894647408666101</v>
      </c>
      <c r="N2270" t="s">
        <v>42</v>
      </c>
      <c r="O2270" t="s">
        <v>42</v>
      </c>
      <c r="P2270">
        <v>0</v>
      </c>
      <c r="Q2270">
        <v>1</v>
      </c>
      <c r="R2270" t="s">
        <v>1244</v>
      </c>
    </row>
    <row r="2271" spans="1:18" hidden="1" x14ac:dyDescent="0.3">
      <c r="A2271">
        <v>437</v>
      </c>
      <c r="B2271" t="s">
        <v>146</v>
      </c>
      <c r="C2271" t="s">
        <v>732</v>
      </c>
      <c r="D2271" t="s">
        <v>71</v>
      </c>
      <c r="E2271" t="s">
        <v>22</v>
      </c>
      <c r="F2271" s="79">
        <v>45230</v>
      </c>
      <c r="G2271">
        <v>2023</v>
      </c>
      <c r="H2271" t="s">
        <v>150</v>
      </c>
      <c r="I2271" t="s">
        <v>28</v>
      </c>
      <c r="J2271">
        <v>80</v>
      </c>
      <c r="K2271">
        <v>96.239806704922998</v>
      </c>
      <c r="L2271" s="39">
        <f t="shared" si="143"/>
        <v>1.2029975838115374</v>
      </c>
      <c r="M2271" s="39">
        <f t="shared" si="144"/>
        <v>1.2029975838115374</v>
      </c>
      <c r="N2271" t="s">
        <v>25</v>
      </c>
      <c r="O2271" t="s">
        <v>25</v>
      </c>
      <c r="P2271">
        <v>0</v>
      </c>
      <c r="Q2271">
        <v>0</v>
      </c>
      <c r="R2271" t="s">
        <v>3034</v>
      </c>
    </row>
    <row r="2272" spans="1:18" hidden="1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45291</v>
      </c>
      <c r="G2272">
        <v>2023</v>
      </c>
      <c r="H2272" t="s">
        <v>23</v>
      </c>
      <c r="I2272" t="s">
        <v>28</v>
      </c>
      <c r="J2272">
        <v>80</v>
      </c>
      <c r="K2272">
        <v>96</v>
      </c>
      <c r="L2272" s="39">
        <f t="shared" si="143"/>
        <v>1.2</v>
      </c>
      <c r="M2272" s="39">
        <f t="shared" si="144"/>
        <v>1.2</v>
      </c>
      <c r="N2272" t="s">
        <v>25</v>
      </c>
      <c r="O2272" t="s">
        <v>25</v>
      </c>
      <c r="P2272">
        <v>0</v>
      </c>
      <c r="Q2272">
        <v>0</v>
      </c>
      <c r="R2272" t="s">
        <v>1247</v>
      </c>
    </row>
    <row r="2273" spans="1:19" hidden="1" x14ac:dyDescent="0.3">
      <c r="A2273">
        <v>437</v>
      </c>
      <c r="B2273" t="s">
        <v>1246</v>
      </c>
      <c r="C2273" t="s">
        <v>732</v>
      </c>
      <c r="D2273" t="s">
        <v>71</v>
      </c>
      <c r="E2273" t="s">
        <v>22</v>
      </c>
      <c r="F2273" s="79">
        <v>45657</v>
      </c>
      <c r="G2273">
        <v>2024</v>
      </c>
      <c r="H2273" t="s">
        <v>23</v>
      </c>
      <c r="I2273" t="s">
        <v>30</v>
      </c>
      <c r="J2273">
        <v>80</v>
      </c>
      <c r="K2273">
        <v>84</v>
      </c>
      <c r="L2273" s="39">
        <f t="shared" si="143"/>
        <v>1.05</v>
      </c>
      <c r="M2273" s="39">
        <f t="shared" si="144"/>
        <v>1.05</v>
      </c>
      <c r="N2273" t="s">
        <v>25</v>
      </c>
      <c r="O2273" t="s">
        <v>25</v>
      </c>
      <c r="P2273">
        <v>0</v>
      </c>
      <c r="Q2273">
        <v>0</v>
      </c>
      <c r="R2273" t="s">
        <v>1248</v>
      </c>
    </row>
    <row r="2274" spans="1:19" hidden="1" x14ac:dyDescent="0.3">
      <c r="A2274">
        <v>437</v>
      </c>
      <c r="B2274" t="s">
        <v>1246</v>
      </c>
      <c r="C2274" t="s">
        <v>732</v>
      </c>
      <c r="D2274" t="s">
        <v>71</v>
      </c>
      <c r="E2274" t="s">
        <v>22</v>
      </c>
      <c r="F2274" s="79">
        <v>46022</v>
      </c>
      <c r="G2274">
        <v>2025</v>
      </c>
      <c r="H2274" t="s">
        <v>23</v>
      </c>
      <c r="I2274" t="s">
        <v>32</v>
      </c>
      <c r="J2274">
        <v>80</v>
      </c>
      <c r="K2274">
        <v>99</v>
      </c>
      <c r="L2274" s="39">
        <f t="shared" si="143"/>
        <v>1.2375</v>
      </c>
      <c r="M2274" s="39">
        <f t="shared" si="144"/>
        <v>1.2375</v>
      </c>
      <c r="N2274" t="s">
        <v>25</v>
      </c>
      <c r="O2274" t="s">
        <v>25</v>
      </c>
      <c r="P2274">
        <v>0</v>
      </c>
      <c r="Q2274">
        <v>0</v>
      </c>
      <c r="R2274" t="s">
        <v>1249</v>
      </c>
    </row>
    <row r="2275" spans="1:19" hidden="1" x14ac:dyDescent="0.3">
      <c r="A2275">
        <v>438</v>
      </c>
      <c r="B2275" t="s">
        <v>1250</v>
      </c>
      <c r="C2275" t="s">
        <v>956</v>
      </c>
      <c r="D2275" t="s">
        <v>27</v>
      </c>
      <c r="E2275" t="s">
        <v>22</v>
      </c>
      <c r="F2275" s="79">
        <v>45291</v>
      </c>
      <c r="G2275">
        <v>2023</v>
      </c>
      <c r="H2275" t="s">
        <v>23</v>
      </c>
      <c r="I2275" t="s">
        <v>28</v>
      </c>
      <c r="J2275">
        <v>100</v>
      </c>
      <c r="K2275">
        <v>100</v>
      </c>
      <c r="L2275" s="39">
        <f t="shared" si="143"/>
        <v>1</v>
      </c>
      <c r="M2275" s="39">
        <f t="shared" si="144"/>
        <v>1</v>
      </c>
      <c r="N2275" t="s">
        <v>25</v>
      </c>
      <c r="O2275" t="s">
        <v>25</v>
      </c>
      <c r="P2275">
        <v>0</v>
      </c>
      <c r="Q2275">
        <v>0</v>
      </c>
      <c r="R2275" t="s">
        <v>1251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21</v>
      </c>
      <c r="E2276" t="s">
        <v>22</v>
      </c>
      <c r="F2276" s="79">
        <v>45016</v>
      </c>
      <c r="G2276">
        <v>2023</v>
      </c>
      <c r="H2276" t="s">
        <v>1516</v>
      </c>
      <c r="I2276" t="s">
        <v>1512</v>
      </c>
      <c r="N2276" t="s">
        <v>25</v>
      </c>
      <c r="O2276" t="s">
        <v>302</v>
      </c>
      <c r="P2276">
        <v>0</v>
      </c>
      <c r="Q2276">
        <v>0</v>
      </c>
      <c r="R2276" t="s">
        <v>3035</v>
      </c>
      <c r="S2276" t="s">
        <v>302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21</v>
      </c>
      <c r="E2277" t="s">
        <v>22</v>
      </c>
      <c r="F2277" s="79">
        <v>45107</v>
      </c>
      <c r="G2277">
        <v>2023</v>
      </c>
      <c r="H2277" t="s">
        <v>699</v>
      </c>
      <c r="I2277" t="s">
        <v>1512</v>
      </c>
      <c r="L2277" s="39"/>
      <c r="M2277" s="39"/>
      <c r="N2277" t="s">
        <v>25</v>
      </c>
      <c r="O2277" t="s">
        <v>302</v>
      </c>
      <c r="P2277">
        <v>0</v>
      </c>
      <c r="Q2277">
        <v>0</v>
      </c>
      <c r="R2277" t="s">
        <v>3036</v>
      </c>
      <c r="S2277" t="s">
        <v>302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45291</v>
      </c>
      <c r="G2278">
        <v>2023</v>
      </c>
      <c r="H2278" t="s">
        <v>23</v>
      </c>
      <c r="I2278" t="s">
        <v>28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1253</v>
      </c>
    </row>
    <row r="2279" spans="1:19" hidden="1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45473</v>
      </c>
      <c r="G2279">
        <v>2024</v>
      </c>
      <c r="H2279" t="s">
        <v>699</v>
      </c>
      <c r="I2279" t="s">
        <v>729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3037</v>
      </c>
    </row>
    <row r="2280" spans="1:19" hidden="1" x14ac:dyDescent="0.3">
      <c r="A2280">
        <v>439</v>
      </c>
      <c r="B2280" t="s">
        <v>1252</v>
      </c>
      <c r="C2280" t="s">
        <v>956</v>
      </c>
      <c r="D2280" t="s">
        <v>27</v>
      </c>
      <c r="E2280" t="s">
        <v>22</v>
      </c>
      <c r="F2280" s="79">
        <v>45657</v>
      </c>
      <c r="G2280">
        <v>2024</v>
      </c>
      <c r="H2280" t="s">
        <v>23</v>
      </c>
      <c r="I2280" t="s">
        <v>30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1254</v>
      </c>
    </row>
    <row r="2281" spans="1:19" hidden="1" x14ac:dyDescent="0.3">
      <c r="A2281">
        <v>439</v>
      </c>
      <c r="B2281" t="s">
        <v>1252</v>
      </c>
      <c r="C2281" t="s">
        <v>956</v>
      </c>
      <c r="D2281" t="s">
        <v>27</v>
      </c>
      <c r="E2281" t="s">
        <v>22</v>
      </c>
      <c r="F2281" s="79">
        <v>45838</v>
      </c>
      <c r="G2281">
        <v>2025</v>
      </c>
      <c r="H2281" t="s">
        <v>699</v>
      </c>
      <c r="I2281" t="s">
        <v>700</v>
      </c>
      <c r="J2281">
        <v>100</v>
      </c>
      <c r="K2281">
        <v>100</v>
      </c>
      <c r="L2281" s="39">
        <f>IFERROR(IF(OR(J2281=0,K2281=""),"",IF(E2281="Positivo",MIN(MAX(K2281/J2281,0),1.3),MIN(MAX(J2281/K2281,0),1.3))),"")</f>
        <v>1</v>
      </c>
      <c r="M2281" s="39">
        <f>IFERROR(IF(OR(J2281=0,K2281=""),"",IF(E2281="Positivo",MAX(K2281/J2281,0),MAX(J2281/K2281,0))),"")</f>
        <v>1</v>
      </c>
      <c r="N2281" t="s">
        <v>25</v>
      </c>
      <c r="O2281" t="s">
        <v>25</v>
      </c>
      <c r="P2281">
        <v>0</v>
      </c>
      <c r="Q2281">
        <v>0</v>
      </c>
      <c r="R2281" t="s">
        <v>3038</v>
      </c>
    </row>
    <row r="2282" spans="1:19" hidden="1" x14ac:dyDescent="0.3">
      <c r="A2282">
        <v>439</v>
      </c>
      <c r="B2282" t="s">
        <v>1252</v>
      </c>
      <c r="C2282" t="s">
        <v>956</v>
      </c>
      <c r="D2282" t="s">
        <v>21</v>
      </c>
      <c r="E2282" t="s">
        <v>22</v>
      </c>
      <c r="F2282" s="79">
        <v>46022</v>
      </c>
      <c r="G2282">
        <v>2025</v>
      </c>
      <c r="H2282" t="s">
        <v>23</v>
      </c>
      <c r="I2282" t="s">
        <v>32</v>
      </c>
      <c r="J2282">
        <v>100</v>
      </c>
      <c r="K2282">
        <v>100</v>
      </c>
      <c r="L2282" s="39">
        <f>IFERROR(IF(OR(J2282=0,K2282=""),"",IF(E2282="Positivo",MIN(MAX(K2282/J2282,0),1.3),MIN(MAX(J2282/K2282,0),1.3))),"")</f>
        <v>1</v>
      </c>
      <c r="M2282" s="39">
        <f>IFERROR(IF(OR(J2282=0,K2282=""),"",IF(E2282="Positivo",MAX(K2282/J2282,0),MAX(J2282/K2282,0))),"")</f>
        <v>1</v>
      </c>
      <c r="N2282" t="s">
        <v>25</v>
      </c>
      <c r="O2282" t="s">
        <v>25</v>
      </c>
      <c r="P2282">
        <v>0</v>
      </c>
      <c r="Q2282">
        <v>0</v>
      </c>
      <c r="R2282" t="s">
        <v>1255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21</v>
      </c>
      <c r="E2283" t="s">
        <v>22</v>
      </c>
      <c r="F2283" s="79">
        <v>45016</v>
      </c>
      <c r="G2283">
        <v>2023</v>
      </c>
      <c r="H2283" t="s">
        <v>1516</v>
      </c>
      <c r="I2283" t="s">
        <v>1512</v>
      </c>
      <c r="L2283" s="39"/>
      <c r="M2283" s="39"/>
      <c r="N2283" t="s">
        <v>25</v>
      </c>
      <c r="O2283" t="s">
        <v>302</v>
      </c>
      <c r="P2283">
        <v>0</v>
      </c>
      <c r="Q2283">
        <v>1</v>
      </c>
      <c r="R2283" t="s">
        <v>3039</v>
      </c>
      <c r="S2283" t="s">
        <v>302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21</v>
      </c>
      <c r="E2284" t="s">
        <v>22</v>
      </c>
      <c r="F2284" s="79">
        <v>45107</v>
      </c>
      <c r="G2284">
        <v>2023</v>
      </c>
      <c r="H2284" t="s">
        <v>699</v>
      </c>
      <c r="I2284" t="s">
        <v>1512</v>
      </c>
      <c r="L2284" s="39"/>
      <c r="M2284" s="39"/>
      <c r="N2284" t="s">
        <v>25</v>
      </c>
      <c r="O2284" t="s">
        <v>302</v>
      </c>
      <c r="P2284">
        <v>0</v>
      </c>
      <c r="Q2284">
        <v>1</v>
      </c>
      <c r="R2284" t="s">
        <v>3040</v>
      </c>
      <c r="S2284" t="s">
        <v>302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45291</v>
      </c>
      <c r="G2285">
        <v>2023</v>
      </c>
      <c r="H2285" t="s">
        <v>23</v>
      </c>
      <c r="I2285" t="s">
        <v>28</v>
      </c>
      <c r="J2285">
        <v>98</v>
      </c>
      <c r="K2285">
        <v>97.746062537526996</v>
      </c>
      <c r="L2285" s="39">
        <f t="shared" ref="L2285:L2305" si="145">IFERROR(IF(OR(J2285=0,K2285=""),"",IF(E2285="Positivo",MIN(MAX(K2285/J2285,0),1.3),MIN(MAX(J2285/K2285,0),1.3))),"")</f>
        <v>0.99740880140333665</v>
      </c>
      <c r="M2285" s="39">
        <f t="shared" ref="M2285:M2305" si="146">IFERROR(IF(OR(J2285=0,K2285=""),"",IF(E2285="Positivo",MAX(K2285/J2285,0),MAX(J2285/K2285,0))),"")</f>
        <v>0.99740880140333665</v>
      </c>
      <c r="N2285" t="s">
        <v>25</v>
      </c>
      <c r="O2285" t="s">
        <v>25</v>
      </c>
      <c r="P2285">
        <v>0</v>
      </c>
      <c r="Q2285">
        <v>1</v>
      </c>
      <c r="R2285" t="s">
        <v>1257</v>
      </c>
    </row>
    <row r="2286" spans="1:19" hidden="1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45473</v>
      </c>
      <c r="G2286">
        <v>2024</v>
      </c>
      <c r="H2286" t="s">
        <v>699</v>
      </c>
      <c r="I2286" t="s">
        <v>729</v>
      </c>
      <c r="J2286">
        <v>98</v>
      </c>
      <c r="K2286">
        <v>99.73</v>
      </c>
      <c r="L2286" s="39">
        <f t="shared" si="145"/>
        <v>1.0176530612244898</v>
      </c>
      <c r="M2286" s="39">
        <f t="shared" si="146"/>
        <v>1.0176530612244898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440</v>
      </c>
      <c r="B2287" t="s">
        <v>1256</v>
      </c>
      <c r="C2287" t="s">
        <v>956</v>
      </c>
      <c r="D2287" t="s">
        <v>27</v>
      </c>
      <c r="E2287" t="s">
        <v>22</v>
      </c>
      <c r="F2287" s="79">
        <v>45657</v>
      </c>
      <c r="G2287">
        <v>2024</v>
      </c>
      <c r="H2287" t="s">
        <v>23</v>
      </c>
      <c r="I2287" t="s">
        <v>30</v>
      </c>
      <c r="J2287">
        <v>98</v>
      </c>
      <c r="K2287">
        <v>99.24</v>
      </c>
      <c r="L2287" s="39">
        <f t="shared" si="145"/>
        <v>1.0126530612244897</v>
      </c>
      <c r="M2287" s="39">
        <f t="shared" si="146"/>
        <v>1.0126530612244897</v>
      </c>
      <c r="N2287" t="s">
        <v>25</v>
      </c>
      <c r="O2287" t="s">
        <v>25</v>
      </c>
      <c r="P2287">
        <v>0</v>
      </c>
      <c r="Q2287">
        <v>1</v>
      </c>
      <c r="R2287" t="s">
        <v>1258</v>
      </c>
    </row>
    <row r="2288" spans="1:19" hidden="1" x14ac:dyDescent="0.3">
      <c r="A2288">
        <v>440</v>
      </c>
      <c r="B2288" t="s">
        <v>1256</v>
      </c>
      <c r="C2288" t="s">
        <v>956</v>
      </c>
      <c r="D2288" t="s">
        <v>27</v>
      </c>
      <c r="E2288" t="s">
        <v>22</v>
      </c>
      <c r="F2288" s="79">
        <v>45838</v>
      </c>
      <c r="G2288">
        <v>2025</v>
      </c>
      <c r="H2288" t="s">
        <v>699</v>
      </c>
      <c r="I2288" t="s">
        <v>700</v>
      </c>
      <c r="J2288">
        <v>98</v>
      </c>
      <c r="K2288">
        <v>99.77</v>
      </c>
      <c r="L2288" s="39">
        <f t="shared" si="145"/>
        <v>1.018061224489796</v>
      </c>
      <c r="M2288" s="39">
        <f t="shared" si="146"/>
        <v>1.018061224489796</v>
      </c>
      <c r="N2288" t="s">
        <v>25</v>
      </c>
      <c r="O2288" t="s">
        <v>25</v>
      </c>
      <c r="P2288">
        <v>0</v>
      </c>
      <c r="Q2288">
        <v>1</v>
      </c>
      <c r="R2288" t="s">
        <v>3042</v>
      </c>
    </row>
    <row r="2289" spans="1:18" hidden="1" x14ac:dyDescent="0.3">
      <c r="A2289">
        <v>440</v>
      </c>
      <c r="B2289" t="s">
        <v>1256</v>
      </c>
      <c r="C2289" t="s">
        <v>956</v>
      </c>
      <c r="D2289" t="s">
        <v>21</v>
      </c>
      <c r="E2289" t="s">
        <v>22</v>
      </c>
      <c r="F2289" s="79">
        <v>46022</v>
      </c>
      <c r="G2289">
        <v>2025</v>
      </c>
      <c r="H2289" t="s">
        <v>23</v>
      </c>
      <c r="I2289" t="s">
        <v>32</v>
      </c>
      <c r="J2289">
        <v>98</v>
      </c>
      <c r="K2289">
        <v>99.74</v>
      </c>
      <c r="L2289" s="39">
        <f t="shared" si="145"/>
        <v>1.0177551020408162</v>
      </c>
      <c r="M2289" s="39">
        <f t="shared" si="146"/>
        <v>1.0177551020408162</v>
      </c>
      <c r="N2289" t="s">
        <v>25</v>
      </c>
      <c r="O2289" t="s">
        <v>25</v>
      </c>
      <c r="P2289">
        <v>0</v>
      </c>
      <c r="Q2289">
        <v>1</v>
      </c>
      <c r="R2289" t="s">
        <v>1259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45322</v>
      </c>
      <c r="G2290">
        <v>2024</v>
      </c>
      <c r="H2290" t="s">
        <v>59</v>
      </c>
      <c r="I2290" t="s">
        <v>729</v>
      </c>
      <c r="J2290">
        <v>90</v>
      </c>
      <c r="K2290">
        <v>87.82</v>
      </c>
      <c r="L2290" s="39">
        <f t="shared" si="145"/>
        <v>0.97577777777777774</v>
      </c>
      <c r="M2290" s="39">
        <f t="shared" si="146"/>
        <v>0.97577777777777774</v>
      </c>
      <c r="N2290" t="s">
        <v>25</v>
      </c>
      <c r="O2290" t="s">
        <v>25</v>
      </c>
      <c r="P2290">
        <v>0</v>
      </c>
      <c r="Q2290">
        <v>1</v>
      </c>
      <c r="R2290" t="s">
        <v>3043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45351</v>
      </c>
      <c r="G2291">
        <v>2024</v>
      </c>
      <c r="H2291" t="s">
        <v>210</v>
      </c>
      <c r="I2291" t="s">
        <v>729</v>
      </c>
      <c r="J2291">
        <v>90</v>
      </c>
      <c r="K2291">
        <v>90.88</v>
      </c>
      <c r="L2291" s="39">
        <f t="shared" si="145"/>
        <v>1.0097777777777777</v>
      </c>
      <c r="M2291" s="39">
        <f t="shared" si="146"/>
        <v>1.0097777777777777</v>
      </c>
      <c r="N2291" t="s">
        <v>25</v>
      </c>
      <c r="O2291" t="s">
        <v>25</v>
      </c>
      <c r="P2291">
        <v>0</v>
      </c>
      <c r="Q2291">
        <v>1</v>
      </c>
      <c r="R2291" t="s">
        <v>3044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45382</v>
      </c>
      <c r="G2292">
        <v>2024</v>
      </c>
      <c r="H2292" t="s">
        <v>1516</v>
      </c>
      <c r="I2292" t="s">
        <v>729</v>
      </c>
      <c r="J2292">
        <v>90</v>
      </c>
      <c r="K2292">
        <v>91.52</v>
      </c>
      <c r="L2292" s="39">
        <f t="shared" si="145"/>
        <v>1.016888888888889</v>
      </c>
      <c r="M2292" s="39">
        <f t="shared" si="146"/>
        <v>1.016888888888889</v>
      </c>
      <c r="N2292" t="s">
        <v>25</v>
      </c>
      <c r="O2292" t="s">
        <v>25</v>
      </c>
      <c r="P2292">
        <v>0</v>
      </c>
      <c r="Q2292">
        <v>1</v>
      </c>
      <c r="R2292" t="s">
        <v>3045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45412</v>
      </c>
      <c r="G2293">
        <v>2024</v>
      </c>
      <c r="H2293" t="s">
        <v>1540</v>
      </c>
      <c r="I2293" t="s">
        <v>729</v>
      </c>
      <c r="J2293">
        <v>90</v>
      </c>
      <c r="K2293">
        <v>95.82</v>
      </c>
      <c r="L2293" s="39">
        <f t="shared" si="145"/>
        <v>1.0646666666666667</v>
      </c>
      <c r="M2293" s="39">
        <f t="shared" si="146"/>
        <v>1.0646666666666667</v>
      </c>
      <c r="N2293" t="s">
        <v>25</v>
      </c>
      <c r="O2293" t="s">
        <v>25</v>
      </c>
      <c r="P2293">
        <v>0</v>
      </c>
      <c r="Q2293">
        <v>1</v>
      </c>
      <c r="R2293" t="s">
        <v>3046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45443</v>
      </c>
      <c r="G2294">
        <v>2024</v>
      </c>
      <c r="H2294" t="s">
        <v>1542</v>
      </c>
      <c r="I2294" t="s">
        <v>729</v>
      </c>
      <c r="J2294">
        <v>90</v>
      </c>
      <c r="K2294">
        <v>96.89</v>
      </c>
      <c r="L2294" s="39">
        <f t="shared" si="145"/>
        <v>1.0765555555555555</v>
      </c>
      <c r="M2294" s="39">
        <f t="shared" si="146"/>
        <v>1.0765555555555555</v>
      </c>
      <c r="N2294" t="s">
        <v>25</v>
      </c>
      <c r="O2294" t="s">
        <v>25</v>
      </c>
      <c r="P2294">
        <v>0</v>
      </c>
      <c r="Q2294">
        <v>1</v>
      </c>
      <c r="R2294" t="s">
        <v>3047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45473</v>
      </c>
      <c r="G2295">
        <v>2024</v>
      </c>
      <c r="H2295" t="s">
        <v>699</v>
      </c>
      <c r="I2295" t="s">
        <v>729</v>
      </c>
      <c r="J2295">
        <v>90</v>
      </c>
      <c r="K2295">
        <v>101.44927536231801</v>
      </c>
      <c r="L2295" s="39">
        <f t="shared" si="145"/>
        <v>1.1272141706924224</v>
      </c>
      <c r="M2295" s="39">
        <f t="shared" si="146"/>
        <v>1.1272141706924224</v>
      </c>
      <c r="N2295" t="s">
        <v>25</v>
      </c>
      <c r="O2295" t="s">
        <v>25</v>
      </c>
      <c r="P2295">
        <v>0</v>
      </c>
      <c r="Q2295">
        <v>0</v>
      </c>
      <c r="R2295" t="s">
        <v>3048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45504</v>
      </c>
      <c r="G2296">
        <v>2024</v>
      </c>
      <c r="H2296" t="s">
        <v>260</v>
      </c>
      <c r="I2296" t="s">
        <v>30</v>
      </c>
      <c r="J2296">
        <v>90</v>
      </c>
      <c r="K2296">
        <v>91.2</v>
      </c>
      <c r="L2296" s="39">
        <f t="shared" si="145"/>
        <v>1.0133333333333334</v>
      </c>
      <c r="M2296" s="39">
        <f t="shared" si="146"/>
        <v>1.0133333333333334</v>
      </c>
      <c r="N2296" t="s">
        <v>25</v>
      </c>
      <c r="O2296" t="s">
        <v>25</v>
      </c>
      <c r="P2296">
        <v>0</v>
      </c>
      <c r="Q2296">
        <v>0</v>
      </c>
      <c r="R2296" t="s">
        <v>3049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45535</v>
      </c>
      <c r="G2297">
        <v>2024</v>
      </c>
      <c r="H2297" t="s">
        <v>1546</v>
      </c>
      <c r="I2297" t="s">
        <v>30</v>
      </c>
      <c r="J2297">
        <v>90</v>
      </c>
      <c r="K2297">
        <v>98.160535117056796</v>
      </c>
      <c r="L2297" s="39">
        <f t="shared" si="145"/>
        <v>1.0906726124117421</v>
      </c>
      <c r="M2297" s="39">
        <f t="shared" si="146"/>
        <v>1.0906726124117421</v>
      </c>
      <c r="N2297" t="s">
        <v>25</v>
      </c>
      <c r="O2297" t="s">
        <v>25</v>
      </c>
      <c r="P2297">
        <v>0</v>
      </c>
      <c r="Q2297">
        <v>0</v>
      </c>
      <c r="R2297" t="s">
        <v>3050</v>
      </c>
    </row>
    <row r="2298" spans="1:18" hidden="1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45565</v>
      </c>
      <c r="G2298">
        <v>2024</v>
      </c>
      <c r="H2298" t="s">
        <v>162</v>
      </c>
      <c r="I2298" t="s">
        <v>30</v>
      </c>
      <c r="J2298">
        <v>90</v>
      </c>
      <c r="K2298">
        <v>97.789566755083996</v>
      </c>
      <c r="L2298" s="39">
        <f t="shared" si="145"/>
        <v>1.0865507417231555</v>
      </c>
      <c r="M2298" s="39">
        <f t="shared" si="146"/>
        <v>1.0865507417231555</v>
      </c>
      <c r="N2298" t="s">
        <v>25</v>
      </c>
      <c r="O2298" t="s">
        <v>25</v>
      </c>
      <c r="P2298">
        <v>0</v>
      </c>
      <c r="Q2298">
        <v>0</v>
      </c>
      <c r="R2298" t="s">
        <v>3051</v>
      </c>
    </row>
    <row r="2299" spans="1:18" hidden="1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45596</v>
      </c>
      <c r="G2299">
        <v>2024</v>
      </c>
      <c r="H2299" t="s">
        <v>150</v>
      </c>
      <c r="I2299" t="s">
        <v>30</v>
      </c>
      <c r="J2299">
        <v>90</v>
      </c>
      <c r="K2299">
        <v>96.619083395942894</v>
      </c>
      <c r="L2299" s="39">
        <f t="shared" si="145"/>
        <v>1.0735453710660321</v>
      </c>
      <c r="M2299" s="39">
        <f t="shared" si="146"/>
        <v>1.0735453710660321</v>
      </c>
      <c r="N2299" t="s">
        <v>25</v>
      </c>
      <c r="O2299" t="s">
        <v>25</v>
      </c>
      <c r="P2299">
        <v>0</v>
      </c>
      <c r="Q2299">
        <v>0</v>
      </c>
      <c r="R2299" t="s">
        <v>3052</v>
      </c>
    </row>
    <row r="2300" spans="1:18" hidden="1" x14ac:dyDescent="0.3">
      <c r="A2300">
        <v>441</v>
      </c>
      <c r="B2300" t="s">
        <v>1260</v>
      </c>
      <c r="C2300" t="s">
        <v>511</v>
      </c>
      <c r="D2300" t="s">
        <v>54</v>
      </c>
      <c r="E2300" t="s">
        <v>22</v>
      </c>
      <c r="F2300" s="79">
        <v>45626</v>
      </c>
      <c r="G2300">
        <v>2024</v>
      </c>
      <c r="H2300" t="s">
        <v>1550</v>
      </c>
      <c r="I2300" t="s">
        <v>30</v>
      </c>
      <c r="J2300">
        <v>90</v>
      </c>
      <c r="K2300">
        <v>97.5359342915811</v>
      </c>
      <c r="L2300" s="39">
        <f t="shared" si="145"/>
        <v>1.08373260323979</v>
      </c>
      <c r="M2300" s="39">
        <f t="shared" si="146"/>
        <v>1.08373260323979</v>
      </c>
      <c r="N2300" t="s">
        <v>25</v>
      </c>
      <c r="O2300" t="s">
        <v>25</v>
      </c>
      <c r="P2300">
        <v>0</v>
      </c>
      <c r="Q2300">
        <v>0</v>
      </c>
      <c r="R2300" t="s">
        <v>3053</v>
      </c>
    </row>
    <row r="2301" spans="1:18" hidden="1" x14ac:dyDescent="0.3">
      <c r="A2301">
        <v>441</v>
      </c>
      <c r="B2301" t="s">
        <v>1260</v>
      </c>
      <c r="C2301" t="s">
        <v>511</v>
      </c>
      <c r="D2301" t="s">
        <v>54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90</v>
      </c>
      <c r="K2301">
        <v>99.919935948759004</v>
      </c>
      <c r="L2301" s="39">
        <f t="shared" si="145"/>
        <v>1.1102215105417668</v>
      </c>
      <c r="M2301" s="39">
        <f t="shared" si="146"/>
        <v>1.1102215105417668</v>
      </c>
      <c r="N2301" t="s">
        <v>25</v>
      </c>
      <c r="O2301" t="s">
        <v>25</v>
      </c>
      <c r="P2301">
        <v>0</v>
      </c>
      <c r="Q2301">
        <v>0</v>
      </c>
      <c r="R2301" t="s">
        <v>1261</v>
      </c>
    </row>
    <row r="2302" spans="1:18" hidden="1" x14ac:dyDescent="0.3">
      <c r="A2302">
        <v>442</v>
      </c>
      <c r="B2302" t="s">
        <v>1262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80</v>
      </c>
      <c r="L2302" s="39">
        <f t="shared" si="145"/>
        <v>0.8</v>
      </c>
      <c r="M2302" s="39">
        <f t="shared" si="146"/>
        <v>0.8</v>
      </c>
      <c r="P2302">
        <v>0</v>
      </c>
      <c r="Q2302">
        <v>0</v>
      </c>
      <c r="R2302" t="s">
        <v>3054</v>
      </c>
    </row>
    <row r="2303" spans="1:18" hidden="1" x14ac:dyDescent="0.3">
      <c r="A2303">
        <v>442</v>
      </c>
      <c r="B2303" t="s">
        <v>1262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145</v>
      </c>
      <c r="L2303" s="39">
        <f t="shared" si="145"/>
        <v>1.3</v>
      </c>
      <c r="M2303" s="39">
        <f t="shared" si="146"/>
        <v>1.45</v>
      </c>
      <c r="P2303">
        <v>0</v>
      </c>
      <c r="Q2303">
        <v>0</v>
      </c>
      <c r="R2303" t="s">
        <v>1263</v>
      </c>
    </row>
    <row r="2304" spans="1:18" hidden="1" x14ac:dyDescent="0.3">
      <c r="A2304">
        <v>443</v>
      </c>
      <c r="B2304" t="s">
        <v>1264</v>
      </c>
      <c r="C2304" t="s">
        <v>246</v>
      </c>
      <c r="D2304" t="s">
        <v>27</v>
      </c>
      <c r="E2304" t="s">
        <v>22</v>
      </c>
      <c r="F2304" s="79">
        <v>45473</v>
      </c>
      <c r="G2304">
        <v>2024</v>
      </c>
      <c r="H2304" t="s">
        <v>699</v>
      </c>
      <c r="I2304" t="s">
        <v>729</v>
      </c>
      <c r="J2304">
        <v>100</v>
      </c>
      <c r="K2304">
        <v>114.33</v>
      </c>
      <c r="L2304" s="39">
        <f t="shared" si="145"/>
        <v>1.1433</v>
      </c>
      <c r="M2304" s="39">
        <f t="shared" si="146"/>
        <v>1.1433</v>
      </c>
      <c r="P2304">
        <v>0</v>
      </c>
      <c r="Q2304">
        <v>0</v>
      </c>
      <c r="R2304" t="s">
        <v>3055</v>
      </c>
    </row>
    <row r="2305" spans="1:18" hidden="1" x14ac:dyDescent="0.3">
      <c r="A2305">
        <v>443</v>
      </c>
      <c r="B2305" t="s">
        <v>1264</v>
      </c>
      <c r="C2305" t="s">
        <v>246</v>
      </c>
      <c r="D2305" t="s">
        <v>27</v>
      </c>
      <c r="E2305" t="s">
        <v>22</v>
      </c>
      <c r="F2305" s="79">
        <v>45657</v>
      </c>
      <c r="G2305">
        <v>2024</v>
      </c>
      <c r="H2305" t="s">
        <v>23</v>
      </c>
      <c r="I2305" t="s">
        <v>30</v>
      </c>
      <c r="J2305">
        <v>100</v>
      </c>
      <c r="K2305">
        <v>209</v>
      </c>
      <c r="L2305" s="39">
        <f t="shared" si="145"/>
        <v>1.3</v>
      </c>
      <c r="M2305" s="39">
        <f t="shared" si="146"/>
        <v>2.09</v>
      </c>
      <c r="P2305">
        <v>0</v>
      </c>
      <c r="Q2305">
        <v>0</v>
      </c>
      <c r="R2305" t="s">
        <v>1265</v>
      </c>
    </row>
    <row r="2306" spans="1:18" hidden="1" x14ac:dyDescent="0.3">
      <c r="A2306">
        <v>444</v>
      </c>
      <c r="B2306" t="s">
        <v>1266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K2306">
        <v>2.1</v>
      </c>
      <c r="L2306" s="39"/>
      <c r="M2306" s="39"/>
      <c r="N2306" t="s">
        <v>355</v>
      </c>
      <c r="P2306">
        <v>0</v>
      </c>
      <c r="Q2306">
        <v>1</v>
      </c>
      <c r="R2306" t="s">
        <v>1267</v>
      </c>
    </row>
    <row r="2307" spans="1:18" hidden="1" x14ac:dyDescent="0.3">
      <c r="A2307">
        <v>444</v>
      </c>
      <c r="B2307" t="s">
        <v>1266</v>
      </c>
      <c r="C2307" t="s">
        <v>541</v>
      </c>
      <c r="D2307" t="s">
        <v>27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3</v>
      </c>
      <c r="K2307">
        <v>1.6</v>
      </c>
      <c r="L2307" s="39">
        <f t="shared" ref="L2307:L2338" si="147">IFERROR(IF(OR(J2307=0,K2307=""),"",IF(E2307="Positivo",MIN(MAX(K2307/J2307,0),1.3),MIN(MAX(J2307/K2307,0),1.3))),"")</f>
        <v>0.53333333333333333</v>
      </c>
      <c r="M2307" s="39">
        <f t="shared" ref="M2307:M2338" si="148">IFERROR(IF(OR(J2307=0,K2307=""),"",IF(E2307="Positivo",MAX(K2307/J2307,0),MAX(J2307/K2307,0))),"")</f>
        <v>0.53333333333333333</v>
      </c>
      <c r="N2307" t="s">
        <v>136</v>
      </c>
      <c r="O2307" t="s">
        <v>136</v>
      </c>
      <c r="P2307">
        <v>0</v>
      </c>
      <c r="Q2307">
        <v>1</v>
      </c>
      <c r="R2307" t="s">
        <v>3056</v>
      </c>
    </row>
    <row r="2308" spans="1:18" hidden="1" x14ac:dyDescent="0.3">
      <c r="A2308">
        <v>444</v>
      </c>
      <c r="B2308" t="s">
        <v>1266</v>
      </c>
      <c r="C2308" t="s">
        <v>541</v>
      </c>
      <c r="D2308" t="s">
        <v>21</v>
      </c>
      <c r="E2308" t="s">
        <v>41</v>
      </c>
      <c r="F2308" s="79">
        <v>46022</v>
      </c>
      <c r="G2308">
        <v>2025</v>
      </c>
      <c r="H2308" t="s">
        <v>23</v>
      </c>
      <c r="I2308" t="s">
        <v>32</v>
      </c>
      <c r="J2308">
        <v>3</v>
      </c>
      <c r="K2308">
        <v>1.7</v>
      </c>
      <c r="L2308" s="39">
        <f t="shared" si="147"/>
        <v>1.3</v>
      </c>
      <c r="M2308" s="39">
        <f t="shared" si="148"/>
        <v>1.7647058823529411</v>
      </c>
      <c r="N2308" t="s">
        <v>128</v>
      </c>
      <c r="O2308" t="s">
        <v>136</v>
      </c>
      <c r="P2308">
        <v>0</v>
      </c>
      <c r="Q2308">
        <v>1</v>
      </c>
      <c r="R2308" t="s">
        <v>1268</v>
      </c>
    </row>
    <row r="2309" spans="1:18" hidden="1" x14ac:dyDescent="0.3">
      <c r="A2309">
        <v>445</v>
      </c>
      <c r="B2309" t="s">
        <v>1269</v>
      </c>
      <c r="C2309" t="s">
        <v>541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67.5</v>
      </c>
      <c r="K2309">
        <v>55.2</v>
      </c>
      <c r="L2309" s="39">
        <f t="shared" si="147"/>
        <v>0.81777777777777783</v>
      </c>
      <c r="M2309" s="39">
        <f t="shared" si="148"/>
        <v>0.81777777777777783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445</v>
      </c>
      <c r="B2310" t="s">
        <v>1269</v>
      </c>
      <c r="C2310" t="s">
        <v>541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67.5</v>
      </c>
      <c r="K2310">
        <v>86.5</v>
      </c>
      <c r="L2310" s="39">
        <f t="shared" si="147"/>
        <v>1.2814814814814814</v>
      </c>
      <c r="M2310" s="39">
        <f t="shared" si="148"/>
        <v>1.2814814814814814</v>
      </c>
      <c r="N2310" t="s">
        <v>25</v>
      </c>
      <c r="O2310" t="s">
        <v>25</v>
      </c>
      <c r="P2310">
        <v>0</v>
      </c>
      <c r="Q2310">
        <v>0</v>
      </c>
      <c r="R2310" t="s">
        <v>1270</v>
      </c>
    </row>
    <row r="2311" spans="1:18" hidden="1" x14ac:dyDescent="0.3">
      <c r="A2311">
        <v>445</v>
      </c>
      <c r="B2311" t="s">
        <v>1269</v>
      </c>
      <c r="C2311" t="s">
        <v>541</v>
      </c>
      <c r="D2311" t="s">
        <v>21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70</v>
      </c>
      <c r="K2311">
        <v>75.7</v>
      </c>
      <c r="L2311" s="39">
        <f t="shared" si="147"/>
        <v>1.0814285714285714</v>
      </c>
      <c r="M2311" s="39">
        <f t="shared" si="148"/>
        <v>1.0814285714285714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445</v>
      </c>
      <c r="B2312" t="s">
        <v>1269</v>
      </c>
      <c r="C2312" t="s">
        <v>541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70</v>
      </c>
      <c r="K2312">
        <v>85.3</v>
      </c>
      <c r="L2312" s="39">
        <f t="shared" si="147"/>
        <v>1.2185714285714286</v>
      </c>
      <c r="M2312" s="39">
        <f t="shared" si="148"/>
        <v>1.2185714285714286</v>
      </c>
      <c r="N2312" t="s">
        <v>25</v>
      </c>
      <c r="O2312" t="s">
        <v>25</v>
      </c>
      <c r="P2312">
        <v>0</v>
      </c>
      <c r="Q2312">
        <v>0</v>
      </c>
      <c r="R2312" t="s">
        <v>1271</v>
      </c>
    </row>
    <row r="2313" spans="1:18" hidden="1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15</v>
      </c>
      <c r="K2313">
        <v>31.04</v>
      </c>
      <c r="L2313" s="39">
        <f t="shared" si="147"/>
        <v>1.3</v>
      </c>
      <c r="M2313" s="39">
        <f t="shared" si="148"/>
        <v>2.0693333333333332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447</v>
      </c>
      <c r="B2314" t="s">
        <v>724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15</v>
      </c>
      <c r="K2314">
        <v>16.16</v>
      </c>
      <c r="L2314" s="39">
        <f t="shared" si="147"/>
        <v>1.0773333333333333</v>
      </c>
      <c r="M2314" s="39">
        <f t="shared" si="148"/>
        <v>1.0773333333333333</v>
      </c>
      <c r="N2314" t="s">
        <v>25</v>
      </c>
      <c r="O2314" t="s">
        <v>25</v>
      </c>
      <c r="P2314">
        <v>0</v>
      </c>
      <c r="Q2314">
        <v>0</v>
      </c>
      <c r="R2314" t="s">
        <v>1272</v>
      </c>
    </row>
    <row r="2315" spans="1:18" hidden="1" x14ac:dyDescent="0.3">
      <c r="A2315">
        <v>447</v>
      </c>
      <c r="B2315" t="s">
        <v>724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15</v>
      </c>
      <c r="K2315">
        <v>16.54</v>
      </c>
      <c r="L2315" s="39">
        <f t="shared" si="147"/>
        <v>1.1026666666666667</v>
      </c>
      <c r="M2315" s="39">
        <f t="shared" si="148"/>
        <v>1.1026666666666667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447</v>
      </c>
      <c r="B2316" t="s">
        <v>724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15</v>
      </c>
      <c r="K2316">
        <v>15.01</v>
      </c>
      <c r="L2316" s="39">
        <f t="shared" si="147"/>
        <v>1.0006666666666666</v>
      </c>
      <c r="M2316" s="39">
        <f t="shared" si="148"/>
        <v>1.0006666666666666</v>
      </c>
      <c r="N2316" t="s">
        <v>25</v>
      </c>
      <c r="O2316" t="s">
        <v>25</v>
      </c>
      <c r="P2316">
        <v>0</v>
      </c>
      <c r="Q2316">
        <v>0</v>
      </c>
      <c r="R2316" t="s">
        <v>1273</v>
      </c>
    </row>
    <row r="2317" spans="1:18" hidden="1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45473</v>
      </c>
      <c r="G2317">
        <v>2024</v>
      </c>
      <c r="H2317" t="s">
        <v>699</v>
      </c>
      <c r="I2317" t="s">
        <v>729</v>
      </c>
      <c r="J2317">
        <v>9</v>
      </c>
      <c r="K2317">
        <v>18.93</v>
      </c>
      <c r="L2317" s="39">
        <f t="shared" si="147"/>
        <v>1.3</v>
      </c>
      <c r="M2317" s="39">
        <f t="shared" si="148"/>
        <v>2.1033333333333335</v>
      </c>
      <c r="N2317" t="s">
        <v>25</v>
      </c>
      <c r="O2317" t="s">
        <v>25</v>
      </c>
      <c r="P2317">
        <v>0</v>
      </c>
      <c r="Q2317">
        <v>0</v>
      </c>
      <c r="R2317" t="s">
        <v>3061</v>
      </c>
    </row>
    <row r="2318" spans="1:18" hidden="1" x14ac:dyDescent="0.3">
      <c r="A2318">
        <v>448</v>
      </c>
      <c r="B2318" t="s">
        <v>1274</v>
      </c>
      <c r="C2318" t="s">
        <v>254</v>
      </c>
      <c r="D2318" t="s">
        <v>27</v>
      </c>
      <c r="E2318" t="s">
        <v>22</v>
      </c>
      <c r="F2318" s="79">
        <v>45657</v>
      </c>
      <c r="G2318">
        <v>2024</v>
      </c>
      <c r="H2318" t="s">
        <v>23</v>
      </c>
      <c r="I2318" t="s">
        <v>30</v>
      </c>
      <c r="J2318">
        <v>9</v>
      </c>
      <c r="K2318">
        <v>9.32</v>
      </c>
      <c r="L2318" s="39">
        <f t="shared" si="147"/>
        <v>1.0355555555555556</v>
      </c>
      <c r="M2318" s="39">
        <f t="shared" si="148"/>
        <v>1.0355555555555556</v>
      </c>
      <c r="N2318" t="s">
        <v>25</v>
      </c>
      <c r="O2318" t="s">
        <v>25</v>
      </c>
      <c r="P2318">
        <v>0</v>
      </c>
      <c r="Q2318">
        <v>0</v>
      </c>
      <c r="R2318" t="s">
        <v>1275</v>
      </c>
    </row>
    <row r="2319" spans="1:18" hidden="1" x14ac:dyDescent="0.3">
      <c r="A2319">
        <v>448</v>
      </c>
      <c r="B2319" t="s">
        <v>1274</v>
      </c>
      <c r="C2319" t="s">
        <v>254</v>
      </c>
      <c r="D2319" t="s">
        <v>27</v>
      </c>
      <c r="E2319" t="s">
        <v>22</v>
      </c>
      <c r="F2319" s="79">
        <v>45838</v>
      </c>
      <c r="G2319">
        <v>2025</v>
      </c>
      <c r="H2319" t="s">
        <v>699</v>
      </c>
      <c r="I2319" t="s">
        <v>700</v>
      </c>
      <c r="J2319">
        <v>17</v>
      </c>
      <c r="K2319">
        <v>39.619999999999997</v>
      </c>
      <c r="L2319" s="39">
        <f t="shared" si="147"/>
        <v>1.3</v>
      </c>
      <c r="M2319" s="39">
        <f t="shared" si="148"/>
        <v>2.3305882352941176</v>
      </c>
      <c r="N2319" t="s">
        <v>25</v>
      </c>
      <c r="O2319" t="s">
        <v>25</v>
      </c>
      <c r="P2319">
        <v>0</v>
      </c>
      <c r="Q2319">
        <v>0</v>
      </c>
      <c r="R2319" t="s">
        <v>3062</v>
      </c>
    </row>
    <row r="2320" spans="1:18" hidden="1" x14ac:dyDescent="0.3">
      <c r="A2320">
        <v>448</v>
      </c>
      <c r="B2320" t="s">
        <v>1274</v>
      </c>
      <c r="C2320" t="s">
        <v>254</v>
      </c>
      <c r="D2320" t="s">
        <v>21</v>
      </c>
      <c r="E2320" t="s">
        <v>22</v>
      </c>
      <c r="F2320" s="79">
        <v>46022</v>
      </c>
      <c r="G2320">
        <v>2025</v>
      </c>
      <c r="H2320" t="s">
        <v>23</v>
      </c>
      <c r="I2320" t="s">
        <v>32</v>
      </c>
      <c r="J2320">
        <v>17</v>
      </c>
      <c r="K2320">
        <v>59.36</v>
      </c>
      <c r="L2320" s="39">
        <f t="shared" si="147"/>
        <v>1.3</v>
      </c>
      <c r="M2320" s="39">
        <f t="shared" si="148"/>
        <v>3.4917647058823529</v>
      </c>
      <c r="N2320" t="s">
        <v>25</v>
      </c>
      <c r="O2320" t="s">
        <v>25</v>
      </c>
      <c r="P2320">
        <v>0</v>
      </c>
      <c r="Q2320">
        <v>1</v>
      </c>
      <c r="R2320" t="s">
        <v>1276</v>
      </c>
    </row>
    <row r="2321" spans="1:18" hidden="1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45382</v>
      </c>
      <c r="G2321">
        <v>2024</v>
      </c>
      <c r="H2321" t="s">
        <v>1516</v>
      </c>
      <c r="I2321" t="s">
        <v>729</v>
      </c>
      <c r="J2321">
        <v>20</v>
      </c>
      <c r="K2321">
        <v>51.28</v>
      </c>
      <c r="L2321" s="39">
        <f t="shared" si="147"/>
        <v>1.3</v>
      </c>
      <c r="M2321" s="39">
        <f t="shared" si="148"/>
        <v>2.5640000000000001</v>
      </c>
      <c r="P2321">
        <v>0</v>
      </c>
      <c r="Q2321">
        <v>0</v>
      </c>
      <c r="R2321" t="s">
        <v>3063</v>
      </c>
    </row>
    <row r="2322" spans="1:18" hidden="1" x14ac:dyDescent="0.3">
      <c r="A2322">
        <v>449</v>
      </c>
      <c r="B2322" t="s">
        <v>1277</v>
      </c>
      <c r="C2322" t="s">
        <v>732</v>
      </c>
      <c r="D2322" t="s">
        <v>21</v>
      </c>
      <c r="E2322" t="s">
        <v>22</v>
      </c>
      <c r="F2322" s="79">
        <v>45565</v>
      </c>
      <c r="G2322">
        <v>2024</v>
      </c>
      <c r="H2322" t="s">
        <v>162</v>
      </c>
      <c r="I2322" t="s">
        <v>30</v>
      </c>
      <c r="J2322">
        <v>70</v>
      </c>
      <c r="K2322">
        <v>84.615384615384599</v>
      </c>
      <c r="L2322" s="39">
        <f t="shared" si="147"/>
        <v>1.2087912087912085</v>
      </c>
      <c r="M2322" s="39">
        <f t="shared" si="148"/>
        <v>1.2087912087912085</v>
      </c>
      <c r="P2322">
        <v>0</v>
      </c>
      <c r="Q2322">
        <v>0</v>
      </c>
      <c r="R2322" t="s">
        <v>3064</v>
      </c>
    </row>
    <row r="2323" spans="1:18" hidden="1" x14ac:dyDescent="0.3">
      <c r="A2323">
        <v>449</v>
      </c>
      <c r="B2323" t="s">
        <v>1277</v>
      </c>
      <c r="C2323" t="s">
        <v>732</v>
      </c>
      <c r="D2323" t="s">
        <v>21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100</v>
      </c>
      <c r="K2323">
        <v>100</v>
      </c>
      <c r="L2323" s="39">
        <f t="shared" si="147"/>
        <v>1</v>
      </c>
      <c r="M2323" s="39">
        <f t="shared" si="148"/>
        <v>1</v>
      </c>
      <c r="P2323">
        <v>0</v>
      </c>
      <c r="Q2323">
        <v>0</v>
      </c>
      <c r="R2323" t="s">
        <v>1278</v>
      </c>
    </row>
    <row r="2324" spans="1:18" hidden="1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0</v>
      </c>
      <c r="K2324">
        <v>34.9</v>
      </c>
      <c r="L2324" s="39" t="str">
        <f t="shared" si="147"/>
        <v/>
      </c>
      <c r="M2324" s="39" t="str">
        <f t="shared" si="148"/>
        <v/>
      </c>
      <c r="P2324">
        <v>0</v>
      </c>
      <c r="Q2324">
        <v>0</v>
      </c>
      <c r="R2324" t="s">
        <v>3065</v>
      </c>
    </row>
    <row r="2325" spans="1:18" hidden="1" x14ac:dyDescent="0.3">
      <c r="A2325">
        <v>451</v>
      </c>
      <c r="B2325" t="s">
        <v>1279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0</v>
      </c>
      <c r="K2325">
        <v>42.7</v>
      </c>
      <c r="L2325" s="39" t="str">
        <f t="shared" si="147"/>
        <v/>
      </c>
      <c r="M2325" s="39" t="str">
        <f t="shared" si="148"/>
        <v/>
      </c>
      <c r="P2325">
        <v>0</v>
      </c>
      <c r="Q2325">
        <v>0</v>
      </c>
      <c r="R2325" t="s">
        <v>1280</v>
      </c>
    </row>
    <row r="2326" spans="1:18" hidden="1" x14ac:dyDescent="0.3">
      <c r="A2326">
        <v>451</v>
      </c>
      <c r="B2326" t="s">
        <v>1279</v>
      </c>
      <c r="C2326" t="s">
        <v>1078</v>
      </c>
      <c r="D2326" t="s">
        <v>27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119.5</v>
      </c>
      <c r="L2326" s="39">
        <f t="shared" si="147"/>
        <v>1.1950000000000001</v>
      </c>
      <c r="M2326" s="39">
        <f t="shared" si="148"/>
        <v>1.1950000000000001</v>
      </c>
      <c r="P2326">
        <v>0</v>
      </c>
      <c r="Q2326">
        <v>0</v>
      </c>
      <c r="R2326" t="s">
        <v>3066</v>
      </c>
    </row>
    <row r="2327" spans="1:18" hidden="1" x14ac:dyDescent="0.3">
      <c r="A2327">
        <v>451</v>
      </c>
      <c r="B2327" t="s">
        <v>1281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130.80000000000001</v>
      </c>
      <c r="L2327" s="39">
        <f t="shared" si="147"/>
        <v>1.3</v>
      </c>
      <c r="M2327" s="39">
        <f t="shared" si="148"/>
        <v>1.3080000000000001</v>
      </c>
      <c r="N2327" t="s">
        <v>25</v>
      </c>
      <c r="O2327" t="s">
        <v>25</v>
      </c>
      <c r="P2327">
        <v>0</v>
      </c>
      <c r="Q2327">
        <v>0</v>
      </c>
      <c r="R2327" t="s">
        <v>1282</v>
      </c>
    </row>
    <row r="2328" spans="1:18" hidden="1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45473</v>
      </c>
      <c r="G2328">
        <v>2024</v>
      </c>
      <c r="H2328" t="s">
        <v>699</v>
      </c>
      <c r="I2328" t="s">
        <v>729</v>
      </c>
      <c r="J2328">
        <v>100</v>
      </c>
      <c r="K2328">
        <v>100</v>
      </c>
      <c r="L2328" s="39">
        <f t="shared" si="147"/>
        <v>1</v>
      </c>
      <c r="M2328" s="39">
        <f t="shared" si="148"/>
        <v>1</v>
      </c>
      <c r="N2328" t="s">
        <v>25</v>
      </c>
      <c r="O2328" t="s">
        <v>25</v>
      </c>
      <c r="P2328">
        <v>0</v>
      </c>
      <c r="Q2328">
        <v>0</v>
      </c>
      <c r="R2328" t="s">
        <v>3067</v>
      </c>
    </row>
    <row r="2329" spans="1:18" hidden="1" x14ac:dyDescent="0.3">
      <c r="A2329">
        <v>452</v>
      </c>
      <c r="B2329" t="s">
        <v>1283</v>
      </c>
      <c r="C2329" t="s">
        <v>1078</v>
      </c>
      <c r="D2329" t="s">
        <v>27</v>
      </c>
      <c r="E2329" t="s">
        <v>22</v>
      </c>
      <c r="F2329" s="79">
        <v>45657</v>
      </c>
      <c r="G2329">
        <v>2024</v>
      </c>
      <c r="H2329" t="s">
        <v>23</v>
      </c>
      <c r="I2329" t="s">
        <v>30</v>
      </c>
      <c r="J2329">
        <v>100</v>
      </c>
      <c r="K2329">
        <v>160</v>
      </c>
      <c r="L2329" s="39">
        <f t="shared" si="147"/>
        <v>1.3</v>
      </c>
      <c r="M2329" s="39">
        <f t="shared" si="148"/>
        <v>1.6</v>
      </c>
      <c r="P2329">
        <v>0</v>
      </c>
      <c r="Q2329">
        <v>0</v>
      </c>
      <c r="R2329" t="s">
        <v>1284</v>
      </c>
    </row>
    <row r="2330" spans="1:18" hidden="1" x14ac:dyDescent="0.3">
      <c r="A2330">
        <v>452</v>
      </c>
      <c r="B2330" t="s">
        <v>1283</v>
      </c>
      <c r="C2330" t="s">
        <v>1078</v>
      </c>
      <c r="D2330" t="s">
        <v>21</v>
      </c>
      <c r="E2330" t="s">
        <v>22</v>
      </c>
      <c r="F2330" s="79">
        <v>45838</v>
      </c>
      <c r="G2330">
        <v>2025</v>
      </c>
      <c r="H2330" t="s">
        <v>699</v>
      </c>
      <c r="I2330" t="s">
        <v>700</v>
      </c>
      <c r="J2330">
        <v>100</v>
      </c>
      <c r="K2330">
        <v>102.27</v>
      </c>
      <c r="L2330" s="39">
        <f t="shared" si="147"/>
        <v>1.0226999999999999</v>
      </c>
      <c r="M2330" s="39">
        <f t="shared" si="148"/>
        <v>1.0226999999999999</v>
      </c>
      <c r="N2330" t="s">
        <v>25</v>
      </c>
      <c r="O2330" t="s">
        <v>25</v>
      </c>
      <c r="P2330">
        <v>0</v>
      </c>
      <c r="Q2330">
        <v>0</v>
      </c>
      <c r="R2330" t="s">
        <v>3068</v>
      </c>
    </row>
    <row r="2331" spans="1:18" hidden="1" x14ac:dyDescent="0.3">
      <c r="A2331">
        <v>452</v>
      </c>
      <c r="B2331" t="s">
        <v>1283</v>
      </c>
      <c r="C2331" t="s">
        <v>1078</v>
      </c>
      <c r="D2331" t="s">
        <v>21</v>
      </c>
      <c r="E2331" t="s">
        <v>22</v>
      </c>
      <c r="F2331" s="79">
        <v>46022</v>
      </c>
      <c r="G2331">
        <v>2025</v>
      </c>
      <c r="H2331" t="s">
        <v>23</v>
      </c>
      <c r="I2331" t="s">
        <v>32</v>
      </c>
      <c r="J2331">
        <v>100</v>
      </c>
      <c r="K2331">
        <v>200</v>
      </c>
      <c r="L2331" s="39">
        <f t="shared" si="147"/>
        <v>1.3</v>
      </c>
      <c r="M2331" s="39">
        <f t="shared" si="148"/>
        <v>2</v>
      </c>
      <c r="N2331" t="s">
        <v>25</v>
      </c>
      <c r="O2331" t="s">
        <v>25</v>
      </c>
      <c r="P2331">
        <v>0</v>
      </c>
      <c r="Q2331">
        <v>0</v>
      </c>
      <c r="R2331" t="s">
        <v>1285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45382</v>
      </c>
      <c r="G2332">
        <v>2024</v>
      </c>
      <c r="H2332" t="s">
        <v>1516</v>
      </c>
      <c r="I2332" t="s">
        <v>729</v>
      </c>
      <c r="J2332">
        <v>0</v>
      </c>
      <c r="K2332">
        <v>52</v>
      </c>
      <c r="L2332" s="39" t="str">
        <f t="shared" si="147"/>
        <v/>
      </c>
      <c r="M2332" s="39" t="str">
        <f t="shared" si="148"/>
        <v/>
      </c>
      <c r="P2332">
        <v>0</v>
      </c>
      <c r="Q2332">
        <v>0</v>
      </c>
      <c r="R2332" t="s">
        <v>3069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45473</v>
      </c>
      <c r="G2333">
        <v>2024</v>
      </c>
      <c r="H2333" t="s">
        <v>699</v>
      </c>
      <c r="I2333" t="s">
        <v>729</v>
      </c>
      <c r="J2333">
        <v>100</v>
      </c>
      <c r="K2333">
        <v>140</v>
      </c>
      <c r="L2333" s="39">
        <f t="shared" si="147"/>
        <v>1.3</v>
      </c>
      <c r="M2333" s="39">
        <f t="shared" si="148"/>
        <v>1.4</v>
      </c>
      <c r="P2333">
        <v>0</v>
      </c>
      <c r="Q2333">
        <v>0</v>
      </c>
      <c r="R2333" t="s">
        <v>3070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45565</v>
      </c>
      <c r="G2334">
        <v>2024</v>
      </c>
      <c r="H2334" t="s">
        <v>162</v>
      </c>
      <c r="I2334" t="s">
        <v>30</v>
      </c>
      <c r="J2334">
        <v>100</v>
      </c>
      <c r="K2334">
        <v>300</v>
      </c>
      <c r="L2334" s="39">
        <f t="shared" si="147"/>
        <v>1.3</v>
      </c>
      <c r="M2334" s="39">
        <f t="shared" si="148"/>
        <v>3</v>
      </c>
      <c r="P2334">
        <v>0</v>
      </c>
      <c r="Q2334">
        <v>0</v>
      </c>
      <c r="R2334" t="s">
        <v>3071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100</v>
      </c>
      <c r="K2335">
        <v>148</v>
      </c>
      <c r="L2335" s="39">
        <f t="shared" si="147"/>
        <v>1.3</v>
      </c>
      <c r="M2335" s="39">
        <f t="shared" si="148"/>
        <v>1.48</v>
      </c>
      <c r="P2335">
        <v>0</v>
      </c>
      <c r="Q2335">
        <v>0</v>
      </c>
      <c r="R2335" t="s">
        <v>1287</v>
      </c>
    </row>
    <row r="2336" spans="1:18" hidden="1" x14ac:dyDescent="0.3">
      <c r="A2336">
        <v>453</v>
      </c>
      <c r="B2336" t="s">
        <v>1286</v>
      </c>
      <c r="C2336" t="s">
        <v>1089</v>
      </c>
      <c r="D2336" t="s">
        <v>21</v>
      </c>
      <c r="E2336" t="s">
        <v>22</v>
      </c>
      <c r="F2336" s="79">
        <v>45747</v>
      </c>
      <c r="G2336">
        <v>2025</v>
      </c>
      <c r="H2336" t="s">
        <v>1516</v>
      </c>
      <c r="I2336" t="s">
        <v>700</v>
      </c>
      <c r="J2336">
        <v>100</v>
      </c>
      <c r="K2336">
        <v>48</v>
      </c>
      <c r="L2336" s="39">
        <f t="shared" si="147"/>
        <v>0.48</v>
      </c>
      <c r="M2336" s="39">
        <f t="shared" si="148"/>
        <v>0.48</v>
      </c>
      <c r="P2336">
        <v>0</v>
      </c>
      <c r="Q2336">
        <v>0</v>
      </c>
      <c r="R2336" t="s">
        <v>3072</v>
      </c>
    </row>
    <row r="2337" spans="1:18" hidden="1" x14ac:dyDescent="0.3">
      <c r="A2337">
        <v>453</v>
      </c>
      <c r="B2337" t="s">
        <v>1286</v>
      </c>
      <c r="C2337" t="s">
        <v>1089</v>
      </c>
      <c r="D2337" t="s">
        <v>21</v>
      </c>
      <c r="E2337" t="s">
        <v>22</v>
      </c>
      <c r="F2337" s="79">
        <v>45838</v>
      </c>
      <c r="G2337">
        <v>2025</v>
      </c>
      <c r="H2337" t="s">
        <v>699</v>
      </c>
      <c r="I2337" t="s">
        <v>700</v>
      </c>
      <c r="J2337">
        <v>100</v>
      </c>
      <c r="K2337">
        <v>100</v>
      </c>
      <c r="L2337" s="39">
        <f t="shared" si="147"/>
        <v>1</v>
      </c>
      <c r="M2337" s="39">
        <f t="shared" si="148"/>
        <v>1</v>
      </c>
      <c r="P2337">
        <v>0</v>
      </c>
      <c r="Q2337">
        <v>0</v>
      </c>
      <c r="R2337" t="s">
        <v>3073</v>
      </c>
    </row>
    <row r="2338" spans="1:18" hidden="1" x14ac:dyDescent="0.3">
      <c r="A2338">
        <v>453</v>
      </c>
      <c r="B2338" t="s">
        <v>1286</v>
      </c>
      <c r="C2338" t="s">
        <v>1089</v>
      </c>
      <c r="D2338" t="s">
        <v>27</v>
      </c>
      <c r="E2338" t="s">
        <v>22</v>
      </c>
      <c r="F2338" s="79">
        <v>45930</v>
      </c>
      <c r="G2338">
        <v>2025</v>
      </c>
      <c r="H2338" t="s">
        <v>162</v>
      </c>
      <c r="I2338" t="s">
        <v>32</v>
      </c>
      <c r="J2338">
        <v>100</v>
      </c>
      <c r="K2338">
        <v>100</v>
      </c>
      <c r="L2338" s="39">
        <f t="shared" si="147"/>
        <v>1</v>
      </c>
      <c r="M2338" s="39">
        <f t="shared" si="148"/>
        <v>1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453</v>
      </c>
      <c r="B2339" t="s">
        <v>1286</v>
      </c>
      <c r="C2339" t="s">
        <v>1089</v>
      </c>
      <c r="D2339" t="s">
        <v>27</v>
      </c>
      <c r="E2339" t="s">
        <v>22</v>
      </c>
      <c r="F2339" s="79">
        <v>46022</v>
      </c>
      <c r="G2339">
        <v>2025</v>
      </c>
      <c r="H2339" t="s">
        <v>23</v>
      </c>
      <c r="I2339" t="s">
        <v>32</v>
      </c>
      <c r="J2339">
        <v>100</v>
      </c>
      <c r="K2339">
        <v>100</v>
      </c>
      <c r="L2339" s="39">
        <f t="shared" ref="L2339:L2370" si="149">IFERROR(IF(OR(J2339=0,K2339=""),"",IF(E2339="Positivo",MIN(MAX(K2339/J2339,0),1.3),MIN(MAX(J2339/K2339,0),1.3))),"")</f>
        <v>1</v>
      </c>
      <c r="M2339" s="39">
        <f t="shared" ref="M2339:M2370" si="150">IFERROR(IF(OR(J2339=0,K2339=""),"",IF(E2339="Positivo",MAX(K2339/J2339,0),MAX(J2339/K2339,0))),"")</f>
        <v>1</v>
      </c>
      <c r="N2339" t="s">
        <v>25</v>
      </c>
      <c r="O2339" t="s">
        <v>25</v>
      </c>
      <c r="P2339">
        <v>0</v>
      </c>
      <c r="Q2339">
        <v>0</v>
      </c>
      <c r="R2339" t="s">
        <v>1288</v>
      </c>
    </row>
    <row r="2340" spans="1:18" hidden="1" x14ac:dyDescent="0.3">
      <c r="A2340">
        <v>454</v>
      </c>
      <c r="B2340" t="s">
        <v>1289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0</v>
      </c>
      <c r="K2340">
        <v>88</v>
      </c>
      <c r="L2340" s="39" t="str">
        <f t="shared" si="149"/>
        <v/>
      </c>
      <c r="M2340" s="39" t="str">
        <f t="shared" si="150"/>
        <v/>
      </c>
      <c r="P2340">
        <v>0</v>
      </c>
      <c r="Q2340">
        <v>0</v>
      </c>
      <c r="R2340" t="s">
        <v>3075</v>
      </c>
    </row>
    <row r="2341" spans="1:18" hidden="1" x14ac:dyDescent="0.3">
      <c r="A2341">
        <v>454</v>
      </c>
      <c r="B2341" t="s">
        <v>1289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0</v>
      </c>
      <c r="K2341">
        <v>88</v>
      </c>
      <c r="L2341" s="39" t="str">
        <f t="shared" si="149"/>
        <v/>
      </c>
      <c r="M2341" s="39" t="str">
        <f t="shared" si="150"/>
        <v/>
      </c>
      <c r="P2341">
        <v>0</v>
      </c>
      <c r="Q2341">
        <v>0</v>
      </c>
      <c r="R2341" t="s">
        <v>1290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21</v>
      </c>
      <c r="E2342" t="s">
        <v>22</v>
      </c>
      <c r="F2342" s="79">
        <v>45565</v>
      </c>
      <c r="G2342">
        <v>2024</v>
      </c>
      <c r="H2342" t="s">
        <v>162</v>
      </c>
      <c r="I2342" t="s">
        <v>30</v>
      </c>
      <c r="J2342">
        <v>90</v>
      </c>
      <c r="K2342">
        <v>100</v>
      </c>
      <c r="L2342" s="39">
        <f t="shared" si="149"/>
        <v>1.1111111111111112</v>
      </c>
      <c r="M2342" s="39">
        <f t="shared" si="150"/>
        <v>1.1111111111111112</v>
      </c>
      <c r="N2342" t="s">
        <v>25</v>
      </c>
      <c r="O2342" t="s">
        <v>25</v>
      </c>
      <c r="P2342">
        <v>0</v>
      </c>
      <c r="Q2342">
        <v>0</v>
      </c>
      <c r="R2342" t="s">
        <v>3076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45657</v>
      </c>
      <c r="G2343">
        <v>2024</v>
      </c>
      <c r="H2343" t="s">
        <v>23</v>
      </c>
      <c r="I2343" t="s">
        <v>30</v>
      </c>
      <c r="J2343">
        <v>90</v>
      </c>
      <c r="K2343">
        <v>100</v>
      </c>
      <c r="L2343" s="39">
        <f t="shared" si="149"/>
        <v>1.1111111111111112</v>
      </c>
      <c r="M2343" s="39">
        <f t="shared" si="150"/>
        <v>1.1111111111111112</v>
      </c>
      <c r="N2343" t="s">
        <v>25</v>
      </c>
      <c r="O2343" t="s">
        <v>25</v>
      </c>
      <c r="P2343">
        <v>0</v>
      </c>
      <c r="Q2343">
        <v>0</v>
      </c>
      <c r="R2343" t="s">
        <v>1292</v>
      </c>
    </row>
    <row r="2344" spans="1:18" hidden="1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45747</v>
      </c>
      <c r="G2344">
        <v>2025</v>
      </c>
      <c r="H2344" t="s">
        <v>1516</v>
      </c>
      <c r="I2344" t="s">
        <v>700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3077</v>
      </c>
    </row>
    <row r="2345" spans="1:18" hidden="1" x14ac:dyDescent="0.3">
      <c r="A2345">
        <v>455</v>
      </c>
      <c r="B2345" t="s">
        <v>1291</v>
      </c>
      <c r="C2345" t="s">
        <v>1089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3078</v>
      </c>
    </row>
    <row r="2346" spans="1:18" hidden="1" x14ac:dyDescent="0.3">
      <c r="A2346">
        <v>455</v>
      </c>
      <c r="B2346" t="s">
        <v>1291</v>
      </c>
      <c r="C2346" t="s">
        <v>1089</v>
      </c>
      <c r="D2346" t="s">
        <v>27</v>
      </c>
      <c r="E2346" t="s">
        <v>22</v>
      </c>
      <c r="F2346" s="79">
        <v>45930</v>
      </c>
      <c r="G2346">
        <v>2025</v>
      </c>
      <c r="H2346" t="s">
        <v>162</v>
      </c>
      <c r="I2346" t="s">
        <v>32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455</v>
      </c>
      <c r="B2347" t="s">
        <v>1291</v>
      </c>
      <c r="C2347" t="s">
        <v>1089</v>
      </c>
      <c r="D2347" t="s">
        <v>27</v>
      </c>
      <c r="E2347" t="s">
        <v>22</v>
      </c>
      <c r="F2347" s="79">
        <v>46022</v>
      </c>
      <c r="G2347">
        <v>2025</v>
      </c>
      <c r="H2347" t="s">
        <v>23</v>
      </c>
      <c r="I2347" t="s">
        <v>32</v>
      </c>
      <c r="J2347">
        <v>100</v>
      </c>
      <c r="K2347">
        <v>100</v>
      </c>
      <c r="L2347" s="39">
        <f t="shared" si="149"/>
        <v>1</v>
      </c>
      <c r="M2347" s="39">
        <f t="shared" si="150"/>
        <v>1</v>
      </c>
      <c r="N2347" t="s">
        <v>25</v>
      </c>
      <c r="O2347" t="s">
        <v>25</v>
      </c>
      <c r="P2347">
        <v>0</v>
      </c>
      <c r="Q2347">
        <v>0</v>
      </c>
      <c r="R2347" t="s">
        <v>1293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45473</v>
      </c>
      <c r="G2348">
        <v>2024</v>
      </c>
      <c r="H2348" t="s">
        <v>699</v>
      </c>
      <c r="I2348" t="s">
        <v>729</v>
      </c>
      <c r="J2348">
        <v>100</v>
      </c>
      <c r="K2348">
        <v>100</v>
      </c>
      <c r="L2348" s="39">
        <f t="shared" si="149"/>
        <v>1</v>
      </c>
      <c r="M2348" s="39">
        <f t="shared" si="150"/>
        <v>1</v>
      </c>
      <c r="N2348" t="s">
        <v>25</v>
      </c>
      <c r="O2348" t="s">
        <v>25</v>
      </c>
      <c r="P2348">
        <v>0</v>
      </c>
      <c r="Q2348">
        <v>0</v>
      </c>
      <c r="R2348" t="s">
        <v>3080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45657</v>
      </c>
      <c r="G2349">
        <v>2024</v>
      </c>
      <c r="H2349" t="s">
        <v>23</v>
      </c>
      <c r="I2349" t="s">
        <v>30</v>
      </c>
      <c r="J2349">
        <v>100</v>
      </c>
      <c r="K2349">
        <v>94.69</v>
      </c>
      <c r="L2349" s="39">
        <f t="shared" si="149"/>
        <v>0.94689999999999996</v>
      </c>
      <c r="M2349" s="39">
        <f t="shared" si="150"/>
        <v>0.94689999999999996</v>
      </c>
      <c r="N2349" t="s">
        <v>25</v>
      </c>
      <c r="O2349" t="s">
        <v>25</v>
      </c>
      <c r="P2349">
        <v>0</v>
      </c>
      <c r="Q2349">
        <v>0</v>
      </c>
      <c r="R2349" t="s">
        <v>1295</v>
      </c>
    </row>
    <row r="2350" spans="1:18" hidden="1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45747</v>
      </c>
      <c r="G2350">
        <v>2025</v>
      </c>
      <c r="H2350" t="s">
        <v>1516</v>
      </c>
      <c r="I2350" t="s">
        <v>700</v>
      </c>
      <c r="J2350">
        <v>100</v>
      </c>
      <c r="K2350">
        <v>106.25</v>
      </c>
      <c r="L2350" s="39">
        <f t="shared" si="149"/>
        <v>1.0625</v>
      </c>
      <c r="M2350" s="39">
        <f t="shared" si="150"/>
        <v>1.0625</v>
      </c>
      <c r="N2350" t="s">
        <v>25</v>
      </c>
      <c r="O2350" t="s">
        <v>25</v>
      </c>
      <c r="P2350">
        <v>0</v>
      </c>
      <c r="Q2350">
        <v>0</v>
      </c>
      <c r="R2350" t="s">
        <v>3081</v>
      </c>
    </row>
    <row r="2351" spans="1:18" hidden="1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45838</v>
      </c>
      <c r="G2351">
        <v>2025</v>
      </c>
      <c r="H2351" t="s">
        <v>699</v>
      </c>
      <c r="I2351" t="s">
        <v>700</v>
      </c>
      <c r="J2351">
        <v>100</v>
      </c>
      <c r="K2351">
        <v>104.12</v>
      </c>
      <c r="L2351" s="39">
        <f t="shared" si="149"/>
        <v>1.0412000000000001</v>
      </c>
      <c r="M2351" s="39">
        <f t="shared" si="150"/>
        <v>1.0412000000000001</v>
      </c>
      <c r="N2351" t="s">
        <v>25</v>
      </c>
      <c r="O2351" t="s">
        <v>25</v>
      </c>
      <c r="P2351">
        <v>0</v>
      </c>
      <c r="Q2351">
        <v>0</v>
      </c>
      <c r="R2351" t="s">
        <v>3082</v>
      </c>
    </row>
    <row r="2352" spans="1:18" hidden="1" x14ac:dyDescent="0.3">
      <c r="A2352">
        <v>456</v>
      </c>
      <c r="B2352" t="s">
        <v>1294</v>
      </c>
      <c r="C2352" t="s">
        <v>149</v>
      </c>
      <c r="D2352" t="s">
        <v>27</v>
      </c>
      <c r="E2352" t="s">
        <v>22</v>
      </c>
      <c r="F2352" s="79">
        <v>45930</v>
      </c>
      <c r="G2352">
        <v>2025</v>
      </c>
      <c r="H2352" t="s">
        <v>162</v>
      </c>
      <c r="I2352" t="s">
        <v>32</v>
      </c>
      <c r="J2352">
        <v>100</v>
      </c>
      <c r="K2352">
        <v>121.57</v>
      </c>
      <c r="L2352" s="39">
        <f t="shared" si="149"/>
        <v>1.2157</v>
      </c>
      <c r="M2352" s="39">
        <f t="shared" si="150"/>
        <v>1.2157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8" hidden="1" x14ac:dyDescent="0.3">
      <c r="A2353">
        <v>456</v>
      </c>
      <c r="B2353" t="s">
        <v>1294</v>
      </c>
      <c r="C2353" t="s">
        <v>149</v>
      </c>
      <c r="D2353" t="s">
        <v>27</v>
      </c>
      <c r="E2353" t="s">
        <v>22</v>
      </c>
      <c r="F2353" s="79">
        <v>46022</v>
      </c>
      <c r="G2353">
        <v>2025</v>
      </c>
      <c r="H2353" t="s">
        <v>23</v>
      </c>
      <c r="I2353" t="s">
        <v>32</v>
      </c>
      <c r="J2353">
        <v>100</v>
      </c>
      <c r="K2353">
        <v>114.43</v>
      </c>
      <c r="L2353" s="39">
        <f t="shared" si="149"/>
        <v>1.1443000000000001</v>
      </c>
      <c r="M2353" s="39">
        <f t="shared" si="150"/>
        <v>1.1443000000000001</v>
      </c>
      <c r="N2353" t="s">
        <v>25</v>
      </c>
      <c r="O2353" t="s">
        <v>25</v>
      </c>
      <c r="P2353">
        <v>0</v>
      </c>
      <c r="Q2353">
        <v>0</v>
      </c>
      <c r="R2353" t="s">
        <v>1296</v>
      </c>
    </row>
    <row r="2354" spans="1:18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45473</v>
      </c>
      <c r="G2354">
        <v>2024</v>
      </c>
      <c r="H2354" t="s">
        <v>699</v>
      </c>
      <c r="I2354" t="s">
        <v>729</v>
      </c>
      <c r="J2354">
        <v>100</v>
      </c>
      <c r="K2354">
        <v>90</v>
      </c>
      <c r="L2354" s="39">
        <f t="shared" si="149"/>
        <v>0.9</v>
      </c>
      <c r="M2354" s="39">
        <f t="shared" si="150"/>
        <v>0.9</v>
      </c>
      <c r="N2354" t="s">
        <v>25</v>
      </c>
      <c r="O2354" t="s">
        <v>25</v>
      </c>
      <c r="P2354">
        <v>0</v>
      </c>
      <c r="Q2354">
        <v>0</v>
      </c>
      <c r="R2354" t="s">
        <v>3084</v>
      </c>
    </row>
    <row r="2355" spans="1:18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45657</v>
      </c>
      <c r="G2355">
        <v>2024</v>
      </c>
      <c r="H2355" t="s">
        <v>23</v>
      </c>
      <c r="I2355" t="s">
        <v>30</v>
      </c>
      <c r="J2355">
        <v>100</v>
      </c>
      <c r="K2355">
        <v>70</v>
      </c>
      <c r="L2355" s="39">
        <f t="shared" si="149"/>
        <v>0.7</v>
      </c>
      <c r="M2355" s="39">
        <f t="shared" si="150"/>
        <v>0.7</v>
      </c>
      <c r="N2355" t="s">
        <v>25</v>
      </c>
      <c r="O2355" t="s">
        <v>25</v>
      </c>
      <c r="P2355">
        <v>0</v>
      </c>
      <c r="Q2355">
        <v>0</v>
      </c>
      <c r="R2355" t="s">
        <v>1298</v>
      </c>
    </row>
    <row r="2356" spans="1:18" hidden="1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45747</v>
      </c>
      <c r="G2356">
        <v>2025</v>
      </c>
      <c r="H2356" t="s">
        <v>1516</v>
      </c>
      <c r="I2356" t="s">
        <v>700</v>
      </c>
      <c r="J2356">
        <v>100</v>
      </c>
      <c r="K2356">
        <v>200</v>
      </c>
      <c r="L2356" s="39">
        <f t="shared" si="149"/>
        <v>1.3</v>
      </c>
      <c r="M2356" s="39">
        <f t="shared" si="150"/>
        <v>2</v>
      </c>
      <c r="N2356" t="s">
        <v>25</v>
      </c>
      <c r="O2356" t="s">
        <v>25</v>
      </c>
      <c r="P2356">
        <v>0</v>
      </c>
      <c r="Q2356">
        <v>0</v>
      </c>
      <c r="R2356" t="s">
        <v>3085</v>
      </c>
    </row>
    <row r="2357" spans="1:18" hidden="1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45838</v>
      </c>
      <c r="G2357">
        <v>2025</v>
      </c>
      <c r="H2357" t="s">
        <v>699</v>
      </c>
      <c r="I2357" t="s">
        <v>700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3086</v>
      </c>
    </row>
    <row r="2358" spans="1:18" hidden="1" x14ac:dyDescent="0.3">
      <c r="A2358">
        <v>457</v>
      </c>
      <c r="B2358" t="s">
        <v>1297</v>
      </c>
      <c r="C2358" t="s">
        <v>149</v>
      </c>
      <c r="D2358" t="s">
        <v>27</v>
      </c>
      <c r="E2358" t="s">
        <v>22</v>
      </c>
      <c r="F2358" s="79">
        <v>45930</v>
      </c>
      <c r="G2358">
        <v>2025</v>
      </c>
      <c r="H2358" t="s">
        <v>162</v>
      </c>
      <c r="I2358" t="s">
        <v>32</v>
      </c>
      <c r="J2358">
        <v>100</v>
      </c>
      <c r="K2358">
        <v>85.71</v>
      </c>
      <c r="L2358" s="39">
        <f t="shared" si="149"/>
        <v>0.85709999999999997</v>
      </c>
      <c r="M2358" s="39">
        <f t="shared" si="150"/>
        <v>0.85709999999999997</v>
      </c>
      <c r="N2358" t="s">
        <v>25</v>
      </c>
      <c r="O2358" t="s">
        <v>25</v>
      </c>
      <c r="P2358">
        <v>0</v>
      </c>
      <c r="Q2358">
        <v>0</v>
      </c>
      <c r="R2358" t="s">
        <v>3087</v>
      </c>
    </row>
    <row r="2359" spans="1:18" hidden="1" x14ac:dyDescent="0.3">
      <c r="A2359">
        <v>457</v>
      </c>
      <c r="B2359" t="s">
        <v>1297</v>
      </c>
      <c r="C2359" t="s">
        <v>149</v>
      </c>
      <c r="D2359" t="s">
        <v>27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100</v>
      </c>
      <c r="K2359">
        <v>83.33</v>
      </c>
      <c r="L2359" s="39">
        <f t="shared" si="149"/>
        <v>0.83329999999999993</v>
      </c>
      <c r="M2359" s="39">
        <f t="shared" si="150"/>
        <v>0.83329999999999993</v>
      </c>
      <c r="N2359" t="s">
        <v>25</v>
      </c>
      <c r="O2359" t="s">
        <v>25</v>
      </c>
      <c r="P2359">
        <v>0</v>
      </c>
      <c r="Q2359">
        <v>0</v>
      </c>
      <c r="R2359" t="s">
        <v>1299</v>
      </c>
    </row>
    <row r="2360" spans="1:18" hidden="1" x14ac:dyDescent="0.3">
      <c r="A2360">
        <v>459</v>
      </c>
      <c r="B2360" t="s">
        <v>1300</v>
      </c>
      <c r="C2360" t="s">
        <v>1078</v>
      </c>
      <c r="D2360" t="s">
        <v>21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100</v>
      </c>
      <c r="K2360">
        <v>130.43</v>
      </c>
      <c r="L2360" s="39">
        <f t="shared" si="149"/>
        <v>1.3</v>
      </c>
      <c r="M2360" s="39">
        <f t="shared" si="150"/>
        <v>1.3043</v>
      </c>
      <c r="P2360">
        <v>0</v>
      </c>
      <c r="Q2360">
        <v>0</v>
      </c>
      <c r="R2360" t="s">
        <v>3088</v>
      </c>
    </row>
    <row r="2361" spans="1:18" hidden="1" x14ac:dyDescent="0.3">
      <c r="A2361">
        <v>459</v>
      </c>
      <c r="B2361" t="s">
        <v>1300</v>
      </c>
      <c r="C2361" t="s">
        <v>1078</v>
      </c>
      <c r="D2361" t="s">
        <v>21</v>
      </c>
      <c r="E2361" t="s">
        <v>22</v>
      </c>
      <c r="F2361" s="79">
        <v>45565</v>
      </c>
      <c r="G2361">
        <v>2024</v>
      </c>
      <c r="H2361" t="s">
        <v>162</v>
      </c>
      <c r="I2361" t="s">
        <v>30</v>
      </c>
      <c r="J2361">
        <v>100</v>
      </c>
      <c r="K2361">
        <v>147.83000000000001</v>
      </c>
      <c r="L2361" s="39">
        <f t="shared" si="149"/>
        <v>1.3</v>
      </c>
      <c r="M2361" s="39">
        <f t="shared" si="150"/>
        <v>1.4783000000000002</v>
      </c>
      <c r="P2361">
        <v>0</v>
      </c>
      <c r="Q2361">
        <v>0</v>
      </c>
      <c r="R2361" t="s">
        <v>3089</v>
      </c>
    </row>
    <row r="2362" spans="1:18" hidden="1" x14ac:dyDescent="0.3">
      <c r="A2362">
        <v>460</v>
      </c>
      <c r="B2362" t="s">
        <v>1302</v>
      </c>
      <c r="C2362" t="s">
        <v>40</v>
      </c>
      <c r="D2362" t="s">
        <v>71</v>
      </c>
      <c r="E2362" t="s">
        <v>22</v>
      </c>
      <c r="F2362" s="79">
        <v>45657</v>
      </c>
      <c r="G2362">
        <v>2024</v>
      </c>
      <c r="H2362" t="s">
        <v>23</v>
      </c>
      <c r="I2362" t="s">
        <v>30</v>
      </c>
      <c r="J2362">
        <v>80</v>
      </c>
      <c r="K2362">
        <v>91.439688715953324</v>
      </c>
      <c r="L2362" s="39">
        <f t="shared" si="149"/>
        <v>1.1429961089494165</v>
      </c>
      <c r="M2362" s="39">
        <f t="shared" si="150"/>
        <v>1.1429961089494165</v>
      </c>
      <c r="P2362">
        <v>0</v>
      </c>
      <c r="Q2362">
        <v>0</v>
      </c>
      <c r="R2362" t="s">
        <v>1303</v>
      </c>
    </row>
    <row r="2363" spans="1:18" hidden="1" x14ac:dyDescent="0.3">
      <c r="A2363">
        <v>460</v>
      </c>
      <c r="B2363" t="s">
        <v>1302</v>
      </c>
      <c r="C2363" t="s">
        <v>40</v>
      </c>
      <c r="D2363" t="s">
        <v>71</v>
      </c>
      <c r="E2363" t="s">
        <v>22</v>
      </c>
      <c r="F2363" s="79">
        <v>46022</v>
      </c>
      <c r="G2363">
        <v>2025</v>
      </c>
      <c r="H2363" t="s">
        <v>23</v>
      </c>
      <c r="I2363" t="s">
        <v>32</v>
      </c>
      <c r="J2363">
        <v>80</v>
      </c>
      <c r="K2363">
        <v>84.18</v>
      </c>
      <c r="L2363" s="39">
        <f t="shared" si="149"/>
        <v>1.0522500000000001</v>
      </c>
      <c r="M2363" s="39">
        <f t="shared" si="150"/>
        <v>1.0522500000000001</v>
      </c>
      <c r="N2363" t="s">
        <v>25</v>
      </c>
      <c r="O2363" t="s">
        <v>25</v>
      </c>
      <c r="P2363">
        <v>0</v>
      </c>
      <c r="Q2363">
        <v>1</v>
      </c>
      <c r="R2363" t="s">
        <v>1305</v>
      </c>
    </row>
    <row r="2364" spans="1:18" hidden="1" x14ac:dyDescent="0.3">
      <c r="A2364">
        <v>462</v>
      </c>
      <c r="B2364" t="s">
        <v>1306</v>
      </c>
      <c r="C2364" t="s">
        <v>308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85</v>
      </c>
      <c r="K2364">
        <v>100</v>
      </c>
      <c r="L2364" s="39">
        <f t="shared" si="149"/>
        <v>1.1764705882352942</v>
      </c>
      <c r="M2364" s="39">
        <f t="shared" si="150"/>
        <v>1.1764705882352942</v>
      </c>
      <c r="P2364">
        <v>0</v>
      </c>
      <c r="Q2364">
        <v>0</v>
      </c>
      <c r="R2364" t="s">
        <v>3090</v>
      </c>
    </row>
    <row r="2365" spans="1:18" hidden="1" x14ac:dyDescent="0.3">
      <c r="A2365">
        <v>462</v>
      </c>
      <c r="B2365" t="s">
        <v>1306</v>
      </c>
      <c r="C2365" t="s">
        <v>308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85</v>
      </c>
      <c r="K2365">
        <v>100</v>
      </c>
      <c r="L2365" s="39">
        <f t="shared" si="149"/>
        <v>1.1764705882352942</v>
      </c>
      <c r="M2365" s="39">
        <f t="shared" si="150"/>
        <v>1.1764705882352942</v>
      </c>
      <c r="P2365">
        <v>0</v>
      </c>
      <c r="Q2365">
        <v>0</v>
      </c>
      <c r="R2365" t="s">
        <v>1307</v>
      </c>
    </row>
    <row r="2366" spans="1:18" hidden="1" x14ac:dyDescent="0.3">
      <c r="A2366">
        <v>463</v>
      </c>
      <c r="B2366" t="s">
        <v>1308</v>
      </c>
      <c r="C2366" t="s">
        <v>40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100</v>
      </c>
      <c r="K2366">
        <v>95</v>
      </c>
      <c r="L2366" s="39">
        <f t="shared" si="149"/>
        <v>0.95</v>
      </c>
      <c r="M2366" s="39">
        <f t="shared" si="150"/>
        <v>0.95</v>
      </c>
      <c r="N2366" t="s">
        <v>25</v>
      </c>
      <c r="O2366" t="s">
        <v>25</v>
      </c>
      <c r="P2366">
        <v>0</v>
      </c>
      <c r="Q2366">
        <v>0</v>
      </c>
      <c r="R2366" t="s">
        <v>3091</v>
      </c>
    </row>
    <row r="2367" spans="1:18" hidden="1" x14ac:dyDescent="0.3">
      <c r="A2367">
        <v>463</v>
      </c>
      <c r="B2367" t="s">
        <v>1308</v>
      </c>
      <c r="C2367" t="s">
        <v>40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100</v>
      </c>
      <c r="L2367" s="39">
        <f t="shared" si="149"/>
        <v>1</v>
      </c>
      <c r="M2367" s="39">
        <f t="shared" si="150"/>
        <v>1</v>
      </c>
      <c r="N2367" t="s">
        <v>25</v>
      </c>
      <c r="O2367" t="s">
        <v>25</v>
      </c>
      <c r="P2367">
        <v>0</v>
      </c>
      <c r="Q2367">
        <v>0</v>
      </c>
      <c r="R2367" t="s">
        <v>1309</v>
      </c>
    </row>
    <row r="2368" spans="1:18" hidden="1" x14ac:dyDescent="0.3">
      <c r="A2368">
        <v>465</v>
      </c>
      <c r="B2368" t="s">
        <v>1310</v>
      </c>
      <c r="C2368" t="s">
        <v>922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75</v>
      </c>
      <c r="K2368">
        <v>57.86</v>
      </c>
      <c r="L2368" s="39">
        <f t="shared" si="149"/>
        <v>0.77146666666666663</v>
      </c>
      <c r="M2368" s="39">
        <f t="shared" si="150"/>
        <v>0.77146666666666663</v>
      </c>
      <c r="N2368" t="s">
        <v>25</v>
      </c>
      <c r="O2368" t="s">
        <v>25</v>
      </c>
      <c r="P2368">
        <v>0</v>
      </c>
      <c r="Q2368">
        <v>0</v>
      </c>
      <c r="R2368" t="s">
        <v>3092</v>
      </c>
    </row>
    <row r="2369" spans="1:18" hidden="1" x14ac:dyDescent="0.3">
      <c r="A2369">
        <v>465</v>
      </c>
      <c r="B2369" t="s">
        <v>1310</v>
      </c>
      <c r="C2369" t="s">
        <v>922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56.83</v>
      </c>
      <c r="L2369" s="39">
        <f t="shared" si="149"/>
        <v>0.56830000000000003</v>
      </c>
      <c r="M2369" s="39">
        <f t="shared" si="150"/>
        <v>0.56830000000000003</v>
      </c>
      <c r="P2369">
        <v>0</v>
      </c>
      <c r="Q2369">
        <v>0</v>
      </c>
      <c r="R2369" t="s">
        <v>1311</v>
      </c>
    </row>
    <row r="2370" spans="1:18" hidden="1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119.2</v>
      </c>
      <c r="L2370" s="39">
        <f t="shared" si="149"/>
        <v>1.1919999999999999</v>
      </c>
      <c r="M2370" s="39">
        <f t="shared" si="150"/>
        <v>1.1919999999999999</v>
      </c>
      <c r="N2370" t="s">
        <v>128</v>
      </c>
      <c r="O2370" t="s">
        <v>128</v>
      </c>
      <c r="P2370">
        <v>0</v>
      </c>
      <c r="Q2370">
        <v>1</v>
      </c>
      <c r="R2370" t="s">
        <v>3093</v>
      </c>
    </row>
    <row r="2371" spans="1:18" hidden="1" x14ac:dyDescent="0.3">
      <c r="A2371">
        <v>466</v>
      </c>
      <c r="B2371" t="s">
        <v>1312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107.6</v>
      </c>
      <c r="L2371" s="39">
        <f t="shared" ref="L2371:L2381" si="151">IFERROR(IF(OR(J2371=0,K2371=""),"",IF(E2371="Positivo",MIN(MAX(K2371/J2371,0),1.3),MIN(MAX(J2371/K2371,0),1.3))),"")</f>
        <v>1.0759999999999998</v>
      </c>
      <c r="M2371" s="39">
        <f t="shared" ref="M2371:M2402" si="152">IFERROR(IF(OR(J2371=0,K2371=""),"",IF(E2371="Positivo",MAX(K2371/J2371,0),MAX(J2371/K2371,0))),"")</f>
        <v>1.0759999999999998</v>
      </c>
      <c r="N2371" t="s">
        <v>128</v>
      </c>
      <c r="O2371" t="s">
        <v>136</v>
      </c>
      <c r="P2371">
        <v>0</v>
      </c>
      <c r="Q2371">
        <v>1</v>
      </c>
      <c r="R2371" t="s">
        <v>1313</v>
      </c>
    </row>
    <row r="2372" spans="1:18" hidden="1" x14ac:dyDescent="0.3">
      <c r="A2372">
        <v>466</v>
      </c>
      <c r="B2372" t="s">
        <v>1312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48</v>
      </c>
      <c r="L2372" s="39">
        <f t="shared" si="151"/>
        <v>0.48</v>
      </c>
      <c r="M2372" s="39">
        <f t="shared" si="152"/>
        <v>0.48</v>
      </c>
      <c r="N2372" t="s">
        <v>128</v>
      </c>
      <c r="O2372" t="s">
        <v>128</v>
      </c>
      <c r="P2372">
        <v>0</v>
      </c>
      <c r="Q2372">
        <v>0</v>
      </c>
      <c r="R2372" t="s">
        <v>3094</v>
      </c>
    </row>
    <row r="2373" spans="1:18" hidden="1" x14ac:dyDescent="0.3">
      <c r="A2373">
        <v>466</v>
      </c>
      <c r="B2373" t="s">
        <v>1312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106.55</v>
      </c>
      <c r="L2373" s="39">
        <f t="shared" si="151"/>
        <v>1.0654999999999999</v>
      </c>
      <c r="M2373" s="39">
        <f t="shared" si="152"/>
        <v>1.0654999999999999</v>
      </c>
      <c r="N2373" t="s">
        <v>128</v>
      </c>
      <c r="O2373" t="s">
        <v>136</v>
      </c>
      <c r="P2373">
        <v>1</v>
      </c>
      <c r="Q2373">
        <v>1</v>
      </c>
      <c r="R2373" t="s">
        <v>1314</v>
      </c>
    </row>
    <row r="2374" spans="1:18" hidden="1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45473</v>
      </c>
      <c r="G2374">
        <v>2024</v>
      </c>
      <c r="H2374" t="s">
        <v>699</v>
      </c>
      <c r="I2374" t="s">
        <v>729</v>
      </c>
      <c r="J2374">
        <v>100</v>
      </c>
      <c r="K2374">
        <v>121.25</v>
      </c>
      <c r="L2374" s="39">
        <f t="shared" si="151"/>
        <v>1.2124999999999999</v>
      </c>
      <c r="M2374" s="39">
        <f t="shared" si="152"/>
        <v>1.2124999999999999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467</v>
      </c>
      <c r="B2375" t="s">
        <v>1315</v>
      </c>
      <c r="C2375" t="s">
        <v>653</v>
      </c>
      <c r="D2375" t="s">
        <v>27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100</v>
      </c>
      <c r="K2375">
        <v>121.83</v>
      </c>
      <c r="L2375" s="39">
        <f t="shared" si="151"/>
        <v>1.2182999999999999</v>
      </c>
      <c r="M2375" s="39">
        <f t="shared" si="152"/>
        <v>1.2182999999999999</v>
      </c>
      <c r="N2375" t="s">
        <v>128</v>
      </c>
      <c r="O2375" t="s">
        <v>136</v>
      </c>
      <c r="P2375">
        <v>0</v>
      </c>
      <c r="Q2375">
        <v>1</v>
      </c>
      <c r="R2375" t="s">
        <v>1316</v>
      </c>
    </row>
    <row r="2376" spans="1:18" hidden="1" x14ac:dyDescent="0.3">
      <c r="A2376">
        <v>467</v>
      </c>
      <c r="B2376" t="s">
        <v>1315</v>
      </c>
      <c r="C2376" t="s">
        <v>653</v>
      </c>
      <c r="D2376" t="s">
        <v>27</v>
      </c>
      <c r="E2376" t="s">
        <v>22</v>
      </c>
      <c r="F2376" s="79">
        <v>45838</v>
      </c>
      <c r="G2376">
        <v>2025</v>
      </c>
      <c r="H2376" t="s">
        <v>699</v>
      </c>
      <c r="I2376" t="s">
        <v>700</v>
      </c>
      <c r="J2376">
        <v>100</v>
      </c>
      <c r="K2376">
        <v>118</v>
      </c>
      <c r="L2376" s="39">
        <f t="shared" si="151"/>
        <v>1.18</v>
      </c>
      <c r="M2376" s="39">
        <f t="shared" si="152"/>
        <v>1.18</v>
      </c>
      <c r="N2376" t="s">
        <v>128</v>
      </c>
      <c r="O2376" t="s">
        <v>136</v>
      </c>
      <c r="P2376">
        <v>0</v>
      </c>
      <c r="Q2376">
        <v>1</v>
      </c>
      <c r="R2376" t="s">
        <v>3096</v>
      </c>
    </row>
    <row r="2377" spans="1:18" hidden="1" x14ac:dyDescent="0.3">
      <c r="A2377">
        <v>467</v>
      </c>
      <c r="B2377" t="s">
        <v>1315</v>
      </c>
      <c r="C2377" t="s">
        <v>653</v>
      </c>
      <c r="D2377" t="s">
        <v>21</v>
      </c>
      <c r="E2377" t="s">
        <v>22</v>
      </c>
      <c r="F2377" s="79">
        <v>46022</v>
      </c>
      <c r="G2377">
        <v>2025</v>
      </c>
      <c r="H2377" t="s">
        <v>23</v>
      </c>
      <c r="I2377" t="s">
        <v>32</v>
      </c>
      <c r="J2377">
        <v>100</v>
      </c>
      <c r="K2377">
        <v>99.5</v>
      </c>
      <c r="L2377" s="39">
        <f t="shared" si="151"/>
        <v>0.995</v>
      </c>
      <c r="M2377" s="39">
        <f t="shared" si="152"/>
        <v>0.995</v>
      </c>
      <c r="N2377" t="s">
        <v>128</v>
      </c>
      <c r="O2377" t="s">
        <v>136</v>
      </c>
      <c r="P2377">
        <v>0</v>
      </c>
      <c r="Q2377">
        <v>1</v>
      </c>
      <c r="R2377" t="s">
        <v>1317</v>
      </c>
    </row>
    <row r="2378" spans="1:18" hidden="1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45473</v>
      </c>
      <c r="G2378">
        <v>2024</v>
      </c>
      <c r="H2378" t="s">
        <v>699</v>
      </c>
      <c r="I2378" t="s">
        <v>729</v>
      </c>
      <c r="J2378">
        <v>3</v>
      </c>
      <c r="K2378">
        <v>2.85</v>
      </c>
      <c r="L2378" s="39">
        <f t="shared" si="151"/>
        <v>1.0526315789473684</v>
      </c>
      <c r="M2378" s="39">
        <f t="shared" si="152"/>
        <v>1.0526315789473684</v>
      </c>
      <c r="N2378" t="s">
        <v>128</v>
      </c>
      <c r="O2378" t="s">
        <v>136</v>
      </c>
      <c r="P2378">
        <v>0</v>
      </c>
      <c r="Q2378">
        <v>1</v>
      </c>
      <c r="R2378" t="s">
        <v>3097</v>
      </c>
    </row>
    <row r="2379" spans="1:18" hidden="1" x14ac:dyDescent="0.3">
      <c r="A2379">
        <v>468</v>
      </c>
      <c r="B2379" t="s">
        <v>1318</v>
      </c>
      <c r="C2379" t="s">
        <v>653</v>
      </c>
      <c r="D2379" t="s">
        <v>27</v>
      </c>
      <c r="E2379" t="s">
        <v>41</v>
      </c>
      <c r="F2379" s="79">
        <v>45657</v>
      </c>
      <c r="G2379">
        <v>2024</v>
      </c>
      <c r="H2379" t="s">
        <v>23</v>
      </c>
      <c r="I2379" t="s">
        <v>30</v>
      </c>
      <c r="J2379">
        <v>3</v>
      </c>
      <c r="K2379">
        <v>2.6</v>
      </c>
      <c r="L2379" s="39">
        <f t="shared" si="151"/>
        <v>1.1538461538461537</v>
      </c>
      <c r="M2379" s="39">
        <f t="shared" si="152"/>
        <v>1.1538461538461537</v>
      </c>
      <c r="N2379" t="s">
        <v>128</v>
      </c>
      <c r="O2379" t="s">
        <v>136</v>
      </c>
      <c r="P2379">
        <v>0</v>
      </c>
      <c r="Q2379">
        <v>1</v>
      </c>
      <c r="R2379" t="s">
        <v>1319</v>
      </c>
    </row>
    <row r="2380" spans="1:18" hidden="1" x14ac:dyDescent="0.3">
      <c r="A2380">
        <v>468</v>
      </c>
      <c r="B2380" t="s">
        <v>1318</v>
      </c>
      <c r="C2380" t="s">
        <v>653</v>
      </c>
      <c r="D2380" t="s">
        <v>27</v>
      </c>
      <c r="E2380" t="s">
        <v>41</v>
      </c>
      <c r="F2380" s="79">
        <v>45838</v>
      </c>
      <c r="G2380">
        <v>2025</v>
      </c>
      <c r="H2380" t="s">
        <v>699</v>
      </c>
      <c r="I2380" t="s">
        <v>700</v>
      </c>
      <c r="J2380">
        <v>2.5</v>
      </c>
      <c r="K2380">
        <v>2.4</v>
      </c>
      <c r="L2380" s="39">
        <f t="shared" si="151"/>
        <v>1.0416666666666667</v>
      </c>
      <c r="M2380" s="39">
        <f t="shared" si="152"/>
        <v>1.0416666666666667</v>
      </c>
      <c r="N2380" t="s">
        <v>136</v>
      </c>
      <c r="O2380" t="s">
        <v>136</v>
      </c>
      <c r="P2380">
        <v>1</v>
      </c>
      <c r="Q2380">
        <v>1</v>
      </c>
      <c r="R2380" t="s">
        <v>3098</v>
      </c>
    </row>
    <row r="2381" spans="1:18" hidden="1" x14ac:dyDescent="0.3">
      <c r="A2381">
        <v>468</v>
      </c>
      <c r="B2381" t="s">
        <v>1318</v>
      </c>
      <c r="C2381" t="s">
        <v>653</v>
      </c>
      <c r="D2381" t="s">
        <v>21</v>
      </c>
      <c r="E2381" t="s">
        <v>41</v>
      </c>
      <c r="F2381" s="79">
        <v>46022</v>
      </c>
      <c r="G2381">
        <v>2025</v>
      </c>
      <c r="H2381" t="s">
        <v>23</v>
      </c>
      <c r="I2381" t="s">
        <v>32</v>
      </c>
      <c r="J2381">
        <v>2.5</v>
      </c>
      <c r="K2381">
        <v>2.1</v>
      </c>
      <c r="L2381" s="39">
        <f t="shared" si="151"/>
        <v>1.1904761904761905</v>
      </c>
      <c r="M2381" s="39">
        <f t="shared" si="152"/>
        <v>1.1904761904761905</v>
      </c>
      <c r="N2381" t="s">
        <v>136</v>
      </c>
      <c r="O2381" t="s">
        <v>136</v>
      </c>
      <c r="P2381">
        <v>1</v>
      </c>
      <c r="Q2381">
        <v>1</v>
      </c>
      <c r="R2381" t="s">
        <v>1320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45382</v>
      </c>
      <c r="G2382">
        <v>2024</v>
      </c>
      <c r="H2382" t="s">
        <v>1516</v>
      </c>
      <c r="I2382" t="s">
        <v>729</v>
      </c>
      <c r="J2382">
        <v>100</v>
      </c>
      <c r="K2382">
        <v>195.07</v>
      </c>
      <c r="L2382" s="39">
        <f t="shared" ref="L2382:L2405" si="153">IFERROR(IF(OR(J2382=0,K2382=""),"",IF(E2382="Positivo",MIN(MAX(K2382/J2382,0),1),MIN(MAX(J2382/K2382,0),1))),"")</f>
        <v>1</v>
      </c>
      <c r="M2382" s="39">
        <f t="shared" si="152"/>
        <v>1.9506999999999999</v>
      </c>
      <c r="N2382" t="s">
        <v>25</v>
      </c>
      <c r="O2382" t="s">
        <v>25</v>
      </c>
      <c r="P2382">
        <v>1</v>
      </c>
      <c r="Q2382">
        <v>1</v>
      </c>
      <c r="R2382" t="s">
        <v>3099</v>
      </c>
    </row>
    <row r="2383" spans="1:18" hidden="1" x14ac:dyDescent="0.3">
      <c r="A2383">
        <v>469</v>
      </c>
      <c r="B2383" t="s">
        <v>1176</v>
      </c>
      <c r="C2383" t="s">
        <v>3100</v>
      </c>
      <c r="D2383" t="s">
        <v>21</v>
      </c>
      <c r="E2383" t="s">
        <v>22</v>
      </c>
      <c r="F2383" s="79">
        <v>45473</v>
      </c>
      <c r="G2383">
        <v>2024</v>
      </c>
      <c r="H2383" t="s">
        <v>699</v>
      </c>
      <c r="I2383" t="s">
        <v>729</v>
      </c>
      <c r="J2383">
        <v>100</v>
      </c>
      <c r="K2383">
        <v>114.33</v>
      </c>
      <c r="L2383" s="39">
        <f t="shared" si="153"/>
        <v>1</v>
      </c>
      <c r="M2383" s="39">
        <f t="shared" si="152"/>
        <v>1.1433</v>
      </c>
      <c r="N2383" t="s">
        <v>25</v>
      </c>
      <c r="O2383" t="s">
        <v>25</v>
      </c>
      <c r="P2383">
        <v>0</v>
      </c>
      <c r="Q2383">
        <v>0</v>
      </c>
      <c r="R2383" t="s">
        <v>3101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21</v>
      </c>
      <c r="E2384" t="s">
        <v>22</v>
      </c>
      <c r="F2384" s="79">
        <v>45565</v>
      </c>
      <c r="G2384">
        <v>2024</v>
      </c>
      <c r="H2384" t="s">
        <v>162</v>
      </c>
      <c r="I2384" t="s">
        <v>30</v>
      </c>
      <c r="J2384">
        <v>100</v>
      </c>
      <c r="K2384">
        <v>94.86</v>
      </c>
      <c r="L2384" s="39">
        <f t="shared" si="153"/>
        <v>0.9486</v>
      </c>
      <c r="M2384" s="39">
        <f t="shared" si="152"/>
        <v>0.9486</v>
      </c>
      <c r="N2384" t="s">
        <v>25</v>
      </c>
      <c r="O2384" t="s">
        <v>25</v>
      </c>
      <c r="P2384">
        <v>0</v>
      </c>
      <c r="Q2384">
        <v>0</v>
      </c>
      <c r="R2384" t="s">
        <v>3102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21</v>
      </c>
      <c r="E2385" t="s">
        <v>22</v>
      </c>
      <c r="F2385" s="79">
        <v>45657</v>
      </c>
      <c r="G2385">
        <v>2024</v>
      </c>
      <c r="H2385" t="s">
        <v>23</v>
      </c>
      <c r="I2385" t="s">
        <v>30</v>
      </c>
      <c r="J2385">
        <v>100</v>
      </c>
      <c r="K2385">
        <v>99.7</v>
      </c>
      <c r="L2385" s="39">
        <f t="shared" si="153"/>
        <v>0.997</v>
      </c>
      <c r="M2385" s="39">
        <f t="shared" si="152"/>
        <v>0.997</v>
      </c>
      <c r="N2385" t="s">
        <v>25</v>
      </c>
      <c r="O2385" t="s">
        <v>25</v>
      </c>
      <c r="P2385">
        <v>0</v>
      </c>
      <c r="Q2385">
        <v>0</v>
      </c>
      <c r="R2385" t="s">
        <v>1321</v>
      </c>
    </row>
    <row r="2386" spans="1:18" hidden="1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45747</v>
      </c>
      <c r="G2386">
        <v>2025</v>
      </c>
      <c r="H2386" t="s">
        <v>1516</v>
      </c>
      <c r="I2386" t="s">
        <v>700</v>
      </c>
      <c r="J2386">
        <v>100</v>
      </c>
      <c r="K2386">
        <v>118.03</v>
      </c>
      <c r="L2386" s="39">
        <f t="shared" si="153"/>
        <v>1</v>
      </c>
      <c r="M2386" s="39">
        <f t="shared" si="152"/>
        <v>1.1802999999999999</v>
      </c>
      <c r="N2386" t="s">
        <v>25</v>
      </c>
      <c r="O2386" t="s">
        <v>25</v>
      </c>
      <c r="P2386">
        <v>0</v>
      </c>
      <c r="Q2386">
        <v>0</v>
      </c>
      <c r="R2386" t="s">
        <v>3103</v>
      </c>
    </row>
    <row r="2387" spans="1:18" hidden="1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45838</v>
      </c>
      <c r="G2387">
        <v>2025</v>
      </c>
      <c r="H2387" t="s">
        <v>699</v>
      </c>
      <c r="I2387" t="s">
        <v>700</v>
      </c>
      <c r="J2387">
        <v>100</v>
      </c>
      <c r="K2387">
        <v>103.52</v>
      </c>
      <c r="L2387" s="39">
        <f t="shared" si="153"/>
        <v>1</v>
      </c>
      <c r="M2387" s="39">
        <f t="shared" si="152"/>
        <v>1.0351999999999999</v>
      </c>
      <c r="N2387" t="s">
        <v>25</v>
      </c>
      <c r="O2387" t="s">
        <v>25</v>
      </c>
      <c r="P2387">
        <v>0</v>
      </c>
      <c r="Q2387">
        <v>0</v>
      </c>
      <c r="R2387" t="s">
        <v>3104</v>
      </c>
    </row>
    <row r="2388" spans="1:18" hidden="1" x14ac:dyDescent="0.3">
      <c r="A2388">
        <v>469</v>
      </c>
      <c r="B2388" t="s">
        <v>1176</v>
      </c>
      <c r="C2388" t="s">
        <v>567</v>
      </c>
      <c r="D2388" t="s">
        <v>27</v>
      </c>
      <c r="E2388" t="s">
        <v>22</v>
      </c>
      <c r="F2388" s="79">
        <v>45930</v>
      </c>
      <c r="G2388">
        <v>2025</v>
      </c>
      <c r="H2388" t="s">
        <v>162</v>
      </c>
      <c r="I2388" t="s">
        <v>32</v>
      </c>
      <c r="J2388">
        <v>100</v>
      </c>
      <c r="K2388">
        <v>92.65</v>
      </c>
      <c r="L2388" s="39">
        <f t="shared" si="153"/>
        <v>0.9265000000000001</v>
      </c>
      <c r="M2388" s="39">
        <f t="shared" si="152"/>
        <v>0.9265000000000001</v>
      </c>
      <c r="N2388" t="s">
        <v>25</v>
      </c>
      <c r="O2388" t="s">
        <v>25</v>
      </c>
      <c r="P2388">
        <v>0</v>
      </c>
      <c r="Q2388">
        <v>0</v>
      </c>
      <c r="R2388" t="s">
        <v>3105</v>
      </c>
    </row>
    <row r="2389" spans="1:18" hidden="1" x14ac:dyDescent="0.3">
      <c r="A2389">
        <v>469</v>
      </c>
      <c r="B2389" t="s">
        <v>1176</v>
      </c>
      <c r="C2389" t="s">
        <v>567</v>
      </c>
      <c r="D2389" t="s">
        <v>27</v>
      </c>
      <c r="E2389" t="s">
        <v>22</v>
      </c>
      <c r="F2389" s="79">
        <v>46022</v>
      </c>
      <c r="G2389">
        <v>2025</v>
      </c>
      <c r="H2389" t="s">
        <v>23</v>
      </c>
      <c r="I2389" t="s">
        <v>32</v>
      </c>
      <c r="J2389">
        <v>100</v>
      </c>
      <c r="K2389">
        <v>99.13</v>
      </c>
      <c r="L2389" s="39">
        <f t="shared" si="153"/>
        <v>0.99129999999999996</v>
      </c>
      <c r="M2389" s="39">
        <f t="shared" si="152"/>
        <v>0.99129999999999996</v>
      </c>
      <c r="N2389" t="s">
        <v>25</v>
      </c>
      <c r="O2389" t="s">
        <v>25</v>
      </c>
      <c r="P2389">
        <v>0</v>
      </c>
      <c r="Q2389">
        <v>0</v>
      </c>
      <c r="R2389" t="s">
        <v>1322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45382</v>
      </c>
      <c r="G2390">
        <v>2024</v>
      </c>
      <c r="H2390" t="s">
        <v>1516</v>
      </c>
      <c r="I2390" t="s">
        <v>729</v>
      </c>
      <c r="J2390">
        <v>100</v>
      </c>
      <c r="K2390">
        <v>79.599999999999994</v>
      </c>
      <c r="L2390" s="39">
        <f t="shared" si="153"/>
        <v>0.79599999999999993</v>
      </c>
      <c r="M2390" s="39">
        <f t="shared" si="152"/>
        <v>0.79599999999999993</v>
      </c>
      <c r="N2390" t="s">
        <v>25</v>
      </c>
      <c r="O2390" t="s">
        <v>25</v>
      </c>
      <c r="P2390">
        <v>0</v>
      </c>
      <c r="Q2390">
        <v>0</v>
      </c>
      <c r="R2390" t="s">
        <v>3106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45473</v>
      </c>
      <c r="G2391">
        <v>2024</v>
      </c>
      <c r="H2391" t="s">
        <v>699</v>
      </c>
      <c r="I2391" t="s">
        <v>729</v>
      </c>
      <c r="J2391">
        <v>100</v>
      </c>
      <c r="K2391">
        <v>118.1</v>
      </c>
      <c r="L2391" s="39">
        <f t="shared" si="153"/>
        <v>1</v>
      </c>
      <c r="M2391" s="39">
        <f t="shared" si="152"/>
        <v>1.181</v>
      </c>
      <c r="N2391" t="s">
        <v>25</v>
      </c>
      <c r="O2391" t="s">
        <v>25</v>
      </c>
      <c r="P2391">
        <v>0</v>
      </c>
      <c r="Q2391">
        <v>0</v>
      </c>
      <c r="R2391" t="s">
        <v>3107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21</v>
      </c>
      <c r="E2392" t="s">
        <v>22</v>
      </c>
      <c r="F2392" s="79">
        <v>45565</v>
      </c>
      <c r="G2392">
        <v>2024</v>
      </c>
      <c r="H2392" t="s">
        <v>162</v>
      </c>
      <c r="I2392" t="s">
        <v>30</v>
      </c>
      <c r="J2392">
        <v>100</v>
      </c>
      <c r="K2392">
        <v>104.86</v>
      </c>
      <c r="L2392" s="39">
        <f t="shared" si="153"/>
        <v>1</v>
      </c>
      <c r="M2392" s="39">
        <f t="shared" si="152"/>
        <v>1.0486</v>
      </c>
      <c r="N2392" t="s">
        <v>25</v>
      </c>
      <c r="O2392" t="s">
        <v>25</v>
      </c>
      <c r="P2392">
        <v>0</v>
      </c>
      <c r="Q2392">
        <v>0</v>
      </c>
      <c r="R2392" t="s">
        <v>3108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21</v>
      </c>
      <c r="E2393" t="s">
        <v>22</v>
      </c>
      <c r="F2393" s="79">
        <v>45657</v>
      </c>
      <c r="G2393">
        <v>2024</v>
      </c>
      <c r="H2393" t="s">
        <v>23</v>
      </c>
      <c r="I2393" t="s">
        <v>30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1324</v>
      </c>
    </row>
    <row r="2394" spans="1:18" hidden="1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45747</v>
      </c>
      <c r="G2394">
        <v>2025</v>
      </c>
      <c r="H2394" t="s">
        <v>1516</v>
      </c>
      <c r="I2394" t="s">
        <v>700</v>
      </c>
      <c r="J2394">
        <v>100</v>
      </c>
      <c r="K2394">
        <v>352.81</v>
      </c>
      <c r="L2394" s="39">
        <f t="shared" si="153"/>
        <v>1</v>
      </c>
      <c r="M2394" s="39">
        <f t="shared" si="152"/>
        <v>3.5281000000000002</v>
      </c>
      <c r="N2394" t="s">
        <v>25</v>
      </c>
      <c r="O2394" t="s">
        <v>25</v>
      </c>
      <c r="P2394">
        <v>0</v>
      </c>
      <c r="Q2394">
        <v>0</v>
      </c>
      <c r="R2394" t="s">
        <v>3109</v>
      </c>
    </row>
    <row r="2395" spans="1:18" hidden="1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45838</v>
      </c>
      <c r="G2395">
        <v>2025</v>
      </c>
      <c r="H2395" t="s">
        <v>699</v>
      </c>
      <c r="I2395" t="s">
        <v>700</v>
      </c>
      <c r="J2395">
        <v>100</v>
      </c>
      <c r="K2395">
        <v>148.38</v>
      </c>
      <c r="L2395" s="39">
        <f t="shared" si="153"/>
        <v>1</v>
      </c>
      <c r="M2395" s="39">
        <f t="shared" si="152"/>
        <v>1.4838</v>
      </c>
      <c r="N2395" t="s">
        <v>25</v>
      </c>
      <c r="O2395" t="s">
        <v>25</v>
      </c>
      <c r="P2395">
        <v>0</v>
      </c>
      <c r="Q2395">
        <v>0</v>
      </c>
      <c r="R2395" t="s">
        <v>3110</v>
      </c>
    </row>
    <row r="2396" spans="1:18" hidden="1" x14ac:dyDescent="0.3">
      <c r="A2396">
        <v>470</v>
      </c>
      <c r="B2396" t="s">
        <v>1323</v>
      </c>
      <c r="C2396" t="s">
        <v>567</v>
      </c>
      <c r="D2396" t="s">
        <v>27</v>
      </c>
      <c r="E2396" t="s">
        <v>22</v>
      </c>
      <c r="F2396" s="79">
        <v>45930</v>
      </c>
      <c r="G2396">
        <v>2025</v>
      </c>
      <c r="H2396" t="s">
        <v>162</v>
      </c>
      <c r="I2396" t="s">
        <v>32</v>
      </c>
      <c r="J2396">
        <v>100</v>
      </c>
      <c r="K2396">
        <v>105.6</v>
      </c>
      <c r="L2396" s="39">
        <f t="shared" si="153"/>
        <v>1</v>
      </c>
      <c r="M2396" s="39">
        <f t="shared" si="152"/>
        <v>1.056</v>
      </c>
      <c r="N2396" t="s">
        <v>25</v>
      </c>
      <c r="O2396" t="s">
        <v>25</v>
      </c>
      <c r="P2396">
        <v>0</v>
      </c>
      <c r="Q2396">
        <v>0</v>
      </c>
      <c r="R2396" t="s">
        <v>3111</v>
      </c>
    </row>
    <row r="2397" spans="1:18" hidden="1" x14ac:dyDescent="0.3">
      <c r="A2397">
        <v>470</v>
      </c>
      <c r="B2397" t="s">
        <v>1323</v>
      </c>
      <c r="C2397" t="s">
        <v>567</v>
      </c>
      <c r="D2397" t="s">
        <v>27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100</v>
      </c>
      <c r="K2397">
        <v>100</v>
      </c>
      <c r="L2397" s="39">
        <f t="shared" si="153"/>
        <v>1</v>
      </c>
      <c r="M2397" s="39">
        <f t="shared" si="152"/>
        <v>1</v>
      </c>
      <c r="N2397" t="s">
        <v>25</v>
      </c>
      <c r="O2397" t="s">
        <v>25</v>
      </c>
      <c r="P2397">
        <v>0</v>
      </c>
      <c r="Q2397">
        <v>0</v>
      </c>
      <c r="R2397" t="s">
        <v>1325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45382</v>
      </c>
      <c r="G2398">
        <v>2024</v>
      </c>
      <c r="H2398" t="s">
        <v>1516</v>
      </c>
      <c r="I2398" t="s">
        <v>729</v>
      </c>
      <c r="J2398">
        <v>100</v>
      </c>
      <c r="K2398">
        <v>108.48</v>
      </c>
      <c r="L2398" s="39">
        <f t="shared" si="153"/>
        <v>1</v>
      </c>
      <c r="M2398" s="39">
        <f t="shared" si="152"/>
        <v>1.0848</v>
      </c>
      <c r="N2398" t="s">
        <v>25</v>
      </c>
      <c r="O2398" t="s">
        <v>25</v>
      </c>
      <c r="P2398">
        <v>0</v>
      </c>
      <c r="Q2398">
        <v>0</v>
      </c>
      <c r="R2398" t="s">
        <v>3112</v>
      </c>
    </row>
    <row r="2399" spans="1:18" hidden="1" x14ac:dyDescent="0.3">
      <c r="A2399">
        <v>471</v>
      </c>
      <c r="B2399" t="s">
        <v>1326</v>
      </c>
      <c r="C2399" t="s">
        <v>40</v>
      </c>
      <c r="D2399" t="s">
        <v>21</v>
      </c>
      <c r="E2399" t="s">
        <v>22</v>
      </c>
      <c r="F2399" s="79">
        <v>45473</v>
      </c>
      <c r="G2399">
        <v>2024</v>
      </c>
      <c r="H2399" t="s">
        <v>699</v>
      </c>
      <c r="I2399" t="s">
        <v>729</v>
      </c>
      <c r="J2399">
        <v>100</v>
      </c>
      <c r="K2399">
        <v>105.56</v>
      </c>
      <c r="L2399" s="39">
        <f t="shared" si="153"/>
        <v>1</v>
      </c>
      <c r="M2399" s="39">
        <f t="shared" si="152"/>
        <v>1.0556000000000001</v>
      </c>
      <c r="N2399" t="s">
        <v>25</v>
      </c>
      <c r="O2399" t="s">
        <v>25</v>
      </c>
      <c r="P2399">
        <v>0</v>
      </c>
      <c r="Q2399">
        <v>0</v>
      </c>
      <c r="R2399" t="s">
        <v>3113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21</v>
      </c>
      <c r="E2400" t="s">
        <v>22</v>
      </c>
      <c r="F2400" s="79">
        <v>45565</v>
      </c>
      <c r="G2400">
        <v>2024</v>
      </c>
      <c r="H2400" t="s">
        <v>162</v>
      </c>
      <c r="I2400" t="s">
        <v>30</v>
      </c>
      <c r="J2400">
        <v>100</v>
      </c>
      <c r="K2400">
        <v>91.07</v>
      </c>
      <c r="L2400" s="39">
        <f t="shared" si="153"/>
        <v>0.91069999999999995</v>
      </c>
      <c r="M2400" s="39">
        <f t="shared" si="152"/>
        <v>0.91069999999999995</v>
      </c>
      <c r="N2400" t="s">
        <v>25</v>
      </c>
      <c r="O2400" t="s">
        <v>25</v>
      </c>
      <c r="P2400">
        <v>0</v>
      </c>
      <c r="Q2400">
        <v>0</v>
      </c>
      <c r="R2400" t="s">
        <v>3114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21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99</v>
      </c>
      <c r="L2401" s="39">
        <f t="shared" si="153"/>
        <v>0.99</v>
      </c>
      <c r="M2401" s="39">
        <f t="shared" si="152"/>
        <v>0.99</v>
      </c>
      <c r="N2401" t="s">
        <v>25</v>
      </c>
      <c r="O2401" t="s">
        <v>25</v>
      </c>
      <c r="P2401">
        <v>0</v>
      </c>
      <c r="Q2401">
        <v>0</v>
      </c>
      <c r="R2401" t="s">
        <v>1327</v>
      </c>
    </row>
    <row r="2402" spans="1:19" hidden="1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45747</v>
      </c>
      <c r="G2402">
        <v>2025</v>
      </c>
      <c r="H2402" t="s">
        <v>1516</v>
      </c>
      <c r="I2402" t="s">
        <v>700</v>
      </c>
      <c r="J2402">
        <v>100</v>
      </c>
      <c r="K2402">
        <v>103.51</v>
      </c>
      <c r="L2402" s="39">
        <f t="shared" si="153"/>
        <v>1</v>
      </c>
      <c r="M2402" s="39">
        <f t="shared" si="152"/>
        <v>1.0351000000000001</v>
      </c>
      <c r="N2402" t="s">
        <v>25</v>
      </c>
      <c r="O2402" t="s">
        <v>25</v>
      </c>
      <c r="P2402">
        <v>0</v>
      </c>
      <c r="Q2402">
        <v>0</v>
      </c>
      <c r="R2402" t="s">
        <v>3115</v>
      </c>
    </row>
    <row r="2403" spans="1:19" hidden="1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45838</v>
      </c>
      <c r="G2403">
        <v>2025</v>
      </c>
      <c r="H2403" t="s">
        <v>699</v>
      </c>
      <c r="I2403" t="s">
        <v>700</v>
      </c>
      <c r="J2403">
        <v>100</v>
      </c>
      <c r="K2403">
        <v>94.02</v>
      </c>
      <c r="L2403" s="39">
        <f t="shared" si="153"/>
        <v>0.94019999999999992</v>
      </c>
      <c r="M2403" s="39">
        <f t="shared" ref="M2403:M2412" si="154">IFERROR(IF(OR(J2403=0,K2403=""),"",IF(E2403="Positivo",MAX(K2403/J2403,0),MAX(J2403/K2403,0))),"")</f>
        <v>0.94019999999999992</v>
      </c>
      <c r="N2403" t="s">
        <v>25</v>
      </c>
      <c r="O2403" t="s">
        <v>25</v>
      </c>
      <c r="P2403">
        <v>0</v>
      </c>
      <c r="Q2403">
        <v>0</v>
      </c>
      <c r="R2403" t="s">
        <v>3116</v>
      </c>
    </row>
    <row r="2404" spans="1:19" hidden="1" x14ac:dyDescent="0.3">
      <c r="A2404">
        <v>471</v>
      </c>
      <c r="B2404" t="s">
        <v>1326</v>
      </c>
      <c r="C2404" t="s">
        <v>567</v>
      </c>
      <c r="D2404" t="s">
        <v>27</v>
      </c>
      <c r="E2404" t="s">
        <v>22</v>
      </c>
      <c r="F2404" s="79">
        <v>45930</v>
      </c>
      <c r="G2404">
        <v>2025</v>
      </c>
      <c r="H2404" t="s">
        <v>162</v>
      </c>
      <c r="I2404" t="s">
        <v>32</v>
      </c>
      <c r="J2404">
        <v>100</v>
      </c>
      <c r="K2404">
        <v>98.93</v>
      </c>
      <c r="L2404" s="39">
        <f t="shared" si="153"/>
        <v>0.98930000000000007</v>
      </c>
      <c r="M2404" s="39">
        <f t="shared" si="154"/>
        <v>0.98930000000000007</v>
      </c>
      <c r="N2404" t="s">
        <v>25</v>
      </c>
      <c r="O2404" t="s">
        <v>25</v>
      </c>
      <c r="P2404">
        <v>0</v>
      </c>
      <c r="Q2404">
        <v>0</v>
      </c>
      <c r="R2404" t="s">
        <v>3117</v>
      </c>
    </row>
    <row r="2405" spans="1:19" hidden="1" x14ac:dyDescent="0.3">
      <c r="A2405">
        <v>471</v>
      </c>
      <c r="B2405" t="s">
        <v>1326</v>
      </c>
      <c r="C2405" t="s">
        <v>567</v>
      </c>
      <c r="D2405" t="s">
        <v>27</v>
      </c>
      <c r="E2405" t="s">
        <v>22</v>
      </c>
      <c r="F2405" s="79">
        <v>46022</v>
      </c>
      <c r="G2405">
        <v>2025</v>
      </c>
      <c r="H2405" t="s">
        <v>23</v>
      </c>
      <c r="I2405" t="s">
        <v>32</v>
      </c>
      <c r="J2405">
        <v>100</v>
      </c>
      <c r="K2405">
        <v>99.86</v>
      </c>
      <c r="L2405" s="39">
        <f t="shared" si="153"/>
        <v>0.99860000000000004</v>
      </c>
      <c r="M2405" s="39">
        <f t="shared" si="154"/>
        <v>0.99860000000000004</v>
      </c>
      <c r="N2405" t="s">
        <v>25</v>
      </c>
      <c r="O2405" t="s">
        <v>25</v>
      </c>
      <c r="P2405">
        <v>0</v>
      </c>
      <c r="Q2405">
        <v>0</v>
      </c>
      <c r="R2405" t="s">
        <v>1328</v>
      </c>
    </row>
    <row r="2406" spans="1:19" hidden="1" x14ac:dyDescent="0.3">
      <c r="A2406">
        <v>472</v>
      </c>
      <c r="B2406" t="s">
        <v>1329</v>
      </c>
      <c r="C2406" t="s">
        <v>922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82.1</v>
      </c>
      <c r="L2406" s="39">
        <f t="shared" ref="L2406:L2412" si="155">IFERROR(IF(OR(J2406=0,K2406=""),"",IF(E2406="Positivo",MIN(MAX(K2406/J2406,0),1.3),MIN(MAX(J2406/K2406,0),1.3))),"")</f>
        <v>0.82099999999999995</v>
      </c>
      <c r="M2406" s="39">
        <f t="shared" si="154"/>
        <v>0.82099999999999995</v>
      </c>
      <c r="N2406" t="s">
        <v>25</v>
      </c>
      <c r="O2406" t="s">
        <v>25</v>
      </c>
      <c r="P2406">
        <v>0</v>
      </c>
      <c r="Q2406">
        <v>0</v>
      </c>
      <c r="R2406" t="s">
        <v>3118</v>
      </c>
    </row>
    <row r="2407" spans="1:19" hidden="1" x14ac:dyDescent="0.3">
      <c r="A2407">
        <v>472</v>
      </c>
      <c r="B2407" t="s">
        <v>1329</v>
      </c>
      <c r="C2407" t="s">
        <v>922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25</v>
      </c>
      <c r="O2407" t="s">
        <v>25</v>
      </c>
      <c r="P2407">
        <v>0</v>
      </c>
      <c r="Q2407">
        <v>0</v>
      </c>
      <c r="R2407" t="s">
        <v>1330</v>
      </c>
    </row>
    <row r="2408" spans="1:19" hidden="1" x14ac:dyDescent="0.3">
      <c r="A2408">
        <v>473</v>
      </c>
      <c r="B2408" t="s">
        <v>3119</v>
      </c>
      <c r="C2408" t="s">
        <v>549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3120</v>
      </c>
    </row>
    <row r="2409" spans="1:19" hidden="1" x14ac:dyDescent="0.3">
      <c r="A2409">
        <v>473</v>
      </c>
      <c r="B2409" t="s">
        <v>1331</v>
      </c>
      <c r="C2409" t="s">
        <v>549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1332</v>
      </c>
    </row>
    <row r="2410" spans="1:19" hidden="1" x14ac:dyDescent="0.3">
      <c r="A2410">
        <v>473</v>
      </c>
      <c r="B2410" t="s">
        <v>1331</v>
      </c>
      <c r="C2410" t="s">
        <v>549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1333</v>
      </c>
    </row>
    <row r="2411" spans="1:19" hidden="1" x14ac:dyDescent="0.3">
      <c r="A2411">
        <v>474</v>
      </c>
      <c r="B2411" t="s">
        <v>3121</v>
      </c>
      <c r="C2411" t="s">
        <v>1059</v>
      </c>
      <c r="D2411" t="s">
        <v>27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J2411">
        <v>100</v>
      </c>
      <c r="K2411">
        <v>100</v>
      </c>
      <c r="L2411" s="39">
        <f t="shared" si="155"/>
        <v>1</v>
      </c>
      <c r="M2411" s="39">
        <f t="shared" si="154"/>
        <v>1</v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474</v>
      </c>
      <c r="B2412" t="s">
        <v>1334</v>
      </c>
      <c r="C2412" t="s">
        <v>1059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100</v>
      </c>
      <c r="K2412">
        <v>100</v>
      </c>
      <c r="L2412" s="39">
        <f t="shared" si="155"/>
        <v>1</v>
      </c>
      <c r="M2412" s="39">
        <f t="shared" si="154"/>
        <v>1</v>
      </c>
      <c r="N2412" t="s">
        <v>128</v>
      </c>
      <c r="O2412" t="s">
        <v>128</v>
      </c>
      <c r="P2412">
        <v>0</v>
      </c>
      <c r="Q2412">
        <v>0</v>
      </c>
      <c r="R2412" t="s">
        <v>1335</v>
      </c>
    </row>
    <row r="2413" spans="1:19" hidden="1" x14ac:dyDescent="0.3">
      <c r="A2413">
        <v>474</v>
      </c>
      <c r="B2413" t="s">
        <v>1334</v>
      </c>
      <c r="C2413" t="s">
        <v>1059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K2413">
        <v>0</v>
      </c>
      <c r="L2413" s="39"/>
      <c r="M2413" s="39"/>
      <c r="N2413" t="s">
        <v>128</v>
      </c>
      <c r="O2413" t="s">
        <v>128</v>
      </c>
      <c r="P2413">
        <v>0</v>
      </c>
      <c r="Q2413">
        <v>0</v>
      </c>
      <c r="R2413" t="s">
        <v>3123</v>
      </c>
    </row>
    <row r="2414" spans="1:19" hidden="1" x14ac:dyDescent="0.3">
      <c r="A2414">
        <v>474</v>
      </c>
      <c r="B2414" t="s">
        <v>1334</v>
      </c>
      <c r="C2414" t="s">
        <v>1059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L2414" s="39"/>
      <c r="M2414" s="39"/>
      <c r="N2414" t="s">
        <v>128</v>
      </c>
      <c r="O2414" t="s">
        <v>302</v>
      </c>
      <c r="P2414">
        <v>0</v>
      </c>
      <c r="Q2414">
        <v>0</v>
      </c>
      <c r="R2414" t="s">
        <v>1336</v>
      </c>
      <c r="S2414" t="s">
        <v>302</v>
      </c>
    </row>
    <row r="2415" spans="1:19" hidden="1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0</v>
      </c>
      <c r="L2415" s="39">
        <f t="shared" ref="L2415:L2424" si="156">IFERROR(IF(OR(J2415=0,K2415=""),"",IF(E2415="Positivo",MIN(MAX(K2415/J2415,0),1.3),MIN(MAX(J2415/K2415,0),1.3))),"")</f>
        <v>0</v>
      </c>
      <c r="M2415" s="39">
        <f t="shared" ref="M2415:M2424" si="157">IFERROR(IF(OR(J2415=0,K2415=""),"",IF(E2415="Positivo",MAX(K2415/J2415,0),MAX(J2415/K2415,0))),"")</f>
        <v>0</v>
      </c>
      <c r="N2415" t="s">
        <v>128</v>
      </c>
      <c r="O2415" t="s">
        <v>128</v>
      </c>
      <c r="P2415">
        <v>0</v>
      </c>
      <c r="Q2415">
        <v>0</v>
      </c>
      <c r="R2415" t="s">
        <v>3124</v>
      </c>
    </row>
    <row r="2416" spans="1:19" hidden="1" x14ac:dyDescent="0.3">
      <c r="A2416">
        <v>475</v>
      </c>
      <c r="B2416" t="s">
        <v>1337</v>
      </c>
      <c r="C2416" t="s">
        <v>819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140</v>
      </c>
      <c r="L2416" s="39">
        <f t="shared" si="156"/>
        <v>1.3</v>
      </c>
      <c r="M2416" s="39">
        <f t="shared" si="157"/>
        <v>1.4</v>
      </c>
      <c r="P2416">
        <v>0</v>
      </c>
      <c r="Q2416">
        <v>0</v>
      </c>
      <c r="R2416" t="s">
        <v>1338</v>
      </c>
    </row>
    <row r="2417" spans="1:19" hidden="1" x14ac:dyDescent="0.3">
      <c r="A2417">
        <v>475</v>
      </c>
      <c r="B2417" t="s">
        <v>1337</v>
      </c>
      <c r="C2417" t="s">
        <v>819</v>
      </c>
      <c r="D2417" t="s">
        <v>21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0</v>
      </c>
      <c r="L2417" s="39">
        <f t="shared" si="156"/>
        <v>0</v>
      </c>
      <c r="M2417" s="39">
        <f t="shared" si="157"/>
        <v>0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475</v>
      </c>
      <c r="B2418" t="s">
        <v>1337</v>
      </c>
      <c r="C2418" t="s">
        <v>819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1339</v>
      </c>
    </row>
    <row r="2419" spans="1:19" hidden="1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476</v>
      </c>
      <c r="B2420" t="s">
        <v>1340</v>
      </c>
      <c r="C2420" t="s">
        <v>549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1341</v>
      </c>
    </row>
    <row r="2421" spans="1:19" hidden="1" x14ac:dyDescent="0.3">
      <c r="A2421">
        <v>476</v>
      </c>
      <c r="B2421" t="s">
        <v>1340</v>
      </c>
      <c r="C2421" t="s">
        <v>549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N2421" t="s">
        <v>128</v>
      </c>
      <c r="O2421" t="s">
        <v>128</v>
      </c>
      <c r="P2421">
        <v>0</v>
      </c>
      <c r="Q2421">
        <v>0</v>
      </c>
      <c r="R2421" t="s">
        <v>3127</v>
      </c>
    </row>
    <row r="2422" spans="1:19" hidden="1" x14ac:dyDescent="0.3">
      <c r="A2422">
        <v>476</v>
      </c>
      <c r="B2422" t="s">
        <v>1340</v>
      </c>
      <c r="C2422" t="s">
        <v>549</v>
      </c>
      <c r="D2422" t="s">
        <v>21</v>
      </c>
      <c r="E2422" t="s">
        <v>22</v>
      </c>
      <c r="F2422" s="79">
        <v>46022</v>
      </c>
      <c r="G2422">
        <v>2025</v>
      </c>
      <c r="H2422" t="s">
        <v>23</v>
      </c>
      <c r="I2422" t="s">
        <v>32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N2422" t="s">
        <v>128</v>
      </c>
      <c r="O2422" t="s">
        <v>128</v>
      </c>
      <c r="P2422">
        <v>0</v>
      </c>
      <c r="Q2422">
        <v>0</v>
      </c>
      <c r="R2422" t="s">
        <v>1342</v>
      </c>
    </row>
    <row r="2423" spans="1:19" hidden="1" x14ac:dyDescent="0.3">
      <c r="A2423">
        <v>477</v>
      </c>
      <c r="B2423" t="s">
        <v>1343</v>
      </c>
      <c r="C2423" t="s">
        <v>1059</v>
      </c>
      <c r="D2423" t="s">
        <v>27</v>
      </c>
      <c r="E2423" t="s">
        <v>22</v>
      </c>
      <c r="F2423" s="79">
        <v>45473</v>
      </c>
      <c r="G2423">
        <v>2024</v>
      </c>
      <c r="H2423" t="s">
        <v>699</v>
      </c>
      <c r="I2423" t="s">
        <v>729</v>
      </c>
      <c r="J2423">
        <v>100</v>
      </c>
      <c r="K2423">
        <v>100</v>
      </c>
      <c r="L2423" s="39">
        <f t="shared" si="156"/>
        <v>1</v>
      </c>
      <c r="M2423" s="39">
        <f t="shared" si="157"/>
        <v>1</v>
      </c>
      <c r="P2423">
        <v>0</v>
      </c>
      <c r="Q2423">
        <v>0</v>
      </c>
      <c r="R2423" t="s">
        <v>3128</v>
      </c>
    </row>
    <row r="2424" spans="1:19" hidden="1" x14ac:dyDescent="0.3">
      <c r="A2424">
        <v>477</v>
      </c>
      <c r="B2424" t="s">
        <v>1343</v>
      </c>
      <c r="C2424" t="s">
        <v>1059</v>
      </c>
      <c r="D2424" t="s">
        <v>27</v>
      </c>
      <c r="E2424" t="s">
        <v>22</v>
      </c>
      <c r="F2424" s="79">
        <v>45657</v>
      </c>
      <c r="G2424">
        <v>2024</v>
      </c>
      <c r="H2424" t="s">
        <v>23</v>
      </c>
      <c r="I2424" t="s">
        <v>30</v>
      </c>
      <c r="J2424">
        <v>100</v>
      </c>
      <c r="K2424">
        <v>100</v>
      </c>
      <c r="L2424" s="39">
        <f t="shared" si="156"/>
        <v>1</v>
      </c>
      <c r="M2424" s="39">
        <f t="shared" si="157"/>
        <v>1</v>
      </c>
      <c r="P2424">
        <v>0</v>
      </c>
      <c r="Q2424">
        <v>0</v>
      </c>
      <c r="R2424" t="s">
        <v>1344</v>
      </c>
    </row>
    <row r="2425" spans="1:19" hidden="1" x14ac:dyDescent="0.3">
      <c r="A2425">
        <v>477</v>
      </c>
      <c r="B2425" t="s">
        <v>1343</v>
      </c>
      <c r="C2425" t="s">
        <v>1059</v>
      </c>
      <c r="D2425" t="s">
        <v>21</v>
      </c>
      <c r="E2425" t="s">
        <v>22</v>
      </c>
      <c r="F2425" s="79">
        <v>45838</v>
      </c>
      <c r="G2425">
        <v>2025</v>
      </c>
      <c r="H2425" t="s">
        <v>699</v>
      </c>
      <c r="I2425" t="s">
        <v>700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3129</v>
      </c>
      <c r="S2425" t="s">
        <v>302</v>
      </c>
    </row>
    <row r="2426" spans="1:19" hidden="1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L2426" s="39"/>
      <c r="M2426" s="39"/>
      <c r="N2426" t="s">
        <v>128</v>
      </c>
      <c r="O2426" t="s">
        <v>302</v>
      </c>
      <c r="P2426">
        <v>0</v>
      </c>
      <c r="Q2426">
        <v>0</v>
      </c>
      <c r="R2426" t="s">
        <v>3130</v>
      </c>
      <c r="S2426" t="s">
        <v>302</v>
      </c>
    </row>
    <row r="2427" spans="1:19" hidden="1" x14ac:dyDescent="0.3">
      <c r="A2427">
        <v>478</v>
      </c>
      <c r="B2427" t="s">
        <v>1345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1346</v>
      </c>
    </row>
    <row r="2428" spans="1:19" hidden="1" x14ac:dyDescent="0.3">
      <c r="A2428">
        <v>478</v>
      </c>
      <c r="B2428" t="s">
        <v>1345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K2428">
        <v>0</v>
      </c>
      <c r="L2428" s="39"/>
      <c r="M2428" s="39"/>
      <c r="N2428" t="s">
        <v>128</v>
      </c>
      <c r="O2428" t="s">
        <v>128</v>
      </c>
      <c r="P2428">
        <v>0</v>
      </c>
      <c r="Q2428">
        <v>0</v>
      </c>
      <c r="R2428" t="s">
        <v>3131</v>
      </c>
    </row>
    <row r="2429" spans="1:19" hidden="1" x14ac:dyDescent="0.3">
      <c r="A2429">
        <v>478</v>
      </c>
      <c r="B2429" t="s">
        <v>1345</v>
      </c>
      <c r="C2429" t="s">
        <v>1059</v>
      </c>
      <c r="D2429" t="s">
        <v>21</v>
      </c>
      <c r="E2429" t="s">
        <v>22</v>
      </c>
      <c r="F2429" s="79">
        <v>46022</v>
      </c>
      <c r="G2429">
        <v>2025</v>
      </c>
      <c r="H2429" t="s">
        <v>23</v>
      </c>
      <c r="I2429" t="s">
        <v>32</v>
      </c>
      <c r="L2429" s="39"/>
      <c r="M2429" s="39"/>
      <c r="N2429" t="s">
        <v>128</v>
      </c>
      <c r="O2429" t="s">
        <v>302</v>
      </c>
      <c r="P2429">
        <v>0</v>
      </c>
      <c r="Q2429">
        <v>0</v>
      </c>
      <c r="R2429" t="s">
        <v>1347</v>
      </c>
      <c r="S2429" t="s">
        <v>302</v>
      </c>
    </row>
    <row r="2430" spans="1:19" hidden="1" x14ac:dyDescent="0.3">
      <c r="A2430">
        <v>479</v>
      </c>
      <c r="B2430" t="s">
        <v>1348</v>
      </c>
      <c r="C2430" t="s">
        <v>1059</v>
      </c>
      <c r="D2430" t="s">
        <v>27</v>
      </c>
      <c r="E2430" t="s">
        <v>22</v>
      </c>
      <c r="F2430" s="79">
        <v>45473</v>
      </c>
      <c r="G2430">
        <v>2024</v>
      </c>
      <c r="H2430" t="s">
        <v>699</v>
      </c>
      <c r="I2430" t="s">
        <v>729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3132</v>
      </c>
    </row>
    <row r="2431" spans="1:19" hidden="1" x14ac:dyDescent="0.3">
      <c r="A2431">
        <v>479</v>
      </c>
      <c r="B2431" t="s">
        <v>1348</v>
      </c>
      <c r="C2431" t="s">
        <v>1059</v>
      </c>
      <c r="D2431" t="s">
        <v>27</v>
      </c>
      <c r="E2431" t="s">
        <v>22</v>
      </c>
      <c r="F2431" s="79">
        <v>45657</v>
      </c>
      <c r="G2431">
        <v>2024</v>
      </c>
      <c r="H2431" t="s">
        <v>23</v>
      </c>
      <c r="I2431" t="s">
        <v>30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1349</v>
      </c>
    </row>
    <row r="2432" spans="1:19" hidden="1" x14ac:dyDescent="0.3">
      <c r="A2432">
        <v>479</v>
      </c>
      <c r="B2432" t="s">
        <v>1348</v>
      </c>
      <c r="C2432" t="s">
        <v>1059</v>
      </c>
      <c r="D2432" t="s">
        <v>21</v>
      </c>
      <c r="E2432" t="s">
        <v>22</v>
      </c>
      <c r="F2432" s="79">
        <v>45838</v>
      </c>
      <c r="G2432">
        <v>2025</v>
      </c>
      <c r="H2432" t="s">
        <v>699</v>
      </c>
      <c r="I2432" t="s">
        <v>700</v>
      </c>
      <c r="J2432">
        <v>100</v>
      </c>
      <c r="L2432" s="39"/>
      <c r="M2432" s="39"/>
      <c r="N2432" t="s">
        <v>128</v>
      </c>
      <c r="O2432" t="s">
        <v>302</v>
      </c>
      <c r="P2432">
        <v>0</v>
      </c>
      <c r="Q2432">
        <v>0</v>
      </c>
      <c r="R2432" t="s">
        <v>3133</v>
      </c>
      <c r="S2432" t="s">
        <v>302</v>
      </c>
    </row>
    <row r="2433" spans="1:19" hidden="1" x14ac:dyDescent="0.3">
      <c r="A2433">
        <v>480</v>
      </c>
      <c r="B2433" t="s">
        <v>1350</v>
      </c>
      <c r="C2433" t="s">
        <v>1059</v>
      </c>
      <c r="D2433" t="s">
        <v>27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100</v>
      </c>
      <c r="L2433" s="39">
        <f>IFERROR(IF(OR(J2433=0,K2433=""),"",IF(E2433="Positivo",MIN(MAX(K2433/J2433,0),1.3),MIN(MAX(J2433/K2433,0),1.3))),"")</f>
        <v>1</v>
      </c>
      <c r="M2433" s="39">
        <f>IFERROR(IF(OR(J2433=0,K2433=""),"",IF(E2433="Positivo",MAX(K2433/J2433,0),MAX(J2433/K2433,0))),"")</f>
        <v>1</v>
      </c>
      <c r="P2433">
        <v>0</v>
      </c>
      <c r="Q2433">
        <v>0</v>
      </c>
      <c r="R2433" t="s">
        <v>3134</v>
      </c>
    </row>
    <row r="2434" spans="1:19" hidden="1" x14ac:dyDescent="0.3">
      <c r="A2434">
        <v>480</v>
      </c>
      <c r="B2434" t="s">
        <v>1350</v>
      </c>
      <c r="C2434" t="s">
        <v>1059</v>
      </c>
      <c r="D2434" t="s">
        <v>27</v>
      </c>
      <c r="E2434" t="s">
        <v>22</v>
      </c>
      <c r="F2434" s="79">
        <v>45657</v>
      </c>
      <c r="G2434">
        <v>2024</v>
      </c>
      <c r="H2434" t="s">
        <v>23</v>
      </c>
      <c r="I2434" t="s">
        <v>30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1351</v>
      </c>
    </row>
    <row r="2435" spans="1:19" hidden="1" x14ac:dyDescent="0.3">
      <c r="A2435">
        <v>480</v>
      </c>
      <c r="B2435" t="s">
        <v>1350</v>
      </c>
      <c r="C2435" t="s">
        <v>1059</v>
      </c>
      <c r="D2435" t="s">
        <v>21</v>
      </c>
      <c r="E2435" t="s">
        <v>22</v>
      </c>
      <c r="F2435" s="79">
        <v>45838</v>
      </c>
      <c r="G2435">
        <v>2025</v>
      </c>
      <c r="H2435" t="s">
        <v>699</v>
      </c>
      <c r="I2435" t="s">
        <v>700</v>
      </c>
      <c r="J2435">
        <v>100</v>
      </c>
      <c r="L2435" s="39"/>
      <c r="M2435" s="39"/>
      <c r="N2435" t="s">
        <v>128</v>
      </c>
      <c r="O2435" t="s">
        <v>302</v>
      </c>
      <c r="P2435">
        <v>0</v>
      </c>
      <c r="Q2435">
        <v>0</v>
      </c>
      <c r="R2435" t="s">
        <v>3135</v>
      </c>
      <c r="S2435" t="s">
        <v>302</v>
      </c>
    </row>
    <row r="2436" spans="1:19" hidden="1" x14ac:dyDescent="0.3">
      <c r="A2436">
        <v>481</v>
      </c>
      <c r="B2436" t="s">
        <v>1352</v>
      </c>
      <c r="C2436" t="s">
        <v>549</v>
      </c>
      <c r="D2436" t="s">
        <v>27</v>
      </c>
      <c r="E2436" t="s">
        <v>22</v>
      </c>
      <c r="F2436" s="79">
        <v>45473</v>
      </c>
      <c r="G2436">
        <v>2024</v>
      </c>
      <c r="H2436" t="s">
        <v>699</v>
      </c>
      <c r="I2436" t="s">
        <v>729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P2436">
        <v>0</v>
      </c>
      <c r="Q2436">
        <v>0</v>
      </c>
      <c r="R2436" t="s">
        <v>3136</v>
      </c>
    </row>
    <row r="2437" spans="1:19" hidden="1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45657</v>
      </c>
      <c r="G2437">
        <v>2024</v>
      </c>
      <c r="H2437" t="s">
        <v>23</v>
      </c>
      <c r="I2437" t="s">
        <v>30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1353</v>
      </c>
      <c r="S2437" t="s">
        <v>302</v>
      </c>
    </row>
    <row r="2438" spans="1:19" hidden="1" x14ac:dyDescent="0.3">
      <c r="A2438">
        <v>481</v>
      </c>
      <c r="B2438" t="s">
        <v>1352</v>
      </c>
      <c r="C2438" t="s">
        <v>549</v>
      </c>
      <c r="D2438" t="s">
        <v>21</v>
      </c>
      <c r="E2438" t="s">
        <v>22</v>
      </c>
      <c r="F2438" s="79">
        <v>45838</v>
      </c>
      <c r="G2438">
        <v>2025</v>
      </c>
      <c r="H2438" t="s">
        <v>699</v>
      </c>
      <c r="I2438" t="s">
        <v>700</v>
      </c>
      <c r="J2438">
        <v>100</v>
      </c>
      <c r="K2438">
        <v>100</v>
      </c>
      <c r="L2438" s="39">
        <f>IFERROR(IF(OR(J2438=0,K2438=""),"",IF(E2438="Positivo",MIN(MAX(K2438/J2438,0),1.3),MIN(MAX(J2438/K2438,0),1.3))),"")</f>
        <v>1</v>
      </c>
      <c r="M2438" s="39">
        <f>IFERROR(IF(OR(J2438=0,K2438=""),"",IF(E2438="Positivo",MAX(K2438/J2438,0),MAX(J2438/K2438,0))),"")</f>
        <v>1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481</v>
      </c>
      <c r="B2439" t="s">
        <v>1352</v>
      </c>
      <c r="C2439" t="s">
        <v>549</v>
      </c>
      <c r="D2439" t="s">
        <v>21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L2439" s="39"/>
      <c r="M2439" s="39"/>
      <c r="N2439" t="s">
        <v>25</v>
      </c>
      <c r="O2439" t="s">
        <v>302</v>
      </c>
      <c r="P2439">
        <v>0</v>
      </c>
      <c r="Q2439">
        <v>0</v>
      </c>
      <c r="R2439" t="s">
        <v>1354</v>
      </c>
      <c r="S2439" t="s">
        <v>302</v>
      </c>
    </row>
    <row r="2440" spans="1:19" hidden="1" x14ac:dyDescent="0.3">
      <c r="A2440">
        <v>483</v>
      </c>
      <c r="B2440" t="s">
        <v>1355</v>
      </c>
      <c r="C2440" t="s">
        <v>1066</v>
      </c>
      <c r="D2440" t="s">
        <v>71</v>
      </c>
      <c r="E2440" t="s">
        <v>22</v>
      </c>
      <c r="F2440" s="79">
        <v>45657</v>
      </c>
      <c r="G2440">
        <v>2024</v>
      </c>
      <c r="H2440" t="s">
        <v>23</v>
      </c>
      <c r="I2440" t="s">
        <v>30</v>
      </c>
      <c r="J2440">
        <v>10</v>
      </c>
      <c r="K2440">
        <v>91.65</v>
      </c>
      <c r="L2440" s="39">
        <f t="shared" ref="L2440:L2447" si="158">IFERROR(IF(OR(J2440=0,K2440=""),"",IF(E2440="Positivo",MIN(MAX(K2440/J2440,0),1.3),MIN(MAX(J2440/K2440,0),1.3))),"")</f>
        <v>1.3</v>
      </c>
      <c r="M2440" s="39">
        <f t="shared" ref="M2440:M2447" si="159">IFERROR(IF(OR(J2440=0,K2440=""),"",IF(E2440="Positivo",MAX(K2440/J2440,0),MAX(J2440/K2440,0))),"")</f>
        <v>9.1650000000000009</v>
      </c>
      <c r="P2440">
        <v>0</v>
      </c>
      <c r="Q2440">
        <v>0</v>
      </c>
      <c r="R2440" t="s">
        <v>1356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45473</v>
      </c>
      <c r="G2441">
        <v>2024</v>
      </c>
      <c r="H2441" t="s">
        <v>699</v>
      </c>
      <c r="I2441" t="s">
        <v>729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3138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45565</v>
      </c>
      <c r="G2442">
        <v>2024</v>
      </c>
      <c r="H2442" t="s">
        <v>162</v>
      </c>
      <c r="I2442" t="s">
        <v>30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3139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1358</v>
      </c>
    </row>
    <row r="2444" spans="1:19" hidden="1" x14ac:dyDescent="0.3">
      <c r="A2444">
        <v>484</v>
      </c>
      <c r="B2444" t="s">
        <v>1357</v>
      </c>
      <c r="C2444" t="s">
        <v>70</v>
      </c>
      <c r="D2444" t="s">
        <v>21</v>
      </c>
      <c r="E2444" t="s">
        <v>22</v>
      </c>
      <c r="F2444" s="79">
        <v>45747</v>
      </c>
      <c r="G2444">
        <v>2025</v>
      </c>
      <c r="H2444" t="s">
        <v>1516</v>
      </c>
      <c r="I2444" t="s">
        <v>700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3140</v>
      </c>
    </row>
    <row r="2445" spans="1:19" hidden="1" x14ac:dyDescent="0.3">
      <c r="A2445">
        <v>484</v>
      </c>
      <c r="B2445" t="s">
        <v>1357</v>
      </c>
      <c r="C2445" t="s">
        <v>70</v>
      </c>
      <c r="D2445" t="s">
        <v>21</v>
      </c>
      <c r="E2445" t="s">
        <v>22</v>
      </c>
      <c r="F2445" s="79">
        <v>45838</v>
      </c>
      <c r="G2445">
        <v>2025</v>
      </c>
      <c r="H2445" t="s">
        <v>699</v>
      </c>
      <c r="I2445" t="s">
        <v>700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3141</v>
      </c>
    </row>
    <row r="2446" spans="1:19" hidden="1" x14ac:dyDescent="0.3">
      <c r="A2446">
        <v>484</v>
      </c>
      <c r="B2446" t="s">
        <v>1357</v>
      </c>
      <c r="C2446" t="s">
        <v>70</v>
      </c>
      <c r="D2446" t="s">
        <v>27</v>
      </c>
      <c r="E2446" t="s">
        <v>22</v>
      </c>
      <c r="F2446" s="79">
        <v>45930</v>
      </c>
      <c r="G2446">
        <v>2025</v>
      </c>
      <c r="H2446" t="s">
        <v>162</v>
      </c>
      <c r="I2446" t="s">
        <v>32</v>
      </c>
      <c r="J2446">
        <v>90</v>
      </c>
      <c r="K2446">
        <v>100</v>
      </c>
      <c r="L2446" s="39">
        <f t="shared" si="158"/>
        <v>1.1111111111111112</v>
      </c>
      <c r="M2446" s="39">
        <f t="shared" si="159"/>
        <v>1.1111111111111112</v>
      </c>
      <c r="N2446" t="s">
        <v>25</v>
      </c>
      <c r="O2446" t="s">
        <v>25</v>
      </c>
      <c r="P2446">
        <v>0</v>
      </c>
      <c r="Q2446">
        <v>0</v>
      </c>
      <c r="R2446" t="s">
        <v>3142</v>
      </c>
    </row>
    <row r="2447" spans="1:19" hidden="1" x14ac:dyDescent="0.3">
      <c r="A2447">
        <v>484</v>
      </c>
      <c r="B2447" t="s">
        <v>1357</v>
      </c>
      <c r="C2447" t="s">
        <v>70</v>
      </c>
      <c r="D2447" t="s">
        <v>27</v>
      </c>
      <c r="E2447" t="s">
        <v>22</v>
      </c>
      <c r="F2447" s="79">
        <v>46022</v>
      </c>
      <c r="G2447">
        <v>2025</v>
      </c>
      <c r="H2447" t="s">
        <v>23</v>
      </c>
      <c r="I2447" t="s">
        <v>32</v>
      </c>
      <c r="J2447">
        <v>90</v>
      </c>
      <c r="K2447">
        <v>100</v>
      </c>
      <c r="L2447" s="39">
        <f t="shared" si="158"/>
        <v>1.1111111111111112</v>
      </c>
      <c r="M2447" s="39">
        <f t="shared" si="159"/>
        <v>1.1111111111111112</v>
      </c>
      <c r="N2447" t="s">
        <v>25</v>
      </c>
      <c r="O2447" t="s">
        <v>25</v>
      </c>
      <c r="P2447">
        <v>0</v>
      </c>
      <c r="Q2447">
        <v>0</v>
      </c>
      <c r="R2447" t="s">
        <v>1359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45322</v>
      </c>
      <c r="G2448">
        <v>2024</v>
      </c>
      <c r="H2448" t="s">
        <v>59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3143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45351</v>
      </c>
      <c r="G2449">
        <v>2024</v>
      </c>
      <c r="H2449" t="s">
        <v>210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3144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45382</v>
      </c>
      <c r="G2450">
        <v>2024</v>
      </c>
      <c r="H2450" t="s">
        <v>1516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3145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45412</v>
      </c>
      <c r="G2451">
        <v>2024</v>
      </c>
      <c r="H2451" t="s">
        <v>1540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3146</v>
      </c>
      <c r="S2451" t="s">
        <v>302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45443</v>
      </c>
      <c r="G2452">
        <v>2024</v>
      </c>
      <c r="H2452" t="s">
        <v>1542</v>
      </c>
      <c r="I2452" t="s">
        <v>729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3147</v>
      </c>
      <c r="S2452" t="s">
        <v>302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L2453" s="39"/>
      <c r="M2453" s="39"/>
      <c r="N2453" t="s">
        <v>25</v>
      </c>
      <c r="O2453" t="s">
        <v>302</v>
      </c>
      <c r="P2453">
        <v>0</v>
      </c>
      <c r="Q2453">
        <v>0</v>
      </c>
      <c r="R2453" t="s">
        <v>3148</v>
      </c>
      <c r="S2453" t="s">
        <v>302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45504</v>
      </c>
      <c r="G2454">
        <v>2024</v>
      </c>
      <c r="H2454" t="s">
        <v>260</v>
      </c>
      <c r="I2454" t="s">
        <v>30</v>
      </c>
      <c r="J2454">
        <v>80</v>
      </c>
      <c r="L2454" s="39"/>
      <c r="M2454" s="39"/>
      <c r="N2454" t="s">
        <v>25</v>
      </c>
      <c r="O2454" t="s">
        <v>302</v>
      </c>
      <c r="P2454">
        <v>0</v>
      </c>
      <c r="Q2454">
        <v>0</v>
      </c>
      <c r="R2454" t="s">
        <v>3149</v>
      </c>
      <c r="S2454" t="s">
        <v>302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45565</v>
      </c>
      <c r="G2455">
        <v>2024</v>
      </c>
      <c r="H2455" t="s">
        <v>162</v>
      </c>
      <c r="I2455" t="s">
        <v>30</v>
      </c>
      <c r="J2455">
        <v>80</v>
      </c>
      <c r="K2455">
        <v>100</v>
      </c>
      <c r="L2455" s="39">
        <f t="shared" ref="L2455:L2469" si="160">IFERROR(IF(OR(J2455=0,K2455=""),"",IF(E2455="Positivo",MIN(MAX(K2455/J2455,0),1.3),MIN(MAX(J2455/K2455,0),1.3))),"")</f>
        <v>1.25</v>
      </c>
      <c r="M2455" s="39">
        <f t="shared" ref="M2455:M2469" si="161">IFERROR(IF(OR(J2455=0,K2455=""),"",IF(E2455="Positivo",MAX(K2455/J2455,0),MAX(J2455/K2455,0))),"")</f>
        <v>1.25</v>
      </c>
      <c r="P2455">
        <v>0</v>
      </c>
      <c r="Q2455">
        <v>0</v>
      </c>
      <c r="R2455" t="s">
        <v>3150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45596</v>
      </c>
      <c r="G2456">
        <v>2024</v>
      </c>
      <c r="H2456" t="s">
        <v>150</v>
      </c>
      <c r="I2456" t="s">
        <v>30</v>
      </c>
      <c r="J2456">
        <v>80</v>
      </c>
      <c r="K2456">
        <v>100</v>
      </c>
      <c r="L2456" s="39">
        <f t="shared" si="160"/>
        <v>1.25</v>
      </c>
      <c r="M2456" s="39">
        <f t="shared" si="161"/>
        <v>1.25</v>
      </c>
      <c r="P2456">
        <v>0</v>
      </c>
      <c r="Q2456">
        <v>0</v>
      </c>
      <c r="R2456" t="s">
        <v>3151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45626</v>
      </c>
      <c r="G2457">
        <v>2024</v>
      </c>
      <c r="H2457" t="s">
        <v>1550</v>
      </c>
      <c r="I2457" t="s">
        <v>30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3152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80</v>
      </c>
      <c r="K2458">
        <v>66.666666666666657</v>
      </c>
      <c r="L2458" s="39">
        <f t="shared" si="160"/>
        <v>0.83333333333333326</v>
      </c>
      <c r="M2458" s="39">
        <f t="shared" si="161"/>
        <v>0.83333333333333326</v>
      </c>
      <c r="P2458">
        <v>0</v>
      </c>
      <c r="Q2458">
        <v>0</v>
      </c>
      <c r="R2458" t="s">
        <v>1361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45688</v>
      </c>
      <c r="G2459">
        <v>2025</v>
      </c>
      <c r="H2459" t="s">
        <v>59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3153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45716</v>
      </c>
      <c r="G2460">
        <v>2025</v>
      </c>
      <c r="H2460" t="s">
        <v>210</v>
      </c>
      <c r="I2460" t="s">
        <v>700</v>
      </c>
      <c r="J2460">
        <v>80</v>
      </c>
      <c r="K2460">
        <v>50</v>
      </c>
      <c r="L2460" s="39">
        <f t="shared" si="160"/>
        <v>0.625</v>
      </c>
      <c r="M2460" s="39">
        <f t="shared" si="161"/>
        <v>0.625</v>
      </c>
      <c r="P2460">
        <v>0</v>
      </c>
      <c r="Q2460">
        <v>0</v>
      </c>
      <c r="R2460" t="s">
        <v>3154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45747</v>
      </c>
      <c r="G2461">
        <v>2025</v>
      </c>
      <c r="H2461" t="s">
        <v>1516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3155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45777</v>
      </c>
      <c r="G2462">
        <v>2025</v>
      </c>
      <c r="H2462" t="s">
        <v>1540</v>
      </c>
      <c r="I2462" t="s">
        <v>700</v>
      </c>
      <c r="J2462">
        <v>80</v>
      </c>
      <c r="K2462">
        <v>100</v>
      </c>
      <c r="L2462" s="39">
        <f t="shared" si="160"/>
        <v>1.25</v>
      </c>
      <c r="M2462" s="39">
        <f t="shared" si="161"/>
        <v>1.25</v>
      </c>
      <c r="P2462">
        <v>0</v>
      </c>
      <c r="Q2462">
        <v>0</v>
      </c>
      <c r="R2462" t="s">
        <v>3156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45808</v>
      </c>
      <c r="G2463">
        <v>2025</v>
      </c>
      <c r="H2463" t="s">
        <v>1542</v>
      </c>
      <c r="I2463" t="s">
        <v>700</v>
      </c>
      <c r="J2463">
        <v>80</v>
      </c>
      <c r="K2463">
        <v>100</v>
      </c>
      <c r="L2463" s="39">
        <f t="shared" si="160"/>
        <v>1.25</v>
      </c>
      <c r="M2463" s="39">
        <f t="shared" si="161"/>
        <v>1.25</v>
      </c>
      <c r="P2463">
        <v>0</v>
      </c>
      <c r="Q2463">
        <v>0</v>
      </c>
      <c r="R2463" t="s">
        <v>3157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45838</v>
      </c>
      <c r="G2464">
        <v>2025</v>
      </c>
      <c r="H2464" t="s">
        <v>699</v>
      </c>
      <c r="I2464" t="s">
        <v>700</v>
      </c>
      <c r="J2464">
        <v>80</v>
      </c>
      <c r="K2464">
        <v>66.67</v>
      </c>
      <c r="L2464" s="39">
        <f t="shared" si="160"/>
        <v>0.83337499999999998</v>
      </c>
      <c r="M2464" s="39">
        <f t="shared" si="161"/>
        <v>0.83337499999999998</v>
      </c>
      <c r="P2464">
        <v>0</v>
      </c>
      <c r="Q2464">
        <v>0</v>
      </c>
      <c r="R2464" t="s">
        <v>3158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45869</v>
      </c>
      <c r="G2465">
        <v>2025</v>
      </c>
      <c r="H2465" t="s">
        <v>260</v>
      </c>
      <c r="I2465" t="s">
        <v>32</v>
      </c>
      <c r="J2465">
        <v>80</v>
      </c>
      <c r="K2465">
        <v>66.67</v>
      </c>
      <c r="L2465" s="39">
        <f t="shared" si="160"/>
        <v>0.83337499999999998</v>
      </c>
      <c r="M2465" s="39">
        <f t="shared" si="161"/>
        <v>0.83337499999999998</v>
      </c>
      <c r="P2465">
        <v>0</v>
      </c>
      <c r="Q2465">
        <v>0</v>
      </c>
      <c r="R2465" t="s">
        <v>3159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45900</v>
      </c>
      <c r="G2466">
        <v>2025</v>
      </c>
      <c r="H2466" t="s">
        <v>1546</v>
      </c>
      <c r="I2466" t="s">
        <v>32</v>
      </c>
      <c r="J2466">
        <v>80</v>
      </c>
      <c r="K2466">
        <v>50</v>
      </c>
      <c r="L2466" s="39">
        <f t="shared" si="160"/>
        <v>0.625</v>
      </c>
      <c r="M2466" s="39">
        <f t="shared" si="161"/>
        <v>0.625</v>
      </c>
      <c r="N2466" t="s">
        <v>25</v>
      </c>
      <c r="O2466" t="s">
        <v>25</v>
      </c>
      <c r="P2466">
        <v>0</v>
      </c>
      <c r="Q2466">
        <v>0</v>
      </c>
      <c r="R2466" t="s">
        <v>3160</v>
      </c>
    </row>
    <row r="2467" spans="1:19" hidden="1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45930</v>
      </c>
      <c r="G2467">
        <v>2025</v>
      </c>
      <c r="H2467" t="s">
        <v>162</v>
      </c>
      <c r="I2467" t="s">
        <v>32</v>
      </c>
      <c r="J2467">
        <v>80</v>
      </c>
      <c r="K2467">
        <v>62.5</v>
      </c>
      <c r="L2467" s="39">
        <f t="shared" si="160"/>
        <v>0.78125</v>
      </c>
      <c r="M2467" s="39">
        <f t="shared" si="161"/>
        <v>0.78125</v>
      </c>
      <c r="N2467" t="s">
        <v>25</v>
      </c>
      <c r="O2467" t="s">
        <v>25</v>
      </c>
      <c r="P2467">
        <v>0</v>
      </c>
      <c r="Q2467">
        <v>0</v>
      </c>
      <c r="R2467" t="s">
        <v>3161</v>
      </c>
    </row>
    <row r="2468" spans="1:19" hidden="1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45961</v>
      </c>
      <c r="G2468">
        <v>2025</v>
      </c>
      <c r="H2468" t="s">
        <v>150</v>
      </c>
      <c r="I2468" t="s">
        <v>32</v>
      </c>
      <c r="J2468">
        <v>80</v>
      </c>
      <c r="K2468">
        <v>100</v>
      </c>
      <c r="L2468" s="39">
        <f t="shared" si="160"/>
        <v>1.25</v>
      </c>
      <c r="M2468" s="39">
        <f t="shared" si="161"/>
        <v>1.25</v>
      </c>
      <c r="N2468" t="s">
        <v>25</v>
      </c>
      <c r="O2468" t="s">
        <v>25</v>
      </c>
      <c r="P2468">
        <v>0</v>
      </c>
      <c r="Q2468">
        <v>0</v>
      </c>
      <c r="R2468" t="s">
        <v>3162</v>
      </c>
    </row>
    <row r="2469" spans="1:19" hidden="1" x14ac:dyDescent="0.3">
      <c r="A2469">
        <v>485</v>
      </c>
      <c r="B2469" t="s">
        <v>1360</v>
      </c>
      <c r="C2469" t="s">
        <v>198</v>
      </c>
      <c r="D2469" t="s">
        <v>54</v>
      </c>
      <c r="E2469" t="s">
        <v>22</v>
      </c>
      <c r="F2469" s="79">
        <v>45991</v>
      </c>
      <c r="G2469">
        <v>2025</v>
      </c>
      <c r="H2469" t="s">
        <v>1550</v>
      </c>
      <c r="I2469" t="s">
        <v>32</v>
      </c>
      <c r="J2469">
        <v>80</v>
      </c>
      <c r="K2469">
        <v>85.71</v>
      </c>
      <c r="L2469" s="39">
        <f t="shared" si="160"/>
        <v>1.071375</v>
      </c>
      <c r="M2469" s="39">
        <f t="shared" si="161"/>
        <v>1.071375</v>
      </c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485</v>
      </c>
      <c r="B2470" t="s">
        <v>1360</v>
      </c>
      <c r="C2470" t="s">
        <v>198</v>
      </c>
      <c r="D2470" t="s">
        <v>54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J2470">
        <v>80</v>
      </c>
      <c r="L2470" s="39"/>
      <c r="M2470" s="39"/>
      <c r="N2470" t="s">
        <v>25</v>
      </c>
      <c r="O2470" t="s">
        <v>302</v>
      </c>
      <c r="P2470">
        <v>0</v>
      </c>
      <c r="Q2470">
        <v>0</v>
      </c>
      <c r="R2470" t="s">
        <v>1362</v>
      </c>
      <c r="S2470" t="s">
        <v>302</v>
      </c>
    </row>
    <row r="2471" spans="1:19" hidden="1" x14ac:dyDescent="0.3">
      <c r="A2471">
        <v>486</v>
      </c>
      <c r="B2471" t="s">
        <v>1363</v>
      </c>
      <c r="C2471" t="s">
        <v>149</v>
      </c>
      <c r="D2471" t="s">
        <v>27</v>
      </c>
      <c r="E2471" t="s">
        <v>22</v>
      </c>
      <c r="F2471" s="79">
        <v>45473</v>
      </c>
      <c r="G2471">
        <v>2024</v>
      </c>
      <c r="H2471" t="s">
        <v>699</v>
      </c>
      <c r="I2471" t="s">
        <v>729</v>
      </c>
      <c r="K2471">
        <v>4900000</v>
      </c>
      <c r="L2471" s="39"/>
      <c r="M2471" s="39"/>
      <c r="N2471" t="s">
        <v>302</v>
      </c>
      <c r="O2471" t="s">
        <v>302</v>
      </c>
      <c r="P2471">
        <v>0</v>
      </c>
      <c r="Q2471">
        <v>0</v>
      </c>
      <c r="R2471" t="s">
        <v>3164</v>
      </c>
    </row>
    <row r="2472" spans="1:19" hidden="1" x14ac:dyDescent="0.3">
      <c r="A2472">
        <v>486</v>
      </c>
      <c r="B2472" t="s">
        <v>1363</v>
      </c>
      <c r="C2472" t="s">
        <v>149</v>
      </c>
      <c r="D2472" t="s">
        <v>27</v>
      </c>
      <c r="E2472" t="s">
        <v>22</v>
      </c>
      <c r="F2472" s="79">
        <v>45657</v>
      </c>
      <c r="G2472">
        <v>2024</v>
      </c>
      <c r="H2472" t="s">
        <v>23</v>
      </c>
      <c r="I2472" t="s">
        <v>30</v>
      </c>
      <c r="K2472">
        <v>2700000</v>
      </c>
      <c r="L2472" s="39"/>
      <c r="M2472" s="39"/>
      <c r="N2472" t="s">
        <v>302</v>
      </c>
      <c r="O2472" t="s">
        <v>302</v>
      </c>
      <c r="P2472">
        <v>0</v>
      </c>
      <c r="Q2472">
        <v>0</v>
      </c>
      <c r="R2472" t="s">
        <v>1364</v>
      </c>
    </row>
    <row r="2473" spans="1:19" hidden="1" x14ac:dyDescent="0.3">
      <c r="A2473">
        <v>486</v>
      </c>
      <c r="B2473" t="s">
        <v>1363</v>
      </c>
      <c r="C2473" t="s">
        <v>149</v>
      </c>
      <c r="D2473" t="s">
        <v>21</v>
      </c>
      <c r="E2473" t="s">
        <v>22</v>
      </c>
      <c r="F2473" s="79">
        <v>45838</v>
      </c>
      <c r="G2473">
        <v>2025</v>
      </c>
      <c r="H2473" t="s">
        <v>699</v>
      </c>
      <c r="I2473" t="s">
        <v>700</v>
      </c>
      <c r="K2473">
        <v>2890610</v>
      </c>
      <c r="L2473" s="39"/>
      <c r="M2473" s="39"/>
      <c r="N2473" t="s">
        <v>25</v>
      </c>
      <c r="O2473" t="s">
        <v>25</v>
      </c>
      <c r="P2473">
        <v>0</v>
      </c>
      <c r="Q2473">
        <v>0</v>
      </c>
      <c r="R2473" t="s">
        <v>3165</v>
      </c>
    </row>
    <row r="2474" spans="1:19" hidden="1" x14ac:dyDescent="0.3">
      <c r="A2474">
        <v>486</v>
      </c>
      <c r="B2474" t="s">
        <v>1363</v>
      </c>
      <c r="C2474" t="s">
        <v>149</v>
      </c>
      <c r="D2474" t="s">
        <v>21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K2474">
        <v>2703941</v>
      </c>
      <c r="L2474" s="39"/>
      <c r="M2474" s="39"/>
      <c r="N2474" t="s">
        <v>25</v>
      </c>
      <c r="O2474" t="s">
        <v>25</v>
      </c>
      <c r="P2474">
        <v>0</v>
      </c>
      <c r="Q2474">
        <v>0</v>
      </c>
      <c r="R2474" t="s">
        <v>1365</v>
      </c>
    </row>
    <row r="2475" spans="1:19" hidden="1" x14ac:dyDescent="0.3">
      <c r="A2475">
        <v>487</v>
      </c>
      <c r="B2475" t="s">
        <v>1366</v>
      </c>
      <c r="C2475" t="s">
        <v>619</v>
      </c>
      <c r="D2475" t="s">
        <v>71</v>
      </c>
      <c r="E2475" t="s">
        <v>22</v>
      </c>
      <c r="F2475" s="79">
        <v>45657</v>
      </c>
      <c r="G2475">
        <v>2024</v>
      </c>
      <c r="H2475" t="s">
        <v>23</v>
      </c>
      <c r="I2475" t="s">
        <v>30</v>
      </c>
      <c r="J2475">
        <v>20</v>
      </c>
      <c r="K2475">
        <v>6.06</v>
      </c>
      <c r="L2475" s="39">
        <f>IFERROR(IF(OR(J2475=0,K2475=""),"",IF(E2475="Positivo",MIN(MAX(K2475/J2475,0),1.3),MIN(MAX(J2475/K2475,0),1.3))),"")</f>
        <v>0.30299999999999999</v>
      </c>
      <c r="M2475" s="39">
        <f>IFERROR(IF(OR(J2475=0,K2475=""),"",IF(E2475="Positivo",MAX(K2475/J2475,0),MAX(J2475/K2475,0))),"")</f>
        <v>0.30299999999999999</v>
      </c>
      <c r="P2475">
        <v>0</v>
      </c>
      <c r="Q2475">
        <v>0</v>
      </c>
      <c r="R2475" t="s">
        <v>1367</v>
      </c>
    </row>
    <row r="2476" spans="1:19" hidden="1" x14ac:dyDescent="0.3">
      <c r="A2476">
        <v>487</v>
      </c>
      <c r="B2476" t="s">
        <v>3166</v>
      </c>
      <c r="C2476" t="s">
        <v>619</v>
      </c>
      <c r="D2476" t="s">
        <v>71</v>
      </c>
      <c r="E2476" t="s">
        <v>22</v>
      </c>
      <c r="F2476" s="79">
        <v>46022</v>
      </c>
      <c r="G2476">
        <v>2025</v>
      </c>
      <c r="H2476" t="s">
        <v>23</v>
      </c>
      <c r="I2476" t="s">
        <v>32</v>
      </c>
      <c r="J2476">
        <v>20</v>
      </c>
      <c r="K2476">
        <v>58.86</v>
      </c>
      <c r="L2476" s="39">
        <f>IFERROR(IF(OR(J2476=0,K2476=""),"",IF(E2476="Positivo",MIN(MAX(K2476/J2476,0),1.3),MIN(MAX(J2476/K2476,0),1.3))),"")</f>
        <v>1.3</v>
      </c>
      <c r="M2476" s="39">
        <f>IFERROR(IF(OR(J2476=0,K2476=""),"",IF(E2476="Positivo",MAX(K2476/J2476,0),MAX(J2476/K2476,0))),"")</f>
        <v>2.9430000000000001</v>
      </c>
      <c r="N2476" t="s">
        <v>25</v>
      </c>
      <c r="O2476" t="s">
        <v>25</v>
      </c>
      <c r="P2476">
        <v>0</v>
      </c>
      <c r="Q2476">
        <v>0</v>
      </c>
      <c r="R2476" t="s">
        <v>1368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45322</v>
      </c>
      <c r="G2477">
        <v>2024</v>
      </c>
      <c r="H2477" t="s">
        <v>59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3167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45351</v>
      </c>
      <c r="G2478">
        <v>2024</v>
      </c>
      <c r="H2478" t="s">
        <v>210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3168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45382</v>
      </c>
      <c r="G2479">
        <v>2024</v>
      </c>
      <c r="H2479" t="s">
        <v>1516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3169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45412</v>
      </c>
      <c r="G2480">
        <v>2024</v>
      </c>
      <c r="H2480" t="s">
        <v>1540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3170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45443</v>
      </c>
      <c r="G2481">
        <v>2024</v>
      </c>
      <c r="H2481" t="s">
        <v>1542</v>
      </c>
      <c r="I2481" t="s">
        <v>729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3171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45473</v>
      </c>
      <c r="G2482">
        <v>2024</v>
      </c>
      <c r="H2482" t="s">
        <v>699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3172</v>
      </c>
      <c r="S2482" t="s">
        <v>302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45504</v>
      </c>
      <c r="G2483">
        <v>2024</v>
      </c>
      <c r="H2483" t="s">
        <v>260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3173</v>
      </c>
      <c r="S2483" t="s">
        <v>302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45535</v>
      </c>
      <c r="G2484">
        <v>2024</v>
      </c>
      <c r="H2484" t="s">
        <v>1546</v>
      </c>
      <c r="I2484" t="s">
        <v>30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3174</v>
      </c>
      <c r="S2484" t="s">
        <v>302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45565</v>
      </c>
      <c r="G2485">
        <v>2024</v>
      </c>
      <c r="H2485" t="s">
        <v>162</v>
      </c>
      <c r="I2485" t="s">
        <v>30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3175</v>
      </c>
      <c r="S2485" t="s">
        <v>302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45596</v>
      </c>
      <c r="G2486">
        <v>2024</v>
      </c>
      <c r="H2486" t="s">
        <v>150</v>
      </c>
      <c r="I2486" t="s">
        <v>30</v>
      </c>
      <c r="J2486">
        <v>85</v>
      </c>
      <c r="K2486">
        <v>91.78082191780824</v>
      </c>
      <c r="L2486" s="39">
        <f>IFERROR(IF(OR(J2486=0,K2486=""),"",IF(E2486="Positivo",MIN(MAX(K2486/J2486,0),1.3),MIN(MAX(J2486/K2486,0),1.3))),"")</f>
        <v>1.0797743755036264</v>
      </c>
      <c r="M2486" s="39">
        <f>IFERROR(IF(OR(J2486=0,K2486=""),"",IF(E2486="Positivo",MAX(K2486/J2486,0),MAX(J2486/K2486,0))),"")</f>
        <v>1.0797743755036264</v>
      </c>
      <c r="N2486" t="s">
        <v>25</v>
      </c>
      <c r="O2486" t="s">
        <v>25</v>
      </c>
      <c r="P2486">
        <v>0</v>
      </c>
      <c r="Q2486">
        <v>0</v>
      </c>
      <c r="R2486" t="s">
        <v>3176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45626</v>
      </c>
      <c r="G2487">
        <v>2024</v>
      </c>
      <c r="H2487" t="s">
        <v>1550</v>
      </c>
      <c r="I2487" t="s">
        <v>30</v>
      </c>
      <c r="J2487">
        <v>85</v>
      </c>
      <c r="K2487">
        <v>95.786516853932582</v>
      </c>
      <c r="L2487" s="39">
        <f>IFERROR(IF(OR(J2487=0,K2487=""),"",IF(E2487="Positivo",MIN(MAX(K2487/J2487,0),1.3),MIN(MAX(J2487/K2487,0),1.3))),"")</f>
        <v>1.1269001982815599</v>
      </c>
      <c r="M2487" s="39">
        <f>IFERROR(IF(OR(J2487=0,K2487=""),"",IF(E2487="Positivo",MAX(K2487/J2487,0),MAX(J2487/K2487,0))),"")</f>
        <v>1.1269001982815599</v>
      </c>
      <c r="N2487" t="s">
        <v>25</v>
      </c>
      <c r="O2487" t="s">
        <v>25</v>
      </c>
      <c r="P2487">
        <v>0</v>
      </c>
      <c r="Q2487">
        <v>0</v>
      </c>
      <c r="R2487" t="s">
        <v>3177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45657</v>
      </c>
      <c r="G2488">
        <v>2024</v>
      </c>
      <c r="H2488" t="s">
        <v>23</v>
      </c>
      <c r="I2488" t="s">
        <v>30</v>
      </c>
      <c r="J2488">
        <v>85</v>
      </c>
      <c r="K2488">
        <v>91.31652661064426</v>
      </c>
      <c r="L2488" s="39">
        <f>IFERROR(IF(OR(J2488=0,K2488=""),"",IF(E2488="Positivo",MIN(MAX(K2488/J2488,0),1.3),MIN(MAX(J2488/K2488,0),1.3))),"")</f>
        <v>1.0743120777722854</v>
      </c>
      <c r="M2488" s="39">
        <f>IFERROR(IF(OR(J2488=0,K2488=""),"",IF(E2488="Positivo",MAX(K2488/J2488,0),MAX(J2488/K2488,0))),"")</f>
        <v>1.0743120777722854</v>
      </c>
      <c r="N2488" t="s">
        <v>25</v>
      </c>
      <c r="O2488" t="s">
        <v>25</v>
      </c>
      <c r="P2488">
        <v>0</v>
      </c>
      <c r="Q2488">
        <v>0</v>
      </c>
      <c r="R2488" t="s">
        <v>1370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45688</v>
      </c>
      <c r="G2489">
        <v>2025</v>
      </c>
      <c r="H2489" t="s">
        <v>59</v>
      </c>
      <c r="I2489" t="s">
        <v>700</v>
      </c>
      <c r="J2489">
        <v>85</v>
      </c>
      <c r="K2489">
        <v>78.048780487804876</v>
      </c>
      <c r="L2489" s="39">
        <f>IFERROR(IF(OR(J2489=0,K2489=""),"",IF(E2489="Positivo",MIN(MAX(K2489/J2489,0),1.3),MIN(MAX(J2489/K2489,0),1.3))),"")</f>
        <v>0.9182209469153515</v>
      </c>
      <c r="M2489" s="39">
        <f>IFERROR(IF(OR(J2489=0,K2489=""),"",IF(E2489="Positivo",MAX(K2489/J2489,0),MAX(J2489/K2489,0))),"")</f>
        <v>0.9182209469153515</v>
      </c>
      <c r="N2489" t="s">
        <v>25</v>
      </c>
      <c r="O2489" t="s">
        <v>25</v>
      </c>
      <c r="P2489">
        <v>0</v>
      </c>
      <c r="Q2489">
        <v>0</v>
      </c>
      <c r="R2489" t="s">
        <v>3178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45716</v>
      </c>
      <c r="G2490">
        <v>2025</v>
      </c>
      <c r="H2490" t="s">
        <v>210</v>
      </c>
      <c r="I2490" t="s">
        <v>700</v>
      </c>
      <c r="J2490">
        <v>85</v>
      </c>
      <c r="K2490">
        <v>77.205882352941174</v>
      </c>
      <c r="L2490" s="39">
        <f>IFERROR(IF(OR(J2490=0,K2490=""),"",IF(E2490="Positivo",MIN(MAX(K2490/J2490,0),1.3),MIN(MAX(J2490/K2490,0),1.3))),"")</f>
        <v>0.90830449826989612</v>
      </c>
      <c r="M2490" s="39">
        <f>IFERROR(IF(OR(J2490=0,K2490=""),"",IF(E2490="Positivo",MAX(K2490/J2490,0),MAX(J2490/K2490,0))),"")</f>
        <v>0.90830449826989612</v>
      </c>
      <c r="N2490" t="s">
        <v>25</v>
      </c>
      <c r="O2490" t="s">
        <v>25</v>
      </c>
      <c r="P2490">
        <v>0</v>
      </c>
      <c r="Q2490">
        <v>0</v>
      </c>
      <c r="R2490" t="s">
        <v>3179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45747</v>
      </c>
      <c r="G2491">
        <v>2025</v>
      </c>
      <c r="H2491" t="s">
        <v>1516</v>
      </c>
      <c r="I2491" t="s">
        <v>700</v>
      </c>
      <c r="J2491">
        <v>85</v>
      </c>
      <c r="L2491" s="39"/>
      <c r="M2491" s="39"/>
      <c r="N2491" t="s">
        <v>25</v>
      </c>
      <c r="O2491" t="s">
        <v>302</v>
      </c>
      <c r="P2491">
        <v>0</v>
      </c>
      <c r="Q2491">
        <v>0</v>
      </c>
      <c r="R2491" t="s">
        <v>3180</v>
      </c>
      <c r="S2491" t="s">
        <v>302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45777</v>
      </c>
      <c r="G2492">
        <v>2025</v>
      </c>
      <c r="H2492" t="s">
        <v>1540</v>
      </c>
      <c r="I2492" t="s">
        <v>700</v>
      </c>
      <c r="J2492">
        <v>85</v>
      </c>
      <c r="K2492">
        <v>64.91</v>
      </c>
      <c r="L2492" s="39">
        <f t="shared" ref="L2492:L2523" si="162">IFERROR(IF(OR(J2492=0,K2492=""),"",IF(E2492="Positivo",MIN(MAX(K2492/J2492,0),1.3),MIN(MAX(J2492/K2492,0),1.3))),"")</f>
        <v>0.76364705882352935</v>
      </c>
      <c r="M2492" s="39">
        <f t="shared" ref="M2492:M2523" si="163">IFERROR(IF(OR(J2492=0,K2492=""),"",IF(E2492="Positivo",MAX(K2492/J2492,0),MAX(J2492/K2492,0))),"")</f>
        <v>0.76364705882352935</v>
      </c>
      <c r="N2492" t="s">
        <v>25</v>
      </c>
      <c r="O2492" t="s">
        <v>25</v>
      </c>
      <c r="P2492">
        <v>0</v>
      </c>
      <c r="Q2492">
        <v>0</v>
      </c>
      <c r="R2492" t="s">
        <v>3181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45808</v>
      </c>
      <c r="G2493">
        <v>2025</v>
      </c>
      <c r="H2493" t="s">
        <v>1542</v>
      </c>
      <c r="I2493" t="s">
        <v>700</v>
      </c>
      <c r="J2493">
        <v>85</v>
      </c>
      <c r="K2493">
        <v>67.86</v>
      </c>
      <c r="L2493" s="39">
        <f t="shared" si="162"/>
        <v>0.7983529411764706</v>
      </c>
      <c r="M2493" s="39">
        <f t="shared" si="163"/>
        <v>0.7983529411764706</v>
      </c>
      <c r="N2493" t="s">
        <v>25</v>
      </c>
      <c r="O2493" t="s">
        <v>25</v>
      </c>
      <c r="P2493">
        <v>0</v>
      </c>
      <c r="Q2493">
        <v>0</v>
      </c>
      <c r="R2493" t="s">
        <v>3182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45838</v>
      </c>
      <c r="G2494">
        <v>2025</v>
      </c>
      <c r="H2494" t="s">
        <v>699</v>
      </c>
      <c r="I2494" t="s">
        <v>700</v>
      </c>
      <c r="J2494">
        <v>85</v>
      </c>
      <c r="K2494">
        <v>72.41</v>
      </c>
      <c r="L2494" s="39">
        <f t="shared" si="162"/>
        <v>0.85188235294117642</v>
      </c>
      <c r="M2494" s="39">
        <f t="shared" si="163"/>
        <v>0.85188235294117642</v>
      </c>
      <c r="N2494" t="s">
        <v>25</v>
      </c>
      <c r="O2494" t="s">
        <v>25</v>
      </c>
      <c r="P2494">
        <v>0</v>
      </c>
      <c r="Q2494">
        <v>0</v>
      </c>
      <c r="R2494" t="s">
        <v>3183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45869</v>
      </c>
      <c r="G2495">
        <v>2025</v>
      </c>
      <c r="H2495" t="s">
        <v>260</v>
      </c>
      <c r="I2495" t="s">
        <v>32</v>
      </c>
      <c r="J2495">
        <v>85</v>
      </c>
      <c r="K2495">
        <v>83.54</v>
      </c>
      <c r="L2495" s="39">
        <f t="shared" si="162"/>
        <v>0.98282352941176476</v>
      </c>
      <c r="M2495" s="39">
        <f t="shared" si="163"/>
        <v>0.98282352941176476</v>
      </c>
      <c r="N2495" t="s">
        <v>25</v>
      </c>
      <c r="O2495" t="s">
        <v>25</v>
      </c>
      <c r="P2495">
        <v>0</v>
      </c>
      <c r="Q2495">
        <v>0</v>
      </c>
      <c r="R2495" t="s">
        <v>3184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45900</v>
      </c>
      <c r="G2496">
        <v>2025</v>
      </c>
      <c r="H2496" t="s">
        <v>1546</v>
      </c>
      <c r="I2496" t="s">
        <v>32</v>
      </c>
      <c r="J2496">
        <v>85</v>
      </c>
      <c r="K2496">
        <v>81.010000000000005</v>
      </c>
      <c r="L2496" s="39">
        <f t="shared" si="162"/>
        <v>0.95305882352941185</v>
      </c>
      <c r="M2496" s="39">
        <f t="shared" si="163"/>
        <v>0.95305882352941185</v>
      </c>
      <c r="N2496" t="s">
        <v>25</v>
      </c>
      <c r="O2496" t="s">
        <v>25</v>
      </c>
      <c r="P2496">
        <v>0</v>
      </c>
      <c r="Q2496">
        <v>0</v>
      </c>
      <c r="R2496" t="s">
        <v>3185</v>
      </c>
    </row>
    <row r="2497" spans="1:18" hidden="1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45930</v>
      </c>
      <c r="G2497">
        <v>2025</v>
      </c>
      <c r="H2497" t="s">
        <v>162</v>
      </c>
      <c r="I2497" t="s">
        <v>32</v>
      </c>
      <c r="J2497">
        <v>85</v>
      </c>
      <c r="K2497">
        <v>86.89</v>
      </c>
      <c r="L2497" s="39">
        <f t="shared" si="162"/>
        <v>1.0222352941176471</v>
      </c>
      <c r="M2497" s="39">
        <f t="shared" si="163"/>
        <v>1.0222352941176471</v>
      </c>
      <c r="N2497" t="s">
        <v>25</v>
      </c>
      <c r="O2497" t="s">
        <v>25</v>
      </c>
      <c r="P2497">
        <v>0</v>
      </c>
      <c r="Q2497">
        <v>0</v>
      </c>
      <c r="R2497" t="s">
        <v>3186</v>
      </c>
    </row>
    <row r="2498" spans="1:18" hidden="1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45961</v>
      </c>
      <c r="G2498">
        <v>2025</v>
      </c>
      <c r="H2498" t="s">
        <v>150</v>
      </c>
      <c r="I2498" t="s">
        <v>32</v>
      </c>
      <c r="J2498">
        <v>85</v>
      </c>
      <c r="K2498">
        <v>85.59</v>
      </c>
      <c r="L2498" s="39">
        <f t="shared" si="162"/>
        <v>1.0069411764705882</v>
      </c>
      <c r="M2498" s="39">
        <f t="shared" si="163"/>
        <v>1.0069411764705882</v>
      </c>
      <c r="N2498" t="s">
        <v>25</v>
      </c>
      <c r="O2498" t="s">
        <v>25</v>
      </c>
      <c r="P2498">
        <v>0</v>
      </c>
      <c r="Q2498">
        <v>0</v>
      </c>
      <c r="R2498" t="s">
        <v>3187</v>
      </c>
    </row>
    <row r="2499" spans="1:18" hidden="1" x14ac:dyDescent="0.3">
      <c r="A2499">
        <v>488</v>
      </c>
      <c r="B2499" t="s">
        <v>1369</v>
      </c>
      <c r="C2499" t="s">
        <v>198</v>
      </c>
      <c r="D2499" t="s">
        <v>54</v>
      </c>
      <c r="E2499" t="s">
        <v>22</v>
      </c>
      <c r="F2499" s="79">
        <v>45991</v>
      </c>
      <c r="G2499">
        <v>2025</v>
      </c>
      <c r="H2499" t="s">
        <v>1550</v>
      </c>
      <c r="I2499" t="s">
        <v>32</v>
      </c>
      <c r="J2499">
        <v>85</v>
      </c>
      <c r="K2499">
        <v>75</v>
      </c>
      <c r="L2499" s="39">
        <f t="shared" si="162"/>
        <v>0.88235294117647056</v>
      </c>
      <c r="M2499" s="39">
        <f t="shared" si="163"/>
        <v>0.88235294117647056</v>
      </c>
      <c r="N2499" t="s">
        <v>25</v>
      </c>
      <c r="O2499" t="s">
        <v>25</v>
      </c>
      <c r="P2499">
        <v>0</v>
      </c>
      <c r="Q2499">
        <v>0</v>
      </c>
      <c r="R2499" t="s">
        <v>3188</v>
      </c>
    </row>
    <row r="2500" spans="1:18" hidden="1" x14ac:dyDescent="0.3">
      <c r="A2500">
        <v>488</v>
      </c>
      <c r="B2500" t="s">
        <v>1369</v>
      </c>
      <c r="C2500" t="s">
        <v>198</v>
      </c>
      <c r="D2500" t="s">
        <v>54</v>
      </c>
      <c r="E2500" t="s">
        <v>22</v>
      </c>
      <c r="F2500" s="79">
        <v>46022</v>
      </c>
      <c r="G2500">
        <v>2025</v>
      </c>
      <c r="H2500" t="s">
        <v>23</v>
      </c>
      <c r="I2500" t="s">
        <v>32</v>
      </c>
      <c r="J2500">
        <v>85</v>
      </c>
      <c r="K2500">
        <v>76.739999999999995</v>
      </c>
      <c r="L2500" s="39">
        <f t="shared" si="162"/>
        <v>0.90282352941176469</v>
      </c>
      <c r="M2500" s="39">
        <f t="shared" si="163"/>
        <v>0.90282352941176469</v>
      </c>
      <c r="N2500" t="s">
        <v>25</v>
      </c>
      <c r="O2500" t="s">
        <v>25</v>
      </c>
      <c r="P2500">
        <v>0</v>
      </c>
      <c r="Q2500">
        <v>0</v>
      </c>
      <c r="R2500" t="s">
        <v>1371</v>
      </c>
    </row>
    <row r="2501" spans="1:18" hidden="1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45596</v>
      </c>
      <c r="G2501">
        <v>2024</v>
      </c>
      <c r="H2501" t="s">
        <v>150</v>
      </c>
      <c r="I2501" t="s">
        <v>30</v>
      </c>
      <c r="J2501">
        <v>80</v>
      </c>
      <c r="K2501">
        <v>80</v>
      </c>
      <c r="L2501" s="39">
        <f t="shared" si="162"/>
        <v>1</v>
      </c>
      <c r="M2501" s="39">
        <f t="shared" si="163"/>
        <v>1</v>
      </c>
      <c r="N2501" t="s">
        <v>25</v>
      </c>
      <c r="O2501" t="s">
        <v>25</v>
      </c>
      <c r="P2501">
        <v>0</v>
      </c>
      <c r="Q2501">
        <v>0</v>
      </c>
      <c r="R2501" t="s">
        <v>3189</v>
      </c>
    </row>
    <row r="2502" spans="1:18" hidden="1" x14ac:dyDescent="0.3">
      <c r="A2502">
        <v>489</v>
      </c>
      <c r="B2502" t="s">
        <v>1373</v>
      </c>
      <c r="C2502" t="s">
        <v>198</v>
      </c>
      <c r="D2502" t="s">
        <v>54</v>
      </c>
      <c r="E2502" t="s">
        <v>22</v>
      </c>
      <c r="F2502" s="79">
        <v>45626</v>
      </c>
      <c r="G2502">
        <v>2024</v>
      </c>
      <c r="H2502" t="s">
        <v>1550</v>
      </c>
      <c r="I2502" t="s">
        <v>30</v>
      </c>
      <c r="J2502">
        <v>80</v>
      </c>
      <c r="K2502">
        <v>100</v>
      </c>
      <c r="L2502" s="39">
        <f t="shared" si="162"/>
        <v>1.25</v>
      </c>
      <c r="M2502" s="39">
        <f t="shared" si="163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3190</v>
      </c>
    </row>
    <row r="2503" spans="1:18" hidden="1" x14ac:dyDescent="0.3">
      <c r="A2503">
        <v>489</v>
      </c>
      <c r="B2503" t="s">
        <v>1373</v>
      </c>
      <c r="C2503" t="s">
        <v>198</v>
      </c>
      <c r="D2503" t="s">
        <v>54</v>
      </c>
      <c r="E2503" t="s">
        <v>22</v>
      </c>
      <c r="F2503" s="79">
        <v>45657</v>
      </c>
      <c r="G2503">
        <v>2024</v>
      </c>
      <c r="H2503" t="s">
        <v>23</v>
      </c>
      <c r="I2503" t="s">
        <v>30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1374</v>
      </c>
    </row>
    <row r="2504" spans="1:18" hidden="1" x14ac:dyDescent="0.3">
      <c r="A2504">
        <v>490</v>
      </c>
      <c r="B2504" t="s">
        <v>1375</v>
      </c>
      <c r="C2504" t="s">
        <v>567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1376</v>
      </c>
    </row>
    <row r="2505" spans="1:18" hidden="1" x14ac:dyDescent="0.3">
      <c r="A2505">
        <v>490</v>
      </c>
      <c r="B2505" t="s">
        <v>1375</v>
      </c>
      <c r="C2505" t="s">
        <v>567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1377</v>
      </c>
    </row>
    <row r="2506" spans="1:18" hidden="1" x14ac:dyDescent="0.3">
      <c r="A2506">
        <v>491</v>
      </c>
      <c r="B2506" t="s">
        <v>1378</v>
      </c>
      <c r="C2506" t="s">
        <v>511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88</v>
      </c>
      <c r="L2506" s="39">
        <f t="shared" si="162"/>
        <v>1.1000000000000001</v>
      </c>
      <c r="M2506" s="39">
        <f t="shared" si="163"/>
        <v>1.1000000000000001</v>
      </c>
      <c r="N2506" t="s">
        <v>25</v>
      </c>
      <c r="O2506" t="s">
        <v>25</v>
      </c>
      <c r="P2506">
        <v>0</v>
      </c>
      <c r="Q2506">
        <v>0</v>
      </c>
      <c r="R2506" t="s">
        <v>1379</v>
      </c>
    </row>
    <row r="2507" spans="1:18" hidden="1" x14ac:dyDescent="0.3">
      <c r="A2507">
        <v>491</v>
      </c>
      <c r="B2507" t="s">
        <v>1378</v>
      </c>
      <c r="C2507" t="s">
        <v>511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100</v>
      </c>
      <c r="L2507" s="39">
        <f t="shared" si="162"/>
        <v>1.25</v>
      </c>
      <c r="M2507" s="39">
        <f t="shared" si="163"/>
        <v>1.25</v>
      </c>
      <c r="N2507" t="s">
        <v>25</v>
      </c>
      <c r="O2507" t="s">
        <v>25</v>
      </c>
      <c r="P2507">
        <v>0</v>
      </c>
      <c r="Q2507">
        <v>0</v>
      </c>
      <c r="R2507" t="s">
        <v>1380</v>
      </c>
    </row>
    <row r="2508" spans="1:18" hidden="1" x14ac:dyDescent="0.3">
      <c r="A2508">
        <v>492</v>
      </c>
      <c r="B2508" t="s">
        <v>1381</v>
      </c>
      <c r="C2508" t="s">
        <v>554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83</v>
      </c>
      <c r="L2508" s="39">
        <f t="shared" si="162"/>
        <v>1.0375000000000001</v>
      </c>
      <c r="M2508" s="39">
        <f t="shared" si="163"/>
        <v>1.0375000000000001</v>
      </c>
      <c r="N2508" t="s">
        <v>25</v>
      </c>
      <c r="O2508" t="s">
        <v>25</v>
      </c>
      <c r="P2508">
        <v>0</v>
      </c>
      <c r="Q2508">
        <v>0</v>
      </c>
      <c r="R2508" t="s">
        <v>1382</v>
      </c>
    </row>
    <row r="2509" spans="1:18" hidden="1" x14ac:dyDescent="0.3">
      <c r="A2509">
        <v>492</v>
      </c>
      <c r="B2509" t="s">
        <v>1381</v>
      </c>
      <c r="C2509" t="s">
        <v>554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95</v>
      </c>
      <c r="L2509" s="39">
        <f t="shared" si="162"/>
        <v>1.1875</v>
      </c>
      <c r="M2509" s="39">
        <f t="shared" si="163"/>
        <v>1.1875</v>
      </c>
      <c r="N2509" t="s">
        <v>25</v>
      </c>
      <c r="O2509" t="s">
        <v>25</v>
      </c>
      <c r="P2509">
        <v>0</v>
      </c>
      <c r="Q2509">
        <v>0</v>
      </c>
      <c r="R2509" t="s">
        <v>1383</v>
      </c>
    </row>
    <row r="2510" spans="1:18" hidden="1" x14ac:dyDescent="0.3">
      <c r="A2510">
        <v>493</v>
      </c>
      <c r="B2510" t="s">
        <v>1384</v>
      </c>
      <c r="C2510" t="s">
        <v>595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81</v>
      </c>
      <c r="L2510" s="39">
        <f t="shared" si="162"/>
        <v>1.0125</v>
      </c>
      <c r="M2510" s="39">
        <f t="shared" si="163"/>
        <v>1.0125</v>
      </c>
      <c r="N2510" t="s">
        <v>25</v>
      </c>
      <c r="O2510" t="s">
        <v>25</v>
      </c>
      <c r="P2510">
        <v>0</v>
      </c>
      <c r="Q2510">
        <v>0</v>
      </c>
      <c r="R2510" t="s">
        <v>1385</v>
      </c>
    </row>
    <row r="2511" spans="1:18" hidden="1" x14ac:dyDescent="0.3">
      <c r="A2511">
        <v>493</v>
      </c>
      <c r="B2511" t="s">
        <v>1384</v>
      </c>
      <c r="C2511" t="s">
        <v>595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77</v>
      </c>
      <c r="L2511" s="39">
        <f t="shared" si="162"/>
        <v>0.96250000000000002</v>
      </c>
      <c r="M2511" s="39">
        <f t="shared" si="163"/>
        <v>0.96250000000000002</v>
      </c>
      <c r="N2511" t="s">
        <v>25</v>
      </c>
      <c r="O2511" t="s">
        <v>25</v>
      </c>
      <c r="P2511">
        <v>0</v>
      </c>
      <c r="Q2511">
        <v>0</v>
      </c>
      <c r="R2511" t="s">
        <v>1386</v>
      </c>
    </row>
    <row r="2512" spans="1:18" hidden="1" x14ac:dyDescent="0.3">
      <c r="A2512">
        <v>494</v>
      </c>
      <c r="B2512" t="s">
        <v>1387</v>
      </c>
      <c r="C2512" t="s">
        <v>739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89</v>
      </c>
      <c r="L2512" s="39">
        <f t="shared" si="162"/>
        <v>1.1125</v>
      </c>
      <c r="M2512" s="39">
        <f t="shared" si="163"/>
        <v>1.1125</v>
      </c>
      <c r="N2512" t="s">
        <v>25</v>
      </c>
      <c r="O2512" t="s">
        <v>25</v>
      </c>
      <c r="P2512">
        <v>0</v>
      </c>
      <c r="Q2512">
        <v>0</v>
      </c>
      <c r="R2512" t="s">
        <v>1388</v>
      </c>
    </row>
    <row r="2513" spans="1:19" hidden="1" x14ac:dyDescent="0.3">
      <c r="A2513">
        <v>494</v>
      </c>
      <c r="B2513" t="s">
        <v>1387</v>
      </c>
      <c r="C2513" t="s">
        <v>739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93</v>
      </c>
      <c r="L2513" s="39">
        <f t="shared" si="162"/>
        <v>1.1625000000000001</v>
      </c>
      <c r="M2513" s="39">
        <f t="shared" si="163"/>
        <v>1.1625000000000001</v>
      </c>
      <c r="N2513" t="s">
        <v>25</v>
      </c>
      <c r="O2513" t="s">
        <v>25</v>
      </c>
      <c r="P2513">
        <v>0</v>
      </c>
      <c r="Q2513">
        <v>0</v>
      </c>
      <c r="R2513" t="s">
        <v>1389</v>
      </c>
    </row>
    <row r="2514" spans="1:19" hidden="1" x14ac:dyDescent="0.3">
      <c r="A2514">
        <v>495</v>
      </c>
      <c r="B2514" t="s">
        <v>1390</v>
      </c>
      <c r="C2514" t="s">
        <v>901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92</v>
      </c>
      <c r="L2514" s="39">
        <f t="shared" si="162"/>
        <v>1.1499999999999999</v>
      </c>
      <c r="M2514" s="39">
        <f t="shared" si="163"/>
        <v>1.1499999999999999</v>
      </c>
      <c r="N2514" t="s">
        <v>25</v>
      </c>
      <c r="O2514" t="s">
        <v>25</v>
      </c>
      <c r="P2514">
        <v>0</v>
      </c>
      <c r="Q2514">
        <v>0</v>
      </c>
      <c r="R2514" t="s">
        <v>1391</v>
      </c>
    </row>
    <row r="2515" spans="1:19" hidden="1" x14ac:dyDescent="0.3">
      <c r="A2515">
        <v>495</v>
      </c>
      <c r="B2515" t="s">
        <v>1390</v>
      </c>
      <c r="C2515" t="s">
        <v>901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63</v>
      </c>
      <c r="L2515" s="39">
        <f t="shared" si="162"/>
        <v>0.78749999999999998</v>
      </c>
      <c r="M2515" s="39">
        <f t="shared" si="163"/>
        <v>0.78749999999999998</v>
      </c>
      <c r="N2515" t="s">
        <v>25</v>
      </c>
      <c r="O2515" t="s">
        <v>25</v>
      </c>
      <c r="P2515">
        <v>0</v>
      </c>
      <c r="Q2515">
        <v>0</v>
      </c>
      <c r="R2515" t="s">
        <v>1392</v>
      </c>
    </row>
    <row r="2516" spans="1:19" hidden="1" x14ac:dyDescent="0.3">
      <c r="A2516">
        <v>496</v>
      </c>
      <c r="B2516" t="s">
        <v>1393</v>
      </c>
      <c r="C2516" t="s">
        <v>159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88</v>
      </c>
      <c r="L2516" s="39">
        <f t="shared" si="162"/>
        <v>1.1000000000000001</v>
      </c>
      <c r="M2516" s="39">
        <f t="shared" si="163"/>
        <v>1.1000000000000001</v>
      </c>
      <c r="N2516" t="s">
        <v>25</v>
      </c>
      <c r="O2516" t="s">
        <v>25</v>
      </c>
      <c r="P2516">
        <v>0</v>
      </c>
      <c r="Q2516">
        <v>0</v>
      </c>
      <c r="R2516" t="s">
        <v>1394</v>
      </c>
    </row>
    <row r="2517" spans="1:19" hidden="1" x14ac:dyDescent="0.3">
      <c r="A2517">
        <v>496</v>
      </c>
      <c r="B2517" t="s">
        <v>1393</v>
      </c>
      <c r="C2517" t="s">
        <v>159</v>
      </c>
      <c r="D2517" t="s">
        <v>71</v>
      </c>
      <c r="E2517" t="s">
        <v>22</v>
      </c>
      <c r="F2517" s="79">
        <v>46022</v>
      </c>
      <c r="G2517">
        <v>2025</v>
      </c>
      <c r="H2517" t="s">
        <v>23</v>
      </c>
      <c r="I2517" t="s">
        <v>32</v>
      </c>
      <c r="J2517">
        <v>80</v>
      </c>
      <c r="K2517">
        <v>100</v>
      </c>
      <c r="L2517" s="39">
        <f t="shared" si="162"/>
        <v>1.25</v>
      </c>
      <c r="M2517" s="39">
        <f t="shared" si="163"/>
        <v>1.25</v>
      </c>
      <c r="N2517" t="s">
        <v>25</v>
      </c>
      <c r="O2517" t="s">
        <v>25</v>
      </c>
      <c r="P2517">
        <v>0</v>
      </c>
      <c r="Q2517">
        <v>0</v>
      </c>
      <c r="R2517" t="s">
        <v>1395</v>
      </c>
    </row>
    <row r="2518" spans="1:19" hidden="1" x14ac:dyDescent="0.3">
      <c r="A2518">
        <v>497</v>
      </c>
      <c r="B2518" t="s">
        <v>1396</v>
      </c>
      <c r="C2518" t="s">
        <v>927</v>
      </c>
      <c r="D2518" t="s">
        <v>71</v>
      </c>
      <c r="E2518" t="s">
        <v>22</v>
      </c>
      <c r="F2518" s="79">
        <v>45657</v>
      </c>
      <c r="G2518">
        <v>2024</v>
      </c>
      <c r="H2518" t="s">
        <v>23</v>
      </c>
      <c r="I2518" t="s">
        <v>30</v>
      </c>
      <c r="J2518">
        <v>80</v>
      </c>
      <c r="K2518">
        <v>83</v>
      </c>
      <c r="L2518" s="39">
        <f t="shared" si="162"/>
        <v>1.0375000000000001</v>
      </c>
      <c r="M2518" s="39">
        <f t="shared" si="163"/>
        <v>1.0375000000000001</v>
      </c>
      <c r="N2518" t="s">
        <v>25</v>
      </c>
      <c r="O2518" t="s">
        <v>25</v>
      </c>
      <c r="P2518">
        <v>0</v>
      </c>
      <c r="Q2518">
        <v>0</v>
      </c>
      <c r="R2518" t="s">
        <v>1397</v>
      </c>
    </row>
    <row r="2519" spans="1:19" hidden="1" x14ac:dyDescent="0.3">
      <c r="A2519">
        <v>498</v>
      </c>
      <c r="B2519" t="s">
        <v>1398</v>
      </c>
      <c r="C2519" t="s">
        <v>619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92</v>
      </c>
      <c r="L2519" s="39">
        <f t="shared" si="162"/>
        <v>1.1499999999999999</v>
      </c>
      <c r="M2519" s="39">
        <f t="shared" si="163"/>
        <v>1.1499999999999999</v>
      </c>
      <c r="N2519" t="s">
        <v>25</v>
      </c>
      <c r="O2519" t="s">
        <v>25</v>
      </c>
      <c r="P2519">
        <v>0</v>
      </c>
      <c r="Q2519">
        <v>0</v>
      </c>
      <c r="R2519" t="s">
        <v>1399</v>
      </c>
    </row>
    <row r="2520" spans="1:19" hidden="1" x14ac:dyDescent="0.3">
      <c r="A2520">
        <v>498</v>
      </c>
      <c r="B2520" t="s">
        <v>1398</v>
      </c>
      <c r="C2520" t="s">
        <v>619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95</v>
      </c>
      <c r="L2520" s="39">
        <f t="shared" si="162"/>
        <v>1.1875</v>
      </c>
      <c r="M2520" s="39">
        <f t="shared" si="163"/>
        <v>1.1875</v>
      </c>
      <c r="N2520" t="s">
        <v>25</v>
      </c>
      <c r="O2520" t="s">
        <v>25</v>
      </c>
      <c r="P2520">
        <v>0</v>
      </c>
      <c r="Q2520">
        <v>0</v>
      </c>
      <c r="R2520" t="s">
        <v>1400</v>
      </c>
    </row>
    <row r="2521" spans="1:19" hidden="1" x14ac:dyDescent="0.3">
      <c r="A2521">
        <v>499</v>
      </c>
      <c r="B2521" t="s">
        <v>1401</v>
      </c>
      <c r="C2521" t="s">
        <v>922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87</v>
      </c>
      <c r="L2521" s="39">
        <f t="shared" si="162"/>
        <v>1.0874999999999999</v>
      </c>
      <c r="M2521" s="39">
        <f t="shared" si="163"/>
        <v>1.0874999999999999</v>
      </c>
      <c r="N2521" t="s">
        <v>25</v>
      </c>
      <c r="O2521" t="s">
        <v>25</v>
      </c>
      <c r="P2521">
        <v>0</v>
      </c>
      <c r="Q2521">
        <v>0</v>
      </c>
      <c r="R2521" t="s">
        <v>1402</v>
      </c>
    </row>
    <row r="2522" spans="1:19" hidden="1" x14ac:dyDescent="0.3">
      <c r="A2522">
        <v>499</v>
      </c>
      <c r="B2522" t="s">
        <v>1401</v>
      </c>
      <c r="C2522" t="s">
        <v>922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L2522" s="39" t="str">
        <f t="shared" si="162"/>
        <v/>
      </c>
      <c r="M2522" s="39" t="str">
        <f t="shared" si="163"/>
        <v/>
      </c>
      <c r="N2522" t="s">
        <v>25</v>
      </c>
      <c r="O2522" t="s">
        <v>25</v>
      </c>
      <c r="P2522">
        <v>0</v>
      </c>
      <c r="Q2522">
        <v>0</v>
      </c>
      <c r="R2522" t="s">
        <v>1403</v>
      </c>
      <c r="S2522" t="s">
        <v>302</v>
      </c>
    </row>
    <row r="2523" spans="1:19" hidden="1" x14ac:dyDescent="0.3">
      <c r="A2523">
        <v>500</v>
      </c>
      <c r="B2523" t="s">
        <v>1404</v>
      </c>
      <c r="C2523" t="s">
        <v>753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89</v>
      </c>
      <c r="L2523" s="39">
        <f t="shared" si="162"/>
        <v>1.1125</v>
      </c>
      <c r="M2523" s="39">
        <f t="shared" si="163"/>
        <v>1.1125</v>
      </c>
      <c r="N2523" t="s">
        <v>25</v>
      </c>
      <c r="O2523" t="s">
        <v>25</v>
      </c>
      <c r="P2523">
        <v>0</v>
      </c>
      <c r="Q2523">
        <v>0</v>
      </c>
      <c r="R2523" t="s">
        <v>1405</v>
      </c>
    </row>
    <row r="2524" spans="1:19" hidden="1" x14ac:dyDescent="0.3">
      <c r="A2524">
        <v>500</v>
      </c>
      <c r="B2524" t="s">
        <v>1404</v>
      </c>
      <c r="C2524" t="s">
        <v>753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ref="L2524:L2554" si="164">IFERROR(IF(OR(J2524=0,K2524=""),"",IF(E2524="Positivo",MIN(MAX(K2524/J2524,0),1.3),MIN(MAX(J2524/K2524,0),1.3))),"")</f>
        <v>1.25</v>
      </c>
      <c r="M2524" s="39">
        <f t="shared" ref="M2524:M2554" si="165">IFERROR(IF(OR(J2524=0,K2524=""),"",IF(E2524="Positivo",MAX(K2524/J2524,0),MAX(J2524/K2524,0))),"")</f>
        <v>1.25</v>
      </c>
      <c r="N2524" t="s">
        <v>25</v>
      </c>
      <c r="O2524" t="s">
        <v>25</v>
      </c>
      <c r="P2524">
        <v>0</v>
      </c>
      <c r="Q2524">
        <v>0</v>
      </c>
      <c r="R2524" t="s">
        <v>1406</v>
      </c>
    </row>
    <row r="2525" spans="1:19" hidden="1" x14ac:dyDescent="0.3">
      <c r="A2525">
        <v>501</v>
      </c>
      <c r="B2525" t="s">
        <v>1407</v>
      </c>
      <c r="C2525" t="s">
        <v>549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88</v>
      </c>
      <c r="L2525" s="39">
        <f t="shared" si="164"/>
        <v>1.1000000000000001</v>
      </c>
      <c r="M2525" s="39">
        <f t="shared" si="165"/>
        <v>1.1000000000000001</v>
      </c>
      <c r="N2525" t="s">
        <v>25</v>
      </c>
      <c r="O2525" t="s">
        <v>25</v>
      </c>
      <c r="P2525">
        <v>0</v>
      </c>
      <c r="Q2525">
        <v>0</v>
      </c>
      <c r="R2525" t="s">
        <v>1408</v>
      </c>
    </row>
    <row r="2526" spans="1:19" hidden="1" x14ac:dyDescent="0.3">
      <c r="A2526">
        <v>501</v>
      </c>
      <c r="B2526" t="s">
        <v>1407</v>
      </c>
      <c r="C2526" t="s">
        <v>549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100</v>
      </c>
      <c r="L2526" s="39">
        <f t="shared" si="164"/>
        <v>1.25</v>
      </c>
      <c r="M2526" s="39">
        <f t="shared" si="165"/>
        <v>1.25</v>
      </c>
      <c r="N2526" t="s">
        <v>25</v>
      </c>
      <c r="O2526" t="s">
        <v>25</v>
      </c>
      <c r="P2526">
        <v>0</v>
      </c>
      <c r="Q2526">
        <v>0</v>
      </c>
      <c r="R2526" t="s">
        <v>1409</v>
      </c>
    </row>
    <row r="2527" spans="1:19" hidden="1" x14ac:dyDescent="0.3">
      <c r="A2527">
        <v>502</v>
      </c>
      <c r="B2527" t="s">
        <v>1410</v>
      </c>
      <c r="C2527" t="s">
        <v>274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90</v>
      </c>
      <c r="L2527" s="39">
        <f t="shared" si="164"/>
        <v>1.125</v>
      </c>
      <c r="M2527" s="39">
        <f t="shared" si="165"/>
        <v>1.125</v>
      </c>
      <c r="N2527" t="s">
        <v>25</v>
      </c>
      <c r="O2527" t="s">
        <v>25</v>
      </c>
      <c r="P2527">
        <v>0</v>
      </c>
      <c r="Q2527">
        <v>0</v>
      </c>
      <c r="R2527" t="s">
        <v>1411</v>
      </c>
    </row>
    <row r="2528" spans="1:19" hidden="1" x14ac:dyDescent="0.3">
      <c r="A2528">
        <v>502</v>
      </c>
      <c r="B2528" t="s">
        <v>1410</v>
      </c>
      <c r="C2528" t="s">
        <v>274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97</v>
      </c>
      <c r="L2528" s="39">
        <f t="shared" si="164"/>
        <v>1.2124999999999999</v>
      </c>
      <c r="M2528" s="39">
        <f t="shared" si="165"/>
        <v>1.2124999999999999</v>
      </c>
      <c r="N2528" t="s">
        <v>25</v>
      </c>
      <c r="O2528" t="s">
        <v>25</v>
      </c>
      <c r="P2528">
        <v>0</v>
      </c>
      <c r="Q2528">
        <v>0</v>
      </c>
      <c r="R2528" t="s">
        <v>1412</v>
      </c>
    </row>
    <row r="2529" spans="1:18" hidden="1" x14ac:dyDescent="0.3">
      <c r="A2529">
        <v>503</v>
      </c>
      <c r="B2529" t="s">
        <v>1413</v>
      </c>
      <c r="C2529" t="s">
        <v>1059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86</v>
      </c>
      <c r="L2529" s="39">
        <f t="shared" si="164"/>
        <v>1.075</v>
      </c>
      <c r="M2529" s="39">
        <f t="shared" si="165"/>
        <v>1.075</v>
      </c>
      <c r="N2529" t="s">
        <v>25</v>
      </c>
      <c r="O2529" t="s">
        <v>25</v>
      </c>
      <c r="P2529">
        <v>0</v>
      </c>
      <c r="Q2529">
        <v>0</v>
      </c>
      <c r="R2529" t="s">
        <v>1414</v>
      </c>
    </row>
    <row r="2530" spans="1:18" hidden="1" x14ac:dyDescent="0.3">
      <c r="A2530">
        <v>503</v>
      </c>
      <c r="B2530" t="s">
        <v>1413</v>
      </c>
      <c r="C2530" t="s">
        <v>1059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94</v>
      </c>
      <c r="L2530" s="39">
        <f t="shared" si="164"/>
        <v>1.175</v>
      </c>
      <c r="M2530" s="39">
        <f t="shared" si="165"/>
        <v>1.175</v>
      </c>
      <c r="N2530" t="s">
        <v>25</v>
      </c>
      <c r="O2530" t="s">
        <v>25</v>
      </c>
      <c r="P2530">
        <v>0</v>
      </c>
      <c r="Q2530">
        <v>0</v>
      </c>
      <c r="R2530" t="s">
        <v>1415</v>
      </c>
    </row>
    <row r="2531" spans="1:18" hidden="1" x14ac:dyDescent="0.3">
      <c r="A2531">
        <v>504</v>
      </c>
      <c r="B2531" t="s">
        <v>1416</v>
      </c>
      <c r="C2531" t="s">
        <v>1110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88</v>
      </c>
      <c r="L2531" s="39">
        <f t="shared" si="164"/>
        <v>1.1000000000000001</v>
      </c>
      <c r="M2531" s="39">
        <f t="shared" si="165"/>
        <v>1.1000000000000001</v>
      </c>
      <c r="N2531" t="s">
        <v>25</v>
      </c>
      <c r="O2531" t="s">
        <v>25</v>
      </c>
      <c r="P2531">
        <v>0</v>
      </c>
      <c r="Q2531">
        <v>0</v>
      </c>
      <c r="R2531" t="s">
        <v>1417</v>
      </c>
    </row>
    <row r="2532" spans="1:18" hidden="1" x14ac:dyDescent="0.3">
      <c r="A2532">
        <v>504</v>
      </c>
      <c r="B2532" t="s">
        <v>1416</v>
      </c>
      <c r="C2532" t="s">
        <v>1110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88</v>
      </c>
      <c r="L2532" s="39">
        <f t="shared" si="164"/>
        <v>1.1000000000000001</v>
      </c>
      <c r="M2532" s="39">
        <f t="shared" si="165"/>
        <v>1.1000000000000001</v>
      </c>
      <c r="N2532" t="s">
        <v>25</v>
      </c>
      <c r="O2532" t="s">
        <v>25</v>
      </c>
      <c r="P2532">
        <v>0</v>
      </c>
      <c r="Q2532">
        <v>0</v>
      </c>
      <c r="R2532" t="s">
        <v>1418</v>
      </c>
    </row>
    <row r="2533" spans="1:18" hidden="1" x14ac:dyDescent="0.3">
      <c r="A2533">
        <v>505</v>
      </c>
      <c r="B2533" t="s">
        <v>1419</v>
      </c>
      <c r="C2533" t="s">
        <v>1183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85</v>
      </c>
      <c r="L2533" s="39">
        <f t="shared" si="164"/>
        <v>1.0625</v>
      </c>
      <c r="M2533" s="39">
        <f t="shared" si="165"/>
        <v>1.0625</v>
      </c>
      <c r="N2533" t="s">
        <v>25</v>
      </c>
      <c r="O2533" t="s">
        <v>25</v>
      </c>
      <c r="P2533">
        <v>0</v>
      </c>
      <c r="Q2533">
        <v>0</v>
      </c>
      <c r="R2533" t="s">
        <v>1420</v>
      </c>
    </row>
    <row r="2534" spans="1:18" hidden="1" x14ac:dyDescent="0.3">
      <c r="A2534">
        <v>505</v>
      </c>
      <c r="B2534" t="s">
        <v>1419</v>
      </c>
      <c r="C2534" t="s">
        <v>1183</v>
      </c>
      <c r="D2534" t="s">
        <v>71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80</v>
      </c>
      <c r="K2534">
        <v>86</v>
      </c>
      <c r="L2534" s="39">
        <f t="shared" si="164"/>
        <v>1.075</v>
      </c>
      <c r="M2534" s="39">
        <f t="shared" si="165"/>
        <v>1.075</v>
      </c>
      <c r="N2534" t="s">
        <v>25</v>
      </c>
      <c r="O2534" t="s">
        <v>25</v>
      </c>
      <c r="P2534">
        <v>0</v>
      </c>
      <c r="Q2534">
        <v>0</v>
      </c>
      <c r="R2534" t="s">
        <v>1421</v>
      </c>
    </row>
    <row r="2535" spans="1:18" hidden="1" x14ac:dyDescent="0.3">
      <c r="A2535">
        <v>506</v>
      </c>
      <c r="B2535" t="s">
        <v>1422</v>
      </c>
      <c r="C2535" t="s">
        <v>941</v>
      </c>
      <c r="D2535" t="s">
        <v>71</v>
      </c>
      <c r="E2535" t="s">
        <v>22</v>
      </c>
      <c r="F2535" s="79">
        <v>45657</v>
      </c>
      <c r="G2535">
        <v>2024</v>
      </c>
      <c r="H2535" t="s">
        <v>23</v>
      </c>
      <c r="I2535" t="s">
        <v>30</v>
      </c>
      <c r="J2535">
        <v>80</v>
      </c>
      <c r="K2535">
        <v>67</v>
      </c>
      <c r="L2535" s="39">
        <f t="shared" si="164"/>
        <v>0.83750000000000002</v>
      </c>
      <c r="M2535" s="39">
        <f t="shared" si="165"/>
        <v>0.83750000000000002</v>
      </c>
      <c r="N2535" t="s">
        <v>25</v>
      </c>
      <c r="O2535" t="s">
        <v>25</v>
      </c>
      <c r="P2535">
        <v>0</v>
      </c>
      <c r="Q2535">
        <v>0</v>
      </c>
      <c r="R2535" t="s">
        <v>1423</v>
      </c>
    </row>
    <row r="2536" spans="1:18" hidden="1" x14ac:dyDescent="0.3">
      <c r="A2536">
        <v>506</v>
      </c>
      <c r="B2536" t="s">
        <v>1422</v>
      </c>
      <c r="C2536" t="s">
        <v>941</v>
      </c>
      <c r="D2536" t="s">
        <v>21</v>
      </c>
      <c r="E2536" t="s">
        <v>22</v>
      </c>
      <c r="F2536" s="79">
        <v>45838</v>
      </c>
      <c r="G2536">
        <v>2025</v>
      </c>
      <c r="H2536" t="s">
        <v>699</v>
      </c>
      <c r="I2536" t="s">
        <v>700</v>
      </c>
      <c r="J2536">
        <v>80</v>
      </c>
      <c r="K2536">
        <v>95</v>
      </c>
      <c r="L2536" s="39">
        <f t="shared" si="164"/>
        <v>1.1875</v>
      </c>
      <c r="M2536" s="39">
        <f t="shared" si="165"/>
        <v>1.1875</v>
      </c>
      <c r="N2536" t="s">
        <v>25</v>
      </c>
      <c r="O2536" t="s">
        <v>25</v>
      </c>
      <c r="P2536">
        <v>0</v>
      </c>
      <c r="Q2536">
        <v>0</v>
      </c>
      <c r="R2536" t="s">
        <v>3191</v>
      </c>
    </row>
    <row r="2537" spans="1:18" hidden="1" x14ac:dyDescent="0.3">
      <c r="A2537">
        <v>506</v>
      </c>
      <c r="B2537" t="s">
        <v>1422</v>
      </c>
      <c r="C2537" t="s">
        <v>941</v>
      </c>
      <c r="D2537" t="s">
        <v>21</v>
      </c>
      <c r="E2537" t="s">
        <v>22</v>
      </c>
      <c r="F2537" s="79">
        <v>46022</v>
      </c>
      <c r="G2537">
        <v>2025</v>
      </c>
      <c r="H2537" t="s">
        <v>23</v>
      </c>
      <c r="I2537" t="s">
        <v>32</v>
      </c>
      <c r="J2537">
        <v>80</v>
      </c>
      <c r="K2537">
        <v>92.5</v>
      </c>
      <c r="L2537" s="39">
        <f t="shared" si="164"/>
        <v>1.15625</v>
      </c>
      <c r="M2537" s="39">
        <f t="shared" si="165"/>
        <v>1.15625</v>
      </c>
      <c r="N2537" t="s">
        <v>25</v>
      </c>
      <c r="O2537" t="s">
        <v>25</v>
      </c>
      <c r="P2537">
        <v>0</v>
      </c>
      <c r="Q2537">
        <v>0</v>
      </c>
      <c r="R2537" t="s">
        <v>1424</v>
      </c>
    </row>
    <row r="2538" spans="1:18" hidden="1" x14ac:dyDescent="0.3">
      <c r="A2538">
        <v>507</v>
      </c>
      <c r="B2538" t="s">
        <v>1425</v>
      </c>
      <c r="C2538" t="s">
        <v>711</v>
      </c>
      <c r="D2538" t="s">
        <v>71</v>
      </c>
      <c r="E2538" t="s">
        <v>22</v>
      </c>
      <c r="F2538" s="79">
        <v>45657</v>
      </c>
      <c r="G2538">
        <v>2024</v>
      </c>
      <c r="H2538" t="s">
        <v>23</v>
      </c>
      <c r="I2538" t="s">
        <v>30</v>
      </c>
      <c r="J2538">
        <v>80</v>
      </c>
      <c r="K2538">
        <v>77</v>
      </c>
      <c r="L2538" s="39">
        <f t="shared" si="164"/>
        <v>0.96250000000000002</v>
      </c>
      <c r="M2538" s="39">
        <f t="shared" si="165"/>
        <v>0.96250000000000002</v>
      </c>
      <c r="N2538" t="s">
        <v>25</v>
      </c>
      <c r="O2538" t="s">
        <v>25</v>
      </c>
      <c r="P2538">
        <v>0</v>
      </c>
      <c r="Q2538">
        <v>0</v>
      </c>
      <c r="R2538" t="s">
        <v>1426</v>
      </c>
    </row>
    <row r="2539" spans="1:18" hidden="1" x14ac:dyDescent="0.3">
      <c r="A2539">
        <v>507</v>
      </c>
      <c r="B2539" t="s">
        <v>1425</v>
      </c>
      <c r="C2539" t="s">
        <v>711</v>
      </c>
      <c r="D2539" t="s">
        <v>21</v>
      </c>
      <c r="E2539" t="s">
        <v>22</v>
      </c>
      <c r="F2539" s="79">
        <v>45838</v>
      </c>
      <c r="G2539">
        <v>2025</v>
      </c>
      <c r="H2539" t="s">
        <v>699</v>
      </c>
      <c r="I2539" t="s">
        <v>700</v>
      </c>
      <c r="J2539">
        <v>80</v>
      </c>
      <c r="K2539">
        <v>98.75</v>
      </c>
      <c r="L2539" s="39">
        <f t="shared" si="164"/>
        <v>1.234375</v>
      </c>
      <c r="M2539" s="39">
        <f t="shared" si="165"/>
        <v>1.234375</v>
      </c>
      <c r="N2539" t="s">
        <v>25</v>
      </c>
      <c r="O2539" t="s">
        <v>25</v>
      </c>
      <c r="P2539">
        <v>0</v>
      </c>
      <c r="Q2539">
        <v>0</v>
      </c>
      <c r="R2539" t="s">
        <v>3192</v>
      </c>
    </row>
    <row r="2540" spans="1:18" hidden="1" x14ac:dyDescent="0.3">
      <c r="A2540">
        <v>507</v>
      </c>
      <c r="B2540" t="s">
        <v>1425</v>
      </c>
      <c r="C2540" t="s">
        <v>711</v>
      </c>
      <c r="D2540" t="s">
        <v>21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99</v>
      </c>
      <c r="L2540" s="39">
        <f t="shared" si="164"/>
        <v>1.2375</v>
      </c>
      <c r="M2540" s="39">
        <f t="shared" si="165"/>
        <v>1.2375</v>
      </c>
      <c r="N2540" t="s">
        <v>25</v>
      </c>
      <c r="O2540" t="s">
        <v>25</v>
      </c>
      <c r="P2540">
        <v>0</v>
      </c>
      <c r="Q2540">
        <v>0</v>
      </c>
      <c r="R2540" t="s">
        <v>1427</v>
      </c>
    </row>
    <row r="2541" spans="1:18" hidden="1" x14ac:dyDescent="0.3">
      <c r="A2541">
        <v>508</v>
      </c>
      <c r="B2541" t="s">
        <v>1428</v>
      </c>
      <c r="C2541" t="s">
        <v>1089</v>
      </c>
      <c r="D2541" t="s">
        <v>71</v>
      </c>
      <c r="E2541" t="s">
        <v>22</v>
      </c>
      <c r="F2541" s="79">
        <v>45657</v>
      </c>
      <c r="G2541">
        <v>2024</v>
      </c>
      <c r="H2541" t="s">
        <v>23</v>
      </c>
      <c r="I2541" t="s">
        <v>30</v>
      </c>
      <c r="J2541">
        <v>80</v>
      </c>
      <c r="K2541">
        <v>88</v>
      </c>
      <c r="L2541" s="39">
        <f t="shared" si="164"/>
        <v>1.1000000000000001</v>
      </c>
      <c r="M2541" s="39">
        <f t="shared" si="165"/>
        <v>1.1000000000000001</v>
      </c>
      <c r="N2541" t="s">
        <v>25</v>
      </c>
      <c r="O2541" t="s">
        <v>25</v>
      </c>
      <c r="P2541">
        <v>0</v>
      </c>
      <c r="Q2541">
        <v>0</v>
      </c>
      <c r="R2541" t="s">
        <v>1429</v>
      </c>
    </row>
    <row r="2542" spans="1:18" hidden="1" x14ac:dyDescent="0.3">
      <c r="A2542">
        <v>508</v>
      </c>
      <c r="B2542" t="s">
        <v>1428</v>
      </c>
      <c r="C2542" t="s">
        <v>1089</v>
      </c>
      <c r="D2542" t="s">
        <v>71</v>
      </c>
      <c r="E2542" t="s">
        <v>22</v>
      </c>
      <c r="F2542" s="79">
        <v>46022</v>
      </c>
      <c r="G2542">
        <v>2025</v>
      </c>
      <c r="H2542" t="s">
        <v>23</v>
      </c>
      <c r="I2542" t="s">
        <v>32</v>
      </c>
      <c r="J2542">
        <v>80</v>
      </c>
      <c r="K2542">
        <v>89</v>
      </c>
      <c r="L2542" s="39">
        <f t="shared" si="164"/>
        <v>1.1125</v>
      </c>
      <c r="M2542" s="39">
        <f t="shared" si="165"/>
        <v>1.1125</v>
      </c>
      <c r="N2542" t="s">
        <v>25</v>
      </c>
      <c r="O2542" t="s">
        <v>25</v>
      </c>
      <c r="P2542">
        <v>0</v>
      </c>
      <c r="Q2542">
        <v>0</v>
      </c>
      <c r="R2542" t="s">
        <v>1430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45688</v>
      </c>
      <c r="G2543">
        <v>2025</v>
      </c>
      <c r="H2543" t="s">
        <v>59</v>
      </c>
      <c r="I2543" t="s">
        <v>700</v>
      </c>
      <c r="J2543">
        <v>90</v>
      </c>
      <c r="K2543">
        <v>99.45</v>
      </c>
      <c r="L2543" s="39">
        <f t="shared" si="164"/>
        <v>1.105</v>
      </c>
      <c r="M2543" s="39">
        <f t="shared" si="165"/>
        <v>1.105</v>
      </c>
      <c r="N2543" t="s">
        <v>25</v>
      </c>
      <c r="O2543" t="s">
        <v>25</v>
      </c>
      <c r="P2543">
        <v>0</v>
      </c>
      <c r="Q2543">
        <v>0</v>
      </c>
      <c r="R2543" t="s">
        <v>3193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45716</v>
      </c>
      <c r="G2544">
        <v>2025</v>
      </c>
      <c r="H2544" t="s">
        <v>210</v>
      </c>
      <c r="I2544" t="s">
        <v>700</v>
      </c>
      <c r="J2544">
        <v>90</v>
      </c>
      <c r="K2544">
        <v>98.65</v>
      </c>
      <c r="L2544" s="39">
        <f t="shared" si="164"/>
        <v>1.0961111111111113</v>
      </c>
      <c r="M2544" s="39">
        <f t="shared" si="165"/>
        <v>1.0961111111111113</v>
      </c>
      <c r="N2544" t="s">
        <v>25</v>
      </c>
      <c r="O2544" t="s">
        <v>25</v>
      </c>
      <c r="P2544">
        <v>0</v>
      </c>
      <c r="Q2544">
        <v>0</v>
      </c>
      <c r="R2544" t="s">
        <v>3194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45747</v>
      </c>
      <c r="G2545">
        <v>2025</v>
      </c>
      <c r="H2545" t="s">
        <v>1516</v>
      </c>
      <c r="I2545" t="s">
        <v>700</v>
      </c>
      <c r="J2545">
        <v>90</v>
      </c>
      <c r="K2545">
        <v>94.49</v>
      </c>
      <c r="L2545" s="39">
        <f t="shared" si="164"/>
        <v>1.0498888888888889</v>
      </c>
      <c r="M2545" s="39">
        <f t="shared" si="165"/>
        <v>1.0498888888888889</v>
      </c>
      <c r="N2545" t="s">
        <v>25</v>
      </c>
      <c r="O2545" t="s">
        <v>25</v>
      </c>
      <c r="P2545">
        <v>0</v>
      </c>
      <c r="Q2545">
        <v>0</v>
      </c>
      <c r="R2545" t="s">
        <v>3195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45777</v>
      </c>
      <c r="G2546">
        <v>2025</v>
      </c>
      <c r="H2546" t="s">
        <v>1540</v>
      </c>
      <c r="I2546" t="s">
        <v>700</v>
      </c>
      <c r="J2546">
        <v>90</v>
      </c>
      <c r="K2546">
        <v>93.88</v>
      </c>
      <c r="L2546" s="39">
        <f t="shared" si="164"/>
        <v>1.0431111111111111</v>
      </c>
      <c r="M2546" s="39">
        <f t="shared" si="165"/>
        <v>1.0431111111111111</v>
      </c>
      <c r="N2546" t="s">
        <v>25</v>
      </c>
      <c r="O2546" t="s">
        <v>25</v>
      </c>
      <c r="P2546">
        <v>0</v>
      </c>
      <c r="Q2546">
        <v>0</v>
      </c>
      <c r="R2546" t="s">
        <v>3196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45808</v>
      </c>
      <c r="G2547">
        <v>2025</v>
      </c>
      <c r="H2547" t="s">
        <v>1542</v>
      </c>
      <c r="I2547" t="s">
        <v>700</v>
      </c>
      <c r="J2547">
        <v>90</v>
      </c>
      <c r="K2547">
        <v>93.8</v>
      </c>
      <c r="L2547" s="39">
        <f t="shared" si="164"/>
        <v>1.0422222222222222</v>
      </c>
      <c r="M2547" s="39">
        <f t="shared" si="165"/>
        <v>1.0422222222222222</v>
      </c>
      <c r="N2547" t="s">
        <v>25</v>
      </c>
      <c r="O2547" t="s">
        <v>25</v>
      </c>
      <c r="P2547">
        <v>0</v>
      </c>
      <c r="Q2547">
        <v>0</v>
      </c>
      <c r="R2547" t="s">
        <v>3197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45838</v>
      </c>
      <c r="G2548">
        <v>2025</v>
      </c>
      <c r="H2548" t="s">
        <v>699</v>
      </c>
      <c r="I2548" t="s">
        <v>700</v>
      </c>
      <c r="J2548">
        <v>90</v>
      </c>
      <c r="K2548">
        <v>100.59</v>
      </c>
      <c r="L2548" s="39">
        <f t="shared" si="164"/>
        <v>1.1176666666666668</v>
      </c>
      <c r="M2548" s="39">
        <f t="shared" si="165"/>
        <v>1.1176666666666668</v>
      </c>
      <c r="N2548" t="s">
        <v>25</v>
      </c>
      <c r="O2548" t="s">
        <v>25</v>
      </c>
      <c r="P2548">
        <v>0</v>
      </c>
      <c r="Q2548">
        <v>0</v>
      </c>
      <c r="R2548" t="s">
        <v>3198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45869</v>
      </c>
      <c r="G2549">
        <v>2025</v>
      </c>
      <c r="H2549" t="s">
        <v>260</v>
      </c>
      <c r="I2549" t="s">
        <v>32</v>
      </c>
      <c r="J2549">
        <v>90</v>
      </c>
      <c r="K2549">
        <v>96.04</v>
      </c>
      <c r="L2549" s="39">
        <f t="shared" si="164"/>
        <v>1.0671111111111111</v>
      </c>
      <c r="M2549" s="39">
        <f t="shared" si="165"/>
        <v>1.0671111111111111</v>
      </c>
      <c r="N2549" t="s">
        <v>25</v>
      </c>
      <c r="O2549" t="s">
        <v>25</v>
      </c>
      <c r="P2549">
        <v>0</v>
      </c>
      <c r="Q2549">
        <v>0</v>
      </c>
      <c r="R2549" t="s">
        <v>3199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45900</v>
      </c>
      <c r="G2550">
        <v>2025</v>
      </c>
      <c r="H2550" t="s">
        <v>1546</v>
      </c>
      <c r="I2550" t="s">
        <v>32</v>
      </c>
      <c r="J2550">
        <v>90</v>
      </c>
      <c r="K2550">
        <v>91.52</v>
      </c>
      <c r="L2550" s="39">
        <f t="shared" si="164"/>
        <v>1.016888888888889</v>
      </c>
      <c r="M2550" s="39">
        <f t="shared" si="165"/>
        <v>1.016888888888889</v>
      </c>
      <c r="N2550" t="s">
        <v>25</v>
      </c>
      <c r="O2550" t="s">
        <v>25</v>
      </c>
      <c r="P2550">
        <v>0</v>
      </c>
      <c r="Q2550">
        <v>0</v>
      </c>
      <c r="R2550" t="s">
        <v>3200</v>
      </c>
    </row>
    <row r="2551" spans="1:18" hidden="1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45930</v>
      </c>
      <c r="G2551">
        <v>2025</v>
      </c>
      <c r="H2551" t="s">
        <v>162</v>
      </c>
      <c r="I2551" t="s">
        <v>32</v>
      </c>
      <c r="J2551">
        <v>90</v>
      </c>
      <c r="K2551">
        <v>96.67</v>
      </c>
      <c r="L2551" s="39">
        <f t="shared" si="164"/>
        <v>1.0741111111111112</v>
      </c>
      <c r="M2551" s="39">
        <f t="shared" si="165"/>
        <v>1.0741111111111112</v>
      </c>
      <c r="N2551" t="s">
        <v>25</v>
      </c>
      <c r="O2551" t="s">
        <v>25</v>
      </c>
      <c r="P2551">
        <v>0</v>
      </c>
      <c r="Q2551">
        <v>0</v>
      </c>
      <c r="R2551" t="s">
        <v>3201</v>
      </c>
    </row>
    <row r="2552" spans="1:18" hidden="1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45961</v>
      </c>
      <c r="G2552">
        <v>2025</v>
      </c>
      <c r="H2552" t="s">
        <v>150</v>
      </c>
      <c r="I2552" t="s">
        <v>32</v>
      </c>
      <c r="J2552">
        <v>90</v>
      </c>
      <c r="K2552">
        <v>91.81</v>
      </c>
      <c r="L2552" s="39">
        <f t="shared" si="164"/>
        <v>1.0201111111111112</v>
      </c>
      <c r="M2552" s="39">
        <f t="shared" si="165"/>
        <v>1.0201111111111112</v>
      </c>
      <c r="N2552" t="s">
        <v>25</v>
      </c>
      <c r="O2552" t="s">
        <v>25</v>
      </c>
      <c r="P2552">
        <v>0</v>
      </c>
      <c r="Q2552">
        <v>0</v>
      </c>
      <c r="R2552" t="s">
        <v>3202</v>
      </c>
    </row>
    <row r="2553" spans="1:18" hidden="1" x14ac:dyDescent="0.3">
      <c r="A2553">
        <v>509</v>
      </c>
      <c r="B2553" t="s">
        <v>1431</v>
      </c>
      <c r="C2553" t="s">
        <v>511</v>
      </c>
      <c r="D2553" t="s">
        <v>54</v>
      </c>
      <c r="E2553" t="s">
        <v>22</v>
      </c>
      <c r="F2553" s="79">
        <v>45991</v>
      </c>
      <c r="G2553">
        <v>2025</v>
      </c>
      <c r="H2553" t="s">
        <v>1550</v>
      </c>
      <c r="I2553" t="s">
        <v>32</v>
      </c>
      <c r="J2553">
        <v>90</v>
      </c>
      <c r="K2553">
        <v>96.99</v>
      </c>
      <c r="L2553" s="39">
        <f t="shared" si="164"/>
        <v>1.0776666666666666</v>
      </c>
      <c r="M2553" s="39">
        <f t="shared" si="165"/>
        <v>1.0776666666666666</v>
      </c>
      <c r="N2553" t="s">
        <v>25</v>
      </c>
      <c r="O2553" t="s">
        <v>25</v>
      </c>
      <c r="P2553">
        <v>0</v>
      </c>
      <c r="Q2553">
        <v>0</v>
      </c>
      <c r="R2553" t="s">
        <v>3203</v>
      </c>
    </row>
    <row r="2554" spans="1:18" hidden="1" x14ac:dyDescent="0.3">
      <c r="A2554">
        <v>509</v>
      </c>
      <c r="B2554" t="s">
        <v>1431</v>
      </c>
      <c r="C2554" t="s">
        <v>511</v>
      </c>
      <c r="D2554" t="s">
        <v>54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J2554">
        <v>90</v>
      </c>
      <c r="K2554">
        <v>97.33</v>
      </c>
      <c r="L2554" s="39">
        <f t="shared" si="164"/>
        <v>1.0814444444444444</v>
      </c>
      <c r="M2554" s="39">
        <f t="shared" si="165"/>
        <v>1.0814444444444444</v>
      </c>
      <c r="N2554" t="s">
        <v>25</v>
      </c>
      <c r="O2554" t="s">
        <v>25</v>
      </c>
      <c r="P2554">
        <v>0</v>
      </c>
      <c r="Q2554">
        <v>0</v>
      </c>
      <c r="R2554" t="s">
        <v>1432</v>
      </c>
    </row>
    <row r="2555" spans="1:18" hidden="1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3204</v>
      </c>
    </row>
    <row r="2556" spans="1:18" hidden="1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3205</v>
      </c>
    </row>
    <row r="2557" spans="1:18" hidden="1" x14ac:dyDescent="0.3">
      <c r="A2557">
        <v>510</v>
      </c>
      <c r="B2557" t="s">
        <v>1433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0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3206</v>
      </c>
    </row>
    <row r="2558" spans="1:18" hidden="1" x14ac:dyDescent="0.3">
      <c r="A2558">
        <v>510</v>
      </c>
      <c r="B2558" t="s">
        <v>1433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0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1434</v>
      </c>
    </row>
    <row r="2559" spans="1:18" hidden="1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K2559">
        <v>373.70999908447271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3207</v>
      </c>
    </row>
    <row r="2560" spans="1:18" hidden="1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K2560">
        <v>86.36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3208</v>
      </c>
    </row>
    <row r="2561" spans="1:18" hidden="1" x14ac:dyDescent="0.3">
      <c r="A2561">
        <v>511</v>
      </c>
      <c r="B2561" t="s">
        <v>1435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K2561">
        <v>86.36</v>
      </c>
      <c r="L2561" s="39"/>
      <c r="M2561" s="39"/>
      <c r="N2561" t="s">
        <v>355</v>
      </c>
      <c r="O2561" t="s">
        <v>25</v>
      </c>
      <c r="P2561">
        <v>0</v>
      </c>
      <c r="Q2561">
        <v>0</v>
      </c>
      <c r="R2561" t="s">
        <v>3209</v>
      </c>
    </row>
    <row r="2562" spans="1:18" hidden="1" x14ac:dyDescent="0.3">
      <c r="A2562">
        <v>511</v>
      </c>
      <c r="B2562" t="s">
        <v>1435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K2562">
        <v>84.76</v>
      </c>
      <c r="L2562" s="39"/>
      <c r="M2562" s="39"/>
      <c r="N2562" t="s">
        <v>355</v>
      </c>
      <c r="O2562" t="s">
        <v>25</v>
      </c>
      <c r="P2562">
        <v>0</v>
      </c>
      <c r="Q2562">
        <v>0</v>
      </c>
      <c r="R2562" t="s">
        <v>1436</v>
      </c>
    </row>
    <row r="2563" spans="1:18" hidden="1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45747</v>
      </c>
      <c r="G2563">
        <v>2025</v>
      </c>
      <c r="H2563" t="s">
        <v>1516</v>
      </c>
      <c r="I2563" t="s">
        <v>700</v>
      </c>
      <c r="J2563">
        <v>15</v>
      </c>
      <c r="K2563">
        <v>100</v>
      </c>
      <c r="L2563" s="39">
        <f t="shared" ref="L2563:L2586" si="166">IFERROR(IF(OR(J2563=0,K2563=""),"",IF(E2563="Positivo",MIN(MAX(K2563/J2563,0),1.3),MIN(MAX(J2563/K2563,0),1.3))),"")</f>
        <v>1.3</v>
      </c>
      <c r="M2563" s="39">
        <f t="shared" ref="M2563:M2586" si="167">IFERROR(IF(OR(J2563=0,K2563=""),"",IF(E2563="Positivo",MAX(K2563/J2563,0),MAX(J2563/K2563,0))),"")</f>
        <v>6.666666666666667</v>
      </c>
      <c r="N2563" t="s">
        <v>355</v>
      </c>
      <c r="O2563" t="s">
        <v>25</v>
      </c>
      <c r="P2563">
        <v>0</v>
      </c>
      <c r="Q2563">
        <v>0</v>
      </c>
      <c r="R2563" t="s">
        <v>3210</v>
      </c>
    </row>
    <row r="2564" spans="1:18" hidden="1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45838</v>
      </c>
      <c r="G2564">
        <v>2025</v>
      </c>
      <c r="H2564" t="s">
        <v>699</v>
      </c>
      <c r="I2564" t="s">
        <v>700</v>
      </c>
      <c r="J2564">
        <v>32</v>
      </c>
      <c r="K2564">
        <v>100</v>
      </c>
      <c r="L2564" s="39">
        <f t="shared" si="166"/>
        <v>1.3</v>
      </c>
      <c r="M2564" s="39">
        <f t="shared" si="167"/>
        <v>3.125</v>
      </c>
      <c r="N2564" t="s">
        <v>355</v>
      </c>
      <c r="O2564" t="s">
        <v>25</v>
      </c>
      <c r="P2564">
        <v>0</v>
      </c>
      <c r="Q2564">
        <v>0</v>
      </c>
      <c r="R2564" t="s">
        <v>3211</v>
      </c>
    </row>
    <row r="2565" spans="1:18" hidden="1" x14ac:dyDescent="0.3">
      <c r="A2565">
        <v>513</v>
      </c>
      <c r="B2565" t="s">
        <v>1437</v>
      </c>
      <c r="C2565" t="s">
        <v>732</v>
      </c>
      <c r="D2565" t="s">
        <v>27</v>
      </c>
      <c r="E2565" t="s">
        <v>22</v>
      </c>
      <c r="F2565" s="79">
        <v>45930</v>
      </c>
      <c r="G2565">
        <v>2025</v>
      </c>
      <c r="H2565" t="s">
        <v>162</v>
      </c>
      <c r="I2565" t="s">
        <v>32</v>
      </c>
      <c r="J2565">
        <v>0</v>
      </c>
      <c r="K2565">
        <v>0</v>
      </c>
      <c r="L2565" s="39" t="str">
        <f t="shared" si="166"/>
        <v/>
      </c>
      <c r="M2565" s="39" t="str">
        <f t="shared" si="167"/>
        <v/>
      </c>
      <c r="N2565" t="s">
        <v>355</v>
      </c>
      <c r="O2565" t="s">
        <v>25</v>
      </c>
      <c r="P2565">
        <v>0</v>
      </c>
      <c r="Q2565">
        <v>0</v>
      </c>
      <c r="R2565" t="s">
        <v>3212</v>
      </c>
    </row>
    <row r="2566" spans="1:18" hidden="1" x14ac:dyDescent="0.3">
      <c r="A2566">
        <v>513</v>
      </c>
      <c r="B2566" t="s">
        <v>1437</v>
      </c>
      <c r="C2566" t="s">
        <v>732</v>
      </c>
      <c r="D2566" t="s">
        <v>27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0</v>
      </c>
      <c r="K2566">
        <v>0</v>
      </c>
      <c r="L2566" s="39" t="str">
        <f t="shared" si="166"/>
        <v/>
      </c>
      <c r="M2566" s="39" t="str">
        <f t="shared" si="167"/>
        <v/>
      </c>
      <c r="N2566" t="s">
        <v>355</v>
      </c>
      <c r="O2566" t="s">
        <v>25</v>
      </c>
      <c r="P2566">
        <v>0</v>
      </c>
      <c r="Q2566">
        <v>0</v>
      </c>
      <c r="R2566" t="s">
        <v>1438</v>
      </c>
    </row>
    <row r="2567" spans="1:18" hidden="1" x14ac:dyDescent="0.3">
      <c r="A2567">
        <v>514</v>
      </c>
      <c r="B2567" t="s">
        <v>1439</v>
      </c>
      <c r="C2567" t="s">
        <v>732</v>
      </c>
      <c r="D2567" t="s">
        <v>21</v>
      </c>
      <c r="E2567" t="s">
        <v>22</v>
      </c>
      <c r="F2567" s="79">
        <v>45838</v>
      </c>
      <c r="G2567">
        <v>2025</v>
      </c>
      <c r="H2567" t="s">
        <v>699</v>
      </c>
      <c r="I2567" t="s">
        <v>700</v>
      </c>
      <c r="J2567">
        <v>70</v>
      </c>
      <c r="K2567">
        <v>91.82</v>
      </c>
      <c r="L2567" s="39">
        <f t="shared" si="166"/>
        <v>1.3</v>
      </c>
      <c r="M2567" s="39">
        <f t="shared" si="167"/>
        <v>1.3117142857142856</v>
      </c>
      <c r="N2567" t="s">
        <v>25</v>
      </c>
      <c r="O2567" t="s">
        <v>25</v>
      </c>
      <c r="P2567">
        <v>0</v>
      </c>
      <c r="Q2567">
        <v>0</v>
      </c>
      <c r="R2567" t="s">
        <v>3213</v>
      </c>
    </row>
    <row r="2568" spans="1:18" hidden="1" x14ac:dyDescent="0.3">
      <c r="A2568">
        <v>514</v>
      </c>
      <c r="B2568" t="s">
        <v>1439</v>
      </c>
      <c r="C2568" t="s">
        <v>732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70</v>
      </c>
      <c r="K2568">
        <v>45.96</v>
      </c>
      <c r="L2568" s="39">
        <f t="shared" si="166"/>
        <v>0.65657142857142858</v>
      </c>
      <c r="M2568" s="39">
        <f t="shared" si="167"/>
        <v>0.65657142857142858</v>
      </c>
      <c r="N2568" t="s">
        <v>25</v>
      </c>
      <c r="O2568" t="s">
        <v>25</v>
      </c>
      <c r="P2568">
        <v>0</v>
      </c>
      <c r="Q2568">
        <v>0</v>
      </c>
      <c r="R2568" t="s">
        <v>1440</v>
      </c>
    </row>
    <row r="2569" spans="1:18" hidden="1" x14ac:dyDescent="0.3">
      <c r="A2569">
        <v>515</v>
      </c>
      <c r="B2569" t="s">
        <v>1441</v>
      </c>
      <c r="C2569" t="s">
        <v>53</v>
      </c>
      <c r="D2569" t="s">
        <v>21</v>
      </c>
      <c r="E2569" t="s">
        <v>22</v>
      </c>
      <c r="F2569" s="79">
        <v>46022</v>
      </c>
      <c r="G2569">
        <v>2025</v>
      </c>
      <c r="H2569" t="s">
        <v>23</v>
      </c>
      <c r="I2569" t="s">
        <v>32</v>
      </c>
      <c r="J2569">
        <v>3</v>
      </c>
      <c r="K2569">
        <v>66.67</v>
      </c>
      <c r="L2569" s="39">
        <f t="shared" si="166"/>
        <v>1.3</v>
      </c>
      <c r="M2569" s="39">
        <f t="shared" si="167"/>
        <v>22.223333333333333</v>
      </c>
      <c r="N2569" t="s">
        <v>25</v>
      </c>
      <c r="O2569" t="s">
        <v>25</v>
      </c>
      <c r="P2569">
        <v>0</v>
      </c>
      <c r="Q2569">
        <v>0</v>
      </c>
      <c r="R2569" t="s">
        <v>1442</v>
      </c>
    </row>
    <row r="2570" spans="1:18" hidden="1" x14ac:dyDescent="0.3">
      <c r="A2570">
        <v>516</v>
      </c>
      <c r="B2570" t="s">
        <v>1443</v>
      </c>
      <c r="C2570" t="s">
        <v>53</v>
      </c>
      <c r="D2570" t="s">
        <v>21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95</v>
      </c>
      <c r="K2570">
        <v>315.79000000000002</v>
      </c>
      <c r="L2570" s="39">
        <f t="shared" si="166"/>
        <v>1.3</v>
      </c>
      <c r="M2570" s="39">
        <f t="shared" si="167"/>
        <v>3.3241052631578949</v>
      </c>
      <c r="N2570" t="s">
        <v>25</v>
      </c>
      <c r="O2570" t="s">
        <v>25</v>
      </c>
      <c r="P2570">
        <v>0</v>
      </c>
      <c r="Q2570">
        <v>0</v>
      </c>
      <c r="R2570" t="s">
        <v>1444</v>
      </c>
    </row>
    <row r="2571" spans="1:18" hidden="1" x14ac:dyDescent="0.3">
      <c r="A2571">
        <v>518</v>
      </c>
      <c r="B2571" t="s">
        <v>62</v>
      </c>
      <c r="C2571" t="s">
        <v>63</v>
      </c>
      <c r="D2571" t="s">
        <v>64</v>
      </c>
      <c r="E2571" t="s">
        <v>22</v>
      </c>
      <c r="F2571" s="79">
        <v>45747</v>
      </c>
      <c r="G2571">
        <v>2025</v>
      </c>
      <c r="H2571" t="s">
        <v>1516</v>
      </c>
      <c r="I2571" t="s">
        <v>700</v>
      </c>
      <c r="J2571">
        <v>100</v>
      </c>
      <c r="K2571">
        <v>83.333333333333002</v>
      </c>
      <c r="L2571" s="39">
        <f t="shared" si="166"/>
        <v>0.83333333333333004</v>
      </c>
      <c r="M2571" s="39">
        <f t="shared" si="167"/>
        <v>0.83333333333333004</v>
      </c>
      <c r="N2571" t="s">
        <v>25</v>
      </c>
      <c r="O2571" t="s">
        <v>25</v>
      </c>
      <c r="P2571">
        <v>0</v>
      </c>
      <c r="Q2571">
        <v>0</v>
      </c>
      <c r="R2571" t="s">
        <v>3214</v>
      </c>
    </row>
    <row r="2572" spans="1:18" hidden="1" x14ac:dyDescent="0.3">
      <c r="A2572">
        <v>518</v>
      </c>
      <c r="B2572" t="s">
        <v>62</v>
      </c>
      <c r="C2572" t="s">
        <v>63</v>
      </c>
      <c r="D2572" t="s">
        <v>64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100</v>
      </c>
      <c r="K2572">
        <v>87.5</v>
      </c>
      <c r="L2572" s="39">
        <f t="shared" si="166"/>
        <v>0.875</v>
      </c>
      <c r="M2572" s="39">
        <f t="shared" si="167"/>
        <v>0.875</v>
      </c>
      <c r="N2572" t="s">
        <v>25</v>
      </c>
      <c r="O2572" t="s">
        <v>25</v>
      </c>
      <c r="P2572">
        <v>0</v>
      </c>
      <c r="Q2572">
        <v>0</v>
      </c>
      <c r="R2572" t="s">
        <v>3215</v>
      </c>
    </row>
    <row r="2573" spans="1:18" hidden="1" x14ac:dyDescent="0.3">
      <c r="A2573">
        <v>518</v>
      </c>
      <c r="B2573" t="s">
        <v>62</v>
      </c>
      <c r="C2573" t="s">
        <v>63</v>
      </c>
      <c r="D2573" t="s">
        <v>27</v>
      </c>
      <c r="E2573" t="s">
        <v>22</v>
      </c>
      <c r="F2573" s="79">
        <v>45930</v>
      </c>
      <c r="G2573">
        <v>2025</v>
      </c>
      <c r="H2573" t="s">
        <v>162</v>
      </c>
      <c r="I2573" t="s">
        <v>32</v>
      </c>
      <c r="J2573">
        <v>100</v>
      </c>
      <c r="K2573">
        <v>120</v>
      </c>
      <c r="L2573" s="39">
        <f t="shared" si="166"/>
        <v>1.2</v>
      </c>
      <c r="M2573" s="39">
        <f t="shared" si="167"/>
        <v>1.2</v>
      </c>
      <c r="N2573" t="s">
        <v>25</v>
      </c>
      <c r="O2573" t="s">
        <v>25</v>
      </c>
      <c r="P2573">
        <v>0</v>
      </c>
      <c r="Q2573">
        <v>0</v>
      </c>
      <c r="R2573" t="s">
        <v>3216</v>
      </c>
    </row>
    <row r="2574" spans="1:18" hidden="1" x14ac:dyDescent="0.3">
      <c r="A2574">
        <v>518</v>
      </c>
      <c r="B2574" t="s">
        <v>62</v>
      </c>
      <c r="C2574" t="s">
        <v>63</v>
      </c>
      <c r="D2574" t="s">
        <v>27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137.5</v>
      </c>
      <c r="L2574" s="39">
        <f t="shared" si="166"/>
        <v>1.3</v>
      </c>
      <c r="M2574" s="39">
        <f t="shared" si="167"/>
        <v>1.375</v>
      </c>
      <c r="N2574" t="s">
        <v>25</v>
      </c>
      <c r="O2574" t="s">
        <v>25</v>
      </c>
      <c r="P2574">
        <v>0</v>
      </c>
      <c r="Q2574">
        <v>0</v>
      </c>
      <c r="R2574" t="s">
        <v>1445</v>
      </c>
    </row>
    <row r="2575" spans="1:18" hidden="1" x14ac:dyDescent="0.3">
      <c r="A2575">
        <v>519</v>
      </c>
      <c r="B2575" t="s">
        <v>1446</v>
      </c>
      <c r="C2575" t="s">
        <v>1078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100</v>
      </c>
      <c r="K2575">
        <v>431.45</v>
      </c>
      <c r="L2575" s="39">
        <f t="shared" si="166"/>
        <v>1.3</v>
      </c>
      <c r="M2575" s="39">
        <f t="shared" si="167"/>
        <v>4.3144999999999998</v>
      </c>
      <c r="N2575" t="s">
        <v>25</v>
      </c>
      <c r="O2575" t="s">
        <v>25</v>
      </c>
      <c r="P2575">
        <v>0</v>
      </c>
      <c r="Q2575">
        <v>0</v>
      </c>
      <c r="R2575" t="s">
        <v>3217</v>
      </c>
    </row>
    <row r="2576" spans="1:18" hidden="1" x14ac:dyDescent="0.3">
      <c r="A2576">
        <v>519</v>
      </c>
      <c r="B2576" t="s">
        <v>1446</v>
      </c>
      <c r="C2576" t="s">
        <v>1078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100</v>
      </c>
      <c r="K2576">
        <v>131.13</v>
      </c>
      <c r="L2576" s="39">
        <f t="shared" si="166"/>
        <v>1.3</v>
      </c>
      <c r="M2576" s="39">
        <f t="shared" si="167"/>
        <v>1.3112999999999999</v>
      </c>
      <c r="N2576" t="s">
        <v>25</v>
      </c>
      <c r="O2576" t="s">
        <v>25</v>
      </c>
      <c r="P2576">
        <v>0</v>
      </c>
      <c r="Q2576">
        <v>0</v>
      </c>
      <c r="R2576" t="s">
        <v>1447</v>
      </c>
    </row>
    <row r="2577" spans="1:19" hidden="1" x14ac:dyDescent="0.3">
      <c r="A2577">
        <v>522</v>
      </c>
      <c r="B2577" t="s">
        <v>1448</v>
      </c>
      <c r="C2577" t="s">
        <v>549</v>
      </c>
      <c r="D2577" t="s">
        <v>71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20</v>
      </c>
      <c r="K2577">
        <v>100</v>
      </c>
      <c r="L2577" s="39">
        <f t="shared" si="166"/>
        <v>1.3</v>
      </c>
      <c r="M2577" s="39">
        <f t="shared" si="167"/>
        <v>5</v>
      </c>
      <c r="N2577" t="s">
        <v>25</v>
      </c>
      <c r="O2577" t="s">
        <v>25</v>
      </c>
      <c r="P2577">
        <v>0</v>
      </c>
      <c r="Q2577">
        <v>0</v>
      </c>
      <c r="R2577" t="s">
        <v>1449</v>
      </c>
    </row>
    <row r="2578" spans="1:19" hidden="1" x14ac:dyDescent="0.3">
      <c r="A2578">
        <v>523</v>
      </c>
      <c r="B2578" t="s">
        <v>1043</v>
      </c>
      <c r="C2578" t="s">
        <v>159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95</v>
      </c>
      <c r="K2578">
        <v>128.41</v>
      </c>
      <c r="L2578" s="39">
        <f t="shared" si="166"/>
        <v>1.3</v>
      </c>
      <c r="M2578" s="39">
        <f t="shared" si="167"/>
        <v>1.3516842105263158</v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523</v>
      </c>
      <c r="B2579" t="s">
        <v>1043</v>
      </c>
      <c r="C2579" t="s">
        <v>159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95</v>
      </c>
      <c r="K2579">
        <v>95.76</v>
      </c>
      <c r="L2579" s="39">
        <f t="shared" si="166"/>
        <v>1.008</v>
      </c>
      <c r="M2579" s="39">
        <f t="shared" si="167"/>
        <v>1.008</v>
      </c>
      <c r="N2579" t="s">
        <v>25</v>
      </c>
      <c r="O2579" t="s">
        <v>25</v>
      </c>
      <c r="P2579">
        <v>0</v>
      </c>
      <c r="Q2579">
        <v>0</v>
      </c>
      <c r="R2579" t="s">
        <v>1450</v>
      </c>
    </row>
    <row r="2580" spans="1:19" hidden="1" x14ac:dyDescent="0.3">
      <c r="A2580">
        <v>524</v>
      </c>
      <c r="B2580" t="s">
        <v>1182</v>
      </c>
      <c r="C2580" t="s">
        <v>1183</v>
      </c>
      <c r="D2580" t="s">
        <v>21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J2580">
        <v>100</v>
      </c>
      <c r="K2580">
        <v>99.38</v>
      </c>
      <c r="L2580" s="39">
        <f t="shared" si="166"/>
        <v>0.99379999999999991</v>
      </c>
      <c r="M2580" s="39">
        <f t="shared" si="167"/>
        <v>0.99379999999999991</v>
      </c>
      <c r="N2580" t="s">
        <v>128</v>
      </c>
      <c r="O2580" t="s">
        <v>128</v>
      </c>
      <c r="P2580">
        <v>0</v>
      </c>
      <c r="Q2580">
        <v>0</v>
      </c>
      <c r="R2580" t="s">
        <v>3219</v>
      </c>
    </row>
    <row r="2581" spans="1:19" hidden="1" x14ac:dyDescent="0.3">
      <c r="A2581">
        <v>524</v>
      </c>
      <c r="B2581" t="s">
        <v>1182</v>
      </c>
      <c r="C2581" t="s">
        <v>1183</v>
      </c>
      <c r="D2581" t="s">
        <v>21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100</v>
      </c>
      <c r="K2581">
        <v>106.07</v>
      </c>
      <c r="L2581" s="39">
        <f t="shared" si="166"/>
        <v>1.0607</v>
      </c>
      <c r="M2581" s="39">
        <f t="shared" si="167"/>
        <v>1.0607</v>
      </c>
      <c r="N2581" t="s">
        <v>128</v>
      </c>
      <c r="O2581" t="s">
        <v>128</v>
      </c>
      <c r="P2581">
        <v>0</v>
      </c>
      <c r="Q2581">
        <v>0</v>
      </c>
      <c r="R2581" t="s">
        <v>1451</v>
      </c>
    </row>
    <row r="2582" spans="1:19" hidden="1" x14ac:dyDescent="0.3">
      <c r="A2582">
        <v>526</v>
      </c>
      <c r="B2582" t="s">
        <v>1452</v>
      </c>
      <c r="C2582" t="s">
        <v>706</v>
      </c>
      <c r="D2582" t="s">
        <v>27</v>
      </c>
      <c r="E2582" t="s">
        <v>22</v>
      </c>
      <c r="F2582" s="79">
        <v>45838</v>
      </c>
      <c r="G2582">
        <v>2025</v>
      </c>
      <c r="H2582" t="s">
        <v>699</v>
      </c>
      <c r="I2582" t="s">
        <v>700</v>
      </c>
      <c r="J2582">
        <v>95</v>
      </c>
      <c r="K2582">
        <v>0</v>
      </c>
      <c r="L2582" s="39">
        <f t="shared" si="166"/>
        <v>0</v>
      </c>
      <c r="M2582" s="39">
        <f t="shared" si="167"/>
        <v>0</v>
      </c>
      <c r="N2582" t="s">
        <v>25</v>
      </c>
      <c r="O2582" t="s">
        <v>25</v>
      </c>
      <c r="P2582">
        <v>0</v>
      </c>
      <c r="Q2582">
        <v>0</v>
      </c>
      <c r="R2582" t="s">
        <v>3220</v>
      </c>
    </row>
    <row r="2583" spans="1:19" hidden="1" x14ac:dyDescent="0.3">
      <c r="A2583">
        <v>526</v>
      </c>
      <c r="B2583" t="s">
        <v>1452</v>
      </c>
      <c r="C2583" t="s">
        <v>706</v>
      </c>
      <c r="D2583" t="s">
        <v>27</v>
      </c>
      <c r="E2583" t="s">
        <v>22</v>
      </c>
      <c r="F2583" s="79">
        <v>45930</v>
      </c>
      <c r="G2583">
        <v>2025</v>
      </c>
      <c r="H2583" t="s">
        <v>162</v>
      </c>
      <c r="I2583" t="s">
        <v>32</v>
      </c>
      <c r="J2583">
        <v>95</v>
      </c>
      <c r="K2583">
        <v>96.6</v>
      </c>
      <c r="L2583" s="39">
        <f t="shared" si="166"/>
        <v>1.0168421052631578</v>
      </c>
      <c r="M2583" s="39">
        <f t="shared" si="167"/>
        <v>1.0168421052631578</v>
      </c>
      <c r="N2583" t="s">
        <v>25</v>
      </c>
      <c r="O2583" t="s">
        <v>25</v>
      </c>
      <c r="P2583">
        <v>0</v>
      </c>
      <c r="Q2583">
        <v>0</v>
      </c>
      <c r="R2583" t="s">
        <v>1453</v>
      </c>
    </row>
    <row r="2584" spans="1:19" hidden="1" x14ac:dyDescent="0.3">
      <c r="A2584">
        <v>527</v>
      </c>
      <c r="B2584" t="s">
        <v>1454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197.94</v>
      </c>
      <c r="L2584" s="39">
        <f t="shared" si="166"/>
        <v>1.3</v>
      </c>
      <c r="M2584" s="39">
        <f t="shared" si="167"/>
        <v>1.9794</v>
      </c>
      <c r="N2584" t="s">
        <v>25</v>
      </c>
      <c r="O2584" t="s">
        <v>25</v>
      </c>
      <c r="P2584">
        <v>0</v>
      </c>
      <c r="Q2584">
        <v>0</v>
      </c>
      <c r="R2584" t="s">
        <v>1455</v>
      </c>
    </row>
    <row r="2585" spans="1:19" hidden="1" x14ac:dyDescent="0.3">
      <c r="A2585">
        <v>528</v>
      </c>
      <c r="B2585" t="s">
        <v>1456</v>
      </c>
      <c r="C2585" t="s">
        <v>567</v>
      </c>
      <c r="D2585" t="s">
        <v>71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J2585">
        <v>100</v>
      </c>
      <c r="K2585">
        <v>173.92055267703</v>
      </c>
      <c r="L2585" s="39">
        <f t="shared" si="166"/>
        <v>1.3</v>
      </c>
      <c r="M2585" s="39">
        <f t="shared" si="167"/>
        <v>1.7392055267702999</v>
      </c>
      <c r="N2585" t="s">
        <v>128</v>
      </c>
      <c r="O2585" t="s">
        <v>128</v>
      </c>
      <c r="P2585">
        <v>0</v>
      </c>
      <c r="Q2585">
        <v>0</v>
      </c>
      <c r="R2585" t="s">
        <v>3221</v>
      </c>
    </row>
    <row r="2586" spans="1:19" hidden="1" x14ac:dyDescent="0.3">
      <c r="A2586">
        <v>528</v>
      </c>
      <c r="B2586" t="s">
        <v>1456</v>
      </c>
      <c r="C2586" t="s">
        <v>567</v>
      </c>
      <c r="D2586" t="s">
        <v>71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100</v>
      </c>
      <c r="K2586">
        <v>1158</v>
      </c>
      <c r="L2586" s="39">
        <f t="shared" si="166"/>
        <v>1.3</v>
      </c>
      <c r="M2586" s="39">
        <f t="shared" si="167"/>
        <v>11.58</v>
      </c>
      <c r="N2586" t="s">
        <v>128</v>
      </c>
      <c r="O2586" t="s">
        <v>128</v>
      </c>
      <c r="P2586">
        <v>0</v>
      </c>
      <c r="Q2586">
        <v>0</v>
      </c>
      <c r="R2586" t="s">
        <v>1457</v>
      </c>
    </row>
    <row r="2587" spans="1:19" hidden="1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L2587" s="39"/>
      <c r="M2587" s="39"/>
      <c r="N2587" t="s">
        <v>25</v>
      </c>
      <c r="O2587" t="s">
        <v>302</v>
      </c>
      <c r="P2587">
        <v>0</v>
      </c>
      <c r="Q2587">
        <v>0</v>
      </c>
      <c r="R2587" t="s">
        <v>3222</v>
      </c>
      <c r="S2587" t="s">
        <v>302</v>
      </c>
    </row>
    <row r="2588" spans="1:19" hidden="1" x14ac:dyDescent="0.3">
      <c r="A2588">
        <v>529</v>
      </c>
      <c r="B2588" t="s">
        <v>1458</v>
      </c>
      <c r="C2588" t="s">
        <v>167</v>
      </c>
      <c r="D2588" t="s">
        <v>27</v>
      </c>
      <c r="E2588" t="s">
        <v>22</v>
      </c>
      <c r="F2588" s="79">
        <v>45930</v>
      </c>
      <c r="G2588">
        <v>2025</v>
      </c>
      <c r="H2588" t="s">
        <v>162</v>
      </c>
      <c r="I2588" t="s">
        <v>32</v>
      </c>
      <c r="J2588">
        <v>90</v>
      </c>
      <c r="K2588">
        <v>196.19</v>
      </c>
      <c r="L2588" s="39">
        <f t="shared" ref="L2588:L2608" si="168">IFERROR(IF(OR(J2588=0,K2588=""),"",IF(E2588="Positivo",MIN(MAX(K2588/J2588,0),1.3),MIN(MAX(J2588/K2588,0),1.3))),"")</f>
        <v>1.3</v>
      </c>
      <c r="M2588" s="39">
        <f t="shared" ref="M2588:M2608" si="169">IFERROR(IF(OR(J2588=0,K2588=""),"",IF(E2588="Positivo",MAX(K2588/J2588,0),MAX(J2588/K2588,0))),"")</f>
        <v>2.1798888888888888</v>
      </c>
      <c r="N2588" t="s">
        <v>25</v>
      </c>
      <c r="O2588" t="s">
        <v>25</v>
      </c>
      <c r="P2588">
        <v>0</v>
      </c>
      <c r="Q2588">
        <v>0</v>
      </c>
      <c r="R2588" t="s">
        <v>3223</v>
      </c>
    </row>
    <row r="2589" spans="1:19" hidden="1" x14ac:dyDescent="0.3">
      <c r="A2589">
        <v>529</v>
      </c>
      <c r="B2589" t="s">
        <v>1458</v>
      </c>
      <c r="C2589" t="s">
        <v>167</v>
      </c>
      <c r="D2589" t="s">
        <v>27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97.97</v>
      </c>
      <c r="L2589" s="39">
        <f t="shared" si="168"/>
        <v>1.0885555555555555</v>
      </c>
      <c r="M2589" s="39">
        <f t="shared" si="169"/>
        <v>1.0885555555555555</v>
      </c>
      <c r="N2589" t="s">
        <v>25</v>
      </c>
      <c r="O2589" t="s">
        <v>25</v>
      </c>
      <c r="P2589">
        <v>0</v>
      </c>
      <c r="Q2589">
        <v>0</v>
      </c>
      <c r="R2589" t="s">
        <v>1459</v>
      </c>
    </row>
    <row r="2590" spans="1:19" hidden="1" x14ac:dyDescent="0.3">
      <c r="A2590">
        <v>530</v>
      </c>
      <c r="B2590" t="s">
        <v>1460</v>
      </c>
      <c r="C2590" t="s">
        <v>53</v>
      </c>
      <c r="D2590" t="s">
        <v>21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97</v>
      </c>
      <c r="K2590">
        <v>85.56</v>
      </c>
      <c r="L2590" s="39">
        <f t="shared" si="168"/>
        <v>0.88206185567010309</v>
      </c>
      <c r="M2590" s="39">
        <f t="shared" si="169"/>
        <v>0.88206185567010309</v>
      </c>
      <c r="N2590" t="s">
        <v>25</v>
      </c>
      <c r="O2590" t="s">
        <v>25</v>
      </c>
      <c r="P2590">
        <v>0</v>
      </c>
      <c r="Q2590">
        <v>0</v>
      </c>
      <c r="R2590" t="s">
        <v>1461</v>
      </c>
    </row>
    <row r="2591" spans="1:19" hidden="1" x14ac:dyDescent="0.3">
      <c r="A2591">
        <v>531</v>
      </c>
      <c r="B2591" t="s">
        <v>1462</v>
      </c>
      <c r="C2591" t="s">
        <v>53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90</v>
      </c>
      <c r="K2591">
        <v>93.94</v>
      </c>
      <c r="L2591" s="39">
        <f t="shared" si="168"/>
        <v>1.0437777777777777</v>
      </c>
      <c r="M2591" s="39">
        <f t="shared" si="169"/>
        <v>1.0437777777777777</v>
      </c>
      <c r="N2591" t="s">
        <v>25</v>
      </c>
      <c r="O2591" t="s">
        <v>25</v>
      </c>
      <c r="P2591">
        <v>0</v>
      </c>
      <c r="Q2591">
        <v>0</v>
      </c>
      <c r="R2591" t="s">
        <v>1463</v>
      </c>
    </row>
    <row r="2592" spans="1:19" hidden="1" x14ac:dyDescent="0.3">
      <c r="A2592">
        <v>532</v>
      </c>
      <c r="B2592" t="s">
        <v>1464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133.15</v>
      </c>
      <c r="L2592" s="39">
        <f t="shared" si="168"/>
        <v>1.3</v>
      </c>
      <c r="M2592" s="39">
        <f t="shared" si="169"/>
        <v>1.3315000000000001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8" hidden="1" x14ac:dyDescent="0.3">
      <c r="A2593">
        <v>532</v>
      </c>
      <c r="B2593" t="s">
        <v>1464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134.78</v>
      </c>
      <c r="L2593" s="39">
        <f t="shared" si="168"/>
        <v>1.3</v>
      </c>
      <c r="M2593" s="39">
        <f t="shared" si="169"/>
        <v>1.3478000000000001</v>
      </c>
      <c r="N2593" t="s">
        <v>25</v>
      </c>
      <c r="O2593" t="s">
        <v>25</v>
      </c>
      <c r="P2593">
        <v>0</v>
      </c>
      <c r="Q2593">
        <v>0</v>
      </c>
      <c r="R2593" t="s">
        <v>1465</v>
      </c>
    </row>
    <row r="2594" spans="1:18" hidden="1" x14ac:dyDescent="0.3">
      <c r="A2594">
        <v>533</v>
      </c>
      <c r="B2594" t="s">
        <v>1466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124.89</v>
      </c>
      <c r="L2594" s="39">
        <f t="shared" si="168"/>
        <v>1.2488999999999999</v>
      </c>
      <c r="M2594" s="39">
        <f t="shared" si="169"/>
        <v>1.2488999999999999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8" hidden="1" x14ac:dyDescent="0.3">
      <c r="A2595">
        <v>533</v>
      </c>
      <c r="B2595" t="s">
        <v>1466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177.95</v>
      </c>
      <c r="L2595" s="39">
        <f t="shared" si="168"/>
        <v>1.3</v>
      </c>
      <c r="M2595" s="39">
        <f t="shared" si="169"/>
        <v>1.7794999999999999</v>
      </c>
      <c r="N2595" t="s">
        <v>25</v>
      </c>
      <c r="O2595" t="s">
        <v>25</v>
      </c>
      <c r="P2595">
        <v>0</v>
      </c>
      <c r="Q2595">
        <v>0</v>
      </c>
      <c r="R2595" t="s">
        <v>1467</v>
      </c>
    </row>
    <row r="2596" spans="1:18" hidden="1" x14ac:dyDescent="0.3">
      <c r="A2596">
        <v>534</v>
      </c>
      <c r="B2596" t="s">
        <v>1468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134.09</v>
      </c>
      <c r="L2596" s="39">
        <f t="shared" si="168"/>
        <v>1.3</v>
      </c>
      <c r="M2596" s="39">
        <f t="shared" si="169"/>
        <v>1.3409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8" hidden="1" x14ac:dyDescent="0.3">
      <c r="A2597">
        <v>534</v>
      </c>
      <c r="B2597" t="s">
        <v>1468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134.53</v>
      </c>
      <c r="L2597" s="39">
        <f t="shared" si="168"/>
        <v>1.3</v>
      </c>
      <c r="M2597" s="39">
        <f t="shared" si="169"/>
        <v>1.3452999999999999</v>
      </c>
      <c r="N2597" t="s">
        <v>25</v>
      </c>
      <c r="O2597" t="s">
        <v>25</v>
      </c>
      <c r="P2597">
        <v>0</v>
      </c>
      <c r="Q2597">
        <v>0</v>
      </c>
      <c r="R2597" t="s">
        <v>1469</v>
      </c>
    </row>
    <row r="2598" spans="1:18" hidden="1" x14ac:dyDescent="0.3">
      <c r="A2598">
        <v>535</v>
      </c>
      <c r="B2598" t="s">
        <v>1470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132.66999999999999</v>
      </c>
      <c r="L2598" s="39">
        <f t="shared" si="168"/>
        <v>1.3</v>
      </c>
      <c r="M2598" s="39">
        <f t="shared" si="169"/>
        <v>1.3266999999999998</v>
      </c>
      <c r="N2598" t="s">
        <v>25</v>
      </c>
      <c r="O2598" t="s">
        <v>25</v>
      </c>
      <c r="P2598">
        <v>0</v>
      </c>
      <c r="Q2598">
        <v>0</v>
      </c>
      <c r="R2598" t="s">
        <v>3227</v>
      </c>
    </row>
    <row r="2599" spans="1:18" hidden="1" x14ac:dyDescent="0.3">
      <c r="A2599">
        <v>535</v>
      </c>
      <c r="B2599" t="s">
        <v>1470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209.63</v>
      </c>
      <c r="L2599" s="39">
        <f t="shared" si="168"/>
        <v>1.3</v>
      </c>
      <c r="M2599" s="39">
        <f t="shared" si="169"/>
        <v>2.0962999999999998</v>
      </c>
      <c r="N2599" t="s">
        <v>25</v>
      </c>
      <c r="O2599" t="s">
        <v>25</v>
      </c>
      <c r="P2599">
        <v>0</v>
      </c>
      <c r="Q2599">
        <v>0</v>
      </c>
      <c r="R2599" t="s">
        <v>1471</v>
      </c>
    </row>
    <row r="2600" spans="1:18" hidden="1" x14ac:dyDescent="0.3">
      <c r="A2600">
        <v>536</v>
      </c>
      <c r="B2600" t="s">
        <v>1472</v>
      </c>
      <c r="C2600" t="s">
        <v>246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100</v>
      </c>
      <c r="K2600">
        <v>109.33</v>
      </c>
      <c r="L2600" s="39">
        <f t="shared" si="168"/>
        <v>1.0932999999999999</v>
      </c>
      <c r="M2600" s="39">
        <f t="shared" si="169"/>
        <v>1.0932999999999999</v>
      </c>
      <c r="N2600" t="s">
        <v>25</v>
      </c>
      <c r="O2600" t="s">
        <v>25</v>
      </c>
      <c r="P2600">
        <v>0</v>
      </c>
      <c r="Q2600">
        <v>0</v>
      </c>
      <c r="R2600" t="s">
        <v>3228</v>
      </c>
    </row>
    <row r="2601" spans="1:18" hidden="1" x14ac:dyDescent="0.3">
      <c r="A2601">
        <v>536</v>
      </c>
      <c r="B2601" t="s">
        <v>1472</v>
      </c>
      <c r="C2601" t="s">
        <v>246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100</v>
      </c>
      <c r="K2601">
        <v>260.75</v>
      </c>
      <c r="L2601" s="39">
        <f t="shared" si="168"/>
        <v>1.3</v>
      </c>
      <c r="M2601" s="39">
        <f t="shared" si="169"/>
        <v>2.6074999999999999</v>
      </c>
      <c r="N2601" t="s">
        <v>25</v>
      </c>
      <c r="O2601" t="s">
        <v>25</v>
      </c>
      <c r="P2601">
        <v>0</v>
      </c>
      <c r="Q2601">
        <v>0</v>
      </c>
      <c r="R2601" t="s">
        <v>1473</v>
      </c>
    </row>
    <row r="2602" spans="1:18" hidden="1" x14ac:dyDescent="0.3">
      <c r="A2602">
        <v>537</v>
      </c>
      <c r="B2602" t="s">
        <v>1474</v>
      </c>
      <c r="C2602" t="s">
        <v>333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65</v>
      </c>
      <c r="K2602">
        <v>58.9</v>
      </c>
      <c r="L2602" s="39">
        <f t="shared" si="168"/>
        <v>0.90615384615384609</v>
      </c>
      <c r="M2602" s="39">
        <f t="shared" si="169"/>
        <v>0.90615384615384609</v>
      </c>
      <c r="N2602" t="s">
        <v>128</v>
      </c>
      <c r="O2602" t="s">
        <v>128</v>
      </c>
      <c r="P2602">
        <v>0</v>
      </c>
      <c r="Q2602">
        <v>0</v>
      </c>
      <c r="R2602" t="s">
        <v>3229</v>
      </c>
    </row>
    <row r="2603" spans="1:18" hidden="1" x14ac:dyDescent="0.3">
      <c r="A2603">
        <v>537</v>
      </c>
      <c r="B2603" t="s">
        <v>1474</v>
      </c>
      <c r="C2603" t="s">
        <v>333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65</v>
      </c>
      <c r="K2603">
        <v>64.3</v>
      </c>
      <c r="L2603" s="39">
        <f t="shared" si="168"/>
        <v>0.98923076923076914</v>
      </c>
      <c r="M2603" s="39">
        <f t="shared" si="169"/>
        <v>0.98923076923076914</v>
      </c>
      <c r="N2603" t="s">
        <v>128</v>
      </c>
      <c r="O2603" t="s">
        <v>128</v>
      </c>
      <c r="P2603">
        <v>0</v>
      </c>
      <c r="Q2603">
        <v>0</v>
      </c>
      <c r="R2603" t="s">
        <v>1475</v>
      </c>
    </row>
    <row r="2604" spans="1:18" hidden="1" x14ac:dyDescent="0.3">
      <c r="A2604">
        <v>538</v>
      </c>
      <c r="B2604" t="s">
        <v>1476</v>
      </c>
      <c r="C2604" t="s">
        <v>541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90</v>
      </c>
      <c r="K2604">
        <v>100</v>
      </c>
      <c r="L2604" s="39">
        <f t="shared" si="168"/>
        <v>1.1111111111111112</v>
      </c>
      <c r="M2604" s="39">
        <f t="shared" si="169"/>
        <v>1.1111111111111112</v>
      </c>
      <c r="N2604" t="s">
        <v>25</v>
      </c>
      <c r="O2604" t="s">
        <v>25</v>
      </c>
      <c r="P2604">
        <v>0</v>
      </c>
      <c r="Q2604">
        <v>0</v>
      </c>
      <c r="R2604" t="s">
        <v>1477</v>
      </c>
    </row>
    <row r="2605" spans="1:18" hidden="1" x14ac:dyDescent="0.3">
      <c r="A2605">
        <v>539</v>
      </c>
      <c r="B2605" t="s">
        <v>1478</v>
      </c>
      <c r="C2605" t="s">
        <v>541</v>
      </c>
      <c r="D2605" t="s">
        <v>21</v>
      </c>
      <c r="E2605" t="s">
        <v>41</v>
      </c>
      <c r="F2605" s="79">
        <v>46022</v>
      </c>
      <c r="G2605">
        <v>2025</v>
      </c>
      <c r="H2605" t="s">
        <v>23</v>
      </c>
      <c r="I2605" t="s">
        <v>32</v>
      </c>
      <c r="J2605">
        <v>2.5</v>
      </c>
      <c r="K2605">
        <v>2.5</v>
      </c>
      <c r="L2605" s="39">
        <f t="shared" si="168"/>
        <v>1</v>
      </c>
      <c r="M2605" s="39">
        <f t="shared" si="169"/>
        <v>1</v>
      </c>
      <c r="N2605" t="s">
        <v>25</v>
      </c>
      <c r="O2605" t="s">
        <v>25</v>
      </c>
      <c r="P2605">
        <v>0</v>
      </c>
      <c r="Q2605">
        <v>0</v>
      </c>
      <c r="R2605" t="s">
        <v>1479</v>
      </c>
    </row>
    <row r="2606" spans="1:18" hidden="1" x14ac:dyDescent="0.3">
      <c r="A2606">
        <v>540</v>
      </c>
      <c r="B2606" t="s">
        <v>1480</v>
      </c>
      <c r="C2606" t="s">
        <v>922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J2606">
        <v>97</v>
      </c>
      <c r="K2606">
        <v>97.33</v>
      </c>
      <c r="L2606" s="39">
        <f t="shared" si="168"/>
        <v>1.00340206185567</v>
      </c>
      <c r="M2606" s="39">
        <f t="shared" si="169"/>
        <v>1.00340206185567</v>
      </c>
      <c r="N2606" t="s">
        <v>25</v>
      </c>
      <c r="O2606" t="s">
        <v>25</v>
      </c>
      <c r="P2606">
        <v>0</v>
      </c>
      <c r="Q2606">
        <v>0</v>
      </c>
      <c r="R2606" t="s">
        <v>3230</v>
      </c>
    </row>
    <row r="2607" spans="1:18" hidden="1" x14ac:dyDescent="0.3">
      <c r="A2607">
        <v>540</v>
      </c>
      <c r="B2607" t="s">
        <v>1480</v>
      </c>
      <c r="C2607" t="s">
        <v>922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J2607">
        <v>97</v>
      </c>
      <c r="K2607">
        <v>97.9</v>
      </c>
      <c r="L2607" s="39">
        <f t="shared" si="168"/>
        <v>1.0092783505154639</v>
      </c>
      <c r="M2607" s="39">
        <f t="shared" si="169"/>
        <v>1.0092783505154639</v>
      </c>
      <c r="N2607" t="s">
        <v>25</v>
      </c>
      <c r="O2607" t="s">
        <v>25</v>
      </c>
      <c r="P2607">
        <v>0</v>
      </c>
      <c r="Q2607">
        <v>0</v>
      </c>
      <c r="R2607" t="s">
        <v>1481</v>
      </c>
    </row>
    <row r="2608" spans="1:18" hidden="1" x14ac:dyDescent="0.3">
      <c r="A2608">
        <v>541</v>
      </c>
      <c r="B2608" t="s">
        <v>1482</v>
      </c>
      <c r="C2608" t="s">
        <v>842</v>
      </c>
      <c r="D2608" t="s">
        <v>71</v>
      </c>
      <c r="E2608" t="s">
        <v>22</v>
      </c>
      <c r="F2608" s="79">
        <v>46022</v>
      </c>
      <c r="G2608">
        <v>2025</v>
      </c>
      <c r="H2608" t="s">
        <v>23</v>
      </c>
      <c r="I2608" t="s">
        <v>32</v>
      </c>
      <c r="J2608">
        <v>4</v>
      </c>
      <c r="K2608">
        <v>6.99</v>
      </c>
      <c r="L2608" s="39">
        <f t="shared" si="168"/>
        <v>1.3</v>
      </c>
      <c r="M2608" s="39">
        <f t="shared" si="169"/>
        <v>1.7475000000000001</v>
      </c>
      <c r="N2608" t="s">
        <v>25</v>
      </c>
      <c r="O2608" t="s">
        <v>25</v>
      </c>
      <c r="P2608">
        <v>0</v>
      </c>
      <c r="Q2608">
        <v>0</v>
      </c>
      <c r="R2608" t="s">
        <v>1483</v>
      </c>
    </row>
    <row r="2609" spans="1:19" hidden="1" x14ac:dyDescent="0.3">
      <c r="A2609">
        <v>542</v>
      </c>
      <c r="B2609" t="s">
        <v>1484</v>
      </c>
      <c r="C2609" t="s">
        <v>842</v>
      </c>
      <c r="D2609" t="s">
        <v>71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81.239999999999995</v>
      </c>
      <c r="N2609" t="s">
        <v>25</v>
      </c>
      <c r="O2609" t="s">
        <v>25</v>
      </c>
      <c r="P2609">
        <v>0</v>
      </c>
      <c r="Q2609">
        <v>0</v>
      </c>
      <c r="R2609" t="s">
        <v>1485</v>
      </c>
      <c r="S2609" t="s">
        <v>263</v>
      </c>
    </row>
    <row r="2610" spans="1:19" hidden="1" x14ac:dyDescent="0.3">
      <c r="A2610">
        <v>543</v>
      </c>
      <c r="B2610" t="s">
        <v>1486</v>
      </c>
      <c r="C2610" t="s">
        <v>308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K2610">
        <v>7.29</v>
      </c>
      <c r="L2610" s="39"/>
      <c r="M2610" s="39"/>
      <c r="N2610" t="s">
        <v>128</v>
      </c>
      <c r="O2610" t="s">
        <v>128</v>
      </c>
      <c r="P2610">
        <v>0</v>
      </c>
      <c r="Q2610">
        <v>0</v>
      </c>
      <c r="R2610" t="s">
        <v>3231</v>
      </c>
    </row>
    <row r="2611" spans="1:19" hidden="1" x14ac:dyDescent="0.3">
      <c r="A2611">
        <v>543</v>
      </c>
      <c r="B2611" t="s">
        <v>1486</v>
      </c>
      <c r="C2611" t="s">
        <v>308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6.91</v>
      </c>
      <c r="L2611" s="39"/>
      <c r="M2611" s="39"/>
      <c r="N2611" t="s">
        <v>128</v>
      </c>
      <c r="O2611" t="s">
        <v>128</v>
      </c>
      <c r="P2611">
        <v>0</v>
      </c>
      <c r="Q2611">
        <v>0</v>
      </c>
      <c r="R2611" t="s">
        <v>1487</v>
      </c>
    </row>
    <row r="2612" spans="1:19" hidden="1" x14ac:dyDescent="0.3">
      <c r="A2612">
        <v>544</v>
      </c>
      <c r="B2612" t="s">
        <v>1488</v>
      </c>
      <c r="C2612" t="s">
        <v>1110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100</v>
      </c>
      <c r="K2612">
        <v>250</v>
      </c>
      <c r="L2612" s="39">
        <f>IFERROR(IF(OR(J2612=0,K2612=""),"",IF(E2612="Positivo",MIN(MAX(K2612/J2612,0),1.3),MIN(MAX(J2612/K2612,0),1.3))),"")</f>
        <v>1.3</v>
      </c>
      <c r="M2612" s="39">
        <f>IFERROR(IF(OR(J2612=0,K2612=""),"",IF(E2612="Positivo",MAX(K2612/J2612,0),MAX(J2612/K2612,0))),"")</f>
        <v>2.5</v>
      </c>
      <c r="N2612" t="s">
        <v>128</v>
      </c>
      <c r="O2612" t="s">
        <v>128</v>
      </c>
      <c r="P2612">
        <v>0</v>
      </c>
      <c r="Q2612">
        <v>0</v>
      </c>
      <c r="R2612" t="s">
        <v>3232</v>
      </c>
    </row>
    <row r="2613" spans="1:19" hidden="1" x14ac:dyDescent="0.3">
      <c r="A2613">
        <v>544</v>
      </c>
      <c r="B2613" t="s">
        <v>1488</v>
      </c>
      <c r="C2613" t="s">
        <v>1110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100</v>
      </c>
      <c r="K2613">
        <v>162.5</v>
      </c>
      <c r="L2613" s="39">
        <f>IFERROR(IF(OR(J2613=0,K2613=""),"",IF(E2613="Positivo",MIN(MAX(K2613/J2613,0),1.3),MIN(MAX(J2613/K2613,0),1.3))),"")</f>
        <v>1.3</v>
      </c>
      <c r="M2613" s="39">
        <f>IFERROR(IF(OR(J2613=0,K2613=""),"",IF(E2613="Positivo",MAX(K2613/J2613,0),MAX(J2613/K2613,0))),"")</f>
        <v>1.625</v>
      </c>
      <c r="N2613" t="s">
        <v>128</v>
      </c>
      <c r="O2613" t="s">
        <v>128</v>
      </c>
      <c r="P2613">
        <v>0</v>
      </c>
      <c r="Q2613">
        <v>0</v>
      </c>
      <c r="R2613" t="s">
        <v>1489</v>
      </c>
    </row>
    <row r="2614" spans="1:19" hidden="1" x14ac:dyDescent="0.3">
      <c r="A2614">
        <v>546</v>
      </c>
      <c r="B2614" t="s">
        <v>1490</v>
      </c>
      <c r="C2614" t="s">
        <v>842</v>
      </c>
      <c r="D2614" t="s">
        <v>71</v>
      </c>
      <c r="E2614" t="s">
        <v>22</v>
      </c>
      <c r="F2614" s="79">
        <v>46022</v>
      </c>
      <c r="G2614">
        <v>2025</v>
      </c>
      <c r="H2614" t="s">
        <v>23</v>
      </c>
      <c r="I2614" t="s">
        <v>32</v>
      </c>
      <c r="J2614">
        <v>100</v>
      </c>
      <c r="K2614">
        <v>113.38</v>
      </c>
      <c r="L2614" s="39">
        <f>IFERROR(IF(OR(J2614=0,K2614=""),"",IF(E2614="Positivo",MIN(MAX(K2614/J2614,0),1.3),MIN(MAX(J2614/K2614,0),1.3))),"")</f>
        <v>1.1337999999999999</v>
      </c>
      <c r="M2614" s="39">
        <f>IFERROR(IF(OR(J2614=0,K2614=""),"",IF(E2614="Positivo",MAX(K2614/J2614,0),MAX(J2614/K2614,0))),"")</f>
        <v>1.1337999999999999</v>
      </c>
      <c r="N2614" t="s">
        <v>25</v>
      </c>
      <c r="O2614" t="s">
        <v>25</v>
      </c>
      <c r="P2614">
        <v>0</v>
      </c>
      <c r="Q2614">
        <v>0</v>
      </c>
      <c r="R2614" t="s">
        <v>1491</v>
      </c>
    </row>
    <row r="2615" spans="1:19" hidden="1" x14ac:dyDescent="0.3">
      <c r="A2615">
        <v>547</v>
      </c>
      <c r="B2615" t="s">
        <v>1492</v>
      </c>
      <c r="C2615" t="s">
        <v>842</v>
      </c>
      <c r="D2615" t="s">
        <v>71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K2615">
        <v>92</v>
      </c>
      <c r="L2615" s="39"/>
      <c r="M2615" s="39"/>
      <c r="N2615" t="s">
        <v>25</v>
      </c>
      <c r="O2615" t="s">
        <v>25</v>
      </c>
      <c r="P2615">
        <v>0</v>
      </c>
      <c r="Q2615">
        <v>0</v>
      </c>
      <c r="R2615" t="s">
        <v>1493</v>
      </c>
    </row>
    <row r="2616" spans="1:19" hidden="1" x14ac:dyDescent="0.3">
      <c r="A2616">
        <v>550</v>
      </c>
      <c r="B2616" t="s">
        <v>1494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95</v>
      </c>
      <c r="L2616" s="39">
        <f t="shared" ref="L2616:L2626" si="170">IFERROR(IF(OR(J2616=0,K2616=""),"",IF(E2616="Positivo",MIN(MAX(K2616/J2616,0),1.3),MIN(MAX(J2616/K2616,0),1.3))),"")</f>
        <v>1.1875</v>
      </c>
      <c r="M2616" s="39">
        <f t="shared" ref="M2616:M2626" si="171">IFERROR(IF(OR(J2616=0,K2616=""),"",IF(E2616="Positivo",MAX(K2616/J2616,0),MAX(J2616/K2616,0))),"")</f>
        <v>1.1875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550</v>
      </c>
      <c r="B2617" t="s">
        <v>1494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95.5</v>
      </c>
      <c r="L2617" s="39">
        <f t="shared" si="170"/>
        <v>1.1937500000000001</v>
      </c>
      <c r="M2617" s="39">
        <f t="shared" si="171"/>
        <v>1.1937500000000001</v>
      </c>
      <c r="N2617" t="s">
        <v>25</v>
      </c>
      <c r="O2617" t="s">
        <v>25</v>
      </c>
      <c r="P2617">
        <v>0</v>
      </c>
      <c r="Q2617">
        <v>0</v>
      </c>
      <c r="R2617" t="s">
        <v>1495</v>
      </c>
    </row>
    <row r="2618" spans="1:19" hidden="1" x14ac:dyDescent="0.3">
      <c r="A2618">
        <v>551</v>
      </c>
      <c r="B2618" t="s">
        <v>1496</v>
      </c>
      <c r="C2618" t="s">
        <v>1097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4</v>
      </c>
      <c r="K2618">
        <v>5</v>
      </c>
      <c r="L2618" s="39">
        <f t="shared" si="170"/>
        <v>1.25</v>
      </c>
      <c r="M2618" s="39">
        <f t="shared" si="171"/>
        <v>1.25</v>
      </c>
      <c r="N2618" t="s">
        <v>25</v>
      </c>
      <c r="O2618" t="s">
        <v>25</v>
      </c>
      <c r="P2618">
        <v>0</v>
      </c>
      <c r="Q2618">
        <v>0</v>
      </c>
      <c r="R2618" t="s">
        <v>3234</v>
      </c>
    </row>
    <row r="2619" spans="1:19" hidden="1" x14ac:dyDescent="0.3">
      <c r="A2619">
        <v>551</v>
      </c>
      <c r="B2619" t="s">
        <v>1496</v>
      </c>
      <c r="C2619" t="s">
        <v>1097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4</v>
      </c>
      <c r="K2619">
        <v>5</v>
      </c>
      <c r="L2619" s="39">
        <f t="shared" si="170"/>
        <v>1.25</v>
      </c>
      <c r="M2619" s="39">
        <f t="shared" si="171"/>
        <v>1.25</v>
      </c>
      <c r="N2619" t="s">
        <v>25</v>
      </c>
      <c r="O2619" t="s">
        <v>25</v>
      </c>
      <c r="P2619">
        <v>0</v>
      </c>
      <c r="Q2619">
        <v>0</v>
      </c>
      <c r="R2619" t="s">
        <v>1497</v>
      </c>
    </row>
    <row r="2620" spans="1:19" hidden="1" x14ac:dyDescent="0.3">
      <c r="A2620">
        <v>552</v>
      </c>
      <c r="B2620" t="s">
        <v>1498</v>
      </c>
      <c r="C2620" t="s">
        <v>951</v>
      </c>
      <c r="D2620" t="s">
        <v>71</v>
      </c>
      <c r="E2620" t="s">
        <v>22</v>
      </c>
      <c r="F2620" s="79">
        <v>45838</v>
      </c>
      <c r="G2620">
        <v>2025</v>
      </c>
      <c r="H2620" t="s">
        <v>699</v>
      </c>
      <c r="I2620" t="s">
        <v>700</v>
      </c>
      <c r="J2620">
        <v>80</v>
      </c>
      <c r="K2620">
        <v>92</v>
      </c>
      <c r="L2620" s="39">
        <f t="shared" si="170"/>
        <v>1.1499999999999999</v>
      </c>
      <c r="M2620" s="39">
        <f t="shared" si="171"/>
        <v>1.1499999999999999</v>
      </c>
      <c r="N2620" t="s">
        <v>25</v>
      </c>
      <c r="O2620" t="s">
        <v>25</v>
      </c>
      <c r="P2620">
        <v>0</v>
      </c>
      <c r="Q2620">
        <v>0</v>
      </c>
      <c r="R2620" t="s">
        <v>3235</v>
      </c>
    </row>
    <row r="2621" spans="1:19" hidden="1" x14ac:dyDescent="0.3">
      <c r="A2621">
        <v>552</v>
      </c>
      <c r="B2621" t="s">
        <v>1498</v>
      </c>
      <c r="C2621" t="s">
        <v>951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92</v>
      </c>
      <c r="L2621" s="39">
        <f t="shared" si="170"/>
        <v>1.1499999999999999</v>
      </c>
      <c r="M2621" s="39">
        <f t="shared" si="171"/>
        <v>1.1499999999999999</v>
      </c>
      <c r="N2621" t="s">
        <v>25</v>
      </c>
      <c r="O2621" t="s">
        <v>25</v>
      </c>
      <c r="P2621">
        <v>0</v>
      </c>
      <c r="Q2621">
        <v>0</v>
      </c>
      <c r="R2621" t="s">
        <v>1499</v>
      </c>
    </row>
    <row r="2622" spans="1:19" hidden="1" x14ac:dyDescent="0.3">
      <c r="A2622">
        <v>553</v>
      </c>
      <c r="B2622" t="s">
        <v>1500</v>
      </c>
      <c r="C2622" t="s">
        <v>1020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83</v>
      </c>
      <c r="L2622" s="39">
        <f t="shared" si="170"/>
        <v>1.0375000000000001</v>
      </c>
      <c r="M2622" s="39">
        <f t="shared" si="171"/>
        <v>1.0375000000000001</v>
      </c>
      <c r="N2622" t="s">
        <v>25</v>
      </c>
      <c r="O2622" t="s">
        <v>25</v>
      </c>
      <c r="P2622">
        <v>0</v>
      </c>
      <c r="Q2622">
        <v>0</v>
      </c>
      <c r="R2622" t="s">
        <v>1501</v>
      </c>
    </row>
    <row r="2623" spans="1:19" hidden="1" x14ac:dyDescent="0.3">
      <c r="A2623">
        <v>554</v>
      </c>
      <c r="B2623" t="s">
        <v>1502</v>
      </c>
      <c r="C2623" t="s">
        <v>536</v>
      </c>
      <c r="D2623" t="s">
        <v>21</v>
      </c>
      <c r="E2623" t="s">
        <v>22</v>
      </c>
      <c r="F2623" s="79">
        <v>45838</v>
      </c>
      <c r="G2623">
        <v>2025</v>
      </c>
      <c r="H2623" t="s">
        <v>699</v>
      </c>
      <c r="I2623" t="s">
        <v>700</v>
      </c>
      <c r="J2623">
        <v>80</v>
      </c>
      <c r="K2623">
        <v>0</v>
      </c>
      <c r="L2623" s="39">
        <f t="shared" si="170"/>
        <v>0</v>
      </c>
      <c r="M2623" s="39">
        <f t="shared" si="171"/>
        <v>0</v>
      </c>
      <c r="N2623" t="s">
        <v>25</v>
      </c>
      <c r="O2623" t="s">
        <v>25</v>
      </c>
      <c r="P2623">
        <v>0</v>
      </c>
      <c r="Q2623">
        <v>0</v>
      </c>
      <c r="R2623" t="s">
        <v>3236</v>
      </c>
    </row>
    <row r="2624" spans="1:19" hidden="1" x14ac:dyDescent="0.3">
      <c r="A2624">
        <v>554</v>
      </c>
      <c r="B2624" t="s">
        <v>1502</v>
      </c>
      <c r="C2624" t="s">
        <v>536</v>
      </c>
      <c r="D2624" t="s">
        <v>21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80</v>
      </c>
      <c r="K2624">
        <v>95</v>
      </c>
      <c r="L2624" s="39">
        <f t="shared" si="170"/>
        <v>1.1875</v>
      </c>
      <c r="M2624" s="39">
        <f t="shared" si="171"/>
        <v>1.1875</v>
      </c>
      <c r="N2624" t="s">
        <v>25</v>
      </c>
      <c r="O2624" t="s">
        <v>25</v>
      </c>
      <c r="P2624">
        <v>0</v>
      </c>
      <c r="Q2624">
        <v>0</v>
      </c>
      <c r="R2624" t="s">
        <v>1503</v>
      </c>
    </row>
    <row r="2625" spans="1:18" hidden="1" x14ac:dyDescent="0.3">
      <c r="A2625">
        <v>555</v>
      </c>
      <c r="B2625" t="s">
        <v>1504</v>
      </c>
      <c r="C2625" t="s">
        <v>1044</v>
      </c>
      <c r="D2625" t="s">
        <v>21</v>
      </c>
      <c r="E2625" t="s">
        <v>22</v>
      </c>
      <c r="F2625" s="79">
        <v>46022</v>
      </c>
      <c r="G2625">
        <v>2025</v>
      </c>
      <c r="H2625" t="s">
        <v>23</v>
      </c>
      <c r="I2625" t="s">
        <v>32</v>
      </c>
      <c r="J2625">
        <v>80</v>
      </c>
      <c r="K2625">
        <v>100</v>
      </c>
      <c r="L2625" s="39">
        <f t="shared" si="170"/>
        <v>1.25</v>
      </c>
      <c r="M2625" s="39">
        <f t="shared" si="171"/>
        <v>1.25</v>
      </c>
      <c r="N2625" t="s">
        <v>25</v>
      </c>
      <c r="O2625" t="s">
        <v>25</v>
      </c>
      <c r="P2625">
        <v>0</v>
      </c>
      <c r="Q2625">
        <v>0</v>
      </c>
      <c r="R2625" t="s">
        <v>1505</v>
      </c>
    </row>
    <row r="2626" spans="1:18" hidden="1" x14ac:dyDescent="0.3">
      <c r="A2626">
        <v>556</v>
      </c>
      <c r="B2626" t="s">
        <v>1506</v>
      </c>
      <c r="C2626" t="s">
        <v>40</v>
      </c>
      <c r="D2626" t="s">
        <v>71</v>
      </c>
      <c r="E2626" t="s">
        <v>22</v>
      </c>
      <c r="F2626" s="79">
        <v>46022</v>
      </c>
      <c r="G2626">
        <v>2025</v>
      </c>
      <c r="H2626" t="s">
        <v>23</v>
      </c>
      <c r="I2626" t="s">
        <v>32</v>
      </c>
      <c r="J2626">
        <v>70</v>
      </c>
      <c r="K2626">
        <v>113.75</v>
      </c>
      <c r="L2626" s="39">
        <f t="shared" si="170"/>
        <v>1.3</v>
      </c>
      <c r="M2626" s="39">
        <f t="shared" si="171"/>
        <v>1.625</v>
      </c>
      <c r="N2626" t="s">
        <v>25</v>
      </c>
      <c r="O2626" t="s">
        <v>25</v>
      </c>
      <c r="P2626">
        <v>0</v>
      </c>
      <c r="Q2626">
        <v>0</v>
      </c>
      <c r="R2626" t="s">
        <v>1507</v>
      </c>
    </row>
    <row r="2627" spans="1:18" hidden="1" x14ac:dyDescent="0.3">
      <c r="A2627" s="5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44742</v>
      </c>
      <c r="G2627" s="5">
        <v>2022</v>
      </c>
      <c r="H2627" s="5" t="s">
        <v>699</v>
      </c>
      <c r="I2627" s="6" t="s">
        <v>1510</v>
      </c>
      <c r="J2627" s="5">
        <v>39623</v>
      </c>
      <c r="K2627" s="9">
        <v>40000</v>
      </c>
      <c r="L2627" s="14">
        <v>1.0095146758195996</v>
      </c>
      <c r="M2627" s="14">
        <v>1.0095146758195996</v>
      </c>
      <c r="N2627" s="5" t="s">
        <v>128</v>
      </c>
      <c r="O2627" s="5" t="s">
        <v>128</v>
      </c>
      <c r="P2627" s="5">
        <v>0</v>
      </c>
      <c r="Q2627" s="5">
        <v>0</v>
      </c>
      <c r="R2627" s="5" t="s">
        <v>4381</v>
      </c>
    </row>
    <row r="2628" spans="1:18" hidden="1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84">
        <v>44926</v>
      </c>
      <c r="G2628" s="5">
        <v>2022</v>
      </c>
      <c r="H2628" s="5" t="s">
        <v>23</v>
      </c>
      <c r="I2628" s="6" t="s">
        <v>24</v>
      </c>
      <c r="J2628" s="5">
        <v>39817</v>
      </c>
      <c r="K2628" s="9">
        <v>40663</v>
      </c>
      <c r="L2628" s="14">
        <v>1.0212472059673003</v>
      </c>
      <c r="M2628" s="14">
        <v>1.0212472059673003</v>
      </c>
      <c r="N2628" s="5" t="s">
        <v>128</v>
      </c>
      <c r="O2628" s="5" t="s">
        <v>128</v>
      </c>
      <c r="P2628" s="5">
        <v>0</v>
      </c>
      <c r="Q2628" s="5">
        <v>0</v>
      </c>
      <c r="R2628" s="5" t="s">
        <v>4382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45107</v>
      </c>
      <c r="G2629" s="5">
        <v>2023</v>
      </c>
      <c r="H2629" s="5" t="s">
        <v>699</v>
      </c>
      <c r="I2629" s="6" t="s">
        <v>1512</v>
      </c>
      <c r="J2629" s="5">
        <v>40047</v>
      </c>
      <c r="K2629" s="9">
        <v>39091</v>
      </c>
      <c r="L2629" s="14">
        <v>0.97612804954178845</v>
      </c>
      <c r="M2629" s="14">
        <v>0.97612804954178845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2492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45291</v>
      </c>
      <c r="G2630" s="5">
        <v>2023</v>
      </c>
      <c r="H2630" s="5" t="s">
        <v>23</v>
      </c>
      <c r="I2630" s="6" t="s">
        <v>28</v>
      </c>
      <c r="J2630" s="5">
        <v>42012</v>
      </c>
      <c r="K2630" s="9">
        <v>40771</v>
      </c>
      <c r="L2630" s="14">
        <v>0.97046082071789008</v>
      </c>
      <c r="M2630" s="14">
        <v>0.97046082071789008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649</v>
      </c>
    </row>
    <row r="2631" spans="1:18" hidden="1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45473</v>
      </c>
      <c r="G2631" s="5">
        <v>2024</v>
      </c>
      <c r="H2631" s="5" t="s">
        <v>699</v>
      </c>
      <c r="I2631" s="6" t="s">
        <v>729</v>
      </c>
      <c r="J2631" s="5">
        <v>38813</v>
      </c>
      <c r="K2631" s="9">
        <v>39598</v>
      </c>
      <c r="L2631" s="14">
        <v>1.0202251822842863</v>
      </c>
      <c r="M2631" s="14">
        <v>1.0202251822842863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2493</v>
      </c>
    </row>
    <row r="2632" spans="1:18" hidden="1" x14ac:dyDescent="0.3">
      <c r="A2632" s="21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45657</v>
      </c>
      <c r="G2632" s="5">
        <v>2024</v>
      </c>
      <c r="H2632" s="5" t="s">
        <v>23</v>
      </c>
      <c r="I2632" s="6" t="s">
        <v>30</v>
      </c>
      <c r="J2632" s="5">
        <v>40441</v>
      </c>
      <c r="K2632" s="15">
        <v>41436</v>
      </c>
      <c r="L2632" s="14">
        <v>1.0246037437254272</v>
      </c>
      <c r="M2632" s="14">
        <v>1.0246037437254272</v>
      </c>
      <c r="N2632" s="5" t="s">
        <v>128</v>
      </c>
      <c r="O2632" s="5" t="s">
        <v>128</v>
      </c>
      <c r="P2632" s="15">
        <v>0</v>
      </c>
      <c r="Q2632" s="15">
        <v>0</v>
      </c>
      <c r="R2632" s="5" t="s">
        <v>650</v>
      </c>
    </row>
    <row r="2633" spans="1:18" hidden="1" x14ac:dyDescent="0.3">
      <c r="A2633" s="21">
        <v>274</v>
      </c>
      <c r="B2633" s="5" t="s">
        <v>648</v>
      </c>
      <c r="C2633" s="5" t="s">
        <v>586</v>
      </c>
      <c r="D2633" s="5" t="s">
        <v>27</v>
      </c>
      <c r="E2633" s="5" t="s">
        <v>22</v>
      </c>
      <c r="F2633" s="84">
        <v>45838</v>
      </c>
      <c r="G2633" s="5">
        <v>2025</v>
      </c>
      <c r="H2633" s="5" t="s">
        <v>699</v>
      </c>
      <c r="I2633" s="6" t="s">
        <v>700</v>
      </c>
      <c r="J2633" s="5">
        <v>40441</v>
      </c>
      <c r="K2633" s="5">
        <v>41436</v>
      </c>
      <c r="L2633" s="14">
        <v>1.0246037437254272</v>
      </c>
      <c r="M2633" s="14">
        <v>1.0246037437254272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2494</v>
      </c>
    </row>
    <row r="2634" spans="1:18" hidden="1" x14ac:dyDescent="0.3">
      <c r="A2634" s="5">
        <v>274</v>
      </c>
      <c r="B2634" s="5" t="s">
        <v>648</v>
      </c>
      <c r="C2634" s="5" t="s">
        <v>586</v>
      </c>
      <c r="D2634" s="5" t="s">
        <v>27</v>
      </c>
      <c r="E2634" s="5" t="s">
        <v>22</v>
      </c>
      <c r="F2634" s="6">
        <v>46022</v>
      </c>
      <c r="G2634" s="5">
        <v>2025</v>
      </c>
      <c r="H2634" s="5" t="s">
        <v>23</v>
      </c>
      <c r="I2634" s="6" t="s">
        <v>32</v>
      </c>
      <c r="J2634" s="85">
        <v>44737</v>
      </c>
      <c r="K2634" s="9">
        <v>45583</v>
      </c>
      <c r="L2634" s="14">
        <v>1.0189105214922771</v>
      </c>
      <c r="M2634" s="14">
        <v>1.0189105214922771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651</v>
      </c>
    </row>
    <row r="2635" spans="1:18" hidden="1" x14ac:dyDescent="0.3">
      <c r="A2635" s="5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84">
        <v>44742</v>
      </c>
      <c r="G2635" s="5">
        <v>2022</v>
      </c>
      <c r="H2635" s="5" t="s">
        <v>699</v>
      </c>
      <c r="I2635" s="6" t="s">
        <v>1510</v>
      </c>
      <c r="J2635" s="9">
        <v>10808</v>
      </c>
      <c r="K2635" s="9">
        <v>11013</v>
      </c>
      <c r="L2635" s="14">
        <v>1.0189674315321984</v>
      </c>
      <c r="M2635" s="14">
        <v>1.0189674315321984</v>
      </c>
      <c r="N2635" s="5" t="s">
        <v>128</v>
      </c>
      <c r="O2635" s="5" t="s">
        <v>128</v>
      </c>
      <c r="P2635" s="5">
        <v>0</v>
      </c>
      <c r="Q2635" s="5">
        <v>0</v>
      </c>
      <c r="R2635" s="5" t="s">
        <v>4383</v>
      </c>
    </row>
    <row r="2636" spans="1:18" hidden="1" x14ac:dyDescent="0.3">
      <c r="A2636" s="5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84">
        <v>44926</v>
      </c>
      <c r="G2636" s="5">
        <v>2022</v>
      </c>
      <c r="H2636" s="5" t="s">
        <v>23</v>
      </c>
      <c r="I2636" s="6" t="s">
        <v>24</v>
      </c>
      <c r="J2636" s="9">
        <v>9192</v>
      </c>
      <c r="K2636" s="9">
        <v>9678</v>
      </c>
      <c r="L2636" s="14">
        <v>1.0528720626631853</v>
      </c>
      <c r="M2636" s="14">
        <v>1.0528720626631853</v>
      </c>
      <c r="N2636" s="5" t="s">
        <v>128</v>
      </c>
      <c r="O2636" s="5" t="s">
        <v>128</v>
      </c>
      <c r="P2636" s="5">
        <v>0</v>
      </c>
      <c r="Q2636" s="5">
        <v>0</v>
      </c>
      <c r="R2636" s="5" t="s">
        <v>4384</v>
      </c>
    </row>
    <row r="2637" spans="1:18" hidden="1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45107</v>
      </c>
      <c r="G2637" s="5">
        <v>2023</v>
      </c>
      <c r="H2637" s="5" t="s">
        <v>699</v>
      </c>
      <c r="I2637" s="6" t="s">
        <v>1512</v>
      </c>
      <c r="J2637" s="9">
        <v>12130</v>
      </c>
      <c r="K2637" s="9">
        <v>12461</v>
      </c>
      <c r="L2637" s="14">
        <v>1.027287716405606</v>
      </c>
      <c r="M2637" s="14">
        <v>1.027287716405606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2778</v>
      </c>
    </row>
    <row r="2638" spans="1:18" hidden="1" x14ac:dyDescent="0.3">
      <c r="A2638" s="26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45291</v>
      </c>
      <c r="G2638" s="5">
        <v>2023</v>
      </c>
      <c r="H2638" s="5" t="s">
        <v>23</v>
      </c>
      <c r="I2638" s="6" t="s">
        <v>28</v>
      </c>
      <c r="J2638" s="9">
        <v>9876</v>
      </c>
      <c r="K2638" s="9">
        <v>10730</v>
      </c>
      <c r="L2638" s="14">
        <v>1.0864722559740785</v>
      </c>
      <c r="M2638" s="14">
        <v>1.0864722559740785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1021</v>
      </c>
    </row>
    <row r="2639" spans="1:18" hidden="1" x14ac:dyDescent="0.3">
      <c r="A2639" s="28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45473</v>
      </c>
      <c r="G2639" s="5">
        <v>2024</v>
      </c>
      <c r="H2639" s="5" t="s">
        <v>699</v>
      </c>
      <c r="I2639" s="6" t="s">
        <v>729</v>
      </c>
      <c r="J2639" s="9">
        <v>13590</v>
      </c>
      <c r="K2639" s="9">
        <v>12987</v>
      </c>
      <c r="L2639" s="14">
        <v>0.95562913907284763</v>
      </c>
      <c r="M2639" s="14">
        <v>0.95562913907284763</v>
      </c>
      <c r="N2639" s="5" t="s">
        <v>128</v>
      </c>
      <c r="O2639" s="5" t="s">
        <v>128</v>
      </c>
      <c r="P2639" s="15">
        <v>0</v>
      </c>
      <c r="Q2639" s="15">
        <v>0</v>
      </c>
      <c r="R2639" s="5" t="s">
        <v>2779</v>
      </c>
    </row>
    <row r="2640" spans="1:18" hidden="1" x14ac:dyDescent="0.3">
      <c r="A2640" s="21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45657</v>
      </c>
      <c r="G2640" s="5">
        <v>2024</v>
      </c>
      <c r="H2640" s="5" t="s">
        <v>23</v>
      </c>
      <c r="I2640" s="6" t="s">
        <v>30</v>
      </c>
      <c r="J2640" s="9">
        <v>10675</v>
      </c>
      <c r="K2640" s="9">
        <v>10569</v>
      </c>
      <c r="L2640" s="14">
        <v>0.99007025761124123</v>
      </c>
      <c r="M2640" s="14">
        <v>0.99007025761124123</v>
      </c>
      <c r="N2640" s="5" t="s">
        <v>128</v>
      </c>
      <c r="O2640" s="5" t="s">
        <v>128</v>
      </c>
      <c r="P2640" s="15">
        <v>0</v>
      </c>
      <c r="Q2640" s="15">
        <v>0</v>
      </c>
      <c r="R2640" s="5" t="s">
        <v>1022</v>
      </c>
    </row>
    <row r="2641" spans="1:18" hidden="1" x14ac:dyDescent="0.3">
      <c r="A2641" s="5">
        <v>379</v>
      </c>
      <c r="B2641" s="5" t="s">
        <v>1019</v>
      </c>
      <c r="C2641" s="5" t="s">
        <v>1020</v>
      </c>
      <c r="D2641" s="5" t="s">
        <v>27</v>
      </c>
      <c r="E2641" s="5" t="s">
        <v>22</v>
      </c>
      <c r="F2641" s="6">
        <v>45838</v>
      </c>
      <c r="G2641" s="5">
        <v>2025</v>
      </c>
      <c r="H2641" s="5" t="s">
        <v>699</v>
      </c>
      <c r="I2641" s="6" t="s">
        <v>700</v>
      </c>
      <c r="J2641" s="5">
        <v>13609</v>
      </c>
      <c r="K2641" s="5">
        <v>14141</v>
      </c>
      <c r="L2641" s="14">
        <v>1.0390917775001838</v>
      </c>
      <c r="M2641" s="14">
        <v>1.0390917775001838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2780</v>
      </c>
    </row>
    <row r="2642" spans="1:18" hidden="1" x14ac:dyDescent="0.3">
      <c r="A2642" s="5">
        <v>379</v>
      </c>
      <c r="B2642" s="5" t="s">
        <v>1019</v>
      </c>
      <c r="C2642" s="5" t="s">
        <v>1020</v>
      </c>
      <c r="D2642" s="5" t="s">
        <v>27</v>
      </c>
      <c r="E2642" s="5" t="s">
        <v>22</v>
      </c>
      <c r="F2642" s="6">
        <v>46022</v>
      </c>
      <c r="G2642" s="5">
        <v>2025</v>
      </c>
      <c r="H2642" s="5" t="s">
        <v>23</v>
      </c>
      <c r="I2642" s="6" t="s">
        <v>32</v>
      </c>
      <c r="J2642" s="5">
        <v>11018</v>
      </c>
      <c r="K2642" s="5">
        <v>11224</v>
      </c>
      <c r="L2642" s="14">
        <v>1.018696678163006</v>
      </c>
      <c r="M2642" s="14">
        <v>1.018696678163006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1023</v>
      </c>
    </row>
    <row r="2643" spans="1:18" hidden="1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44742</v>
      </c>
      <c r="G2643" s="15">
        <v>2022</v>
      </c>
      <c r="H2643" s="6" t="s">
        <v>699</v>
      </c>
      <c r="I2643" s="27" t="s">
        <v>1510</v>
      </c>
      <c r="J2643" s="9">
        <v>49004</v>
      </c>
      <c r="K2643" s="86">
        <v>51012</v>
      </c>
      <c r="L2643" s="14">
        <v>1.040976246836993</v>
      </c>
      <c r="M2643" s="14">
        <v>1.040976246836993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8" hidden="1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84">
        <v>44926</v>
      </c>
      <c r="G2644" s="15">
        <v>2022</v>
      </c>
      <c r="H2644" s="6" t="s">
        <v>23</v>
      </c>
      <c r="I2644" s="27" t="s">
        <v>24</v>
      </c>
      <c r="J2644" s="9">
        <v>50430</v>
      </c>
      <c r="K2644" s="9">
        <v>50241</v>
      </c>
      <c r="L2644" s="14">
        <v>0.99625223081499104</v>
      </c>
      <c r="M2644" s="14">
        <v>0.99625223081499104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8" hidden="1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45107</v>
      </c>
      <c r="G2645" s="15">
        <v>2023</v>
      </c>
      <c r="H2645" s="6" t="s">
        <v>699</v>
      </c>
      <c r="I2645" s="27" t="s">
        <v>1512</v>
      </c>
      <c r="J2645" s="9">
        <v>52177</v>
      </c>
      <c r="K2645" s="9">
        <v>51473</v>
      </c>
      <c r="L2645" s="14">
        <v>0.98650746497498898</v>
      </c>
      <c r="M2645" s="14">
        <v>0.98650746497498898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8" hidden="1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45291</v>
      </c>
      <c r="G2646" s="15">
        <v>2023</v>
      </c>
      <c r="H2646" s="6" t="s">
        <v>23</v>
      </c>
      <c r="I2646" s="27" t="s">
        <v>28</v>
      </c>
      <c r="J2646" s="9">
        <v>51687</v>
      </c>
      <c r="K2646" s="9">
        <v>51375</v>
      </c>
      <c r="L2646" s="14">
        <v>0.99396366591212493</v>
      </c>
      <c r="M2646" s="14">
        <v>0.99396366591212493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4387</v>
      </c>
    </row>
    <row r="2647" spans="1:18" hidden="1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45473</v>
      </c>
      <c r="G2647" s="5">
        <v>2024</v>
      </c>
      <c r="H2647" s="5" t="s">
        <v>699</v>
      </c>
      <c r="I2647" s="6" t="s">
        <v>729</v>
      </c>
      <c r="J2647" s="9">
        <v>52403.186118801452</v>
      </c>
      <c r="K2647" s="9">
        <v>52585</v>
      </c>
      <c r="L2647" s="14">
        <v>1.0034695195972696</v>
      </c>
      <c r="M2647" s="14">
        <v>1.0034695195972696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4394</v>
      </c>
    </row>
    <row r="2648" spans="1:18" hidden="1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45657</v>
      </c>
      <c r="G2648" s="5">
        <v>2024</v>
      </c>
      <c r="H2648" s="5" t="s">
        <v>23</v>
      </c>
      <c r="I2648" s="6" t="s">
        <v>30</v>
      </c>
      <c r="J2648" s="83">
        <v>51116.334115206948</v>
      </c>
      <c r="K2648" s="9">
        <v>52005</v>
      </c>
      <c r="L2648" s="14">
        <v>1.0173851646479608</v>
      </c>
      <c r="M2648" s="14">
        <v>1.0173851646479608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4388</v>
      </c>
    </row>
    <row r="2649" spans="1:18" hidden="1" x14ac:dyDescent="0.3">
      <c r="A2649" s="5">
        <v>14</v>
      </c>
      <c r="B2649" s="5" t="s">
        <v>4385</v>
      </c>
      <c r="C2649" s="5" t="s">
        <v>333</v>
      </c>
      <c r="D2649" s="5" t="s">
        <v>27</v>
      </c>
      <c r="E2649" s="5" t="s">
        <v>22</v>
      </c>
      <c r="F2649" s="6">
        <v>45838</v>
      </c>
      <c r="G2649" s="5">
        <v>2025</v>
      </c>
      <c r="H2649" s="5" t="s">
        <v>699</v>
      </c>
      <c r="I2649" s="6" t="s">
        <v>700</v>
      </c>
      <c r="J2649" s="9">
        <v>53635</v>
      </c>
      <c r="K2649" s="9">
        <v>56505</v>
      </c>
      <c r="L2649" s="14">
        <v>1.053509834995805</v>
      </c>
      <c r="M2649" s="14">
        <v>1.053509834995805</v>
      </c>
      <c r="N2649" s="5" t="s">
        <v>128</v>
      </c>
      <c r="O2649" s="5" t="s">
        <v>128</v>
      </c>
      <c r="P2649" s="5">
        <v>0</v>
      </c>
      <c r="Q2649" s="5">
        <v>0</v>
      </c>
      <c r="R2649" s="5" t="s">
        <v>4395</v>
      </c>
    </row>
    <row r="2650" spans="1:18" hidden="1" x14ac:dyDescent="0.3">
      <c r="A2650" s="5">
        <v>14</v>
      </c>
      <c r="B2650" s="5" t="s">
        <v>4385</v>
      </c>
      <c r="C2650" s="5" t="s">
        <v>333</v>
      </c>
      <c r="D2650" s="5" t="s">
        <v>27</v>
      </c>
      <c r="E2650" s="5" t="s">
        <v>22</v>
      </c>
      <c r="F2650" s="6">
        <v>46022</v>
      </c>
      <c r="G2650" s="5">
        <v>2025</v>
      </c>
      <c r="H2650" s="5" t="s">
        <v>23</v>
      </c>
      <c r="I2650" s="6" t="s">
        <v>32</v>
      </c>
      <c r="J2650" s="83">
        <v>55756</v>
      </c>
      <c r="K2650" s="9">
        <v>56807</v>
      </c>
      <c r="L2650" s="14">
        <v>1.0188499892388263</v>
      </c>
      <c r="M2650" s="14">
        <v>1.0188499892388263</v>
      </c>
      <c r="N2650" s="5" t="s">
        <v>128</v>
      </c>
      <c r="O2650" s="5" t="s">
        <v>128</v>
      </c>
      <c r="P2650" s="5">
        <v>0</v>
      </c>
      <c r="Q2650" s="5">
        <v>0</v>
      </c>
      <c r="R2650" s="5" t="s">
        <v>4391</v>
      </c>
    </row>
  </sheetData>
  <autoFilter ref="A1:S2650" xr:uid="{00000000-0001-0000-0000-000000000000}">
    <filterColumn colId="0">
      <filters>
        <filter val="122"/>
      </filters>
    </filterColumn>
    <filterColumn colId="6">
      <filters>
        <filter val="2025"/>
      </filters>
    </filterColumn>
  </autoFilter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2">
    <cfRule type="duplicateValues" dxfId="134" priority="14"/>
  </conditionalFormatting>
  <conditionalFormatting sqref="A2342:A2344">
    <cfRule type="duplicateValues" dxfId="133" priority="13"/>
  </conditionalFormatting>
  <conditionalFormatting sqref="A2345">
    <cfRule type="duplicateValues" dxfId="132" priority="10"/>
  </conditionalFormatting>
  <conditionalFormatting sqref="A2346">
    <cfRule type="duplicateValues" dxfId="131" priority="11"/>
  </conditionalFormatting>
  <conditionalFormatting sqref="A2347:A2348">
    <cfRule type="duplicateValues" dxfId="130" priority="12"/>
  </conditionalFormatting>
  <conditionalFormatting sqref="A2349:A2350">
    <cfRule type="duplicateValues" dxfId="129" priority="9"/>
  </conditionalFormatting>
  <conditionalFormatting sqref="A2398 A2400">
    <cfRule type="duplicateValues" dxfId="128" priority="8"/>
  </conditionalFormatting>
  <conditionalFormatting sqref="A2407">
    <cfRule type="duplicateValues" dxfId="127" priority="7"/>
  </conditionalFormatting>
  <conditionalFormatting sqref="A2408">
    <cfRule type="duplicateValues" dxfId="126" priority="6"/>
  </conditionalFormatting>
  <conditionalFormatting sqref="A2427">
    <cfRule type="duplicateValues" dxfId="125" priority="5"/>
  </conditionalFormatting>
  <conditionalFormatting sqref="A2534">
    <cfRule type="duplicateValues" dxfId="124" priority="3"/>
    <cfRule type="duplicateValues" dxfId="123" priority="4"/>
  </conditionalFormatting>
  <conditionalFormatting sqref="A2643:A2648">
    <cfRule type="duplicateValues" dxfId="122" priority="2"/>
  </conditionalFormatting>
  <conditionalFormatting sqref="A2649:A2650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5"/>
  <sheetViews>
    <sheetView tabSelected="1" zoomScale="85" zoomScaleNormal="85" workbookViewId="0">
      <pane ySplit="1" topLeftCell="A2" activePane="bottomLeft" state="frozen"/>
      <selection activeCell="O18" sqref="O18"/>
      <selection pane="bottomLeft" activeCell="K1" sqref="K1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1</v>
      </c>
      <c r="K1361">
        <v>17.59</v>
      </c>
      <c r="L1361" s="39">
        <f t="shared" si="104"/>
        <v>5.6850483229107449E-2</v>
      </c>
      <c r="M1361" s="39">
        <f t="shared" si="105"/>
        <v>5.6850483229107449E-2</v>
      </c>
      <c r="P1361">
        <v>0</v>
      </c>
      <c r="Q1361">
        <v>0</v>
      </c>
      <c r="R1361" t="s">
        <v>2938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1</v>
      </c>
      <c r="K1362">
        <v>18.63</v>
      </c>
      <c r="L1362" s="39">
        <f t="shared" si="104"/>
        <v>5.3676865271068172E-2</v>
      </c>
      <c r="M1362" s="39">
        <f t="shared" si="105"/>
        <v>5.3676865271068172E-2</v>
      </c>
      <c r="P1362">
        <v>0</v>
      </c>
      <c r="Q1362">
        <v>0</v>
      </c>
      <c r="R1362" t="s">
        <v>1209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1</v>
      </c>
      <c r="K1363">
        <v>16.579999999999998</v>
      </c>
      <c r="L1363" s="39">
        <f t="shared" si="104"/>
        <v>6.0313630880579019E-2</v>
      </c>
      <c r="M1363" s="39">
        <f t="shared" si="105"/>
        <v>6.0313630880579019E-2</v>
      </c>
      <c r="P1363">
        <v>0</v>
      </c>
      <c r="Q1363">
        <v>0</v>
      </c>
      <c r="R1363" t="s">
        <v>2939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1</v>
      </c>
      <c r="K1364">
        <v>18.53</v>
      </c>
      <c r="L1364" s="39">
        <f t="shared" si="104"/>
        <v>5.3966540744738258E-2</v>
      </c>
      <c r="M1364" s="39">
        <f t="shared" si="105"/>
        <v>5.3966540744738258E-2</v>
      </c>
      <c r="P1364">
        <v>0</v>
      </c>
      <c r="Q1364">
        <v>0</v>
      </c>
      <c r="R1364" t="s">
        <v>1210</v>
      </c>
    </row>
    <row r="1365" spans="1:18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1</v>
      </c>
      <c r="K1365">
        <v>15.12</v>
      </c>
      <c r="L1365" s="39">
        <f t="shared" si="104"/>
        <v>6.6137566137566148E-2</v>
      </c>
      <c r="M1365" s="39">
        <f t="shared" si="105"/>
        <v>6.6137566137566148E-2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1</v>
      </c>
      <c r="K1366">
        <v>17.88</v>
      </c>
      <c r="L1366" s="39">
        <f t="shared" si="104"/>
        <v>5.5928411633109625E-2</v>
      </c>
      <c r="M1366" s="39">
        <f t="shared" si="105"/>
        <v>5.5928411633109625E-2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6" si="106">IFERROR(IF(OR(J1385=0,K1385=""),"",IF(E1385="Positivo",MIN(MAX(K1385/J1385,0),1.3),MIN(MAX(J1385/K1385,0),1.3))),"")</f>
        <v>1.1042530864197555</v>
      </c>
      <c r="M1385" s="39">
        <f t="shared" ref="M1385:M1416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45199</v>
      </c>
      <c r="G1397">
        <v>2023</v>
      </c>
      <c r="H1397" t="s">
        <v>162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2973</v>
      </c>
    </row>
    <row r="1398" spans="1:18" x14ac:dyDescent="0.3">
      <c r="A1398">
        <v>434</v>
      </c>
      <c r="B1398" t="s">
        <v>1232</v>
      </c>
      <c r="C1398" t="s">
        <v>190</v>
      </c>
      <c r="D1398" t="s">
        <v>54</v>
      </c>
      <c r="E1398" t="s">
        <v>41</v>
      </c>
      <c r="F1398" s="79">
        <v>45230</v>
      </c>
      <c r="G1398">
        <v>2023</v>
      </c>
      <c r="H1398" t="s">
        <v>150</v>
      </c>
      <c r="I1398" t="s">
        <v>28</v>
      </c>
      <c r="J1398">
        <v>1200</v>
      </c>
      <c r="K1398">
        <v>2275.63</v>
      </c>
      <c r="L1398" s="39">
        <f t="shared" si="106"/>
        <v>0.52732649859599312</v>
      </c>
      <c r="M1398" s="39">
        <f t="shared" si="107"/>
        <v>0.52732649859599312</v>
      </c>
      <c r="P1398">
        <v>1</v>
      </c>
      <c r="Q1398">
        <v>1</v>
      </c>
      <c r="R1398" t="s">
        <v>2974</v>
      </c>
    </row>
    <row r="1399" spans="1:18" x14ac:dyDescent="0.3">
      <c r="A1399">
        <v>434</v>
      </c>
      <c r="B1399" t="s">
        <v>1232</v>
      </c>
      <c r="C1399" t="s">
        <v>190</v>
      </c>
      <c r="D1399" t="s">
        <v>54</v>
      </c>
      <c r="E1399" t="s">
        <v>41</v>
      </c>
      <c r="F1399" s="79">
        <v>45260</v>
      </c>
      <c r="G1399">
        <v>2023</v>
      </c>
      <c r="H1399" t="s">
        <v>1550</v>
      </c>
      <c r="I1399" t="s">
        <v>28</v>
      </c>
      <c r="J1399">
        <v>1200</v>
      </c>
      <c r="K1399">
        <v>2275.63</v>
      </c>
      <c r="L1399" s="39">
        <f t="shared" si="106"/>
        <v>0.52732649859599312</v>
      </c>
      <c r="M1399" s="39">
        <f t="shared" si="107"/>
        <v>0.52732649859599312</v>
      </c>
      <c r="P1399">
        <v>1</v>
      </c>
      <c r="Q1399">
        <v>1</v>
      </c>
      <c r="R1399" t="s">
        <v>2975</v>
      </c>
    </row>
    <row r="1400" spans="1:18" x14ac:dyDescent="0.3">
      <c r="A1400">
        <v>434</v>
      </c>
      <c r="B1400" t="s">
        <v>1232</v>
      </c>
      <c r="C1400" t="s">
        <v>190</v>
      </c>
      <c r="D1400" t="s">
        <v>54</v>
      </c>
      <c r="E1400" t="s">
        <v>41</v>
      </c>
      <c r="F1400" s="79">
        <v>45291</v>
      </c>
      <c r="G1400">
        <v>2023</v>
      </c>
      <c r="H1400" t="s">
        <v>23</v>
      </c>
      <c r="I1400" t="s">
        <v>28</v>
      </c>
      <c r="J1400">
        <v>1200</v>
      </c>
      <c r="K1400">
        <v>2275.63</v>
      </c>
      <c r="L1400" s="39">
        <f t="shared" si="106"/>
        <v>0.52732649859599312</v>
      </c>
      <c r="M1400" s="39">
        <f t="shared" si="107"/>
        <v>0.52732649859599312</v>
      </c>
      <c r="P1400">
        <v>1</v>
      </c>
      <c r="Q1400">
        <v>1</v>
      </c>
      <c r="R1400" t="s">
        <v>1233</v>
      </c>
    </row>
    <row r="1401" spans="1:18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45473</v>
      </c>
      <c r="G1401">
        <v>2024</v>
      </c>
      <c r="H1401" t="s">
        <v>699</v>
      </c>
      <c r="I1401" t="s">
        <v>729</v>
      </c>
      <c r="J1401">
        <v>1200</v>
      </c>
      <c r="K1401">
        <v>3489.51</v>
      </c>
      <c r="L1401" s="39">
        <f t="shared" si="106"/>
        <v>0.34388782379187904</v>
      </c>
      <c r="M1401" s="39">
        <f t="shared" si="107"/>
        <v>0.34388782379187904</v>
      </c>
      <c r="P1401">
        <v>0</v>
      </c>
      <c r="Q1401">
        <v>0</v>
      </c>
      <c r="R1401" t="s">
        <v>2981</v>
      </c>
    </row>
    <row r="1402" spans="1:18" x14ac:dyDescent="0.3">
      <c r="A1402">
        <v>434</v>
      </c>
      <c r="B1402" t="s">
        <v>1234</v>
      </c>
      <c r="C1402" t="s">
        <v>190</v>
      </c>
      <c r="D1402" t="s">
        <v>54</v>
      </c>
      <c r="E1402" t="s">
        <v>41</v>
      </c>
      <c r="F1402" s="79">
        <v>45657</v>
      </c>
      <c r="G1402">
        <v>2024</v>
      </c>
      <c r="H1402" t="s">
        <v>23</v>
      </c>
      <c r="I1402" t="s">
        <v>30</v>
      </c>
      <c r="J1402">
        <v>1200</v>
      </c>
      <c r="K1402">
        <v>1937.73</v>
      </c>
      <c r="L1402" s="39">
        <f t="shared" si="106"/>
        <v>0.6192813240234708</v>
      </c>
      <c r="M1402" s="39">
        <f t="shared" si="107"/>
        <v>0.6192813240234708</v>
      </c>
      <c r="P1402">
        <v>0</v>
      </c>
      <c r="Q1402">
        <v>0</v>
      </c>
      <c r="R1402" t="s">
        <v>1235</v>
      </c>
    </row>
    <row r="1403" spans="1:18" x14ac:dyDescent="0.3">
      <c r="A1403">
        <v>434</v>
      </c>
      <c r="B1403" t="s">
        <v>1234</v>
      </c>
      <c r="C1403" t="s">
        <v>190</v>
      </c>
      <c r="D1403" t="s">
        <v>54</v>
      </c>
      <c r="E1403" t="s">
        <v>41</v>
      </c>
      <c r="F1403" s="79">
        <v>45838</v>
      </c>
      <c r="G1403">
        <v>2025</v>
      </c>
      <c r="H1403" t="s">
        <v>699</v>
      </c>
      <c r="I1403" t="s">
        <v>700</v>
      </c>
      <c r="J1403">
        <v>1200</v>
      </c>
      <c r="K1403">
        <v>2467.36</v>
      </c>
      <c r="L1403" s="39">
        <f t="shared" si="106"/>
        <v>0.48634978276376367</v>
      </c>
      <c r="M1403" s="39">
        <f t="shared" si="107"/>
        <v>0.48634978276376367</v>
      </c>
      <c r="N1403" t="s">
        <v>403</v>
      </c>
      <c r="O1403" t="s">
        <v>403</v>
      </c>
      <c r="P1403">
        <v>0</v>
      </c>
      <c r="Q1403">
        <v>0</v>
      </c>
      <c r="R1403" t="s">
        <v>2992</v>
      </c>
    </row>
    <row r="1404" spans="1:18" x14ac:dyDescent="0.3">
      <c r="A1404">
        <v>434</v>
      </c>
      <c r="B1404" t="s">
        <v>1234</v>
      </c>
      <c r="C1404" t="s">
        <v>190</v>
      </c>
      <c r="D1404" t="s">
        <v>54</v>
      </c>
      <c r="E1404" t="s">
        <v>41</v>
      </c>
      <c r="F1404" s="79">
        <v>46022</v>
      </c>
      <c r="G1404">
        <v>2025</v>
      </c>
      <c r="H1404" t="s">
        <v>23</v>
      </c>
      <c r="I1404" t="s">
        <v>32</v>
      </c>
      <c r="J1404">
        <v>1200</v>
      </c>
      <c r="K1404">
        <v>5316.2</v>
      </c>
      <c r="L1404" s="39">
        <f t="shared" si="106"/>
        <v>0.2257251420187352</v>
      </c>
      <c r="M1404" s="39">
        <f t="shared" si="107"/>
        <v>0.2257251420187352</v>
      </c>
      <c r="N1404" t="s">
        <v>403</v>
      </c>
      <c r="O1404" t="s">
        <v>403</v>
      </c>
      <c r="P1404">
        <v>0</v>
      </c>
      <c r="Q1404">
        <v>0</v>
      </c>
      <c r="R1404" t="s">
        <v>1236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45107</v>
      </c>
      <c r="G1405">
        <v>2023</v>
      </c>
      <c r="H1405" t="s">
        <v>699</v>
      </c>
      <c r="I1405" t="s">
        <v>1512</v>
      </c>
      <c r="J1405">
        <v>100</v>
      </c>
      <c r="K1405">
        <v>0.43352601156068998</v>
      </c>
      <c r="L1405" s="39">
        <f t="shared" si="106"/>
        <v>4.3352601156068996E-3</v>
      </c>
      <c r="M1405" s="39">
        <f t="shared" si="107"/>
        <v>4.3352601156068996E-3</v>
      </c>
      <c r="N1405" t="s">
        <v>136</v>
      </c>
      <c r="O1405" t="s">
        <v>136</v>
      </c>
      <c r="P1405">
        <v>2</v>
      </c>
      <c r="Q1405">
        <v>2</v>
      </c>
      <c r="R1405" t="s">
        <v>2998</v>
      </c>
    </row>
    <row r="1406" spans="1:18" x14ac:dyDescent="0.3">
      <c r="A1406">
        <v>435</v>
      </c>
      <c r="B1406" t="s">
        <v>1237</v>
      </c>
      <c r="C1406" t="s">
        <v>190</v>
      </c>
      <c r="D1406" t="s">
        <v>27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100</v>
      </c>
      <c r="K1406">
        <v>-111.57</v>
      </c>
      <c r="L1406" s="39">
        <f t="shared" si="106"/>
        <v>0</v>
      </c>
      <c r="M1406" s="39">
        <f t="shared" si="107"/>
        <v>0</v>
      </c>
      <c r="N1406" t="s">
        <v>136</v>
      </c>
      <c r="O1406" t="s">
        <v>136</v>
      </c>
      <c r="P1406">
        <v>2</v>
      </c>
      <c r="Q1406">
        <v>2</v>
      </c>
      <c r="R1406" t="s">
        <v>1238</v>
      </c>
    </row>
    <row r="1407" spans="1:18" x14ac:dyDescent="0.3">
      <c r="A1407">
        <v>435</v>
      </c>
      <c r="B1407" t="s">
        <v>1237</v>
      </c>
      <c r="C1407" t="s">
        <v>190</v>
      </c>
      <c r="D1407" t="s">
        <v>27</v>
      </c>
      <c r="E1407" t="s">
        <v>22</v>
      </c>
      <c r="F1407" s="79">
        <v>45473</v>
      </c>
      <c r="G1407">
        <v>2024</v>
      </c>
      <c r="H1407" t="s">
        <v>699</v>
      </c>
      <c r="I1407" t="s">
        <v>729</v>
      </c>
      <c r="J1407">
        <v>100</v>
      </c>
      <c r="K1407">
        <v>-20.67</v>
      </c>
      <c r="L1407" s="39">
        <f t="shared" si="106"/>
        <v>0</v>
      </c>
      <c r="M1407" s="39">
        <f t="shared" si="107"/>
        <v>0</v>
      </c>
      <c r="P1407">
        <v>0</v>
      </c>
      <c r="Q1407">
        <v>0</v>
      </c>
      <c r="R1407" t="s">
        <v>2999</v>
      </c>
    </row>
    <row r="1408" spans="1:18" x14ac:dyDescent="0.3">
      <c r="A1408">
        <v>435</v>
      </c>
      <c r="B1408" t="s">
        <v>1237</v>
      </c>
      <c r="C1408" t="s">
        <v>190</v>
      </c>
      <c r="D1408" t="s">
        <v>27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100</v>
      </c>
      <c r="K1408">
        <v>71.09</v>
      </c>
      <c r="L1408" s="39">
        <f t="shared" si="106"/>
        <v>0.71090000000000009</v>
      </c>
      <c r="M1408" s="39">
        <f t="shared" si="107"/>
        <v>0.71090000000000009</v>
      </c>
      <c r="P1408">
        <v>0</v>
      </c>
      <c r="Q1408">
        <v>0</v>
      </c>
      <c r="R1408" t="s">
        <v>1239</v>
      </c>
    </row>
    <row r="1409" spans="1:18" x14ac:dyDescent="0.3">
      <c r="A1409">
        <v>435</v>
      </c>
      <c r="B1409" t="s">
        <v>1237</v>
      </c>
      <c r="C1409" t="s">
        <v>190</v>
      </c>
      <c r="D1409" t="s">
        <v>21</v>
      </c>
      <c r="E1409" t="s">
        <v>22</v>
      </c>
      <c r="F1409" s="79">
        <v>45838</v>
      </c>
      <c r="G1409">
        <v>2025</v>
      </c>
      <c r="H1409" t="s">
        <v>699</v>
      </c>
      <c r="I1409" t="s">
        <v>700</v>
      </c>
      <c r="J1409">
        <v>1</v>
      </c>
      <c r="K1409">
        <v>96.09</v>
      </c>
      <c r="L1409" s="39">
        <f t="shared" si="106"/>
        <v>1.3</v>
      </c>
      <c r="M1409" s="39">
        <f t="shared" si="107"/>
        <v>96.09</v>
      </c>
      <c r="N1409" t="s">
        <v>25</v>
      </c>
      <c r="O1409" t="s">
        <v>25</v>
      </c>
      <c r="P1409">
        <v>2</v>
      </c>
      <c r="Q1409">
        <v>2</v>
      </c>
      <c r="R1409" t="s">
        <v>3000</v>
      </c>
    </row>
    <row r="1410" spans="1:18" x14ac:dyDescent="0.3">
      <c r="A1410">
        <v>435</v>
      </c>
      <c r="B1410" t="s">
        <v>1237</v>
      </c>
      <c r="C1410" t="s">
        <v>190</v>
      </c>
      <c r="D1410" t="s">
        <v>21</v>
      </c>
      <c r="E1410" t="s">
        <v>22</v>
      </c>
      <c r="F1410" s="79">
        <v>46022</v>
      </c>
      <c r="G1410">
        <v>2025</v>
      </c>
      <c r="H1410" t="s">
        <v>23</v>
      </c>
      <c r="I1410" t="s">
        <v>32</v>
      </c>
      <c r="J1410">
        <v>1</v>
      </c>
      <c r="K1410">
        <v>-732.08</v>
      </c>
      <c r="L1410" s="39">
        <f t="shared" si="106"/>
        <v>0</v>
      </c>
      <c r="M1410" s="39">
        <f t="shared" si="107"/>
        <v>0</v>
      </c>
      <c r="N1410" t="s">
        <v>25</v>
      </c>
      <c r="O1410" t="s">
        <v>25</v>
      </c>
      <c r="P1410">
        <v>2</v>
      </c>
      <c r="Q1410">
        <v>2</v>
      </c>
      <c r="R1410" t="s">
        <v>1240</v>
      </c>
    </row>
    <row r="1411" spans="1:18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21</v>
      </c>
      <c r="K1411">
        <v>11.06833333333333</v>
      </c>
      <c r="L1411" s="39">
        <f t="shared" si="106"/>
        <v>1.3</v>
      </c>
      <c r="M1411" s="39">
        <f t="shared" si="107"/>
        <v>1.8973046227977721</v>
      </c>
      <c r="N1411" t="s">
        <v>42</v>
      </c>
      <c r="O1411" t="s">
        <v>42</v>
      </c>
      <c r="P1411">
        <v>1</v>
      </c>
      <c r="Q1411">
        <v>1</v>
      </c>
      <c r="R1411" t="s">
        <v>1242</v>
      </c>
    </row>
    <row r="1412" spans="1:18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14</v>
      </c>
      <c r="K1412">
        <v>11.56666666666667</v>
      </c>
      <c r="L1412" s="39">
        <f t="shared" si="106"/>
        <v>1.2103746397694521</v>
      </c>
      <c r="M1412" s="39">
        <f t="shared" si="107"/>
        <v>1.2103746397694521</v>
      </c>
      <c r="P1412">
        <v>0</v>
      </c>
      <c r="Q1412">
        <v>0</v>
      </c>
      <c r="R1412" t="s">
        <v>3017</v>
      </c>
    </row>
    <row r="1413" spans="1:18" x14ac:dyDescent="0.3">
      <c r="A1413">
        <v>436</v>
      </c>
      <c r="B1413" t="s">
        <v>1241</v>
      </c>
      <c r="C1413" t="s">
        <v>198</v>
      </c>
      <c r="D1413" t="s">
        <v>54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14</v>
      </c>
      <c r="K1413">
        <v>10.561666666666669</v>
      </c>
      <c r="L1413" s="39">
        <f t="shared" si="106"/>
        <v>1.3</v>
      </c>
      <c r="M1413" s="39">
        <f t="shared" si="107"/>
        <v>1.3255483667350478</v>
      </c>
      <c r="P1413">
        <v>0</v>
      </c>
      <c r="Q1413">
        <v>0</v>
      </c>
      <c r="R1413" t="s">
        <v>1243</v>
      </c>
    </row>
    <row r="1414" spans="1:18" x14ac:dyDescent="0.3">
      <c r="A1414">
        <v>436</v>
      </c>
      <c r="B1414" t="s">
        <v>1241</v>
      </c>
      <c r="C1414" t="s">
        <v>198</v>
      </c>
      <c r="D1414" t="s">
        <v>54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14</v>
      </c>
      <c r="K1414">
        <v>8.6066666666666674</v>
      </c>
      <c r="L1414" s="39">
        <f t="shared" si="106"/>
        <v>1.3</v>
      </c>
      <c r="M1414" s="39">
        <f t="shared" si="107"/>
        <v>1.6266460108443066</v>
      </c>
      <c r="N1414" t="s">
        <v>42</v>
      </c>
      <c r="O1414" t="s">
        <v>42</v>
      </c>
      <c r="P1414">
        <v>0</v>
      </c>
      <c r="Q1414">
        <v>1</v>
      </c>
      <c r="R1414" t="s">
        <v>3028</v>
      </c>
    </row>
    <row r="1415" spans="1:18" x14ac:dyDescent="0.3">
      <c r="A1415">
        <v>436</v>
      </c>
      <c r="B1415" t="s">
        <v>1241</v>
      </c>
      <c r="C1415" t="s">
        <v>198</v>
      </c>
      <c r="D1415" t="s">
        <v>54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14</v>
      </c>
      <c r="K1415">
        <v>11.67333333333333</v>
      </c>
      <c r="L1415" s="39">
        <f t="shared" si="106"/>
        <v>1.1993146773272418</v>
      </c>
      <c r="M1415" s="39">
        <f t="shared" si="107"/>
        <v>1.1993146773272418</v>
      </c>
      <c r="N1415" t="s">
        <v>42</v>
      </c>
      <c r="O1415" t="s">
        <v>42</v>
      </c>
      <c r="P1415">
        <v>0</v>
      </c>
      <c r="Q1415">
        <v>1</v>
      </c>
      <c r="R1415" t="s">
        <v>1244</v>
      </c>
    </row>
    <row r="1416" spans="1:18" x14ac:dyDescent="0.3">
      <c r="A1416">
        <v>437</v>
      </c>
      <c r="B1416" t="s">
        <v>1246</v>
      </c>
      <c r="C1416" t="s">
        <v>732</v>
      </c>
      <c r="D1416" t="s">
        <v>71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80</v>
      </c>
      <c r="K1416">
        <v>96</v>
      </c>
      <c r="L1416" s="39">
        <f t="shared" si="106"/>
        <v>1.2</v>
      </c>
      <c r="M1416" s="39">
        <f t="shared" si="107"/>
        <v>1.2</v>
      </c>
      <c r="N1416" t="s">
        <v>25</v>
      </c>
      <c r="O1416" t="s">
        <v>25</v>
      </c>
      <c r="P1416">
        <v>0</v>
      </c>
      <c r="Q1416">
        <v>0</v>
      </c>
      <c r="R1416" t="s">
        <v>1247</v>
      </c>
    </row>
    <row r="1417" spans="1:18" x14ac:dyDescent="0.3">
      <c r="A1417">
        <v>437</v>
      </c>
      <c r="B1417" t="s">
        <v>1246</v>
      </c>
      <c r="C1417" t="s">
        <v>732</v>
      </c>
      <c r="D1417" t="s">
        <v>71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80</v>
      </c>
      <c r="K1417">
        <v>84</v>
      </c>
      <c r="L1417" s="39">
        <f t="shared" ref="L1417:L1435" si="108">IFERROR(IF(OR(J1417=0,K1417=""),"",IF(E1417="Positivo",MIN(MAX(K1417/J1417,0),1.3),MIN(MAX(J1417/K1417,0),1.3))),"")</f>
        <v>1.05</v>
      </c>
      <c r="M1417" s="39">
        <f t="shared" ref="M1417:M1435" si="109">IFERROR(IF(OR(J1417=0,K1417=""),"",IF(E1417="Positivo",MAX(K1417/J1417,0),MAX(J1417/K1417,0))),"")</f>
        <v>1.05</v>
      </c>
      <c r="P1417">
        <v>0</v>
      </c>
      <c r="Q1417">
        <v>0</v>
      </c>
      <c r="R1417" t="s">
        <v>1248</v>
      </c>
    </row>
    <row r="1418" spans="1:18" x14ac:dyDescent="0.3">
      <c r="A1418">
        <v>437</v>
      </c>
      <c r="B1418" t="s">
        <v>1246</v>
      </c>
      <c r="C1418" t="s">
        <v>732</v>
      </c>
      <c r="D1418" t="s">
        <v>71</v>
      </c>
      <c r="E1418" t="s">
        <v>22</v>
      </c>
      <c r="F1418" s="79">
        <v>46022</v>
      </c>
      <c r="G1418">
        <v>2025</v>
      </c>
      <c r="H1418" t="s">
        <v>23</v>
      </c>
      <c r="I1418" t="s">
        <v>32</v>
      </c>
      <c r="J1418">
        <v>80</v>
      </c>
      <c r="K1418">
        <v>99</v>
      </c>
      <c r="L1418" s="39">
        <f t="shared" si="108"/>
        <v>1.2375</v>
      </c>
      <c r="M1418" s="39">
        <f t="shared" si="109"/>
        <v>1.2375</v>
      </c>
      <c r="N1418" t="s">
        <v>25</v>
      </c>
      <c r="O1418" t="s">
        <v>25</v>
      </c>
      <c r="P1418">
        <v>0</v>
      </c>
      <c r="Q1418">
        <v>0</v>
      </c>
      <c r="R1418" t="s">
        <v>1249</v>
      </c>
    </row>
    <row r="1419" spans="1:18" x14ac:dyDescent="0.3">
      <c r="A1419">
        <v>438</v>
      </c>
      <c r="B1419" t="s">
        <v>1250</v>
      </c>
      <c r="C1419" t="s">
        <v>3256</v>
      </c>
      <c r="D1419" t="s">
        <v>27</v>
      </c>
      <c r="E1419" t="s">
        <v>22</v>
      </c>
      <c r="F1419" s="79">
        <v>45291</v>
      </c>
      <c r="G1419">
        <v>2023</v>
      </c>
      <c r="H1419" t="s">
        <v>23</v>
      </c>
      <c r="I1419" t="s">
        <v>28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1251</v>
      </c>
    </row>
    <row r="1420" spans="1:18" x14ac:dyDescent="0.3">
      <c r="A1420">
        <v>439</v>
      </c>
      <c r="B1420" t="s">
        <v>1252</v>
      </c>
      <c r="C1420" t="s">
        <v>3256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P1420">
        <v>0</v>
      </c>
      <c r="Q1420">
        <v>0</v>
      </c>
      <c r="R1420" t="s">
        <v>1253</v>
      </c>
    </row>
    <row r="1421" spans="1:18" x14ac:dyDescent="0.3">
      <c r="A1421">
        <v>439</v>
      </c>
      <c r="B1421" t="s">
        <v>1252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P1421">
        <v>0</v>
      </c>
      <c r="Q1421">
        <v>0</v>
      </c>
      <c r="R1421" t="s">
        <v>3037</v>
      </c>
    </row>
    <row r="1422" spans="1:18" x14ac:dyDescent="0.3">
      <c r="A1422">
        <v>439</v>
      </c>
      <c r="B1422" t="s">
        <v>1252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100</v>
      </c>
      <c r="K1422">
        <v>100</v>
      </c>
      <c r="L1422" s="39">
        <f t="shared" si="108"/>
        <v>1</v>
      </c>
      <c r="M1422" s="39">
        <f t="shared" si="109"/>
        <v>1</v>
      </c>
      <c r="P1422">
        <v>0</v>
      </c>
      <c r="Q1422">
        <v>0</v>
      </c>
      <c r="R1422" t="s">
        <v>1254</v>
      </c>
    </row>
    <row r="1423" spans="1:18" x14ac:dyDescent="0.3">
      <c r="A1423">
        <v>439</v>
      </c>
      <c r="B1423" t="s">
        <v>1252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100</v>
      </c>
      <c r="K1423">
        <v>100</v>
      </c>
      <c r="L1423" s="39">
        <f t="shared" si="108"/>
        <v>1</v>
      </c>
      <c r="M1423" s="39">
        <f t="shared" si="109"/>
        <v>1</v>
      </c>
      <c r="N1423" t="s">
        <v>25</v>
      </c>
      <c r="O1423" t="s">
        <v>25</v>
      </c>
      <c r="P1423">
        <v>0</v>
      </c>
      <c r="Q1423">
        <v>0</v>
      </c>
      <c r="R1423" t="s">
        <v>3038</v>
      </c>
    </row>
    <row r="1424" spans="1:18" x14ac:dyDescent="0.3">
      <c r="A1424">
        <v>439</v>
      </c>
      <c r="B1424" t="s">
        <v>1252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100</v>
      </c>
      <c r="K1424">
        <v>100</v>
      </c>
      <c r="L1424" s="39">
        <f t="shared" si="108"/>
        <v>1</v>
      </c>
      <c r="M1424" s="39">
        <f t="shared" si="109"/>
        <v>1</v>
      </c>
      <c r="N1424" t="s">
        <v>25</v>
      </c>
      <c r="O1424" t="s">
        <v>25</v>
      </c>
      <c r="P1424">
        <v>0</v>
      </c>
      <c r="Q1424">
        <v>0</v>
      </c>
      <c r="R1424" t="s">
        <v>1255</v>
      </c>
    </row>
    <row r="1425" spans="1:18" x14ac:dyDescent="0.3">
      <c r="A1425">
        <v>440</v>
      </c>
      <c r="B1425" t="s">
        <v>1256</v>
      </c>
      <c r="C1425" t="s">
        <v>3256</v>
      </c>
      <c r="D1425" t="s">
        <v>27</v>
      </c>
      <c r="E1425" t="s">
        <v>22</v>
      </c>
      <c r="F1425" s="79">
        <v>45291</v>
      </c>
      <c r="G1425">
        <v>2023</v>
      </c>
      <c r="H1425" t="s">
        <v>23</v>
      </c>
      <c r="I1425" t="s">
        <v>28</v>
      </c>
      <c r="J1425">
        <v>98</v>
      </c>
      <c r="K1425">
        <v>97.746062537526996</v>
      </c>
      <c r="L1425" s="39">
        <f t="shared" si="108"/>
        <v>0.99740880140333665</v>
      </c>
      <c r="M1425" s="39">
        <f t="shared" si="109"/>
        <v>0.99740880140333665</v>
      </c>
      <c r="P1425">
        <v>1</v>
      </c>
      <c r="Q1425">
        <v>1</v>
      </c>
      <c r="R1425" t="s">
        <v>1257</v>
      </c>
    </row>
    <row r="1426" spans="1:18" x14ac:dyDescent="0.3">
      <c r="A1426">
        <v>440</v>
      </c>
      <c r="B1426" t="s">
        <v>1256</v>
      </c>
      <c r="C1426" t="s">
        <v>956</v>
      </c>
      <c r="D1426" t="s">
        <v>27</v>
      </c>
      <c r="E1426" t="s">
        <v>22</v>
      </c>
      <c r="F1426" s="79">
        <v>45473</v>
      </c>
      <c r="G1426">
        <v>2024</v>
      </c>
      <c r="H1426" t="s">
        <v>699</v>
      </c>
      <c r="I1426" t="s">
        <v>729</v>
      </c>
      <c r="J1426">
        <v>98</v>
      </c>
      <c r="K1426">
        <v>99.73</v>
      </c>
      <c r="L1426" s="39">
        <f t="shared" si="108"/>
        <v>1.0176530612244898</v>
      </c>
      <c r="M1426" s="39">
        <f t="shared" si="109"/>
        <v>1.0176530612244898</v>
      </c>
      <c r="P1426">
        <v>0</v>
      </c>
      <c r="Q1426">
        <v>0</v>
      </c>
      <c r="R1426" t="s">
        <v>3041</v>
      </c>
    </row>
    <row r="1427" spans="1:18" x14ac:dyDescent="0.3">
      <c r="A1427">
        <v>440</v>
      </c>
      <c r="B1427" t="s">
        <v>1256</v>
      </c>
      <c r="C1427" t="s">
        <v>956</v>
      </c>
      <c r="D1427" t="s">
        <v>27</v>
      </c>
      <c r="E1427" t="s">
        <v>22</v>
      </c>
      <c r="F1427" s="79">
        <v>45657</v>
      </c>
      <c r="G1427">
        <v>2024</v>
      </c>
      <c r="H1427" t="s">
        <v>23</v>
      </c>
      <c r="I1427" t="s">
        <v>30</v>
      </c>
      <c r="J1427">
        <v>98</v>
      </c>
      <c r="K1427">
        <v>99.24</v>
      </c>
      <c r="L1427" s="39">
        <f t="shared" si="108"/>
        <v>1.0126530612244897</v>
      </c>
      <c r="M1427" s="39">
        <f t="shared" si="109"/>
        <v>1.0126530612244897</v>
      </c>
      <c r="P1427">
        <v>0</v>
      </c>
      <c r="Q1427">
        <v>0</v>
      </c>
      <c r="R1427" t="s">
        <v>1258</v>
      </c>
    </row>
    <row r="1428" spans="1:18" x14ac:dyDescent="0.3">
      <c r="A1428">
        <v>440</v>
      </c>
      <c r="B1428" t="s">
        <v>1256</v>
      </c>
      <c r="C1428" t="s">
        <v>956</v>
      </c>
      <c r="D1428" t="s">
        <v>21</v>
      </c>
      <c r="E1428" t="s">
        <v>22</v>
      </c>
      <c r="F1428" s="79">
        <v>45838</v>
      </c>
      <c r="G1428">
        <v>2025</v>
      </c>
      <c r="H1428" t="s">
        <v>699</v>
      </c>
      <c r="I1428" t="s">
        <v>700</v>
      </c>
      <c r="J1428">
        <v>98</v>
      </c>
      <c r="K1428">
        <v>99.77</v>
      </c>
      <c r="L1428" s="39">
        <f t="shared" si="108"/>
        <v>1.018061224489796</v>
      </c>
      <c r="M1428" s="39">
        <f t="shared" si="109"/>
        <v>1.018061224489796</v>
      </c>
      <c r="N1428" t="s">
        <v>25</v>
      </c>
      <c r="O1428" t="s">
        <v>25</v>
      </c>
      <c r="P1428">
        <v>0</v>
      </c>
      <c r="Q1428">
        <v>1</v>
      </c>
      <c r="R1428" t="s">
        <v>3042</v>
      </c>
    </row>
    <row r="1429" spans="1:18" x14ac:dyDescent="0.3">
      <c r="A1429">
        <v>440</v>
      </c>
      <c r="B1429" t="s">
        <v>1256</v>
      </c>
      <c r="C1429" t="s">
        <v>956</v>
      </c>
      <c r="D1429" t="s">
        <v>21</v>
      </c>
      <c r="E1429" t="s">
        <v>22</v>
      </c>
      <c r="F1429" s="79">
        <v>46022</v>
      </c>
      <c r="G1429">
        <v>2025</v>
      </c>
      <c r="H1429" t="s">
        <v>23</v>
      </c>
      <c r="I1429" t="s">
        <v>32</v>
      </c>
      <c r="J1429">
        <v>98</v>
      </c>
      <c r="K1429">
        <v>99.74</v>
      </c>
      <c r="L1429" s="39">
        <f t="shared" si="108"/>
        <v>1.0177551020408162</v>
      </c>
      <c r="M1429" s="39">
        <f t="shared" si="109"/>
        <v>1.0177551020408162</v>
      </c>
      <c r="N1429" t="s">
        <v>25</v>
      </c>
      <c r="O1429" t="s">
        <v>25</v>
      </c>
      <c r="P1429">
        <v>0</v>
      </c>
      <c r="Q1429">
        <v>1</v>
      </c>
      <c r="R1429" t="s">
        <v>1259</v>
      </c>
    </row>
    <row r="1430" spans="1:18" x14ac:dyDescent="0.3">
      <c r="A1430">
        <v>441</v>
      </c>
      <c r="B1430" t="s">
        <v>1260</v>
      </c>
      <c r="C1430" t="s">
        <v>511</v>
      </c>
      <c r="D1430" t="s">
        <v>54</v>
      </c>
      <c r="E1430" t="s">
        <v>22</v>
      </c>
      <c r="F1430" s="79">
        <v>45473</v>
      </c>
      <c r="G1430">
        <v>2024</v>
      </c>
      <c r="H1430" t="s">
        <v>699</v>
      </c>
      <c r="I1430" t="s">
        <v>729</v>
      </c>
      <c r="J1430">
        <v>90</v>
      </c>
      <c r="K1430">
        <v>97.31</v>
      </c>
      <c r="L1430" s="39">
        <f t="shared" si="108"/>
        <v>1.0812222222222223</v>
      </c>
      <c r="M1430" s="39">
        <f t="shared" si="109"/>
        <v>1.0812222222222223</v>
      </c>
      <c r="P1430">
        <v>0</v>
      </c>
      <c r="Q1430">
        <v>0</v>
      </c>
      <c r="R1430" t="s">
        <v>3048</v>
      </c>
    </row>
    <row r="1431" spans="1:18" x14ac:dyDescent="0.3">
      <c r="A1431">
        <v>441</v>
      </c>
      <c r="B1431" t="s">
        <v>1260</v>
      </c>
      <c r="C1431" t="s">
        <v>511</v>
      </c>
      <c r="D1431" t="s">
        <v>54</v>
      </c>
      <c r="E1431" t="s">
        <v>22</v>
      </c>
      <c r="F1431" s="79">
        <v>45657</v>
      </c>
      <c r="G1431">
        <v>2024</v>
      </c>
      <c r="H1431" t="s">
        <v>23</v>
      </c>
      <c r="I1431" t="s">
        <v>30</v>
      </c>
      <c r="J1431">
        <v>90</v>
      </c>
      <c r="K1431">
        <v>99.919935948759004</v>
      </c>
      <c r="L1431" s="39">
        <f t="shared" si="108"/>
        <v>1.1102215105417668</v>
      </c>
      <c r="M1431" s="39">
        <f t="shared" si="109"/>
        <v>1.1102215105417668</v>
      </c>
      <c r="P1431">
        <v>0</v>
      </c>
      <c r="Q1431">
        <v>0</v>
      </c>
      <c r="R1431" t="s">
        <v>1261</v>
      </c>
    </row>
    <row r="1432" spans="1:18" x14ac:dyDescent="0.3">
      <c r="A1432">
        <v>442</v>
      </c>
      <c r="B1432" t="s">
        <v>1262</v>
      </c>
      <c r="C1432" t="s">
        <v>246</v>
      </c>
      <c r="D1432" t="s">
        <v>27</v>
      </c>
      <c r="E1432" t="s">
        <v>22</v>
      </c>
      <c r="F1432" s="79">
        <v>45473</v>
      </c>
      <c r="G1432">
        <v>2024</v>
      </c>
      <c r="H1432" t="s">
        <v>699</v>
      </c>
      <c r="I1432" t="s">
        <v>729</v>
      </c>
      <c r="J1432">
        <v>100</v>
      </c>
      <c r="K1432">
        <v>80</v>
      </c>
      <c r="L1432" s="39">
        <f t="shared" si="108"/>
        <v>0.8</v>
      </c>
      <c r="M1432" s="39">
        <f t="shared" si="109"/>
        <v>0.8</v>
      </c>
      <c r="P1432">
        <v>0</v>
      </c>
      <c r="Q1432">
        <v>0</v>
      </c>
      <c r="R1432" t="s">
        <v>3054</v>
      </c>
    </row>
    <row r="1433" spans="1:18" x14ac:dyDescent="0.3">
      <c r="A1433">
        <v>442</v>
      </c>
      <c r="B1433" t="s">
        <v>1262</v>
      </c>
      <c r="C1433" t="s">
        <v>246</v>
      </c>
      <c r="D1433" t="s">
        <v>27</v>
      </c>
      <c r="E1433" t="s">
        <v>22</v>
      </c>
      <c r="F1433" s="79">
        <v>45657</v>
      </c>
      <c r="G1433">
        <v>2024</v>
      </c>
      <c r="H1433" t="s">
        <v>23</v>
      </c>
      <c r="I1433" t="s">
        <v>30</v>
      </c>
      <c r="J1433">
        <v>100</v>
      </c>
      <c r="K1433">
        <v>145</v>
      </c>
      <c r="L1433" s="39">
        <f t="shared" si="108"/>
        <v>1.3</v>
      </c>
      <c r="M1433" s="39">
        <f t="shared" si="109"/>
        <v>1.45</v>
      </c>
      <c r="P1433">
        <v>0</v>
      </c>
      <c r="Q1433">
        <v>0</v>
      </c>
      <c r="R1433" t="s">
        <v>1263</v>
      </c>
    </row>
    <row r="1434" spans="1:18" x14ac:dyDescent="0.3">
      <c r="A1434">
        <v>443</v>
      </c>
      <c r="B1434" t="s">
        <v>1264</v>
      </c>
      <c r="C1434" t="s">
        <v>246</v>
      </c>
      <c r="D1434" t="s">
        <v>27</v>
      </c>
      <c r="E1434" t="s">
        <v>22</v>
      </c>
      <c r="F1434" s="79">
        <v>45473</v>
      </c>
      <c r="G1434">
        <v>2024</v>
      </c>
      <c r="H1434" t="s">
        <v>699</v>
      </c>
      <c r="I1434" t="s">
        <v>729</v>
      </c>
      <c r="J1434">
        <v>100</v>
      </c>
      <c r="K1434">
        <v>114.33</v>
      </c>
      <c r="L1434" s="39">
        <f t="shared" si="108"/>
        <v>1.1433</v>
      </c>
      <c r="M1434" s="39">
        <f t="shared" si="109"/>
        <v>1.1433</v>
      </c>
      <c r="P1434">
        <v>0</v>
      </c>
      <c r="Q1434">
        <v>0</v>
      </c>
      <c r="R1434" t="s">
        <v>3055</v>
      </c>
    </row>
    <row r="1435" spans="1:18" x14ac:dyDescent="0.3">
      <c r="A1435">
        <v>443</v>
      </c>
      <c r="B1435" t="s">
        <v>1264</v>
      </c>
      <c r="C1435" t="s">
        <v>246</v>
      </c>
      <c r="D1435" t="s">
        <v>27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100</v>
      </c>
      <c r="K1435">
        <v>209</v>
      </c>
      <c r="L1435" s="39">
        <f t="shared" si="108"/>
        <v>1.3</v>
      </c>
      <c r="M1435" s="39">
        <f t="shared" si="109"/>
        <v>2.09</v>
      </c>
      <c r="P1435">
        <v>0</v>
      </c>
      <c r="Q1435">
        <v>0</v>
      </c>
      <c r="R1435" t="s">
        <v>1265</v>
      </c>
    </row>
    <row r="1436" spans="1:18" x14ac:dyDescent="0.3">
      <c r="A1436">
        <v>444</v>
      </c>
      <c r="B1436" t="s">
        <v>1266</v>
      </c>
      <c r="C1436" t="s">
        <v>541</v>
      </c>
      <c r="D1436" t="s">
        <v>27</v>
      </c>
      <c r="E1436" t="s">
        <v>22</v>
      </c>
      <c r="F1436" s="79">
        <v>45473</v>
      </c>
      <c r="G1436">
        <v>2024</v>
      </c>
      <c r="H1436" t="s">
        <v>699</v>
      </c>
      <c r="I1436" t="s">
        <v>729</v>
      </c>
      <c r="L1436" s="39"/>
      <c r="M1436" s="39"/>
      <c r="P1436">
        <v>0</v>
      </c>
      <c r="Q1436">
        <v>0</v>
      </c>
      <c r="R1436" t="s">
        <v>3263</v>
      </c>
    </row>
    <row r="1437" spans="1:18" x14ac:dyDescent="0.3">
      <c r="A1437">
        <v>444</v>
      </c>
      <c r="B1437" t="s">
        <v>1266</v>
      </c>
      <c r="C1437" t="s">
        <v>541</v>
      </c>
      <c r="D1437" t="s">
        <v>27</v>
      </c>
      <c r="E1437" t="s">
        <v>22</v>
      </c>
      <c r="F1437" s="79">
        <v>45657</v>
      </c>
      <c r="G1437">
        <v>2024</v>
      </c>
      <c r="H1437" t="s">
        <v>23</v>
      </c>
      <c r="I1437" t="s">
        <v>30</v>
      </c>
      <c r="J1437">
        <v>0</v>
      </c>
      <c r="K1437">
        <v>2.1</v>
      </c>
      <c r="L1437" s="39" t="str">
        <f t="shared" ref="L1437:L1465" si="110">IFERROR(IF(OR(J1437=0,K1437=""),"",IF(E1437="Positivo",MIN(MAX(K1437/J1437,0),1.3),MIN(MAX(J1437/K1437,0),1.3))),"")</f>
        <v/>
      </c>
      <c r="M1437" s="39" t="str">
        <f t="shared" ref="M1437:M1465" si="111">IFERROR(IF(OR(J1437=0,K1437=""),"",IF(E1437="Positivo",MAX(K1437/J1437,0),MAX(J1437/K1437,0))),"")</f>
        <v/>
      </c>
      <c r="P1437">
        <v>0</v>
      </c>
      <c r="Q1437">
        <v>0</v>
      </c>
      <c r="R1437" t="s">
        <v>1267</v>
      </c>
    </row>
    <row r="1438" spans="1:18" x14ac:dyDescent="0.3">
      <c r="A1438">
        <v>444</v>
      </c>
      <c r="B1438" t="s">
        <v>1266</v>
      </c>
      <c r="C1438" t="s">
        <v>541</v>
      </c>
      <c r="D1438" t="s">
        <v>21</v>
      </c>
      <c r="E1438" t="s">
        <v>41</v>
      </c>
      <c r="F1438" s="79">
        <v>45838</v>
      </c>
      <c r="G1438">
        <v>2025</v>
      </c>
      <c r="H1438" t="s">
        <v>699</v>
      </c>
      <c r="I1438" t="s">
        <v>700</v>
      </c>
      <c r="J1438">
        <v>3</v>
      </c>
      <c r="K1438">
        <v>1.6</v>
      </c>
      <c r="L1438" s="39">
        <f t="shared" si="110"/>
        <v>1.3</v>
      </c>
      <c r="M1438" s="39">
        <f t="shared" si="111"/>
        <v>1.875</v>
      </c>
      <c r="N1438" t="s">
        <v>128</v>
      </c>
      <c r="O1438" t="s">
        <v>136</v>
      </c>
      <c r="P1438">
        <v>0</v>
      </c>
      <c r="Q1438">
        <v>1</v>
      </c>
      <c r="R1438" t="s">
        <v>3056</v>
      </c>
    </row>
    <row r="1439" spans="1:18" x14ac:dyDescent="0.3">
      <c r="A1439">
        <v>444</v>
      </c>
      <c r="B1439" t="s">
        <v>1266</v>
      </c>
      <c r="C1439" t="s">
        <v>541</v>
      </c>
      <c r="D1439" t="s">
        <v>21</v>
      </c>
      <c r="E1439" t="s">
        <v>41</v>
      </c>
      <c r="F1439" s="79">
        <v>46022</v>
      </c>
      <c r="G1439">
        <v>2025</v>
      </c>
      <c r="H1439" t="s">
        <v>23</v>
      </c>
      <c r="I1439" t="s">
        <v>32</v>
      </c>
      <c r="J1439">
        <v>3</v>
      </c>
      <c r="K1439">
        <v>1.7</v>
      </c>
      <c r="L1439" s="39">
        <f t="shared" si="110"/>
        <v>1.3</v>
      </c>
      <c r="M1439" s="39">
        <f t="shared" si="111"/>
        <v>1.7647058823529411</v>
      </c>
      <c r="N1439" t="s">
        <v>128</v>
      </c>
      <c r="O1439" t="s">
        <v>136</v>
      </c>
      <c r="P1439">
        <v>0</v>
      </c>
      <c r="Q1439">
        <v>1</v>
      </c>
      <c r="R1439" t="s">
        <v>1268</v>
      </c>
    </row>
    <row r="1440" spans="1:18" x14ac:dyDescent="0.3">
      <c r="A1440">
        <v>445</v>
      </c>
      <c r="B1440" t="s">
        <v>1269</v>
      </c>
      <c r="C1440" t="s">
        <v>541</v>
      </c>
      <c r="D1440" t="s">
        <v>27</v>
      </c>
      <c r="E1440" t="s">
        <v>22</v>
      </c>
      <c r="F1440" s="79">
        <v>45473</v>
      </c>
      <c r="G1440">
        <v>2024</v>
      </c>
      <c r="H1440" t="s">
        <v>699</v>
      </c>
      <c r="I1440" t="s">
        <v>729</v>
      </c>
      <c r="J1440">
        <v>67.5</v>
      </c>
      <c r="K1440">
        <v>55.2</v>
      </c>
      <c r="L1440" s="39">
        <f t="shared" si="110"/>
        <v>0.81777777777777783</v>
      </c>
      <c r="M1440" s="39">
        <f t="shared" si="111"/>
        <v>0.81777777777777783</v>
      </c>
      <c r="P1440">
        <v>0</v>
      </c>
      <c r="Q1440">
        <v>0</v>
      </c>
      <c r="R1440" t="s">
        <v>3057</v>
      </c>
    </row>
    <row r="1441" spans="1:18" x14ac:dyDescent="0.3">
      <c r="A1441">
        <v>445</v>
      </c>
      <c r="B1441" t="s">
        <v>1269</v>
      </c>
      <c r="C1441" t="s">
        <v>541</v>
      </c>
      <c r="D1441" t="s">
        <v>27</v>
      </c>
      <c r="E1441" t="s">
        <v>22</v>
      </c>
      <c r="F1441" s="79">
        <v>45657</v>
      </c>
      <c r="G1441">
        <v>2024</v>
      </c>
      <c r="H1441" t="s">
        <v>23</v>
      </c>
      <c r="I1441" t="s">
        <v>30</v>
      </c>
      <c r="J1441">
        <v>67.5</v>
      </c>
      <c r="K1441">
        <v>86.5</v>
      </c>
      <c r="L1441" s="39">
        <f t="shared" si="110"/>
        <v>1.2814814814814814</v>
      </c>
      <c r="M1441" s="39">
        <f t="shared" si="111"/>
        <v>1.2814814814814814</v>
      </c>
      <c r="P1441">
        <v>0</v>
      </c>
      <c r="Q1441">
        <v>0</v>
      </c>
      <c r="R1441" t="s">
        <v>1270</v>
      </c>
    </row>
    <row r="1442" spans="1:18" x14ac:dyDescent="0.3">
      <c r="A1442">
        <v>445</v>
      </c>
      <c r="B1442" t="s">
        <v>1269</v>
      </c>
      <c r="C1442" t="s">
        <v>541</v>
      </c>
      <c r="D1442" t="s">
        <v>21</v>
      </c>
      <c r="E1442" t="s">
        <v>22</v>
      </c>
      <c r="F1442" s="79">
        <v>45838</v>
      </c>
      <c r="G1442">
        <v>2025</v>
      </c>
      <c r="H1442" t="s">
        <v>699</v>
      </c>
      <c r="I1442" t="s">
        <v>700</v>
      </c>
      <c r="J1442">
        <v>70</v>
      </c>
      <c r="K1442">
        <v>75.7</v>
      </c>
      <c r="L1442" s="39">
        <f t="shared" si="110"/>
        <v>1.0814285714285714</v>
      </c>
      <c r="M1442" s="39">
        <f t="shared" si="111"/>
        <v>1.0814285714285714</v>
      </c>
      <c r="N1442" t="s">
        <v>25</v>
      </c>
      <c r="O1442" t="s">
        <v>25</v>
      </c>
      <c r="P1442">
        <v>0</v>
      </c>
      <c r="Q1442">
        <v>0</v>
      </c>
      <c r="R1442" t="s">
        <v>3058</v>
      </c>
    </row>
    <row r="1443" spans="1:18" x14ac:dyDescent="0.3">
      <c r="A1443">
        <v>445</v>
      </c>
      <c r="B1443" t="s">
        <v>1269</v>
      </c>
      <c r="C1443" t="s">
        <v>541</v>
      </c>
      <c r="D1443" t="s">
        <v>21</v>
      </c>
      <c r="E1443" t="s">
        <v>22</v>
      </c>
      <c r="F1443" s="79">
        <v>46022</v>
      </c>
      <c r="G1443">
        <v>2025</v>
      </c>
      <c r="H1443" t="s">
        <v>23</v>
      </c>
      <c r="I1443" t="s">
        <v>32</v>
      </c>
      <c r="J1443">
        <v>70</v>
      </c>
      <c r="K1443">
        <v>85.3</v>
      </c>
      <c r="L1443" s="39">
        <f t="shared" si="110"/>
        <v>1.2185714285714286</v>
      </c>
      <c r="M1443" s="39">
        <f t="shared" si="111"/>
        <v>1.2185714285714286</v>
      </c>
      <c r="N1443" t="s">
        <v>25</v>
      </c>
      <c r="O1443" t="s">
        <v>25</v>
      </c>
      <c r="P1443">
        <v>0</v>
      </c>
      <c r="Q1443">
        <v>0</v>
      </c>
      <c r="R1443" t="s">
        <v>1271</v>
      </c>
    </row>
    <row r="1444" spans="1:18" x14ac:dyDescent="0.3">
      <c r="A1444">
        <v>447</v>
      </c>
      <c r="B1444" t="s">
        <v>724</v>
      </c>
      <c r="C1444" t="s">
        <v>254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15</v>
      </c>
      <c r="K1444">
        <v>31.04</v>
      </c>
      <c r="L1444" s="39">
        <f t="shared" si="110"/>
        <v>1.3</v>
      </c>
      <c r="M1444" s="39">
        <f t="shared" si="111"/>
        <v>2.0693333333333332</v>
      </c>
      <c r="P1444">
        <v>0</v>
      </c>
      <c r="Q1444">
        <v>0</v>
      </c>
      <c r="R1444" t="s">
        <v>3059</v>
      </c>
    </row>
    <row r="1445" spans="1:18" x14ac:dyDescent="0.3">
      <c r="A1445">
        <v>447</v>
      </c>
      <c r="B1445" t="s">
        <v>724</v>
      </c>
      <c r="C1445" t="s">
        <v>254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15</v>
      </c>
      <c r="K1445">
        <v>16.16</v>
      </c>
      <c r="L1445" s="39">
        <f t="shared" si="110"/>
        <v>1.0773333333333333</v>
      </c>
      <c r="M1445" s="39">
        <f t="shared" si="111"/>
        <v>1.0773333333333333</v>
      </c>
      <c r="P1445">
        <v>0</v>
      </c>
      <c r="Q1445">
        <v>0</v>
      </c>
      <c r="R1445" t="s">
        <v>1272</v>
      </c>
    </row>
    <row r="1446" spans="1:18" x14ac:dyDescent="0.3">
      <c r="A1446">
        <v>447</v>
      </c>
      <c r="B1446" t="s">
        <v>724</v>
      </c>
      <c r="C1446" t="s">
        <v>254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15</v>
      </c>
      <c r="K1446">
        <v>16.54</v>
      </c>
      <c r="L1446" s="39">
        <f t="shared" si="110"/>
        <v>1.1026666666666667</v>
      </c>
      <c r="M1446" s="39">
        <f t="shared" si="111"/>
        <v>1.1026666666666667</v>
      </c>
      <c r="N1446" t="s">
        <v>25</v>
      </c>
      <c r="O1446" t="s">
        <v>25</v>
      </c>
      <c r="P1446">
        <v>0</v>
      </c>
      <c r="Q1446">
        <v>0</v>
      </c>
      <c r="R1446" t="s">
        <v>3060</v>
      </c>
    </row>
    <row r="1447" spans="1:18" x14ac:dyDescent="0.3">
      <c r="A1447">
        <v>447</v>
      </c>
      <c r="B1447" t="s">
        <v>724</v>
      </c>
      <c r="C1447" t="s">
        <v>254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15</v>
      </c>
      <c r="K1447">
        <v>15.01</v>
      </c>
      <c r="L1447" s="39">
        <f t="shared" si="110"/>
        <v>1.0006666666666666</v>
      </c>
      <c r="M1447" s="39">
        <f t="shared" si="111"/>
        <v>1.0006666666666666</v>
      </c>
      <c r="N1447" t="s">
        <v>25</v>
      </c>
      <c r="O1447" t="s">
        <v>25</v>
      </c>
      <c r="P1447">
        <v>0</v>
      </c>
      <c r="Q1447">
        <v>0</v>
      </c>
      <c r="R1447" t="s">
        <v>1273</v>
      </c>
    </row>
    <row r="1448" spans="1:18" x14ac:dyDescent="0.3">
      <c r="A1448">
        <v>448</v>
      </c>
      <c r="B1448" t="s">
        <v>1274</v>
      </c>
      <c r="C1448" t="s">
        <v>254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</v>
      </c>
      <c r="K1448">
        <v>18.93</v>
      </c>
      <c r="L1448" s="39">
        <f t="shared" si="110"/>
        <v>1.3</v>
      </c>
      <c r="M1448" s="39">
        <f t="shared" si="111"/>
        <v>2.1033333333333335</v>
      </c>
      <c r="P1448">
        <v>0</v>
      </c>
      <c r="Q1448">
        <v>0</v>
      </c>
      <c r="R1448" t="s">
        <v>3061</v>
      </c>
    </row>
    <row r="1449" spans="1:18" x14ac:dyDescent="0.3">
      <c r="A1449">
        <v>448</v>
      </c>
      <c r="B1449" t="s">
        <v>1274</v>
      </c>
      <c r="C1449" t="s">
        <v>254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</v>
      </c>
      <c r="K1449">
        <v>9.32</v>
      </c>
      <c r="L1449" s="39">
        <f t="shared" si="110"/>
        <v>1.0355555555555556</v>
      </c>
      <c r="M1449" s="39">
        <f t="shared" si="111"/>
        <v>1.0355555555555556</v>
      </c>
      <c r="P1449">
        <v>0</v>
      </c>
      <c r="Q1449">
        <v>0</v>
      </c>
      <c r="R1449" t="s">
        <v>1275</v>
      </c>
    </row>
    <row r="1450" spans="1:18" x14ac:dyDescent="0.3">
      <c r="A1450">
        <v>448</v>
      </c>
      <c r="B1450" t="s">
        <v>1274</v>
      </c>
      <c r="C1450" t="s">
        <v>254</v>
      </c>
      <c r="D1450" t="s">
        <v>21</v>
      </c>
      <c r="E1450" t="s">
        <v>22</v>
      </c>
      <c r="F1450" s="79">
        <v>45838</v>
      </c>
      <c r="G1450">
        <v>2025</v>
      </c>
      <c r="H1450" t="s">
        <v>699</v>
      </c>
      <c r="I1450" t="s">
        <v>700</v>
      </c>
      <c r="J1450">
        <v>17</v>
      </c>
      <c r="K1450">
        <v>39.619999999999997</v>
      </c>
      <c r="L1450" s="39">
        <f t="shared" si="110"/>
        <v>1.3</v>
      </c>
      <c r="M1450" s="39">
        <f t="shared" si="111"/>
        <v>2.3305882352941176</v>
      </c>
      <c r="N1450" t="s">
        <v>25</v>
      </c>
      <c r="O1450" t="s">
        <v>25</v>
      </c>
      <c r="P1450">
        <v>0</v>
      </c>
      <c r="Q1450">
        <v>1</v>
      </c>
      <c r="R1450" t="s">
        <v>3062</v>
      </c>
    </row>
    <row r="1451" spans="1:18" x14ac:dyDescent="0.3">
      <c r="A1451">
        <v>448</v>
      </c>
      <c r="B1451" t="s">
        <v>1274</v>
      </c>
      <c r="C1451" t="s">
        <v>254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32</v>
      </c>
      <c r="J1451">
        <v>17</v>
      </c>
      <c r="K1451">
        <v>59.36</v>
      </c>
      <c r="L1451" s="39">
        <f t="shared" si="110"/>
        <v>1.3</v>
      </c>
      <c r="M1451" s="39">
        <f t="shared" si="111"/>
        <v>3.4917647058823529</v>
      </c>
      <c r="N1451" t="s">
        <v>25</v>
      </c>
      <c r="O1451" t="s">
        <v>25</v>
      </c>
      <c r="P1451">
        <v>0</v>
      </c>
      <c r="Q1451">
        <v>1</v>
      </c>
      <c r="R1451" t="s">
        <v>1276</v>
      </c>
    </row>
    <row r="1452" spans="1:18" x14ac:dyDescent="0.3">
      <c r="A1452">
        <v>449</v>
      </c>
      <c r="B1452" t="s">
        <v>1277</v>
      </c>
      <c r="C1452" t="s">
        <v>732</v>
      </c>
      <c r="D1452" t="s">
        <v>21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40</v>
      </c>
      <c r="K1452">
        <v>53.85</v>
      </c>
      <c r="L1452" s="39">
        <f t="shared" si="110"/>
        <v>1.3</v>
      </c>
      <c r="M1452" s="39">
        <f t="shared" si="111"/>
        <v>1.3462499999999999</v>
      </c>
      <c r="P1452">
        <v>0</v>
      </c>
      <c r="Q1452">
        <v>0</v>
      </c>
      <c r="R1452" t="s">
        <v>3264</v>
      </c>
    </row>
    <row r="1453" spans="1:18" x14ac:dyDescent="0.3">
      <c r="A1453">
        <v>449</v>
      </c>
      <c r="B1453" t="s">
        <v>1277</v>
      </c>
      <c r="C1453" t="s">
        <v>732</v>
      </c>
      <c r="D1453" t="s">
        <v>21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1278</v>
      </c>
    </row>
    <row r="1454" spans="1:18" x14ac:dyDescent="0.3">
      <c r="A1454">
        <v>451</v>
      </c>
      <c r="B1454" t="s">
        <v>1279</v>
      </c>
      <c r="C1454" t="s">
        <v>1078</v>
      </c>
      <c r="D1454" t="s">
        <v>27</v>
      </c>
      <c r="E1454" t="s">
        <v>22</v>
      </c>
      <c r="F1454" s="79">
        <v>45473</v>
      </c>
      <c r="G1454">
        <v>2024</v>
      </c>
      <c r="H1454" t="s">
        <v>699</v>
      </c>
      <c r="I1454" t="s">
        <v>729</v>
      </c>
      <c r="J1454">
        <v>0</v>
      </c>
      <c r="K1454">
        <v>34.9</v>
      </c>
      <c r="L1454" s="39" t="str">
        <f t="shared" si="110"/>
        <v/>
      </c>
      <c r="M1454" s="39" t="str">
        <f t="shared" si="111"/>
        <v/>
      </c>
      <c r="P1454">
        <v>0</v>
      </c>
      <c r="Q1454">
        <v>0</v>
      </c>
      <c r="R1454" t="s">
        <v>3065</v>
      </c>
    </row>
    <row r="1455" spans="1:18" x14ac:dyDescent="0.3">
      <c r="A1455">
        <v>451</v>
      </c>
      <c r="B1455" t="s">
        <v>1279</v>
      </c>
      <c r="C1455" t="s">
        <v>1078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42.7</v>
      </c>
      <c r="L1455" s="39" t="str">
        <f t="shared" si="110"/>
        <v/>
      </c>
      <c r="M1455" s="39" t="str">
        <f t="shared" si="111"/>
        <v/>
      </c>
      <c r="P1455">
        <v>0</v>
      </c>
      <c r="Q1455">
        <v>0</v>
      </c>
      <c r="R1455" t="s">
        <v>1280</v>
      </c>
    </row>
    <row r="1456" spans="1:18" x14ac:dyDescent="0.3">
      <c r="A1456">
        <v>451</v>
      </c>
      <c r="B1456" t="s">
        <v>1281</v>
      </c>
      <c r="C1456" t="s">
        <v>1078</v>
      </c>
      <c r="D1456" t="s">
        <v>21</v>
      </c>
      <c r="E1456" t="s">
        <v>22</v>
      </c>
      <c r="F1456" s="79">
        <v>45838</v>
      </c>
      <c r="G1456">
        <v>2025</v>
      </c>
      <c r="H1456" t="s">
        <v>699</v>
      </c>
      <c r="I1456" t="s">
        <v>700</v>
      </c>
      <c r="J1456">
        <v>100</v>
      </c>
      <c r="K1456">
        <v>119.5</v>
      </c>
      <c r="L1456" s="39">
        <f t="shared" si="110"/>
        <v>1.1950000000000001</v>
      </c>
      <c r="M1456" s="39">
        <f t="shared" si="111"/>
        <v>1.1950000000000001</v>
      </c>
      <c r="N1456" t="s">
        <v>25</v>
      </c>
      <c r="O1456" t="s">
        <v>25</v>
      </c>
      <c r="P1456">
        <v>0</v>
      </c>
      <c r="Q1456">
        <v>0</v>
      </c>
      <c r="R1456" t="s">
        <v>3066</v>
      </c>
    </row>
    <row r="1457" spans="1:18" x14ac:dyDescent="0.3">
      <c r="A1457">
        <v>451</v>
      </c>
      <c r="B1457" t="s">
        <v>1281</v>
      </c>
      <c r="C1457" t="s">
        <v>1078</v>
      </c>
      <c r="D1457" t="s">
        <v>21</v>
      </c>
      <c r="E1457" t="s">
        <v>22</v>
      </c>
      <c r="F1457" s="79">
        <v>46022</v>
      </c>
      <c r="G1457">
        <v>2025</v>
      </c>
      <c r="H1457" t="s">
        <v>23</v>
      </c>
      <c r="I1457" t="s">
        <v>32</v>
      </c>
      <c r="J1457">
        <v>100</v>
      </c>
      <c r="K1457">
        <v>130.80000000000001</v>
      </c>
      <c r="L1457" s="39">
        <f t="shared" si="110"/>
        <v>1.3</v>
      </c>
      <c r="M1457" s="39">
        <f t="shared" si="111"/>
        <v>1.3080000000000001</v>
      </c>
      <c r="N1457" t="s">
        <v>25</v>
      </c>
      <c r="O1457" t="s">
        <v>25</v>
      </c>
      <c r="P1457">
        <v>0</v>
      </c>
      <c r="Q1457">
        <v>0</v>
      </c>
      <c r="R1457" t="s">
        <v>1282</v>
      </c>
    </row>
    <row r="1458" spans="1:18" x14ac:dyDescent="0.3">
      <c r="A1458">
        <v>452</v>
      </c>
      <c r="B1458" t="s">
        <v>1283</v>
      </c>
      <c r="C1458" t="s">
        <v>1078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100</v>
      </c>
      <c r="K1458">
        <v>100</v>
      </c>
      <c r="L1458" s="39">
        <f t="shared" si="110"/>
        <v>1</v>
      </c>
      <c r="M1458" s="39">
        <f t="shared" si="111"/>
        <v>1</v>
      </c>
      <c r="P1458">
        <v>0</v>
      </c>
      <c r="Q1458">
        <v>0</v>
      </c>
      <c r="R1458" t="s">
        <v>3067</v>
      </c>
    </row>
    <row r="1459" spans="1:18" x14ac:dyDescent="0.3">
      <c r="A1459">
        <v>452</v>
      </c>
      <c r="B1459" t="s">
        <v>1283</v>
      </c>
      <c r="C1459" t="s">
        <v>1078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100</v>
      </c>
      <c r="K1459">
        <v>160</v>
      </c>
      <c r="L1459" s="39">
        <f t="shared" si="110"/>
        <v>1.3</v>
      </c>
      <c r="M1459" s="39">
        <f t="shared" si="111"/>
        <v>1.6</v>
      </c>
      <c r="P1459">
        <v>0</v>
      </c>
      <c r="Q1459">
        <v>0</v>
      </c>
      <c r="R1459" t="s">
        <v>1284</v>
      </c>
    </row>
    <row r="1460" spans="1:18" x14ac:dyDescent="0.3">
      <c r="A1460">
        <v>452</v>
      </c>
      <c r="B1460" t="s">
        <v>1283</v>
      </c>
      <c r="C1460" t="s">
        <v>1078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100</v>
      </c>
      <c r="K1460">
        <v>102.27</v>
      </c>
      <c r="L1460" s="39">
        <f t="shared" si="110"/>
        <v>1.0226999999999999</v>
      </c>
      <c r="M1460" s="39">
        <f t="shared" si="111"/>
        <v>1.0226999999999999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x14ac:dyDescent="0.3">
      <c r="A1461">
        <v>452</v>
      </c>
      <c r="B1461" t="s">
        <v>1283</v>
      </c>
      <c r="C1461" t="s">
        <v>1078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100</v>
      </c>
      <c r="K1461">
        <v>200</v>
      </c>
      <c r="L1461" s="39">
        <f t="shared" si="110"/>
        <v>1.3</v>
      </c>
      <c r="M1461" s="39">
        <f t="shared" si="111"/>
        <v>2</v>
      </c>
      <c r="N1461" t="s">
        <v>25</v>
      </c>
      <c r="O1461" t="s">
        <v>25</v>
      </c>
      <c r="P1461">
        <v>0</v>
      </c>
      <c r="Q1461">
        <v>0</v>
      </c>
      <c r="R1461" t="s">
        <v>1285</v>
      </c>
    </row>
    <row r="1462" spans="1:18" x14ac:dyDescent="0.3">
      <c r="A1462">
        <v>453</v>
      </c>
      <c r="B1462" t="s">
        <v>1286</v>
      </c>
      <c r="C1462" t="s">
        <v>1089</v>
      </c>
      <c r="D1462" t="s">
        <v>21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100</v>
      </c>
      <c r="K1462">
        <v>192</v>
      </c>
      <c r="L1462" s="39">
        <f t="shared" si="110"/>
        <v>1.3</v>
      </c>
      <c r="M1462" s="39">
        <f t="shared" si="111"/>
        <v>1.92</v>
      </c>
      <c r="P1462">
        <v>0</v>
      </c>
      <c r="Q1462">
        <v>0</v>
      </c>
      <c r="R1462" t="s">
        <v>3070</v>
      </c>
    </row>
    <row r="1463" spans="1:18" x14ac:dyDescent="0.3">
      <c r="A1463">
        <v>453</v>
      </c>
      <c r="B1463" t="s">
        <v>1286</v>
      </c>
      <c r="C1463" t="s">
        <v>1089</v>
      </c>
      <c r="D1463" t="s">
        <v>21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200</v>
      </c>
      <c r="K1463">
        <v>448</v>
      </c>
      <c r="L1463" s="39">
        <f t="shared" si="110"/>
        <v>1.3</v>
      </c>
      <c r="M1463" s="39">
        <f t="shared" si="111"/>
        <v>2.2400000000000002</v>
      </c>
      <c r="P1463">
        <v>0</v>
      </c>
      <c r="Q1463">
        <v>0</v>
      </c>
      <c r="R1463" t="s">
        <v>1287</v>
      </c>
    </row>
    <row r="1464" spans="1:18" x14ac:dyDescent="0.3">
      <c r="A1464">
        <v>453</v>
      </c>
      <c r="B1464" t="s">
        <v>1286</v>
      </c>
      <c r="C1464" t="s">
        <v>1089</v>
      </c>
      <c r="D1464" t="s">
        <v>27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200</v>
      </c>
      <c r="K1464">
        <v>148</v>
      </c>
      <c r="L1464" s="39">
        <f t="shared" si="110"/>
        <v>0.74</v>
      </c>
      <c r="M1464" s="39">
        <f t="shared" si="111"/>
        <v>0.74</v>
      </c>
      <c r="N1464" t="s">
        <v>25</v>
      </c>
      <c r="O1464" t="s">
        <v>25</v>
      </c>
      <c r="P1464">
        <v>0</v>
      </c>
      <c r="Q1464">
        <v>0</v>
      </c>
      <c r="R1464" t="s">
        <v>3073</v>
      </c>
    </row>
    <row r="1465" spans="1:18" x14ac:dyDescent="0.3">
      <c r="A1465">
        <v>453</v>
      </c>
      <c r="B1465" t="s">
        <v>1286</v>
      </c>
      <c r="C1465" t="s">
        <v>1089</v>
      </c>
      <c r="D1465" t="s">
        <v>27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200</v>
      </c>
      <c r="K1465">
        <v>200</v>
      </c>
      <c r="L1465" s="39">
        <f t="shared" si="110"/>
        <v>1</v>
      </c>
      <c r="M1465" s="39">
        <f t="shared" si="111"/>
        <v>1</v>
      </c>
      <c r="N1465" t="s">
        <v>25</v>
      </c>
      <c r="O1465" t="s">
        <v>25</v>
      </c>
      <c r="P1465">
        <v>0</v>
      </c>
      <c r="Q1465">
        <v>0</v>
      </c>
      <c r="R1465" t="s">
        <v>1288</v>
      </c>
    </row>
    <row r="1466" spans="1:18" x14ac:dyDescent="0.3">
      <c r="A1466">
        <v>454</v>
      </c>
      <c r="B1466" t="s">
        <v>1289</v>
      </c>
      <c r="C1466" t="s">
        <v>1089</v>
      </c>
      <c r="D1466" t="s">
        <v>21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L1466" s="39"/>
      <c r="M1466" s="39"/>
      <c r="P1466">
        <v>0</v>
      </c>
      <c r="Q1466">
        <v>0</v>
      </c>
      <c r="R1466" t="s">
        <v>3265</v>
      </c>
    </row>
    <row r="1467" spans="1:18" x14ac:dyDescent="0.3">
      <c r="A1467">
        <v>454</v>
      </c>
      <c r="B1467" t="s">
        <v>1289</v>
      </c>
      <c r="C1467" t="s">
        <v>1089</v>
      </c>
      <c r="D1467" t="s">
        <v>21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88</v>
      </c>
      <c r="L1467" s="39" t="str">
        <f>IFERROR(IF(OR(J1467=0,K1467=""),"",IF(E1467="Positivo",MIN(MAX(K1467/J1467,0),1.3),MIN(MAX(J1467/K1467,0),1.3))),"")</f>
        <v/>
      </c>
      <c r="M1467" s="39" t="str">
        <f>IFERROR(IF(OR(J1467=0,K1467=""),"",IF(E1467="Positivo",MAX(K1467/J1467,0),MAX(J1467/K1467,0))),"")</f>
        <v/>
      </c>
      <c r="P1467">
        <v>0</v>
      </c>
      <c r="Q1467">
        <v>0</v>
      </c>
      <c r="R1467" t="s">
        <v>1290</v>
      </c>
    </row>
    <row r="1468" spans="1:18" x14ac:dyDescent="0.3">
      <c r="A1468">
        <v>455</v>
      </c>
      <c r="B1468" t="s">
        <v>1291</v>
      </c>
      <c r="C1468" t="s">
        <v>1089</v>
      </c>
      <c r="D1468" t="s">
        <v>21</v>
      </c>
      <c r="E1468" t="s">
        <v>22</v>
      </c>
      <c r="F1468" s="79">
        <v>45473</v>
      </c>
      <c r="G1468">
        <v>2024</v>
      </c>
      <c r="H1468" t="s">
        <v>699</v>
      </c>
      <c r="I1468" t="s">
        <v>729</v>
      </c>
      <c r="L1468" s="39"/>
      <c r="M1468" s="39"/>
      <c r="P1468">
        <v>0</v>
      </c>
      <c r="Q1468">
        <v>0</v>
      </c>
      <c r="R1468" t="s">
        <v>3266</v>
      </c>
    </row>
    <row r="1469" spans="1:18" x14ac:dyDescent="0.3">
      <c r="A1469">
        <v>455</v>
      </c>
      <c r="B1469" t="s">
        <v>1291</v>
      </c>
      <c r="C1469" t="s">
        <v>1089</v>
      </c>
      <c r="D1469" t="s">
        <v>21</v>
      </c>
      <c r="E1469" t="s">
        <v>22</v>
      </c>
      <c r="F1469" s="79">
        <v>45657</v>
      </c>
      <c r="G1469">
        <v>2024</v>
      </c>
      <c r="H1469" t="s">
        <v>23</v>
      </c>
      <c r="I1469" t="s">
        <v>30</v>
      </c>
      <c r="J1469">
        <v>90</v>
      </c>
      <c r="K1469">
        <v>100</v>
      </c>
      <c r="L1469" s="39">
        <f t="shared" ref="L1469:L1480" si="112">IFERROR(IF(OR(J1469=0,K1469=""),"",IF(E1469="Positivo",MIN(MAX(K1469/J1469,0),1.3),MIN(MAX(J1469/K1469,0),1.3))),"")</f>
        <v>1.1111111111111112</v>
      </c>
      <c r="M1469" s="39">
        <f t="shared" ref="M1469:M1480" si="113">IFERROR(IF(OR(J1469=0,K1469=""),"",IF(E1469="Positivo",MAX(K1469/J1469,0),MAX(J1469/K1469,0))),"")</f>
        <v>1.1111111111111112</v>
      </c>
      <c r="P1469">
        <v>0</v>
      </c>
      <c r="Q1469">
        <v>0</v>
      </c>
      <c r="R1469" t="s">
        <v>1292</v>
      </c>
    </row>
    <row r="1470" spans="1:18" x14ac:dyDescent="0.3">
      <c r="A1470">
        <v>455</v>
      </c>
      <c r="B1470" t="s">
        <v>1291</v>
      </c>
      <c r="C1470" t="s">
        <v>1089</v>
      </c>
      <c r="D1470" t="s">
        <v>27</v>
      </c>
      <c r="E1470" t="s">
        <v>22</v>
      </c>
      <c r="F1470" s="79">
        <v>45838</v>
      </c>
      <c r="G1470">
        <v>2025</v>
      </c>
      <c r="H1470" t="s">
        <v>699</v>
      </c>
      <c r="I1470" t="s">
        <v>700</v>
      </c>
      <c r="J1470">
        <v>100</v>
      </c>
      <c r="K1470">
        <v>100</v>
      </c>
      <c r="L1470" s="39">
        <f t="shared" si="112"/>
        <v>1</v>
      </c>
      <c r="M1470" s="39">
        <f t="shared" si="113"/>
        <v>1</v>
      </c>
      <c r="N1470" t="s">
        <v>25</v>
      </c>
      <c r="O1470" t="s">
        <v>25</v>
      </c>
      <c r="P1470">
        <v>0</v>
      </c>
      <c r="Q1470">
        <v>0</v>
      </c>
      <c r="R1470" t="s">
        <v>3078</v>
      </c>
    </row>
    <row r="1471" spans="1:18" x14ac:dyDescent="0.3">
      <c r="A1471">
        <v>455</v>
      </c>
      <c r="B1471" t="s">
        <v>1291</v>
      </c>
      <c r="C1471" t="s">
        <v>1089</v>
      </c>
      <c r="D1471" t="s">
        <v>27</v>
      </c>
      <c r="E1471" t="s">
        <v>22</v>
      </c>
      <c r="F1471" s="79">
        <v>46022</v>
      </c>
      <c r="G1471">
        <v>2025</v>
      </c>
      <c r="H1471" t="s">
        <v>23</v>
      </c>
      <c r="I1471" t="s">
        <v>32</v>
      </c>
      <c r="J1471">
        <v>100</v>
      </c>
      <c r="K1471">
        <v>100</v>
      </c>
      <c r="L1471" s="39">
        <f t="shared" si="112"/>
        <v>1</v>
      </c>
      <c r="M1471" s="39">
        <f t="shared" si="113"/>
        <v>1</v>
      </c>
      <c r="N1471" t="s">
        <v>25</v>
      </c>
      <c r="O1471" t="s">
        <v>25</v>
      </c>
      <c r="P1471">
        <v>0</v>
      </c>
      <c r="Q1471">
        <v>0</v>
      </c>
      <c r="R1471" t="s">
        <v>1293</v>
      </c>
    </row>
    <row r="1472" spans="1:18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100</v>
      </c>
      <c r="K1472">
        <v>100</v>
      </c>
      <c r="L1472" s="39">
        <f t="shared" si="112"/>
        <v>1</v>
      </c>
      <c r="M1472" s="39">
        <f t="shared" si="113"/>
        <v>1</v>
      </c>
      <c r="P1472">
        <v>0</v>
      </c>
      <c r="Q1472">
        <v>0</v>
      </c>
      <c r="R1472" t="s">
        <v>3080</v>
      </c>
    </row>
    <row r="1473" spans="1:18" x14ac:dyDescent="0.3">
      <c r="A1473">
        <v>456</v>
      </c>
      <c r="B1473" t="s">
        <v>1294</v>
      </c>
      <c r="C1473" t="s">
        <v>149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100</v>
      </c>
      <c r="K1473">
        <v>94.69</v>
      </c>
      <c r="L1473" s="39">
        <f t="shared" si="112"/>
        <v>0.94689999999999996</v>
      </c>
      <c r="M1473" s="39">
        <f t="shared" si="113"/>
        <v>0.94689999999999996</v>
      </c>
      <c r="P1473">
        <v>0</v>
      </c>
      <c r="Q1473">
        <v>0</v>
      </c>
      <c r="R1473" t="s">
        <v>1295</v>
      </c>
    </row>
    <row r="1474" spans="1:18" x14ac:dyDescent="0.3">
      <c r="A1474">
        <v>456</v>
      </c>
      <c r="B1474" t="s">
        <v>1294</v>
      </c>
      <c r="C1474" t="s">
        <v>149</v>
      </c>
      <c r="D1474" t="s">
        <v>27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105.185</v>
      </c>
      <c r="L1474" s="39">
        <f t="shared" si="112"/>
        <v>1.05185</v>
      </c>
      <c r="M1474" s="39">
        <f t="shared" si="113"/>
        <v>1.05185</v>
      </c>
      <c r="N1474" t="s">
        <v>25</v>
      </c>
      <c r="O1474" t="s">
        <v>25</v>
      </c>
      <c r="P1474">
        <v>0</v>
      </c>
      <c r="Q1474">
        <v>0</v>
      </c>
      <c r="R1474" t="s">
        <v>3082</v>
      </c>
    </row>
    <row r="1475" spans="1:18" x14ac:dyDescent="0.3">
      <c r="A1475">
        <v>456</v>
      </c>
      <c r="B1475" t="s">
        <v>1294</v>
      </c>
      <c r="C1475" t="s">
        <v>149</v>
      </c>
      <c r="D1475" t="s">
        <v>27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118</v>
      </c>
      <c r="L1475" s="39">
        <f t="shared" si="112"/>
        <v>1.18</v>
      </c>
      <c r="M1475" s="39">
        <f t="shared" si="113"/>
        <v>1.18</v>
      </c>
      <c r="N1475" t="s">
        <v>25</v>
      </c>
      <c r="O1475" t="s">
        <v>25</v>
      </c>
      <c r="P1475">
        <v>0</v>
      </c>
      <c r="Q1475">
        <v>0</v>
      </c>
      <c r="R1475" t="s">
        <v>1296</v>
      </c>
    </row>
    <row r="1476" spans="1:18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90</v>
      </c>
      <c r="L1476" s="39">
        <f t="shared" si="112"/>
        <v>0.9</v>
      </c>
      <c r="M1476" s="39">
        <f t="shared" si="113"/>
        <v>0.9</v>
      </c>
      <c r="P1476">
        <v>0</v>
      </c>
      <c r="Q1476">
        <v>0</v>
      </c>
      <c r="R1476" t="s">
        <v>3084</v>
      </c>
    </row>
    <row r="1477" spans="1:18" x14ac:dyDescent="0.3">
      <c r="A1477">
        <v>457</v>
      </c>
      <c r="B1477" t="s">
        <v>1297</v>
      </c>
      <c r="C1477" t="s">
        <v>149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70</v>
      </c>
      <c r="L1477" s="39">
        <f t="shared" si="112"/>
        <v>0.7</v>
      </c>
      <c r="M1477" s="39">
        <f t="shared" si="113"/>
        <v>0.7</v>
      </c>
      <c r="P1477">
        <v>0</v>
      </c>
      <c r="Q1477">
        <v>0</v>
      </c>
      <c r="R1477" t="s">
        <v>1298</v>
      </c>
    </row>
    <row r="1478" spans="1:18" x14ac:dyDescent="0.3">
      <c r="A1478">
        <v>457</v>
      </c>
      <c r="B1478" t="s">
        <v>1297</v>
      </c>
      <c r="C1478" t="s">
        <v>149</v>
      </c>
      <c r="D1478" t="s">
        <v>27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141.66499999999999</v>
      </c>
      <c r="L1478" s="39">
        <f t="shared" si="112"/>
        <v>1.3</v>
      </c>
      <c r="M1478" s="39">
        <f t="shared" si="113"/>
        <v>1.41665</v>
      </c>
      <c r="N1478" t="s">
        <v>25</v>
      </c>
      <c r="O1478" t="s">
        <v>25</v>
      </c>
      <c r="P1478">
        <v>0</v>
      </c>
      <c r="Q1478">
        <v>0</v>
      </c>
      <c r="R1478" t="s">
        <v>3086</v>
      </c>
    </row>
    <row r="1479" spans="1:18" x14ac:dyDescent="0.3">
      <c r="A1479">
        <v>457</v>
      </c>
      <c r="B1479" t="s">
        <v>1297</v>
      </c>
      <c r="C1479" t="s">
        <v>149</v>
      </c>
      <c r="D1479" t="s">
        <v>27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84.52</v>
      </c>
      <c r="L1479" s="39">
        <f t="shared" si="112"/>
        <v>0.84519999999999995</v>
      </c>
      <c r="M1479" s="39">
        <f t="shared" si="113"/>
        <v>0.84519999999999995</v>
      </c>
      <c r="N1479" t="s">
        <v>25</v>
      </c>
      <c r="O1479" t="s">
        <v>25</v>
      </c>
      <c r="P1479">
        <v>0</v>
      </c>
      <c r="Q1479">
        <v>0</v>
      </c>
      <c r="R1479" t="s">
        <v>1299</v>
      </c>
    </row>
    <row r="1480" spans="1:18" x14ac:dyDescent="0.3">
      <c r="A1480">
        <v>459</v>
      </c>
      <c r="B1480" t="s">
        <v>1300</v>
      </c>
      <c r="C1480" t="s">
        <v>1078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130.43</v>
      </c>
      <c r="L1480" s="39">
        <f t="shared" si="112"/>
        <v>1.3</v>
      </c>
      <c r="M1480" s="39">
        <f t="shared" si="113"/>
        <v>1.3043</v>
      </c>
      <c r="P1480">
        <v>0</v>
      </c>
      <c r="Q1480">
        <v>0</v>
      </c>
      <c r="R1480" t="s">
        <v>3088</v>
      </c>
    </row>
    <row r="1481" spans="1:18" x14ac:dyDescent="0.3">
      <c r="A1481">
        <v>459</v>
      </c>
      <c r="B1481" t="s">
        <v>1300</v>
      </c>
      <c r="C1481" t="s">
        <v>1078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L1481" s="39"/>
      <c r="M1481" s="39"/>
      <c r="N1481" t="s">
        <v>128</v>
      </c>
      <c r="O1481" t="s">
        <v>1949</v>
      </c>
      <c r="P1481">
        <v>0</v>
      </c>
      <c r="Q1481">
        <v>0</v>
      </c>
      <c r="R1481" t="s">
        <v>1301</v>
      </c>
    </row>
    <row r="1482" spans="1:18" x14ac:dyDescent="0.3">
      <c r="A1482">
        <v>460</v>
      </c>
      <c r="B1482" t="s">
        <v>1302</v>
      </c>
      <c r="C1482" t="s">
        <v>40</v>
      </c>
      <c r="D1482" t="s">
        <v>71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80</v>
      </c>
      <c r="K1482">
        <v>91.439688715953324</v>
      </c>
      <c r="L1482" s="39">
        <f t="shared" ref="L1482:L1500" si="114">IFERROR(IF(OR(J1482=0,K1482=""),"",IF(E1482="Positivo",MIN(MAX(K1482/J1482,0),1.3),MIN(MAX(J1482/K1482,0),1.3))),"")</f>
        <v>1.1429961089494165</v>
      </c>
      <c r="M1482" s="39">
        <f t="shared" ref="M1482:M1519" si="115">IFERROR(IF(OR(J1482=0,K1482=""),"",IF(E1482="Positivo",MAX(K1482/J1482,0),MAX(J1482/K1482,0))),"")</f>
        <v>1.1429961089494165</v>
      </c>
      <c r="P1482">
        <v>0</v>
      </c>
      <c r="Q1482">
        <v>0</v>
      </c>
      <c r="R1482" t="s">
        <v>1303</v>
      </c>
    </row>
    <row r="1483" spans="1:18" x14ac:dyDescent="0.3">
      <c r="A1483">
        <v>460</v>
      </c>
      <c r="B1483" t="s">
        <v>1302</v>
      </c>
      <c r="C1483" t="s">
        <v>40</v>
      </c>
      <c r="D1483" t="s">
        <v>71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80</v>
      </c>
      <c r="K1483">
        <v>84.18</v>
      </c>
      <c r="L1483" s="39">
        <f t="shared" si="114"/>
        <v>1.0522500000000001</v>
      </c>
      <c r="M1483" s="39">
        <f t="shared" si="115"/>
        <v>1.0522500000000001</v>
      </c>
      <c r="N1483" t="s">
        <v>25</v>
      </c>
      <c r="O1483" t="s">
        <v>25</v>
      </c>
      <c r="P1483">
        <v>0</v>
      </c>
      <c r="Q1483">
        <v>1</v>
      </c>
      <c r="R1483" t="s">
        <v>1305</v>
      </c>
    </row>
    <row r="1484" spans="1:18" x14ac:dyDescent="0.3">
      <c r="A1484">
        <v>462</v>
      </c>
      <c r="B1484" t="s">
        <v>1306</v>
      </c>
      <c r="C1484" t="s">
        <v>308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85</v>
      </c>
      <c r="K1484">
        <v>100</v>
      </c>
      <c r="L1484" s="39">
        <f t="shared" si="114"/>
        <v>1.1764705882352942</v>
      </c>
      <c r="M1484" s="39">
        <f t="shared" si="115"/>
        <v>1.1764705882352942</v>
      </c>
      <c r="P1484">
        <v>0</v>
      </c>
      <c r="Q1484">
        <v>0</v>
      </c>
      <c r="R1484" t="s">
        <v>3090</v>
      </c>
    </row>
    <row r="1485" spans="1:18" x14ac:dyDescent="0.3">
      <c r="A1485">
        <v>462</v>
      </c>
      <c r="B1485" t="s">
        <v>1306</v>
      </c>
      <c r="C1485" t="s">
        <v>308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85</v>
      </c>
      <c r="K1485">
        <v>100</v>
      </c>
      <c r="L1485" s="39">
        <f t="shared" si="114"/>
        <v>1.1764705882352942</v>
      </c>
      <c r="M1485" s="39">
        <f t="shared" si="115"/>
        <v>1.1764705882352942</v>
      </c>
      <c r="P1485">
        <v>0</v>
      </c>
      <c r="Q1485">
        <v>0</v>
      </c>
      <c r="R1485" t="s">
        <v>1307</v>
      </c>
    </row>
    <row r="1486" spans="1:18" x14ac:dyDescent="0.3">
      <c r="A1486">
        <v>463</v>
      </c>
      <c r="B1486" t="s">
        <v>1308</v>
      </c>
      <c r="C1486" t="s">
        <v>40</v>
      </c>
      <c r="D1486" t="s">
        <v>27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J1486">
        <v>100</v>
      </c>
      <c r="K1486">
        <v>95</v>
      </c>
      <c r="L1486" s="39">
        <f t="shared" si="114"/>
        <v>0.95</v>
      </c>
      <c r="M1486" s="39">
        <f t="shared" si="115"/>
        <v>0.95</v>
      </c>
      <c r="P1486">
        <v>0</v>
      </c>
      <c r="Q1486">
        <v>0</v>
      </c>
      <c r="R1486" t="s">
        <v>3091</v>
      </c>
    </row>
    <row r="1487" spans="1:18" x14ac:dyDescent="0.3">
      <c r="A1487">
        <v>463</v>
      </c>
      <c r="B1487" t="s">
        <v>1308</v>
      </c>
      <c r="C1487" t="s">
        <v>40</v>
      </c>
      <c r="D1487" t="s">
        <v>27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100</v>
      </c>
      <c r="K1487">
        <v>100</v>
      </c>
      <c r="L1487" s="39">
        <f t="shared" si="114"/>
        <v>1</v>
      </c>
      <c r="M1487" s="39">
        <f t="shared" si="115"/>
        <v>1</v>
      </c>
      <c r="P1487">
        <v>0</v>
      </c>
      <c r="Q1487">
        <v>0</v>
      </c>
      <c r="R1487" t="s">
        <v>1309</v>
      </c>
    </row>
    <row r="1488" spans="1:18" x14ac:dyDescent="0.3">
      <c r="A1488">
        <v>465</v>
      </c>
      <c r="B1488" t="s">
        <v>1310</v>
      </c>
      <c r="C1488" t="s">
        <v>922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70</v>
      </c>
      <c r="K1488">
        <v>57.86</v>
      </c>
      <c r="L1488" s="39">
        <f t="shared" si="114"/>
        <v>0.82657142857142851</v>
      </c>
      <c r="M1488" s="39">
        <f t="shared" si="115"/>
        <v>0.82657142857142851</v>
      </c>
      <c r="P1488">
        <v>0</v>
      </c>
      <c r="Q1488">
        <v>0</v>
      </c>
      <c r="R1488" t="s">
        <v>3092</v>
      </c>
    </row>
    <row r="1489" spans="1:18" x14ac:dyDescent="0.3">
      <c r="A1489">
        <v>465</v>
      </c>
      <c r="B1489" t="s">
        <v>1310</v>
      </c>
      <c r="C1489" t="s">
        <v>922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56.83</v>
      </c>
      <c r="L1489" s="39">
        <f t="shared" si="114"/>
        <v>0.56830000000000003</v>
      </c>
      <c r="M1489" s="39">
        <f t="shared" si="115"/>
        <v>0.56830000000000003</v>
      </c>
      <c r="P1489">
        <v>0</v>
      </c>
      <c r="Q1489">
        <v>0</v>
      </c>
      <c r="R1489" t="s">
        <v>1311</v>
      </c>
    </row>
    <row r="1490" spans="1:18" x14ac:dyDescent="0.3">
      <c r="A1490">
        <v>466</v>
      </c>
      <c r="B1490" t="s">
        <v>1312</v>
      </c>
      <c r="C1490" t="s">
        <v>333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119.2</v>
      </c>
      <c r="L1490" s="39">
        <f t="shared" si="114"/>
        <v>1.1919999999999999</v>
      </c>
      <c r="M1490" s="39">
        <f t="shared" si="115"/>
        <v>1.1919999999999999</v>
      </c>
      <c r="N1490" t="s">
        <v>128</v>
      </c>
      <c r="O1490" t="s">
        <v>136</v>
      </c>
      <c r="P1490">
        <v>1</v>
      </c>
      <c r="Q1490">
        <v>1</v>
      </c>
      <c r="R1490" t="s">
        <v>3093</v>
      </c>
    </row>
    <row r="1491" spans="1:18" x14ac:dyDescent="0.3">
      <c r="A1491">
        <v>466</v>
      </c>
      <c r="B1491" t="s">
        <v>1312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107.6</v>
      </c>
      <c r="L1491" s="39">
        <f t="shared" si="114"/>
        <v>1.0759999999999998</v>
      </c>
      <c r="M1491" s="39">
        <f t="shared" si="115"/>
        <v>1.0759999999999998</v>
      </c>
      <c r="O1491" t="s">
        <v>136</v>
      </c>
      <c r="P1491">
        <v>0</v>
      </c>
      <c r="Q1491">
        <v>0</v>
      </c>
      <c r="R1491" t="s">
        <v>1313</v>
      </c>
    </row>
    <row r="1492" spans="1:18" x14ac:dyDescent="0.3">
      <c r="A1492">
        <v>466</v>
      </c>
      <c r="B1492" t="s">
        <v>1312</v>
      </c>
      <c r="C1492" t="s">
        <v>653</v>
      </c>
      <c r="D1492" t="s">
        <v>27</v>
      </c>
      <c r="E1492" t="s">
        <v>22</v>
      </c>
      <c r="F1492" s="79">
        <v>46022</v>
      </c>
      <c r="G1492">
        <v>2025</v>
      </c>
      <c r="H1492" t="s">
        <v>23</v>
      </c>
      <c r="I1492" t="s">
        <v>32</v>
      </c>
      <c r="J1492">
        <v>100</v>
      </c>
      <c r="K1492">
        <v>106.55</v>
      </c>
      <c r="L1492" s="39">
        <f t="shared" si="114"/>
        <v>1.0654999999999999</v>
      </c>
      <c r="M1492" s="39">
        <f t="shared" si="115"/>
        <v>1.0654999999999999</v>
      </c>
      <c r="O1492" t="s">
        <v>136</v>
      </c>
      <c r="P1492">
        <v>0</v>
      </c>
      <c r="Q1492">
        <v>0</v>
      </c>
      <c r="R1492" t="s">
        <v>1314</v>
      </c>
    </row>
    <row r="1493" spans="1:18" x14ac:dyDescent="0.3">
      <c r="A1493">
        <v>467</v>
      </c>
      <c r="B1493" t="s">
        <v>1315</v>
      </c>
      <c r="C1493" t="s">
        <v>653</v>
      </c>
      <c r="D1493" t="s">
        <v>27</v>
      </c>
      <c r="E1493" t="s">
        <v>22</v>
      </c>
      <c r="F1493" s="79">
        <v>45473</v>
      </c>
      <c r="G1493">
        <v>2024</v>
      </c>
      <c r="H1493" t="s">
        <v>699</v>
      </c>
      <c r="I1493" t="s">
        <v>729</v>
      </c>
      <c r="J1493">
        <v>100</v>
      </c>
      <c r="K1493">
        <v>121.25</v>
      </c>
      <c r="L1493" s="39">
        <f t="shared" si="114"/>
        <v>1.2124999999999999</v>
      </c>
      <c r="M1493" s="39">
        <f t="shared" si="115"/>
        <v>1.2124999999999999</v>
      </c>
      <c r="P1493">
        <v>0</v>
      </c>
      <c r="Q1493">
        <v>0</v>
      </c>
      <c r="R1493" t="s">
        <v>3095</v>
      </c>
    </row>
    <row r="1494" spans="1:18" x14ac:dyDescent="0.3">
      <c r="A1494">
        <v>467</v>
      </c>
      <c r="B1494" t="s">
        <v>1315</v>
      </c>
      <c r="C1494" t="s">
        <v>653</v>
      </c>
      <c r="D1494" t="s">
        <v>27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100</v>
      </c>
      <c r="K1494">
        <v>121.83</v>
      </c>
      <c r="L1494" s="39">
        <f t="shared" si="114"/>
        <v>1.2182999999999999</v>
      </c>
      <c r="M1494" s="39">
        <f t="shared" si="115"/>
        <v>1.2182999999999999</v>
      </c>
      <c r="P1494">
        <v>0</v>
      </c>
      <c r="Q1494">
        <v>0</v>
      </c>
      <c r="R1494" t="s">
        <v>1316</v>
      </c>
    </row>
    <row r="1495" spans="1:18" x14ac:dyDescent="0.3">
      <c r="A1495">
        <v>467</v>
      </c>
      <c r="B1495" t="s">
        <v>1315</v>
      </c>
      <c r="C1495" t="s">
        <v>653</v>
      </c>
      <c r="D1495" t="s">
        <v>21</v>
      </c>
      <c r="E1495" t="s">
        <v>22</v>
      </c>
      <c r="F1495" s="79">
        <v>45838</v>
      </c>
      <c r="G1495">
        <v>2025</v>
      </c>
      <c r="H1495" t="s">
        <v>699</v>
      </c>
      <c r="I1495" t="s">
        <v>700</v>
      </c>
      <c r="J1495">
        <v>100</v>
      </c>
      <c r="K1495">
        <v>118</v>
      </c>
      <c r="L1495" s="39">
        <f t="shared" si="114"/>
        <v>1.18</v>
      </c>
      <c r="M1495" s="39">
        <f t="shared" si="115"/>
        <v>1.18</v>
      </c>
      <c r="N1495" t="s">
        <v>128</v>
      </c>
      <c r="O1495" t="s">
        <v>136</v>
      </c>
      <c r="P1495">
        <v>0</v>
      </c>
      <c r="Q1495">
        <v>1</v>
      </c>
      <c r="R1495" t="s">
        <v>3096</v>
      </c>
    </row>
    <row r="1496" spans="1:18" x14ac:dyDescent="0.3">
      <c r="A1496">
        <v>467</v>
      </c>
      <c r="B1496" t="s">
        <v>1315</v>
      </c>
      <c r="C1496" t="s">
        <v>653</v>
      </c>
      <c r="D1496" t="s">
        <v>21</v>
      </c>
      <c r="E1496" t="s">
        <v>22</v>
      </c>
      <c r="F1496" s="79">
        <v>46022</v>
      </c>
      <c r="G1496">
        <v>2025</v>
      </c>
      <c r="H1496" t="s">
        <v>23</v>
      </c>
      <c r="I1496" t="s">
        <v>32</v>
      </c>
      <c r="J1496">
        <v>100</v>
      </c>
      <c r="K1496">
        <v>99.5</v>
      </c>
      <c r="L1496" s="39">
        <f t="shared" si="114"/>
        <v>0.995</v>
      </c>
      <c r="M1496" s="39">
        <f t="shared" si="115"/>
        <v>0.995</v>
      </c>
      <c r="N1496" t="s">
        <v>128</v>
      </c>
      <c r="O1496" t="s">
        <v>136</v>
      </c>
      <c r="P1496">
        <v>0</v>
      </c>
      <c r="Q1496">
        <v>1</v>
      </c>
      <c r="R1496" t="s">
        <v>1317</v>
      </c>
    </row>
    <row r="1497" spans="1:18" x14ac:dyDescent="0.3">
      <c r="A1497">
        <v>468</v>
      </c>
      <c r="B1497" t="s">
        <v>1318</v>
      </c>
      <c r="C1497" t="s">
        <v>653</v>
      </c>
      <c r="D1497" t="s">
        <v>27</v>
      </c>
      <c r="E1497" t="s">
        <v>41</v>
      </c>
      <c r="F1497" s="79">
        <v>45473</v>
      </c>
      <c r="G1497">
        <v>2024</v>
      </c>
      <c r="H1497" t="s">
        <v>699</v>
      </c>
      <c r="I1497" t="s">
        <v>729</v>
      </c>
      <c r="J1497">
        <v>3</v>
      </c>
      <c r="K1497">
        <v>2.85</v>
      </c>
      <c r="L1497" s="39">
        <f t="shared" si="114"/>
        <v>1.0526315789473684</v>
      </c>
      <c r="M1497" s="39">
        <f t="shared" si="115"/>
        <v>1.0526315789473684</v>
      </c>
      <c r="P1497">
        <v>0</v>
      </c>
      <c r="Q1497">
        <v>0</v>
      </c>
      <c r="R1497" t="s">
        <v>3097</v>
      </c>
    </row>
    <row r="1498" spans="1:18" x14ac:dyDescent="0.3">
      <c r="A1498">
        <v>468</v>
      </c>
      <c r="B1498" t="s">
        <v>1318</v>
      </c>
      <c r="C1498" t="s">
        <v>653</v>
      </c>
      <c r="D1498" t="s">
        <v>27</v>
      </c>
      <c r="E1498" t="s">
        <v>41</v>
      </c>
      <c r="F1498" s="79">
        <v>45657</v>
      </c>
      <c r="G1498">
        <v>2024</v>
      </c>
      <c r="H1498" t="s">
        <v>23</v>
      </c>
      <c r="I1498" t="s">
        <v>30</v>
      </c>
      <c r="J1498">
        <v>3</v>
      </c>
      <c r="K1498">
        <v>2.6</v>
      </c>
      <c r="L1498" s="39">
        <f t="shared" si="114"/>
        <v>1.1538461538461537</v>
      </c>
      <c r="M1498" s="39">
        <f t="shared" si="115"/>
        <v>1.1538461538461537</v>
      </c>
      <c r="P1498">
        <v>0</v>
      </c>
      <c r="Q1498">
        <v>0</v>
      </c>
      <c r="R1498" t="s">
        <v>1319</v>
      </c>
    </row>
    <row r="1499" spans="1:18" x14ac:dyDescent="0.3">
      <c r="A1499">
        <v>468</v>
      </c>
      <c r="B1499" t="s">
        <v>1318</v>
      </c>
      <c r="C1499" t="s">
        <v>653</v>
      </c>
      <c r="D1499" t="s">
        <v>21</v>
      </c>
      <c r="E1499" t="s">
        <v>41</v>
      </c>
      <c r="F1499" s="79">
        <v>45838</v>
      </c>
      <c r="G1499">
        <v>2025</v>
      </c>
      <c r="H1499" t="s">
        <v>699</v>
      </c>
      <c r="I1499" t="s">
        <v>700</v>
      </c>
      <c r="J1499">
        <v>2.5</v>
      </c>
      <c r="K1499">
        <v>2.4</v>
      </c>
      <c r="L1499" s="39">
        <f t="shared" si="114"/>
        <v>1.0416666666666667</v>
      </c>
      <c r="M1499" s="39">
        <f t="shared" si="115"/>
        <v>1.0416666666666667</v>
      </c>
      <c r="N1499" t="s">
        <v>136</v>
      </c>
      <c r="O1499" t="s">
        <v>136</v>
      </c>
      <c r="P1499">
        <v>1</v>
      </c>
      <c r="Q1499">
        <v>1</v>
      </c>
      <c r="R1499" t="s">
        <v>3098</v>
      </c>
    </row>
    <row r="1500" spans="1:18" x14ac:dyDescent="0.3">
      <c r="A1500">
        <v>468</v>
      </c>
      <c r="B1500" t="s">
        <v>1318</v>
      </c>
      <c r="C1500" t="s">
        <v>653</v>
      </c>
      <c r="D1500" t="s">
        <v>21</v>
      </c>
      <c r="E1500" t="s">
        <v>41</v>
      </c>
      <c r="F1500" s="79">
        <v>46022</v>
      </c>
      <c r="G1500">
        <v>2025</v>
      </c>
      <c r="H1500" t="s">
        <v>23</v>
      </c>
      <c r="I1500" t="s">
        <v>32</v>
      </c>
      <c r="J1500">
        <v>2.5</v>
      </c>
      <c r="K1500">
        <v>2.1</v>
      </c>
      <c r="L1500" s="39">
        <f t="shared" si="114"/>
        <v>1.1904761904761905</v>
      </c>
      <c r="M1500" s="39">
        <f t="shared" si="115"/>
        <v>1.1904761904761905</v>
      </c>
      <c r="N1500" t="s">
        <v>136</v>
      </c>
      <c r="O1500" t="s">
        <v>136</v>
      </c>
      <c r="P1500">
        <v>1</v>
      </c>
      <c r="Q1500">
        <v>1</v>
      </c>
      <c r="R1500" t="s">
        <v>1320</v>
      </c>
    </row>
    <row r="1501" spans="1:18" x14ac:dyDescent="0.3">
      <c r="A1501">
        <v>469</v>
      </c>
      <c r="B1501" t="s">
        <v>1176</v>
      </c>
      <c r="C1501" t="s">
        <v>567</v>
      </c>
      <c r="D1501" t="s">
        <v>21</v>
      </c>
      <c r="E1501" t="s">
        <v>22</v>
      </c>
      <c r="F1501" s="79">
        <v>45473</v>
      </c>
      <c r="G1501">
        <v>2024</v>
      </c>
      <c r="H1501" t="s">
        <v>699</v>
      </c>
      <c r="I1501" t="s">
        <v>729</v>
      </c>
      <c r="J1501">
        <v>100</v>
      </c>
      <c r="K1501">
        <v>114.33</v>
      </c>
      <c r="L1501" s="39">
        <f t="shared" ref="L1501:L1512" si="116">IFERROR(IF(OR(J1501=0,K1501=""),"",IF(E1501="Positivo",MIN(MAX(K1501/J1501,0),1),MIN(MAX(J1501/K1501,0),1))),"")</f>
        <v>1</v>
      </c>
      <c r="M1501" s="39">
        <f t="shared" si="115"/>
        <v>1.1433</v>
      </c>
      <c r="P1501">
        <v>0</v>
      </c>
      <c r="Q1501">
        <v>0</v>
      </c>
      <c r="R1501" t="s">
        <v>3101</v>
      </c>
    </row>
    <row r="1502" spans="1:18" x14ac:dyDescent="0.3">
      <c r="A1502">
        <v>469</v>
      </c>
      <c r="B1502" t="s">
        <v>1176</v>
      </c>
      <c r="C1502" t="s">
        <v>567</v>
      </c>
      <c r="D1502" t="s">
        <v>21</v>
      </c>
      <c r="E1502" t="s">
        <v>22</v>
      </c>
      <c r="F1502" s="79">
        <v>45657</v>
      </c>
      <c r="G1502">
        <v>2024</v>
      </c>
      <c r="H1502" t="s">
        <v>23</v>
      </c>
      <c r="I1502" t="s">
        <v>30</v>
      </c>
      <c r="J1502">
        <v>100</v>
      </c>
      <c r="K1502">
        <v>99.7</v>
      </c>
      <c r="L1502" s="39">
        <f t="shared" si="116"/>
        <v>0.997</v>
      </c>
      <c r="M1502" s="39">
        <f t="shared" si="115"/>
        <v>0.997</v>
      </c>
      <c r="P1502">
        <v>0</v>
      </c>
      <c r="Q1502">
        <v>0</v>
      </c>
      <c r="R1502" t="s">
        <v>1321</v>
      </c>
    </row>
    <row r="1503" spans="1:18" x14ac:dyDescent="0.3">
      <c r="A1503">
        <v>469</v>
      </c>
      <c r="B1503" t="s">
        <v>1176</v>
      </c>
      <c r="C1503" t="s">
        <v>567</v>
      </c>
      <c r="D1503" t="s">
        <v>27</v>
      </c>
      <c r="E1503" t="s">
        <v>22</v>
      </c>
      <c r="F1503" s="79">
        <v>45838</v>
      </c>
      <c r="G1503">
        <v>2025</v>
      </c>
      <c r="H1503" t="s">
        <v>699</v>
      </c>
      <c r="I1503" t="s">
        <v>700</v>
      </c>
      <c r="J1503">
        <v>100</v>
      </c>
      <c r="K1503">
        <v>103.52</v>
      </c>
      <c r="L1503" s="39">
        <f t="shared" si="116"/>
        <v>1</v>
      </c>
      <c r="M1503" s="39">
        <f t="shared" si="115"/>
        <v>1.0351999999999999</v>
      </c>
      <c r="N1503" t="s">
        <v>25</v>
      </c>
      <c r="O1503" t="s">
        <v>25</v>
      </c>
      <c r="P1503">
        <v>0</v>
      </c>
      <c r="Q1503">
        <v>0</v>
      </c>
      <c r="R1503" t="s">
        <v>3104</v>
      </c>
    </row>
    <row r="1504" spans="1:18" x14ac:dyDescent="0.3">
      <c r="A1504">
        <v>469</v>
      </c>
      <c r="B1504" t="s">
        <v>1176</v>
      </c>
      <c r="C1504" t="s">
        <v>567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99.13</v>
      </c>
      <c r="L1504" s="39">
        <f t="shared" si="116"/>
        <v>0.99129999999999996</v>
      </c>
      <c r="M1504" s="39">
        <f t="shared" si="115"/>
        <v>0.99129999999999996</v>
      </c>
      <c r="N1504" t="s">
        <v>25</v>
      </c>
      <c r="O1504" t="s">
        <v>25</v>
      </c>
      <c r="P1504">
        <v>0</v>
      </c>
      <c r="Q1504">
        <v>0</v>
      </c>
      <c r="R1504" t="s">
        <v>1322</v>
      </c>
    </row>
    <row r="1505" spans="1:18" x14ac:dyDescent="0.3">
      <c r="A1505">
        <v>470</v>
      </c>
      <c r="B1505" t="s">
        <v>1323</v>
      </c>
      <c r="C1505" t="s">
        <v>567</v>
      </c>
      <c r="D1505" t="s">
        <v>21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118.1</v>
      </c>
      <c r="L1505" s="39">
        <f t="shared" si="116"/>
        <v>1</v>
      </c>
      <c r="M1505" s="39">
        <f t="shared" si="115"/>
        <v>1.181</v>
      </c>
      <c r="P1505">
        <v>0</v>
      </c>
      <c r="Q1505">
        <v>0</v>
      </c>
      <c r="R1505" t="s">
        <v>3107</v>
      </c>
    </row>
    <row r="1506" spans="1:18" x14ac:dyDescent="0.3">
      <c r="A1506">
        <v>470</v>
      </c>
      <c r="B1506" t="s">
        <v>1323</v>
      </c>
      <c r="C1506" t="s">
        <v>567</v>
      </c>
      <c r="D1506" t="s">
        <v>21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100</v>
      </c>
      <c r="L1506" s="39">
        <f t="shared" si="116"/>
        <v>1</v>
      </c>
      <c r="M1506" s="39">
        <f t="shared" si="115"/>
        <v>1</v>
      </c>
      <c r="P1506">
        <v>0</v>
      </c>
      <c r="Q1506">
        <v>0</v>
      </c>
      <c r="R1506" t="s">
        <v>1324</v>
      </c>
    </row>
    <row r="1507" spans="1:18" x14ac:dyDescent="0.3">
      <c r="A1507">
        <v>470</v>
      </c>
      <c r="B1507" t="s">
        <v>1323</v>
      </c>
      <c r="C1507" t="s">
        <v>567</v>
      </c>
      <c r="D1507" t="s">
        <v>27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148.38</v>
      </c>
      <c r="L1507" s="39">
        <f t="shared" si="116"/>
        <v>1</v>
      </c>
      <c r="M1507" s="39">
        <f t="shared" si="115"/>
        <v>1.4838</v>
      </c>
      <c r="N1507" t="s">
        <v>25</v>
      </c>
      <c r="O1507" t="s">
        <v>25</v>
      </c>
      <c r="P1507">
        <v>0</v>
      </c>
      <c r="Q1507">
        <v>0</v>
      </c>
      <c r="R1507" t="s">
        <v>3110</v>
      </c>
    </row>
    <row r="1508" spans="1:18" x14ac:dyDescent="0.3">
      <c r="A1508">
        <v>470</v>
      </c>
      <c r="B1508" t="s">
        <v>1323</v>
      </c>
      <c r="C1508" t="s">
        <v>567</v>
      </c>
      <c r="D1508" t="s">
        <v>27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100</v>
      </c>
      <c r="L1508" s="39">
        <f t="shared" si="116"/>
        <v>1</v>
      </c>
      <c r="M1508" s="39">
        <f t="shared" si="115"/>
        <v>1</v>
      </c>
      <c r="N1508" t="s">
        <v>25</v>
      </c>
      <c r="O1508" t="s">
        <v>25</v>
      </c>
      <c r="P1508">
        <v>0</v>
      </c>
      <c r="Q1508">
        <v>0</v>
      </c>
      <c r="R1508" t="s">
        <v>1325</v>
      </c>
    </row>
    <row r="1509" spans="1:18" x14ac:dyDescent="0.3">
      <c r="A1509">
        <v>471</v>
      </c>
      <c r="B1509" t="s">
        <v>1326</v>
      </c>
      <c r="C1509" t="s">
        <v>567</v>
      </c>
      <c r="D1509" t="s">
        <v>21</v>
      </c>
      <c r="E1509" t="s">
        <v>22</v>
      </c>
      <c r="F1509" s="79">
        <v>45473</v>
      </c>
      <c r="G1509">
        <v>2024</v>
      </c>
      <c r="H1509" t="s">
        <v>699</v>
      </c>
      <c r="I1509" t="s">
        <v>729</v>
      </c>
      <c r="J1509">
        <v>100</v>
      </c>
      <c r="K1509">
        <v>105.56</v>
      </c>
      <c r="L1509" s="39">
        <f t="shared" si="116"/>
        <v>1</v>
      </c>
      <c r="M1509" s="39">
        <f t="shared" si="115"/>
        <v>1.0556000000000001</v>
      </c>
      <c r="P1509">
        <v>0</v>
      </c>
      <c r="Q1509">
        <v>0</v>
      </c>
      <c r="R1509" t="s">
        <v>3113</v>
      </c>
    </row>
    <row r="1510" spans="1:18" x14ac:dyDescent="0.3">
      <c r="A1510">
        <v>471</v>
      </c>
      <c r="B1510" t="s">
        <v>1326</v>
      </c>
      <c r="C1510" t="s">
        <v>567</v>
      </c>
      <c r="D1510" t="s">
        <v>21</v>
      </c>
      <c r="E1510" t="s">
        <v>22</v>
      </c>
      <c r="F1510" s="79">
        <v>45657</v>
      </c>
      <c r="G1510">
        <v>2024</v>
      </c>
      <c r="H1510" t="s">
        <v>23</v>
      </c>
      <c r="I1510" t="s">
        <v>30</v>
      </c>
      <c r="J1510">
        <v>100</v>
      </c>
      <c r="K1510">
        <v>99</v>
      </c>
      <c r="L1510" s="39">
        <f t="shared" si="116"/>
        <v>0.99</v>
      </c>
      <c r="M1510" s="39">
        <f t="shared" si="115"/>
        <v>0.99</v>
      </c>
      <c r="P1510">
        <v>0</v>
      </c>
      <c r="Q1510">
        <v>0</v>
      </c>
      <c r="R1510" t="s">
        <v>1327</v>
      </c>
    </row>
    <row r="1511" spans="1:18" x14ac:dyDescent="0.3">
      <c r="A1511">
        <v>471</v>
      </c>
      <c r="B1511" t="s">
        <v>1326</v>
      </c>
      <c r="C1511" t="s">
        <v>567</v>
      </c>
      <c r="D1511" t="s">
        <v>27</v>
      </c>
      <c r="E1511" t="s">
        <v>22</v>
      </c>
      <c r="F1511" s="79">
        <v>45838</v>
      </c>
      <c r="G1511">
        <v>2025</v>
      </c>
      <c r="H1511" t="s">
        <v>699</v>
      </c>
      <c r="I1511" t="s">
        <v>700</v>
      </c>
      <c r="J1511">
        <v>100</v>
      </c>
      <c r="K1511">
        <v>94.02</v>
      </c>
      <c r="L1511" s="39">
        <f t="shared" si="116"/>
        <v>0.94019999999999992</v>
      </c>
      <c r="M1511" s="39">
        <f t="shared" si="115"/>
        <v>0.94019999999999992</v>
      </c>
      <c r="N1511" t="s">
        <v>25</v>
      </c>
      <c r="O1511" t="s">
        <v>25</v>
      </c>
      <c r="P1511">
        <v>0</v>
      </c>
      <c r="Q1511">
        <v>0</v>
      </c>
      <c r="R1511" t="s">
        <v>3116</v>
      </c>
    </row>
    <row r="1512" spans="1:18" x14ac:dyDescent="0.3">
      <c r="A1512">
        <v>471</v>
      </c>
      <c r="B1512" t="s">
        <v>1326</v>
      </c>
      <c r="C1512" t="s">
        <v>567</v>
      </c>
      <c r="D1512" t="s">
        <v>27</v>
      </c>
      <c r="E1512" t="s">
        <v>22</v>
      </c>
      <c r="F1512" s="79">
        <v>46022</v>
      </c>
      <c r="G1512">
        <v>2025</v>
      </c>
      <c r="H1512" t="s">
        <v>23</v>
      </c>
      <c r="I1512" t="s">
        <v>32</v>
      </c>
      <c r="J1512">
        <v>100</v>
      </c>
      <c r="K1512">
        <v>99.86</v>
      </c>
      <c r="L1512" s="39">
        <f t="shared" si="116"/>
        <v>0.99860000000000004</v>
      </c>
      <c r="M1512" s="39">
        <f t="shared" si="115"/>
        <v>0.99860000000000004</v>
      </c>
      <c r="N1512" t="s">
        <v>25</v>
      </c>
      <c r="O1512" t="s">
        <v>25</v>
      </c>
      <c r="P1512">
        <v>0</v>
      </c>
      <c r="Q1512">
        <v>0</v>
      </c>
      <c r="R1512" t="s">
        <v>1328</v>
      </c>
    </row>
    <row r="1513" spans="1:18" x14ac:dyDescent="0.3">
      <c r="A1513">
        <v>472</v>
      </c>
      <c r="B1513" t="s">
        <v>1329</v>
      </c>
      <c r="C1513" t="s">
        <v>922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82.1</v>
      </c>
      <c r="L1513" s="39">
        <f t="shared" ref="L1513:L1519" si="117">IFERROR(IF(OR(J1513=0,K1513=""),"",IF(E1513="Positivo",MIN(MAX(K1513/J1513,0),1.3),MIN(MAX(J1513/K1513,0),1.3))),"")</f>
        <v>0.82099999999999995</v>
      </c>
      <c r="M1513" s="39">
        <f t="shared" si="115"/>
        <v>0.82099999999999995</v>
      </c>
      <c r="P1513">
        <v>0</v>
      </c>
      <c r="Q1513">
        <v>0</v>
      </c>
      <c r="R1513" t="s">
        <v>3118</v>
      </c>
    </row>
    <row r="1514" spans="1:18" x14ac:dyDescent="0.3">
      <c r="A1514">
        <v>472</v>
      </c>
      <c r="B1514" t="s">
        <v>1329</v>
      </c>
      <c r="C1514" t="s">
        <v>922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1330</v>
      </c>
    </row>
    <row r="1515" spans="1:18" x14ac:dyDescent="0.3">
      <c r="A1515">
        <v>473</v>
      </c>
      <c r="B1515" t="s">
        <v>3119</v>
      </c>
      <c r="C1515" t="s">
        <v>549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3120</v>
      </c>
    </row>
    <row r="1516" spans="1:18" x14ac:dyDescent="0.3">
      <c r="A1516">
        <v>473</v>
      </c>
      <c r="B1516" t="s">
        <v>1331</v>
      </c>
      <c r="C1516" t="s">
        <v>549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1332</v>
      </c>
    </row>
    <row r="1517" spans="1:18" x14ac:dyDescent="0.3">
      <c r="A1517">
        <v>473</v>
      </c>
      <c r="B1517" t="s">
        <v>1331</v>
      </c>
      <c r="C1517" t="s">
        <v>549</v>
      </c>
      <c r="D1517" t="s">
        <v>27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J1517">
        <v>100</v>
      </c>
      <c r="K1517">
        <v>100</v>
      </c>
      <c r="L1517" s="39">
        <f t="shared" si="117"/>
        <v>1</v>
      </c>
      <c r="M1517" s="39">
        <f t="shared" si="115"/>
        <v>1</v>
      </c>
      <c r="P1517">
        <v>0</v>
      </c>
      <c r="Q1517">
        <v>0</v>
      </c>
      <c r="R1517" t="s">
        <v>1333</v>
      </c>
    </row>
    <row r="1518" spans="1:18" x14ac:dyDescent="0.3">
      <c r="A1518">
        <v>474</v>
      </c>
      <c r="B1518" t="s">
        <v>1334</v>
      </c>
      <c r="C1518" t="s">
        <v>1059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J1518">
        <v>100</v>
      </c>
      <c r="K1518">
        <v>100</v>
      </c>
      <c r="L1518" s="39">
        <f t="shared" si="117"/>
        <v>1</v>
      </c>
      <c r="M1518" s="39">
        <f t="shared" si="115"/>
        <v>1</v>
      </c>
      <c r="P1518">
        <v>0</v>
      </c>
      <c r="Q1518">
        <v>0</v>
      </c>
      <c r="R1518" t="s">
        <v>3122</v>
      </c>
    </row>
    <row r="1519" spans="1:18" x14ac:dyDescent="0.3">
      <c r="A1519">
        <v>474</v>
      </c>
      <c r="B1519" t="s">
        <v>1334</v>
      </c>
      <c r="C1519" t="s">
        <v>1059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100</v>
      </c>
      <c r="K1519">
        <v>100</v>
      </c>
      <c r="L1519" s="39">
        <f t="shared" si="117"/>
        <v>1</v>
      </c>
      <c r="M1519" s="39">
        <f t="shared" si="115"/>
        <v>1</v>
      </c>
      <c r="P1519">
        <v>0</v>
      </c>
      <c r="Q1519">
        <v>0</v>
      </c>
      <c r="R1519" t="s">
        <v>1335</v>
      </c>
    </row>
    <row r="1520" spans="1:18" x14ac:dyDescent="0.3">
      <c r="A1520">
        <v>474</v>
      </c>
      <c r="B1520" t="s">
        <v>1334</v>
      </c>
      <c r="C1520" t="s">
        <v>1059</v>
      </c>
      <c r="D1520" t="s">
        <v>21</v>
      </c>
      <c r="E1520" t="s">
        <v>22</v>
      </c>
      <c r="F1520" s="79">
        <v>45838</v>
      </c>
      <c r="G1520">
        <v>2025</v>
      </c>
      <c r="H1520" t="s">
        <v>699</v>
      </c>
      <c r="I1520" t="s">
        <v>700</v>
      </c>
      <c r="K1520">
        <v>0</v>
      </c>
      <c r="L1520" s="39"/>
      <c r="M1520" s="39"/>
      <c r="N1520" t="s">
        <v>128</v>
      </c>
      <c r="O1520" t="s">
        <v>128</v>
      </c>
      <c r="P1520">
        <v>0</v>
      </c>
      <c r="Q1520">
        <v>0</v>
      </c>
      <c r="R1520" t="s">
        <v>3123</v>
      </c>
    </row>
    <row r="1521" spans="1:18" x14ac:dyDescent="0.3">
      <c r="A1521">
        <v>475</v>
      </c>
      <c r="B1521" t="s">
        <v>1337</v>
      </c>
      <c r="C1521" t="s">
        <v>819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L1521" s="39"/>
      <c r="M1521" s="39"/>
      <c r="P1521">
        <v>0</v>
      </c>
      <c r="Q1521">
        <v>0</v>
      </c>
      <c r="R1521" t="s">
        <v>3124</v>
      </c>
    </row>
    <row r="1522" spans="1:18" x14ac:dyDescent="0.3">
      <c r="A1522">
        <v>475</v>
      </c>
      <c r="B1522" t="s">
        <v>1337</v>
      </c>
      <c r="C1522" t="s">
        <v>819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140</v>
      </c>
      <c r="L1522" s="39">
        <f t="shared" ref="L1522:L1529" si="118">IFERROR(IF(OR(J1522=0,K1522=""),"",IF(E1522="Positivo",MIN(MAX(K1522/J1522,0),1.3),MIN(MAX(J1522/K1522,0),1.3))),"")</f>
        <v>1.3</v>
      </c>
      <c r="M1522" s="39">
        <f t="shared" ref="M1522:M1529" si="119">IFERROR(IF(OR(J1522=0,K1522=""),"",IF(E1522="Positivo",MAX(K1522/J1522,0),MAX(J1522/K1522,0))),"")</f>
        <v>1.4</v>
      </c>
      <c r="P1522">
        <v>0</v>
      </c>
      <c r="Q1522">
        <v>0</v>
      </c>
      <c r="R1522" t="s">
        <v>1338</v>
      </c>
    </row>
    <row r="1523" spans="1:18" x14ac:dyDescent="0.3">
      <c r="A1523">
        <v>475</v>
      </c>
      <c r="B1523" t="s">
        <v>1337</v>
      </c>
      <c r="C1523" t="s">
        <v>819</v>
      </c>
      <c r="D1523" t="s">
        <v>21</v>
      </c>
      <c r="E1523" t="s">
        <v>22</v>
      </c>
      <c r="F1523" s="79">
        <v>46022</v>
      </c>
      <c r="G1523">
        <v>2025</v>
      </c>
      <c r="H1523" t="s">
        <v>23</v>
      </c>
      <c r="I1523" t="s">
        <v>32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1339</v>
      </c>
    </row>
    <row r="1524" spans="1:18" x14ac:dyDescent="0.3">
      <c r="A1524">
        <v>476</v>
      </c>
      <c r="B1524" t="s">
        <v>1340</v>
      </c>
      <c r="C1524" t="s">
        <v>549</v>
      </c>
      <c r="D1524" t="s">
        <v>27</v>
      </c>
      <c r="E1524" t="s">
        <v>22</v>
      </c>
      <c r="F1524" s="79">
        <v>45473</v>
      </c>
      <c r="G1524">
        <v>2024</v>
      </c>
      <c r="H1524" t="s">
        <v>699</v>
      </c>
      <c r="I1524" t="s">
        <v>729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3126</v>
      </c>
    </row>
    <row r="1525" spans="1:18" x14ac:dyDescent="0.3">
      <c r="A1525">
        <v>476</v>
      </c>
      <c r="B1525" t="s">
        <v>1340</v>
      </c>
      <c r="C1525" t="s">
        <v>549</v>
      </c>
      <c r="D1525" t="s">
        <v>27</v>
      </c>
      <c r="E1525" t="s">
        <v>22</v>
      </c>
      <c r="F1525" s="79">
        <v>45657</v>
      </c>
      <c r="G1525">
        <v>2024</v>
      </c>
      <c r="H1525" t="s">
        <v>23</v>
      </c>
      <c r="I1525" t="s">
        <v>30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1341</v>
      </c>
    </row>
    <row r="1526" spans="1:18" x14ac:dyDescent="0.3">
      <c r="A1526">
        <v>476</v>
      </c>
      <c r="B1526" t="s">
        <v>1340</v>
      </c>
      <c r="C1526" t="s">
        <v>549</v>
      </c>
      <c r="D1526" t="s">
        <v>27</v>
      </c>
      <c r="E1526" t="s">
        <v>22</v>
      </c>
      <c r="F1526" s="79">
        <v>45838</v>
      </c>
      <c r="G1526">
        <v>2025</v>
      </c>
      <c r="H1526" t="s">
        <v>699</v>
      </c>
      <c r="I1526" t="s">
        <v>700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N1526" t="s">
        <v>128</v>
      </c>
      <c r="O1526" t="s">
        <v>128</v>
      </c>
      <c r="P1526">
        <v>0</v>
      </c>
      <c r="Q1526">
        <v>0</v>
      </c>
      <c r="R1526" t="s">
        <v>3127</v>
      </c>
    </row>
    <row r="1527" spans="1:18" x14ac:dyDescent="0.3">
      <c r="A1527">
        <v>476</v>
      </c>
      <c r="B1527" t="s">
        <v>1340</v>
      </c>
      <c r="C1527" t="s">
        <v>549</v>
      </c>
      <c r="D1527" t="s">
        <v>21</v>
      </c>
      <c r="E1527" t="s">
        <v>22</v>
      </c>
      <c r="F1527" s="79">
        <v>46022</v>
      </c>
      <c r="G1527">
        <v>2025</v>
      </c>
      <c r="H1527" t="s">
        <v>23</v>
      </c>
      <c r="I1527" t="s">
        <v>32</v>
      </c>
      <c r="J1527">
        <v>100</v>
      </c>
      <c r="K1527">
        <v>100</v>
      </c>
      <c r="L1527" s="39">
        <f t="shared" si="118"/>
        <v>1</v>
      </c>
      <c r="M1527" s="39">
        <f t="shared" si="119"/>
        <v>1</v>
      </c>
      <c r="N1527" t="s">
        <v>128</v>
      </c>
      <c r="O1527" t="s">
        <v>128</v>
      </c>
      <c r="P1527">
        <v>0</v>
      </c>
      <c r="Q1527">
        <v>0</v>
      </c>
      <c r="R1527" t="s">
        <v>1342</v>
      </c>
    </row>
    <row r="1528" spans="1:18" x14ac:dyDescent="0.3">
      <c r="A1528">
        <v>477</v>
      </c>
      <c r="B1528" t="s">
        <v>1343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 t="shared" si="118"/>
        <v>1</v>
      </c>
      <c r="M1528" s="39">
        <f t="shared" si="119"/>
        <v>1</v>
      </c>
      <c r="P1528">
        <v>0</v>
      </c>
      <c r="Q1528">
        <v>0</v>
      </c>
      <c r="R1528" t="s">
        <v>3128</v>
      </c>
    </row>
    <row r="1529" spans="1:18" x14ac:dyDescent="0.3">
      <c r="A1529">
        <v>477</v>
      </c>
      <c r="B1529" t="s">
        <v>1343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 t="shared" si="118"/>
        <v>1</v>
      </c>
      <c r="M1529" s="39">
        <f t="shared" si="119"/>
        <v>1</v>
      </c>
      <c r="P1529">
        <v>0</v>
      </c>
      <c r="Q1529">
        <v>0</v>
      </c>
      <c r="R1529" t="s">
        <v>1344</v>
      </c>
    </row>
    <row r="1530" spans="1:18" x14ac:dyDescent="0.3">
      <c r="A1530">
        <v>478</v>
      </c>
      <c r="B1530" t="s">
        <v>1345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L1530" s="39"/>
      <c r="M1530" s="39"/>
      <c r="N1530" t="s">
        <v>128</v>
      </c>
      <c r="O1530" t="s">
        <v>1949</v>
      </c>
      <c r="P1530">
        <v>0</v>
      </c>
      <c r="Q1530">
        <v>0</v>
      </c>
      <c r="R1530" t="s">
        <v>3130</v>
      </c>
    </row>
    <row r="1531" spans="1:18" x14ac:dyDescent="0.3">
      <c r="A1531">
        <v>478</v>
      </c>
      <c r="B1531" t="s">
        <v>1345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1346</v>
      </c>
    </row>
    <row r="1532" spans="1:18" x14ac:dyDescent="0.3">
      <c r="A1532">
        <v>478</v>
      </c>
      <c r="B1532" t="s">
        <v>1345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3131</v>
      </c>
    </row>
    <row r="1533" spans="1:18" x14ac:dyDescent="0.3">
      <c r="A1533">
        <v>479</v>
      </c>
      <c r="B1533" t="s">
        <v>1348</v>
      </c>
      <c r="C1533" t="s">
        <v>1059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3132</v>
      </c>
    </row>
    <row r="1534" spans="1:18" x14ac:dyDescent="0.3">
      <c r="A1534">
        <v>479</v>
      </c>
      <c r="B1534" t="s">
        <v>1348</v>
      </c>
      <c r="C1534" t="s">
        <v>1059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1349</v>
      </c>
    </row>
    <row r="1535" spans="1:18" x14ac:dyDescent="0.3">
      <c r="A1535">
        <v>480</v>
      </c>
      <c r="B1535" t="s">
        <v>1350</v>
      </c>
      <c r="C1535" t="s">
        <v>1059</v>
      </c>
      <c r="D1535" t="s">
        <v>27</v>
      </c>
      <c r="E1535" t="s">
        <v>22</v>
      </c>
      <c r="F1535" s="79">
        <v>45473</v>
      </c>
      <c r="G1535">
        <v>2024</v>
      </c>
      <c r="H1535" t="s">
        <v>699</v>
      </c>
      <c r="I1535" t="s">
        <v>729</v>
      </c>
      <c r="J1535">
        <v>100</v>
      </c>
      <c r="K1535">
        <v>100</v>
      </c>
      <c r="L1535" s="39">
        <f>IFERROR(IF(OR(J1535=0,K1535=""),"",IF(E1535="Positivo",MIN(MAX(K1535/J1535,0),1.3),MIN(MAX(J1535/K1535,0),1.3))),"")</f>
        <v>1</v>
      </c>
      <c r="M1535" s="39">
        <f>IFERROR(IF(OR(J1535=0,K1535=""),"",IF(E1535="Positivo",MAX(K1535/J1535,0),MAX(J1535/K1535,0))),"")</f>
        <v>1</v>
      </c>
      <c r="P1535">
        <v>0</v>
      </c>
      <c r="Q1535">
        <v>0</v>
      </c>
      <c r="R1535" t="s">
        <v>3134</v>
      </c>
    </row>
    <row r="1536" spans="1:18" x14ac:dyDescent="0.3">
      <c r="A1536">
        <v>480</v>
      </c>
      <c r="B1536" t="s">
        <v>1350</v>
      </c>
      <c r="C1536" t="s">
        <v>1059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>IFERROR(IF(OR(J1536=0,K1536=""),"",IF(E1536="Positivo",MAX(K1536/J1536,0),MAX(J1536/K1536,0))),"")</f>
        <v>1</v>
      </c>
      <c r="P1536">
        <v>0</v>
      </c>
      <c r="Q1536">
        <v>0</v>
      </c>
      <c r="R1536" t="s">
        <v>1351</v>
      </c>
    </row>
    <row r="1537" spans="1:18" x14ac:dyDescent="0.3">
      <c r="A1537">
        <v>481</v>
      </c>
      <c r="B1537" t="s">
        <v>1352</v>
      </c>
      <c r="C1537" t="s">
        <v>549</v>
      </c>
      <c r="D1537" t="s">
        <v>27</v>
      </c>
      <c r="E1537" t="s">
        <v>22</v>
      </c>
      <c r="F1537" s="79">
        <v>45473</v>
      </c>
      <c r="G1537">
        <v>2024</v>
      </c>
      <c r="H1537" t="s">
        <v>699</v>
      </c>
      <c r="I1537" t="s">
        <v>729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>IFERROR(IF(OR(J1537=0,K1537=""),"",IF(E1537="Positivo",MAX(K1537/J1537,0),MAX(J1537/K1537,0))),"")</f>
        <v>1</v>
      </c>
      <c r="P1537">
        <v>0</v>
      </c>
      <c r="Q1537">
        <v>0</v>
      </c>
      <c r="R1537" t="s">
        <v>3136</v>
      </c>
    </row>
    <row r="1538" spans="1:18" x14ac:dyDescent="0.3">
      <c r="A1538">
        <v>481</v>
      </c>
      <c r="B1538" t="s">
        <v>1352</v>
      </c>
      <c r="C1538" t="s">
        <v>549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L1538" s="39"/>
      <c r="M1538" s="39"/>
      <c r="N1538" t="s">
        <v>128</v>
      </c>
      <c r="O1538" t="s">
        <v>1949</v>
      </c>
      <c r="P1538">
        <v>0</v>
      </c>
      <c r="Q1538">
        <v>0</v>
      </c>
      <c r="R1538" t="s">
        <v>1353</v>
      </c>
    </row>
    <row r="1539" spans="1:18" x14ac:dyDescent="0.3">
      <c r="A1539">
        <v>481</v>
      </c>
      <c r="B1539" t="s">
        <v>1352</v>
      </c>
      <c r="C1539" t="s">
        <v>549</v>
      </c>
      <c r="D1539" t="s">
        <v>21</v>
      </c>
      <c r="E1539" t="s">
        <v>22</v>
      </c>
      <c r="F1539" s="79">
        <v>45838</v>
      </c>
      <c r="G1539">
        <v>2025</v>
      </c>
      <c r="H1539" t="s">
        <v>699</v>
      </c>
      <c r="I1539" t="s">
        <v>700</v>
      </c>
      <c r="J1539">
        <v>100</v>
      </c>
      <c r="K1539">
        <v>100</v>
      </c>
      <c r="L1539" s="39">
        <f t="shared" ref="L1539:L1544" si="120">IFERROR(IF(OR(J1539=0,K1539=""),"",IF(E1539="Positivo",MIN(MAX(K1539/J1539,0),1.3),MIN(MAX(J1539/K1539,0),1.3))),"")</f>
        <v>1</v>
      </c>
      <c r="M1539" s="39">
        <f t="shared" ref="M1539:M1544" si="121">IFERROR(IF(OR(J1539=0,K1539=""),"",IF(E1539="Positivo",MAX(K1539/J1539,0),MAX(J1539/K1539,0))),"")</f>
        <v>1</v>
      </c>
      <c r="N1539" t="s">
        <v>25</v>
      </c>
      <c r="O1539" t="s">
        <v>25</v>
      </c>
      <c r="P1539">
        <v>0</v>
      </c>
      <c r="Q1539">
        <v>0</v>
      </c>
      <c r="R1539" t="s">
        <v>3137</v>
      </c>
    </row>
    <row r="1540" spans="1:18" x14ac:dyDescent="0.3">
      <c r="A1540">
        <v>483</v>
      </c>
      <c r="B1540" t="s">
        <v>1355</v>
      </c>
      <c r="C1540" t="s">
        <v>1066</v>
      </c>
      <c r="D1540" t="s">
        <v>71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</v>
      </c>
      <c r="K1540">
        <v>91.65</v>
      </c>
      <c r="L1540" s="39">
        <f t="shared" si="120"/>
        <v>1.3</v>
      </c>
      <c r="M1540" s="39">
        <f t="shared" si="121"/>
        <v>9.1650000000000009</v>
      </c>
      <c r="P1540">
        <v>0</v>
      </c>
      <c r="Q1540">
        <v>0</v>
      </c>
      <c r="R1540" t="s">
        <v>1356</v>
      </c>
    </row>
    <row r="1541" spans="1:18" x14ac:dyDescent="0.3">
      <c r="A1541">
        <v>484</v>
      </c>
      <c r="B1541" t="s">
        <v>1357</v>
      </c>
      <c r="C1541" t="s">
        <v>70</v>
      </c>
      <c r="D1541" t="s">
        <v>21</v>
      </c>
      <c r="E1541" t="s">
        <v>22</v>
      </c>
      <c r="F1541" s="79">
        <v>45473</v>
      </c>
      <c r="G1541">
        <v>2024</v>
      </c>
      <c r="H1541" t="s">
        <v>699</v>
      </c>
      <c r="I1541" t="s">
        <v>729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P1541">
        <v>0</v>
      </c>
      <c r="Q1541">
        <v>0</v>
      </c>
      <c r="R1541" t="s">
        <v>3138</v>
      </c>
    </row>
    <row r="1542" spans="1:18" x14ac:dyDescent="0.3">
      <c r="A1542">
        <v>484</v>
      </c>
      <c r="B1542" t="s">
        <v>1357</v>
      </c>
      <c r="C1542" t="s">
        <v>70</v>
      </c>
      <c r="D1542" t="s">
        <v>21</v>
      </c>
      <c r="E1542" t="s">
        <v>22</v>
      </c>
      <c r="F1542" s="79">
        <v>45657</v>
      </c>
      <c r="G1542">
        <v>2024</v>
      </c>
      <c r="H1542" t="s">
        <v>23</v>
      </c>
      <c r="I1542" t="s">
        <v>30</v>
      </c>
      <c r="J1542">
        <v>90</v>
      </c>
      <c r="K1542">
        <v>100</v>
      </c>
      <c r="L1542" s="39">
        <f t="shared" si="120"/>
        <v>1.1111111111111112</v>
      </c>
      <c r="M1542" s="39">
        <f t="shared" si="121"/>
        <v>1.1111111111111112</v>
      </c>
      <c r="P1542">
        <v>0</v>
      </c>
      <c r="Q1542">
        <v>0</v>
      </c>
      <c r="R1542" t="s">
        <v>1358</v>
      </c>
    </row>
    <row r="1543" spans="1:18" x14ac:dyDescent="0.3">
      <c r="A1543">
        <v>484</v>
      </c>
      <c r="B1543" t="s">
        <v>1357</v>
      </c>
      <c r="C1543" t="s">
        <v>70</v>
      </c>
      <c r="D1543" t="s">
        <v>21</v>
      </c>
      <c r="E1543" t="s">
        <v>22</v>
      </c>
      <c r="F1543" s="79">
        <v>45838</v>
      </c>
      <c r="G1543">
        <v>2025</v>
      </c>
      <c r="H1543" t="s">
        <v>699</v>
      </c>
      <c r="I1543" t="s">
        <v>700</v>
      </c>
      <c r="J1543">
        <v>90</v>
      </c>
      <c r="K1543">
        <v>100</v>
      </c>
      <c r="L1543" s="39">
        <f t="shared" si="120"/>
        <v>1.1111111111111112</v>
      </c>
      <c r="M1543" s="39">
        <f t="shared" si="121"/>
        <v>1.1111111111111112</v>
      </c>
      <c r="N1543" t="s">
        <v>25</v>
      </c>
      <c r="O1543" t="s">
        <v>25</v>
      </c>
      <c r="P1543">
        <v>0</v>
      </c>
      <c r="Q1543">
        <v>0</v>
      </c>
      <c r="R1543" t="s">
        <v>3141</v>
      </c>
    </row>
    <row r="1544" spans="1:18" x14ac:dyDescent="0.3">
      <c r="A1544">
        <v>484</v>
      </c>
      <c r="B1544" t="s">
        <v>1357</v>
      </c>
      <c r="C1544" t="s">
        <v>70</v>
      </c>
      <c r="D1544" t="s">
        <v>27</v>
      </c>
      <c r="E1544" t="s">
        <v>22</v>
      </c>
      <c r="F1544" s="79">
        <v>46022</v>
      </c>
      <c r="G1544">
        <v>2025</v>
      </c>
      <c r="H1544" t="s">
        <v>23</v>
      </c>
      <c r="I1544" t="s">
        <v>32</v>
      </c>
      <c r="J1544">
        <v>90</v>
      </c>
      <c r="K1544">
        <v>100</v>
      </c>
      <c r="L1544" s="39">
        <f t="shared" si="120"/>
        <v>1.1111111111111112</v>
      </c>
      <c r="M1544" s="39">
        <f t="shared" si="121"/>
        <v>1.1111111111111112</v>
      </c>
      <c r="N1544" t="s">
        <v>25</v>
      </c>
      <c r="O1544" t="s">
        <v>25</v>
      </c>
      <c r="P1544">
        <v>0</v>
      </c>
      <c r="Q1544">
        <v>0</v>
      </c>
      <c r="R1544" t="s">
        <v>1359</v>
      </c>
    </row>
    <row r="1545" spans="1:18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L1545" s="39"/>
      <c r="M1545" s="39"/>
      <c r="P1545">
        <v>0</v>
      </c>
      <c r="Q1545">
        <v>0</v>
      </c>
      <c r="R1545" t="s">
        <v>3148</v>
      </c>
    </row>
    <row r="1546" spans="1:18" x14ac:dyDescent="0.3">
      <c r="A1546">
        <v>485</v>
      </c>
      <c r="B1546" t="s">
        <v>1360</v>
      </c>
      <c r="C1546" t="s">
        <v>198</v>
      </c>
      <c r="D1546" t="s">
        <v>54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80</v>
      </c>
      <c r="K1546">
        <v>91.666666666666657</v>
      </c>
      <c r="L1546" s="39">
        <f>IFERROR(IF(OR(J1546=0,K1546=""),"",IF(E1546="Positivo",MIN(MAX(K1546/J1546,0),1.3),MIN(MAX(J1546/K1546,0),1.3))),"")</f>
        <v>1.1458333333333333</v>
      </c>
      <c r="M1546" s="39">
        <f>IFERROR(IF(OR(J1546=0,K1546=""),"",IF(E1546="Positivo",MAX(K1546/J1546,0),MAX(J1546/K1546,0))),"")</f>
        <v>1.1458333333333333</v>
      </c>
      <c r="P1546">
        <v>0</v>
      </c>
      <c r="Q1546">
        <v>0</v>
      </c>
      <c r="R1546" t="s">
        <v>1361</v>
      </c>
    </row>
    <row r="1547" spans="1:18" x14ac:dyDescent="0.3">
      <c r="A1547">
        <v>485</v>
      </c>
      <c r="B1547" t="s">
        <v>1360</v>
      </c>
      <c r="C1547" t="s">
        <v>198</v>
      </c>
      <c r="D1547" t="s">
        <v>54</v>
      </c>
      <c r="E1547" t="s">
        <v>22</v>
      </c>
      <c r="F1547" s="79">
        <v>45838</v>
      </c>
      <c r="G1547">
        <v>2025</v>
      </c>
      <c r="H1547" t="s">
        <v>699</v>
      </c>
      <c r="I1547" t="s">
        <v>700</v>
      </c>
      <c r="J1547">
        <v>80</v>
      </c>
      <c r="K1547">
        <v>86.111666666666665</v>
      </c>
      <c r="L1547" s="39">
        <f>IFERROR(IF(OR(J1547=0,K1547=""),"",IF(E1547="Positivo",MIN(MAX(K1547/J1547,0),1.3),MIN(MAX(J1547/K1547,0),1.3))),"")</f>
        <v>1.0763958333333332</v>
      </c>
      <c r="M1547" s="39">
        <f>IFERROR(IF(OR(J1547=0,K1547=""),"",IF(E1547="Positivo",MAX(K1547/J1547,0),MAX(J1547/K1547,0))),"")</f>
        <v>1.0763958333333332</v>
      </c>
      <c r="N1547" t="s">
        <v>25</v>
      </c>
      <c r="O1547" t="s">
        <v>25</v>
      </c>
      <c r="P1547">
        <v>0</v>
      </c>
      <c r="Q1547">
        <v>0</v>
      </c>
      <c r="R1547" t="s">
        <v>3158</v>
      </c>
    </row>
    <row r="1548" spans="1:18" x14ac:dyDescent="0.3">
      <c r="A1548">
        <v>485</v>
      </c>
      <c r="B1548" t="s">
        <v>1360</v>
      </c>
      <c r="C1548" t="s">
        <v>198</v>
      </c>
      <c r="D1548" t="s">
        <v>54</v>
      </c>
      <c r="E1548" t="s">
        <v>22</v>
      </c>
      <c r="F1548" s="79">
        <v>46022</v>
      </c>
      <c r="G1548">
        <v>2025</v>
      </c>
      <c r="H1548" t="s">
        <v>23</v>
      </c>
      <c r="I1548" t="s">
        <v>32</v>
      </c>
      <c r="J1548">
        <v>80</v>
      </c>
      <c r="K1548">
        <v>72.975999999999999</v>
      </c>
      <c r="L1548" s="39">
        <f>IFERROR(IF(OR(J1548=0,K1548=""),"",IF(E1548="Positivo",MIN(MAX(K1548/J1548,0),1.3),MIN(MAX(J1548/K1548,0),1.3))),"")</f>
        <v>0.91220000000000001</v>
      </c>
      <c r="M1548" s="39">
        <f>IFERROR(IF(OR(J1548=0,K1548=""),"",IF(E1548="Positivo",MAX(K1548/J1548,0),MAX(J1548/K1548,0))),"")</f>
        <v>0.91220000000000001</v>
      </c>
      <c r="N1548" t="s">
        <v>25</v>
      </c>
      <c r="O1548" t="s">
        <v>25</v>
      </c>
      <c r="P1548">
        <v>0</v>
      </c>
      <c r="Q1548">
        <v>0</v>
      </c>
      <c r="R1548" t="s">
        <v>1362</v>
      </c>
    </row>
    <row r="1549" spans="1:18" x14ac:dyDescent="0.3">
      <c r="A1549">
        <v>486</v>
      </c>
      <c r="B1549" t="s">
        <v>1363</v>
      </c>
      <c r="C1549" t="s">
        <v>149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0</v>
      </c>
      <c r="K1549">
        <v>4900000</v>
      </c>
      <c r="L1549" s="39" t="str">
        <f>IFERROR(IF(OR(J1549=0,K1549=""),"",IF(E1549="Positivo",MIN(MAX(K1549/J1549,0),1.3),MIN(MAX(J1549/K1549,0),1.3))),"")</f>
        <v/>
      </c>
      <c r="M1549" s="39" t="str">
        <f>IFERROR(IF(OR(J1549=0,K1549=""),"",IF(E1549="Positivo",MAX(K1549/J1549,0),MAX(J1549/K1549,0))),"")</f>
        <v/>
      </c>
      <c r="P1549">
        <v>0</v>
      </c>
      <c r="Q1549">
        <v>0</v>
      </c>
      <c r="R1549" t="s">
        <v>3164</v>
      </c>
    </row>
    <row r="1550" spans="1:18" x14ac:dyDescent="0.3">
      <c r="A1550">
        <v>486</v>
      </c>
      <c r="B1550" t="s">
        <v>1363</v>
      </c>
      <c r="C1550" t="s">
        <v>149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0</v>
      </c>
      <c r="K1550">
        <v>2700000</v>
      </c>
      <c r="L1550" s="39" t="str">
        <f>IFERROR(IF(OR(J1550=0,K1550=""),"",IF(E1550="Positivo",MIN(MAX(K1550/J1550,0),1.3),MIN(MAX(J1550/K1550,0),1.3))),"")</f>
        <v/>
      </c>
      <c r="M1550" s="39" t="str">
        <f>IFERROR(IF(OR(J1550=0,K1550=""),"",IF(E1550="Positivo",MAX(K1550/J1550,0),MAX(J1550/K1550,0))),"")</f>
        <v/>
      </c>
      <c r="P1550">
        <v>0</v>
      </c>
      <c r="Q1550">
        <v>0</v>
      </c>
      <c r="R1550" t="s">
        <v>1364</v>
      </c>
    </row>
    <row r="1551" spans="1:18" x14ac:dyDescent="0.3">
      <c r="A1551">
        <v>486</v>
      </c>
      <c r="B1551" t="s">
        <v>1363</v>
      </c>
      <c r="C1551" t="s">
        <v>149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K1551">
        <v>2890610</v>
      </c>
      <c r="L1551" s="39"/>
      <c r="M1551" s="39"/>
      <c r="N1551" t="s">
        <v>25</v>
      </c>
      <c r="O1551" t="s">
        <v>25</v>
      </c>
      <c r="P1551">
        <v>0</v>
      </c>
      <c r="Q1551">
        <v>0</v>
      </c>
      <c r="R1551" t="s">
        <v>3165</v>
      </c>
    </row>
    <row r="1552" spans="1:18" x14ac:dyDescent="0.3">
      <c r="A1552">
        <v>486</v>
      </c>
      <c r="B1552" t="s">
        <v>1363</v>
      </c>
      <c r="C1552" t="s">
        <v>149</v>
      </c>
      <c r="D1552" t="s">
        <v>21</v>
      </c>
      <c r="E1552" t="s">
        <v>22</v>
      </c>
      <c r="F1552" s="79">
        <v>46022</v>
      </c>
      <c r="G1552">
        <v>2025</v>
      </c>
      <c r="H1552" t="s">
        <v>23</v>
      </c>
      <c r="I1552" t="s">
        <v>32</v>
      </c>
      <c r="K1552">
        <v>2703941</v>
      </c>
      <c r="L1552" s="39"/>
      <c r="M1552" s="39"/>
      <c r="N1552" t="s">
        <v>25</v>
      </c>
      <c r="O1552" t="s">
        <v>25</v>
      </c>
      <c r="P1552">
        <v>0</v>
      </c>
      <c r="Q1552">
        <v>0</v>
      </c>
      <c r="R1552" t="s">
        <v>1365</v>
      </c>
    </row>
    <row r="1553" spans="1:18" x14ac:dyDescent="0.3">
      <c r="A1553">
        <v>487</v>
      </c>
      <c r="B1553" t="s">
        <v>1366</v>
      </c>
      <c r="C1553" t="s">
        <v>619</v>
      </c>
      <c r="D1553" t="s">
        <v>71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20</v>
      </c>
      <c r="K1553">
        <v>6.06</v>
      </c>
      <c r="L1553" s="39">
        <f>IFERROR(IF(OR(J1553=0,K1553=""),"",IF(E1553="Positivo",MIN(MAX(K1553/J1553,0),1.3),MIN(MAX(J1553/K1553,0),1.3))),"")</f>
        <v>0.30299999999999999</v>
      </c>
      <c r="M1553" s="39">
        <f>IFERROR(IF(OR(J1553=0,K1553=""),"",IF(E1553="Positivo",MAX(K1553/J1553,0),MAX(J1553/K1553,0))),"")</f>
        <v>0.30299999999999999</v>
      </c>
      <c r="P1553">
        <v>0</v>
      </c>
      <c r="Q1553">
        <v>0</v>
      </c>
      <c r="R1553" t="s">
        <v>1367</v>
      </c>
    </row>
    <row r="1554" spans="1:18" x14ac:dyDescent="0.3">
      <c r="A1554">
        <v>487</v>
      </c>
      <c r="B1554" t="s">
        <v>3166</v>
      </c>
      <c r="C1554" t="s">
        <v>619</v>
      </c>
      <c r="D1554" t="s">
        <v>71</v>
      </c>
      <c r="E1554" t="s">
        <v>22</v>
      </c>
      <c r="F1554" s="79">
        <v>46022</v>
      </c>
      <c r="G1554">
        <v>2025</v>
      </c>
      <c r="H1554" t="s">
        <v>23</v>
      </c>
      <c r="I1554" t="s">
        <v>32</v>
      </c>
      <c r="J1554">
        <v>20</v>
      </c>
      <c r="K1554">
        <v>58.86</v>
      </c>
      <c r="L1554" s="39">
        <f>IFERROR(IF(OR(J1554=0,K1554=""),"",IF(E1554="Positivo",MIN(MAX(K1554/J1554,0),1.3),MIN(MAX(J1554/K1554,0),1.3))),"")</f>
        <v>1.3</v>
      </c>
      <c r="M1554" s="39">
        <f>IFERROR(IF(OR(J1554=0,K1554=""),"",IF(E1554="Positivo",MAX(K1554/J1554,0),MAX(J1554/K1554,0))),"")</f>
        <v>2.9430000000000001</v>
      </c>
      <c r="N1554" t="s">
        <v>25</v>
      </c>
      <c r="O1554" t="s">
        <v>25</v>
      </c>
      <c r="P1554">
        <v>0</v>
      </c>
      <c r="Q1554">
        <v>0</v>
      </c>
      <c r="R1554" t="s">
        <v>1368</v>
      </c>
    </row>
    <row r="1555" spans="1:18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L1555" s="39"/>
      <c r="M1555" s="39"/>
      <c r="P1555">
        <v>0</v>
      </c>
      <c r="Q1555">
        <v>0</v>
      </c>
      <c r="R1555" t="s">
        <v>3172</v>
      </c>
    </row>
    <row r="1556" spans="1:18" x14ac:dyDescent="0.3">
      <c r="A1556">
        <v>488</v>
      </c>
      <c r="B1556" t="s">
        <v>1369</v>
      </c>
      <c r="C1556" t="s">
        <v>198</v>
      </c>
      <c r="D1556" t="s">
        <v>54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85</v>
      </c>
      <c r="K1556">
        <v>92.961288460795018</v>
      </c>
      <c r="L1556" s="39">
        <f>IFERROR(IF(OR(J1556=0,K1556=""),"",IF(E1556="Positivo",MIN(MAX(K1556/J1556,0),1.3),MIN(MAX(J1556/K1556,0),1.3))),"")</f>
        <v>1.0936622171858237</v>
      </c>
      <c r="M1556" s="39">
        <f>IFERROR(IF(OR(J1556=0,K1556=""),"",IF(E1556="Positivo",MAX(K1556/J1556,0),MAX(J1556/K1556,0))),"")</f>
        <v>1.0936622171858237</v>
      </c>
      <c r="P1556">
        <v>0</v>
      </c>
      <c r="Q1556">
        <v>0</v>
      </c>
      <c r="R1556" t="s">
        <v>1370</v>
      </c>
    </row>
    <row r="1557" spans="1:18" x14ac:dyDescent="0.3">
      <c r="A1557">
        <v>488</v>
      </c>
      <c r="B1557" t="s">
        <v>1369</v>
      </c>
      <c r="C1557" t="s">
        <v>198</v>
      </c>
      <c r="D1557" t="s">
        <v>54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85</v>
      </c>
      <c r="K1557">
        <v>72.086932568149209</v>
      </c>
      <c r="L1557" s="39">
        <f>IFERROR(IF(OR(J1557=0,K1557=""),"",IF(E1557="Positivo",MIN(MAX(K1557/J1557,0),1.3),MIN(MAX(J1557/K1557,0),1.3))),"")</f>
        <v>0.84808155962528475</v>
      </c>
      <c r="M1557" s="39">
        <f>IFERROR(IF(OR(J1557=0,K1557=""),"",IF(E1557="Positivo",MAX(K1557/J1557,0),MAX(J1557/K1557,0))),"")</f>
        <v>0.84808155962528475</v>
      </c>
      <c r="N1557" t="s">
        <v>25</v>
      </c>
      <c r="O1557" t="s">
        <v>25</v>
      </c>
      <c r="P1557">
        <v>0</v>
      </c>
      <c r="Q1557">
        <v>0</v>
      </c>
      <c r="R1557" t="s">
        <v>3183</v>
      </c>
    </row>
    <row r="1558" spans="1:18" x14ac:dyDescent="0.3">
      <c r="A1558">
        <v>488</v>
      </c>
      <c r="B1558" t="s">
        <v>1369</v>
      </c>
      <c r="C1558" t="s">
        <v>198</v>
      </c>
      <c r="D1558" t="s">
        <v>54</v>
      </c>
      <c r="E1558" t="s">
        <v>22</v>
      </c>
      <c r="F1558" s="79">
        <v>46022</v>
      </c>
      <c r="G1558">
        <v>2025</v>
      </c>
      <c r="H1558" t="s">
        <v>23</v>
      </c>
      <c r="I1558" t="s">
        <v>32</v>
      </c>
      <c r="J1558">
        <v>85</v>
      </c>
      <c r="K1558">
        <v>81.461666666666659</v>
      </c>
      <c r="L1558" s="39">
        <f>IFERROR(IF(OR(J1558=0,K1558=""),"",IF(E1558="Positivo",MIN(MAX(K1558/J1558,0),1.3),MIN(MAX(J1558/K1558,0),1.3))),"")</f>
        <v>0.95837254901960778</v>
      </c>
      <c r="M1558" s="39">
        <f>IFERROR(IF(OR(J1558=0,K1558=""),"",IF(E1558="Positivo",MAX(K1558/J1558,0),MAX(J1558/K1558,0))),"")</f>
        <v>0.95837254901960778</v>
      </c>
      <c r="N1558" t="s">
        <v>25</v>
      </c>
      <c r="O1558" t="s">
        <v>25</v>
      </c>
      <c r="P1558">
        <v>0</v>
      </c>
      <c r="Q1558">
        <v>0</v>
      </c>
      <c r="R1558" t="s">
        <v>1371</v>
      </c>
    </row>
    <row r="1559" spans="1:18" x14ac:dyDescent="0.3">
      <c r="A1559">
        <v>489</v>
      </c>
      <c r="B1559" t="s">
        <v>1373</v>
      </c>
      <c r="C1559" t="s">
        <v>198</v>
      </c>
      <c r="D1559" t="s">
        <v>54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L1559" s="39"/>
      <c r="M1559" s="39"/>
      <c r="P1559">
        <v>0</v>
      </c>
      <c r="Q1559">
        <v>0</v>
      </c>
      <c r="R1559" t="s">
        <v>3267</v>
      </c>
    </row>
    <row r="1560" spans="1:18" x14ac:dyDescent="0.3">
      <c r="A1560">
        <v>489</v>
      </c>
      <c r="B1560" t="s">
        <v>1373</v>
      </c>
      <c r="C1560" t="s">
        <v>198</v>
      </c>
      <c r="D1560" t="s">
        <v>54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100</v>
      </c>
      <c r="L1560" s="39">
        <f t="shared" ref="L1560:L1601" si="122">IFERROR(IF(OR(J1560=0,K1560=""),"",IF(E1560="Positivo",MIN(MAX(K1560/J1560,0),1.3),MIN(MAX(J1560/K1560,0),1.3))),"")</f>
        <v>1.25</v>
      </c>
      <c r="M1560" s="39">
        <f t="shared" ref="M1560:M1601" si="123">IFERROR(IF(OR(J1560=0,K1560=""),"",IF(E1560="Positivo",MAX(K1560/J1560,0),MAX(J1560/K1560,0))),"")</f>
        <v>1.25</v>
      </c>
      <c r="P1560">
        <v>0</v>
      </c>
      <c r="Q1560">
        <v>0</v>
      </c>
      <c r="R1560" t="s">
        <v>1374</v>
      </c>
    </row>
    <row r="1561" spans="1:18" x14ac:dyDescent="0.3">
      <c r="A1561">
        <v>490</v>
      </c>
      <c r="B1561" t="s">
        <v>1375</v>
      </c>
      <c r="C1561" t="s">
        <v>567</v>
      </c>
      <c r="D1561" t="s">
        <v>71</v>
      </c>
      <c r="E1561" t="s">
        <v>22</v>
      </c>
      <c r="F1561" s="79">
        <v>45657</v>
      </c>
      <c r="G1561">
        <v>2024</v>
      </c>
      <c r="H1561" t="s">
        <v>23</v>
      </c>
      <c r="I1561" t="s">
        <v>30</v>
      </c>
      <c r="J1561">
        <v>80</v>
      </c>
      <c r="K1561">
        <v>88</v>
      </c>
      <c r="L1561" s="39">
        <f t="shared" si="122"/>
        <v>1.1000000000000001</v>
      </c>
      <c r="M1561" s="39">
        <f t="shared" si="123"/>
        <v>1.1000000000000001</v>
      </c>
      <c r="P1561">
        <v>0</v>
      </c>
      <c r="Q1561">
        <v>0</v>
      </c>
      <c r="R1561" t="s">
        <v>1376</v>
      </c>
    </row>
    <row r="1562" spans="1:18" x14ac:dyDescent="0.3">
      <c r="A1562">
        <v>490</v>
      </c>
      <c r="B1562" t="s">
        <v>1375</v>
      </c>
      <c r="C1562" t="s">
        <v>567</v>
      </c>
      <c r="D1562" t="s">
        <v>71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80</v>
      </c>
      <c r="K1562">
        <v>100</v>
      </c>
      <c r="L1562" s="39">
        <f t="shared" si="122"/>
        <v>1.25</v>
      </c>
      <c r="M1562" s="39">
        <f t="shared" si="123"/>
        <v>1.25</v>
      </c>
      <c r="N1562" t="s">
        <v>25</v>
      </c>
      <c r="O1562" t="s">
        <v>25</v>
      </c>
      <c r="P1562">
        <v>0</v>
      </c>
      <c r="Q1562">
        <v>0</v>
      </c>
      <c r="R1562" t="s">
        <v>1377</v>
      </c>
    </row>
    <row r="1563" spans="1:18" x14ac:dyDescent="0.3">
      <c r="A1563">
        <v>491</v>
      </c>
      <c r="B1563" t="s">
        <v>1378</v>
      </c>
      <c r="C1563" t="s">
        <v>511</v>
      </c>
      <c r="D1563" t="s">
        <v>71</v>
      </c>
      <c r="E1563" t="s">
        <v>22</v>
      </c>
      <c r="F1563" s="79">
        <v>45657</v>
      </c>
      <c r="G1563">
        <v>2024</v>
      </c>
      <c r="H1563" t="s">
        <v>23</v>
      </c>
      <c r="I1563" t="s">
        <v>30</v>
      </c>
      <c r="J1563">
        <v>80</v>
      </c>
      <c r="K1563">
        <v>88</v>
      </c>
      <c r="L1563" s="39">
        <f t="shared" si="122"/>
        <v>1.1000000000000001</v>
      </c>
      <c r="M1563" s="39">
        <f t="shared" si="123"/>
        <v>1.1000000000000001</v>
      </c>
      <c r="P1563">
        <v>0</v>
      </c>
      <c r="Q1563">
        <v>0</v>
      </c>
      <c r="R1563" t="s">
        <v>1379</v>
      </c>
    </row>
    <row r="1564" spans="1:18" x14ac:dyDescent="0.3">
      <c r="A1564">
        <v>491</v>
      </c>
      <c r="B1564" t="s">
        <v>1378</v>
      </c>
      <c r="C1564" t="s">
        <v>511</v>
      </c>
      <c r="D1564" t="s">
        <v>71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J1564">
        <v>80</v>
      </c>
      <c r="K1564">
        <v>100</v>
      </c>
      <c r="L1564" s="39">
        <f t="shared" si="122"/>
        <v>1.25</v>
      </c>
      <c r="M1564" s="39">
        <f t="shared" si="123"/>
        <v>1.25</v>
      </c>
      <c r="N1564" t="s">
        <v>25</v>
      </c>
      <c r="O1564" t="s">
        <v>25</v>
      </c>
      <c r="P1564">
        <v>0</v>
      </c>
      <c r="Q1564">
        <v>0</v>
      </c>
      <c r="R1564" t="s">
        <v>1380</v>
      </c>
    </row>
    <row r="1565" spans="1:18" x14ac:dyDescent="0.3">
      <c r="A1565">
        <v>492</v>
      </c>
      <c r="B1565" t="s">
        <v>1381</v>
      </c>
      <c r="C1565" t="s">
        <v>554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80</v>
      </c>
      <c r="K1565">
        <v>83</v>
      </c>
      <c r="L1565" s="39">
        <f t="shared" si="122"/>
        <v>1.0375000000000001</v>
      </c>
      <c r="M1565" s="39">
        <f t="shared" si="123"/>
        <v>1.0375000000000001</v>
      </c>
      <c r="P1565">
        <v>0</v>
      </c>
      <c r="Q1565">
        <v>0</v>
      </c>
      <c r="R1565" t="s">
        <v>1382</v>
      </c>
    </row>
    <row r="1566" spans="1:18" x14ac:dyDescent="0.3">
      <c r="A1566">
        <v>492</v>
      </c>
      <c r="B1566" t="s">
        <v>1381</v>
      </c>
      <c r="C1566" t="s">
        <v>554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95</v>
      </c>
      <c r="L1566" s="39">
        <f t="shared" si="122"/>
        <v>1.1875</v>
      </c>
      <c r="M1566" s="39">
        <f t="shared" si="123"/>
        <v>1.1875</v>
      </c>
      <c r="N1566" t="s">
        <v>25</v>
      </c>
      <c r="O1566" t="s">
        <v>25</v>
      </c>
      <c r="P1566">
        <v>0</v>
      </c>
      <c r="Q1566">
        <v>0</v>
      </c>
      <c r="R1566" t="s">
        <v>1383</v>
      </c>
    </row>
    <row r="1567" spans="1:18" x14ac:dyDescent="0.3">
      <c r="A1567">
        <v>493</v>
      </c>
      <c r="B1567" t="s">
        <v>1384</v>
      </c>
      <c r="C1567" t="s">
        <v>595</v>
      </c>
      <c r="D1567" t="s">
        <v>71</v>
      </c>
      <c r="E1567" t="s">
        <v>22</v>
      </c>
      <c r="F1567" s="79">
        <v>45657</v>
      </c>
      <c r="G1567">
        <v>2024</v>
      </c>
      <c r="H1567" t="s">
        <v>23</v>
      </c>
      <c r="I1567" t="s">
        <v>30</v>
      </c>
      <c r="J1567">
        <v>80</v>
      </c>
      <c r="K1567">
        <v>81</v>
      </c>
      <c r="L1567" s="39">
        <f t="shared" si="122"/>
        <v>1.0125</v>
      </c>
      <c r="M1567" s="39">
        <f t="shared" si="123"/>
        <v>1.0125</v>
      </c>
      <c r="P1567">
        <v>0</v>
      </c>
      <c r="Q1567">
        <v>0</v>
      </c>
      <c r="R1567" t="s">
        <v>1385</v>
      </c>
    </row>
    <row r="1568" spans="1:18" x14ac:dyDescent="0.3">
      <c r="A1568">
        <v>493</v>
      </c>
      <c r="B1568" t="s">
        <v>1384</v>
      </c>
      <c r="C1568" t="s">
        <v>595</v>
      </c>
      <c r="D1568" t="s">
        <v>71</v>
      </c>
      <c r="E1568" t="s">
        <v>22</v>
      </c>
      <c r="F1568" s="79">
        <v>46022</v>
      </c>
      <c r="G1568">
        <v>2025</v>
      </c>
      <c r="H1568" t="s">
        <v>23</v>
      </c>
      <c r="I1568" t="s">
        <v>32</v>
      </c>
      <c r="J1568">
        <v>80</v>
      </c>
      <c r="K1568">
        <v>77</v>
      </c>
      <c r="L1568" s="39">
        <f t="shared" si="122"/>
        <v>0.96250000000000002</v>
      </c>
      <c r="M1568" s="39">
        <f t="shared" si="123"/>
        <v>0.96250000000000002</v>
      </c>
      <c r="N1568" t="s">
        <v>25</v>
      </c>
      <c r="O1568" t="s">
        <v>25</v>
      </c>
      <c r="P1568">
        <v>0</v>
      </c>
      <c r="Q1568">
        <v>0</v>
      </c>
      <c r="R1568" t="s">
        <v>1386</v>
      </c>
    </row>
    <row r="1569" spans="1:19" x14ac:dyDescent="0.3">
      <c r="A1569">
        <v>494</v>
      </c>
      <c r="B1569" t="s">
        <v>1387</v>
      </c>
      <c r="C1569" t="s">
        <v>739</v>
      </c>
      <c r="D1569" t="s">
        <v>71</v>
      </c>
      <c r="E1569" t="s">
        <v>22</v>
      </c>
      <c r="F1569" s="79">
        <v>45657</v>
      </c>
      <c r="G1569">
        <v>2024</v>
      </c>
      <c r="H1569" t="s">
        <v>23</v>
      </c>
      <c r="I1569" t="s">
        <v>30</v>
      </c>
      <c r="J1569">
        <v>80</v>
      </c>
      <c r="K1569">
        <v>89</v>
      </c>
      <c r="L1569" s="39">
        <f t="shared" si="122"/>
        <v>1.1125</v>
      </c>
      <c r="M1569" s="39">
        <f t="shared" si="123"/>
        <v>1.1125</v>
      </c>
      <c r="P1569">
        <v>0</v>
      </c>
      <c r="Q1569">
        <v>0</v>
      </c>
      <c r="R1569" t="s">
        <v>1388</v>
      </c>
    </row>
    <row r="1570" spans="1:19" x14ac:dyDescent="0.3">
      <c r="A1570">
        <v>494</v>
      </c>
      <c r="B1570" t="s">
        <v>1387</v>
      </c>
      <c r="C1570" t="s">
        <v>739</v>
      </c>
      <c r="D1570" t="s">
        <v>71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80</v>
      </c>
      <c r="K1570">
        <v>93</v>
      </c>
      <c r="L1570" s="39">
        <f t="shared" si="122"/>
        <v>1.1625000000000001</v>
      </c>
      <c r="M1570" s="39">
        <f t="shared" si="123"/>
        <v>1.1625000000000001</v>
      </c>
      <c r="N1570" t="s">
        <v>25</v>
      </c>
      <c r="O1570" t="s">
        <v>25</v>
      </c>
      <c r="P1570">
        <v>0</v>
      </c>
      <c r="Q1570">
        <v>0</v>
      </c>
      <c r="R1570" t="s">
        <v>1389</v>
      </c>
    </row>
    <row r="1571" spans="1:19" x14ac:dyDescent="0.3">
      <c r="A1571">
        <v>495</v>
      </c>
      <c r="B1571" t="s">
        <v>1390</v>
      </c>
      <c r="C1571" t="s">
        <v>901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1391</v>
      </c>
    </row>
    <row r="1572" spans="1:19" x14ac:dyDescent="0.3">
      <c r="A1572">
        <v>495</v>
      </c>
      <c r="B1572" t="s">
        <v>1390</v>
      </c>
      <c r="C1572" t="s">
        <v>901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63</v>
      </c>
      <c r="L1572" s="39">
        <f t="shared" si="122"/>
        <v>0.78749999999999998</v>
      </c>
      <c r="M1572" s="39">
        <f t="shared" si="123"/>
        <v>0.78749999999999998</v>
      </c>
      <c r="N1572" t="s">
        <v>25</v>
      </c>
      <c r="O1572" t="s">
        <v>25</v>
      </c>
      <c r="P1572">
        <v>0</v>
      </c>
      <c r="Q1572">
        <v>0</v>
      </c>
      <c r="R1572" t="s">
        <v>1392</v>
      </c>
    </row>
    <row r="1573" spans="1:19" x14ac:dyDescent="0.3">
      <c r="A1573">
        <v>496</v>
      </c>
      <c r="B1573" t="s">
        <v>1393</v>
      </c>
      <c r="C1573" t="s">
        <v>159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1394</v>
      </c>
    </row>
    <row r="1574" spans="1:19" x14ac:dyDescent="0.3">
      <c r="A1574">
        <v>496</v>
      </c>
      <c r="B1574" t="s">
        <v>1393</v>
      </c>
      <c r="C1574" t="s">
        <v>159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1395</v>
      </c>
    </row>
    <row r="1575" spans="1:19" x14ac:dyDescent="0.3">
      <c r="A1575">
        <v>497</v>
      </c>
      <c r="B1575" t="s">
        <v>1396</v>
      </c>
      <c r="C1575" t="s">
        <v>927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83</v>
      </c>
      <c r="L1575" s="39">
        <f t="shared" si="122"/>
        <v>1.0375000000000001</v>
      </c>
      <c r="M1575" s="39">
        <f t="shared" si="123"/>
        <v>1.0375000000000001</v>
      </c>
      <c r="P1575">
        <v>0</v>
      </c>
      <c r="Q1575">
        <v>0</v>
      </c>
      <c r="R1575" t="s">
        <v>1397</v>
      </c>
    </row>
    <row r="1576" spans="1:19" x14ac:dyDescent="0.3">
      <c r="A1576">
        <v>498</v>
      </c>
      <c r="B1576" t="s">
        <v>1398</v>
      </c>
      <c r="C1576" t="s">
        <v>619</v>
      </c>
      <c r="D1576" t="s">
        <v>71</v>
      </c>
      <c r="E1576" t="s">
        <v>22</v>
      </c>
      <c r="F1576" s="79">
        <v>45657</v>
      </c>
      <c r="G1576">
        <v>2024</v>
      </c>
      <c r="H1576" t="s">
        <v>23</v>
      </c>
      <c r="I1576" t="s">
        <v>30</v>
      </c>
      <c r="J1576">
        <v>80</v>
      </c>
      <c r="K1576">
        <v>92</v>
      </c>
      <c r="L1576" s="39">
        <f t="shared" si="122"/>
        <v>1.1499999999999999</v>
      </c>
      <c r="M1576" s="39">
        <f t="shared" si="123"/>
        <v>1.1499999999999999</v>
      </c>
      <c r="P1576">
        <v>0</v>
      </c>
      <c r="Q1576">
        <v>0</v>
      </c>
      <c r="R1576" t="s">
        <v>1399</v>
      </c>
    </row>
    <row r="1577" spans="1:19" x14ac:dyDescent="0.3">
      <c r="A1577">
        <v>498</v>
      </c>
      <c r="B1577" t="s">
        <v>1398</v>
      </c>
      <c r="C1577" t="s">
        <v>619</v>
      </c>
      <c r="D1577" t="s">
        <v>71</v>
      </c>
      <c r="E1577" t="s">
        <v>22</v>
      </c>
      <c r="F1577" s="79">
        <v>46022</v>
      </c>
      <c r="G1577">
        <v>2025</v>
      </c>
      <c r="H1577" t="s">
        <v>23</v>
      </c>
      <c r="I1577" t="s">
        <v>32</v>
      </c>
      <c r="J1577">
        <v>80</v>
      </c>
      <c r="K1577">
        <v>95</v>
      </c>
      <c r="L1577" s="39">
        <f t="shared" si="122"/>
        <v>1.1875</v>
      </c>
      <c r="M1577" s="39">
        <f t="shared" si="123"/>
        <v>1.1875</v>
      </c>
      <c r="N1577" t="s">
        <v>25</v>
      </c>
      <c r="O1577" t="s">
        <v>25</v>
      </c>
      <c r="P1577">
        <v>0</v>
      </c>
      <c r="Q1577">
        <v>0</v>
      </c>
      <c r="R1577" t="s">
        <v>1400</v>
      </c>
    </row>
    <row r="1578" spans="1:19" x14ac:dyDescent="0.3">
      <c r="A1578">
        <v>499</v>
      </c>
      <c r="B1578" t="s">
        <v>1401</v>
      </c>
      <c r="C1578" t="s">
        <v>922</v>
      </c>
      <c r="D1578" t="s">
        <v>71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80</v>
      </c>
      <c r="K1578">
        <v>87</v>
      </c>
      <c r="L1578" s="39">
        <f t="shared" si="122"/>
        <v>1.0874999999999999</v>
      </c>
      <c r="M1578" s="39">
        <f t="shared" si="123"/>
        <v>1.0874999999999999</v>
      </c>
      <c r="P1578">
        <v>0</v>
      </c>
      <c r="Q1578">
        <v>0</v>
      </c>
      <c r="R1578" t="s">
        <v>1402</v>
      </c>
    </row>
    <row r="1579" spans="1:19" x14ac:dyDescent="0.3">
      <c r="A1579">
        <v>499</v>
      </c>
      <c r="B1579" t="s">
        <v>1401</v>
      </c>
      <c r="C1579" t="s">
        <v>922</v>
      </c>
      <c r="D1579" t="s">
        <v>71</v>
      </c>
      <c r="E1579" t="s">
        <v>22</v>
      </c>
      <c r="F1579" s="79">
        <v>46022</v>
      </c>
      <c r="G1579">
        <v>2025</v>
      </c>
      <c r="H1579" t="s">
        <v>23</v>
      </c>
      <c r="I1579" t="s">
        <v>32</v>
      </c>
      <c r="L1579" s="39" t="str">
        <f t="shared" si="122"/>
        <v/>
      </c>
      <c r="M1579" s="39" t="str">
        <f t="shared" si="123"/>
        <v/>
      </c>
      <c r="N1579" t="s">
        <v>25</v>
      </c>
      <c r="O1579" t="s">
        <v>25</v>
      </c>
      <c r="P1579">
        <v>0</v>
      </c>
      <c r="Q1579">
        <v>0</v>
      </c>
      <c r="R1579" t="s">
        <v>1403</v>
      </c>
      <c r="S1579" t="s">
        <v>302</v>
      </c>
    </row>
    <row r="1580" spans="1:19" x14ac:dyDescent="0.3">
      <c r="A1580">
        <v>500</v>
      </c>
      <c r="B1580" t="s">
        <v>1404</v>
      </c>
      <c r="C1580" t="s">
        <v>753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89</v>
      </c>
      <c r="L1580" s="39">
        <f t="shared" si="122"/>
        <v>1.1125</v>
      </c>
      <c r="M1580" s="39">
        <f t="shared" si="123"/>
        <v>1.1125</v>
      </c>
      <c r="P1580">
        <v>0</v>
      </c>
      <c r="Q1580">
        <v>0</v>
      </c>
      <c r="R1580" t="s">
        <v>1405</v>
      </c>
    </row>
    <row r="1581" spans="1:19" x14ac:dyDescent="0.3">
      <c r="A1581">
        <v>500</v>
      </c>
      <c r="B1581" t="s">
        <v>1404</v>
      </c>
      <c r="C1581" t="s">
        <v>753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22"/>
        <v>1.25</v>
      </c>
      <c r="M1581" s="39">
        <f t="shared" si="123"/>
        <v>1.25</v>
      </c>
      <c r="N1581" t="s">
        <v>25</v>
      </c>
      <c r="O1581" t="s">
        <v>25</v>
      </c>
      <c r="P1581">
        <v>0</v>
      </c>
      <c r="Q1581">
        <v>0</v>
      </c>
      <c r="R1581" t="s">
        <v>1406</v>
      </c>
    </row>
    <row r="1582" spans="1:19" x14ac:dyDescent="0.3">
      <c r="A1582">
        <v>501</v>
      </c>
      <c r="B1582" t="s">
        <v>1407</v>
      </c>
      <c r="C1582" t="s">
        <v>549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22"/>
        <v>1.1000000000000001</v>
      </c>
      <c r="M1582" s="39">
        <f t="shared" si="123"/>
        <v>1.1000000000000001</v>
      </c>
      <c r="P1582">
        <v>0</v>
      </c>
      <c r="Q1582">
        <v>0</v>
      </c>
      <c r="R1582" t="s">
        <v>1408</v>
      </c>
    </row>
    <row r="1583" spans="1:19" x14ac:dyDescent="0.3">
      <c r="A1583">
        <v>501</v>
      </c>
      <c r="B1583" t="s">
        <v>1407</v>
      </c>
      <c r="C1583" t="s">
        <v>549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22"/>
        <v>1.25</v>
      </c>
      <c r="M1583" s="39">
        <f t="shared" si="123"/>
        <v>1.25</v>
      </c>
      <c r="N1583" t="s">
        <v>25</v>
      </c>
      <c r="O1583" t="s">
        <v>25</v>
      </c>
      <c r="P1583">
        <v>0</v>
      </c>
      <c r="Q1583">
        <v>0</v>
      </c>
      <c r="R1583" t="s">
        <v>1409</v>
      </c>
    </row>
    <row r="1584" spans="1:19" x14ac:dyDescent="0.3">
      <c r="A1584">
        <v>502</v>
      </c>
      <c r="B1584" t="s">
        <v>1410</v>
      </c>
      <c r="C1584" t="s">
        <v>274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90</v>
      </c>
      <c r="L1584" s="39">
        <f t="shared" si="122"/>
        <v>1.125</v>
      </c>
      <c r="M1584" s="39">
        <f t="shared" si="123"/>
        <v>1.125</v>
      </c>
      <c r="P1584">
        <v>0</v>
      </c>
      <c r="Q1584">
        <v>0</v>
      </c>
      <c r="R1584" t="s">
        <v>1411</v>
      </c>
    </row>
    <row r="1585" spans="1:18" x14ac:dyDescent="0.3">
      <c r="A1585">
        <v>502</v>
      </c>
      <c r="B1585" t="s">
        <v>1410</v>
      </c>
      <c r="C1585" t="s">
        <v>274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97</v>
      </c>
      <c r="L1585" s="39">
        <f t="shared" si="122"/>
        <v>1.2124999999999999</v>
      </c>
      <c r="M1585" s="39">
        <f t="shared" si="123"/>
        <v>1.2124999999999999</v>
      </c>
      <c r="N1585" t="s">
        <v>25</v>
      </c>
      <c r="O1585" t="s">
        <v>25</v>
      </c>
      <c r="P1585">
        <v>0</v>
      </c>
      <c r="Q1585">
        <v>0</v>
      </c>
      <c r="R1585" t="s">
        <v>1412</v>
      </c>
    </row>
    <row r="1586" spans="1:18" x14ac:dyDescent="0.3">
      <c r="A1586">
        <v>503</v>
      </c>
      <c r="B1586" t="s">
        <v>1413</v>
      </c>
      <c r="C1586" t="s">
        <v>1059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P1586">
        <v>0</v>
      </c>
      <c r="Q1586">
        <v>0</v>
      </c>
      <c r="R1586" t="s">
        <v>1414</v>
      </c>
    </row>
    <row r="1587" spans="1:18" x14ac:dyDescent="0.3">
      <c r="A1587">
        <v>503</v>
      </c>
      <c r="B1587" t="s">
        <v>1413</v>
      </c>
      <c r="C1587" t="s">
        <v>1059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94</v>
      </c>
      <c r="L1587" s="39">
        <f t="shared" si="122"/>
        <v>1.175</v>
      </c>
      <c r="M1587" s="39">
        <f t="shared" si="123"/>
        <v>1.175</v>
      </c>
      <c r="N1587" t="s">
        <v>25</v>
      </c>
      <c r="O1587" t="s">
        <v>25</v>
      </c>
      <c r="P1587">
        <v>0</v>
      </c>
      <c r="Q1587">
        <v>0</v>
      </c>
      <c r="R1587" t="s">
        <v>1415</v>
      </c>
    </row>
    <row r="1588" spans="1:18" x14ac:dyDescent="0.3">
      <c r="A1588">
        <v>504</v>
      </c>
      <c r="B1588" t="s">
        <v>1416</v>
      </c>
      <c r="C1588" t="s">
        <v>1110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88</v>
      </c>
      <c r="L1588" s="39">
        <f t="shared" si="122"/>
        <v>1.1000000000000001</v>
      </c>
      <c r="M1588" s="39">
        <f t="shared" si="123"/>
        <v>1.1000000000000001</v>
      </c>
      <c r="P1588">
        <v>0</v>
      </c>
      <c r="Q1588">
        <v>0</v>
      </c>
      <c r="R1588" t="s">
        <v>1417</v>
      </c>
    </row>
    <row r="1589" spans="1:18" x14ac:dyDescent="0.3">
      <c r="A1589">
        <v>504</v>
      </c>
      <c r="B1589" t="s">
        <v>1416</v>
      </c>
      <c r="C1589" t="s">
        <v>1110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88</v>
      </c>
      <c r="L1589" s="39">
        <f t="shared" si="122"/>
        <v>1.1000000000000001</v>
      </c>
      <c r="M1589" s="39">
        <f t="shared" si="123"/>
        <v>1.1000000000000001</v>
      </c>
      <c r="N1589" t="s">
        <v>25</v>
      </c>
      <c r="O1589" t="s">
        <v>25</v>
      </c>
      <c r="P1589">
        <v>0</v>
      </c>
      <c r="Q1589">
        <v>0</v>
      </c>
      <c r="R1589" t="s">
        <v>1418</v>
      </c>
    </row>
    <row r="1590" spans="1:18" x14ac:dyDescent="0.3">
      <c r="A1590">
        <v>505</v>
      </c>
      <c r="B1590" t="s">
        <v>1419</v>
      </c>
      <c r="C1590" t="s">
        <v>1183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85</v>
      </c>
      <c r="L1590" s="39">
        <f t="shared" si="122"/>
        <v>1.0625</v>
      </c>
      <c r="M1590" s="39">
        <f t="shared" si="123"/>
        <v>1.0625</v>
      </c>
      <c r="P1590">
        <v>0</v>
      </c>
      <c r="Q1590">
        <v>0</v>
      </c>
      <c r="R1590" t="s">
        <v>1420</v>
      </c>
    </row>
    <row r="1591" spans="1:18" x14ac:dyDescent="0.3">
      <c r="A1591">
        <v>505</v>
      </c>
      <c r="B1591" t="s">
        <v>1419</v>
      </c>
      <c r="C1591" t="s">
        <v>1183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86</v>
      </c>
      <c r="L1591" s="39">
        <f t="shared" si="122"/>
        <v>1.075</v>
      </c>
      <c r="M1591" s="39">
        <f t="shared" si="123"/>
        <v>1.075</v>
      </c>
      <c r="N1591" t="s">
        <v>25</v>
      </c>
      <c r="O1591" t="s">
        <v>25</v>
      </c>
      <c r="P1591">
        <v>0</v>
      </c>
      <c r="Q1591">
        <v>0</v>
      </c>
      <c r="R1591" t="s">
        <v>1421</v>
      </c>
    </row>
    <row r="1592" spans="1:18" x14ac:dyDescent="0.3">
      <c r="A1592">
        <v>506</v>
      </c>
      <c r="B1592" t="s">
        <v>1422</v>
      </c>
      <c r="C1592" t="s">
        <v>941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67</v>
      </c>
      <c r="L1592" s="39">
        <f t="shared" si="122"/>
        <v>0.83750000000000002</v>
      </c>
      <c r="M1592" s="39">
        <f t="shared" si="123"/>
        <v>0.83750000000000002</v>
      </c>
      <c r="P1592">
        <v>0</v>
      </c>
      <c r="Q1592">
        <v>0</v>
      </c>
      <c r="R1592" t="s">
        <v>1423</v>
      </c>
    </row>
    <row r="1593" spans="1:18" x14ac:dyDescent="0.3">
      <c r="A1593">
        <v>506</v>
      </c>
      <c r="B1593" t="s">
        <v>1422</v>
      </c>
      <c r="C1593" t="s">
        <v>941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95</v>
      </c>
      <c r="L1593" s="39">
        <f t="shared" si="122"/>
        <v>1.1875</v>
      </c>
      <c r="M1593" s="39">
        <f t="shared" si="123"/>
        <v>1.1875</v>
      </c>
      <c r="N1593" t="s">
        <v>25</v>
      </c>
      <c r="O1593" t="s">
        <v>25</v>
      </c>
      <c r="P1593">
        <v>0</v>
      </c>
      <c r="Q1593">
        <v>0</v>
      </c>
      <c r="R1593" t="s">
        <v>3191</v>
      </c>
    </row>
    <row r="1594" spans="1:18" x14ac:dyDescent="0.3">
      <c r="A1594">
        <v>506</v>
      </c>
      <c r="B1594" t="s">
        <v>1422</v>
      </c>
      <c r="C1594" t="s">
        <v>941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92.5</v>
      </c>
      <c r="L1594" s="39">
        <f t="shared" si="122"/>
        <v>1.15625</v>
      </c>
      <c r="M1594" s="39">
        <f t="shared" si="123"/>
        <v>1.15625</v>
      </c>
      <c r="N1594" t="s">
        <v>25</v>
      </c>
      <c r="O1594" t="s">
        <v>25</v>
      </c>
      <c r="P1594">
        <v>0</v>
      </c>
      <c r="Q1594">
        <v>0</v>
      </c>
      <c r="R1594" t="s">
        <v>1424</v>
      </c>
    </row>
    <row r="1595" spans="1:18" x14ac:dyDescent="0.3">
      <c r="A1595">
        <v>507</v>
      </c>
      <c r="B1595" t="s">
        <v>1425</v>
      </c>
      <c r="C1595" t="s">
        <v>711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77</v>
      </c>
      <c r="L1595" s="39">
        <f t="shared" si="122"/>
        <v>0.96250000000000002</v>
      </c>
      <c r="M1595" s="39">
        <f t="shared" si="123"/>
        <v>0.96250000000000002</v>
      </c>
      <c r="P1595">
        <v>0</v>
      </c>
      <c r="Q1595">
        <v>0</v>
      </c>
      <c r="R1595" t="s">
        <v>1426</v>
      </c>
    </row>
    <row r="1596" spans="1:18" x14ac:dyDescent="0.3">
      <c r="A1596">
        <v>507</v>
      </c>
      <c r="B1596" t="s">
        <v>1425</v>
      </c>
      <c r="C1596" t="s">
        <v>711</v>
      </c>
      <c r="D1596" t="s">
        <v>21</v>
      </c>
      <c r="E1596" t="s">
        <v>22</v>
      </c>
      <c r="F1596" s="79">
        <v>45838</v>
      </c>
      <c r="G1596">
        <v>2025</v>
      </c>
      <c r="H1596" t="s">
        <v>699</v>
      </c>
      <c r="I1596" t="s">
        <v>700</v>
      </c>
      <c r="J1596">
        <v>80</v>
      </c>
      <c r="K1596">
        <v>98.75</v>
      </c>
      <c r="L1596" s="39">
        <f t="shared" si="122"/>
        <v>1.234375</v>
      </c>
      <c r="M1596" s="39">
        <f t="shared" si="123"/>
        <v>1.234375</v>
      </c>
      <c r="N1596" t="s">
        <v>25</v>
      </c>
      <c r="O1596" t="s">
        <v>25</v>
      </c>
      <c r="P1596">
        <v>0</v>
      </c>
      <c r="Q1596">
        <v>0</v>
      </c>
      <c r="R1596" t="s">
        <v>3192</v>
      </c>
    </row>
    <row r="1597" spans="1:18" x14ac:dyDescent="0.3">
      <c r="A1597">
        <v>507</v>
      </c>
      <c r="B1597" t="s">
        <v>1425</v>
      </c>
      <c r="C1597" t="s">
        <v>711</v>
      </c>
      <c r="D1597" t="s">
        <v>21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99</v>
      </c>
      <c r="L1597" s="39">
        <f t="shared" si="122"/>
        <v>1.2375</v>
      </c>
      <c r="M1597" s="39">
        <f t="shared" si="123"/>
        <v>1.2375</v>
      </c>
      <c r="N1597" t="s">
        <v>25</v>
      </c>
      <c r="O1597" t="s">
        <v>25</v>
      </c>
      <c r="P1597">
        <v>0</v>
      </c>
      <c r="Q1597">
        <v>0</v>
      </c>
      <c r="R1597" t="s">
        <v>1427</v>
      </c>
    </row>
    <row r="1598" spans="1:18" x14ac:dyDescent="0.3">
      <c r="A1598">
        <v>508</v>
      </c>
      <c r="B1598" t="s">
        <v>1428</v>
      </c>
      <c r="C1598" t="s">
        <v>1089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88</v>
      </c>
      <c r="L1598" s="39">
        <f t="shared" si="122"/>
        <v>1.1000000000000001</v>
      </c>
      <c r="M1598" s="39">
        <f t="shared" si="123"/>
        <v>1.1000000000000001</v>
      </c>
      <c r="P1598">
        <v>0</v>
      </c>
      <c r="Q1598">
        <v>0</v>
      </c>
      <c r="R1598" t="s">
        <v>1429</v>
      </c>
    </row>
    <row r="1599" spans="1:18" x14ac:dyDescent="0.3">
      <c r="A1599">
        <v>508</v>
      </c>
      <c r="B1599" t="s">
        <v>1428</v>
      </c>
      <c r="C1599" t="s">
        <v>1089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89</v>
      </c>
      <c r="L1599" s="39">
        <f t="shared" si="122"/>
        <v>1.1125</v>
      </c>
      <c r="M1599" s="39">
        <f t="shared" si="123"/>
        <v>1.1125</v>
      </c>
      <c r="N1599" t="s">
        <v>25</v>
      </c>
      <c r="O1599" t="s">
        <v>25</v>
      </c>
      <c r="P1599">
        <v>0</v>
      </c>
      <c r="Q1599">
        <v>0</v>
      </c>
      <c r="R1599" t="s">
        <v>1430</v>
      </c>
    </row>
    <row r="1600" spans="1:18" x14ac:dyDescent="0.3">
      <c r="A1600">
        <v>509</v>
      </c>
      <c r="B1600" t="s">
        <v>1431</v>
      </c>
      <c r="C1600" t="s">
        <v>511</v>
      </c>
      <c r="D1600" t="s">
        <v>54</v>
      </c>
      <c r="E1600" t="s">
        <v>22</v>
      </c>
      <c r="F1600" s="79">
        <v>45838</v>
      </c>
      <c r="G1600">
        <v>2025</v>
      </c>
      <c r="H1600" t="s">
        <v>699</v>
      </c>
      <c r="I1600" t="s">
        <v>700</v>
      </c>
      <c r="J1600">
        <v>90</v>
      </c>
      <c r="K1600">
        <v>100.59</v>
      </c>
      <c r="L1600" s="39">
        <f t="shared" si="122"/>
        <v>1.1176666666666668</v>
      </c>
      <c r="M1600" s="39">
        <f t="shared" si="123"/>
        <v>1.1176666666666668</v>
      </c>
      <c r="N1600" t="s">
        <v>25</v>
      </c>
      <c r="O1600" t="s">
        <v>25</v>
      </c>
      <c r="P1600">
        <v>0</v>
      </c>
      <c r="Q1600">
        <v>0</v>
      </c>
      <c r="R1600" t="s">
        <v>3198</v>
      </c>
    </row>
    <row r="1601" spans="1:18" x14ac:dyDescent="0.3">
      <c r="A1601">
        <v>509</v>
      </c>
      <c r="B1601" t="s">
        <v>1431</v>
      </c>
      <c r="C1601" t="s">
        <v>511</v>
      </c>
      <c r="D1601" t="s">
        <v>54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90</v>
      </c>
      <c r="K1601">
        <v>97.33</v>
      </c>
      <c r="L1601" s="39">
        <f t="shared" si="122"/>
        <v>1.0814444444444444</v>
      </c>
      <c r="M1601" s="39">
        <f t="shared" si="123"/>
        <v>1.0814444444444444</v>
      </c>
      <c r="N1601" t="s">
        <v>25</v>
      </c>
      <c r="O1601" t="s">
        <v>25</v>
      </c>
      <c r="P1601">
        <v>0</v>
      </c>
      <c r="Q1601">
        <v>0</v>
      </c>
      <c r="R1601" t="s">
        <v>1432</v>
      </c>
    </row>
    <row r="1602" spans="1:18" x14ac:dyDescent="0.3">
      <c r="A1602">
        <v>510</v>
      </c>
      <c r="B1602" t="s">
        <v>1433</v>
      </c>
      <c r="C1602" t="s">
        <v>732</v>
      </c>
      <c r="D1602" t="s">
        <v>27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K1602">
        <v>0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3205</v>
      </c>
    </row>
    <row r="1603" spans="1:18" x14ac:dyDescent="0.3">
      <c r="A1603">
        <v>510</v>
      </c>
      <c r="B1603" t="s">
        <v>1433</v>
      </c>
      <c r="C1603" t="s">
        <v>732</v>
      </c>
      <c r="D1603" t="s">
        <v>27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K1603">
        <v>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1434</v>
      </c>
    </row>
    <row r="1604" spans="1:18" x14ac:dyDescent="0.3">
      <c r="A1604">
        <v>511</v>
      </c>
      <c r="B1604" t="s">
        <v>1435</v>
      </c>
      <c r="C1604" t="s">
        <v>732</v>
      </c>
      <c r="D1604" t="s">
        <v>27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K1604">
        <v>86.36</v>
      </c>
      <c r="L1604" s="39"/>
      <c r="M1604" s="39"/>
      <c r="N1604" t="s">
        <v>355</v>
      </c>
      <c r="O1604" t="s">
        <v>25</v>
      </c>
      <c r="P1604">
        <v>0</v>
      </c>
      <c r="Q1604">
        <v>0</v>
      </c>
      <c r="R1604" t="s">
        <v>3208</v>
      </c>
    </row>
    <row r="1605" spans="1:18" x14ac:dyDescent="0.3">
      <c r="A1605">
        <v>511</v>
      </c>
      <c r="B1605" t="s">
        <v>1435</v>
      </c>
      <c r="C1605" t="s">
        <v>732</v>
      </c>
      <c r="D1605" t="s">
        <v>27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171.12</v>
      </c>
      <c r="L1605" s="39"/>
      <c r="M1605" s="39"/>
      <c r="N1605" t="s">
        <v>355</v>
      </c>
      <c r="O1605" t="s">
        <v>25</v>
      </c>
      <c r="P1605">
        <v>0</v>
      </c>
      <c r="Q1605">
        <v>0</v>
      </c>
      <c r="R1605" t="s">
        <v>1436</v>
      </c>
    </row>
    <row r="1606" spans="1:18" x14ac:dyDescent="0.3">
      <c r="A1606">
        <v>513</v>
      </c>
      <c r="B1606" t="s">
        <v>1437</v>
      </c>
      <c r="C1606" t="s">
        <v>732</v>
      </c>
      <c r="D1606" t="s">
        <v>27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K1606">
        <v>100</v>
      </c>
      <c r="L1606" s="39"/>
      <c r="M1606" s="39"/>
      <c r="N1606" t="s">
        <v>355</v>
      </c>
      <c r="O1606" t="s">
        <v>25</v>
      </c>
      <c r="P1606">
        <v>0</v>
      </c>
      <c r="Q1606">
        <v>0</v>
      </c>
      <c r="R1606" t="s">
        <v>3211</v>
      </c>
    </row>
    <row r="1607" spans="1:18" x14ac:dyDescent="0.3">
      <c r="A1607">
        <v>514</v>
      </c>
      <c r="B1607" t="s">
        <v>1439</v>
      </c>
      <c r="C1607" t="s">
        <v>732</v>
      </c>
      <c r="D1607" t="s">
        <v>21</v>
      </c>
      <c r="E1607" t="s">
        <v>22</v>
      </c>
      <c r="F1607" s="79">
        <v>45838</v>
      </c>
      <c r="G1607">
        <v>2025</v>
      </c>
      <c r="H1607" t="s">
        <v>699</v>
      </c>
      <c r="I1607" t="s">
        <v>700</v>
      </c>
      <c r="J1607">
        <v>70</v>
      </c>
      <c r="K1607">
        <v>91.82</v>
      </c>
      <c r="L1607" s="39">
        <f>IFERROR(IF(OR(J1607=0,K1607=""),"",IF(E1607="Positivo",MIN(MAX(K1607/J1607,0),1.3),MIN(MAX(J1607/K1607,0),1.3))),"")</f>
        <v>1.3</v>
      </c>
      <c r="M1607" s="39">
        <f>IFERROR(IF(OR(J1607=0,K1607=""),"",IF(E1607="Positivo",MAX(K1607/J1607,0),MAX(J1607/K1607,0))),"")</f>
        <v>1.3117142857142856</v>
      </c>
      <c r="N1607" t="s">
        <v>25</v>
      </c>
      <c r="O1607" t="s">
        <v>25</v>
      </c>
      <c r="P1607">
        <v>0</v>
      </c>
      <c r="Q1607">
        <v>0</v>
      </c>
      <c r="R1607" t="s">
        <v>3213</v>
      </c>
    </row>
    <row r="1608" spans="1:18" x14ac:dyDescent="0.3">
      <c r="A1608">
        <v>514</v>
      </c>
      <c r="B1608" t="s">
        <v>1439</v>
      </c>
      <c r="C1608" t="s">
        <v>732</v>
      </c>
      <c r="D1608" t="s">
        <v>21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70</v>
      </c>
      <c r="K1608">
        <v>45.96</v>
      </c>
      <c r="L1608" s="39">
        <f>IFERROR(IF(OR(J1608=0,K1608=""),"",IF(E1608="Positivo",MIN(MAX(K1608/J1608,0),1.3),MIN(MAX(J1608/K1608,0),1.3))),"")</f>
        <v>0.65657142857142858</v>
      </c>
      <c r="M1608" s="39">
        <f>IFERROR(IF(OR(J1608=0,K1608=""),"",IF(E1608="Positivo",MAX(K1608/J1608,0),MAX(J1608/K1608,0))),"")</f>
        <v>0.65657142857142858</v>
      </c>
      <c r="N1608" t="s">
        <v>25</v>
      </c>
      <c r="O1608" t="s">
        <v>25</v>
      </c>
      <c r="P1608">
        <v>0</v>
      </c>
      <c r="Q1608">
        <v>0</v>
      </c>
      <c r="R1608" t="s">
        <v>1440</v>
      </c>
    </row>
    <row r="1609" spans="1:18" x14ac:dyDescent="0.3">
      <c r="A1609">
        <v>515</v>
      </c>
      <c r="B1609" t="s">
        <v>1441</v>
      </c>
      <c r="C1609" t="s">
        <v>53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K1609">
        <v>66.67</v>
      </c>
      <c r="L1609" s="39"/>
      <c r="M1609" s="39"/>
      <c r="N1609" t="s">
        <v>25</v>
      </c>
      <c r="O1609" t="s">
        <v>25</v>
      </c>
      <c r="P1609">
        <v>0</v>
      </c>
      <c r="Q1609">
        <v>0</v>
      </c>
      <c r="R1609" t="s">
        <v>1442</v>
      </c>
    </row>
    <row r="1610" spans="1:18" x14ac:dyDescent="0.3">
      <c r="A1610">
        <v>516</v>
      </c>
      <c r="B1610" t="s">
        <v>1443</v>
      </c>
      <c r="C1610" t="s">
        <v>53</v>
      </c>
      <c r="D1610" t="s">
        <v>21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K1610">
        <v>315.79000000000002</v>
      </c>
      <c r="L1610" s="39"/>
      <c r="M1610" s="39"/>
      <c r="N1610" t="s">
        <v>25</v>
      </c>
      <c r="O1610" t="s">
        <v>25</v>
      </c>
      <c r="P1610">
        <v>0</v>
      </c>
      <c r="Q1610">
        <v>0</v>
      </c>
      <c r="R1610" t="s">
        <v>1444</v>
      </c>
    </row>
    <row r="1611" spans="1:18" x14ac:dyDescent="0.3">
      <c r="A1611">
        <v>518</v>
      </c>
      <c r="B1611" t="s">
        <v>62</v>
      </c>
      <c r="C1611" t="s">
        <v>63</v>
      </c>
      <c r="D1611" t="s">
        <v>64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100</v>
      </c>
      <c r="K1611">
        <v>87.5</v>
      </c>
      <c r="L1611" s="39">
        <f t="shared" ref="L1611:L1643" si="124">IFERROR(IF(OR(J1611=0,K1611=""),"",IF(E1611="Positivo",MIN(MAX(K1611/J1611,0),1.3),MIN(MAX(J1611/K1611,0),1.3))),"")</f>
        <v>0.875</v>
      </c>
      <c r="M1611" s="39">
        <f t="shared" ref="M1611:M1643" si="125">IFERROR(IF(OR(J1611=0,K1611=""),"",IF(E1611="Positivo",MAX(K1611/J1611,0),MAX(J1611/K1611,0))),"")</f>
        <v>0.875</v>
      </c>
      <c r="N1611" t="s">
        <v>25</v>
      </c>
      <c r="O1611" t="s">
        <v>25</v>
      </c>
      <c r="P1611">
        <v>0</v>
      </c>
      <c r="Q1611">
        <v>0</v>
      </c>
      <c r="R1611" t="s">
        <v>3215</v>
      </c>
    </row>
    <row r="1612" spans="1:18" x14ac:dyDescent="0.3">
      <c r="A1612">
        <v>518</v>
      </c>
      <c r="B1612" t="s">
        <v>62</v>
      </c>
      <c r="C1612" t="s">
        <v>63</v>
      </c>
      <c r="D1612" t="s">
        <v>27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100</v>
      </c>
      <c r="K1612">
        <v>137.5</v>
      </c>
      <c r="L1612" s="39">
        <f t="shared" si="124"/>
        <v>1.3</v>
      </c>
      <c r="M1612" s="39">
        <f t="shared" si="125"/>
        <v>1.375</v>
      </c>
      <c r="N1612" t="s">
        <v>25</v>
      </c>
      <c r="O1612" t="s">
        <v>25</v>
      </c>
      <c r="P1612">
        <v>0</v>
      </c>
      <c r="Q1612">
        <v>0</v>
      </c>
      <c r="R1612" t="s">
        <v>1445</v>
      </c>
    </row>
    <row r="1613" spans="1:18" x14ac:dyDescent="0.3">
      <c r="A1613">
        <v>519</v>
      </c>
      <c r="B1613" t="s">
        <v>1446</v>
      </c>
      <c r="C1613" t="s">
        <v>1078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431.45</v>
      </c>
      <c r="L1613" s="39">
        <f t="shared" si="124"/>
        <v>1.3</v>
      </c>
      <c r="M1613" s="39">
        <f t="shared" si="125"/>
        <v>4.3144999999999998</v>
      </c>
      <c r="N1613" t="s">
        <v>25</v>
      </c>
      <c r="O1613" t="s">
        <v>25</v>
      </c>
      <c r="P1613">
        <v>0</v>
      </c>
      <c r="Q1613">
        <v>0</v>
      </c>
      <c r="R1613" t="s">
        <v>3217</v>
      </c>
    </row>
    <row r="1614" spans="1:18" x14ac:dyDescent="0.3">
      <c r="A1614">
        <v>519</v>
      </c>
      <c r="B1614" t="s">
        <v>1446</v>
      </c>
      <c r="C1614" t="s">
        <v>1078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131.13</v>
      </c>
      <c r="L1614" s="39">
        <f t="shared" si="124"/>
        <v>1.3</v>
      </c>
      <c r="M1614" s="39">
        <f t="shared" si="125"/>
        <v>1.3112999999999999</v>
      </c>
      <c r="N1614" t="s">
        <v>25</v>
      </c>
      <c r="O1614" t="s">
        <v>25</v>
      </c>
      <c r="P1614">
        <v>0</v>
      </c>
      <c r="Q1614">
        <v>0</v>
      </c>
      <c r="R1614" t="s">
        <v>1447</v>
      </c>
    </row>
    <row r="1615" spans="1:18" x14ac:dyDescent="0.3">
      <c r="A1615">
        <v>522</v>
      </c>
      <c r="B1615" t="s">
        <v>1448</v>
      </c>
      <c r="C1615" t="s">
        <v>549</v>
      </c>
      <c r="D1615" t="s">
        <v>71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20</v>
      </c>
      <c r="K1615">
        <v>100</v>
      </c>
      <c r="L1615" s="39">
        <f t="shared" si="124"/>
        <v>1.3</v>
      </c>
      <c r="M1615" s="39">
        <f t="shared" si="125"/>
        <v>5</v>
      </c>
      <c r="N1615" t="s">
        <v>25</v>
      </c>
      <c r="O1615" t="s">
        <v>25</v>
      </c>
      <c r="P1615">
        <v>0</v>
      </c>
      <c r="Q1615">
        <v>0</v>
      </c>
      <c r="R1615" t="s">
        <v>1449</v>
      </c>
    </row>
    <row r="1616" spans="1:18" x14ac:dyDescent="0.3">
      <c r="A1616">
        <v>523</v>
      </c>
      <c r="B1616" t="s">
        <v>1043</v>
      </c>
      <c r="C1616" t="s">
        <v>159</v>
      </c>
      <c r="D1616" t="s">
        <v>21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J1616">
        <v>95</v>
      </c>
      <c r="K1616">
        <v>128.41</v>
      </c>
      <c r="L1616" s="39">
        <f t="shared" si="124"/>
        <v>1.3</v>
      </c>
      <c r="M1616" s="39">
        <f t="shared" si="125"/>
        <v>1.3516842105263158</v>
      </c>
      <c r="N1616" t="s">
        <v>25</v>
      </c>
      <c r="O1616" t="s">
        <v>25</v>
      </c>
      <c r="P1616">
        <v>0</v>
      </c>
      <c r="Q1616">
        <v>0</v>
      </c>
      <c r="R1616" t="s">
        <v>3218</v>
      </c>
    </row>
    <row r="1617" spans="1:18" x14ac:dyDescent="0.3">
      <c r="A1617">
        <v>523</v>
      </c>
      <c r="B1617" t="s">
        <v>1043</v>
      </c>
      <c r="C1617" t="s">
        <v>159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K1617">
        <v>95.76</v>
      </c>
      <c r="L1617" s="39">
        <f t="shared" si="124"/>
        <v>1.008</v>
      </c>
      <c r="M1617" s="39">
        <f t="shared" si="125"/>
        <v>1.008</v>
      </c>
      <c r="N1617" t="s">
        <v>25</v>
      </c>
      <c r="O1617" t="s">
        <v>25</v>
      </c>
      <c r="P1617">
        <v>0</v>
      </c>
      <c r="Q1617">
        <v>0</v>
      </c>
      <c r="R1617" t="s">
        <v>1450</v>
      </c>
    </row>
    <row r="1618" spans="1:18" x14ac:dyDescent="0.3">
      <c r="A1618">
        <v>524</v>
      </c>
      <c r="B1618" t="s">
        <v>1182</v>
      </c>
      <c r="C1618" t="s">
        <v>1183</v>
      </c>
      <c r="D1618" t="s">
        <v>21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J1618">
        <v>100</v>
      </c>
      <c r="K1618">
        <v>99.38</v>
      </c>
      <c r="L1618" s="39">
        <f t="shared" si="124"/>
        <v>0.99379999999999991</v>
      </c>
      <c r="M1618" s="39">
        <f t="shared" si="125"/>
        <v>0.99379999999999991</v>
      </c>
      <c r="N1618" t="s">
        <v>128</v>
      </c>
      <c r="O1618" t="s">
        <v>128</v>
      </c>
      <c r="P1618">
        <v>0</v>
      </c>
      <c r="Q1618">
        <v>0</v>
      </c>
      <c r="R1618" t="s">
        <v>3219</v>
      </c>
    </row>
    <row r="1619" spans="1:18" x14ac:dyDescent="0.3">
      <c r="A1619">
        <v>524</v>
      </c>
      <c r="B1619" t="s">
        <v>1182</v>
      </c>
      <c r="C1619" t="s">
        <v>1183</v>
      </c>
      <c r="D1619" t="s">
        <v>21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100</v>
      </c>
      <c r="K1619">
        <v>106.07</v>
      </c>
      <c r="L1619" s="39">
        <f t="shared" si="124"/>
        <v>1.0607</v>
      </c>
      <c r="M1619" s="39">
        <f t="shared" si="125"/>
        <v>1.0607</v>
      </c>
      <c r="N1619" t="s">
        <v>128</v>
      </c>
      <c r="O1619" t="s">
        <v>128</v>
      </c>
      <c r="P1619">
        <v>0</v>
      </c>
      <c r="Q1619">
        <v>0</v>
      </c>
      <c r="R1619" t="s">
        <v>1451</v>
      </c>
    </row>
    <row r="1620" spans="1:18" x14ac:dyDescent="0.3">
      <c r="A1620">
        <v>526</v>
      </c>
      <c r="B1620" t="s">
        <v>1452</v>
      </c>
      <c r="C1620" t="s">
        <v>706</v>
      </c>
      <c r="D1620" t="s">
        <v>27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95</v>
      </c>
      <c r="K1620">
        <v>96.6</v>
      </c>
      <c r="L1620" s="39">
        <f t="shared" si="124"/>
        <v>1.0168421052631578</v>
      </c>
      <c r="M1620" s="39">
        <f t="shared" si="125"/>
        <v>1.0168421052631578</v>
      </c>
      <c r="N1620" t="s">
        <v>25</v>
      </c>
      <c r="O1620" t="s">
        <v>25</v>
      </c>
      <c r="P1620">
        <v>0</v>
      </c>
      <c r="Q1620">
        <v>0</v>
      </c>
      <c r="R1620" t="s">
        <v>3268</v>
      </c>
    </row>
    <row r="1621" spans="1:18" x14ac:dyDescent="0.3">
      <c r="A1621">
        <v>527</v>
      </c>
      <c r="B1621" t="s">
        <v>1454</v>
      </c>
      <c r="C1621" t="s">
        <v>567</v>
      </c>
      <c r="D1621" t="s">
        <v>71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100</v>
      </c>
      <c r="K1621">
        <v>197.94</v>
      </c>
      <c r="L1621" s="39">
        <f t="shared" si="124"/>
        <v>1.3</v>
      </c>
      <c r="M1621" s="39">
        <f t="shared" si="125"/>
        <v>1.9794</v>
      </c>
      <c r="N1621" t="s">
        <v>25</v>
      </c>
      <c r="O1621" t="s">
        <v>25</v>
      </c>
      <c r="P1621">
        <v>0</v>
      </c>
      <c r="Q1621">
        <v>0</v>
      </c>
      <c r="R1621" t="s">
        <v>1455</v>
      </c>
    </row>
    <row r="1622" spans="1:18" x14ac:dyDescent="0.3">
      <c r="A1622">
        <v>528</v>
      </c>
      <c r="B1622" t="s">
        <v>1456</v>
      </c>
      <c r="C1622" t="s">
        <v>567</v>
      </c>
      <c r="D1622" t="s">
        <v>71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173.92055267703</v>
      </c>
      <c r="L1622" s="39">
        <f t="shared" si="124"/>
        <v>1.3</v>
      </c>
      <c r="M1622" s="39">
        <f t="shared" si="125"/>
        <v>1.7392055267702999</v>
      </c>
      <c r="N1622" t="s">
        <v>128</v>
      </c>
      <c r="O1622" t="s">
        <v>128</v>
      </c>
      <c r="P1622">
        <v>0</v>
      </c>
      <c r="Q1622">
        <v>0</v>
      </c>
      <c r="R1622" t="s">
        <v>3221</v>
      </c>
    </row>
    <row r="1623" spans="1:18" x14ac:dyDescent="0.3">
      <c r="A1623">
        <v>528</v>
      </c>
      <c r="B1623" t="s">
        <v>1456</v>
      </c>
      <c r="C1623" t="s">
        <v>567</v>
      </c>
      <c r="D1623" t="s">
        <v>71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1158</v>
      </c>
      <c r="L1623" s="39">
        <f t="shared" si="124"/>
        <v>1.3</v>
      </c>
      <c r="M1623" s="39">
        <f t="shared" si="125"/>
        <v>11.58</v>
      </c>
      <c r="N1623" t="s">
        <v>128</v>
      </c>
      <c r="O1623" t="s">
        <v>128</v>
      </c>
      <c r="P1623">
        <v>0</v>
      </c>
      <c r="Q1623">
        <v>0</v>
      </c>
      <c r="R1623" t="s">
        <v>1457</v>
      </c>
    </row>
    <row r="1624" spans="1:18" x14ac:dyDescent="0.3">
      <c r="A1624">
        <v>529</v>
      </c>
      <c r="B1624" t="s">
        <v>1458</v>
      </c>
      <c r="C1624" t="s">
        <v>167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180</v>
      </c>
      <c r="K1624">
        <v>294.16000000000003</v>
      </c>
      <c r="L1624" s="39">
        <f t="shared" si="124"/>
        <v>1.3</v>
      </c>
      <c r="M1624" s="39">
        <f t="shared" si="125"/>
        <v>1.6342222222222225</v>
      </c>
      <c r="N1624" t="s">
        <v>25</v>
      </c>
      <c r="O1624" t="s">
        <v>25</v>
      </c>
      <c r="P1624">
        <v>0</v>
      </c>
      <c r="Q1624">
        <v>0</v>
      </c>
      <c r="R1624" t="s">
        <v>1459</v>
      </c>
    </row>
    <row r="1625" spans="1:18" x14ac:dyDescent="0.3">
      <c r="A1625">
        <v>530</v>
      </c>
      <c r="B1625" t="s">
        <v>1460</v>
      </c>
      <c r="C1625" t="s">
        <v>53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97</v>
      </c>
      <c r="K1625">
        <v>85.56</v>
      </c>
      <c r="L1625" s="39">
        <f t="shared" si="124"/>
        <v>0.88206185567010309</v>
      </c>
      <c r="M1625" s="39">
        <f t="shared" si="125"/>
        <v>0.88206185567010309</v>
      </c>
      <c r="N1625" t="s">
        <v>25</v>
      </c>
      <c r="O1625" t="s">
        <v>25</v>
      </c>
      <c r="P1625">
        <v>0</v>
      </c>
      <c r="Q1625">
        <v>0</v>
      </c>
      <c r="R1625" t="s">
        <v>1461</v>
      </c>
    </row>
    <row r="1626" spans="1:18" x14ac:dyDescent="0.3">
      <c r="A1626">
        <v>531</v>
      </c>
      <c r="B1626" t="s">
        <v>1462</v>
      </c>
      <c r="C1626" t="s">
        <v>53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90</v>
      </c>
      <c r="K1626">
        <v>93.94</v>
      </c>
      <c r="L1626" s="39">
        <f t="shared" si="124"/>
        <v>1.0437777777777777</v>
      </c>
      <c r="M1626" s="39">
        <f t="shared" si="125"/>
        <v>1.0437777777777777</v>
      </c>
      <c r="N1626" t="s">
        <v>25</v>
      </c>
      <c r="O1626" t="s">
        <v>25</v>
      </c>
      <c r="P1626">
        <v>0</v>
      </c>
      <c r="Q1626">
        <v>0</v>
      </c>
      <c r="R1626" t="s">
        <v>1463</v>
      </c>
    </row>
    <row r="1627" spans="1:18" x14ac:dyDescent="0.3">
      <c r="A1627">
        <v>532</v>
      </c>
      <c r="B1627" t="s">
        <v>1464</v>
      </c>
      <c r="C1627" t="s">
        <v>246</v>
      </c>
      <c r="D1627" t="s">
        <v>21</v>
      </c>
      <c r="E1627" t="s">
        <v>22</v>
      </c>
      <c r="F1627" s="79">
        <v>45838</v>
      </c>
      <c r="G1627">
        <v>2025</v>
      </c>
      <c r="H1627" t="s">
        <v>699</v>
      </c>
      <c r="I1627" t="s">
        <v>700</v>
      </c>
      <c r="J1627">
        <v>100</v>
      </c>
      <c r="K1627">
        <v>133.15</v>
      </c>
      <c r="L1627" s="39">
        <f t="shared" si="124"/>
        <v>1.3</v>
      </c>
      <c r="M1627" s="39">
        <f t="shared" si="125"/>
        <v>1.3315000000000001</v>
      </c>
      <c r="N1627" t="s">
        <v>25</v>
      </c>
      <c r="O1627" t="s">
        <v>25</v>
      </c>
      <c r="P1627">
        <v>0</v>
      </c>
      <c r="Q1627">
        <v>0</v>
      </c>
      <c r="R1627" t="s">
        <v>3224</v>
      </c>
    </row>
    <row r="1628" spans="1:18" x14ac:dyDescent="0.3">
      <c r="A1628">
        <v>532</v>
      </c>
      <c r="B1628" t="s">
        <v>1464</v>
      </c>
      <c r="C1628" t="s">
        <v>246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J1628">
        <v>100</v>
      </c>
      <c r="K1628">
        <v>134.78</v>
      </c>
      <c r="L1628" s="39">
        <f t="shared" si="124"/>
        <v>1.3</v>
      </c>
      <c r="M1628" s="39">
        <f t="shared" si="125"/>
        <v>1.3478000000000001</v>
      </c>
      <c r="N1628" t="s">
        <v>25</v>
      </c>
      <c r="O1628" t="s">
        <v>25</v>
      </c>
      <c r="P1628">
        <v>0</v>
      </c>
      <c r="Q1628">
        <v>0</v>
      </c>
      <c r="R1628" t="s">
        <v>1465</v>
      </c>
    </row>
    <row r="1629" spans="1:18" x14ac:dyDescent="0.3">
      <c r="A1629">
        <v>533</v>
      </c>
      <c r="B1629" t="s">
        <v>1466</v>
      </c>
      <c r="C1629" t="s">
        <v>246</v>
      </c>
      <c r="D1629" t="s">
        <v>21</v>
      </c>
      <c r="E1629" t="s">
        <v>22</v>
      </c>
      <c r="F1629" s="79">
        <v>45838</v>
      </c>
      <c r="G1629">
        <v>2025</v>
      </c>
      <c r="H1629" t="s">
        <v>699</v>
      </c>
      <c r="I1629" t="s">
        <v>700</v>
      </c>
      <c r="J1629">
        <v>100</v>
      </c>
      <c r="K1629">
        <v>124.89</v>
      </c>
      <c r="L1629" s="39">
        <f t="shared" si="124"/>
        <v>1.2488999999999999</v>
      </c>
      <c r="M1629" s="39">
        <f t="shared" si="125"/>
        <v>1.2488999999999999</v>
      </c>
      <c r="N1629" t="s">
        <v>25</v>
      </c>
      <c r="O1629" t="s">
        <v>25</v>
      </c>
      <c r="P1629">
        <v>0</v>
      </c>
      <c r="Q1629">
        <v>0</v>
      </c>
      <c r="R1629" t="s">
        <v>3225</v>
      </c>
    </row>
    <row r="1630" spans="1:18" x14ac:dyDescent="0.3">
      <c r="A1630">
        <v>533</v>
      </c>
      <c r="B1630" t="s">
        <v>1466</v>
      </c>
      <c r="C1630" t="s">
        <v>246</v>
      </c>
      <c r="D1630" t="s">
        <v>21</v>
      </c>
      <c r="E1630" t="s">
        <v>22</v>
      </c>
      <c r="F1630" s="79">
        <v>46022</v>
      </c>
      <c r="G1630">
        <v>2025</v>
      </c>
      <c r="H1630" t="s">
        <v>23</v>
      </c>
      <c r="I1630" t="s">
        <v>32</v>
      </c>
      <c r="J1630">
        <v>100</v>
      </c>
      <c r="K1630">
        <v>177.95</v>
      </c>
      <c r="L1630" s="39">
        <f t="shared" si="124"/>
        <v>1.3</v>
      </c>
      <c r="M1630" s="39">
        <f t="shared" si="125"/>
        <v>1.7794999999999999</v>
      </c>
      <c r="N1630" t="s">
        <v>25</v>
      </c>
      <c r="O1630" t="s">
        <v>25</v>
      </c>
      <c r="P1630">
        <v>0</v>
      </c>
      <c r="Q1630">
        <v>0</v>
      </c>
      <c r="R1630" t="s">
        <v>1467</v>
      </c>
    </row>
    <row r="1631" spans="1:18" x14ac:dyDescent="0.3">
      <c r="A1631">
        <v>534</v>
      </c>
      <c r="B1631" t="s">
        <v>1468</v>
      </c>
      <c r="C1631" t="s">
        <v>246</v>
      </c>
      <c r="D1631" t="s">
        <v>21</v>
      </c>
      <c r="E1631" t="s">
        <v>22</v>
      </c>
      <c r="F1631" s="79">
        <v>45838</v>
      </c>
      <c r="G1631">
        <v>2025</v>
      </c>
      <c r="H1631" t="s">
        <v>699</v>
      </c>
      <c r="I1631" t="s">
        <v>700</v>
      </c>
      <c r="J1631">
        <v>100</v>
      </c>
      <c r="K1631">
        <v>134.09</v>
      </c>
      <c r="L1631" s="39">
        <f t="shared" si="124"/>
        <v>1.3</v>
      </c>
      <c r="M1631" s="39">
        <f t="shared" si="125"/>
        <v>1.3409</v>
      </c>
      <c r="N1631" t="s">
        <v>25</v>
      </c>
      <c r="O1631" t="s">
        <v>25</v>
      </c>
      <c r="P1631">
        <v>0</v>
      </c>
      <c r="Q1631">
        <v>0</v>
      </c>
      <c r="R1631" t="s">
        <v>3226</v>
      </c>
    </row>
    <row r="1632" spans="1:18" x14ac:dyDescent="0.3">
      <c r="A1632">
        <v>534</v>
      </c>
      <c r="B1632" t="s">
        <v>1468</v>
      </c>
      <c r="C1632" t="s">
        <v>246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100</v>
      </c>
      <c r="K1632">
        <v>134.53</v>
      </c>
      <c r="L1632" s="39">
        <f t="shared" si="124"/>
        <v>1.3</v>
      </c>
      <c r="M1632" s="39">
        <f t="shared" si="125"/>
        <v>1.3452999999999999</v>
      </c>
      <c r="N1632" t="s">
        <v>25</v>
      </c>
      <c r="O1632" t="s">
        <v>25</v>
      </c>
      <c r="P1632">
        <v>0</v>
      </c>
      <c r="Q1632">
        <v>0</v>
      </c>
      <c r="R1632" t="s">
        <v>1469</v>
      </c>
    </row>
    <row r="1633" spans="1:19" x14ac:dyDescent="0.3">
      <c r="A1633">
        <v>535</v>
      </c>
      <c r="B1633" t="s">
        <v>1470</v>
      </c>
      <c r="C1633" t="s">
        <v>246</v>
      </c>
      <c r="D1633" t="s">
        <v>21</v>
      </c>
      <c r="E1633" t="s">
        <v>22</v>
      </c>
      <c r="F1633" s="79">
        <v>45838</v>
      </c>
      <c r="G1633">
        <v>2025</v>
      </c>
      <c r="H1633" t="s">
        <v>699</v>
      </c>
      <c r="I1633" t="s">
        <v>700</v>
      </c>
      <c r="J1633">
        <v>100</v>
      </c>
      <c r="K1633">
        <v>132.66999999999999</v>
      </c>
      <c r="L1633" s="39">
        <f t="shared" si="124"/>
        <v>1.3</v>
      </c>
      <c r="M1633" s="39">
        <f t="shared" si="125"/>
        <v>1.3266999999999998</v>
      </c>
      <c r="N1633" t="s">
        <v>25</v>
      </c>
      <c r="O1633" t="s">
        <v>25</v>
      </c>
      <c r="P1633">
        <v>0</v>
      </c>
      <c r="Q1633">
        <v>0</v>
      </c>
      <c r="R1633" t="s">
        <v>3227</v>
      </c>
    </row>
    <row r="1634" spans="1:19" x14ac:dyDescent="0.3">
      <c r="A1634">
        <v>535</v>
      </c>
      <c r="B1634" t="s">
        <v>1470</v>
      </c>
      <c r="C1634" t="s">
        <v>246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100</v>
      </c>
      <c r="K1634">
        <v>209.63</v>
      </c>
      <c r="L1634" s="39">
        <f t="shared" si="124"/>
        <v>1.3</v>
      </c>
      <c r="M1634" s="39">
        <f t="shared" si="125"/>
        <v>2.0962999999999998</v>
      </c>
      <c r="N1634" t="s">
        <v>25</v>
      </c>
      <c r="O1634" t="s">
        <v>25</v>
      </c>
      <c r="P1634">
        <v>0</v>
      </c>
      <c r="Q1634">
        <v>0</v>
      </c>
      <c r="R1634" t="s">
        <v>1471</v>
      </c>
    </row>
    <row r="1635" spans="1:19" x14ac:dyDescent="0.3">
      <c r="A1635">
        <v>536</v>
      </c>
      <c r="B1635" t="s">
        <v>1472</v>
      </c>
      <c r="C1635" t="s">
        <v>246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100</v>
      </c>
      <c r="K1635">
        <v>109.33</v>
      </c>
      <c r="L1635" s="39">
        <f t="shared" si="124"/>
        <v>1.0932999999999999</v>
      </c>
      <c r="M1635" s="39">
        <f t="shared" si="125"/>
        <v>1.0932999999999999</v>
      </c>
      <c r="N1635" t="s">
        <v>25</v>
      </c>
      <c r="O1635" t="s">
        <v>25</v>
      </c>
      <c r="P1635">
        <v>0</v>
      </c>
      <c r="Q1635">
        <v>0</v>
      </c>
      <c r="R1635" t="s">
        <v>3228</v>
      </c>
    </row>
    <row r="1636" spans="1:19" x14ac:dyDescent="0.3">
      <c r="A1636">
        <v>536</v>
      </c>
      <c r="B1636" t="s">
        <v>1472</v>
      </c>
      <c r="C1636" t="s">
        <v>246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100</v>
      </c>
      <c r="K1636">
        <v>260.75</v>
      </c>
      <c r="L1636" s="39">
        <f t="shared" si="124"/>
        <v>1.3</v>
      </c>
      <c r="M1636" s="39">
        <f t="shared" si="125"/>
        <v>2.6074999999999999</v>
      </c>
      <c r="N1636" t="s">
        <v>25</v>
      </c>
      <c r="O1636" t="s">
        <v>25</v>
      </c>
      <c r="P1636">
        <v>0</v>
      </c>
      <c r="Q1636">
        <v>0</v>
      </c>
      <c r="R1636" t="s">
        <v>1473</v>
      </c>
    </row>
    <row r="1637" spans="1:19" x14ac:dyDescent="0.3">
      <c r="A1637">
        <v>537</v>
      </c>
      <c r="B1637" t="s">
        <v>1474</v>
      </c>
      <c r="C1637" t="s">
        <v>333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65</v>
      </c>
      <c r="K1637">
        <v>58.9</v>
      </c>
      <c r="L1637" s="39">
        <f t="shared" si="124"/>
        <v>0.90615384615384609</v>
      </c>
      <c r="M1637" s="39">
        <f t="shared" si="125"/>
        <v>0.90615384615384609</v>
      </c>
      <c r="N1637" t="s">
        <v>128</v>
      </c>
      <c r="O1637" t="s">
        <v>128</v>
      </c>
      <c r="P1637">
        <v>0</v>
      </c>
      <c r="Q1637">
        <v>0</v>
      </c>
      <c r="R1637" t="s">
        <v>3229</v>
      </c>
    </row>
    <row r="1638" spans="1:19" x14ac:dyDescent="0.3">
      <c r="A1638">
        <v>537</v>
      </c>
      <c r="B1638" t="s">
        <v>1474</v>
      </c>
      <c r="C1638" t="s">
        <v>333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65</v>
      </c>
      <c r="K1638">
        <v>64.3</v>
      </c>
      <c r="L1638" s="39">
        <f t="shared" si="124"/>
        <v>0.98923076923076914</v>
      </c>
      <c r="M1638" s="39">
        <f t="shared" si="125"/>
        <v>0.98923076923076914</v>
      </c>
      <c r="N1638" t="s">
        <v>128</v>
      </c>
      <c r="O1638" t="s">
        <v>128</v>
      </c>
      <c r="P1638">
        <v>0</v>
      </c>
      <c r="Q1638">
        <v>0</v>
      </c>
      <c r="R1638" t="s">
        <v>1475</v>
      </c>
    </row>
    <row r="1639" spans="1:19" x14ac:dyDescent="0.3">
      <c r="A1639">
        <v>538</v>
      </c>
      <c r="B1639" t="s">
        <v>1476</v>
      </c>
      <c r="C1639" t="s">
        <v>541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90</v>
      </c>
      <c r="K1639">
        <v>100</v>
      </c>
      <c r="L1639" s="39">
        <f t="shared" si="124"/>
        <v>1.1111111111111112</v>
      </c>
      <c r="M1639" s="39">
        <f t="shared" si="125"/>
        <v>1.1111111111111112</v>
      </c>
      <c r="N1639" t="s">
        <v>25</v>
      </c>
      <c r="O1639" t="s">
        <v>25</v>
      </c>
      <c r="P1639">
        <v>0</v>
      </c>
      <c r="Q1639">
        <v>0</v>
      </c>
      <c r="R1639" t="s">
        <v>1477</v>
      </c>
    </row>
    <row r="1640" spans="1:19" x14ac:dyDescent="0.3">
      <c r="A1640">
        <v>539</v>
      </c>
      <c r="B1640" t="s">
        <v>1478</v>
      </c>
      <c r="C1640" t="s">
        <v>541</v>
      </c>
      <c r="D1640" t="s">
        <v>21</v>
      </c>
      <c r="E1640" t="s">
        <v>41</v>
      </c>
      <c r="F1640" s="79">
        <v>46022</v>
      </c>
      <c r="G1640">
        <v>2025</v>
      </c>
      <c r="H1640" t="s">
        <v>23</v>
      </c>
      <c r="I1640" t="s">
        <v>32</v>
      </c>
      <c r="J1640">
        <v>2.5</v>
      </c>
      <c r="K1640">
        <v>2.5</v>
      </c>
      <c r="L1640" s="39">
        <f t="shared" si="124"/>
        <v>1</v>
      </c>
      <c r="M1640" s="39">
        <f t="shared" si="125"/>
        <v>1</v>
      </c>
      <c r="N1640" t="s">
        <v>25</v>
      </c>
      <c r="O1640" t="s">
        <v>25</v>
      </c>
      <c r="P1640">
        <v>0</v>
      </c>
      <c r="Q1640">
        <v>0</v>
      </c>
      <c r="R1640" t="s">
        <v>1479</v>
      </c>
    </row>
    <row r="1641" spans="1:19" x14ac:dyDescent="0.3">
      <c r="A1641">
        <v>540</v>
      </c>
      <c r="B1641" t="s">
        <v>1480</v>
      </c>
      <c r="C1641" t="s">
        <v>922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97</v>
      </c>
      <c r="K1641">
        <v>97.33</v>
      </c>
      <c r="L1641" s="39">
        <f t="shared" si="124"/>
        <v>1.00340206185567</v>
      </c>
      <c r="M1641" s="39">
        <f t="shared" si="125"/>
        <v>1.00340206185567</v>
      </c>
      <c r="N1641" t="s">
        <v>25</v>
      </c>
      <c r="O1641" t="s">
        <v>25</v>
      </c>
      <c r="P1641">
        <v>0</v>
      </c>
      <c r="Q1641">
        <v>0</v>
      </c>
      <c r="R1641" t="s">
        <v>3230</v>
      </c>
    </row>
    <row r="1642" spans="1:19" x14ac:dyDescent="0.3">
      <c r="A1642">
        <v>540</v>
      </c>
      <c r="B1642" t="s">
        <v>1480</v>
      </c>
      <c r="C1642" t="s">
        <v>922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97</v>
      </c>
      <c r="K1642">
        <v>97.9</v>
      </c>
      <c r="L1642" s="39">
        <f t="shared" si="124"/>
        <v>1.0092783505154639</v>
      </c>
      <c r="M1642" s="39">
        <f t="shared" si="125"/>
        <v>1.0092783505154639</v>
      </c>
      <c r="N1642" t="s">
        <v>25</v>
      </c>
      <c r="O1642" t="s">
        <v>25</v>
      </c>
      <c r="P1642">
        <v>0</v>
      </c>
      <c r="Q1642">
        <v>0</v>
      </c>
      <c r="R1642" t="s">
        <v>1481</v>
      </c>
    </row>
    <row r="1643" spans="1:19" x14ac:dyDescent="0.3">
      <c r="A1643">
        <v>541</v>
      </c>
      <c r="B1643" t="s">
        <v>1482</v>
      </c>
      <c r="C1643" t="s">
        <v>842</v>
      </c>
      <c r="D1643" t="s">
        <v>71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4</v>
      </c>
      <c r="K1643">
        <v>6.99</v>
      </c>
      <c r="L1643" s="39">
        <f t="shared" si="124"/>
        <v>1.3</v>
      </c>
      <c r="M1643" s="39">
        <f t="shared" si="125"/>
        <v>1.7475000000000001</v>
      </c>
      <c r="N1643" t="s">
        <v>25</v>
      </c>
      <c r="O1643" t="s">
        <v>25</v>
      </c>
      <c r="P1643">
        <v>0</v>
      </c>
      <c r="Q1643">
        <v>0</v>
      </c>
      <c r="R1643" t="s">
        <v>1483</v>
      </c>
    </row>
    <row r="1644" spans="1:19" x14ac:dyDescent="0.3">
      <c r="A1644">
        <v>542</v>
      </c>
      <c r="B1644" t="s">
        <v>1484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K1644">
        <v>81.239999999999995</v>
      </c>
      <c r="L1644" s="39"/>
      <c r="M1644" s="39"/>
      <c r="N1644" t="s">
        <v>25</v>
      </c>
      <c r="O1644" t="s">
        <v>25</v>
      </c>
      <c r="P1644">
        <v>0</v>
      </c>
      <c r="Q1644">
        <v>0</v>
      </c>
      <c r="R1644" t="s">
        <v>1485</v>
      </c>
      <c r="S1644" t="s">
        <v>263</v>
      </c>
    </row>
    <row r="1645" spans="1:19" x14ac:dyDescent="0.3">
      <c r="A1645">
        <v>543</v>
      </c>
      <c r="B1645" t="s">
        <v>1486</v>
      </c>
      <c r="C1645" t="s">
        <v>308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K1645">
        <v>7.29</v>
      </c>
      <c r="L1645" s="39"/>
      <c r="M1645" s="39"/>
      <c r="N1645" t="s">
        <v>128</v>
      </c>
      <c r="O1645" t="s">
        <v>128</v>
      </c>
      <c r="P1645">
        <v>0</v>
      </c>
      <c r="Q1645">
        <v>0</v>
      </c>
      <c r="R1645" t="s">
        <v>3231</v>
      </c>
    </row>
    <row r="1646" spans="1:19" x14ac:dyDescent="0.3">
      <c r="A1646">
        <v>543</v>
      </c>
      <c r="B1646" t="s">
        <v>1486</v>
      </c>
      <c r="C1646" t="s">
        <v>308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K1646">
        <v>6.91</v>
      </c>
      <c r="L1646" s="39"/>
      <c r="M1646" s="39"/>
      <c r="N1646" t="s">
        <v>128</v>
      </c>
      <c r="O1646" t="s">
        <v>128</v>
      </c>
      <c r="P1646">
        <v>0</v>
      </c>
      <c r="Q1646">
        <v>0</v>
      </c>
      <c r="R1646" t="s">
        <v>1487</v>
      </c>
    </row>
    <row r="1647" spans="1:19" x14ac:dyDescent="0.3">
      <c r="A1647">
        <v>544</v>
      </c>
      <c r="B1647" t="s">
        <v>1488</v>
      </c>
      <c r="C1647" t="s">
        <v>1110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250</v>
      </c>
      <c r="L1647" s="39">
        <f>IFERROR(IF(OR(J1647=0,K1647=""),"",IF(E1647="Positivo",MIN(MAX(K1647/J1647,0),1.3),MIN(MAX(J1647/K1647,0),1.3))),"")</f>
        <v>1.3</v>
      </c>
      <c r="M1647" s="39">
        <f>IFERROR(IF(OR(J1647=0,K1647=""),"",IF(E1647="Positivo",MAX(K1647/J1647,0),MAX(J1647/K1647,0))),"")</f>
        <v>2.5</v>
      </c>
      <c r="N1647" t="s">
        <v>128</v>
      </c>
      <c r="O1647" t="s">
        <v>128</v>
      </c>
      <c r="P1647">
        <v>0</v>
      </c>
      <c r="Q1647">
        <v>0</v>
      </c>
      <c r="R1647" t="s">
        <v>3232</v>
      </c>
    </row>
    <row r="1648" spans="1:19" x14ac:dyDescent="0.3">
      <c r="A1648">
        <v>544</v>
      </c>
      <c r="B1648" t="s">
        <v>1488</v>
      </c>
      <c r="C1648" t="s">
        <v>1110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162.5</v>
      </c>
      <c r="L1648" s="39">
        <f>IFERROR(IF(OR(J1648=0,K1648=""),"",IF(E1648="Positivo",MIN(MAX(K1648/J1648,0),1.3),MIN(MAX(J1648/K1648,0),1.3))),"")</f>
        <v>1.3</v>
      </c>
      <c r="M1648" s="39">
        <f>IFERROR(IF(OR(J1648=0,K1648=""),"",IF(E1648="Positivo",MAX(K1648/J1648,0),MAX(J1648/K1648,0))),"")</f>
        <v>1.625</v>
      </c>
      <c r="N1648" t="s">
        <v>128</v>
      </c>
      <c r="O1648" t="s">
        <v>128</v>
      </c>
      <c r="P1648">
        <v>0</v>
      </c>
      <c r="Q1648">
        <v>0</v>
      </c>
      <c r="R1648" t="s">
        <v>1489</v>
      </c>
    </row>
    <row r="1649" spans="1:18" x14ac:dyDescent="0.3">
      <c r="A1649">
        <v>546</v>
      </c>
      <c r="B1649" t="s">
        <v>1490</v>
      </c>
      <c r="C1649" t="s">
        <v>842</v>
      </c>
      <c r="D1649" t="s">
        <v>71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113.38</v>
      </c>
      <c r="L1649" s="39">
        <f>IFERROR(IF(OR(J1649=0,K1649=""),"",IF(E1649="Positivo",MIN(MAX(K1649/J1649,0),1.3),MIN(MAX(J1649/K1649,0),1.3))),"")</f>
        <v>1.1337999999999999</v>
      </c>
      <c r="M1649" s="39">
        <f>IFERROR(IF(OR(J1649=0,K1649=""),"",IF(E1649="Positivo",MAX(K1649/J1649,0),MAX(J1649/K1649,0))),"")</f>
        <v>1.1337999999999999</v>
      </c>
      <c r="N1649" t="s">
        <v>25</v>
      </c>
      <c r="O1649" t="s">
        <v>25</v>
      </c>
      <c r="P1649">
        <v>0</v>
      </c>
      <c r="Q1649">
        <v>0</v>
      </c>
      <c r="R1649" t="s">
        <v>1491</v>
      </c>
    </row>
    <row r="1650" spans="1:18" x14ac:dyDescent="0.3">
      <c r="A1650">
        <v>547</v>
      </c>
      <c r="B1650" t="s">
        <v>1492</v>
      </c>
      <c r="C1650" t="s">
        <v>842</v>
      </c>
      <c r="D1650" t="s">
        <v>71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K1650">
        <v>92</v>
      </c>
      <c r="L1650" s="39"/>
      <c r="M1650" s="39"/>
      <c r="N1650" t="s">
        <v>25</v>
      </c>
      <c r="O1650" t="s">
        <v>25</v>
      </c>
      <c r="P1650">
        <v>0</v>
      </c>
      <c r="Q1650">
        <v>0</v>
      </c>
      <c r="R1650" t="s">
        <v>1493</v>
      </c>
    </row>
    <row r="1651" spans="1:18" x14ac:dyDescent="0.3">
      <c r="A1651">
        <v>550</v>
      </c>
      <c r="B1651" t="s">
        <v>1494</v>
      </c>
      <c r="C1651" t="s">
        <v>1097</v>
      </c>
      <c r="D1651" t="s">
        <v>21</v>
      </c>
      <c r="E1651" t="s">
        <v>22</v>
      </c>
      <c r="F1651" s="79">
        <v>45838</v>
      </c>
      <c r="G1651">
        <v>2025</v>
      </c>
      <c r="H1651" t="s">
        <v>699</v>
      </c>
      <c r="I1651" t="s">
        <v>700</v>
      </c>
      <c r="J1651">
        <v>80</v>
      </c>
      <c r="K1651">
        <v>95</v>
      </c>
      <c r="L1651" s="39">
        <f t="shared" ref="L1651:L1661" si="126">IFERROR(IF(OR(J1651=0,K1651=""),"",IF(E1651="Positivo",MIN(MAX(K1651/J1651,0),1.3),MIN(MAX(J1651/K1651,0),1.3))),"")</f>
        <v>1.1875</v>
      </c>
      <c r="M1651" s="39">
        <f t="shared" ref="M1651:M1661" si="127">IFERROR(IF(OR(J1651=0,K1651=""),"",IF(E1651="Positivo",MAX(K1651/J1651,0),MAX(J1651/K1651,0))),"")</f>
        <v>1.1875</v>
      </c>
      <c r="N1651" t="s">
        <v>25</v>
      </c>
      <c r="O1651" t="s">
        <v>25</v>
      </c>
      <c r="P1651">
        <v>0</v>
      </c>
      <c r="Q1651">
        <v>0</v>
      </c>
      <c r="R1651" t="s">
        <v>3233</v>
      </c>
    </row>
    <row r="1652" spans="1:18" x14ac:dyDescent="0.3">
      <c r="A1652">
        <v>550</v>
      </c>
      <c r="B1652" t="s">
        <v>1494</v>
      </c>
      <c r="C1652" t="s">
        <v>1097</v>
      </c>
      <c r="D1652" t="s">
        <v>21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95.5</v>
      </c>
      <c r="L1652" s="39">
        <f t="shared" si="126"/>
        <v>1.1937500000000001</v>
      </c>
      <c r="M1652" s="39">
        <f t="shared" si="127"/>
        <v>1.1937500000000001</v>
      </c>
      <c r="N1652" t="s">
        <v>25</v>
      </c>
      <c r="O1652" t="s">
        <v>25</v>
      </c>
      <c r="P1652">
        <v>0</v>
      </c>
      <c r="Q1652">
        <v>0</v>
      </c>
      <c r="R1652" t="s">
        <v>1495</v>
      </c>
    </row>
    <row r="1653" spans="1:18" x14ac:dyDescent="0.3">
      <c r="A1653">
        <v>551</v>
      </c>
      <c r="B1653" t="s">
        <v>1496</v>
      </c>
      <c r="C1653" t="s">
        <v>1097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4</v>
      </c>
      <c r="K1653">
        <v>5</v>
      </c>
      <c r="L1653" s="39">
        <f t="shared" si="126"/>
        <v>1.25</v>
      </c>
      <c r="M1653" s="39">
        <f t="shared" si="127"/>
        <v>1.25</v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</row>
    <row r="1654" spans="1:18" x14ac:dyDescent="0.3">
      <c r="A1654">
        <v>551</v>
      </c>
      <c r="B1654" t="s">
        <v>1496</v>
      </c>
      <c r="C1654" t="s">
        <v>1097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4</v>
      </c>
      <c r="K1654">
        <v>5</v>
      </c>
      <c r="L1654" s="39">
        <f t="shared" si="126"/>
        <v>1.25</v>
      </c>
      <c r="M1654" s="39">
        <f t="shared" si="127"/>
        <v>1.25</v>
      </c>
      <c r="N1654" t="s">
        <v>25</v>
      </c>
      <c r="O1654" t="s">
        <v>25</v>
      </c>
      <c r="P1654">
        <v>0</v>
      </c>
      <c r="Q1654">
        <v>0</v>
      </c>
      <c r="R1654" t="s">
        <v>1497</v>
      </c>
    </row>
    <row r="1655" spans="1:18" x14ac:dyDescent="0.3">
      <c r="A1655">
        <v>552</v>
      </c>
      <c r="B1655" t="s">
        <v>1498</v>
      </c>
      <c r="C1655" t="s">
        <v>951</v>
      </c>
      <c r="D1655" t="s">
        <v>71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J1655">
        <v>80</v>
      </c>
      <c r="K1655">
        <v>92</v>
      </c>
      <c r="L1655" s="39">
        <f t="shared" si="126"/>
        <v>1.1499999999999999</v>
      </c>
      <c r="M1655" s="39">
        <f t="shared" si="127"/>
        <v>1.1499999999999999</v>
      </c>
      <c r="N1655" t="s">
        <v>25</v>
      </c>
      <c r="O1655" t="s">
        <v>25</v>
      </c>
      <c r="P1655">
        <v>0</v>
      </c>
      <c r="Q1655">
        <v>0</v>
      </c>
      <c r="R1655" t="s">
        <v>3235</v>
      </c>
    </row>
    <row r="1656" spans="1:18" x14ac:dyDescent="0.3">
      <c r="A1656">
        <v>552</v>
      </c>
      <c r="B1656" t="s">
        <v>1498</v>
      </c>
      <c r="C1656" t="s">
        <v>951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92</v>
      </c>
      <c r="L1656" s="39">
        <f t="shared" si="126"/>
        <v>1.1499999999999999</v>
      </c>
      <c r="M1656" s="39">
        <f t="shared" si="127"/>
        <v>1.1499999999999999</v>
      </c>
      <c r="N1656" t="s">
        <v>25</v>
      </c>
      <c r="O1656" t="s">
        <v>25</v>
      </c>
      <c r="P1656">
        <v>0</v>
      </c>
      <c r="Q1656">
        <v>0</v>
      </c>
      <c r="R1656" t="s">
        <v>1499</v>
      </c>
    </row>
    <row r="1657" spans="1:18" x14ac:dyDescent="0.3">
      <c r="A1657">
        <v>553</v>
      </c>
      <c r="B1657" t="s">
        <v>1500</v>
      </c>
      <c r="C1657" t="s">
        <v>1020</v>
      </c>
      <c r="D1657" t="s">
        <v>71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83</v>
      </c>
      <c r="L1657" s="39">
        <f t="shared" si="126"/>
        <v>1.0375000000000001</v>
      </c>
      <c r="M1657" s="39">
        <f t="shared" si="127"/>
        <v>1.0375000000000001</v>
      </c>
      <c r="N1657" t="s">
        <v>25</v>
      </c>
      <c r="O1657" t="s">
        <v>25</v>
      </c>
      <c r="P1657">
        <v>0</v>
      </c>
      <c r="Q1657">
        <v>0</v>
      </c>
      <c r="R1657" t="s">
        <v>1501</v>
      </c>
    </row>
    <row r="1658" spans="1:18" x14ac:dyDescent="0.3">
      <c r="A1658">
        <v>554</v>
      </c>
      <c r="B1658" t="s">
        <v>1502</v>
      </c>
      <c r="C1658" t="s">
        <v>536</v>
      </c>
      <c r="D1658" t="s">
        <v>21</v>
      </c>
      <c r="E1658" t="s">
        <v>22</v>
      </c>
      <c r="F1658" s="79">
        <v>45838</v>
      </c>
      <c r="G1658">
        <v>2025</v>
      </c>
      <c r="H1658" t="s">
        <v>699</v>
      </c>
      <c r="I1658" t="s">
        <v>700</v>
      </c>
      <c r="J1658">
        <v>80</v>
      </c>
      <c r="K1658">
        <v>0</v>
      </c>
      <c r="L1658" s="39">
        <f t="shared" si="126"/>
        <v>0</v>
      </c>
      <c r="M1658" s="39">
        <f t="shared" si="127"/>
        <v>0</v>
      </c>
      <c r="N1658" t="s">
        <v>25</v>
      </c>
      <c r="O1658" t="s">
        <v>25</v>
      </c>
      <c r="P1658">
        <v>0</v>
      </c>
      <c r="Q1658">
        <v>0</v>
      </c>
      <c r="R1658" t="s">
        <v>3236</v>
      </c>
    </row>
    <row r="1659" spans="1:18" x14ac:dyDescent="0.3">
      <c r="A1659">
        <v>554</v>
      </c>
      <c r="B1659" t="s">
        <v>1502</v>
      </c>
      <c r="C1659" t="s">
        <v>536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32</v>
      </c>
      <c r="J1659">
        <v>80</v>
      </c>
      <c r="K1659">
        <v>95</v>
      </c>
      <c r="L1659" s="39">
        <f t="shared" si="126"/>
        <v>1.1875</v>
      </c>
      <c r="M1659" s="39">
        <f t="shared" si="127"/>
        <v>1.1875</v>
      </c>
      <c r="N1659" t="s">
        <v>25</v>
      </c>
      <c r="O1659" t="s">
        <v>25</v>
      </c>
      <c r="P1659">
        <v>0</v>
      </c>
      <c r="Q1659">
        <v>0</v>
      </c>
      <c r="R1659" t="s">
        <v>1503</v>
      </c>
    </row>
    <row r="1660" spans="1:18" x14ac:dyDescent="0.3">
      <c r="A1660">
        <v>555</v>
      </c>
      <c r="B1660" t="s">
        <v>1504</v>
      </c>
      <c r="C1660" t="s">
        <v>1044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80</v>
      </c>
      <c r="K1660">
        <v>100</v>
      </c>
      <c r="L1660" s="39">
        <f t="shared" si="126"/>
        <v>1.25</v>
      </c>
      <c r="M1660" s="39">
        <f t="shared" si="127"/>
        <v>1.25</v>
      </c>
      <c r="N1660" t="s">
        <v>25</v>
      </c>
      <c r="O1660" t="s">
        <v>25</v>
      </c>
      <c r="P1660">
        <v>0</v>
      </c>
      <c r="Q1660">
        <v>0</v>
      </c>
      <c r="R1660" t="s">
        <v>1505</v>
      </c>
    </row>
    <row r="1661" spans="1:18" x14ac:dyDescent="0.3">
      <c r="A1661">
        <v>556</v>
      </c>
      <c r="B1661" t="s">
        <v>1506</v>
      </c>
      <c r="C1661" t="s">
        <v>40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70</v>
      </c>
      <c r="K1661">
        <v>113.75</v>
      </c>
      <c r="L1661" s="39">
        <f t="shared" si="126"/>
        <v>1.3</v>
      </c>
      <c r="M1661" s="39">
        <f t="shared" si="127"/>
        <v>1.625</v>
      </c>
      <c r="N1661" t="s">
        <v>25</v>
      </c>
      <c r="O1661" t="s">
        <v>25</v>
      </c>
      <c r="P1661">
        <v>0</v>
      </c>
      <c r="Q1661">
        <v>0</v>
      </c>
      <c r="R1661" t="s">
        <v>1507</v>
      </c>
    </row>
    <row r="1662" spans="1:18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84">
        <v>44742</v>
      </c>
      <c r="G1662" s="15">
        <v>2022</v>
      </c>
      <c r="H1662" s="6" t="s">
        <v>699</v>
      </c>
      <c r="I1662" s="27" t="s">
        <v>1510</v>
      </c>
      <c r="J1662" s="5">
        <v>39623</v>
      </c>
      <c r="K1662" s="5">
        <v>40000</v>
      </c>
      <c r="L1662" s="14">
        <v>1.0095146758195996</v>
      </c>
      <c r="M1662" s="14">
        <v>1.0095146758195996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4381</v>
      </c>
    </row>
    <row r="1663" spans="1:18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84">
        <v>44926</v>
      </c>
      <c r="G1663" s="15">
        <v>2022</v>
      </c>
      <c r="H1663" s="6" t="s">
        <v>23</v>
      </c>
      <c r="I1663" s="27" t="s">
        <v>24</v>
      </c>
      <c r="J1663" s="5">
        <v>39817</v>
      </c>
      <c r="K1663" s="5">
        <v>40663</v>
      </c>
      <c r="L1663" s="14">
        <v>1.0212472059673003</v>
      </c>
      <c r="M1663" s="14">
        <v>1.0212472059673003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4382</v>
      </c>
    </row>
    <row r="1664" spans="1:18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84">
        <v>45107</v>
      </c>
      <c r="G1664" s="15">
        <v>2023</v>
      </c>
      <c r="H1664" s="6" t="s">
        <v>699</v>
      </c>
      <c r="I1664" s="27" t="s">
        <v>1512</v>
      </c>
      <c r="J1664" s="5">
        <v>40047</v>
      </c>
      <c r="K1664" s="3">
        <v>39091</v>
      </c>
      <c r="L1664" s="14">
        <v>0.97612804954178845</v>
      </c>
      <c r="M1664" s="14">
        <v>0.97612804954178845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2492</v>
      </c>
    </row>
    <row r="1665" spans="1:18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45291</v>
      </c>
      <c r="G1665" s="5">
        <v>2023</v>
      </c>
      <c r="H1665" s="5" t="s">
        <v>23</v>
      </c>
      <c r="I1665" s="6" t="s">
        <v>28</v>
      </c>
      <c r="J1665" s="5">
        <v>41811</v>
      </c>
      <c r="K1665" s="3">
        <v>40771</v>
      </c>
      <c r="L1665" s="14">
        <v>0.97512616297146681</v>
      </c>
      <c r="M1665" s="14">
        <v>0.97512616297146681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649</v>
      </c>
    </row>
    <row r="1666" spans="1:18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45473</v>
      </c>
      <c r="G1666" s="5">
        <v>2024</v>
      </c>
      <c r="H1666" s="5" t="s">
        <v>699</v>
      </c>
      <c r="I1666" s="6" t="s">
        <v>729</v>
      </c>
      <c r="J1666" s="16">
        <v>38813</v>
      </c>
      <c r="K1666" s="62">
        <v>39598</v>
      </c>
      <c r="L1666" s="14">
        <v>1.0202251822842863</v>
      </c>
      <c r="M1666" s="14">
        <v>1.0202251822842863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2493</v>
      </c>
    </row>
    <row r="1667" spans="1:18" x14ac:dyDescent="0.3">
      <c r="A1667" s="5">
        <v>274</v>
      </c>
      <c r="B1667" s="5" t="s">
        <v>648</v>
      </c>
      <c r="C1667" s="5" t="s">
        <v>586</v>
      </c>
      <c r="D1667" s="5" t="s">
        <v>27</v>
      </c>
      <c r="E1667" s="5" t="s">
        <v>22</v>
      </c>
      <c r="F1667" s="6">
        <v>45657</v>
      </c>
      <c r="G1667" s="5">
        <v>2024</v>
      </c>
      <c r="H1667" s="5" t="s">
        <v>23</v>
      </c>
      <c r="I1667" s="6" t="s">
        <v>30</v>
      </c>
      <c r="J1667" s="5">
        <v>40441</v>
      </c>
      <c r="K1667" s="3">
        <v>41436</v>
      </c>
      <c r="L1667" s="14">
        <v>1.0246037437254272</v>
      </c>
      <c r="M1667" s="14">
        <v>1.0246037437254272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650</v>
      </c>
    </row>
    <row r="1668" spans="1:18" x14ac:dyDescent="0.3">
      <c r="A1668" s="5">
        <v>274</v>
      </c>
      <c r="B1668" s="5" t="s">
        <v>648</v>
      </c>
      <c r="C1668" s="5" t="s">
        <v>586</v>
      </c>
      <c r="D1668" s="5" t="s">
        <v>27</v>
      </c>
      <c r="E1668" s="5" t="s">
        <v>22</v>
      </c>
      <c r="F1668" s="6">
        <v>45838</v>
      </c>
      <c r="G1668" s="5">
        <v>2025</v>
      </c>
      <c r="H1668" s="5" t="s">
        <v>699</v>
      </c>
      <c r="I1668" s="6" t="s">
        <v>700</v>
      </c>
      <c r="J1668" s="83">
        <v>40026</v>
      </c>
      <c r="K1668" s="51">
        <v>42364</v>
      </c>
      <c r="L1668" s="14">
        <v>1.0584120321790835</v>
      </c>
      <c r="M1668" s="14">
        <v>1.0584120321790835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2494</v>
      </c>
    </row>
    <row r="1669" spans="1:18" x14ac:dyDescent="0.3">
      <c r="A1669" s="5">
        <v>274</v>
      </c>
      <c r="B1669" s="5" t="s">
        <v>648</v>
      </c>
      <c r="C1669" s="5" t="s">
        <v>586</v>
      </c>
      <c r="D1669" s="5" t="s">
        <v>27</v>
      </c>
      <c r="E1669" s="5" t="s">
        <v>22</v>
      </c>
      <c r="F1669" s="6">
        <v>46022</v>
      </c>
      <c r="G1669" s="5">
        <v>2025</v>
      </c>
      <c r="H1669" s="5" t="s">
        <v>23</v>
      </c>
      <c r="I1669" s="6" t="s">
        <v>32</v>
      </c>
      <c r="J1669" s="85">
        <v>44737</v>
      </c>
      <c r="K1669" s="9">
        <v>45583</v>
      </c>
      <c r="L1669" s="14">
        <v>1.0189105214922771</v>
      </c>
      <c r="M1669" s="14">
        <v>1.0189105214922771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651</v>
      </c>
    </row>
    <row r="1670" spans="1:18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84">
        <v>44742</v>
      </c>
      <c r="G1670" s="15">
        <v>2022</v>
      </c>
      <c r="H1670" s="6" t="s">
        <v>699</v>
      </c>
      <c r="I1670" s="27" t="s">
        <v>1510</v>
      </c>
      <c r="J1670" s="23">
        <v>10808</v>
      </c>
      <c r="K1670" s="23">
        <v>11013</v>
      </c>
      <c r="L1670" s="14">
        <v>1.0189674315321984</v>
      </c>
      <c r="M1670" s="14">
        <v>1.0189674315321984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4383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84">
        <v>44926</v>
      </c>
      <c r="G1671" s="15">
        <v>2022</v>
      </c>
      <c r="H1671" s="6" t="s">
        <v>23</v>
      </c>
      <c r="I1671" s="27" t="s">
        <v>24</v>
      </c>
      <c r="J1671" s="23">
        <v>9192</v>
      </c>
      <c r="K1671" s="23">
        <v>9678</v>
      </c>
      <c r="L1671" s="14">
        <v>1.0528720626631853</v>
      </c>
      <c r="M1671" s="14">
        <v>1.0528720626631853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4384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84">
        <v>45107</v>
      </c>
      <c r="G1672" s="15">
        <v>2023</v>
      </c>
      <c r="H1672" s="6" t="s">
        <v>699</v>
      </c>
      <c r="I1672" s="27" t="s">
        <v>1512</v>
      </c>
      <c r="J1672" s="23">
        <v>12130</v>
      </c>
      <c r="K1672" s="23">
        <v>12382</v>
      </c>
      <c r="L1672" s="14">
        <v>1.0207749381698268</v>
      </c>
      <c r="M1672" s="14">
        <v>1.0207749381698268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2778</v>
      </c>
    </row>
    <row r="1673" spans="1:18" x14ac:dyDescent="0.3">
      <c r="A1673" s="26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45291</v>
      </c>
      <c r="G1673" s="5">
        <v>2023</v>
      </c>
      <c r="H1673" s="5" t="s">
        <v>23</v>
      </c>
      <c r="I1673" s="6" t="s">
        <v>28</v>
      </c>
      <c r="J1673" s="9">
        <v>9876</v>
      </c>
      <c r="K1673" s="9">
        <v>10604</v>
      </c>
      <c r="L1673" s="14">
        <v>1.0737140542729851</v>
      </c>
      <c r="M1673" s="14">
        <v>1.0737140542729851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1021</v>
      </c>
    </row>
    <row r="1674" spans="1:18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45473</v>
      </c>
      <c r="G1674" s="5">
        <v>2024</v>
      </c>
      <c r="H1674" s="5" t="s">
        <v>699</v>
      </c>
      <c r="I1674" s="6" t="s">
        <v>729</v>
      </c>
      <c r="J1674" s="9">
        <v>13590</v>
      </c>
      <c r="K1674" s="9">
        <v>12987</v>
      </c>
      <c r="L1674" s="14">
        <v>0.95562913907284763</v>
      </c>
      <c r="M1674" s="14">
        <v>0.95562913907284763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2779</v>
      </c>
    </row>
    <row r="1675" spans="1:18" x14ac:dyDescent="0.3">
      <c r="A1675" s="5">
        <v>379</v>
      </c>
      <c r="B1675" s="5" t="s">
        <v>1019</v>
      </c>
      <c r="C1675" s="5" t="s">
        <v>1020</v>
      </c>
      <c r="D1675" s="5" t="s">
        <v>27</v>
      </c>
      <c r="E1675" s="5" t="s">
        <v>22</v>
      </c>
      <c r="F1675" s="6">
        <v>45657</v>
      </c>
      <c r="G1675" s="5">
        <v>2024</v>
      </c>
      <c r="H1675" s="5" t="s">
        <v>23</v>
      </c>
      <c r="I1675" s="6" t="s">
        <v>30</v>
      </c>
      <c r="J1675" s="9">
        <v>10675</v>
      </c>
      <c r="K1675" s="9">
        <v>10569</v>
      </c>
      <c r="L1675" s="14">
        <v>0.99007025761124123</v>
      </c>
      <c r="M1675" s="14">
        <v>0.99007025761124123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1022</v>
      </c>
    </row>
    <row r="1676" spans="1:18" x14ac:dyDescent="0.3">
      <c r="A1676" s="5">
        <v>379</v>
      </c>
      <c r="B1676" s="5" t="s">
        <v>1019</v>
      </c>
      <c r="C1676" s="5" t="s">
        <v>1020</v>
      </c>
      <c r="D1676" s="5" t="s">
        <v>27</v>
      </c>
      <c r="E1676" s="5" t="s">
        <v>22</v>
      </c>
      <c r="F1676" s="6">
        <v>45838</v>
      </c>
      <c r="G1676" s="5">
        <v>2025</v>
      </c>
      <c r="H1676" s="5" t="s">
        <v>699</v>
      </c>
      <c r="I1676" s="6" t="s">
        <v>700</v>
      </c>
      <c r="J1676" s="5">
        <v>13609</v>
      </c>
      <c r="K1676" s="5">
        <v>14141</v>
      </c>
      <c r="L1676" s="14">
        <v>1.0390917775001838</v>
      </c>
      <c r="M1676" s="14">
        <v>1.0390917775001838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2780</v>
      </c>
    </row>
    <row r="1677" spans="1:18" x14ac:dyDescent="0.3">
      <c r="A1677" s="5">
        <v>379</v>
      </c>
      <c r="B1677" s="5" t="s">
        <v>1019</v>
      </c>
      <c r="C1677" s="5" t="s">
        <v>1020</v>
      </c>
      <c r="D1677" s="5" t="s">
        <v>27</v>
      </c>
      <c r="E1677" s="5" t="s">
        <v>22</v>
      </c>
      <c r="F1677" s="6">
        <v>46022</v>
      </c>
      <c r="G1677" s="5">
        <v>2025</v>
      </c>
      <c r="H1677" s="5" t="s">
        <v>23</v>
      </c>
      <c r="I1677" s="6" t="s">
        <v>32</v>
      </c>
      <c r="J1677" s="5">
        <v>11018</v>
      </c>
      <c r="K1677" s="5">
        <v>11224</v>
      </c>
      <c r="L1677" s="14">
        <v>1.018696678163006</v>
      </c>
      <c r="M1677" s="14">
        <v>1.018696678163006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1023</v>
      </c>
    </row>
    <row r="1678" spans="1:18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44742</v>
      </c>
      <c r="G1678" s="15">
        <v>2022</v>
      </c>
      <c r="H1678" s="6" t="s">
        <v>699</v>
      </c>
      <c r="I1678" s="27" t="s">
        <v>1510</v>
      </c>
      <c r="J1678" s="9">
        <v>49004</v>
      </c>
      <c r="K1678" s="86">
        <v>51012</v>
      </c>
      <c r="L1678" s="14">
        <v>1.040976246836993</v>
      </c>
      <c r="M1678" s="14">
        <v>1.040976246836993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4392</v>
      </c>
    </row>
    <row r="1679" spans="1:18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84">
        <v>44926</v>
      </c>
      <c r="G1679" s="15">
        <v>2022</v>
      </c>
      <c r="H1679" s="6" t="s">
        <v>23</v>
      </c>
      <c r="I1679" s="27" t="s">
        <v>24</v>
      </c>
      <c r="J1679" s="9">
        <v>50430</v>
      </c>
      <c r="K1679" s="9">
        <v>50241</v>
      </c>
      <c r="L1679" s="14">
        <v>0.99625223081499104</v>
      </c>
      <c r="M1679" s="14">
        <v>0.99625223081499104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4386</v>
      </c>
    </row>
    <row r="1680" spans="1:18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45107</v>
      </c>
      <c r="G1680" s="15">
        <v>2023</v>
      </c>
      <c r="H1680" s="6" t="s">
        <v>699</v>
      </c>
      <c r="I1680" s="27" t="s">
        <v>1512</v>
      </c>
      <c r="J1680" s="9">
        <v>52177</v>
      </c>
      <c r="K1680" s="9">
        <v>51473</v>
      </c>
      <c r="L1680" s="14">
        <v>0.98650746497498898</v>
      </c>
      <c r="M1680" s="14">
        <v>0.98650746497498898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4393</v>
      </c>
    </row>
    <row r="1681" spans="1:18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45291</v>
      </c>
      <c r="G1681" s="15">
        <v>2023</v>
      </c>
      <c r="H1681" s="6" t="s">
        <v>23</v>
      </c>
      <c r="I1681" s="27" t="s">
        <v>28</v>
      </c>
      <c r="J1681" s="9">
        <v>51687</v>
      </c>
      <c r="K1681" s="9">
        <v>51375</v>
      </c>
      <c r="L1681" s="14">
        <v>0.99396366591212493</v>
      </c>
      <c r="M1681" s="14">
        <v>0.99396366591212493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4387</v>
      </c>
    </row>
    <row r="1682" spans="1:18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45473</v>
      </c>
      <c r="G1682" s="5">
        <v>2024</v>
      </c>
      <c r="H1682" s="5" t="s">
        <v>699</v>
      </c>
      <c r="I1682" s="6" t="s">
        <v>729</v>
      </c>
      <c r="J1682" s="9">
        <v>52403.186118801452</v>
      </c>
      <c r="K1682" s="9">
        <v>52585</v>
      </c>
      <c r="L1682" s="14">
        <v>1.0034695195972696</v>
      </c>
      <c r="M1682" s="14">
        <v>1.0034695195972696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4394</v>
      </c>
    </row>
    <row r="1683" spans="1:18" x14ac:dyDescent="0.3">
      <c r="A1683" s="5">
        <v>14</v>
      </c>
      <c r="B1683" s="5" t="s">
        <v>4385</v>
      </c>
      <c r="C1683" s="5" t="s">
        <v>333</v>
      </c>
      <c r="D1683" s="5" t="s">
        <v>27</v>
      </c>
      <c r="E1683" s="5" t="s">
        <v>22</v>
      </c>
      <c r="F1683" s="6">
        <v>45657</v>
      </c>
      <c r="G1683" s="5">
        <v>2024</v>
      </c>
      <c r="H1683" s="5" t="s">
        <v>23</v>
      </c>
      <c r="I1683" s="6" t="s">
        <v>30</v>
      </c>
      <c r="J1683" s="83">
        <v>51116.334115206948</v>
      </c>
      <c r="K1683" s="9">
        <v>52005</v>
      </c>
      <c r="L1683" s="14">
        <v>1.0173851646479608</v>
      </c>
      <c r="M1683" s="14">
        <v>1.0173851646479608</v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4388</v>
      </c>
    </row>
    <row r="1684" spans="1:18" x14ac:dyDescent="0.3">
      <c r="A1684" s="5">
        <v>14</v>
      </c>
      <c r="B1684" s="5" t="s">
        <v>4385</v>
      </c>
      <c r="C1684" s="5" t="s">
        <v>333</v>
      </c>
      <c r="D1684" s="5" t="s">
        <v>27</v>
      </c>
      <c r="E1684" s="5" t="s">
        <v>22</v>
      </c>
      <c r="F1684" s="6">
        <v>45838</v>
      </c>
      <c r="G1684" s="5">
        <v>2025</v>
      </c>
      <c r="H1684" s="5" t="s">
        <v>699</v>
      </c>
      <c r="I1684" s="6" t="s">
        <v>700</v>
      </c>
      <c r="J1684" s="9">
        <v>53635</v>
      </c>
      <c r="K1684" s="9">
        <v>56505</v>
      </c>
      <c r="L1684" s="14">
        <v>1.053509834995805</v>
      </c>
      <c r="M1684" s="14">
        <v>1.053509834995805</v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4395</v>
      </c>
    </row>
    <row r="1685" spans="1:18" x14ac:dyDescent="0.3">
      <c r="A1685" s="5">
        <v>14</v>
      </c>
      <c r="B1685" s="5" t="s">
        <v>4385</v>
      </c>
      <c r="C1685" s="5" t="s">
        <v>333</v>
      </c>
      <c r="D1685" s="5" t="s">
        <v>27</v>
      </c>
      <c r="E1685" s="5" t="s">
        <v>22</v>
      </c>
      <c r="F1685" s="6">
        <v>46022</v>
      </c>
      <c r="G1685" s="5">
        <v>2025</v>
      </c>
      <c r="H1685" s="5" t="s">
        <v>23</v>
      </c>
      <c r="I1685" s="6" t="s">
        <v>32</v>
      </c>
      <c r="J1685" s="83">
        <v>55756</v>
      </c>
      <c r="K1685" s="9">
        <v>56807</v>
      </c>
      <c r="L1685" s="14">
        <v>1.0188499892388263</v>
      </c>
      <c r="M1685" s="14">
        <v>1.0188499892388263</v>
      </c>
      <c r="N1685" s="5" t="s">
        <v>128</v>
      </c>
      <c r="O1685" s="5" t="s">
        <v>128</v>
      </c>
      <c r="P1685" s="5">
        <v>0</v>
      </c>
      <c r="Q1685" s="5">
        <v>0</v>
      </c>
      <c r="R1685" s="5" t="s">
        <v>4391</v>
      </c>
    </row>
  </sheetData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40">
    <cfRule type="duplicateValues" dxfId="113" priority="4"/>
    <cfRule type="duplicateValues" dxfId="112" priority="5"/>
  </conditionalFormatting>
  <conditionalFormatting sqref="A1546:A1547">
    <cfRule type="duplicateValues" dxfId="111" priority="3"/>
  </conditionalFormatting>
  <conditionalFormatting sqref="A1678:A1683">
    <cfRule type="duplicateValues" dxfId="110" priority="2"/>
  </conditionalFormatting>
  <conditionalFormatting sqref="A1684:A1685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opLeftCell="A970" zoomScaleNormal="100" workbookViewId="0">
      <selection activeCell="A993" sqref="A993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1</v>
      </c>
      <c r="K797">
        <v>18.11</v>
      </c>
      <c r="L797" s="39">
        <f t="shared" si="76"/>
        <v>5.5218111540585313E-2</v>
      </c>
      <c r="M797" s="39">
        <f t="shared" si="77"/>
        <v>5.5218111540585313E-2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1</v>
      </c>
      <c r="K798">
        <v>17.555</v>
      </c>
      <c r="L798" s="39">
        <f t="shared" si="76"/>
        <v>5.6963827969239531E-2</v>
      </c>
      <c r="M798" s="39">
        <f t="shared" si="77"/>
        <v>5.6963827969239531E-2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1</v>
      </c>
      <c r="K799">
        <v>16.5</v>
      </c>
      <c r="L799" s="39">
        <f t="shared" si="76"/>
        <v>6.0606060606060608E-2</v>
      </c>
      <c r="M799" s="39">
        <f t="shared" si="77"/>
        <v>6.0606060606060608E-2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300</v>
      </c>
      <c r="K851">
        <v>640</v>
      </c>
      <c r="L851" s="39">
        <f t="shared" si="80"/>
        <v>1.3</v>
      </c>
      <c r="M851" s="39">
        <f t="shared" si="81"/>
        <v>2.1333333333333333</v>
      </c>
      <c r="N851" t="s">
        <v>25</v>
      </c>
      <c r="O851" t="s">
        <v>25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400</v>
      </c>
      <c r="K852">
        <v>348</v>
      </c>
      <c r="L852" s="39">
        <f t="shared" si="80"/>
        <v>0.87</v>
      </c>
      <c r="M852" s="39">
        <f t="shared" si="81"/>
        <v>0.87</v>
      </c>
      <c r="N852" t="s">
        <v>25</v>
      </c>
      <c r="O852" t="s">
        <v>25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113.4</v>
      </c>
      <c r="L866" s="39">
        <f t="shared" si="82"/>
        <v>1.1340000000000001</v>
      </c>
      <c r="M866" s="39">
        <f t="shared" si="83"/>
        <v>1.1340000000000001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100</v>
      </c>
      <c r="K867">
        <v>106.55</v>
      </c>
      <c r="L867" s="39">
        <f t="shared" si="82"/>
        <v>1.0654999999999999</v>
      </c>
      <c r="M867" s="39">
        <f t="shared" si="83"/>
        <v>1.0654999999999999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200</v>
      </c>
      <c r="K883">
        <v>140</v>
      </c>
      <c r="L883" s="39">
        <f t="shared" ref="L883:L888" si="85">IFERROR(IF(OR(J883=0,K883=""),"",IF(E883="Positivo",MIN(MAX(K883/J883,0),1.3),MIN(MAX(J883/K883,0),1.3))),"")</f>
        <v>0.7</v>
      </c>
      <c r="M883" s="39">
        <f t="shared" ref="M883:M888" si="86">IFERROR(IF(OR(J883=0,K883=""),"",IF(E883="Positivo",MAX(K883/J883,0),MAX(J883/K883,0))),"")</f>
        <v>0.7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200</v>
      </c>
      <c r="K884">
        <v>100</v>
      </c>
      <c r="L884" s="39">
        <f t="shared" si="85"/>
        <v>0.5</v>
      </c>
      <c r="M884" s="39">
        <f t="shared" si="86"/>
        <v>0.5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8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8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8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8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8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8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8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8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8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8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8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8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45930</v>
      </c>
      <c r="G956">
        <v>2025</v>
      </c>
      <c r="H956" t="s">
        <v>162</v>
      </c>
      <c r="I956" t="s">
        <v>32</v>
      </c>
      <c r="J956">
        <v>95</v>
      </c>
      <c r="K956">
        <v>96.6</v>
      </c>
      <c r="L956" s="39">
        <f t="shared" si="91"/>
        <v>1.0168421052631578</v>
      </c>
      <c r="M956" s="39">
        <f t="shared" si="92"/>
        <v>1.0168421052631578</v>
      </c>
      <c r="N956" t="s">
        <v>25</v>
      </c>
      <c r="O956" t="s">
        <v>25</v>
      </c>
      <c r="P956">
        <v>0</v>
      </c>
      <c r="Q956">
        <v>0</v>
      </c>
      <c r="R956" t="s">
        <v>1453</v>
      </c>
    </row>
    <row r="957" spans="1:18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8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8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8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0" t="s">
        <v>3269</v>
      </c>
      <c r="D1" s="91"/>
      <c r="E1" s="91"/>
      <c r="F1" s="91"/>
      <c r="H1" s="92" t="s">
        <v>3270</v>
      </c>
      <c r="I1" s="93"/>
      <c r="J1" s="93"/>
      <c r="K1" s="94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7" t="s">
        <v>3278</v>
      </c>
      <c r="B3" s="87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8"/>
      <c r="B4" s="88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8"/>
      <c r="B5" s="89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8"/>
      <c r="B6" s="87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8"/>
      <c r="B7" s="89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8"/>
      <c r="B8" s="87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9"/>
      <c r="B9" s="89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2026-04-17T02:32:22Z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